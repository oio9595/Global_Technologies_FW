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430"/>
  <workbookPr/>
  <mc:AlternateContent xmlns:mc="http://schemas.openxmlformats.org/markup-compatibility/2006">
    <mc:Choice Requires="x15">
      <x15ac:absPath xmlns:x15ac="http://schemas.microsoft.com/office/spreadsheetml/2010/11/ac" url="C:\working\01_Project\FW\Branch\XD04_LED_Module_Control_BD_DEMO\Docs\"/>
    </mc:Choice>
  </mc:AlternateContent>
  <xr:revisionPtr revIDLastSave="0" documentId="13_ncr:1_{12900F85-6CD8-4ABD-B346-BC1412409042}" xr6:coauthVersionLast="47" xr6:coauthVersionMax="47" xr10:uidLastSave="{00000000-0000-0000-0000-000000000000}"/>
  <bookViews>
    <workbookView xWindow="9010" yWindow="4150" windowWidth="11000" windowHeight="9830" xr2:uid="{00000000-000D-0000-FFFF-FFFF00000000}"/>
  </bookViews>
  <sheets>
    <sheet name="U8000 65inch" sheetId="1" r:id="rId1"/>
    <sheet name="Sheet1" sheetId="2" r:id="rId2"/>
    <sheet name="Sheet2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4" i="3" l="1"/>
  <c r="G5" i="3"/>
  <c r="G6" i="3"/>
  <c r="G7" i="3"/>
  <c r="G8" i="3"/>
  <c r="G9" i="3"/>
  <c r="G10" i="3"/>
  <c r="G3" i="3"/>
  <c r="M5" i="2" l="1"/>
  <c r="M6" i="2"/>
  <c r="M7" i="2"/>
  <c r="M8" i="2"/>
  <c r="M9" i="2"/>
  <c r="M10" i="2"/>
  <c r="M11" i="2"/>
  <c r="M12" i="2"/>
  <c r="M13" i="2"/>
  <c r="M14" i="2"/>
  <c r="M15" i="2"/>
  <c r="M16" i="2"/>
  <c r="M17" i="2"/>
  <c r="M18" i="2"/>
  <c r="M19" i="2"/>
  <c r="M20" i="2"/>
  <c r="M21" i="2"/>
  <c r="M22" i="2"/>
  <c r="M23" i="2"/>
  <c r="M24" i="2"/>
  <c r="M25" i="2"/>
  <c r="M26" i="2"/>
  <c r="M27" i="2"/>
  <c r="M28" i="2"/>
  <c r="M29" i="2"/>
  <c r="M30" i="2"/>
  <c r="M31" i="2"/>
  <c r="M32" i="2"/>
  <c r="M33" i="2"/>
  <c r="M34" i="2"/>
  <c r="M35" i="2"/>
  <c r="M4" i="2"/>
  <c r="D10" i="2"/>
  <c r="E10" i="2" s="1"/>
  <c r="F10" i="2" s="1"/>
  <c r="G10" i="2" s="1"/>
  <c r="H10" i="2" s="1"/>
  <c r="I10" i="2" s="1"/>
  <c r="D11" i="2"/>
  <c r="E11" i="2"/>
  <c r="F11" i="2"/>
  <c r="G11" i="2"/>
  <c r="H11" i="2"/>
  <c r="I11" i="2"/>
  <c r="D12" i="2"/>
  <c r="E12" i="2"/>
  <c r="F12" i="2"/>
  <c r="G12" i="2"/>
  <c r="H12" i="2"/>
  <c r="I12" i="2"/>
  <c r="D13" i="2"/>
  <c r="E13" i="2"/>
  <c r="F13" i="2"/>
  <c r="G13" i="2"/>
  <c r="H13" i="2"/>
  <c r="I13" i="2" s="1"/>
  <c r="C11" i="2"/>
  <c r="C12" i="2"/>
  <c r="C13" i="2"/>
  <c r="C10" i="2"/>
  <c r="I5" i="2"/>
  <c r="I6" i="2"/>
  <c r="C4" i="2"/>
  <c r="C5" i="2" s="1"/>
  <c r="C6" i="2" s="1"/>
  <c r="D4" i="2"/>
  <c r="D5" i="2" s="1"/>
  <c r="D6" i="2" s="1"/>
  <c r="E4" i="2"/>
  <c r="E5" i="2" s="1"/>
  <c r="E6" i="2" s="1"/>
  <c r="F4" i="2"/>
  <c r="F5" i="2" s="1"/>
  <c r="F6" i="2" s="1"/>
  <c r="G4" i="2"/>
  <c r="G5" i="2" s="1"/>
  <c r="G6" i="2" s="1"/>
  <c r="H4" i="2"/>
  <c r="H5" i="2" s="1"/>
  <c r="H6" i="2" s="1"/>
  <c r="I4" i="2"/>
  <c r="B4" i="2"/>
  <c r="B5" i="2" s="1"/>
  <c r="B6" i="2" s="1"/>
  <c r="S150" i="1"/>
  <c r="T150" i="1" s="1"/>
  <c r="U150" i="1" s="1"/>
  <c r="V150" i="1" s="1"/>
  <c r="W150" i="1" s="1"/>
  <c r="X150" i="1" s="1"/>
  <c r="S151" i="1"/>
  <c r="T151" i="1" s="1"/>
  <c r="U151" i="1" s="1"/>
  <c r="V151" i="1" s="1"/>
  <c r="W151" i="1" s="1"/>
  <c r="X151" i="1" s="1"/>
  <c r="S152" i="1"/>
  <c r="T152" i="1" s="1"/>
  <c r="U152" i="1" s="1"/>
  <c r="V152" i="1" s="1"/>
  <c r="W152" i="1" s="1"/>
  <c r="X152" i="1" s="1"/>
  <c r="S153" i="1"/>
  <c r="T153" i="1" s="1"/>
  <c r="U153" i="1" s="1"/>
  <c r="V153" i="1" s="1"/>
  <c r="W153" i="1" s="1"/>
  <c r="X153" i="1" s="1"/>
  <c r="Q10" i="1"/>
  <c r="R10" i="1"/>
  <c r="S10" i="1"/>
  <c r="T10" i="1"/>
  <c r="U10" i="1"/>
  <c r="V10" i="1"/>
  <c r="W10" i="1"/>
  <c r="X10" i="1"/>
  <c r="Q11" i="1"/>
  <c r="R11" i="1"/>
  <c r="S11" i="1"/>
  <c r="T11" i="1"/>
  <c r="U11" i="1"/>
  <c r="V11" i="1"/>
  <c r="W11" i="1"/>
  <c r="X11" i="1"/>
  <c r="Q12" i="1"/>
  <c r="R12" i="1"/>
  <c r="S12" i="1"/>
  <c r="T12" i="1"/>
  <c r="U12" i="1"/>
  <c r="V12" i="1"/>
  <c r="W12" i="1"/>
  <c r="X12" i="1"/>
  <c r="R9" i="1"/>
  <c r="S9" i="1"/>
  <c r="T9" i="1"/>
  <c r="U9" i="1"/>
  <c r="V9" i="1"/>
  <c r="W9" i="1"/>
  <c r="X9" i="1"/>
  <c r="Q9" i="1"/>
</calcChain>
</file>

<file path=xl/sharedStrings.xml><?xml version="1.0" encoding="utf-8"?>
<sst xmlns="http://schemas.openxmlformats.org/spreadsheetml/2006/main" count="237" uniqueCount="31">
  <si>
    <t>1안</t>
    <phoneticPr fontId="1" type="noConversion"/>
  </si>
  <si>
    <t>W
I
R
E</t>
    <phoneticPr fontId="1" type="noConversion"/>
  </si>
  <si>
    <t>BAR1 (XD04P)</t>
    <phoneticPr fontId="1" type="noConversion"/>
  </si>
  <si>
    <t>2안</t>
    <phoneticPr fontId="1" type="noConversion"/>
  </si>
  <si>
    <t>BAR2 (XD04P)</t>
    <phoneticPr fontId="1" type="noConversion"/>
  </si>
  <si>
    <t>BAR3 (XD04P)</t>
    <phoneticPr fontId="1" type="noConversion"/>
  </si>
  <si>
    <t>BAR4 (XD04P)</t>
    <phoneticPr fontId="1" type="noConversion"/>
  </si>
  <si>
    <t>BAR5 (XD04P)</t>
    <phoneticPr fontId="1" type="noConversion"/>
  </si>
  <si>
    <t>BAR6 (XD04P)</t>
    <phoneticPr fontId="1" type="noConversion"/>
  </si>
  <si>
    <t>BAR7 (XD04P)</t>
    <phoneticPr fontId="1" type="noConversion"/>
  </si>
  <si>
    <t>BAR8 (XD04P)</t>
    <phoneticPr fontId="1" type="noConversion"/>
  </si>
  <si>
    <t>XD04 DAISY</t>
    <phoneticPr fontId="1" type="noConversion"/>
  </si>
  <si>
    <t>XC24-CHANNEL</t>
    <phoneticPr fontId="1" type="noConversion"/>
  </si>
  <si>
    <t>XD04 CHANNEL</t>
    <phoneticPr fontId="1" type="noConversion"/>
  </si>
  <si>
    <t>패턴 1</t>
    <phoneticPr fontId="1" type="noConversion"/>
  </si>
  <si>
    <t>0x3FFF</t>
  </si>
  <si>
    <t>0x100</t>
  </si>
  <si>
    <t>1. 배치 구조</t>
    <phoneticPr fontId="1" type="noConversion"/>
  </si>
  <si>
    <t>2. Mapping data</t>
    <phoneticPr fontId="1" type="noConversion"/>
  </si>
  <si>
    <t>3. 패턴 - dimming data</t>
    <phoneticPr fontId="1" type="noConversion"/>
  </si>
  <si>
    <t>MAPPING  (1안 기준)</t>
    <phoneticPr fontId="1" type="noConversion"/>
  </si>
  <si>
    <t>패턴 1 (홀수 - 짝수 교차 ( FULL 점등 - 2% 점등 방식))</t>
    <phoneticPr fontId="1" type="noConversion"/>
  </si>
  <si>
    <t>패턴 2 (홀수 - 짝수 교차 ( FULL 점등 - 2% 점등 방식))</t>
    <phoneticPr fontId="1" type="noConversion"/>
  </si>
  <si>
    <t>패턴 3 (홀수 - 짝수 교차 ( FULL 점등 - 2% 점등 방식))</t>
    <phoneticPr fontId="1" type="noConversion"/>
  </si>
  <si>
    <t>Block Map</t>
    <phoneticPr fontId="1" type="noConversion"/>
  </si>
  <si>
    <t>SPI ld Map</t>
    <phoneticPr fontId="1" type="noConversion"/>
  </si>
  <si>
    <t>x</t>
    <phoneticPr fontId="1" type="noConversion"/>
  </si>
  <si>
    <t>y</t>
    <phoneticPr fontId="1" type="noConversion"/>
  </si>
  <si>
    <t>get_y</t>
    <phoneticPr fontId="1" type="noConversion"/>
  </si>
  <si>
    <t>y1</t>
    <phoneticPr fontId="1" type="noConversion"/>
  </si>
  <si>
    <t>y2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</si>
</sst>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78" formatCode="&quot;blk &quot;0"/>
    <numFmt numFmtId="179" formatCode="&quot;ld &quot;0"/>
  </numFmts>
  <fonts count="8" x14ac:knownFonts="1">
    <font>
      <sz val="11"/>
      <color theme="1"/>
      <name val="맑은 고딕"/>
      <family val="2"/>
      <scheme val="minor"/>
    </font>
    <font>
      <sz val="8"/>
      <name val="맑은 고딕"/>
      <family val="3"/>
      <charset val="129"/>
      <scheme val="minor"/>
    </font>
    <font>
      <sz val="11"/>
      <color theme="0"/>
      <name val="맑은 고딕"/>
      <family val="2"/>
      <scheme val="minor"/>
    </font>
    <font>
      <sz val="11"/>
      <color theme="0"/>
      <name val="맑은 고딕"/>
      <family val="3"/>
      <charset val="129"/>
      <scheme val="minor"/>
    </font>
    <font>
      <b/>
      <sz val="11"/>
      <color theme="1"/>
      <name val="맑은 고딕"/>
      <family val="3"/>
      <charset val="129"/>
      <scheme val="minor"/>
    </font>
    <font>
      <sz val="10"/>
      <color theme="1"/>
      <name val="맑은 고딕"/>
      <family val="3"/>
      <charset val="129"/>
      <scheme val="minor"/>
    </font>
    <font>
      <b/>
      <sz val="11"/>
      <color theme="0"/>
      <name val="맑은 고딕"/>
      <family val="3"/>
      <charset val="129"/>
      <scheme val="minor"/>
    </font>
    <font>
      <sz val="11"/>
      <color theme="1"/>
      <name val="맑은 고딕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1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rgb="FF080808"/>
        <bgColor indexed="64"/>
      </patternFill>
    </fill>
  </fills>
  <borders count="1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2">
    <xf numFmtId="0" fontId="0" fillId="0" borderId="0"/>
    <xf numFmtId="9" fontId="7" fillId="0" borderId="0" applyFont="0" applyFill="0" applyBorder="0" applyAlignment="0" applyProtection="0">
      <alignment vertical="center"/>
    </xf>
  </cellStyleXfs>
  <cellXfs count="29">
    <xf numFmtId="0" fontId="0" fillId="0" borderId="0" xfId="0"/>
    <xf numFmtId="0" fontId="0" fillId="0" borderId="1" xfId="0" applyBorder="1" applyAlignment="1">
      <alignment horizontal="center" vertical="center"/>
    </xf>
    <xf numFmtId="0" fontId="0" fillId="0" borderId="8" xfId="0" applyBorder="1"/>
    <xf numFmtId="0" fontId="0" fillId="0" borderId="5" xfId="0" applyBorder="1"/>
    <xf numFmtId="0" fontId="0" fillId="0" borderId="12" xfId="0" applyBorder="1"/>
    <xf numFmtId="0" fontId="0" fillId="0" borderId="0" xfId="0" applyAlignment="1">
      <alignment horizontal="center"/>
    </xf>
    <xf numFmtId="0" fontId="0" fillId="0" borderId="0" xfId="0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4" borderId="1" xfId="0" applyFont="1" applyFill="1" applyBorder="1" applyAlignment="1">
      <alignment horizontal="center" vertical="center"/>
    </xf>
    <xf numFmtId="0" fontId="0" fillId="0" borderId="7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6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10" xfId="0" applyBorder="1" applyAlignment="1">
      <alignment horizontal="center" vertical="center"/>
    </xf>
    <xf numFmtId="0" fontId="0" fillId="0" borderId="0" xfId="0" applyAlignment="1">
      <alignment horizontal="left" vertical="center"/>
    </xf>
    <xf numFmtId="0" fontId="5" fillId="3" borderId="1" xfId="0" applyFont="1" applyFill="1" applyBorder="1" applyAlignment="1">
      <alignment horizontal="center" vertical="center"/>
    </xf>
    <xf numFmtId="9" fontId="0" fillId="0" borderId="0" xfId="1" applyFont="1" applyAlignment="1"/>
    <xf numFmtId="0" fontId="0" fillId="0" borderId="0" xfId="0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9" xfId="0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2" xfId="0" applyBorder="1" applyAlignment="1">
      <alignment horizontal="center" vertical="center"/>
    </xf>
    <xf numFmtId="0" fontId="0" fillId="0" borderId="3" xfId="0" applyBorder="1" applyAlignment="1">
      <alignment horizontal="center" vertical="center"/>
    </xf>
    <xf numFmtId="0" fontId="0" fillId="0" borderId="4" xfId="0" applyBorder="1" applyAlignment="1">
      <alignment horizontal="center" vertical="center"/>
    </xf>
    <xf numFmtId="0" fontId="2" fillId="2" borderId="5" xfId="0" applyFont="1" applyFill="1" applyBorder="1" applyAlignment="1">
      <alignment horizontal="center" vertical="center" wrapText="1"/>
    </xf>
    <xf numFmtId="0" fontId="3" fillId="2" borderId="5" xfId="0" applyFont="1" applyFill="1" applyBorder="1" applyAlignment="1">
      <alignment horizontal="center" vertical="center"/>
    </xf>
    <xf numFmtId="178" fontId="5" fillId="3" borderId="1" xfId="0" applyNumberFormat="1" applyFont="1" applyFill="1" applyBorder="1" applyAlignment="1">
      <alignment horizontal="center" vertical="center"/>
    </xf>
    <xf numFmtId="179" fontId="5" fillId="3" borderId="1" xfId="0" applyNumberFormat="1" applyFont="1" applyFill="1" applyBorder="1" applyAlignment="1">
      <alignment horizontal="center" vertical="center"/>
    </xf>
  </cellXfs>
  <cellStyles count="2">
    <cellStyle name="백분율" xfId="1" builtinId="5"/>
    <cellStyle name="표준" xfId="0" builtinId="0"/>
  </cellStyles>
  <dxfs count="0"/>
  <tableStyles count="0" defaultTableStyle="TableStyleMedium2" defaultPivotStyle="PivotStyleLight16"/>
  <colors>
    <mruColors>
      <color rgb="FF080808"/>
      <color rgb="FF111111"/>
      <color rgb="FF292929"/>
      <color rgb="FF4D4D4D"/>
      <color rgb="FF777777"/>
      <color rgb="FF969696"/>
      <color rgb="FFC0C0C0"/>
      <color rgb="FFB2B2B2"/>
      <color rgb="FFDDDDDD"/>
      <color rgb="FFEAEAEA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13</xdr:col>
      <xdr:colOff>657224</xdr:colOff>
      <xdr:row>2</xdr:row>
      <xdr:rowOff>0</xdr:rowOff>
    </xdr:from>
    <xdr:to>
      <xdr:col>21</xdr:col>
      <xdr:colOff>245969</xdr:colOff>
      <xdr:row>8</xdr:row>
      <xdr:rowOff>114300</xdr:rowOff>
    </xdr:to>
    <xdr:pic>
      <xdr:nvPicPr>
        <xdr:cNvPr id="2" name="그림 1">
          <a:extLst>
            <a:ext uri="{FF2B5EF4-FFF2-40B4-BE49-F238E27FC236}">
              <a16:creationId xmlns:a16="http://schemas.microsoft.com/office/drawing/2014/main" id="{7AED7851-1C81-2697-EC4C-FEF061F52083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9201149" y="438150"/>
          <a:ext cx="4846545" cy="142875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5:AI153"/>
  <sheetViews>
    <sheetView showGridLines="0" tabSelected="1" topLeftCell="V17" zoomScale="70" zoomScaleNormal="70" workbookViewId="0">
      <selection activeCell="Y4" sqref="Y4"/>
    </sheetView>
  </sheetViews>
  <sheetFormatPr defaultRowHeight="17" x14ac:dyDescent="0.45"/>
  <cols>
    <col min="1" max="1" width="7.83203125" customWidth="1"/>
    <col min="2" max="2" width="3.08203125" customWidth="1"/>
    <col min="7" max="7" width="3.08203125" customWidth="1"/>
    <col min="8" max="8" width="1.5" customWidth="1"/>
    <col min="9" max="9" width="3.08203125" customWidth="1"/>
    <col min="14" max="14" width="3" customWidth="1"/>
    <col min="16" max="16" width="4.1640625" customWidth="1"/>
    <col min="17" max="24" width="13.58203125" bestFit="1" customWidth="1"/>
    <col min="25" max="25" width="13.58203125" customWidth="1"/>
    <col min="26" max="34" width="13.58203125" style="6" customWidth="1"/>
  </cols>
  <sheetData>
    <row r="5" spans="2:35" x14ac:dyDescent="0.45">
      <c r="B5" t="s">
        <v>17</v>
      </c>
      <c r="P5" t="s">
        <v>18</v>
      </c>
      <c r="Z5" s="15" t="s">
        <v>19</v>
      </c>
    </row>
    <row r="6" spans="2:35" x14ac:dyDescent="0.45">
      <c r="Z6" s="12"/>
      <c r="AA6" s="10"/>
      <c r="AB6" s="10"/>
      <c r="AC6" s="10"/>
      <c r="AD6" s="10"/>
      <c r="AE6" s="10"/>
      <c r="AF6" s="10"/>
      <c r="AG6" s="10"/>
      <c r="AH6" s="10"/>
      <c r="AI6" s="2"/>
    </row>
    <row r="7" spans="2:35" x14ac:dyDescent="0.45">
      <c r="C7" t="s">
        <v>0</v>
      </c>
      <c r="P7" s="18" t="s">
        <v>20</v>
      </c>
      <c r="Q7" s="18"/>
      <c r="R7" s="18"/>
      <c r="S7" s="18"/>
      <c r="T7" s="18"/>
      <c r="U7" s="18"/>
      <c r="V7" s="18"/>
      <c r="W7" s="18"/>
      <c r="X7" s="18"/>
      <c r="Z7" s="20" t="s">
        <v>21</v>
      </c>
      <c r="AA7" s="21"/>
      <c r="AB7" s="21"/>
      <c r="AC7" s="21"/>
      <c r="AD7" s="21"/>
      <c r="AE7" s="21"/>
      <c r="AF7" s="21"/>
      <c r="AG7" s="21"/>
      <c r="AH7" s="21"/>
      <c r="AI7" s="3"/>
    </row>
    <row r="8" spans="2:35" x14ac:dyDescent="0.45">
      <c r="B8" s="25" t="s">
        <v>1</v>
      </c>
      <c r="C8" s="1">
        <v>1</v>
      </c>
      <c r="D8" s="1">
        <v>3</v>
      </c>
      <c r="E8" s="1">
        <v>4</v>
      </c>
      <c r="F8" s="1">
        <v>2</v>
      </c>
      <c r="J8" s="1">
        <v>2</v>
      </c>
      <c r="K8" s="1">
        <v>4</v>
      </c>
      <c r="L8" s="1">
        <v>3</v>
      </c>
      <c r="M8" s="1">
        <v>1</v>
      </c>
      <c r="N8" s="25" t="s">
        <v>1</v>
      </c>
      <c r="Q8" s="5">
        <v>1</v>
      </c>
      <c r="R8" s="5">
        <v>2</v>
      </c>
      <c r="S8" s="5">
        <v>3</v>
      </c>
      <c r="T8" s="5">
        <v>4</v>
      </c>
      <c r="U8" s="5">
        <v>5</v>
      </c>
      <c r="V8" s="5">
        <v>6</v>
      </c>
      <c r="W8" s="5">
        <v>7</v>
      </c>
      <c r="X8" s="5">
        <v>8</v>
      </c>
      <c r="Z8" s="13"/>
      <c r="AA8" s="6">
        <v>1</v>
      </c>
      <c r="AB8" s="6">
        <v>2</v>
      </c>
      <c r="AC8" s="6">
        <v>3</v>
      </c>
      <c r="AD8" s="6">
        <v>4</v>
      </c>
      <c r="AE8" s="6">
        <v>5</v>
      </c>
      <c r="AF8" s="6">
        <v>6</v>
      </c>
      <c r="AG8" s="6">
        <v>7</v>
      </c>
      <c r="AH8" s="6">
        <v>8</v>
      </c>
      <c r="AI8" s="3"/>
    </row>
    <row r="9" spans="2:35" x14ac:dyDescent="0.45">
      <c r="B9" s="26"/>
      <c r="C9" s="22" t="s">
        <v>2</v>
      </c>
      <c r="D9" s="23"/>
      <c r="E9" s="23"/>
      <c r="F9" s="24"/>
      <c r="J9" s="22" t="s">
        <v>7</v>
      </c>
      <c r="K9" s="23"/>
      <c r="L9" s="23"/>
      <c r="M9" s="24"/>
      <c r="N9" s="26"/>
      <c r="P9" s="6">
        <v>1</v>
      </c>
      <c r="Q9" s="16" t="str">
        <f>"XC0"&amp;Q16&amp;"DN0"&amp;Q22&amp;"XD0"&amp;Q28</f>
        <v>XC01DN01XD01</v>
      </c>
      <c r="R9" s="16" t="str">
        <f t="shared" ref="R9:X9" si="0">"XC0"&amp;R16&amp;"DN0"&amp;R22&amp;"XD0"&amp;R28</f>
        <v>XC01DN01XD03</v>
      </c>
      <c r="S9" s="16" t="str">
        <f t="shared" si="0"/>
        <v>XC01DN01XD04</v>
      </c>
      <c r="T9" s="16" t="str">
        <f t="shared" si="0"/>
        <v>XC01DN01XD02</v>
      </c>
      <c r="U9" s="16" t="str">
        <f t="shared" si="0"/>
        <v>XC01DN02XD02</v>
      </c>
      <c r="V9" s="16" t="str">
        <f t="shared" si="0"/>
        <v>XC01DN02XD04</v>
      </c>
      <c r="W9" s="16" t="str">
        <f t="shared" si="0"/>
        <v>XC01DN02XD03</v>
      </c>
      <c r="X9" s="16" t="str">
        <f t="shared" si="0"/>
        <v>XC01DN02XD01</v>
      </c>
      <c r="Z9" s="13">
        <v>1</v>
      </c>
      <c r="AA9" s="7" t="s">
        <v>15</v>
      </c>
      <c r="AB9" s="9" t="s">
        <v>16</v>
      </c>
      <c r="AC9" s="7" t="s">
        <v>15</v>
      </c>
      <c r="AD9" s="9" t="s">
        <v>16</v>
      </c>
      <c r="AE9" s="7" t="s">
        <v>15</v>
      </c>
      <c r="AF9" s="9" t="s">
        <v>16</v>
      </c>
      <c r="AG9" s="7" t="s">
        <v>15</v>
      </c>
      <c r="AH9" s="9" t="s">
        <v>16</v>
      </c>
      <c r="AI9" s="3"/>
    </row>
    <row r="10" spans="2:35" x14ac:dyDescent="0.45">
      <c r="B10" s="26"/>
      <c r="C10" s="1">
        <v>1</v>
      </c>
      <c r="D10" s="1">
        <v>3</v>
      </c>
      <c r="E10" s="1">
        <v>4</v>
      </c>
      <c r="F10" s="1">
        <v>2</v>
      </c>
      <c r="J10" s="1">
        <v>2</v>
      </c>
      <c r="K10" s="1">
        <v>4</v>
      </c>
      <c r="L10" s="1">
        <v>3</v>
      </c>
      <c r="M10" s="1">
        <v>1</v>
      </c>
      <c r="N10" s="26"/>
      <c r="P10" s="6">
        <v>2</v>
      </c>
      <c r="Q10" s="16" t="str">
        <f t="shared" ref="Q10:X10" si="1">"XC0"&amp;Q17&amp;"DN0"&amp;Q23&amp;"XD0"&amp;Q29</f>
        <v>XC02DN01XD01</v>
      </c>
      <c r="R10" s="16" t="str">
        <f t="shared" si="1"/>
        <v>XC02DN01XD03</v>
      </c>
      <c r="S10" s="16" t="str">
        <f t="shared" si="1"/>
        <v>XC02DN01XD04</v>
      </c>
      <c r="T10" s="16" t="str">
        <f t="shared" si="1"/>
        <v>XC02DN01XD02</v>
      </c>
      <c r="U10" s="16" t="str">
        <f t="shared" si="1"/>
        <v>XC02DN02XD02</v>
      </c>
      <c r="V10" s="16" t="str">
        <f t="shared" si="1"/>
        <v>XC02DN02XD04</v>
      </c>
      <c r="W10" s="16" t="str">
        <f t="shared" si="1"/>
        <v>XC02DN02XD03</v>
      </c>
      <c r="X10" s="16" t="str">
        <f t="shared" si="1"/>
        <v>XC02DN02XD01</v>
      </c>
      <c r="Z10" s="13">
        <v>2</v>
      </c>
      <c r="AA10" s="7" t="s">
        <v>15</v>
      </c>
      <c r="AB10" s="9" t="s">
        <v>16</v>
      </c>
      <c r="AC10" s="7" t="s">
        <v>15</v>
      </c>
      <c r="AD10" s="9" t="s">
        <v>16</v>
      </c>
      <c r="AE10" s="7" t="s">
        <v>15</v>
      </c>
      <c r="AF10" s="9" t="s">
        <v>16</v>
      </c>
      <c r="AG10" s="7" t="s">
        <v>15</v>
      </c>
      <c r="AH10" s="9" t="s">
        <v>16</v>
      </c>
      <c r="AI10" s="3"/>
    </row>
    <row r="11" spans="2:35" x14ac:dyDescent="0.45">
      <c r="B11" s="26"/>
      <c r="C11" s="22" t="s">
        <v>4</v>
      </c>
      <c r="D11" s="23"/>
      <c r="E11" s="23"/>
      <c r="F11" s="24"/>
      <c r="J11" s="22" t="s">
        <v>8</v>
      </c>
      <c r="K11" s="23"/>
      <c r="L11" s="23"/>
      <c r="M11" s="24"/>
      <c r="N11" s="26"/>
      <c r="P11" s="6">
        <v>3</v>
      </c>
      <c r="Q11" s="16" t="str">
        <f t="shared" ref="Q11:X11" si="2">"XC0"&amp;Q18&amp;"DN0"&amp;Q24&amp;"XD0"&amp;Q30</f>
        <v>XC03DN01XD01</v>
      </c>
      <c r="R11" s="16" t="str">
        <f t="shared" si="2"/>
        <v>XC03DN01XD03</v>
      </c>
      <c r="S11" s="16" t="str">
        <f t="shared" si="2"/>
        <v>XC03DN01XD04</v>
      </c>
      <c r="T11" s="16" t="str">
        <f t="shared" si="2"/>
        <v>XC03DN01XD02</v>
      </c>
      <c r="U11" s="16" t="str">
        <f t="shared" si="2"/>
        <v>XC03DN02XD02</v>
      </c>
      <c r="V11" s="16" t="str">
        <f t="shared" si="2"/>
        <v>XC03DN02XD04</v>
      </c>
      <c r="W11" s="16" t="str">
        <f t="shared" si="2"/>
        <v>XC03DN02XD03</v>
      </c>
      <c r="X11" s="16" t="str">
        <f t="shared" si="2"/>
        <v>XC03DN02XD01</v>
      </c>
      <c r="Z11" s="13">
        <v>3</v>
      </c>
      <c r="AA11" s="7" t="s">
        <v>15</v>
      </c>
      <c r="AB11" s="9" t="s">
        <v>16</v>
      </c>
      <c r="AC11" s="7" t="s">
        <v>15</v>
      </c>
      <c r="AD11" s="9" t="s">
        <v>16</v>
      </c>
      <c r="AE11" s="7" t="s">
        <v>15</v>
      </c>
      <c r="AF11" s="9" t="s">
        <v>16</v>
      </c>
      <c r="AG11" s="7" t="s">
        <v>15</v>
      </c>
      <c r="AH11" s="9" t="s">
        <v>16</v>
      </c>
      <c r="AI11" s="3"/>
    </row>
    <row r="12" spans="2:35" x14ac:dyDescent="0.45">
      <c r="B12" s="26"/>
      <c r="C12" s="1">
        <v>1</v>
      </c>
      <c r="D12" s="1">
        <v>3</v>
      </c>
      <c r="E12" s="1">
        <v>4</v>
      </c>
      <c r="F12" s="1">
        <v>2</v>
      </c>
      <c r="J12" s="1">
        <v>2</v>
      </c>
      <c r="K12" s="1">
        <v>4</v>
      </c>
      <c r="L12" s="1">
        <v>3</v>
      </c>
      <c r="M12" s="1">
        <v>1</v>
      </c>
      <c r="N12" s="26"/>
      <c r="P12" s="6">
        <v>4</v>
      </c>
      <c r="Q12" s="16" t="str">
        <f t="shared" ref="Q12:X12" si="3">"XC0"&amp;Q19&amp;"DN0"&amp;Q25&amp;"XD0"&amp;Q31</f>
        <v>XC04DN01XD01</v>
      </c>
      <c r="R12" s="16" t="str">
        <f t="shared" si="3"/>
        <v>XC04DN01XD03</v>
      </c>
      <c r="S12" s="16" t="str">
        <f t="shared" si="3"/>
        <v>XC04DN01XD04</v>
      </c>
      <c r="T12" s="16" t="str">
        <f t="shared" si="3"/>
        <v>XC04DN01XD02</v>
      </c>
      <c r="U12" s="16" t="str">
        <f t="shared" si="3"/>
        <v>XC04DN02XD02</v>
      </c>
      <c r="V12" s="16" t="str">
        <f t="shared" si="3"/>
        <v>XC04DN02XD04</v>
      </c>
      <c r="W12" s="16" t="str">
        <f t="shared" si="3"/>
        <v>XC04DN02XD03</v>
      </c>
      <c r="X12" s="16" t="str">
        <f t="shared" si="3"/>
        <v>XC04DN02XD01</v>
      </c>
      <c r="Z12" s="13">
        <v>4</v>
      </c>
      <c r="AA12" s="7" t="s">
        <v>15</v>
      </c>
      <c r="AB12" s="9" t="s">
        <v>16</v>
      </c>
      <c r="AC12" s="7" t="s">
        <v>15</v>
      </c>
      <c r="AD12" s="9" t="s">
        <v>16</v>
      </c>
      <c r="AE12" s="7" t="s">
        <v>15</v>
      </c>
      <c r="AF12" s="9" t="s">
        <v>16</v>
      </c>
      <c r="AG12" s="7" t="s">
        <v>15</v>
      </c>
      <c r="AH12" s="9" t="s">
        <v>16</v>
      </c>
      <c r="AI12" s="3"/>
    </row>
    <row r="13" spans="2:35" x14ac:dyDescent="0.45">
      <c r="B13" s="26"/>
      <c r="C13" s="22" t="s">
        <v>5</v>
      </c>
      <c r="D13" s="23"/>
      <c r="E13" s="23"/>
      <c r="F13" s="24"/>
      <c r="J13" s="22" t="s">
        <v>9</v>
      </c>
      <c r="K13" s="23"/>
      <c r="L13" s="23"/>
      <c r="M13" s="24"/>
      <c r="N13" s="26"/>
      <c r="Z13" s="13"/>
      <c r="AI13" s="3"/>
    </row>
    <row r="14" spans="2:35" ht="17" customHeight="1" x14ac:dyDescent="0.45">
      <c r="B14" s="26"/>
      <c r="C14" s="1">
        <v>1</v>
      </c>
      <c r="D14" s="1">
        <v>3</v>
      </c>
      <c r="E14" s="1">
        <v>4</v>
      </c>
      <c r="F14" s="1">
        <v>2</v>
      </c>
      <c r="J14" s="1">
        <v>2</v>
      </c>
      <c r="K14" s="1">
        <v>4</v>
      </c>
      <c r="L14" s="1">
        <v>3</v>
      </c>
      <c r="M14" s="1">
        <v>1</v>
      </c>
      <c r="N14" s="26"/>
      <c r="Z14" s="13"/>
      <c r="AA14" s="6">
        <v>1</v>
      </c>
      <c r="AB14" s="6">
        <v>2</v>
      </c>
      <c r="AC14" s="6">
        <v>3</v>
      </c>
      <c r="AD14" s="6">
        <v>4</v>
      </c>
      <c r="AE14" s="6">
        <v>5</v>
      </c>
      <c r="AF14" s="6">
        <v>6</v>
      </c>
      <c r="AG14" s="6">
        <v>7</v>
      </c>
      <c r="AH14" s="6">
        <v>8</v>
      </c>
      <c r="AI14" s="3"/>
    </row>
    <row r="15" spans="2:35" ht="17" customHeight="1" x14ac:dyDescent="0.45">
      <c r="B15" s="26"/>
      <c r="C15" s="22" t="s">
        <v>6</v>
      </c>
      <c r="D15" s="23"/>
      <c r="E15" s="23"/>
      <c r="F15" s="24"/>
      <c r="J15" s="22" t="s">
        <v>10</v>
      </c>
      <c r="K15" s="23"/>
      <c r="L15" s="23"/>
      <c r="M15" s="24"/>
      <c r="N15" s="26"/>
      <c r="Q15" s="19" t="s">
        <v>12</v>
      </c>
      <c r="R15" s="19"/>
      <c r="S15" s="19"/>
      <c r="T15" s="19"/>
      <c r="U15" s="19"/>
      <c r="V15" s="19"/>
      <c r="W15" s="19"/>
      <c r="X15" s="19"/>
      <c r="Z15" s="13">
        <v>1</v>
      </c>
      <c r="AA15" s="9" t="s">
        <v>16</v>
      </c>
      <c r="AB15" s="7" t="s">
        <v>15</v>
      </c>
      <c r="AC15" s="9" t="s">
        <v>16</v>
      </c>
      <c r="AD15" s="7" t="s">
        <v>15</v>
      </c>
      <c r="AE15" s="9" t="s">
        <v>16</v>
      </c>
      <c r="AF15" s="7" t="s">
        <v>15</v>
      </c>
      <c r="AG15" s="9" t="s">
        <v>16</v>
      </c>
      <c r="AH15" s="7" t="s">
        <v>15</v>
      </c>
      <c r="AI15" s="3"/>
    </row>
    <row r="16" spans="2:35" x14ac:dyDescent="0.45">
      <c r="Q16" s="1">
        <v>1</v>
      </c>
      <c r="R16" s="1">
        <v>1</v>
      </c>
      <c r="S16" s="1">
        <v>1</v>
      </c>
      <c r="T16" s="1">
        <v>1</v>
      </c>
      <c r="U16" s="1">
        <v>1</v>
      </c>
      <c r="V16" s="1">
        <v>1</v>
      </c>
      <c r="W16" s="1">
        <v>1</v>
      </c>
      <c r="X16" s="1">
        <v>1</v>
      </c>
      <c r="Z16" s="13">
        <v>2</v>
      </c>
      <c r="AA16" s="9" t="s">
        <v>16</v>
      </c>
      <c r="AB16" s="7" t="s">
        <v>15</v>
      </c>
      <c r="AC16" s="9" t="s">
        <v>16</v>
      </c>
      <c r="AD16" s="7" t="s">
        <v>15</v>
      </c>
      <c r="AE16" s="9" t="s">
        <v>16</v>
      </c>
      <c r="AF16" s="7" t="s">
        <v>15</v>
      </c>
      <c r="AG16" s="9" t="s">
        <v>16</v>
      </c>
      <c r="AH16" s="7" t="s">
        <v>15</v>
      </c>
      <c r="AI16" s="3"/>
    </row>
    <row r="17" spans="3:35" x14ac:dyDescent="0.45">
      <c r="Q17" s="1">
        <v>2</v>
      </c>
      <c r="R17" s="1">
        <v>2</v>
      </c>
      <c r="S17" s="1">
        <v>2</v>
      </c>
      <c r="T17" s="1">
        <v>2</v>
      </c>
      <c r="U17" s="1">
        <v>2</v>
      </c>
      <c r="V17" s="1">
        <v>2</v>
      </c>
      <c r="W17" s="1">
        <v>2</v>
      </c>
      <c r="X17" s="1">
        <v>2</v>
      </c>
      <c r="Z17" s="13">
        <v>3</v>
      </c>
      <c r="AA17" s="9" t="s">
        <v>16</v>
      </c>
      <c r="AB17" s="7" t="s">
        <v>15</v>
      </c>
      <c r="AC17" s="9" t="s">
        <v>16</v>
      </c>
      <c r="AD17" s="7" t="s">
        <v>15</v>
      </c>
      <c r="AE17" s="9" t="s">
        <v>16</v>
      </c>
      <c r="AF17" s="7" t="s">
        <v>15</v>
      </c>
      <c r="AG17" s="9" t="s">
        <v>16</v>
      </c>
      <c r="AH17" s="7" t="s">
        <v>15</v>
      </c>
      <c r="AI17" s="3"/>
    </row>
    <row r="18" spans="3:35" ht="17" customHeight="1" x14ac:dyDescent="0.45">
      <c r="C18" t="s">
        <v>3</v>
      </c>
      <c r="Q18" s="1">
        <v>3</v>
      </c>
      <c r="R18" s="1">
        <v>3</v>
      </c>
      <c r="S18" s="1">
        <v>3</v>
      </c>
      <c r="T18" s="1">
        <v>3</v>
      </c>
      <c r="U18" s="1">
        <v>3</v>
      </c>
      <c r="V18" s="1">
        <v>3</v>
      </c>
      <c r="W18" s="1">
        <v>3</v>
      </c>
      <c r="X18" s="1">
        <v>3</v>
      </c>
      <c r="Z18" s="13">
        <v>4</v>
      </c>
      <c r="AA18" s="9" t="s">
        <v>16</v>
      </c>
      <c r="AB18" s="7" t="s">
        <v>15</v>
      </c>
      <c r="AC18" s="9" t="s">
        <v>16</v>
      </c>
      <c r="AD18" s="7" t="s">
        <v>15</v>
      </c>
      <c r="AE18" s="9" t="s">
        <v>16</v>
      </c>
      <c r="AF18" s="7" t="s">
        <v>15</v>
      </c>
      <c r="AG18" s="9" t="s">
        <v>16</v>
      </c>
      <c r="AH18" s="7" t="s">
        <v>15</v>
      </c>
      <c r="AI18" s="3"/>
    </row>
    <row r="19" spans="3:35" ht="17" customHeight="1" x14ac:dyDescent="0.45">
      <c r="C19" s="1">
        <v>2</v>
      </c>
      <c r="D19" s="1">
        <v>4</v>
      </c>
      <c r="E19" s="1">
        <v>3</v>
      </c>
      <c r="F19" s="1">
        <v>1</v>
      </c>
      <c r="G19" s="25" t="s">
        <v>1</v>
      </c>
      <c r="I19" s="25" t="s">
        <v>1</v>
      </c>
      <c r="J19" s="1">
        <v>1</v>
      </c>
      <c r="K19" s="1">
        <v>3</v>
      </c>
      <c r="L19" s="1">
        <v>4</v>
      </c>
      <c r="M19" s="1">
        <v>2</v>
      </c>
      <c r="Q19" s="1">
        <v>4</v>
      </c>
      <c r="R19" s="1">
        <v>4</v>
      </c>
      <c r="S19" s="1">
        <v>4</v>
      </c>
      <c r="T19" s="1">
        <v>4</v>
      </c>
      <c r="U19" s="1">
        <v>4</v>
      </c>
      <c r="V19" s="1">
        <v>4</v>
      </c>
      <c r="W19" s="1">
        <v>4</v>
      </c>
      <c r="X19" s="1">
        <v>4</v>
      </c>
      <c r="Z19" s="14"/>
      <c r="AA19" s="11"/>
      <c r="AB19" s="11"/>
      <c r="AC19" s="11"/>
      <c r="AD19" s="11"/>
      <c r="AE19" s="11"/>
      <c r="AF19" s="11"/>
      <c r="AG19" s="11"/>
      <c r="AH19" s="11"/>
      <c r="AI19" s="4"/>
    </row>
    <row r="20" spans="3:35" x14ac:dyDescent="0.45">
      <c r="C20" s="22" t="s">
        <v>2</v>
      </c>
      <c r="D20" s="23"/>
      <c r="E20" s="23"/>
      <c r="F20" s="24"/>
      <c r="G20" s="26"/>
      <c r="I20" s="26"/>
      <c r="J20" s="22" t="s">
        <v>7</v>
      </c>
      <c r="K20" s="23"/>
      <c r="L20" s="23"/>
      <c r="M20" s="24"/>
      <c r="Q20" s="6"/>
      <c r="R20" s="6"/>
      <c r="S20" s="6"/>
      <c r="T20" s="6"/>
      <c r="U20" s="6"/>
      <c r="V20" s="6"/>
      <c r="W20" s="6"/>
      <c r="X20" s="6"/>
    </row>
    <row r="21" spans="3:35" x14ac:dyDescent="0.45">
      <c r="C21" s="1">
        <v>2</v>
      </c>
      <c r="D21" s="1">
        <v>4</v>
      </c>
      <c r="E21" s="1">
        <v>3</v>
      </c>
      <c r="F21" s="1">
        <v>1</v>
      </c>
      <c r="G21" s="26"/>
      <c r="I21" s="26"/>
      <c r="J21" s="1">
        <v>1</v>
      </c>
      <c r="K21" s="1">
        <v>3</v>
      </c>
      <c r="L21" s="1">
        <v>4</v>
      </c>
      <c r="M21" s="1">
        <v>2</v>
      </c>
      <c r="Q21" s="19" t="s">
        <v>11</v>
      </c>
      <c r="R21" s="19"/>
      <c r="S21" s="19"/>
      <c r="T21" s="19"/>
      <c r="U21" s="19"/>
      <c r="V21" s="19"/>
      <c r="W21" s="19"/>
      <c r="X21" s="19"/>
      <c r="Z21" s="12"/>
      <c r="AA21" s="10"/>
      <c r="AB21" s="10"/>
      <c r="AC21" s="10"/>
      <c r="AD21" s="10"/>
      <c r="AE21" s="10"/>
      <c r="AF21" s="10"/>
      <c r="AG21" s="10"/>
      <c r="AH21" s="10"/>
      <c r="AI21" s="2"/>
    </row>
    <row r="22" spans="3:35" x14ac:dyDescent="0.45">
      <c r="C22" s="22" t="s">
        <v>4</v>
      </c>
      <c r="D22" s="23"/>
      <c r="E22" s="23"/>
      <c r="F22" s="24"/>
      <c r="G22" s="26"/>
      <c r="I22" s="26"/>
      <c r="J22" s="22" t="s">
        <v>8</v>
      </c>
      <c r="K22" s="23"/>
      <c r="L22" s="23"/>
      <c r="M22" s="24"/>
      <c r="Q22" s="1">
        <v>1</v>
      </c>
      <c r="R22" s="1">
        <v>1</v>
      </c>
      <c r="S22" s="1">
        <v>1</v>
      </c>
      <c r="T22" s="1">
        <v>1</v>
      </c>
      <c r="U22" s="1">
        <v>2</v>
      </c>
      <c r="V22" s="1">
        <v>2</v>
      </c>
      <c r="W22" s="1">
        <v>2</v>
      </c>
      <c r="X22" s="1">
        <v>2</v>
      </c>
      <c r="Z22" s="20" t="s">
        <v>22</v>
      </c>
      <c r="AA22" s="21"/>
      <c r="AB22" s="21"/>
      <c r="AC22" s="21"/>
      <c r="AD22" s="21"/>
      <c r="AE22" s="21"/>
      <c r="AF22" s="21"/>
      <c r="AG22" s="21"/>
      <c r="AH22" s="21"/>
      <c r="AI22" s="3"/>
    </row>
    <row r="23" spans="3:35" x14ac:dyDescent="0.45">
      <c r="C23" s="1">
        <v>2</v>
      </c>
      <c r="D23" s="1">
        <v>4</v>
      </c>
      <c r="E23" s="1">
        <v>3</v>
      </c>
      <c r="F23" s="1">
        <v>1</v>
      </c>
      <c r="G23" s="26"/>
      <c r="I23" s="26"/>
      <c r="J23" s="1">
        <v>1</v>
      </c>
      <c r="K23" s="1">
        <v>3</v>
      </c>
      <c r="L23" s="1">
        <v>4</v>
      </c>
      <c r="M23" s="1">
        <v>2</v>
      </c>
      <c r="Q23" s="1">
        <v>1</v>
      </c>
      <c r="R23" s="1">
        <v>1</v>
      </c>
      <c r="S23" s="1">
        <v>1</v>
      </c>
      <c r="T23" s="1">
        <v>1</v>
      </c>
      <c r="U23" s="1">
        <v>2</v>
      </c>
      <c r="V23" s="1">
        <v>2</v>
      </c>
      <c r="W23" s="1">
        <v>2</v>
      </c>
      <c r="X23" s="1">
        <v>2</v>
      </c>
      <c r="Z23" s="13"/>
      <c r="AA23" s="6">
        <v>1</v>
      </c>
      <c r="AB23" s="6">
        <v>2</v>
      </c>
      <c r="AC23" s="6">
        <v>3</v>
      </c>
      <c r="AD23" s="6">
        <v>4</v>
      </c>
      <c r="AE23" s="6">
        <v>5</v>
      </c>
      <c r="AF23" s="6">
        <v>6</v>
      </c>
      <c r="AG23" s="6">
        <v>7</v>
      </c>
      <c r="AH23" s="6">
        <v>8</v>
      </c>
      <c r="AI23" s="3"/>
    </row>
    <row r="24" spans="3:35" x14ac:dyDescent="0.45">
      <c r="C24" s="22" t="s">
        <v>5</v>
      </c>
      <c r="D24" s="23"/>
      <c r="E24" s="23"/>
      <c r="F24" s="24"/>
      <c r="G24" s="26"/>
      <c r="I24" s="26"/>
      <c r="J24" s="22" t="s">
        <v>9</v>
      </c>
      <c r="K24" s="23"/>
      <c r="L24" s="23"/>
      <c r="M24" s="24"/>
      <c r="Q24" s="1">
        <v>1</v>
      </c>
      <c r="R24" s="1">
        <v>1</v>
      </c>
      <c r="S24" s="1">
        <v>1</v>
      </c>
      <c r="T24" s="1">
        <v>1</v>
      </c>
      <c r="U24" s="1">
        <v>2</v>
      </c>
      <c r="V24" s="1">
        <v>2</v>
      </c>
      <c r="W24" s="1">
        <v>2</v>
      </c>
      <c r="X24" s="1">
        <v>2</v>
      </c>
      <c r="Z24" s="13">
        <v>1</v>
      </c>
      <c r="AA24" s="7" t="s">
        <v>15</v>
      </c>
      <c r="AB24" s="9" t="s">
        <v>16</v>
      </c>
      <c r="AC24" s="7" t="s">
        <v>15</v>
      </c>
      <c r="AD24" s="9" t="s">
        <v>16</v>
      </c>
      <c r="AE24" s="7" t="s">
        <v>15</v>
      </c>
      <c r="AF24" s="9" t="s">
        <v>16</v>
      </c>
      <c r="AG24" s="7" t="s">
        <v>15</v>
      </c>
      <c r="AH24" s="9" t="s">
        <v>16</v>
      </c>
      <c r="AI24" s="3"/>
    </row>
    <row r="25" spans="3:35" x14ac:dyDescent="0.45">
      <c r="C25" s="1">
        <v>2</v>
      </c>
      <c r="D25" s="1">
        <v>4</v>
      </c>
      <c r="E25" s="1">
        <v>3</v>
      </c>
      <c r="F25" s="1">
        <v>1</v>
      </c>
      <c r="G25" s="26"/>
      <c r="I25" s="26"/>
      <c r="J25" s="1">
        <v>1</v>
      </c>
      <c r="K25" s="1">
        <v>3</v>
      </c>
      <c r="L25" s="1">
        <v>4</v>
      </c>
      <c r="M25" s="1">
        <v>2</v>
      </c>
      <c r="Q25" s="1">
        <v>1</v>
      </c>
      <c r="R25" s="1">
        <v>1</v>
      </c>
      <c r="S25" s="1">
        <v>1</v>
      </c>
      <c r="T25" s="1">
        <v>1</v>
      </c>
      <c r="U25" s="1">
        <v>2</v>
      </c>
      <c r="V25" s="1">
        <v>2</v>
      </c>
      <c r="W25" s="1">
        <v>2</v>
      </c>
      <c r="X25" s="1">
        <v>2</v>
      </c>
      <c r="Z25" s="13">
        <v>2</v>
      </c>
      <c r="AA25" s="9" t="s">
        <v>16</v>
      </c>
      <c r="AB25" s="7" t="s">
        <v>15</v>
      </c>
      <c r="AC25" s="9" t="s">
        <v>16</v>
      </c>
      <c r="AD25" s="7" t="s">
        <v>15</v>
      </c>
      <c r="AE25" s="9" t="s">
        <v>16</v>
      </c>
      <c r="AF25" s="7" t="s">
        <v>15</v>
      </c>
      <c r="AG25" s="9" t="s">
        <v>16</v>
      </c>
      <c r="AH25" s="7" t="s">
        <v>15</v>
      </c>
      <c r="AI25" s="3"/>
    </row>
    <row r="26" spans="3:35" x14ac:dyDescent="0.45">
      <c r="C26" s="22" t="s">
        <v>6</v>
      </c>
      <c r="D26" s="23"/>
      <c r="E26" s="23"/>
      <c r="F26" s="24"/>
      <c r="G26" s="26"/>
      <c r="I26" s="26"/>
      <c r="J26" s="22" t="s">
        <v>10</v>
      </c>
      <c r="K26" s="23"/>
      <c r="L26" s="23"/>
      <c r="M26" s="24"/>
      <c r="Q26" s="6"/>
      <c r="R26" s="6"/>
      <c r="S26" s="6"/>
      <c r="T26" s="6"/>
      <c r="U26" s="6"/>
      <c r="V26" s="6"/>
      <c r="W26" s="6"/>
      <c r="X26" s="6"/>
      <c r="Z26" s="13">
        <v>3</v>
      </c>
      <c r="AA26" s="7" t="s">
        <v>15</v>
      </c>
      <c r="AB26" s="9" t="s">
        <v>16</v>
      </c>
      <c r="AC26" s="7" t="s">
        <v>15</v>
      </c>
      <c r="AD26" s="9" t="s">
        <v>16</v>
      </c>
      <c r="AE26" s="7" t="s">
        <v>15</v>
      </c>
      <c r="AF26" s="9" t="s">
        <v>16</v>
      </c>
      <c r="AG26" s="7" t="s">
        <v>15</v>
      </c>
      <c r="AH26" s="9" t="s">
        <v>16</v>
      </c>
      <c r="AI26" s="3"/>
    </row>
    <row r="27" spans="3:35" x14ac:dyDescent="0.45">
      <c r="Q27" s="19" t="s">
        <v>13</v>
      </c>
      <c r="R27" s="19"/>
      <c r="S27" s="19"/>
      <c r="T27" s="19"/>
      <c r="U27" s="19"/>
      <c r="V27" s="19"/>
      <c r="W27" s="19"/>
      <c r="X27" s="19"/>
      <c r="Z27" s="13">
        <v>4</v>
      </c>
      <c r="AA27" s="9" t="s">
        <v>16</v>
      </c>
      <c r="AB27" s="7" t="s">
        <v>15</v>
      </c>
      <c r="AC27" s="9" t="s">
        <v>16</v>
      </c>
      <c r="AD27" s="7" t="s">
        <v>15</v>
      </c>
      <c r="AE27" s="9" t="s">
        <v>16</v>
      </c>
      <c r="AF27" s="7" t="s">
        <v>15</v>
      </c>
      <c r="AG27" s="9" t="s">
        <v>16</v>
      </c>
      <c r="AH27" s="7" t="s">
        <v>15</v>
      </c>
      <c r="AI27" s="3"/>
    </row>
    <row r="28" spans="3:35" x14ac:dyDescent="0.45">
      <c r="Q28" s="1">
        <v>1</v>
      </c>
      <c r="R28" s="1">
        <v>3</v>
      </c>
      <c r="S28" s="1">
        <v>4</v>
      </c>
      <c r="T28" s="1">
        <v>2</v>
      </c>
      <c r="U28" s="1">
        <v>2</v>
      </c>
      <c r="V28" s="1">
        <v>4</v>
      </c>
      <c r="W28" s="1">
        <v>3</v>
      </c>
      <c r="X28" s="1">
        <v>1</v>
      </c>
      <c r="Z28" s="13"/>
      <c r="AI28" s="3"/>
    </row>
    <row r="29" spans="3:35" x14ac:dyDescent="0.45">
      <c r="Q29" s="1">
        <v>1</v>
      </c>
      <c r="R29" s="1">
        <v>3</v>
      </c>
      <c r="S29" s="1">
        <v>4</v>
      </c>
      <c r="T29" s="1">
        <v>2</v>
      </c>
      <c r="U29" s="1">
        <v>2</v>
      </c>
      <c r="V29" s="1">
        <v>4</v>
      </c>
      <c r="W29" s="1">
        <v>3</v>
      </c>
      <c r="X29" s="1">
        <v>1</v>
      </c>
      <c r="Z29" s="13"/>
      <c r="AA29" s="6">
        <v>1</v>
      </c>
      <c r="AB29" s="6">
        <v>2</v>
      </c>
      <c r="AC29" s="6">
        <v>3</v>
      </c>
      <c r="AD29" s="6">
        <v>4</v>
      </c>
      <c r="AE29" s="6">
        <v>5</v>
      </c>
      <c r="AF29" s="6">
        <v>6</v>
      </c>
      <c r="AG29" s="6">
        <v>7</v>
      </c>
      <c r="AH29" s="6">
        <v>8</v>
      </c>
      <c r="AI29" s="3"/>
    </row>
    <row r="30" spans="3:35" x14ac:dyDescent="0.45">
      <c r="Q30" s="1">
        <v>1</v>
      </c>
      <c r="R30" s="1">
        <v>3</v>
      </c>
      <c r="S30" s="1">
        <v>4</v>
      </c>
      <c r="T30" s="1">
        <v>2</v>
      </c>
      <c r="U30" s="1">
        <v>2</v>
      </c>
      <c r="V30" s="1">
        <v>4</v>
      </c>
      <c r="W30" s="1">
        <v>3</v>
      </c>
      <c r="X30" s="1">
        <v>1</v>
      </c>
      <c r="Z30" s="13">
        <v>1</v>
      </c>
      <c r="AA30" s="9" t="s">
        <v>16</v>
      </c>
      <c r="AB30" s="7" t="s">
        <v>15</v>
      </c>
      <c r="AC30" s="9" t="s">
        <v>16</v>
      </c>
      <c r="AD30" s="7" t="s">
        <v>15</v>
      </c>
      <c r="AE30" s="9" t="s">
        <v>16</v>
      </c>
      <c r="AF30" s="7" t="s">
        <v>15</v>
      </c>
      <c r="AG30" s="9" t="s">
        <v>16</v>
      </c>
      <c r="AH30" s="7" t="s">
        <v>15</v>
      </c>
      <c r="AI30" s="3"/>
    </row>
    <row r="31" spans="3:35" x14ac:dyDescent="0.45">
      <c r="Q31" s="1">
        <v>1</v>
      </c>
      <c r="R31" s="1">
        <v>3</v>
      </c>
      <c r="S31" s="1">
        <v>4</v>
      </c>
      <c r="T31" s="1">
        <v>2</v>
      </c>
      <c r="U31" s="1">
        <v>2</v>
      </c>
      <c r="V31" s="1">
        <v>4</v>
      </c>
      <c r="W31" s="1">
        <v>3</v>
      </c>
      <c r="X31" s="1">
        <v>1</v>
      </c>
      <c r="Z31" s="13">
        <v>2</v>
      </c>
      <c r="AA31" s="7" t="s">
        <v>15</v>
      </c>
      <c r="AB31" s="9" t="s">
        <v>16</v>
      </c>
      <c r="AC31" s="7" t="s">
        <v>15</v>
      </c>
      <c r="AD31" s="9" t="s">
        <v>16</v>
      </c>
      <c r="AE31" s="7" t="s">
        <v>15</v>
      </c>
      <c r="AF31" s="9" t="s">
        <v>16</v>
      </c>
      <c r="AG31" s="7" t="s">
        <v>15</v>
      </c>
      <c r="AH31" s="9" t="s">
        <v>16</v>
      </c>
      <c r="AI31" s="3"/>
    </row>
    <row r="32" spans="3:35" x14ac:dyDescent="0.45">
      <c r="Z32" s="13">
        <v>3</v>
      </c>
      <c r="AA32" s="9" t="s">
        <v>16</v>
      </c>
      <c r="AB32" s="7" t="s">
        <v>15</v>
      </c>
      <c r="AC32" s="9" t="s">
        <v>16</v>
      </c>
      <c r="AD32" s="7" t="s">
        <v>15</v>
      </c>
      <c r="AE32" s="9" t="s">
        <v>16</v>
      </c>
      <c r="AF32" s="7" t="s">
        <v>15</v>
      </c>
      <c r="AG32" s="9" t="s">
        <v>16</v>
      </c>
      <c r="AH32" s="7" t="s">
        <v>15</v>
      </c>
      <c r="AI32" s="3"/>
    </row>
    <row r="33" spans="17:35" x14ac:dyDescent="0.45">
      <c r="Q33" s="22" t="s">
        <v>13</v>
      </c>
      <c r="R33" s="23"/>
      <c r="S33" s="23"/>
      <c r="T33" s="23"/>
      <c r="U33" s="23"/>
      <c r="V33" s="23"/>
      <c r="W33" s="23"/>
      <c r="X33" s="24"/>
      <c r="Z33" s="13">
        <v>4</v>
      </c>
      <c r="AA33" s="7" t="s">
        <v>15</v>
      </c>
      <c r="AB33" s="9" t="s">
        <v>16</v>
      </c>
      <c r="AC33" s="7" t="s">
        <v>15</v>
      </c>
      <c r="AD33" s="9" t="s">
        <v>16</v>
      </c>
      <c r="AE33" s="7" t="s">
        <v>15</v>
      </c>
      <c r="AF33" s="9" t="s">
        <v>16</v>
      </c>
      <c r="AG33" s="7" t="s">
        <v>15</v>
      </c>
      <c r="AH33" s="9" t="s">
        <v>16</v>
      </c>
      <c r="AI33" s="3"/>
    </row>
    <row r="34" spans="17:35" x14ac:dyDescent="0.45">
      <c r="Q34" s="1">
        <v>1</v>
      </c>
      <c r="R34" s="1">
        <v>3</v>
      </c>
      <c r="S34" s="1">
        <v>4</v>
      </c>
      <c r="T34" s="1">
        <v>2</v>
      </c>
      <c r="U34" s="1">
        <v>2</v>
      </c>
      <c r="V34" s="1">
        <v>4</v>
      </c>
      <c r="W34" s="1">
        <v>3</v>
      </c>
      <c r="X34" s="1">
        <v>1</v>
      </c>
      <c r="Z34" s="14"/>
      <c r="AA34" s="11"/>
      <c r="AB34" s="11"/>
      <c r="AC34" s="11"/>
      <c r="AD34" s="11"/>
      <c r="AE34" s="11"/>
      <c r="AF34" s="11"/>
      <c r="AG34" s="11"/>
      <c r="AH34" s="11"/>
      <c r="AI34" s="4"/>
    </row>
    <row r="35" spans="17:35" x14ac:dyDescent="0.45">
      <c r="Q35" s="1">
        <v>1</v>
      </c>
      <c r="R35" s="1">
        <v>3</v>
      </c>
      <c r="S35" s="1">
        <v>4</v>
      </c>
      <c r="T35" s="1">
        <v>2</v>
      </c>
      <c r="U35" s="1">
        <v>2</v>
      </c>
      <c r="V35" s="1">
        <v>4</v>
      </c>
      <c r="W35" s="1">
        <v>3</v>
      </c>
      <c r="X35" s="1">
        <v>1</v>
      </c>
    </row>
    <row r="36" spans="17:35" x14ac:dyDescent="0.45">
      <c r="Q36" s="1">
        <v>1</v>
      </c>
      <c r="R36" s="1">
        <v>3</v>
      </c>
      <c r="S36" s="1">
        <v>4</v>
      </c>
      <c r="T36" s="1">
        <v>2</v>
      </c>
      <c r="U36" s="1">
        <v>2</v>
      </c>
      <c r="V36" s="1">
        <v>4</v>
      </c>
      <c r="W36" s="1">
        <v>3</v>
      </c>
      <c r="X36" s="1">
        <v>1</v>
      </c>
      <c r="Z36" s="12"/>
      <c r="AA36" s="10"/>
      <c r="AB36" s="10"/>
      <c r="AC36" s="10"/>
      <c r="AD36" s="10"/>
      <c r="AE36" s="10"/>
      <c r="AF36" s="10"/>
      <c r="AG36" s="10"/>
      <c r="AH36" s="10"/>
      <c r="AI36" s="2"/>
    </row>
    <row r="37" spans="17:35" ht="17" customHeight="1" x14ac:dyDescent="0.45">
      <c r="Q37" s="1">
        <v>1</v>
      </c>
      <c r="R37" s="1">
        <v>3</v>
      </c>
      <c r="S37" s="1">
        <v>4</v>
      </c>
      <c r="T37" s="1">
        <v>2</v>
      </c>
      <c r="U37" s="1">
        <v>2</v>
      </c>
      <c r="V37" s="1">
        <v>4</v>
      </c>
      <c r="W37" s="1">
        <v>3</v>
      </c>
      <c r="X37" s="1">
        <v>1</v>
      </c>
      <c r="Z37" s="20" t="s">
        <v>23</v>
      </c>
      <c r="AA37" s="21"/>
      <c r="AB37" s="21"/>
      <c r="AC37" s="21"/>
      <c r="AD37" s="21"/>
      <c r="AE37" s="21"/>
      <c r="AF37" s="21"/>
      <c r="AG37" s="21"/>
      <c r="AH37" s="21"/>
      <c r="AI37" s="3"/>
    </row>
    <row r="38" spans="17:35" ht="17" customHeight="1" x14ac:dyDescent="0.45">
      <c r="Z38" s="13"/>
      <c r="AA38" s="6">
        <v>1</v>
      </c>
      <c r="AB38" s="6">
        <v>2</v>
      </c>
      <c r="AC38" s="6">
        <v>3</v>
      </c>
      <c r="AD38" s="6">
        <v>4</v>
      </c>
      <c r="AE38" s="6">
        <v>5</v>
      </c>
      <c r="AF38" s="6">
        <v>6</v>
      </c>
      <c r="AG38" s="6">
        <v>7</v>
      </c>
      <c r="AH38" s="6">
        <v>8</v>
      </c>
      <c r="AI38" s="3"/>
    </row>
    <row r="39" spans="17:35" x14ac:dyDescent="0.45">
      <c r="Z39" s="13">
        <v>1</v>
      </c>
      <c r="AA39" s="7" t="s">
        <v>15</v>
      </c>
      <c r="AB39" s="7" t="s">
        <v>15</v>
      </c>
      <c r="AC39" s="9" t="s">
        <v>16</v>
      </c>
      <c r="AD39" s="9" t="s">
        <v>16</v>
      </c>
      <c r="AE39" s="7" t="s">
        <v>15</v>
      </c>
      <c r="AF39" s="7" t="s">
        <v>15</v>
      </c>
      <c r="AG39" s="9" t="s">
        <v>16</v>
      </c>
      <c r="AH39" s="9" t="s">
        <v>16</v>
      </c>
      <c r="AI39" s="3"/>
    </row>
    <row r="40" spans="17:35" x14ac:dyDescent="0.45">
      <c r="W40" s="17"/>
      <c r="Z40" s="13">
        <v>2</v>
      </c>
      <c r="AA40" s="7" t="s">
        <v>15</v>
      </c>
      <c r="AB40" s="7" t="s">
        <v>15</v>
      </c>
      <c r="AC40" s="9" t="s">
        <v>16</v>
      </c>
      <c r="AD40" s="9" t="s">
        <v>16</v>
      </c>
      <c r="AE40" s="7" t="s">
        <v>15</v>
      </c>
      <c r="AF40" s="7" t="s">
        <v>15</v>
      </c>
      <c r="AG40" s="9" t="s">
        <v>16</v>
      </c>
      <c r="AH40" s="9" t="s">
        <v>16</v>
      </c>
      <c r="AI40" s="3"/>
    </row>
    <row r="41" spans="17:35" x14ac:dyDescent="0.45">
      <c r="Z41" s="13">
        <v>3</v>
      </c>
      <c r="AA41" s="7" t="s">
        <v>15</v>
      </c>
      <c r="AB41" s="7" t="s">
        <v>15</v>
      </c>
      <c r="AC41" s="9" t="s">
        <v>16</v>
      </c>
      <c r="AD41" s="9" t="s">
        <v>16</v>
      </c>
      <c r="AE41" s="7" t="s">
        <v>15</v>
      </c>
      <c r="AF41" s="7" t="s">
        <v>15</v>
      </c>
      <c r="AG41" s="9" t="s">
        <v>16</v>
      </c>
      <c r="AH41" s="9" t="s">
        <v>16</v>
      </c>
      <c r="AI41" s="3"/>
    </row>
    <row r="42" spans="17:35" x14ac:dyDescent="0.45">
      <c r="Z42" s="13">
        <v>4</v>
      </c>
      <c r="AA42" s="7" t="s">
        <v>15</v>
      </c>
      <c r="AB42" s="7" t="s">
        <v>15</v>
      </c>
      <c r="AC42" s="9" t="s">
        <v>16</v>
      </c>
      <c r="AD42" s="9" t="s">
        <v>16</v>
      </c>
      <c r="AE42" s="7" t="s">
        <v>15</v>
      </c>
      <c r="AF42" s="7" t="s">
        <v>15</v>
      </c>
      <c r="AG42" s="9" t="s">
        <v>16</v>
      </c>
      <c r="AH42" s="9" t="s">
        <v>16</v>
      </c>
      <c r="AI42" s="3"/>
    </row>
    <row r="43" spans="17:35" x14ac:dyDescent="0.45">
      <c r="Z43" s="13"/>
      <c r="AI43" s="3"/>
    </row>
    <row r="44" spans="17:35" x14ac:dyDescent="0.45">
      <c r="Z44" s="13"/>
      <c r="AA44" s="6">
        <v>1</v>
      </c>
      <c r="AB44" s="6">
        <v>2</v>
      </c>
      <c r="AC44" s="6">
        <v>3</v>
      </c>
      <c r="AD44" s="6">
        <v>4</v>
      </c>
      <c r="AE44" s="6">
        <v>5</v>
      </c>
      <c r="AF44" s="6">
        <v>6</v>
      </c>
      <c r="AG44" s="6">
        <v>7</v>
      </c>
      <c r="AH44" s="6">
        <v>8</v>
      </c>
      <c r="AI44" s="3"/>
    </row>
    <row r="45" spans="17:35" x14ac:dyDescent="0.45">
      <c r="Z45" s="13">
        <v>1</v>
      </c>
      <c r="AA45" s="9" t="s">
        <v>16</v>
      </c>
      <c r="AB45" s="9" t="s">
        <v>16</v>
      </c>
      <c r="AC45" s="7" t="s">
        <v>15</v>
      </c>
      <c r="AD45" s="7" t="s">
        <v>15</v>
      </c>
      <c r="AE45" s="9" t="s">
        <v>16</v>
      </c>
      <c r="AF45" s="9" t="s">
        <v>16</v>
      </c>
      <c r="AG45" s="7" t="s">
        <v>15</v>
      </c>
      <c r="AH45" s="7" t="s">
        <v>15</v>
      </c>
      <c r="AI45" s="3"/>
    </row>
    <row r="46" spans="17:35" x14ac:dyDescent="0.45">
      <c r="Z46" s="13">
        <v>2</v>
      </c>
      <c r="AA46" s="9" t="s">
        <v>16</v>
      </c>
      <c r="AB46" s="9" t="s">
        <v>16</v>
      </c>
      <c r="AC46" s="7" t="s">
        <v>15</v>
      </c>
      <c r="AD46" s="7" t="s">
        <v>15</v>
      </c>
      <c r="AE46" s="9" t="s">
        <v>16</v>
      </c>
      <c r="AF46" s="9" t="s">
        <v>16</v>
      </c>
      <c r="AG46" s="7" t="s">
        <v>15</v>
      </c>
      <c r="AH46" s="7" t="s">
        <v>15</v>
      </c>
      <c r="AI46" s="3"/>
    </row>
    <row r="47" spans="17:35" x14ac:dyDescent="0.45">
      <c r="Z47" s="13">
        <v>3</v>
      </c>
      <c r="AA47" s="9" t="s">
        <v>16</v>
      </c>
      <c r="AB47" s="9" t="s">
        <v>16</v>
      </c>
      <c r="AC47" s="7" t="s">
        <v>15</v>
      </c>
      <c r="AD47" s="7" t="s">
        <v>15</v>
      </c>
      <c r="AE47" s="9" t="s">
        <v>16</v>
      </c>
      <c r="AF47" s="9" t="s">
        <v>16</v>
      </c>
      <c r="AG47" s="7" t="s">
        <v>15</v>
      </c>
      <c r="AH47" s="7" t="s">
        <v>15</v>
      </c>
      <c r="AI47" s="3"/>
    </row>
    <row r="48" spans="17:35" x14ac:dyDescent="0.45">
      <c r="Z48" s="13">
        <v>4</v>
      </c>
      <c r="AA48" s="9" t="s">
        <v>16</v>
      </c>
      <c r="AB48" s="9" t="s">
        <v>16</v>
      </c>
      <c r="AC48" s="7" t="s">
        <v>15</v>
      </c>
      <c r="AD48" s="7" t="s">
        <v>15</v>
      </c>
      <c r="AE48" s="9" t="s">
        <v>16</v>
      </c>
      <c r="AF48" s="9" t="s">
        <v>16</v>
      </c>
      <c r="AG48" s="7" t="s">
        <v>15</v>
      </c>
      <c r="AH48" s="7" t="s">
        <v>15</v>
      </c>
      <c r="AI48" s="3"/>
    </row>
    <row r="49" spans="26:35" x14ac:dyDescent="0.45">
      <c r="Z49" s="14"/>
      <c r="AA49" s="11"/>
      <c r="AB49" s="11"/>
      <c r="AC49" s="11"/>
      <c r="AD49" s="11"/>
      <c r="AE49" s="11"/>
      <c r="AF49" s="11"/>
      <c r="AG49" s="11"/>
      <c r="AH49" s="11"/>
      <c r="AI49" s="4"/>
    </row>
    <row r="148" spans="17:25" ht="17" customHeight="1" x14ac:dyDescent="0.45">
      <c r="Q148" s="18" t="s">
        <v>14</v>
      </c>
      <c r="R148" s="18"/>
      <c r="S148" s="18"/>
      <c r="T148" s="18"/>
      <c r="U148" s="18"/>
      <c r="V148" s="18"/>
      <c r="W148" s="18"/>
      <c r="X148" s="18"/>
      <c r="Y148" s="18"/>
    </row>
    <row r="149" spans="17:25" ht="17" customHeight="1" x14ac:dyDescent="0.45">
      <c r="R149" s="5">
        <v>1</v>
      </c>
      <c r="S149" s="5">
        <v>2</v>
      </c>
      <c r="T149" s="5">
        <v>3</v>
      </c>
      <c r="U149" s="5">
        <v>4</v>
      </c>
      <c r="V149" s="5">
        <v>5</v>
      </c>
      <c r="W149" s="5">
        <v>6</v>
      </c>
      <c r="X149" s="5">
        <v>7</v>
      </c>
      <c r="Y149" s="5">
        <v>8</v>
      </c>
    </row>
    <row r="150" spans="17:25" ht="17" customHeight="1" x14ac:dyDescent="0.45">
      <c r="Q150">
        <v>1</v>
      </c>
      <c r="R150" s="8">
        <v>128</v>
      </c>
      <c r="S150" s="8">
        <f>R150*2</f>
        <v>256</v>
      </c>
      <c r="T150" s="8">
        <f t="shared" ref="T150:X150" si="4">S150*2</f>
        <v>512</v>
      </c>
      <c r="U150" s="8">
        <f t="shared" si="4"/>
        <v>1024</v>
      </c>
      <c r="V150" s="8">
        <f t="shared" si="4"/>
        <v>2048</v>
      </c>
      <c r="W150" s="8">
        <f t="shared" si="4"/>
        <v>4096</v>
      </c>
      <c r="X150" s="7">
        <f t="shared" si="4"/>
        <v>8192</v>
      </c>
      <c r="Y150" s="7">
        <v>16383</v>
      </c>
    </row>
    <row r="151" spans="17:25" ht="17" customHeight="1" x14ac:dyDescent="0.45">
      <c r="Q151">
        <v>2</v>
      </c>
      <c r="R151" s="8">
        <v>128</v>
      </c>
      <c r="S151" s="8">
        <f t="shared" ref="S151:X151" si="5">R151*2</f>
        <v>256</v>
      </c>
      <c r="T151" s="8">
        <f t="shared" si="5"/>
        <v>512</v>
      </c>
      <c r="U151" s="8">
        <f t="shared" si="5"/>
        <v>1024</v>
      </c>
      <c r="V151" s="8">
        <f t="shared" si="5"/>
        <v>2048</v>
      </c>
      <c r="W151" s="8">
        <f t="shared" si="5"/>
        <v>4096</v>
      </c>
      <c r="X151" s="7">
        <f t="shared" si="5"/>
        <v>8192</v>
      </c>
      <c r="Y151" s="7">
        <v>16383</v>
      </c>
    </row>
    <row r="152" spans="17:25" ht="17" customHeight="1" x14ac:dyDescent="0.45">
      <c r="Q152">
        <v>3</v>
      </c>
      <c r="R152" s="8">
        <v>128</v>
      </c>
      <c r="S152" s="8">
        <f t="shared" ref="S152:X152" si="6">R152*2</f>
        <v>256</v>
      </c>
      <c r="T152" s="8">
        <f t="shared" si="6"/>
        <v>512</v>
      </c>
      <c r="U152" s="8">
        <f t="shared" si="6"/>
        <v>1024</v>
      </c>
      <c r="V152" s="8">
        <f t="shared" si="6"/>
        <v>2048</v>
      </c>
      <c r="W152" s="8">
        <f t="shared" si="6"/>
        <v>4096</v>
      </c>
      <c r="X152" s="7">
        <f t="shared" si="6"/>
        <v>8192</v>
      </c>
      <c r="Y152" s="7">
        <v>16383</v>
      </c>
    </row>
    <row r="153" spans="17:25" ht="17" customHeight="1" x14ac:dyDescent="0.45">
      <c r="Q153">
        <v>4</v>
      </c>
      <c r="R153" s="8">
        <v>128</v>
      </c>
      <c r="S153" s="8">
        <f t="shared" ref="S153:X153" si="7">R153*2</f>
        <v>256</v>
      </c>
      <c r="T153" s="8">
        <f t="shared" si="7"/>
        <v>512</v>
      </c>
      <c r="U153" s="8">
        <f t="shared" si="7"/>
        <v>1024</v>
      </c>
      <c r="V153" s="8">
        <f t="shared" si="7"/>
        <v>2048</v>
      </c>
      <c r="W153" s="8">
        <f t="shared" si="7"/>
        <v>4096</v>
      </c>
      <c r="X153" s="7">
        <f t="shared" si="7"/>
        <v>8192</v>
      </c>
      <c r="Y153" s="7">
        <v>16383</v>
      </c>
    </row>
  </sheetData>
  <mergeCells count="29">
    <mergeCell ref="B8:B15"/>
    <mergeCell ref="C24:F24"/>
    <mergeCell ref="J24:M24"/>
    <mergeCell ref="N8:N15"/>
    <mergeCell ref="C20:F20"/>
    <mergeCell ref="J20:M20"/>
    <mergeCell ref="C22:F22"/>
    <mergeCell ref="J22:M22"/>
    <mergeCell ref="C9:F9"/>
    <mergeCell ref="J9:M9"/>
    <mergeCell ref="C11:F11"/>
    <mergeCell ref="C13:F13"/>
    <mergeCell ref="C15:F15"/>
    <mergeCell ref="J11:M11"/>
    <mergeCell ref="J13:M13"/>
    <mergeCell ref="J15:M15"/>
    <mergeCell ref="Z7:AH7"/>
    <mergeCell ref="Z22:AH22"/>
    <mergeCell ref="Z37:AH37"/>
    <mergeCell ref="C26:F26"/>
    <mergeCell ref="J26:M26"/>
    <mergeCell ref="G19:G26"/>
    <mergeCell ref="I19:I26"/>
    <mergeCell ref="Q33:X33"/>
    <mergeCell ref="Q148:Y148"/>
    <mergeCell ref="Q15:X15"/>
    <mergeCell ref="Q21:X21"/>
    <mergeCell ref="Q27:X27"/>
    <mergeCell ref="P7:X7"/>
  </mergeCells>
  <phoneticPr fontId="1" type="noConversion"/>
  <conditionalFormatting sqref="R150:Y153">
    <cfRule type="colorScale" priority="69">
      <colorScale>
        <cfvo type="min"/>
        <cfvo type="max"/>
        <color theme="1" tint="0.249977111117893"/>
        <color theme="0" tint="-4.9989318521683403E-2"/>
      </colorScale>
    </cfRule>
  </conditionalFormatting>
  <conditionalFormatting sqref="AA15:AA18">
    <cfRule type="colorScale" priority="40">
      <colorScale>
        <cfvo type="min"/>
        <cfvo type="max"/>
        <color theme="1" tint="0.249977111117893"/>
        <color theme="0" tint="-4.9989318521683403E-2"/>
      </colorScale>
    </cfRule>
  </conditionalFormatting>
  <conditionalFormatting sqref="AA45:AB45 AE45:AF45">
    <cfRule type="colorScale" priority="7">
      <colorScale>
        <cfvo type="min"/>
        <cfvo type="max"/>
        <color theme="1" tint="0.249977111117893"/>
        <color theme="0" tint="-4.9989318521683403E-2"/>
      </colorScale>
    </cfRule>
  </conditionalFormatting>
  <conditionalFormatting sqref="AA45:AB48 AD47:AD48 AD45 AC46 AC48 AE45:AF48">
    <cfRule type="colorScale" priority="6">
      <colorScale>
        <cfvo type="min"/>
        <cfvo type="max"/>
        <color theme="1" tint="0.249977111117893"/>
        <color theme="0" tint="-4.9989318521683403E-2"/>
      </colorScale>
    </cfRule>
  </conditionalFormatting>
  <conditionalFormatting sqref="AB9:AB12">
    <cfRule type="colorScale" priority="44">
      <colorScale>
        <cfvo type="min"/>
        <cfvo type="max"/>
        <color theme="1" tint="0.249977111117893"/>
        <color theme="0" tint="-4.9989318521683403E-2"/>
      </colorScale>
    </cfRule>
  </conditionalFormatting>
  <conditionalFormatting sqref="AB26:AB27 AB24 AD24 AC26:AD26 AF24 AF26 AH24 AH26 AA25 AA27 AC25 AC27 AE25 AE27 AG25 AG27">
    <cfRule type="colorScale" priority="35">
      <colorScale>
        <cfvo type="min"/>
        <cfvo type="max"/>
        <color theme="1" tint="0.249977111117893"/>
        <color theme="0" tint="-4.9989318521683403E-2"/>
      </colorScale>
    </cfRule>
  </conditionalFormatting>
  <conditionalFormatting sqref="AB41:AB42 AB39 AA40 AA42 AC39:AD42 AF41:AF42 AF39 AE40 AE42 AG39:AH42">
    <cfRule type="colorScale" priority="20">
      <colorScale>
        <cfvo type="min"/>
        <cfvo type="max"/>
        <color theme="1" tint="0.249977111117893"/>
        <color theme="0" tint="-4.9989318521683403E-2"/>
      </colorScale>
    </cfRule>
  </conditionalFormatting>
  <conditionalFormatting sqref="AB46:AB47">
    <cfRule type="colorScale" priority="4">
      <colorScale>
        <cfvo type="min"/>
        <cfvo type="max"/>
        <color theme="1" tint="0.249977111117893"/>
        <color theme="0" tint="-4.9989318521683403E-2"/>
      </colorScale>
    </cfRule>
  </conditionalFormatting>
  <conditionalFormatting sqref="AB48">
    <cfRule type="colorScale" priority="5">
      <colorScale>
        <cfvo type="min"/>
        <cfvo type="max"/>
        <color theme="1" tint="0.249977111117893"/>
        <color theme="0" tint="-4.9989318521683403E-2"/>
      </colorScale>
    </cfRule>
  </conditionalFormatting>
  <conditionalFormatting sqref="AC15:AC18">
    <cfRule type="colorScale" priority="39">
      <colorScale>
        <cfvo type="min"/>
        <cfvo type="max"/>
        <color theme="1" tint="0.249977111117893"/>
        <color theme="0" tint="-4.9989318521683403E-2"/>
      </colorScale>
    </cfRule>
  </conditionalFormatting>
  <conditionalFormatting sqref="AC39:AD39 AG39:AH39">
    <cfRule type="colorScale" priority="21">
      <colorScale>
        <cfvo type="min"/>
        <cfvo type="max"/>
        <color theme="1" tint="0.249977111117893"/>
        <color theme="0" tint="-4.9989318521683403E-2"/>
      </colorScale>
    </cfRule>
  </conditionalFormatting>
  <conditionalFormatting sqref="AC24:AF24">
    <cfRule type="colorScale" priority="36">
      <colorScale>
        <cfvo type="min"/>
        <cfvo type="max"/>
        <color theme="1" tint="0.249977111117893"/>
        <color theme="0" tint="-4.9989318521683403E-2"/>
      </colorScale>
    </cfRule>
  </conditionalFormatting>
  <conditionalFormatting sqref="AC31:AF31">
    <cfRule type="colorScale" priority="26">
      <colorScale>
        <cfvo type="min"/>
        <cfvo type="max"/>
        <color theme="1" tint="0.249977111117893"/>
        <color theme="0" tint="-4.9989318521683403E-2"/>
      </colorScale>
    </cfRule>
  </conditionalFormatting>
  <conditionalFormatting sqref="AC33:AF33">
    <cfRule type="colorScale" priority="22">
      <colorScale>
        <cfvo type="min"/>
        <cfvo type="max"/>
        <color theme="1" tint="0.249977111117893"/>
        <color theme="0" tint="-4.9989318521683403E-2"/>
      </colorScale>
    </cfRule>
  </conditionalFormatting>
  <conditionalFormatting sqref="AD9:AD12">
    <cfRule type="colorScale" priority="43">
      <colorScale>
        <cfvo type="min"/>
        <cfvo type="max"/>
        <color theme="1" tint="0.249977111117893"/>
        <color theme="0" tint="-4.9989318521683403E-2"/>
      </colorScale>
    </cfRule>
  </conditionalFormatting>
  <conditionalFormatting sqref="AB31 AD31 AF31 AH31 AE30 AG30 AA30:AC30 AE32 AG32 AA32:AC32 AD33 AB33 AF33 AH33">
    <cfRule type="colorScale" priority="30">
      <colorScale>
        <cfvo type="min"/>
        <cfvo type="max"/>
        <color theme="1" tint="0.249977111117893"/>
        <color theme="0" tint="-4.9989318521683403E-2"/>
      </colorScale>
    </cfRule>
  </conditionalFormatting>
  <conditionalFormatting sqref="AD40:AD41">
    <cfRule type="colorScale" priority="17">
      <colorScale>
        <cfvo type="min"/>
        <cfvo type="max"/>
        <color theme="1" tint="0.249977111117893"/>
        <color theme="0" tint="-4.9989318521683403E-2"/>
      </colorScale>
    </cfRule>
  </conditionalFormatting>
  <conditionalFormatting sqref="AD42">
    <cfRule type="colorScale" priority="18">
      <colorScale>
        <cfvo type="min"/>
        <cfvo type="max"/>
        <color theme="1" tint="0.249977111117893"/>
        <color theme="0" tint="-4.9989318521683403E-2"/>
      </colorScale>
    </cfRule>
  </conditionalFormatting>
  <conditionalFormatting sqref="AD25:AE26">
    <cfRule type="colorScale" priority="32">
      <colorScale>
        <cfvo type="min"/>
        <cfvo type="max"/>
        <color theme="1" tint="0.249977111117893"/>
        <color theme="0" tint="-4.9989318521683403E-2"/>
      </colorScale>
    </cfRule>
  </conditionalFormatting>
  <conditionalFormatting sqref="AD27:AE27">
    <cfRule type="colorScale" priority="33">
      <colorScale>
        <cfvo type="min"/>
        <cfvo type="max"/>
        <color theme="1" tint="0.249977111117893"/>
        <color theme="0" tint="-4.9989318521683403E-2"/>
      </colorScale>
    </cfRule>
  </conditionalFormatting>
  <conditionalFormatting sqref="AD30:AE30">
    <cfRule type="colorScale" priority="24">
      <colorScale>
        <cfvo type="min"/>
        <cfvo type="max"/>
        <color theme="1" tint="0.249977111117893"/>
        <color theme="0" tint="-4.9989318521683403E-2"/>
      </colorScale>
    </cfRule>
  </conditionalFormatting>
  <conditionalFormatting sqref="AD32:AE32">
    <cfRule type="colorScale" priority="23">
      <colorScale>
        <cfvo type="min"/>
        <cfvo type="max"/>
        <color theme="1" tint="0.249977111117893"/>
        <color theme="0" tint="-4.9989318521683403E-2"/>
      </colorScale>
    </cfRule>
  </conditionalFormatting>
  <conditionalFormatting sqref="AE15:AE18">
    <cfRule type="colorScale" priority="38">
      <colorScale>
        <cfvo type="min"/>
        <cfvo type="max"/>
        <color theme="1" tint="0.249977111117893"/>
        <color theme="0" tint="-4.9989318521683403E-2"/>
      </colorScale>
    </cfRule>
  </conditionalFormatting>
  <conditionalFormatting sqref="AF9:AF12">
    <cfRule type="colorScale" priority="42">
      <colorScale>
        <cfvo type="min"/>
        <cfvo type="max"/>
        <color theme="1" tint="0.249977111117893"/>
        <color theme="0" tint="-4.9989318521683403E-2"/>
      </colorScale>
    </cfRule>
  </conditionalFormatting>
  <conditionalFormatting sqref="AF30">
    <cfRule type="colorScale" priority="25">
      <colorScale>
        <cfvo type="min"/>
        <cfvo type="max"/>
        <color theme="1" tint="0.249977111117893"/>
        <color theme="0" tint="-4.9989318521683403E-2"/>
      </colorScale>
    </cfRule>
  </conditionalFormatting>
  <conditionalFormatting sqref="AF32">
    <cfRule type="colorScale" priority="29">
      <colorScale>
        <cfvo type="min"/>
        <cfvo type="max"/>
        <color theme="1" tint="0.249977111117893"/>
        <color theme="0" tint="-4.9989318521683403E-2"/>
      </colorScale>
    </cfRule>
  </conditionalFormatting>
  <conditionalFormatting sqref="AF46:AF47">
    <cfRule type="colorScale" priority="2">
      <colorScale>
        <cfvo type="min"/>
        <cfvo type="max"/>
        <color theme="1" tint="0.249977111117893"/>
        <color theme="0" tint="-4.9989318521683403E-2"/>
      </colorScale>
    </cfRule>
  </conditionalFormatting>
  <conditionalFormatting sqref="AF48">
    <cfRule type="colorScale" priority="3">
      <colorScale>
        <cfvo type="min"/>
        <cfvo type="max"/>
        <color theme="1" tint="0.249977111117893"/>
        <color theme="0" tint="-4.9989318521683403E-2"/>
      </colorScale>
    </cfRule>
  </conditionalFormatting>
  <conditionalFormatting sqref="AF25:AH26 AF27">
    <cfRule type="colorScale" priority="34">
      <colorScale>
        <cfvo type="min"/>
        <cfvo type="max"/>
        <color theme="1" tint="0.249977111117893"/>
        <color theme="0" tint="-4.9989318521683403E-2"/>
      </colorScale>
    </cfRule>
  </conditionalFormatting>
  <conditionalFormatting sqref="AG15:AG18">
    <cfRule type="colorScale" priority="37">
      <colorScale>
        <cfvo type="min"/>
        <cfvo type="max"/>
        <color theme="1" tint="0.249977111117893"/>
        <color theme="0" tint="-4.9989318521683403E-2"/>
      </colorScale>
    </cfRule>
  </conditionalFormatting>
  <conditionalFormatting sqref="AH9:AH12">
    <cfRule type="colorScale" priority="41">
      <colorScale>
        <cfvo type="min"/>
        <cfvo type="max"/>
        <color theme="1" tint="0.249977111117893"/>
        <color theme="0" tint="-4.9989318521683403E-2"/>
      </colorScale>
    </cfRule>
  </conditionalFormatting>
  <conditionalFormatting sqref="AH40:AH41">
    <cfRule type="colorScale" priority="8">
      <colorScale>
        <cfvo type="min"/>
        <cfvo type="max"/>
        <color theme="1" tint="0.249977111117893"/>
        <color theme="0" tint="-4.9989318521683403E-2"/>
      </colorScale>
    </cfRule>
  </conditionalFormatting>
  <conditionalFormatting sqref="AH42">
    <cfRule type="colorScale" priority="9">
      <colorScale>
        <cfvo type="min"/>
        <cfvo type="max"/>
        <color theme="1" tint="0.249977111117893"/>
        <color theme="0" tint="-4.9989318521683403E-2"/>
      </colorScale>
    </cfRule>
  </conditionalFormatting>
  <conditionalFormatting sqref="AH47:AH48 AH45 AG46 AG48">
    <cfRule type="colorScale" priority="1">
      <colorScale>
        <cfvo type="min"/>
        <cfvo type="max"/>
        <color theme="1" tint="0.249977111117893"/>
        <color theme="0" tint="-4.9989318521683403E-2"/>
      </colorScale>
    </cfRule>
  </conditionalFormatting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6057D9-5AE8-4C94-8FE4-DA4072B36A3F}">
  <dimension ref="B2:M35"/>
  <sheetViews>
    <sheetView workbookViewId="0">
      <selection activeCell="G23" sqref="G23"/>
    </sheetView>
  </sheetViews>
  <sheetFormatPr defaultRowHeight="17" x14ac:dyDescent="0.45"/>
  <sheetData>
    <row r="2" spans="2:13" x14ac:dyDescent="0.45">
      <c r="B2" t="s">
        <v>24</v>
      </c>
      <c r="C2" s="5"/>
      <c r="D2" s="5"/>
      <c r="E2" s="5"/>
      <c r="F2" s="5"/>
      <c r="G2" s="5"/>
      <c r="H2" s="5"/>
      <c r="I2" s="5"/>
      <c r="J2" s="5"/>
    </row>
    <row r="3" spans="2:13" x14ac:dyDescent="0.45">
      <c r="B3" s="27">
        <v>0</v>
      </c>
      <c r="C3" s="27">
        <v>1</v>
      </c>
      <c r="D3" s="27">
        <v>2</v>
      </c>
      <c r="E3" s="27">
        <v>3</v>
      </c>
      <c r="F3" s="27">
        <v>4</v>
      </c>
      <c r="G3" s="27">
        <v>5</v>
      </c>
      <c r="H3" s="27">
        <v>6</v>
      </c>
      <c r="I3" s="27">
        <v>7</v>
      </c>
      <c r="K3" t="s">
        <v>26</v>
      </c>
      <c r="L3" t="s">
        <v>27</v>
      </c>
      <c r="M3" t="s">
        <v>28</v>
      </c>
    </row>
    <row r="4" spans="2:13" x14ac:dyDescent="0.45">
      <c r="B4" s="27">
        <f>B3+8</f>
        <v>8</v>
      </c>
      <c r="C4" s="27">
        <f t="shared" ref="C4:I4" si="0">C3+8</f>
        <v>9</v>
      </c>
      <c r="D4" s="27">
        <f t="shared" si="0"/>
        <v>10</v>
      </c>
      <c r="E4" s="27">
        <f t="shared" si="0"/>
        <v>11</v>
      </c>
      <c r="F4" s="27">
        <f t="shared" si="0"/>
        <v>12</v>
      </c>
      <c r="G4" s="27">
        <f t="shared" si="0"/>
        <v>13</v>
      </c>
      <c r="H4" s="27">
        <f t="shared" si="0"/>
        <v>14</v>
      </c>
      <c r="I4" s="27">
        <f t="shared" si="0"/>
        <v>15</v>
      </c>
      <c r="K4">
        <v>0</v>
      </c>
      <c r="L4">
        <v>0</v>
      </c>
      <c r="M4">
        <f>MOD(K4*4, 31)</f>
        <v>0</v>
      </c>
    </row>
    <row r="5" spans="2:13" x14ac:dyDescent="0.45">
      <c r="B5" s="27">
        <f t="shared" ref="B5:B6" si="1">B4+8</f>
        <v>16</v>
      </c>
      <c r="C5" s="27">
        <f t="shared" ref="C5:C6" si="2">C4+8</f>
        <v>17</v>
      </c>
      <c r="D5" s="27">
        <f t="shared" ref="D5:D6" si="3">D4+8</f>
        <v>18</v>
      </c>
      <c r="E5" s="27">
        <f t="shared" ref="E5:E6" si="4">E4+8</f>
        <v>19</v>
      </c>
      <c r="F5" s="27">
        <f t="shared" ref="F5:F6" si="5">F4+8</f>
        <v>20</v>
      </c>
      <c r="G5" s="27">
        <f t="shared" ref="G5:G6" si="6">G4+8</f>
        <v>21</v>
      </c>
      <c r="H5" s="27">
        <f t="shared" ref="H5:H6" si="7">H4+8</f>
        <v>22</v>
      </c>
      <c r="I5" s="27">
        <f t="shared" ref="I5:I6" si="8">I4+8</f>
        <v>23</v>
      </c>
      <c r="K5">
        <v>1</v>
      </c>
      <c r="L5">
        <v>4</v>
      </c>
      <c r="M5">
        <f t="shared" ref="M5:M35" si="9">MOD(K5*4, 31)</f>
        <v>4</v>
      </c>
    </row>
    <row r="6" spans="2:13" x14ac:dyDescent="0.45">
      <c r="B6" s="27">
        <f t="shared" si="1"/>
        <v>24</v>
      </c>
      <c r="C6" s="27">
        <f t="shared" si="2"/>
        <v>25</v>
      </c>
      <c r="D6" s="27">
        <f t="shared" si="3"/>
        <v>26</v>
      </c>
      <c r="E6" s="27">
        <f t="shared" si="4"/>
        <v>27</v>
      </c>
      <c r="F6" s="27">
        <f t="shared" si="5"/>
        <v>28</v>
      </c>
      <c r="G6" s="27">
        <f t="shared" si="6"/>
        <v>29</v>
      </c>
      <c r="H6" s="27">
        <f t="shared" si="7"/>
        <v>30</v>
      </c>
      <c r="I6" s="27">
        <f t="shared" si="8"/>
        <v>31</v>
      </c>
      <c r="K6">
        <v>2</v>
      </c>
      <c r="L6">
        <v>8</v>
      </c>
      <c r="M6">
        <f t="shared" si="9"/>
        <v>8</v>
      </c>
    </row>
    <row r="7" spans="2:13" x14ac:dyDescent="0.45">
      <c r="K7">
        <v>3</v>
      </c>
      <c r="L7">
        <v>12</v>
      </c>
      <c r="M7">
        <f t="shared" si="9"/>
        <v>12</v>
      </c>
    </row>
    <row r="8" spans="2:13" x14ac:dyDescent="0.45">
      <c r="K8">
        <v>4</v>
      </c>
      <c r="L8">
        <v>16</v>
      </c>
      <c r="M8">
        <f t="shared" si="9"/>
        <v>16</v>
      </c>
    </row>
    <row r="9" spans="2:13" x14ac:dyDescent="0.45">
      <c r="B9" t="s">
        <v>25</v>
      </c>
      <c r="C9" s="5"/>
      <c r="D9" s="5"/>
      <c r="E9" s="5"/>
      <c r="F9" s="5"/>
      <c r="G9" s="5"/>
      <c r="H9" s="5"/>
      <c r="I9" s="5"/>
      <c r="K9">
        <v>5</v>
      </c>
      <c r="L9">
        <v>20</v>
      </c>
      <c r="M9">
        <f t="shared" si="9"/>
        <v>20</v>
      </c>
    </row>
    <row r="10" spans="2:13" x14ac:dyDescent="0.45">
      <c r="B10" s="28">
        <v>0</v>
      </c>
      <c r="C10" s="28">
        <f>B10+4</f>
        <v>4</v>
      </c>
      <c r="D10" s="28">
        <f t="shared" ref="D10:I10" si="10">C10+4</f>
        <v>8</v>
      </c>
      <c r="E10" s="28">
        <f t="shared" si="10"/>
        <v>12</v>
      </c>
      <c r="F10" s="28">
        <f t="shared" si="10"/>
        <v>16</v>
      </c>
      <c r="G10" s="28">
        <f t="shared" si="10"/>
        <v>20</v>
      </c>
      <c r="H10" s="28">
        <f t="shared" si="10"/>
        <v>24</v>
      </c>
      <c r="I10" s="28">
        <f t="shared" si="10"/>
        <v>28</v>
      </c>
      <c r="K10">
        <v>6</v>
      </c>
      <c r="L10">
        <v>24</v>
      </c>
      <c r="M10">
        <f t="shared" si="9"/>
        <v>24</v>
      </c>
    </row>
    <row r="11" spans="2:13" x14ac:dyDescent="0.45">
      <c r="B11" s="28">
        <v>1</v>
      </c>
      <c r="C11" s="28">
        <f t="shared" ref="C11:I13" si="11">B11+4</f>
        <v>5</v>
      </c>
      <c r="D11" s="28">
        <f t="shared" si="11"/>
        <v>9</v>
      </c>
      <c r="E11" s="28">
        <f t="shared" si="11"/>
        <v>13</v>
      </c>
      <c r="F11" s="28">
        <f t="shared" si="11"/>
        <v>17</v>
      </c>
      <c r="G11" s="28">
        <f t="shared" si="11"/>
        <v>21</v>
      </c>
      <c r="H11" s="28">
        <f t="shared" si="11"/>
        <v>25</v>
      </c>
      <c r="I11" s="28">
        <f t="shared" si="11"/>
        <v>29</v>
      </c>
      <c r="K11">
        <v>7</v>
      </c>
      <c r="L11">
        <v>28</v>
      </c>
      <c r="M11">
        <f t="shared" si="9"/>
        <v>28</v>
      </c>
    </row>
    <row r="12" spans="2:13" x14ac:dyDescent="0.45">
      <c r="B12" s="28">
        <v>2</v>
      </c>
      <c r="C12" s="28">
        <f t="shared" si="11"/>
        <v>6</v>
      </c>
      <c r="D12" s="28">
        <f t="shared" si="11"/>
        <v>10</v>
      </c>
      <c r="E12" s="28">
        <f t="shared" si="11"/>
        <v>14</v>
      </c>
      <c r="F12" s="28">
        <f t="shared" si="11"/>
        <v>18</v>
      </c>
      <c r="G12" s="28">
        <f t="shared" si="11"/>
        <v>22</v>
      </c>
      <c r="H12" s="28">
        <f t="shared" si="11"/>
        <v>26</v>
      </c>
      <c r="I12" s="28">
        <f t="shared" si="11"/>
        <v>30</v>
      </c>
      <c r="K12">
        <v>8</v>
      </c>
      <c r="L12">
        <v>1</v>
      </c>
      <c r="M12">
        <f t="shared" si="9"/>
        <v>1</v>
      </c>
    </row>
    <row r="13" spans="2:13" x14ac:dyDescent="0.45">
      <c r="B13" s="28">
        <v>3</v>
      </c>
      <c r="C13" s="28">
        <f t="shared" si="11"/>
        <v>7</v>
      </c>
      <c r="D13" s="28">
        <f t="shared" si="11"/>
        <v>11</v>
      </c>
      <c r="E13" s="28">
        <f t="shared" si="11"/>
        <v>15</v>
      </c>
      <c r="F13" s="28">
        <f t="shared" si="11"/>
        <v>19</v>
      </c>
      <c r="G13" s="28">
        <f t="shared" si="11"/>
        <v>23</v>
      </c>
      <c r="H13" s="28">
        <f t="shared" si="11"/>
        <v>27</v>
      </c>
      <c r="I13" s="28">
        <f t="shared" si="11"/>
        <v>31</v>
      </c>
      <c r="K13">
        <v>9</v>
      </c>
      <c r="L13">
        <v>5</v>
      </c>
      <c r="M13">
        <f t="shared" si="9"/>
        <v>5</v>
      </c>
    </row>
    <row r="14" spans="2:13" x14ac:dyDescent="0.45">
      <c r="K14">
        <v>10</v>
      </c>
      <c r="L14">
        <v>9</v>
      </c>
      <c r="M14">
        <f t="shared" si="9"/>
        <v>9</v>
      </c>
    </row>
    <row r="15" spans="2:13" x14ac:dyDescent="0.45">
      <c r="K15">
        <v>11</v>
      </c>
      <c r="L15">
        <v>13</v>
      </c>
      <c r="M15">
        <f t="shared" si="9"/>
        <v>13</v>
      </c>
    </row>
    <row r="16" spans="2:13" x14ac:dyDescent="0.45">
      <c r="K16">
        <v>12</v>
      </c>
      <c r="L16">
        <v>17</v>
      </c>
      <c r="M16">
        <f t="shared" si="9"/>
        <v>17</v>
      </c>
    </row>
    <row r="17" spans="11:13" x14ac:dyDescent="0.45">
      <c r="K17">
        <v>13</v>
      </c>
      <c r="L17">
        <v>21</v>
      </c>
      <c r="M17">
        <f t="shared" si="9"/>
        <v>21</v>
      </c>
    </row>
    <row r="18" spans="11:13" x14ac:dyDescent="0.45">
      <c r="K18">
        <v>14</v>
      </c>
      <c r="L18">
        <v>25</v>
      </c>
      <c r="M18">
        <f t="shared" si="9"/>
        <v>25</v>
      </c>
    </row>
    <row r="19" spans="11:13" x14ac:dyDescent="0.45">
      <c r="K19">
        <v>15</v>
      </c>
      <c r="L19">
        <v>29</v>
      </c>
      <c r="M19">
        <f t="shared" si="9"/>
        <v>29</v>
      </c>
    </row>
    <row r="20" spans="11:13" x14ac:dyDescent="0.45">
      <c r="K20">
        <v>16</v>
      </c>
      <c r="L20">
        <v>2</v>
      </c>
      <c r="M20">
        <f t="shared" si="9"/>
        <v>2</v>
      </c>
    </row>
    <row r="21" spans="11:13" x14ac:dyDescent="0.45">
      <c r="K21">
        <v>17</v>
      </c>
      <c r="L21">
        <v>6</v>
      </c>
      <c r="M21">
        <f t="shared" si="9"/>
        <v>6</v>
      </c>
    </row>
    <row r="22" spans="11:13" x14ac:dyDescent="0.45">
      <c r="K22">
        <v>18</v>
      </c>
      <c r="L22">
        <v>10</v>
      </c>
      <c r="M22">
        <f t="shared" si="9"/>
        <v>10</v>
      </c>
    </row>
    <row r="23" spans="11:13" x14ac:dyDescent="0.45">
      <c r="K23">
        <v>19</v>
      </c>
      <c r="L23">
        <v>14</v>
      </c>
      <c r="M23">
        <f t="shared" si="9"/>
        <v>14</v>
      </c>
    </row>
    <row r="24" spans="11:13" x14ac:dyDescent="0.45">
      <c r="K24">
        <v>20</v>
      </c>
      <c r="L24">
        <v>18</v>
      </c>
      <c r="M24">
        <f t="shared" si="9"/>
        <v>18</v>
      </c>
    </row>
    <row r="25" spans="11:13" x14ac:dyDescent="0.45">
      <c r="K25">
        <v>21</v>
      </c>
      <c r="L25">
        <v>22</v>
      </c>
      <c r="M25">
        <f t="shared" si="9"/>
        <v>22</v>
      </c>
    </row>
    <row r="26" spans="11:13" x14ac:dyDescent="0.45">
      <c r="K26">
        <v>22</v>
      </c>
      <c r="L26">
        <v>26</v>
      </c>
      <c r="M26">
        <f t="shared" si="9"/>
        <v>26</v>
      </c>
    </row>
    <row r="27" spans="11:13" x14ac:dyDescent="0.45">
      <c r="K27">
        <v>23</v>
      </c>
      <c r="L27">
        <v>30</v>
      </c>
      <c r="M27">
        <f t="shared" si="9"/>
        <v>30</v>
      </c>
    </row>
    <row r="28" spans="11:13" x14ac:dyDescent="0.45">
      <c r="K28">
        <v>24</v>
      </c>
      <c r="L28">
        <v>3</v>
      </c>
      <c r="M28">
        <f t="shared" si="9"/>
        <v>3</v>
      </c>
    </row>
    <row r="29" spans="11:13" x14ac:dyDescent="0.45">
      <c r="K29">
        <v>25</v>
      </c>
      <c r="L29">
        <v>7</v>
      </c>
      <c r="M29">
        <f t="shared" si="9"/>
        <v>7</v>
      </c>
    </row>
    <row r="30" spans="11:13" x14ac:dyDescent="0.45">
      <c r="K30">
        <v>26</v>
      </c>
      <c r="L30">
        <v>11</v>
      </c>
      <c r="M30">
        <f t="shared" si="9"/>
        <v>11</v>
      </c>
    </row>
    <row r="31" spans="11:13" x14ac:dyDescent="0.45">
      <c r="K31">
        <v>27</v>
      </c>
      <c r="L31">
        <v>15</v>
      </c>
      <c r="M31">
        <f t="shared" si="9"/>
        <v>15</v>
      </c>
    </row>
    <row r="32" spans="11:13" x14ac:dyDescent="0.45">
      <c r="K32">
        <v>28</v>
      </c>
      <c r="L32">
        <v>19</v>
      </c>
      <c r="M32">
        <f t="shared" si="9"/>
        <v>19</v>
      </c>
    </row>
    <row r="33" spans="11:13" x14ac:dyDescent="0.45">
      <c r="K33">
        <v>29</v>
      </c>
      <c r="L33">
        <v>23</v>
      </c>
      <c r="M33">
        <f t="shared" si="9"/>
        <v>23</v>
      </c>
    </row>
    <row r="34" spans="11:13" x14ac:dyDescent="0.45">
      <c r="K34">
        <v>30</v>
      </c>
      <c r="L34">
        <v>27</v>
      </c>
      <c r="M34">
        <f t="shared" si="9"/>
        <v>27</v>
      </c>
    </row>
    <row r="35" spans="11:13" x14ac:dyDescent="0.45">
      <c r="K35">
        <v>31</v>
      </c>
      <c r="L35">
        <v>31</v>
      </c>
      <c r="M35">
        <f t="shared" si="9"/>
        <v>0</v>
      </c>
    </row>
  </sheetData>
  <phoneticPr fontId="1" type="noConversion"/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2964537-4274-4C65-B116-1DA82A2833C6}">
  <dimension ref="B2:H10"/>
  <sheetViews>
    <sheetView workbookViewId="0">
      <selection activeCell="C32" sqref="C32"/>
    </sheetView>
  </sheetViews>
  <sheetFormatPr defaultRowHeight="17" x14ac:dyDescent="0.45"/>
  <sheetData>
    <row r="2" spans="2:8" x14ac:dyDescent="0.45">
      <c r="B2" t="s">
        <v>26</v>
      </c>
      <c r="C2" t="s">
        <v>29</v>
      </c>
      <c r="D2" t="s">
        <v>30</v>
      </c>
      <c r="F2" t="s">
        <v>26</v>
      </c>
      <c r="G2" t="s">
        <v>29</v>
      </c>
      <c r="H2" t="s">
        <v>30</v>
      </c>
    </row>
    <row r="3" spans="2:8" x14ac:dyDescent="0.45">
      <c r="B3">
        <v>0</v>
      </c>
      <c r="C3">
        <v>1</v>
      </c>
      <c r="D3">
        <v>0</v>
      </c>
      <c r="F3">
        <v>0</v>
      </c>
      <c r="G3">
        <f>_xlfn.BITAND(_xlfn.BITRSHIFT(F3, 1), 1)</f>
        <v>0</v>
      </c>
    </row>
    <row r="4" spans="2:8" x14ac:dyDescent="0.45">
      <c r="B4">
        <v>1</v>
      </c>
      <c r="C4">
        <v>1</v>
      </c>
      <c r="D4">
        <v>0</v>
      </c>
      <c r="F4">
        <v>1</v>
      </c>
      <c r="G4">
        <f t="shared" ref="G4:G10" si="0">_xlfn.BITAND(_xlfn.BITRSHIFT(F4, 1), 1)</f>
        <v>0</v>
      </c>
    </row>
    <row r="5" spans="2:8" x14ac:dyDescent="0.45">
      <c r="B5">
        <v>2</v>
      </c>
      <c r="C5">
        <v>0</v>
      </c>
      <c r="D5">
        <v>1</v>
      </c>
      <c r="F5">
        <v>2</v>
      </c>
      <c r="G5">
        <f t="shared" si="0"/>
        <v>1</v>
      </c>
    </row>
    <row r="6" spans="2:8" x14ac:dyDescent="0.45">
      <c r="B6">
        <v>3</v>
      </c>
      <c r="C6">
        <v>0</v>
      </c>
      <c r="D6">
        <v>1</v>
      </c>
      <c r="F6">
        <v>3</v>
      </c>
      <c r="G6">
        <f t="shared" si="0"/>
        <v>1</v>
      </c>
    </row>
    <row r="7" spans="2:8" x14ac:dyDescent="0.45">
      <c r="B7">
        <v>4</v>
      </c>
      <c r="C7">
        <v>1</v>
      </c>
      <c r="D7">
        <v>0</v>
      </c>
      <c r="F7">
        <v>4</v>
      </c>
      <c r="G7">
        <f t="shared" si="0"/>
        <v>0</v>
      </c>
    </row>
    <row r="8" spans="2:8" x14ac:dyDescent="0.45">
      <c r="B8">
        <v>5</v>
      </c>
      <c r="C8">
        <v>1</v>
      </c>
      <c r="D8">
        <v>0</v>
      </c>
      <c r="F8">
        <v>5</v>
      </c>
      <c r="G8">
        <f t="shared" si="0"/>
        <v>0</v>
      </c>
    </row>
    <row r="9" spans="2:8" x14ac:dyDescent="0.45">
      <c r="B9">
        <v>6</v>
      </c>
      <c r="C9">
        <v>0</v>
      </c>
      <c r="D9">
        <v>1</v>
      </c>
      <c r="F9">
        <v>6</v>
      </c>
      <c r="G9">
        <f t="shared" si="0"/>
        <v>1</v>
      </c>
    </row>
    <row r="10" spans="2:8" x14ac:dyDescent="0.45">
      <c r="B10">
        <v>7</v>
      </c>
      <c r="C10">
        <v>0</v>
      </c>
      <c r="D10">
        <v>1</v>
      </c>
      <c r="F10">
        <v>7</v>
      </c>
      <c r="G10">
        <f t="shared" si="0"/>
        <v>1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3</vt:i4>
      </vt:variant>
    </vt:vector>
  </HeadingPairs>
  <TitlesOfParts>
    <vt:vector size="3" baseType="lpstr">
      <vt:lpstr>U8000 65inch</vt:lpstr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Yongmin Jung</dc:creator>
  <cp:lastModifiedBy>이 준영</cp:lastModifiedBy>
  <dcterms:created xsi:type="dcterms:W3CDTF">2015-06-05T18:19:34Z</dcterms:created>
  <dcterms:modified xsi:type="dcterms:W3CDTF">2026-10-06T08:11:26Z</dcterms:modified>
</cp:coreProperties>
</file>