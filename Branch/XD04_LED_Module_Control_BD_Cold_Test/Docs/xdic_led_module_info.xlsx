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LED_Module_Control_BD\Docs\"/>
    </mc:Choice>
  </mc:AlternateContent>
  <xr:revisionPtr revIDLastSave="0" documentId="13_ncr:1_{D9C41DD0-566B-4DF8-9084-6AA270834C32}" xr6:coauthVersionLast="47" xr6:coauthVersionMax="47" xr10:uidLastSave="{00000000-0000-0000-0000-000000000000}"/>
  <bookViews>
    <workbookView xWindow="43080" yWindow="2160" windowWidth="29040" windowHeight="15720" activeTab="3" xr2:uid="{00000000-000D-0000-FFFF-FFFF00000000}"/>
  </bookViews>
  <sheets>
    <sheet name="protocol" sheetId="1" r:id="rId1"/>
    <sheet name="xc xd mapping" sheetId="2" r:id="rId2"/>
    <sheet name="B'D check list" sheetId="3" r:id="rId3"/>
    <sheet name="B'D connector summary" sheetId="5" r:id="rId4"/>
    <sheet name="exampl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6" l="1"/>
  <c r="H21" i="6" s="1"/>
  <c r="I21" i="6" s="1"/>
  <c r="J21" i="6" s="1"/>
  <c r="K21" i="6" s="1"/>
  <c r="L21" i="6" s="1"/>
  <c r="M21" i="6" s="1"/>
  <c r="G5" i="6"/>
  <c r="H5" i="6" s="1"/>
  <c r="I5" i="6" s="1"/>
  <c r="J5" i="6" s="1"/>
  <c r="K5" i="6" s="1"/>
  <c r="L5" i="6" s="1"/>
  <c r="M5" i="6" s="1"/>
  <c r="F23" i="2"/>
  <c r="G23" i="2" s="1"/>
  <c r="H23" i="2" s="1"/>
  <c r="I23" i="2" s="1"/>
  <c r="J23" i="2" s="1"/>
  <c r="K23" i="2" s="1"/>
  <c r="L23" i="2" s="1"/>
  <c r="F22" i="2"/>
  <c r="G22" i="2" s="1"/>
  <c r="H22" i="2" s="1"/>
  <c r="I22" i="2" s="1"/>
  <c r="J22" i="2" s="1"/>
  <c r="K22" i="2" s="1"/>
  <c r="L22" i="2" s="1"/>
  <c r="F21" i="2"/>
  <c r="G21" i="2" s="1"/>
  <c r="H21" i="2" s="1"/>
  <c r="I21" i="2" s="1"/>
  <c r="J21" i="2" s="1"/>
  <c r="K21" i="2" s="1"/>
  <c r="L21" i="2" s="1"/>
  <c r="F20" i="2"/>
  <c r="G20" i="2" s="1"/>
  <c r="H20" i="2" s="1"/>
  <c r="I20" i="2" s="1"/>
  <c r="J20" i="2" s="1"/>
  <c r="K20" i="2" s="1"/>
  <c r="L20" i="2" s="1"/>
  <c r="F19" i="2"/>
  <c r="G19" i="2" s="1"/>
  <c r="H19" i="2" s="1"/>
  <c r="I19" i="2" s="1"/>
  <c r="J19" i="2" s="1"/>
  <c r="K19" i="2" s="1"/>
  <c r="L19" i="2" s="1"/>
  <c r="F18" i="2"/>
  <c r="G18" i="2" s="1"/>
  <c r="H18" i="2" s="1"/>
  <c r="I18" i="2" s="1"/>
  <c r="J18" i="2" s="1"/>
  <c r="K18" i="2" s="1"/>
  <c r="L18" i="2" s="1"/>
  <c r="F17" i="2"/>
  <c r="G17" i="2" s="1"/>
  <c r="H17" i="2" s="1"/>
  <c r="I17" i="2" s="1"/>
  <c r="J17" i="2" s="1"/>
  <c r="K17" i="2" s="1"/>
  <c r="L17" i="2" s="1"/>
  <c r="F16" i="2"/>
  <c r="G16" i="2" s="1"/>
  <c r="H16" i="2" s="1"/>
  <c r="I16" i="2" s="1"/>
  <c r="J16" i="2" s="1"/>
  <c r="K16" i="2" s="1"/>
  <c r="L16" i="2" s="1"/>
  <c r="F15" i="2"/>
  <c r="G15" i="2" s="1"/>
  <c r="H15" i="2" s="1"/>
  <c r="I15" i="2" s="1"/>
  <c r="J15" i="2" s="1"/>
  <c r="K15" i="2" s="1"/>
  <c r="L15" i="2" s="1"/>
  <c r="F14" i="2"/>
  <c r="G14" i="2" s="1"/>
  <c r="H14" i="2" s="1"/>
  <c r="I14" i="2" s="1"/>
  <c r="J14" i="2" s="1"/>
  <c r="K14" i="2" s="1"/>
  <c r="L14" i="2" s="1"/>
  <c r="F13" i="2"/>
  <c r="G13" i="2" s="1"/>
  <c r="H13" i="2" s="1"/>
  <c r="I13" i="2" s="1"/>
  <c r="J13" i="2" s="1"/>
  <c r="K13" i="2" s="1"/>
  <c r="L13" i="2" s="1"/>
  <c r="F12" i="2"/>
  <c r="G12" i="2" s="1"/>
  <c r="H12" i="2" s="1"/>
  <c r="I12" i="2" s="1"/>
  <c r="J12" i="2" s="1"/>
  <c r="K12" i="2" s="1"/>
  <c r="L12" i="2" s="1"/>
  <c r="F11" i="2"/>
  <c r="G11" i="2" s="1"/>
  <c r="H11" i="2" s="1"/>
  <c r="I11" i="2" s="1"/>
  <c r="J11" i="2" s="1"/>
  <c r="K11" i="2" s="1"/>
  <c r="L11" i="2" s="1"/>
  <c r="F10" i="2"/>
  <c r="G10" i="2" s="1"/>
  <c r="H10" i="2" s="1"/>
  <c r="I10" i="2" s="1"/>
  <c r="J10" i="2" s="1"/>
  <c r="K10" i="2" s="1"/>
  <c r="L10" i="2" s="1"/>
  <c r="F9" i="2"/>
  <c r="G9" i="2" s="1"/>
  <c r="H9" i="2" s="1"/>
  <c r="I9" i="2" s="1"/>
  <c r="J9" i="2" s="1"/>
  <c r="K9" i="2" s="1"/>
  <c r="L9" i="2" s="1"/>
  <c r="F8" i="2"/>
  <c r="G8" i="2" s="1"/>
  <c r="H8" i="2" s="1"/>
  <c r="I8" i="2" s="1"/>
  <c r="J8" i="2" s="1"/>
  <c r="K8" i="2" s="1"/>
  <c r="L8" i="2" s="1"/>
  <c r="F7" i="2"/>
  <c r="G7" i="2" s="1"/>
  <c r="H7" i="2" s="1"/>
  <c r="I7" i="2" s="1"/>
  <c r="J7" i="2" s="1"/>
  <c r="K7" i="2" s="1"/>
  <c r="L7" i="2" s="1"/>
  <c r="F6" i="2"/>
  <c r="G6" i="2" s="1"/>
  <c r="H6" i="2" s="1"/>
  <c r="I6" i="2" s="1"/>
  <c r="J6" i="2" s="1"/>
  <c r="K6" i="2" s="1"/>
  <c r="L6" i="2" s="1"/>
  <c r="F5" i="2"/>
  <c r="G5" i="2" s="1"/>
  <c r="H5" i="2" s="1"/>
  <c r="I5" i="2" s="1"/>
  <c r="J5" i="2" s="1"/>
  <c r="K5" i="2" s="1"/>
  <c r="L5" i="2" s="1"/>
  <c r="F4" i="2"/>
  <c r="G4" i="2" s="1"/>
  <c r="H4" i="2" s="1"/>
  <c r="I4" i="2" s="1"/>
  <c r="J4" i="2" s="1"/>
  <c r="K4" i="2" s="1"/>
  <c r="L4" i="2" s="1"/>
</calcChain>
</file>

<file path=xl/sharedStrings.xml><?xml version="1.0" encoding="utf-8"?>
<sst xmlns="http://schemas.openxmlformats.org/spreadsheetml/2006/main" count="350" uniqueCount="218">
  <si>
    <t>SOP</t>
    <phoneticPr fontId="1" type="noConversion"/>
  </si>
  <si>
    <t>Command</t>
    <phoneticPr fontId="1" type="noConversion"/>
  </si>
  <si>
    <t>Data</t>
    <phoneticPr fontId="1" type="noConversion"/>
  </si>
  <si>
    <t>Checksum</t>
    <phoneticPr fontId="1" type="noConversion"/>
  </si>
  <si>
    <t>EOP</t>
    <phoneticPr fontId="1" type="noConversion"/>
  </si>
  <si>
    <t>1-byte</t>
    <phoneticPr fontId="1" type="noConversion"/>
  </si>
  <si>
    <t>n-bytes</t>
    <phoneticPr fontId="1" type="noConversion"/>
  </si>
  <si>
    <t>1. Protocol 구성</t>
    <phoneticPr fontId="1" type="noConversion"/>
  </si>
  <si>
    <t>0xA5</t>
    <phoneticPr fontId="1" type="noConversion"/>
  </si>
  <si>
    <t>-</t>
    <phoneticPr fontId="1" type="noConversion"/>
  </si>
  <si>
    <t>0x5A</t>
    <phoneticPr fontId="1" type="noConversion"/>
  </si>
  <si>
    <t>0x00</t>
    <phoneticPr fontId="1" type="noConversion"/>
  </si>
  <si>
    <t>Initial</t>
    <phoneticPr fontId="1" type="noConversion"/>
  </si>
  <si>
    <t>Quit</t>
    <phoneticPr fontId="1" type="noConversion"/>
  </si>
  <si>
    <t>0x01</t>
    <phoneticPr fontId="1" type="noConversion"/>
  </si>
  <si>
    <t>0xFF</t>
    <phoneticPr fontId="1" type="noConversion"/>
  </si>
  <si>
    <t>Current</t>
    <phoneticPr fontId="1" type="noConversion"/>
  </si>
  <si>
    <t>0x10</t>
    <phoneticPr fontId="1" type="noConversion"/>
  </si>
  <si>
    <t>0x40</t>
    <phoneticPr fontId="1" type="noConversion"/>
  </si>
  <si>
    <t>Bar On Select</t>
    <phoneticPr fontId="1" type="noConversion"/>
  </si>
  <si>
    <t>Bar Off Select</t>
    <phoneticPr fontId="1" type="noConversion"/>
  </si>
  <si>
    <t>0x20</t>
    <phoneticPr fontId="1" type="noConversion"/>
  </si>
  <si>
    <t>Block On Select</t>
    <phoneticPr fontId="1" type="noConversion"/>
  </si>
  <si>
    <t>Block Off Select</t>
    <phoneticPr fontId="1" type="noConversion"/>
  </si>
  <si>
    <t>0x80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</si>
  <si>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</si>
  <si>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</si>
  <si>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</si>
  <si>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</si>
  <si>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</si>
  <si>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D20</t>
    <phoneticPr fontId="1" type="noConversion"/>
  </si>
  <si>
    <t>D19</t>
    <phoneticPr fontId="1" type="noConversion"/>
  </si>
  <si>
    <t>D18</t>
    <phoneticPr fontId="1" type="noConversion"/>
  </si>
  <si>
    <t>D17</t>
    <phoneticPr fontId="1" type="noConversion"/>
  </si>
  <si>
    <t>D16</t>
    <phoneticPr fontId="1" type="noConversion"/>
  </si>
  <si>
    <t>…</t>
    <phoneticPr fontId="1" type="noConversion"/>
  </si>
  <si>
    <t>#1</t>
    <phoneticPr fontId="1" type="noConversion"/>
  </si>
  <si>
    <t>#2</t>
  </si>
  <si>
    <t>#3</t>
  </si>
  <si>
    <t>#4</t>
  </si>
  <si>
    <t>#5</t>
  </si>
  <si>
    <t>#16</t>
    <phoneticPr fontId="1" type="noConversion"/>
  </si>
  <si>
    <t>#17</t>
  </si>
  <si>
    <t>#18</t>
  </si>
  <si>
    <t>#19</t>
  </si>
  <si>
    <t>#20</t>
  </si>
  <si>
    <t>&lt;==&gt;</t>
    <phoneticPr fontId="1" type="noConversion"/>
  </si>
  <si>
    <t>LED BAR</t>
    <phoneticPr fontId="1" type="noConversion"/>
  </si>
  <si>
    <t>Control B'D</t>
    <phoneticPr fontId="1" type="noConversion"/>
  </si>
  <si>
    <t>확대</t>
    <phoneticPr fontId="1" type="noConversion"/>
  </si>
  <si>
    <t>BLOCK #1</t>
    <phoneticPr fontId="1" type="noConversion"/>
  </si>
  <si>
    <t>Code</t>
    <phoneticPr fontId="1" type="noConversion"/>
  </si>
  <si>
    <t>Size</t>
    <phoneticPr fontId="1" type="noConversion"/>
  </si>
  <si>
    <t>Value</t>
    <phoneticPr fontId="1" type="noConversion"/>
  </si>
  <si>
    <t>Description</t>
    <phoneticPr fontId="1" type="noConversion"/>
  </si>
  <si>
    <t>XD #1 - ch1</t>
    <phoneticPr fontId="1" type="noConversion"/>
  </si>
  <si>
    <t>XD #1 - ch2</t>
    <phoneticPr fontId="1" type="noConversion"/>
  </si>
  <si>
    <t>XD #1 - ch3</t>
    <phoneticPr fontId="1" type="noConversion"/>
  </si>
  <si>
    <t>XD #1 - ch4</t>
    <phoneticPr fontId="1" type="noConversion"/>
  </si>
  <si>
    <t>XD #2 - ch1</t>
    <phoneticPr fontId="1" type="noConversion"/>
  </si>
  <si>
    <t>XD #2 - ch2</t>
    <phoneticPr fontId="1" type="noConversion"/>
  </si>
  <si>
    <t>XD #2 - ch3</t>
    <phoneticPr fontId="1" type="noConversion"/>
  </si>
  <si>
    <t>Field</t>
    <phoneticPr fontId="1" type="noConversion"/>
  </si>
  <si>
    <t>오류 검출용, SOP부터 Data까지 byte단위로 합산한 값, overflow는 버림</t>
    <phoneticPr fontId="1" type="noConversion"/>
  </si>
  <si>
    <t>패킷 종료 표시 (End Of Protocol)</t>
    <phoneticPr fontId="1" type="noConversion"/>
  </si>
  <si>
    <t>패킷 시작 표시 (Start of Protocol)</t>
    <phoneticPr fontId="1" type="noConversion"/>
  </si>
  <si>
    <t>Length</t>
    <phoneticPr fontId="1" type="noConversion"/>
  </si>
  <si>
    <t>0 ~ 128</t>
    <phoneticPr fontId="1" type="noConversion"/>
  </si>
  <si>
    <t>0 ~ 20</t>
    <phoneticPr fontId="1" type="noConversion"/>
  </si>
  <si>
    <t>LED 전류 설정 (1mA 단위 조절)</t>
    <phoneticPr fontId="1" type="noConversion"/>
  </si>
  <si>
    <t>수행할 명령 코드, "2. Command 목록" 참조</t>
    <phoneticPr fontId="1" type="noConversion"/>
  </si>
  <si>
    <t>명령에 따른 가변 길이 데이터, "2. Command 목록" 참조</t>
    <phoneticPr fontId="1" type="noConversion"/>
  </si>
  <si>
    <t>2. Command 목록</t>
    <phoneticPr fontId="1" type="noConversion"/>
  </si>
  <si>
    <t>XD #2</t>
    <phoneticPr fontId="1" type="noConversion"/>
  </si>
  <si>
    <t>XD #1</t>
    <phoneticPr fontId="1" type="noConversion"/>
  </si>
  <si>
    <t>#16</t>
  </si>
  <si>
    <t>#15</t>
  </si>
  <si>
    <t>#14</t>
  </si>
  <si>
    <t>#13</t>
  </si>
  <si>
    <t>#12</t>
  </si>
  <si>
    <t>#11</t>
  </si>
  <si>
    <t>#10</t>
  </si>
  <si>
    <t>#9</t>
  </si>
  <si>
    <t>#8</t>
  </si>
  <si>
    <t>#7</t>
  </si>
  <si>
    <t>#6</t>
  </si>
  <si>
    <t>LED Bar</t>
    <phoneticPr fontId="1" type="noConversion"/>
  </si>
  <si>
    <t>ch20</t>
  </si>
  <si>
    <t>ch19</t>
  </si>
  <si>
    <t>ch18</t>
  </si>
  <si>
    <t>ch17</t>
  </si>
  <si>
    <t>ch16</t>
  </si>
  <si>
    <t>ch15</t>
  </si>
  <si>
    <t>ch14</t>
  </si>
  <si>
    <t>ch13</t>
  </si>
  <si>
    <t>ch12</t>
  </si>
  <si>
    <t>ch11</t>
  </si>
  <si>
    <t>ch10</t>
  </si>
  <si>
    <t>ch9</t>
  </si>
  <si>
    <t>ch8</t>
  </si>
  <si>
    <t>ch7</t>
  </si>
  <si>
    <t>ch6</t>
  </si>
  <si>
    <t>ch5</t>
  </si>
  <si>
    <t>ch4</t>
  </si>
  <si>
    <t>ch3</t>
  </si>
  <si>
    <t>ch2</t>
  </si>
  <si>
    <t>ch1</t>
    <phoneticPr fontId="1" type="noConversion"/>
  </si>
  <si>
    <t>XC</t>
    <phoneticPr fontId="1" type="noConversion"/>
  </si>
  <si>
    <t>BLOCK #21</t>
    <phoneticPr fontId="1" type="noConversion"/>
  </si>
  <si>
    <t>BLOCK #41</t>
    <phoneticPr fontId="1" type="noConversion"/>
  </si>
  <si>
    <t>BLOCK #61</t>
    <phoneticPr fontId="1" type="noConversion"/>
  </si>
  <si>
    <t>BLOCK #81</t>
    <phoneticPr fontId="1" type="noConversion"/>
  </si>
  <si>
    <t>BLOCK #101</t>
    <phoneticPr fontId="1" type="noConversion"/>
  </si>
  <si>
    <t>BLOCK #121</t>
    <phoneticPr fontId="1" type="noConversion"/>
  </si>
  <si>
    <t>CH1</t>
    <phoneticPr fontId="1" type="noConversion"/>
  </si>
  <si>
    <t>CH2</t>
    <phoneticPr fontId="1" type="noConversion"/>
  </si>
  <si>
    <t>CH3</t>
    <phoneticPr fontId="1" type="noConversion"/>
  </si>
  <si>
    <t>CH4</t>
    <phoneticPr fontId="1" type="noConversion"/>
  </si>
  <si>
    <t>Status</t>
    <phoneticPr fontId="1" type="noConversion"/>
  </si>
  <si>
    <t>0xF0</t>
    <phoneticPr fontId="1" type="noConversion"/>
  </si>
  <si>
    <t>우측 셀 참조</t>
    <phoneticPr fontId="1" type="noConversion"/>
  </si>
  <si>
    <t>Data = 0xA5 →수신 양호 / Data = 0x5A → 수신 불량</t>
    <phoneticPr fontId="1" type="noConversion"/>
  </si>
  <si>
    <t>0 ~ 160</t>
    <phoneticPr fontId="1" type="noConversion"/>
  </si>
  <si>
    <t>선택 Bar 점등 (Data = 0 → 전체 Bar 점등), "xc xd mapping" 시트 참조</t>
    <phoneticPr fontId="1" type="noConversion"/>
  </si>
  <si>
    <t>선택 Bar 소등 (Data = 0 → 전체 Bar 소등), "xc xd mapping" 시트 참조</t>
    <phoneticPr fontId="1" type="noConversion"/>
  </si>
  <si>
    <t>선택 Block 점등 (Data= 0 → 전체 Block 점등), "xc xd mapping" 시트 참조</t>
    <phoneticPr fontId="1" type="noConversion"/>
  </si>
  <si>
    <t>선택 Block 소등 (Data= 0 → 전체 Block 소등), "xc xd mapping" 시트 참조</t>
    <phoneticPr fontId="1" type="noConversion"/>
  </si>
  <si>
    <t>BLOCK #141</t>
    <phoneticPr fontId="1" type="noConversion"/>
  </si>
  <si>
    <t>XD #2 - ch4</t>
    <phoneticPr fontId="1" type="noConversion"/>
  </si>
  <si>
    <t>Test 항목</t>
    <phoneticPr fontId="1" type="noConversion"/>
  </si>
  <si>
    <t>Check Point 1</t>
    <phoneticPr fontId="1" type="noConversion"/>
  </si>
  <si>
    <t>Check Point 2</t>
  </si>
  <si>
    <t>Check Point 3</t>
  </si>
  <si>
    <t>Check Point 4</t>
  </si>
  <si>
    <t>Check Point 5</t>
  </si>
  <si>
    <t>Quit 커맨드 전송</t>
    <phoneticPr fontId="1" type="noConversion"/>
  </si>
  <si>
    <t>Test 빈도</t>
    <phoneticPr fontId="1" type="noConversion"/>
  </si>
  <si>
    <t>TP69 (1.5V)</t>
    <phoneticPr fontId="1" type="noConversion"/>
  </si>
  <si>
    <t>월</t>
    <phoneticPr fontId="1" type="noConversion"/>
  </si>
  <si>
    <t>주</t>
    <phoneticPr fontId="1" type="noConversion"/>
  </si>
  <si>
    <t>Test 조건 1</t>
    <phoneticPr fontId="1" type="noConversion"/>
  </si>
  <si>
    <t>Test 조건 2</t>
    <phoneticPr fontId="1" type="noConversion"/>
  </si>
  <si>
    <t>Test 조건 3</t>
    <phoneticPr fontId="1" type="noConversion"/>
  </si>
  <si>
    <t>Test. 2 이후 연속 시행</t>
    <phoneticPr fontId="1" type="noConversion"/>
  </si>
  <si>
    <t>CN1 12V</t>
    <phoneticPr fontId="1" type="noConversion"/>
  </si>
  <si>
    <t>Status 커맨드 수신</t>
    <phoneticPr fontId="1" type="noConversion"/>
  </si>
  <si>
    <t>LED Bar 점등</t>
    <phoneticPr fontId="1" type="noConversion"/>
  </si>
  <si>
    <t>LED Bar 소등</t>
    <phoneticPr fontId="1" type="noConversion"/>
  </si>
  <si>
    <t>SW3 1회 누른 후 TP67, TP68에 VLED 인가</t>
    <phoneticPr fontId="1" type="noConversion"/>
  </si>
  <si>
    <t>TP67, TP68에 VLED 차단 후 SW3 1회 누르기</t>
    <phoneticPr fontId="1" type="noConversion"/>
  </si>
  <si>
    <t>SW4 1회 누르기</t>
    <phoneticPr fontId="1" type="noConversion"/>
  </si>
  <si>
    <t>SW1 레버 방향 아래</t>
    <phoneticPr fontId="1" type="noConversion"/>
  </si>
  <si>
    <t>SW2 레버 방향 아래</t>
    <phoneticPr fontId="1" type="noConversion"/>
  </si>
  <si>
    <t>CN1 12V, J5 LED Bar 장착</t>
    <phoneticPr fontId="1" type="noConversion"/>
  </si>
  <si>
    <t>Test No.</t>
    <phoneticPr fontId="1" type="noConversion"/>
  </si>
  <si>
    <t>보드 전원 검사</t>
    <phoneticPr fontId="1" type="noConversion"/>
  </si>
  <si>
    <t>스위치 레버 위치 체크</t>
    <phoneticPr fontId="1" type="noConversion"/>
  </si>
  <si>
    <t>RS232 동작</t>
    <phoneticPr fontId="1" type="noConversion"/>
  </si>
  <si>
    <t>XC24 고장 판정</t>
    <phoneticPr fontId="1" type="noConversion"/>
  </si>
  <si>
    <t>TP1 (12V)</t>
    <phoneticPr fontId="1" type="noConversion"/>
  </si>
  <si>
    <t>TP2 (9V), D1 점등</t>
    <phoneticPr fontId="1" type="noConversion"/>
  </si>
  <si>
    <t>TP3 (5V)</t>
    <phoneticPr fontId="1" type="noConversion"/>
  </si>
  <si>
    <t>TP4 (3.3V)</t>
    <phoneticPr fontId="1" type="noConversion"/>
  </si>
  <si>
    <t>TP9 (5V), D6 점등</t>
    <phoneticPr fontId="1" type="noConversion"/>
  </si>
  <si>
    <t>TP9 (0V), D6 소등</t>
    <phoneticPr fontId="1" type="noConversion"/>
  </si>
  <si>
    <t>TP10 (5V), D7 점등</t>
    <phoneticPr fontId="1" type="noConversion"/>
  </si>
  <si>
    <t>TP10 (0V), D7 소등</t>
    <phoneticPr fontId="1" type="noConversion"/>
  </si>
  <si>
    <t>TP13 (5V)</t>
    <phoneticPr fontId="1" type="noConversion"/>
  </si>
  <si>
    <t>TP13 (0V)</t>
    <phoneticPr fontId="1" type="noConversion"/>
  </si>
  <si>
    <t>일</t>
    <phoneticPr fontId="1" type="noConversion"/>
  </si>
  <si>
    <t>테스트 종료 후 CN1 전원 off</t>
    <phoneticPr fontId="1" type="noConversion"/>
  </si>
  <si>
    <t>Control B'D &lt;-&gt; Interface B'D</t>
    <phoneticPr fontId="1" type="noConversion"/>
  </si>
  <si>
    <t>Control B'D &lt;-&gt; RS232</t>
    <phoneticPr fontId="1" type="noConversion"/>
  </si>
  <si>
    <t>Control B'D &lt;-&gt; LED Bar (Control B'D 고장 판정을 위해 LED Bar 커넥터 실장)</t>
    <phoneticPr fontId="1" type="noConversion"/>
  </si>
  <si>
    <t>Data field의 바이트 수, "2. Command 목록" 참조, 최소 length = 1</t>
    <phoneticPr fontId="1" type="noConversion"/>
  </si>
  <si>
    <t>Sequence</t>
    <phoneticPr fontId="1" type="noConversion"/>
  </si>
  <si>
    <t>Note</t>
    <phoneticPr fontId="1" type="noConversion"/>
  </si>
  <si>
    <t>command</t>
    <phoneticPr fontId="1" type="noConversion"/>
  </si>
  <si>
    <t>data</t>
    <phoneticPr fontId="1" type="noConversion"/>
  </si>
  <si>
    <t>current</t>
    <phoneticPr fontId="1" type="noConversion"/>
  </si>
  <si>
    <t>전류 100mA 설정</t>
    <phoneticPr fontId="1" type="noConversion"/>
  </si>
  <si>
    <t>전류 50mA 설정; Block/BAR 선택 전이므로 아직 off 상태</t>
    <phoneticPr fontId="1" type="noConversion"/>
  </si>
  <si>
    <t>xc, xd 초기화 진행, 초기 전류 0mA</t>
    <phoneticPr fontId="1" type="noConversion"/>
  </si>
  <si>
    <t>1번 Bar 점등</t>
    <phoneticPr fontId="1" type="noConversion"/>
  </si>
  <si>
    <t>1번 Block 소등</t>
    <phoneticPr fontId="1" type="noConversion"/>
  </si>
  <si>
    <t>61번 Block 소등</t>
    <phoneticPr fontId="1" type="noConversion"/>
  </si>
  <si>
    <t>모든 Bar 소등</t>
    <phoneticPr fontId="1" type="noConversion"/>
  </si>
  <si>
    <t>81번 Block 점등</t>
    <phoneticPr fontId="1" type="noConversion"/>
  </si>
  <si>
    <t>모든 Block 점등</t>
    <phoneticPr fontId="1" type="noConversion"/>
  </si>
  <si>
    <t>전류 0mA 설정 (Block On 이지만 전류 0mA라 소등)</t>
    <phoneticPr fontId="1" type="noConversion"/>
  </si>
  <si>
    <t>Baudrate = 115200, Parity = None, Stopbits = 1-bit, Data = 8-bits, Protocol 사이 1ms delay 필요</t>
    <phoneticPr fontId="1" type="noConversion"/>
  </si>
  <si>
    <t>Example with LED Bar No. 1</t>
    <phoneticPr fontId="1" type="noConversion"/>
  </si>
  <si>
    <t>Example with LED Bar No. 12</t>
    <phoneticPr fontId="1" type="noConversion"/>
  </si>
  <si>
    <t>전류 25mA 설정; Block/BAR 선택 전이므로 아직 off 상태</t>
    <phoneticPr fontId="1" type="noConversion"/>
  </si>
  <si>
    <t>12번 Bar 점등</t>
    <phoneticPr fontId="1" type="noConversion"/>
  </si>
  <si>
    <t>12번 Block 소등</t>
    <phoneticPr fontId="1" type="noConversion"/>
  </si>
  <si>
    <t>52번 Block 소등</t>
    <phoneticPr fontId="1" type="noConversion"/>
  </si>
  <si>
    <t>92번 Block 소등</t>
    <phoneticPr fontId="1" type="noConversion"/>
  </si>
  <si>
    <t>12번 Bar 소등</t>
    <phoneticPr fontId="1" type="noConversion"/>
  </si>
  <si>
    <t>132번 Block 소등 (현재 단계에서 ABAB 패턴 구현)</t>
    <phoneticPr fontId="1" type="noConversion"/>
  </si>
  <si>
    <t>전류 75mA 설정; 선택된 Block/BAR가 없으므로 off 상태</t>
    <phoneticPr fontId="1" type="noConversion"/>
  </si>
  <si>
    <t>12번 Block 점등</t>
    <phoneticPr fontId="1" type="noConversion"/>
  </si>
  <si>
    <t>52번 Block 점등</t>
    <phoneticPr fontId="1" type="noConversion"/>
  </si>
  <si>
    <t>92번 Block 점등</t>
    <phoneticPr fontId="1" type="noConversion"/>
  </si>
  <si>
    <t>132번 Block 점등 (현재 단계에서 BABA 패턴 구현)</t>
    <phoneticPr fontId="1" type="noConversion"/>
  </si>
  <si>
    <t>XC24, XD04 전원 차단, VLED Off 필요, 다음 명령어까지 최소 250ms delay 필요 (IC De-Initalize &amp; VDD Off Time)</t>
    <phoneticPr fontId="1" type="noConversion"/>
  </si>
  <si>
    <t>1) RS232 --&gt; Control B'D</t>
    <phoneticPr fontId="1" type="noConversion"/>
  </si>
  <si>
    <t>2) Control B'D --&gt; RS232 (Good Packet)</t>
    <phoneticPr fontId="1" type="noConversion"/>
  </si>
  <si>
    <t>3) Control B'D --&gt; RS232 (Bad Packet ex. Wrong checksum)</t>
    <phoneticPr fontId="1" type="noConversion"/>
  </si>
  <si>
    <t>D11 3초간 점멸 후 점등</t>
    <phoneticPr fontId="1" type="noConversion"/>
  </si>
  <si>
    <t>XC24, XD04 전원 인가, 레지스터 설정, LED 전류 0mA, VLED On 필요, 다음 명령어까지 최소 250ms delay 필요 (VDD Ramp-up &amp; Settling Time, IC Initial)</t>
    <phoneticPr fontId="1" type="noConversion"/>
  </si>
  <si>
    <t>TP28 (780kHz Pulse 파형)</t>
    <phoneticPr fontId="1" type="noConversion"/>
  </si>
  <si>
    <t>R86 0옴 부착</t>
    <phoneticPr fontId="1" type="noConversion"/>
  </si>
  <si>
    <t>명시된 Check Point의 값 대비 ±3% 이내 값이 측정된다면 OK, 이상 벗어나는 경우 NG</t>
    <phoneticPr fontId="1" type="noConversion"/>
  </si>
  <si>
    <t>Ex) TP9 (5V)의 경우 5V ± 3% = 4.85 ~ 5.15V 사이의 값이 측정되면 OK. 이외의 값이면 NG</t>
    <phoneticPr fontId="1" type="noConversion"/>
  </si>
  <si>
    <t>TP65 (UART 파형)</t>
    <phoneticPr fontId="1" type="noConversion"/>
  </si>
  <si>
    <t>3. Control B'D &lt;==&gt; LED Bar Mapping ("xc xd mapping" sheet 참조할것)</t>
    <phoneticPr fontId="1" type="noConversion"/>
  </si>
  <si>
    <t>4. Example Screenshot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</si>
</sst>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B-&quot;0"/>
    <numFmt numFmtId="177" formatCode="&quot;Blk-&quot;0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0" tint="-0.14996795556505021"/>
      <name val="맑은 고딕"/>
      <family val="3"/>
      <charset val="129"/>
      <scheme val="minor"/>
    </font>
    <font>
      <b/>
      <strike/>
      <sz val="10"/>
      <color theme="0" tint="-0.1499679555650502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0" fillId="2" borderId="27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2" borderId="28" xfId="0" applyFill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2" borderId="35" xfId="0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3" fillId="0" borderId="3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177" fontId="3" fillId="0" borderId="42" xfId="0" applyNumberFormat="1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7</xdr:col>
      <xdr:colOff>685800</xdr:colOff>
      <xdr:row>73</xdr:row>
      <xdr:rowOff>28258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8B8C97B-5A41-4608-BA71-EA47D5D9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944100"/>
          <a:ext cx="7772400" cy="5003482"/>
        </a:xfrm>
        <a:prstGeom prst="rect">
          <a:avLst/>
        </a:prstGeom>
      </xdr:spPr>
    </xdr:pic>
    <xdr:clientData/>
  </xdr:twoCellAnchor>
  <xdr:oneCellAnchor>
    <xdr:from>
      <xdr:col>1</xdr:col>
      <xdr:colOff>285750</xdr:colOff>
      <xdr:row>52</xdr:row>
      <xdr:rowOff>114300</xdr:rowOff>
    </xdr:from>
    <xdr:ext cx="572849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CC1104E-FE48-274F-F27D-9082C308C3FA}"/>
            </a:ext>
          </a:extLst>
        </xdr:cNvPr>
        <xdr:cNvSpPr txBox="1"/>
      </xdr:nvSpPr>
      <xdr:spPr>
        <a:xfrm>
          <a:off x="485775" y="11430000"/>
          <a:ext cx="57284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RS232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352425</xdr:colOff>
      <xdr:row>64</xdr:row>
      <xdr:rowOff>161925</xdr:rowOff>
    </xdr:from>
    <xdr:ext cx="497059" cy="28020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B5F93B-ED2A-42D8-A840-794673294450}"/>
            </a:ext>
          </a:extLst>
        </xdr:cNvPr>
        <xdr:cNvSpPr txBox="1"/>
      </xdr:nvSpPr>
      <xdr:spPr>
        <a:xfrm>
          <a:off x="552450" y="13535025"/>
          <a:ext cx="49705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4">
                  <a:lumMod val="60000"/>
                  <a:lumOff val="40000"/>
                </a:schemeClr>
              </a:solidFill>
            </a:rPr>
            <a:t>MCU</a:t>
          </a:r>
          <a:endParaRPr lang="ko-KR" altLang="en-US" sz="12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oneCellAnchor>
  <xdr:twoCellAnchor editAs="oneCell">
    <xdr:from>
      <xdr:col>1</xdr:col>
      <xdr:colOff>0</xdr:colOff>
      <xdr:row>76</xdr:row>
      <xdr:rowOff>0</xdr:rowOff>
    </xdr:from>
    <xdr:to>
      <xdr:col>7</xdr:col>
      <xdr:colOff>685800</xdr:colOff>
      <xdr:row>105</xdr:row>
      <xdr:rowOff>28257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B65DE1D-4CE0-47BD-AB8B-7954FAF8C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430500"/>
          <a:ext cx="7772400" cy="5003482"/>
        </a:xfrm>
        <a:prstGeom prst="rect">
          <a:avLst/>
        </a:prstGeom>
      </xdr:spPr>
    </xdr:pic>
    <xdr:clientData/>
  </xdr:twoCellAnchor>
  <xdr:oneCellAnchor>
    <xdr:from>
      <xdr:col>1</xdr:col>
      <xdr:colOff>247650</xdr:colOff>
      <xdr:row>84</xdr:row>
      <xdr:rowOff>104775</xdr:rowOff>
    </xdr:from>
    <xdr:ext cx="572849" cy="28020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4AD454C-52DC-4B71-8096-80882AB3FFBA}"/>
            </a:ext>
          </a:extLst>
        </xdr:cNvPr>
        <xdr:cNvSpPr txBox="1"/>
      </xdr:nvSpPr>
      <xdr:spPr>
        <a:xfrm>
          <a:off x="447675" y="16906875"/>
          <a:ext cx="57284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RS232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361950</xdr:colOff>
      <xdr:row>97</xdr:row>
      <xdr:rowOff>9525</xdr:rowOff>
    </xdr:from>
    <xdr:ext cx="497059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D4D244A-0724-4E54-A4DC-A74B4A5FED1B}"/>
            </a:ext>
          </a:extLst>
        </xdr:cNvPr>
        <xdr:cNvSpPr txBox="1"/>
      </xdr:nvSpPr>
      <xdr:spPr>
        <a:xfrm>
          <a:off x="561975" y="19040475"/>
          <a:ext cx="49705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4">
                  <a:lumMod val="60000"/>
                  <a:lumOff val="40000"/>
                </a:schemeClr>
              </a:solidFill>
            </a:rPr>
            <a:t>MCU</a:t>
          </a:r>
          <a:endParaRPr lang="ko-KR" altLang="en-US" sz="12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oneCellAnchor>
  <xdr:twoCellAnchor>
    <xdr:from>
      <xdr:col>4</xdr:col>
      <xdr:colOff>304800</xdr:colOff>
      <xdr:row>93</xdr:row>
      <xdr:rowOff>123825</xdr:rowOff>
    </xdr:from>
    <xdr:to>
      <xdr:col>5</xdr:col>
      <xdr:colOff>514350</xdr:colOff>
      <xdr:row>93</xdr:row>
      <xdr:rowOff>123825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6383B1E1-A330-FD2A-BA16-A2D6CEE3E95E}"/>
            </a:ext>
          </a:extLst>
        </xdr:cNvPr>
        <xdr:cNvCxnSpPr/>
      </xdr:nvCxnSpPr>
      <xdr:spPr>
        <a:xfrm>
          <a:off x="3171825" y="1846897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542925</xdr:colOff>
      <xdr:row>93</xdr:row>
      <xdr:rowOff>123825</xdr:rowOff>
    </xdr:from>
    <xdr:to>
      <xdr:col>5</xdr:col>
      <xdr:colOff>1590675</xdr:colOff>
      <xdr:row>93</xdr:row>
      <xdr:rowOff>123825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6D73773B-A799-4922-8CD8-8A6E5C022ECA}"/>
            </a:ext>
          </a:extLst>
        </xdr:cNvPr>
        <xdr:cNvCxnSpPr/>
      </xdr:nvCxnSpPr>
      <xdr:spPr>
        <a:xfrm>
          <a:off x="4248150" y="1846897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504825</xdr:colOff>
      <xdr:row>91</xdr:row>
      <xdr:rowOff>0</xdr:rowOff>
    </xdr:from>
    <xdr:ext cx="701282" cy="436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88B84FA-1C68-E3F4-543C-5E835745D11D}"/>
            </a:ext>
          </a:extLst>
        </xdr:cNvPr>
        <xdr:cNvSpPr txBox="1"/>
      </xdr:nvSpPr>
      <xdr:spPr>
        <a:xfrm>
          <a:off x="3371850" y="18002250"/>
          <a:ext cx="70128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Commad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status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537156</xdr:colOff>
      <xdr:row>90</xdr:row>
      <xdr:rowOff>161925</xdr:rowOff>
    </xdr:from>
    <xdr:ext cx="1093826" cy="43678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E3ABB40-F3D0-4DBC-AB28-BFD43A2DC99D}"/>
            </a:ext>
          </a:extLst>
        </xdr:cNvPr>
        <xdr:cNvSpPr txBox="1"/>
      </xdr:nvSpPr>
      <xdr:spPr>
        <a:xfrm>
          <a:off x="4242381" y="17992725"/>
          <a:ext cx="10938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Data (response)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Good Packet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108</xdr:row>
      <xdr:rowOff>0</xdr:rowOff>
    </xdr:from>
    <xdr:to>
      <xdr:col>7</xdr:col>
      <xdr:colOff>685800</xdr:colOff>
      <xdr:row>137</xdr:row>
      <xdr:rowOff>28256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7033AC0-FA41-471F-A676-8C197D53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16900"/>
          <a:ext cx="7772400" cy="5003482"/>
        </a:xfrm>
        <a:prstGeom prst="rect">
          <a:avLst/>
        </a:prstGeom>
      </xdr:spPr>
    </xdr:pic>
    <xdr:clientData/>
  </xdr:twoCellAnchor>
  <xdr:oneCellAnchor>
    <xdr:from>
      <xdr:col>1</xdr:col>
      <xdr:colOff>238125</xdr:colOff>
      <xdr:row>116</xdr:row>
      <xdr:rowOff>47625</xdr:rowOff>
    </xdr:from>
    <xdr:ext cx="572849" cy="28020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F5E7AC7-4B14-4488-9251-6EB281C8FBFF}"/>
            </a:ext>
          </a:extLst>
        </xdr:cNvPr>
        <xdr:cNvSpPr txBox="1"/>
      </xdr:nvSpPr>
      <xdr:spPr>
        <a:xfrm>
          <a:off x="438150" y="22336125"/>
          <a:ext cx="57284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RS232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352425</xdr:colOff>
      <xdr:row>128</xdr:row>
      <xdr:rowOff>123825</xdr:rowOff>
    </xdr:from>
    <xdr:ext cx="497059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7D3359D-3FB7-4EAE-8D0E-872337029656}"/>
            </a:ext>
          </a:extLst>
        </xdr:cNvPr>
        <xdr:cNvSpPr txBox="1"/>
      </xdr:nvSpPr>
      <xdr:spPr>
        <a:xfrm>
          <a:off x="552450" y="24469725"/>
          <a:ext cx="49705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4">
                  <a:lumMod val="60000"/>
                  <a:lumOff val="40000"/>
                </a:schemeClr>
              </a:solidFill>
            </a:rPr>
            <a:t>MCU</a:t>
          </a:r>
          <a:endParaRPr lang="ko-KR" altLang="en-US" sz="12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oneCellAnchor>
  <xdr:twoCellAnchor>
    <xdr:from>
      <xdr:col>4</xdr:col>
      <xdr:colOff>295275</xdr:colOff>
      <xdr:row>125</xdr:row>
      <xdr:rowOff>66675</xdr:rowOff>
    </xdr:from>
    <xdr:to>
      <xdr:col>5</xdr:col>
      <xdr:colOff>504825</xdr:colOff>
      <xdr:row>125</xdr:row>
      <xdr:rowOff>66675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7D224A6C-AF41-456B-B4E5-CB32BE2AB517}"/>
            </a:ext>
          </a:extLst>
        </xdr:cNvPr>
        <xdr:cNvCxnSpPr/>
      </xdr:nvCxnSpPr>
      <xdr:spPr>
        <a:xfrm>
          <a:off x="3162300" y="2389822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125</xdr:row>
      <xdr:rowOff>66675</xdr:rowOff>
    </xdr:from>
    <xdr:to>
      <xdr:col>5</xdr:col>
      <xdr:colOff>1581150</xdr:colOff>
      <xdr:row>125</xdr:row>
      <xdr:rowOff>66675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F1522E29-C238-484F-8F46-2F9449B54EAD}"/>
            </a:ext>
          </a:extLst>
        </xdr:cNvPr>
        <xdr:cNvCxnSpPr/>
      </xdr:nvCxnSpPr>
      <xdr:spPr>
        <a:xfrm>
          <a:off x="4238625" y="2389822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495300</xdr:colOff>
      <xdr:row>122</xdr:row>
      <xdr:rowOff>114300</xdr:rowOff>
    </xdr:from>
    <xdr:ext cx="701282" cy="43678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2DB9F24-E268-47CA-A23E-324A796868B4}"/>
            </a:ext>
          </a:extLst>
        </xdr:cNvPr>
        <xdr:cNvSpPr txBox="1"/>
      </xdr:nvSpPr>
      <xdr:spPr>
        <a:xfrm>
          <a:off x="3362325" y="23431500"/>
          <a:ext cx="70128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Commad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status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527629</xdr:colOff>
      <xdr:row>122</xdr:row>
      <xdr:rowOff>104775</xdr:rowOff>
    </xdr:from>
    <xdr:ext cx="1093826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89B8362-FCBB-4B24-82B9-73B97A61ED12}"/>
            </a:ext>
          </a:extLst>
        </xdr:cNvPr>
        <xdr:cNvSpPr txBox="1"/>
      </xdr:nvSpPr>
      <xdr:spPr>
        <a:xfrm>
          <a:off x="4232854" y="23421975"/>
          <a:ext cx="10938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Data (response)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Bad Packet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</xdr:rowOff>
    </xdr:from>
    <xdr:to>
      <xdr:col>21</xdr:col>
      <xdr:colOff>190500</xdr:colOff>
      <xdr:row>17</xdr:row>
      <xdr:rowOff>178547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27CE97E-6C31-89E0-E8EC-256F877A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419101"/>
          <a:ext cx="9791700" cy="33217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25</xdr:col>
      <xdr:colOff>533399</xdr:colOff>
      <xdr:row>11</xdr:row>
      <xdr:rowOff>152964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9518E68-4EF3-42B3-83F0-FB8B65857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56441" y="425824"/>
          <a:ext cx="2584076" cy="206916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2</xdr:row>
      <xdr:rowOff>1</xdr:rowOff>
    </xdr:from>
    <xdr:to>
      <xdr:col>6</xdr:col>
      <xdr:colOff>398417</xdr:colOff>
      <xdr:row>33</xdr:row>
      <xdr:rowOff>108858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5B563BE-9D30-29E7-1714-52D26103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107" y="435430"/>
          <a:ext cx="3664131" cy="68579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6</xdr:row>
      <xdr:rowOff>161925</xdr:rowOff>
    </xdr:from>
    <xdr:to>
      <xdr:col>4</xdr:col>
      <xdr:colOff>2019300</xdr:colOff>
      <xdr:row>11</xdr:row>
      <xdr:rowOff>19050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D0194FCD-52A0-0E45-790D-6F8BFBE5B488}"/>
            </a:ext>
          </a:extLst>
        </xdr:cNvPr>
        <xdr:cNvSpPr/>
      </xdr:nvSpPr>
      <xdr:spPr>
        <a:xfrm>
          <a:off x="2562225" y="1076325"/>
          <a:ext cx="1733550" cy="714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좌측 커맨드 실행 결과</a:t>
          </a:r>
        </a:p>
      </xdr:txBody>
    </xdr:sp>
    <xdr:clientData/>
  </xdr:twoCellAnchor>
  <xdr:twoCellAnchor>
    <xdr:from>
      <xdr:col>4</xdr:col>
      <xdr:colOff>285750</xdr:colOff>
      <xdr:row>22</xdr:row>
      <xdr:rowOff>161925</xdr:rowOff>
    </xdr:from>
    <xdr:to>
      <xdr:col>4</xdr:col>
      <xdr:colOff>2019300</xdr:colOff>
      <xdr:row>27</xdr:row>
      <xdr:rowOff>19050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978CF594-026D-4309-883A-8D78CAABE886}"/>
            </a:ext>
          </a:extLst>
        </xdr:cNvPr>
        <xdr:cNvSpPr/>
      </xdr:nvSpPr>
      <xdr:spPr>
        <a:xfrm>
          <a:off x="2562225" y="1076325"/>
          <a:ext cx="1733550" cy="714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좌측 커맨드 실행 결과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8"/>
  <sheetViews>
    <sheetView zoomScale="85" zoomScaleNormal="85" workbookViewId="0"/>
  </sheetViews>
  <sheetFormatPr defaultColWidth="9" defaultRowHeight="16" x14ac:dyDescent="0.45"/>
  <cols>
    <col min="1" max="1" width="2.58203125" style="6" customWidth="1"/>
    <col min="2" max="2" width="18.58203125" style="6" customWidth="1"/>
    <col min="3" max="3" width="7" style="6" bestFit="1" customWidth="1"/>
    <col min="4" max="4" width="9.33203125" style="6" bestFit="1" customWidth="1"/>
    <col min="5" max="5" width="11" style="6" bestFit="1" customWidth="1"/>
    <col min="6" max="10" width="23.5" style="6" customWidth="1"/>
    <col min="11" max="13" width="10.83203125" style="6" bestFit="1" customWidth="1"/>
    <col min="14" max="16" width="9" style="6" customWidth="1"/>
    <col min="17" max="16384" width="9" style="6"/>
  </cols>
  <sheetData>
    <row r="2" spans="2:10" x14ac:dyDescent="0.45">
      <c r="B2" s="5" t="s">
        <v>7</v>
      </c>
    </row>
    <row r="3" spans="2:10" x14ac:dyDescent="0.45">
      <c r="B3" s="105" t="s">
        <v>190</v>
      </c>
      <c r="C3" s="105"/>
      <c r="D3" s="105"/>
      <c r="E3" s="105"/>
      <c r="F3" s="105"/>
      <c r="G3" s="105"/>
    </row>
    <row r="4" spans="2:10" x14ac:dyDescent="0.45">
      <c r="B4" s="1" t="s">
        <v>0</v>
      </c>
      <c r="C4" s="1" t="s">
        <v>66</v>
      </c>
      <c r="D4" s="1" t="s">
        <v>1</v>
      </c>
      <c r="E4" s="1" t="s">
        <v>2</v>
      </c>
      <c r="F4" s="1" t="s">
        <v>3</v>
      </c>
      <c r="G4" s="1" t="s">
        <v>4</v>
      </c>
    </row>
    <row r="5" spans="2:10" x14ac:dyDescent="0.45">
      <c r="B5" s="3" t="s">
        <v>5</v>
      </c>
      <c r="C5" s="3" t="s">
        <v>5</v>
      </c>
      <c r="D5" s="3" t="s">
        <v>5</v>
      </c>
      <c r="E5" s="3" t="s">
        <v>6</v>
      </c>
      <c r="F5" s="3" t="s">
        <v>5</v>
      </c>
      <c r="G5" s="3" t="s">
        <v>5</v>
      </c>
    </row>
    <row r="7" spans="2:10" x14ac:dyDescent="0.45">
      <c r="B7" s="1" t="s">
        <v>62</v>
      </c>
      <c r="C7" s="1" t="s">
        <v>52</v>
      </c>
      <c r="D7" s="1" t="s">
        <v>53</v>
      </c>
      <c r="E7" s="103" t="s">
        <v>54</v>
      </c>
      <c r="F7" s="103"/>
      <c r="G7" s="103"/>
      <c r="H7" s="103"/>
      <c r="I7" s="103"/>
      <c r="J7" s="103"/>
    </row>
    <row r="8" spans="2:10" x14ac:dyDescent="0.45">
      <c r="B8" s="2" t="s">
        <v>0</v>
      </c>
      <c r="C8" s="3" t="s">
        <v>5</v>
      </c>
      <c r="D8" s="3" t="s">
        <v>8</v>
      </c>
      <c r="E8" s="102" t="s">
        <v>65</v>
      </c>
      <c r="F8" s="102"/>
      <c r="G8" s="102"/>
      <c r="H8" s="102"/>
      <c r="I8" s="102"/>
      <c r="J8" s="102"/>
    </row>
    <row r="9" spans="2:10" x14ac:dyDescent="0.45">
      <c r="B9" s="2" t="s">
        <v>66</v>
      </c>
      <c r="C9" s="3" t="s">
        <v>5</v>
      </c>
      <c r="D9" s="4" t="s">
        <v>9</v>
      </c>
      <c r="E9" s="106" t="s">
        <v>174</v>
      </c>
      <c r="F9" s="107"/>
      <c r="G9" s="107"/>
      <c r="H9" s="107"/>
      <c r="I9" s="107"/>
      <c r="J9" s="108"/>
    </row>
    <row r="10" spans="2:10" x14ac:dyDescent="0.45">
      <c r="B10" s="2" t="s">
        <v>1</v>
      </c>
      <c r="C10" s="3" t="s">
        <v>5</v>
      </c>
      <c r="D10" s="4" t="s">
        <v>9</v>
      </c>
      <c r="E10" s="102" t="s">
        <v>70</v>
      </c>
      <c r="F10" s="102"/>
      <c r="G10" s="102"/>
      <c r="H10" s="102"/>
      <c r="I10" s="102"/>
      <c r="J10" s="102"/>
    </row>
    <row r="11" spans="2:10" x14ac:dyDescent="0.45">
      <c r="B11" s="2" t="s">
        <v>2</v>
      </c>
      <c r="C11" s="3" t="s">
        <v>6</v>
      </c>
      <c r="D11" s="4" t="s">
        <v>9</v>
      </c>
      <c r="E11" s="106" t="s">
        <v>71</v>
      </c>
      <c r="F11" s="107"/>
      <c r="G11" s="107"/>
      <c r="H11" s="107"/>
      <c r="I11" s="107"/>
      <c r="J11" s="108"/>
    </row>
    <row r="12" spans="2:10" x14ac:dyDescent="0.45">
      <c r="B12" s="2" t="s">
        <v>3</v>
      </c>
      <c r="C12" s="3" t="s">
        <v>5</v>
      </c>
      <c r="D12" s="4" t="s">
        <v>9</v>
      </c>
      <c r="E12" s="102" t="s">
        <v>63</v>
      </c>
      <c r="F12" s="102"/>
      <c r="G12" s="102"/>
      <c r="H12" s="102"/>
      <c r="I12" s="102"/>
      <c r="J12" s="102"/>
    </row>
    <row r="13" spans="2:10" x14ac:dyDescent="0.45">
      <c r="B13" s="2" t="s">
        <v>4</v>
      </c>
      <c r="C13" s="3" t="s">
        <v>5</v>
      </c>
      <c r="D13" s="3" t="s">
        <v>10</v>
      </c>
      <c r="E13" s="106" t="s">
        <v>64</v>
      </c>
      <c r="F13" s="107"/>
      <c r="G13" s="107"/>
      <c r="H13" s="107"/>
      <c r="I13" s="107"/>
      <c r="J13" s="108"/>
    </row>
    <row r="16" spans="2:10" x14ac:dyDescent="0.45">
      <c r="B16" s="5" t="s">
        <v>72</v>
      </c>
    </row>
    <row r="17" spans="2:13" x14ac:dyDescent="0.45">
      <c r="B17" s="1" t="s">
        <v>1</v>
      </c>
      <c r="C17" s="1" t="s">
        <v>51</v>
      </c>
      <c r="D17" s="1" t="s">
        <v>66</v>
      </c>
      <c r="E17" s="1" t="s">
        <v>2</v>
      </c>
      <c r="F17" s="103" t="s">
        <v>54</v>
      </c>
      <c r="G17" s="103"/>
      <c r="H17" s="103"/>
      <c r="I17" s="103"/>
      <c r="J17" s="103"/>
    </row>
    <row r="18" spans="2:13" x14ac:dyDescent="0.45">
      <c r="B18" s="3" t="s">
        <v>12</v>
      </c>
      <c r="C18" s="3" t="s">
        <v>11</v>
      </c>
      <c r="D18" s="3" t="s">
        <v>5</v>
      </c>
      <c r="E18" s="4">
        <v>0</v>
      </c>
      <c r="F18" s="102" t="s">
        <v>210</v>
      </c>
      <c r="G18" s="102"/>
      <c r="H18" s="102"/>
      <c r="I18" s="102"/>
      <c r="J18" s="102"/>
    </row>
    <row r="19" spans="2:13" x14ac:dyDescent="0.45">
      <c r="B19" s="3" t="s">
        <v>13</v>
      </c>
      <c r="C19" s="3" t="s">
        <v>15</v>
      </c>
      <c r="D19" s="3" t="s">
        <v>5</v>
      </c>
      <c r="E19" s="4">
        <v>0</v>
      </c>
      <c r="F19" s="102" t="s">
        <v>205</v>
      </c>
      <c r="G19" s="102"/>
      <c r="H19" s="102"/>
      <c r="I19" s="102"/>
      <c r="J19" s="102"/>
    </row>
    <row r="20" spans="2:13" x14ac:dyDescent="0.45">
      <c r="B20" s="3" t="s">
        <v>118</v>
      </c>
      <c r="C20" s="3" t="s">
        <v>119</v>
      </c>
      <c r="D20" s="3" t="s">
        <v>5</v>
      </c>
      <c r="E20" s="3" t="s">
        <v>120</v>
      </c>
      <c r="F20" s="102" t="s">
        <v>121</v>
      </c>
      <c r="G20" s="102"/>
      <c r="H20" s="102"/>
      <c r="I20" s="102"/>
      <c r="J20" s="102"/>
    </row>
    <row r="21" spans="2:13" x14ac:dyDescent="0.45">
      <c r="B21" s="3" t="s">
        <v>16</v>
      </c>
      <c r="C21" s="3" t="s">
        <v>14</v>
      </c>
      <c r="D21" s="3" t="s">
        <v>5</v>
      </c>
      <c r="E21" s="3" t="s">
        <v>67</v>
      </c>
      <c r="F21" s="102" t="s">
        <v>69</v>
      </c>
      <c r="G21" s="102"/>
      <c r="H21" s="102"/>
      <c r="I21" s="102"/>
      <c r="J21" s="102"/>
    </row>
    <row r="22" spans="2:13" x14ac:dyDescent="0.45">
      <c r="B22" s="3" t="s">
        <v>19</v>
      </c>
      <c r="C22" s="3" t="s">
        <v>17</v>
      </c>
      <c r="D22" s="3" t="s">
        <v>5</v>
      </c>
      <c r="E22" s="3" t="s">
        <v>68</v>
      </c>
      <c r="F22" s="102" t="s">
        <v>123</v>
      </c>
      <c r="G22" s="102"/>
      <c r="H22" s="102"/>
      <c r="I22" s="102"/>
      <c r="J22" s="102"/>
    </row>
    <row r="23" spans="2:13" x14ac:dyDescent="0.45">
      <c r="B23" s="3" t="s">
        <v>20</v>
      </c>
      <c r="C23" s="3" t="s">
        <v>21</v>
      </c>
      <c r="D23" s="3" t="s">
        <v>5</v>
      </c>
      <c r="E23" s="3" t="s">
        <v>68</v>
      </c>
      <c r="F23" s="102" t="s">
        <v>124</v>
      </c>
      <c r="G23" s="102"/>
      <c r="H23" s="102"/>
      <c r="I23" s="102"/>
      <c r="J23" s="102"/>
    </row>
    <row r="24" spans="2:13" x14ac:dyDescent="0.45">
      <c r="B24" s="3" t="s">
        <v>22</v>
      </c>
      <c r="C24" s="3" t="s">
        <v>18</v>
      </c>
      <c r="D24" s="3" t="s">
        <v>5</v>
      </c>
      <c r="E24" s="3" t="s">
        <v>122</v>
      </c>
      <c r="F24" s="102" t="s">
        <v>125</v>
      </c>
      <c r="G24" s="102"/>
      <c r="H24" s="102"/>
      <c r="I24" s="102"/>
      <c r="J24" s="102"/>
    </row>
    <row r="25" spans="2:13" x14ac:dyDescent="0.45">
      <c r="B25" s="3" t="s">
        <v>23</v>
      </c>
      <c r="C25" s="3" t="s">
        <v>24</v>
      </c>
      <c r="D25" s="3" t="s">
        <v>5</v>
      </c>
      <c r="E25" s="3" t="s">
        <v>122</v>
      </c>
      <c r="F25" s="102" t="s">
        <v>126</v>
      </c>
      <c r="G25" s="102"/>
      <c r="H25" s="102"/>
      <c r="I25" s="102"/>
      <c r="J25" s="102"/>
    </row>
    <row r="26" spans="2:13" x14ac:dyDescent="0.45">
      <c r="C26" s="9"/>
      <c r="D26" s="10"/>
      <c r="E26" s="9"/>
      <c r="F26" s="9"/>
      <c r="G26" s="9"/>
      <c r="H26" s="9"/>
    </row>
    <row r="28" spans="2:13" x14ac:dyDescent="0.45">
      <c r="B28" s="5" t="s">
        <v>216</v>
      </c>
    </row>
    <row r="29" spans="2:13" x14ac:dyDescent="0.45">
      <c r="B29" s="7" t="s">
        <v>48</v>
      </c>
      <c r="C29" s="9"/>
      <c r="D29" s="7" t="s">
        <v>47</v>
      </c>
      <c r="E29" s="11"/>
      <c r="F29" s="104" t="s">
        <v>47</v>
      </c>
      <c r="G29" s="104"/>
      <c r="H29" s="104"/>
      <c r="I29" s="104"/>
      <c r="J29" s="104"/>
      <c r="K29" s="104"/>
      <c r="L29" s="104"/>
      <c r="M29" s="104"/>
    </row>
    <row r="30" spans="2:13" x14ac:dyDescent="0.45">
      <c r="B30" s="8" t="s">
        <v>25</v>
      </c>
      <c r="C30" s="12" t="s">
        <v>46</v>
      </c>
      <c r="D30" s="8" t="s">
        <v>36</v>
      </c>
      <c r="E30" s="13" t="s">
        <v>49</v>
      </c>
      <c r="F30" s="14" t="s">
        <v>50</v>
      </c>
      <c r="G30" s="15" t="s">
        <v>108</v>
      </c>
      <c r="H30" s="16" t="s">
        <v>109</v>
      </c>
      <c r="I30" s="15" t="s">
        <v>110</v>
      </c>
      <c r="J30" s="16" t="s">
        <v>111</v>
      </c>
      <c r="K30" s="15" t="s">
        <v>112</v>
      </c>
      <c r="L30" s="17" t="s">
        <v>113</v>
      </c>
      <c r="M30" s="17" t="s">
        <v>127</v>
      </c>
    </row>
    <row r="31" spans="2:13" x14ac:dyDescent="0.45">
      <c r="B31" s="8" t="s">
        <v>26</v>
      </c>
      <c r="C31" s="12" t="s">
        <v>46</v>
      </c>
      <c r="D31" s="8" t="s">
        <v>37</v>
      </c>
      <c r="E31" s="18"/>
      <c r="F31" s="19" t="s">
        <v>55</v>
      </c>
      <c r="G31" s="20" t="s">
        <v>56</v>
      </c>
      <c r="H31" s="21" t="s">
        <v>57</v>
      </c>
      <c r="I31" s="20" t="s">
        <v>58</v>
      </c>
      <c r="J31" s="21" t="s">
        <v>59</v>
      </c>
      <c r="K31" s="20" t="s">
        <v>60</v>
      </c>
      <c r="L31" s="22" t="s">
        <v>61</v>
      </c>
      <c r="M31" s="22" t="s">
        <v>128</v>
      </c>
    </row>
    <row r="32" spans="2:13" x14ac:dyDescent="0.45">
      <c r="B32" s="8" t="s">
        <v>27</v>
      </c>
      <c r="C32" s="12" t="s">
        <v>46</v>
      </c>
      <c r="D32" s="8" t="s">
        <v>38</v>
      </c>
      <c r="E32" s="9"/>
      <c r="F32" s="9"/>
      <c r="G32" s="9"/>
      <c r="H32" s="9"/>
      <c r="I32" s="9"/>
      <c r="J32" s="9"/>
      <c r="K32" s="9"/>
      <c r="L32" s="9"/>
    </row>
    <row r="33" spans="2:12" x14ac:dyDescent="0.45">
      <c r="B33" s="8" t="s">
        <v>28</v>
      </c>
      <c r="C33" s="12" t="s">
        <v>46</v>
      </c>
      <c r="D33" s="8" t="s">
        <v>39</v>
      </c>
      <c r="E33" s="9"/>
      <c r="F33" s="9"/>
      <c r="G33" s="9"/>
      <c r="H33" s="9"/>
      <c r="I33" s="9"/>
      <c r="J33" s="9"/>
      <c r="K33" s="9"/>
      <c r="L33" s="9"/>
    </row>
    <row r="34" spans="2:12" x14ac:dyDescent="0.45">
      <c r="B34" s="8" t="s">
        <v>29</v>
      </c>
      <c r="C34" s="12" t="s">
        <v>46</v>
      </c>
      <c r="D34" s="8" t="s">
        <v>40</v>
      </c>
      <c r="E34" s="9"/>
      <c r="F34" s="9"/>
      <c r="G34" s="9"/>
      <c r="H34" s="9"/>
      <c r="I34" s="9"/>
      <c r="J34" s="9"/>
      <c r="K34" s="9"/>
      <c r="L34" s="9"/>
    </row>
    <row r="35" spans="2:12" x14ac:dyDescent="0.45">
      <c r="B35" s="8" t="s">
        <v>35</v>
      </c>
      <c r="C35" s="12"/>
      <c r="D35" s="8" t="s">
        <v>35</v>
      </c>
      <c r="E35" s="9"/>
      <c r="F35" s="9"/>
      <c r="G35" s="9"/>
      <c r="H35" s="9"/>
      <c r="I35" s="9"/>
      <c r="J35" s="9"/>
      <c r="K35" s="9"/>
      <c r="L35" s="9"/>
    </row>
    <row r="36" spans="2:12" x14ac:dyDescent="0.45">
      <c r="B36" s="8" t="s">
        <v>34</v>
      </c>
      <c r="C36" s="12" t="s">
        <v>46</v>
      </c>
      <c r="D36" s="8" t="s">
        <v>41</v>
      </c>
      <c r="E36" s="9"/>
      <c r="F36" s="9"/>
      <c r="G36" s="9"/>
      <c r="H36" s="9"/>
      <c r="I36" s="9"/>
      <c r="J36" s="9"/>
      <c r="K36" s="9"/>
      <c r="L36" s="9"/>
    </row>
    <row r="37" spans="2:12" x14ac:dyDescent="0.45">
      <c r="B37" s="8" t="s">
        <v>33</v>
      </c>
      <c r="C37" s="12" t="s">
        <v>46</v>
      </c>
      <c r="D37" s="8" t="s">
        <v>42</v>
      </c>
      <c r="E37" s="9"/>
      <c r="F37" s="9"/>
      <c r="G37" s="9"/>
      <c r="H37" s="9"/>
      <c r="I37" s="9"/>
      <c r="J37" s="9"/>
      <c r="K37" s="9"/>
      <c r="L37" s="9"/>
    </row>
    <row r="38" spans="2:12" x14ac:dyDescent="0.45">
      <c r="B38" s="8" t="s">
        <v>32</v>
      </c>
      <c r="C38" s="12" t="s">
        <v>46</v>
      </c>
      <c r="D38" s="8" t="s">
        <v>43</v>
      </c>
      <c r="E38" s="9"/>
      <c r="F38" s="9"/>
      <c r="G38" s="9"/>
      <c r="H38" s="9"/>
      <c r="I38" s="9"/>
      <c r="J38" s="9"/>
      <c r="K38" s="9"/>
      <c r="L38" s="9"/>
    </row>
    <row r="39" spans="2:12" x14ac:dyDescent="0.45">
      <c r="B39" s="8" t="s">
        <v>31</v>
      </c>
      <c r="C39" s="12" t="s">
        <v>46</v>
      </c>
      <c r="D39" s="8" t="s">
        <v>44</v>
      </c>
      <c r="E39" s="9"/>
      <c r="F39" s="9"/>
      <c r="G39" s="9"/>
      <c r="H39" s="9"/>
      <c r="I39" s="9"/>
      <c r="J39" s="9"/>
      <c r="K39" s="9"/>
      <c r="L39" s="9"/>
    </row>
    <row r="40" spans="2:12" x14ac:dyDescent="0.45">
      <c r="B40" s="8" t="s">
        <v>30</v>
      </c>
      <c r="C40" s="12" t="s">
        <v>46</v>
      </c>
      <c r="D40" s="8" t="s">
        <v>45</v>
      </c>
      <c r="E40" s="9"/>
      <c r="F40" s="9"/>
      <c r="G40" s="9"/>
      <c r="H40" s="9"/>
      <c r="I40" s="9"/>
      <c r="J40" s="9"/>
      <c r="K40" s="9"/>
      <c r="L40" s="9"/>
    </row>
    <row r="43" spans="2:12" x14ac:dyDescent="0.45">
      <c r="B43" s="5" t="s">
        <v>217</v>
      </c>
    </row>
    <row r="44" spans="2:12" x14ac:dyDescent="0.45">
      <c r="B44" s="6" t="s">
        <v>206</v>
      </c>
    </row>
    <row r="76" spans="2:2" x14ac:dyDescent="0.45">
      <c r="B76" s="6" t="s">
        <v>207</v>
      </c>
    </row>
    <row r="108" spans="2:2" x14ac:dyDescent="0.45">
      <c r="B108" s="6" t="s">
        <v>208</v>
      </c>
    </row>
  </sheetData>
  <mergeCells count="18">
    <mergeCell ref="B3:G3"/>
    <mergeCell ref="E9:J9"/>
    <mergeCell ref="E11:J11"/>
    <mergeCell ref="E13:J13"/>
    <mergeCell ref="F17:J17"/>
    <mergeCell ref="F25:J25"/>
    <mergeCell ref="E7:J7"/>
    <mergeCell ref="F29:M29"/>
    <mergeCell ref="E8:J8"/>
    <mergeCell ref="E10:J10"/>
    <mergeCell ref="E12:J12"/>
    <mergeCell ref="F24:J24"/>
    <mergeCell ref="F23:J23"/>
    <mergeCell ref="F22:J22"/>
    <mergeCell ref="F21:J21"/>
    <mergeCell ref="F19:J19"/>
    <mergeCell ref="F18:J18"/>
    <mergeCell ref="F20:J2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1EA6-99AD-4FE8-82D9-732EE4C0DA8F}">
  <dimension ref="B2:L23"/>
  <sheetViews>
    <sheetView zoomScale="85" zoomScaleNormal="85" workbookViewId="0"/>
  </sheetViews>
  <sheetFormatPr defaultColWidth="9" defaultRowHeight="16" x14ac:dyDescent="0.45"/>
  <cols>
    <col min="1" max="1" width="2.58203125" style="9" customWidth="1"/>
    <col min="2" max="4" width="9" style="9"/>
    <col min="5" max="5" width="9" style="9" customWidth="1"/>
    <col min="6" max="16384" width="9" style="9"/>
  </cols>
  <sheetData>
    <row r="2" spans="2:12" ht="16.5" customHeight="1" x14ac:dyDescent="0.45">
      <c r="B2" s="109" t="s">
        <v>107</v>
      </c>
      <c r="D2" s="104" t="s">
        <v>86</v>
      </c>
      <c r="E2" s="104" t="s">
        <v>74</v>
      </c>
      <c r="F2" s="104"/>
      <c r="G2" s="104"/>
      <c r="H2" s="104"/>
      <c r="I2" s="104" t="s">
        <v>73</v>
      </c>
      <c r="J2" s="104"/>
      <c r="K2" s="104"/>
      <c r="L2" s="104"/>
    </row>
    <row r="3" spans="2:12" x14ac:dyDescent="0.45">
      <c r="B3" s="110"/>
      <c r="D3" s="104"/>
      <c r="E3" s="7" t="s">
        <v>114</v>
      </c>
      <c r="F3" s="7" t="s">
        <v>115</v>
      </c>
      <c r="G3" s="7" t="s">
        <v>116</v>
      </c>
      <c r="H3" s="7" t="s">
        <v>117</v>
      </c>
      <c r="I3" s="7" t="s">
        <v>114</v>
      </c>
      <c r="J3" s="7" t="s">
        <v>115</v>
      </c>
      <c r="K3" s="7" t="s">
        <v>116</v>
      </c>
      <c r="L3" s="28" t="s">
        <v>117</v>
      </c>
    </row>
    <row r="4" spans="2:12" x14ac:dyDescent="0.45">
      <c r="B4" s="23" t="s">
        <v>106</v>
      </c>
      <c r="C4" s="27" t="s">
        <v>46</v>
      </c>
      <c r="D4" s="23" t="s">
        <v>36</v>
      </c>
      <c r="E4" s="24">
        <v>1</v>
      </c>
      <c r="F4" s="25">
        <f t="shared" ref="F4:L13" si="0">E4+20</f>
        <v>21</v>
      </c>
      <c r="G4" s="25">
        <f t="shared" si="0"/>
        <v>41</v>
      </c>
      <c r="H4" s="25">
        <f t="shared" si="0"/>
        <v>61</v>
      </c>
      <c r="I4" s="25">
        <f t="shared" si="0"/>
        <v>81</v>
      </c>
      <c r="J4" s="25">
        <f t="shared" si="0"/>
        <v>101</v>
      </c>
      <c r="K4" s="25">
        <f t="shared" ref="K4:K23" si="1">J4+20</f>
        <v>121</v>
      </c>
      <c r="L4" s="26">
        <f t="shared" si="0"/>
        <v>141</v>
      </c>
    </row>
    <row r="5" spans="2:12" x14ac:dyDescent="0.45">
      <c r="B5" s="23" t="s">
        <v>105</v>
      </c>
      <c r="C5" s="27" t="s">
        <v>46</v>
      </c>
      <c r="D5" s="23" t="s">
        <v>37</v>
      </c>
      <c r="E5" s="24">
        <v>2</v>
      </c>
      <c r="F5" s="25">
        <f t="shared" si="0"/>
        <v>22</v>
      </c>
      <c r="G5" s="25">
        <f t="shared" si="0"/>
        <v>42</v>
      </c>
      <c r="H5" s="25">
        <f t="shared" si="0"/>
        <v>62</v>
      </c>
      <c r="I5" s="25">
        <f t="shared" si="0"/>
        <v>82</v>
      </c>
      <c r="J5" s="25">
        <f t="shared" si="0"/>
        <v>102</v>
      </c>
      <c r="K5" s="25">
        <f t="shared" si="1"/>
        <v>122</v>
      </c>
      <c r="L5" s="26">
        <f t="shared" si="0"/>
        <v>142</v>
      </c>
    </row>
    <row r="6" spans="2:12" x14ac:dyDescent="0.45">
      <c r="B6" s="23" t="s">
        <v>104</v>
      </c>
      <c r="C6" s="27" t="s">
        <v>46</v>
      </c>
      <c r="D6" s="23" t="s">
        <v>38</v>
      </c>
      <c r="E6" s="24">
        <v>3</v>
      </c>
      <c r="F6" s="25">
        <f t="shared" si="0"/>
        <v>23</v>
      </c>
      <c r="G6" s="25">
        <f t="shared" si="0"/>
        <v>43</v>
      </c>
      <c r="H6" s="25">
        <f t="shared" si="0"/>
        <v>63</v>
      </c>
      <c r="I6" s="25">
        <f t="shared" si="0"/>
        <v>83</v>
      </c>
      <c r="J6" s="25">
        <f t="shared" si="0"/>
        <v>103</v>
      </c>
      <c r="K6" s="25">
        <f t="shared" si="1"/>
        <v>123</v>
      </c>
      <c r="L6" s="26">
        <f t="shared" si="0"/>
        <v>143</v>
      </c>
    </row>
    <row r="7" spans="2:12" x14ac:dyDescent="0.45">
      <c r="B7" s="23" t="s">
        <v>103</v>
      </c>
      <c r="C7" s="27" t="s">
        <v>46</v>
      </c>
      <c r="D7" s="23" t="s">
        <v>39</v>
      </c>
      <c r="E7" s="24">
        <v>4</v>
      </c>
      <c r="F7" s="25">
        <f t="shared" si="0"/>
        <v>24</v>
      </c>
      <c r="G7" s="25">
        <f t="shared" si="0"/>
        <v>44</v>
      </c>
      <c r="H7" s="25">
        <f t="shared" si="0"/>
        <v>64</v>
      </c>
      <c r="I7" s="25">
        <f t="shared" si="0"/>
        <v>84</v>
      </c>
      <c r="J7" s="25">
        <f t="shared" si="0"/>
        <v>104</v>
      </c>
      <c r="K7" s="25">
        <f t="shared" si="1"/>
        <v>124</v>
      </c>
      <c r="L7" s="26">
        <f t="shared" si="0"/>
        <v>144</v>
      </c>
    </row>
    <row r="8" spans="2:12" x14ac:dyDescent="0.45">
      <c r="B8" s="23" t="s">
        <v>102</v>
      </c>
      <c r="C8" s="27" t="s">
        <v>46</v>
      </c>
      <c r="D8" s="23" t="s">
        <v>40</v>
      </c>
      <c r="E8" s="24">
        <v>5</v>
      </c>
      <c r="F8" s="25">
        <f t="shared" si="0"/>
        <v>25</v>
      </c>
      <c r="G8" s="25">
        <f t="shared" si="0"/>
        <v>45</v>
      </c>
      <c r="H8" s="25">
        <f t="shared" si="0"/>
        <v>65</v>
      </c>
      <c r="I8" s="25">
        <f t="shared" si="0"/>
        <v>85</v>
      </c>
      <c r="J8" s="25">
        <f t="shared" si="0"/>
        <v>105</v>
      </c>
      <c r="K8" s="25">
        <f t="shared" si="1"/>
        <v>125</v>
      </c>
      <c r="L8" s="26">
        <f t="shared" si="0"/>
        <v>145</v>
      </c>
    </row>
    <row r="9" spans="2:12" x14ac:dyDescent="0.45">
      <c r="B9" s="23" t="s">
        <v>101</v>
      </c>
      <c r="C9" s="27" t="s">
        <v>46</v>
      </c>
      <c r="D9" s="23" t="s">
        <v>85</v>
      </c>
      <c r="E9" s="24">
        <v>6</v>
      </c>
      <c r="F9" s="25">
        <f t="shared" si="0"/>
        <v>26</v>
      </c>
      <c r="G9" s="25">
        <f t="shared" si="0"/>
        <v>46</v>
      </c>
      <c r="H9" s="25">
        <f t="shared" si="0"/>
        <v>66</v>
      </c>
      <c r="I9" s="25">
        <f t="shared" si="0"/>
        <v>86</v>
      </c>
      <c r="J9" s="25">
        <f t="shared" si="0"/>
        <v>106</v>
      </c>
      <c r="K9" s="25">
        <f t="shared" si="1"/>
        <v>126</v>
      </c>
      <c r="L9" s="26">
        <f t="shared" si="0"/>
        <v>146</v>
      </c>
    </row>
    <row r="10" spans="2:12" x14ac:dyDescent="0.45">
      <c r="B10" s="23" t="s">
        <v>100</v>
      </c>
      <c r="C10" s="27" t="s">
        <v>46</v>
      </c>
      <c r="D10" s="23" t="s">
        <v>84</v>
      </c>
      <c r="E10" s="24">
        <v>7</v>
      </c>
      <c r="F10" s="25">
        <f t="shared" si="0"/>
        <v>27</v>
      </c>
      <c r="G10" s="25">
        <f t="shared" si="0"/>
        <v>47</v>
      </c>
      <c r="H10" s="25">
        <f t="shared" si="0"/>
        <v>67</v>
      </c>
      <c r="I10" s="25">
        <f t="shared" si="0"/>
        <v>87</v>
      </c>
      <c r="J10" s="25">
        <f t="shared" si="0"/>
        <v>107</v>
      </c>
      <c r="K10" s="25">
        <f t="shared" si="1"/>
        <v>127</v>
      </c>
      <c r="L10" s="26">
        <f t="shared" si="0"/>
        <v>147</v>
      </c>
    </row>
    <row r="11" spans="2:12" x14ac:dyDescent="0.45">
      <c r="B11" s="23" t="s">
        <v>99</v>
      </c>
      <c r="C11" s="27" t="s">
        <v>46</v>
      </c>
      <c r="D11" s="23" t="s">
        <v>83</v>
      </c>
      <c r="E11" s="24">
        <v>8</v>
      </c>
      <c r="F11" s="25">
        <f t="shared" si="0"/>
        <v>28</v>
      </c>
      <c r="G11" s="25">
        <f t="shared" si="0"/>
        <v>48</v>
      </c>
      <c r="H11" s="25">
        <f t="shared" si="0"/>
        <v>68</v>
      </c>
      <c r="I11" s="25">
        <f t="shared" si="0"/>
        <v>88</v>
      </c>
      <c r="J11" s="25">
        <f t="shared" si="0"/>
        <v>108</v>
      </c>
      <c r="K11" s="25">
        <f t="shared" si="1"/>
        <v>128</v>
      </c>
      <c r="L11" s="26">
        <f t="shared" si="0"/>
        <v>148</v>
      </c>
    </row>
    <row r="12" spans="2:12" x14ac:dyDescent="0.45">
      <c r="B12" s="23" t="s">
        <v>98</v>
      </c>
      <c r="C12" s="27" t="s">
        <v>46</v>
      </c>
      <c r="D12" s="23" t="s">
        <v>82</v>
      </c>
      <c r="E12" s="24">
        <v>9</v>
      </c>
      <c r="F12" s="25">
        <f t="shared" si="0"/>
        <v>29</v>
      </c>
      <c r="G12" s="25">
        <f t="shared" si="0"/>
        <v>49</v>
      </c>
      <c r="H12" s="25">
        <f t="shared" si="0"/>
        <v>69</v>
      </c>
      <c r="I12" s="25">
        <f t="shared" si="0"/>
        <v>89</v>
      </c>
      <c r="J12" s="25">
        <f t="shared" si="0"/>
        <v>109</v>
      </c>
      <c r="K12" s="25">
        <f t="shared" si="1"/>
        <v>129</v>
      </c>
      <c r="L12" s="26">
        <f t="shared" si="0"/>
        <v>149</v>
      </c>
    </row>
    <row r="13" spans="2:12" x14ac:dyDescent="0.45">
      <c r="B13" s="23" t="s">
        <v>97</v>
      </c>
      <c r="C13" s="27" t="s">
        <v>46</v>
      </c>
      <c r="D13" s="23" t="s">
        <v>81</v>
      </c>
      <c r="E13" s="24">
        <v>10</v>
      </c>
      <c r="F13" s="25">
        <f t="shared" si="0"/>
        <v>30</v>
      </c>
      <c r="G13" s="25">
        <f t="shared" si="0"/>
        <v>50</v>
      </c>
      <c r="H13" s="25">
        <f t="shared" si="0"/>
        <v>70</v>
      </c>
      <c r="I13" s="25">
        <f t="shared" si="0"/>
        <v>90</v>
      </c>
      <c r="J13" s="25">
        <f t="shared" si="0"/>
        <v>110</v>
      </c>
      <c r="K13" s="25">
        <f t="shared" si="1"/>
        <v>130</v>
      </c>
      <c r="L13" s="26">
        <f t="shared" si="0"/>
        <v>150</v>
      </c>
    </row>
    <row r="14" spans="2:12" x14ac:dyDescent="0.45">
      <c r="B14" s="23" t="s">
        <v>96</v>
      </c>
      <c r="C14" s="27" t="s">
        <v>46</v>
      </c>
      <c r="D14" s="23" t="s">
        <v>80</v>
      </c>
      <c r="E14" s="24">
        <v>11</v>
      </c>
      <c r="F14" s="25">
        <f t="shared" ref="F14:L23" si="2">E14+20</f>
        <v>31</v>
      </c>
      <c r="G14" s="25">
        <f t="shared" si="2"/>
        <v>51</v>
      </c>
      <c r="H14" s="25">
        <f t="shared" si="2"/>
        <v>71</v>
      </c>
      <c r="I14" s="25">
        <f t="shared" si="2"/>
        <v>91</v>
      </c>
      <c r="J14" s="25">
        <f t="shared" si="2"/>
        <v>111</v>
      </c>
      <c r="K14" s="25">
        <f t="shared" si="1"/>
        <v>131</v>
      </c>
      <c r="L14" s="26">
        <f t="shared" si="2"/>
        <v>151</v>
      </c>
    </row>
    <row r="15" spans="2:12" x14ac:dyDescent="0.45">
      <c r="B15" s="23" t="s">
        <v>95</v>
      </c>
      <c r="C15" s="27" t="s">
        <v>46</v>
      </c>
      <c r="D15" s="23" t="s">
        <v>79</v>
      </c>
      <c r="E15" s="24">
        <v>12</v>
      </c>
      <c r="F15" s="25">
        <f t="shared" si="2"/>
        <v>32</v>
      </c>
      <c r="G15" s="25">
        <f t="shared" si="2"/>
        <v>52</v>
      </c>
      <c r="H15" s="25">
        <f t="shared" si="2"/>
        <v>72</v>
      </c>
      <c r="I15" s="25">
        <f t="shared" si="2"/>
        <v>92</v>
      </c>
      <c r="J15" s="25">
        <f t="shared" si="2"/>
        <v>112</v>
      </c>
      <c r="K15" s="25">
        <f t="shared" si="1"/>
        <v>132</v>
      </c>
      <c r="L15" s="26">
        <f t="shared" si="2"/>
        <v>152</v>
      </c>
    </row>
    <row r="16" spans="2:12" x14ac:dyDescent="0.45">
      <c r="B16" s="23" t="s">
        <v>94</v>
      </c>
      <c r="C16" s="27" t="s">
        <v>46</v>
      </c>
      <c r="D16" s="23" t="s">
        <v>78</v>
      </c>
      <c r="E16" s="24">
        <v>13</v>
      </c>
      <c r="F16" s="25">
        <f t="shared" si="2"/>
        <v>33</v>
      </c>
      <c r="G16" s="25">
        <f t="shared" si="2"/>
        <v>53</v>
      </c>
      <c r="H16" s="25">
        <f t="shared" si="2"/>
        <v>73</v>
      </c>
      <c r="I16" s="25">
        <f t="shared" si="2"/>
        <v>93</v>
      </c>
      <c r="J16" s="25">
        <f t="shared" si="2"/>
        <v>113</v>
      </c>
      <c r="K16" s="25">
        <f t="shared" si="1"/>
        <v>133</v>
      </c>
      <c r="L16" s="26">
        <f t="shared" si="2"/>
        <v>153</v>
      </c>
    </row>
    <row r="17" spans="2:12" x14ac:dyDescent="0.45">
      <c r="B17" s="23" t="s">
        <v>93</v>
      </c>
      <c r="C17" s="27" t="s">
        <v>46</v>
      </c>
      <c r="D17" s="23" t="s">
        <v>77</v>
      </c>
      <c r="E17" s="24">
        <v>14</v>
      </c>
      <c r="F17" s="25">
        <f t="shared" si="2"/>
        <v>34</v>
      </c>
      <c r="G17" s="25">
        <f t="shared" si="2"/>
        <v>54</v>
      </c>
      <c r="H17" s="25">
        <f t="shared" si="2"/>
        <v>74</v>
      </c>
      <c r="I17" s="25">
        <f t="shared" si="2"/>
        <v>94</v>
      </c>
      <c r="J17" s="25">
        <f t="shared" si="2"/>
        <v>114</v>
      </c>
      <c r="K17" s="25">
        <f t="shared" si="1"/>
        <v>134</v>
      </c>
      <c r="L17" s="26">
        <f t="shared" si="2"/>
        <v>154</v>
      </c>
    </row>
    <row r="18" spans="2:12" x14ac:dyDescent="0.45">
      <c r="B18" s="23" t="s">
        <v>92</v>
      </c>
      <c r="C18" s="27" t="s">
        <v>46</v>
      </c>
      <c r="D18" s="23" t="s">
        <v>76</v>
      </c>
      <c r="E18" s="24">
        <v>15</v>
      </c>
      <c r="F18" s="25">
        <f t="shared" si="2"/>
        <v>35</v>
      </c>
      <c r="G18" s="25">
        <f t="shared" si="2"/>
        <v>55</v>
      </c>
      <c r="H18" s="25">
        <f t="shared" si="2"/>
        <v>75</v>
      </c>
      <c r="I18" s="25">
        <f t="shared" si="2"/>
        <v>95</v>
      </c>
      <c r="J18" s="25">
        <f t="shared" si="2"/>
        <v>115</v>
      </c>
      <c r="K18" s="25">
        <f t="shared" si="1"/>
        <v>135</v>
      </c>
      <c r="L18" s="26">
        <f t="shared" si="2"/>
        <v>155</v>
      </c>
    </row>
    <row r="19" spans="2:12" x14ac:dyDescent="0.45">
      <c r="B19" s="23" t="s">
        <v>91</v>
      </c>
      <c r="C19" s="27" t="s">
        <v>46</v>
      </c>
      <c r="D19" s="23" t="s">
        <v>75</v>
      </c>
      <c r="E19" s="24">
        <v>16</v>
      </c>
      <c r="F19" s="25">
        <f t="shared" si="2"/>
        <v>36</v>
      </c>
      <c r="G19" s="25">
        <f t="shared" si="2"/>
        <v>56</v>
      </c>
      <c r="H19" s="25">
        <f t="shared" si="2"/>
        <v>76</v>
      </c>
      <c r="I19" s="25">
        <f t="shared" si="2"/>
        <v>96</v>
      </c>
      <c r="J19" s="25">
        <f t="shared" si="2"/>
        <v>116</v>
      </c>
      <c r="K19" s="25">
        <f t="shared" si="1"/>
        <v>136</v>
      </c>
      <c r="L19" s="26">
        <f t="shared" si="2"/>
        <v>156</v>
      </c>
    </row>
    <row r="20" spans="2:12" x14ac:dyDescent="0.45">
      <c r="B20" s="23" t="s">
        <v>90</v>
      </c>
      <c r="C20" s="27" t="s">
        <v>46</v>
      </c>
      <c r="D20" s="23" t="s">
        <v>42</v>
      </c>
      <c r="E20" s="24">
        <v>17</v>
      </c>
      <c r="F20" s="25">
        <f t="shared" si="2"/>
        <v>37</v>
      </c>
      <c r="G20" s="25">
        <f t="shared" si="2"/>
        <v>57</v>
      </c>
      <c r="H20" s="25">
        <f t="shared" si="2"/>
        <v>77</v>
      </c>
      <c r="I20" s="25">
        <f t="shared" si="2"/>
        <v>97</v>
      </c>
      <c r="J20" s="25">
        <f t="shared" si="2"/>
        <v>117</v>
      </c>
      <c r="K20" s="25">
        <f t="shared" si="1"/>
        <v>137</v>
      </c>
      <c r="L20" s="26">
        <f t="shared" si="2"/>
        <v>157</v>
      </c>
    </row>
    <row r="21" spans="2:12" x14ac:dyDescent="0.45">
      <c r="B21" s="23" t="s">
        <v>89</v>
      </c>
      <c r="C21" s="27" t="s">
        <v>46</v>
      </c>
      <c r="D21" s="23" t="s">
        <v>43</v>
      </c>
      <c r="E21" s="24">
        <v>18</v>
      </c>
      <c r="F21" s="25">
        <f t="shared" si="2"/>
        <v>38</v>
      </c>
      <c r="G21" s="25">
        <f t="shared" si="2"/>
        <v>58</v>
      </c>
      <c r="H21" s="25">
        <f t="shared" si="2"/>
        <v>78</v>
      </c>
      <c r="I21" s="25">
        <f t="shared" si="2"/>
        <v>98</v>
      </c>
      <c r="J21" s="25">
        <f t="shared" si="2"/>
        <v>118</v>
      </c>
      <c r="K21" s="25">
        <f t="shared" si="1"/>
        <v>138</v>
      </c>
      <c r="L21" s="26">
        <f t="shared" si="2"/>
        <v>158</v>
      </c>
    </row>
    <row r="22" spans="2:12" x14ac:dyDescent="0.45">
      <c r="B22" s="23" t="s">
        <v>88</v>
      </c>
      <c r="C22" s="27" t="s">
        <v>46</v>
      </c>
      <c r="D22" s="23" t="s">
        <v>44</v>
      </c>
      <c r="E22" s="24">
        <v>19</v>
      </c>
      <c r="F22" s="25">
        <f t="shared" si="2"/>
        <v>39</v>
      </c>
      <c r="G22" s="25">
        <f t="shared" si="2"/>
        <v>59</v>
      </c>
      <c r="H22" s="25">
        <f t="shared" si="2"/>
        <v>79</v>
      </c>
      <c r="I22" s="25">
        <f t="shared" si="2"/>
        <v>99</v>
      </c>
      <c r="J22" s="25">
        <f t="shared" si="2"/>
        <v>119</v>
      </c>
      <c r="K22" s="25">
        <f t="shared" si="1"/>
        <v>139</v>
      </c>
      <c r="L22" s="26">
        <f t="shared" si="2"/>
        <v>159</v>
      </c>
    </row>
    <row r="23" spans="2:12" x14ac:dyDescent="0.45">
      <c r="B23" s="23" t="s">
        <v>87</v>
      </c>
      <c r="C23" s="27" t="s">
        <v>46</v>
      </c>
      <c r="D23" s="23" t="s">
        <v>45</v>
      </c>
      <c r="E23" s="24">
        <v>20</v>
      </c>
      <c r="F23" s="25">
        <f t="shared" si="2"/>
        <v>40</v>
      </c>
      <c r="G23" s="25">
        <f t="shared" si="2"/>
        <v>60</v>
      </c>
      <c r="H23" s="25">
        <f t="shared" si="2"/>
        <v>80</v>
      </c>
      <c r="I23" s="25">
        <f t="shared" si="2"/>
        <v>100</v>
      </c>
      <c r="J23" s="25">
        <f t="shared" si="2"/>
        <v>120</v>
      </c>
      <c r="K23" s="25">
        <f t="shared" si="1"/>
        <v>140</v>
      </c>
      <c r="L23" s="26">
        <f t="shared" si="2"/>
        <v>160</v>
      </c>
    </row>
  </sheetData>
  <mergeCells count="4">
    <mergeCell ref="E2:H2"/>
    <mergeCell ref="I2:L2"/>
    <mergeCell ref="D2:D3"/>
    <mergeCell ref="B2:B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76C9-E522-4127-B982-E334D5A025FE}">
  <dimension ref="B1:L11"/>
  <sheetViews>
    <sheetView zoomScale="85" zoomScaleNormal="85" workbookViewId="0"/>
  </sheetViews>
  <sheetFormatPr defaultColWidth="9" defaultRowHeight="17" x14ac:dyDescent="0.45"/>
  <cols>
    <col min="1" max="1" width="2.58203125" style="29" customWidth="1"/>
    <col min="2" max="2" width="8.33203125" style="29" bestFit="1" customWidth="1"/>
    <col min="3" max="3" width="21.33203125" style="29" bestFit="1" customWidth="1"/>
    <col min="4" max="4" width="24.75" style="29" bestFit="1" customWidth="1"/>
    <col min="5" max="5" width="41.83203125" style="29" bestFit="1" customWidth="1"/>
    <col min="6" max="6" width="27.33203125" style="29" bestFit="1" customWidth="1"/>
    <col min="7" max="7" width="24.75" style="29" bestFit="1" customWidth="1"/>
    <col min="8" max="8" width="23.08203125" style="29" bestFit="1" customWidth="1"/>
    <col min="9" max="9" width="15.58203125" style="29" bestFit="1" customWidth="1"/>
    <col min="10" max="10" width="13.83203125" style="29" bestFit="1" customWidth="1"/>
    <col min="11" max="11" width="22.75" style="29" bestFit="1" customWidth="1"/>
    <col min="12" max="12" width="9.25" style="29" bestFit="1" customWidth="1"/>
    <col min="13" max="13" width="9" style="29"/>
    <col min="14" max="14" width="9.25" style="29" bestFit="1" customWidth="1"/>
    <col min="15" max="16384" width="9" style="29"/>
  </cols>
  <sheetData>
    <row r="1" spans="2:12" ht="17.5" thickBot="1" x14ac:dyDescent="0.5"/>
    <row r="2" spans="2:12" ht="17.5" thickBot="1" x14ac:dyDescent="0.5">
      <c r="B2" s="39" t="s">
        <v>154</v>
      </c>
      <c r="C2" s="40" t="s">
        <v>129</v>
      </c>
      <c r="D2" s="33" t="s">
        <v>140</v>
      </c>
      <c r="E2" s="34" t="s">
        <v>141</v>
      </c>
      <c r="F2" s="36" t="s">
        <v>142</v>
      </c>
      <c r="G2" s="44" t="s">
        <v>130</v>
      </c>
      <c r="H2" s="35" t="s">
        <v>131</v>
      </c>
      <c r="I2" s="35" t="s">
        <v>132</v>
      </c>
      <c r="J2" s="35" t="s">
        <v>133</v>
      </c>
      <c r="K2" s="51" t="s">
        <v>134</v>
      </c>
      <c r="L2" s="39" t="s">
        <v>136</v>
      </c>
    </row>
    <row r="3" spans="2:12" x14ac:dyDescent="0.45">
      <c r="B3" s="58">
        <v>1</v>
      </c>
      <c r="C3" s="41" t="s">
        <v>156</v>
      </c>
      <c r="D3" s="45"/>
      <c r="E3" s="32"/>
      <c r="F3" s="46"/>
      <c r="G3" s="37" t="s">
        <v>151</v>
      </c>
      <c r="H3" s="32" t="s">
        <v>152</v>
      </c>
      <c r="I3" s="32"/>
      <c r="J3" s="32"/>
      <c r="K3" s="52"/>
      <c r="L3" s="55" t="s">
        <v>169</v>
      </c>
    </row>
    <row r="4" spans="2:12" x14ac:dyDescent="0.45">
      <c r="B4" s="59">
        <v>2</v>
      </c>
      <c r="C4" s="42" t="s">
        <v>146</v>
      </c>
      <c r="D4" s="47" t="s">
        <v>153</v>
      </c>
      <c r="E4" s="30" t="s">
        <v>148</v>
      </c>
      <c r="F4" s="48" t="s">
        <v>212</v>
      </c>
      <c r="G4" s="38" t="s">
        <v>163</v>
      </c>
      <c r="H4" s="30" t="s">
        <v>165</v>
      </c>
      <c r="I4" s="30" t="s">
        <v>167</v>
      </c>
      <c r="J4" s="30" t="s">
        <v>146</v>
      </c>
      <c r="K4" s="53"/>
      <c r="L4" s="56" t="s">
        <v>139</v>
      </c>
    </row>
    <row r="5" spans="2:12" x14ac:dyDescent="0.45">
      <c r="B5" s="59">
        <v>3</v>
      </c>
      <c r="C5" s="42" t="s">
        <v>147</v>
      </c>
      <c r="D5" s="47" t="s">
        <v>153</v>
      </c>
      <c r="E5" s="30" t="s">
        <v>149</v>
      </c>
      <c r="F5" s="48" t="s">
        <v>143</v>
      </c>
      <c r="G5" s="38" t="s">
        <v>164</v>
      </c>
      <c r="H5" s="30" t="s">
        <v>166</v>
      </c>
      <c r="I5" s="30" t="s">
        <v>168</v>
      </c>
      <c r="J5" s="30" t="s">
        <v>147</v>
      </c>
      <c r="K5" s="53"/>
      <c r="L5" s="56" t="s">
        <v>139</v>
      </c>
    </row>
    <row r="6" spans="2:12" x14ac:dyDescent="0.45">
      <c r="B6" s="59">
        <v>4</v>
      </c>
      <c r="C6" s="42" t="s">
        <v>157</v>
      </c>
      <c r="D6" s="47" t="s">
        <v>144</v>
      </c>
      <c r="E6" s="30" t="s">
        <v>135</v>
      </c>
      <c r="F6" s="48"/>
      <c r="G6" s="38" t="s">
        <v>215</v>
      </c>
      <c r="H6" s="30" t="s">
        <v>145</v>
      </c>
      <c r="I6" s="30"/>
      <c r="J6" s="30"/>
      <c r="K6" s="53"/>
      <c r="L6" s="56" t="s">
        <v>139</v>
      </c>
    </row>
    <row r="7" spans="2:12" x14ac:dyDescent="0.45">
      <c r="B7" s="59">
        <v>5</v>
      </c>
      <c r="C7" s="42" t="s">
        <v>155</v>
      </c>
      <c r="D7" s="47" t="s">
        <v>144</v>
      </c>
      <c r="E7" s="30"/>
      <c r="F7" s="48"/>
      <c r="G7" s="38" t="s">
        <v>159</v>
      </c>
      <c r="H7" s="30" t="s">
        <v>160</v>
      </c>
      <c r="I7" s="30" t="s">
        <v>161</v>
      </c>
      <c r="J7" s="30" t="s">
        <v>162</v>
      </c>
      <c r="K7" s="53" t="s">
        <v>209</v>
      </c>
      <c r="L7" s="56" t="s">
        <v>138</v>
      </c>
    </row>
    <row r="8" spans="2:12" ht="17.5" thickBot="1" x14ac:dyDescent="0.5">
      <c r="B8" s="60">
        <v>6</v>
      </c>
      <c r="C8" s="43" t="s">
        <v>158</v>
      </c>
      <c r="D8" s="49" t="s">
        <v>144</v>
      </c>
      <c r="E8" s="31" t="s">
        <v>150</v>
      </c>
      <c r="F8" s="50" t="s">
        <v>170</v>
      </c>
      <c r="G8" s="101" t="s">
        <v>211</v>
      </c>
      <c r="H8" s="31" t="s">
        <v>137</v>
      </c>
      <c r="I8" s="31"/>
      <c r="J8" s="31"/>
      <c r="K8" s="54"/>
      <c r="L8" s="57" t="s">
        <v>138</v>
      </c>
    </row>
    <row r="10" spans="2:12" x14ac:dyDescent="0.45">
      <c r="B10" s="29" t="s">
        <v>213</v>
      </c>
    </row>
    <row r="11" spans="2:12" x14ac:dyDescent="0.45">
      <c r="B11" s="29" t="s">
        <v>214</v>
      </c>
    </row>
  </sheetData>
  <phoneticPr fontId="1" type="noConversion"/>
  <conditionalFormatting sqref="C2:K3 B2:B8 C4:H5 J4:K5 C6:K7 D8:F8">
    <cfRule type="containsText" dxfId="0" priority="2" operator="containsText" text="(?)">
      <formula>NOT(ISERROR(SEARCH("(?)",B2)))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2CDE-03D0-4073-94E8-BF70397D701B}">
  <dimension ref="B2:W2"/>
  <sheetViews>
    <sheetView tabSelected="1" zoomScale="70" zoomScaleNormal="70" workbookViewId="0"/>
  </sheetViews>
  <sheetFormatPr defaultRowHeight="17" x14ac:dyDescent="0.45"/>
  <cols>
    <col min="1" max="1" width="2.58203125" customWidth="1"/>
  </cols>
  <sheetData>
    <row r="2" spans="2:23" x14ac:dyDescent="0.45">
      <c r="B2" t="s">
        <v>171</v>
      </c>
      <c r="H2" t="s">
        <v>172</v>
      </c>
      <c r="W2" t="s">
        <v>173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73FD-D29F-465B-B16F-5A3BAEE50DB9}">
  <dimension ref="B2:N34"/>
  <sheetViews>
    <sheetView zoomScale="85" zoomScaleNormal="85" workbookViewId="0"/>
  </sheetViews>
  <sheetFormatPr defaultColWidth="9" defaultRowHeight="16" x14ac:dyDescent="0.45"/>
  <cols>
    <col min="1" max="1" width="2.58203125" style="9" customWidth="1"/>
    <col min="2" max="2" width="8.75" style="9" bestFit="1" customWidth="1"/>
    <col min="3" max="3" width="13.58203125" style="9" bestFit="1" customWidth="1"/>
    <col min="4" max="4" width="4.83203125" style="9" bestFit="1" customWidth="1"/>
    <col min="5" max="5" width="28.83203125" style="9" customWidth="1"/>
    <col min="6" max="13" width="6.08203125" style="9" customWidth="1"/>
    <col min="14" max="14" width="54.5" style="9" bestFit="1" customWidth="1"/>
    <col min="15" max="16384" width="9" style="9"/>
  </cols>
  <sheetData>
    <row r="2" spans="2:14" ht="16.5" thickBot="1" x14ac:dyDescent="0.5">
      <c r="B2" s="6" t="s">
        <v>191</v>
      </c>
    </row>
    <row r="3" spans="2:14" ht="16.5" customHeight="1" x14ac:dyDescent="0.45">
      <c r="B3" s="114" t="s">
        <v>175</v>
      </c>
      <c r="C3" s="117" t="s">
        <v>177</v>
      </c>
      <c r="D3" s="118" t="s">
        <v>178</v>
      </c>
      <c r="F3" s="114" t="s">
        <v>74</v>
      </c>
      <c r="G3" s="117"/>
      <c r="H3" s="117"/>
      <c r="I3" s="117"/>
      <c r="J3" s="117" t="s">
        <v>73</v>
      </c>
      <c r="K3" s="117"/>
      <c r="L3" s="117"/>
      <c r="M3" s="121"/>
      <c r="N3" s="111" t="s">
        <v>176</v>
      </c>
    </row>
    <row r="4" spans="2:14" x14ac:dyDescent="0.45">
      <c r="B4" s="115"/>
      <c r="C4" s="104"/>
      <c r="D4" s="119"/>
      <c r="F4" s="61" t="s">
        <v>114</v>
      </c>
      <c r="G4" s="7" t="s">
        <v>115</v>
      </c>
      <c r="H4" s="7" t="s">
        <v>116</v>
      </c>
      <c r="I4" s="7" t="s">
        <v>117</v>
      </c>
      <c r="J4" s="7" t="s">
        <v>114</v>
      </c>
      <c r="K4" s="7" t="s">
        <v>115</v>
      </c>
      <c r="L4" s="7" t="s">
        <v>116</v>
      </c>
      <c r="M4" s="73" t="s">
        <v>117</v>
      </c>
      <c r="N4" s="112"/>
    </row>
    <row r="5" spans="2:14" ht="16.5" thickBot="1" x14ac:dyDescent="0.5">
      <c r="B5" s="122"/>
      <c r="C5" s="123"/>
      <c r="D5" s="124"/>
      <c r="F5" s="71">
        <v>1</v>
      </c>
      <c r="G5" s="72">
        <f t="shared" ref="G5:M5" si="0">F5+20</f>
        <v>21</v>
      </c>
      <c r="H5" s="72">
        <f t="shared" si="0"/>
        <v>41</v>
      </c>
      <c r="I5" s="72">
        <f t="shared" si="0"/>
        <v>61</v>
      </c>
      <c r="J5" s="72">
        <f t="shared" si="0"/>
        <v>81</v>
      </c>
      <c r="K5" s="72">
        <f t="shared" si="0"/>
        <v>101</v>
      </c>
      <c r="L5" s="72">
        <f t="shared" si="0"/>
        <v>121</v>
      </c>
      <c r="M5" s="74">
        <f t="shared" si="0"/>
        <v>141</v>
      </c>
      <c r="N5" s="113"/>
    </row>
    <row r="6" spans="2:14" x14ac:dyDescent="0.45">
      <c r="B6" s="67">
        <v>1</v>
      </c>
      <c r="C6" s="68" t="s">
        <v>12</v>
      </c>
      <c r="D6" s="69">
        <v>0</v>
      </c>
      <c r="F6" s="67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19">
        <v>0</v>
      </c>
      <c r="N6" s="77" t="s">
        <v>182</v>
      </c>
    </row>
    <row r="7" spans="2:14" x14ac:dyDescent="0.45">
      <c r="B7" s="62">
        <v>2</v>
      </c>
      <c r="C7" s="3" t="s">
        <v>179</v>
      </c>
      <c r="D7" s="63">
        <v>50</v>
      </c>
      <c r="F7" s="62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75">
        <v>0</v>
      </c>
      <c r="N7" s="78" t="s">
        <v>181</v>
      </c>
    </row>
    <row r="8" spans="2:14" x14ac:dyDescent="0.45">
      <c r="B8" s="62">
        <v>3</v>
      </c>
      <c r="C8" s="3" t="s">
        <v>19</v>
      </c>
      <c r="D8" s="63">
        <v>1</v>
      </c>
      <c r="F8" s="80">
        <v>50</v>
      </c>
      <c r="G8" s="81">
        <v>50</v>
      </c>
      <c r="H8" s="81">
        <v>50</v>
      </c>
      <c r="I8" s="81">
        <v>50</v>
      </c>
      <c r="J8" s="81">
        <v>50</v>
      </c>
      <c r="K8" s="81">
        <v>50</v>
      </c>
      <c r="L8" s="81">
        <v>50</v>
      </c>
      <c r="M8" s="82">
        <v>50</v>
      </c>
      <c r="N8" s="78" t="s">
        <v>183</v>
      </c>
    </row>
    <row r="9" spans="2:14" x14ac:dyDescent="0.45">
      <c r="B9" s="62">
        <v>4</v>
      </c>
      <c r="C9" s="3" t="s">
        <v>23</v>
      </c>
      <c r="D9" s="63">
        <v>1</v>
      </c>
      <c r="F9" s="62">
        <v>0</v>
      </c>
      <c r="G9" s="81">
        <v>50</v>
      </c>
      <c r="H9" s="81">
        <v>50</v>
      </c>
      <c r="I9" s="81">
        <v>50</v>
      </c>
      <c r="J9" s="81">
        <v>50</v>
      </c>
      <c r="K9" s="81">
        <v>50</v>
      </c>
      <c r="L9" s="81">
        <v>50</v>
      </c>
      <c r="M9" s="82">
        <v>50</v>
      </c>
      <c r="N9" s="78" t="s">
        <v>184</v>
      </c>
    </row>
    <row r="10" spans="2:14" x14ac:dyDescent="0.45">
      <c r="B10" s="62">
        <v>5</v>
      </c>
      <c r="C10" s="3" t="s">
        <v>23</v>
      </c>
      <c r="D10" s="63">
        <v>61</v>
      </c>
      <c r="F10" s="62">
        <v>0</v>
      </c>
      <c r="G10" s="81">
        <v>50</v>
      </c>
      <c r="H10" s="81">
        <v>50</v>
      </c>
      <c r="I10" s="8">
        <v>0</v>
      </c>
      <c r="J10" s="81">
        <v>50</v>
      </c>
      <c r="K10" s="81">
        <v>50</v>
      </c>
      <c r="L10" s="81">
        <v>50</v>
      </c>
      <c r="M10" s="82">
        <v>50</v>
      </c>
      <c r="N10" s="78" t="s">
        <v>185</v>
      </c>
    </row>
    <row r="11" spans="2:14" x14ac:dyDescent="0.45">
      <c r="B11" s="62">
        <v>6</v>
      </c>
      <c r="C11" s="3" t="s">
        <v>20</v>
      </c>
      <c r="D11" s="63">
        <v>0</v>
      </c>
      <c r="F11" s="62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75">
        <v>0</v>
      </c>
      <c r="N11" s="78" t="s">
        <v>186</v>
      </c>
    </row>
    <row r="12" spans="2:14" x14ac:dyDescent="0.45">
      <c r="B12" s="62">
        <v>7</v>
      </c>
      <c r="C12" s="3" t="s">
        <v>22</v>
      </c>
      <c r="D12" s="63">
        <v>81</v>
      </c>
      <c r="F12" s="62">
        <v>0</v>
      </c>
      <c r="G12" s="8">
        <v>0</v>
      </c>
      <c r="H12" s="8">
        <v>0</v>
      </c>
      <c r="I12" s="8">
        <v>0</v>
      </c>
      <c r="J12" s="81">
        <v>50</v>
      </c>
      <c r="K12" s="8">
        <v>0</v>
      </c>
      <c r="L12" s="8">
        <v>0</v>
      </c>
      <c r="M12" s="75">
        <v>0</v>
      </c>
      <c r="N12" s="78" t="s">
        <v>187</v>
      </c>
    </row>
    <row r="13" spans="2:14" x14ac:dyDescent="0.45">
      <c r="B13" s="62">
        <v>8</v>
      </c>
      <c r="C13" s="3" t="s">
        <v>179</v>
      </c>
      <c r="D13" s="63">
        <v>100</v>
      </c>
      <c r="F13" s="62">
        <v>0</v>
      </c>
      <c r="G13" s="8">
        <v>0</v>
      </c>
      <c r="H13" s="8">
        <v>0</v>
      </c>
      <c r="I13" s="8">
        <v>0</v>
      </c>
      <c r="J13" s="84">
        <v>100</v>
      </c>
      <c r="K13" s="8">
        <v>0</v>
      </c>
      <c r="L13" s="8">
        <v>0</v>
      </c>
      <c r="M13" s="75">
        <v>0</v>
      </c>
      <c r="N13" s="78" t="s">
        <v>180</v>
      </c>
    </row>
    <row r="14" spans="2:14" x14ac:dyDescent="0.45">
      <c r="B14" s="62">
        <v>9</v>
      </c>
      <c r="C14" s="3" t="s">
        <v>22</v>
      </c>
      <c r="D14" s="63">
        <v>0</v>
      </c>
      <c r="F14" s="83">
        <v>100</v>
      </c>
      <c r="G14" s="84">
        <v>100</v>
      </c>
      <c r="H14" s="84">
        <v>100</v>
      </c>
      <c r="I14" s="84">
        <v>100</v>
      </c>
      <c r="J14" s="84">
        <v>100</v>
      </c>
      <c r="K14" s="84">
        <v>100</v>
      </c>
      <c r="L14" s="84">
        <v>100</v>
      </c>
      <c r="M14" s="85">
        <v>100</v>
      </c>
      <c r="N14" s="78" t="s">
        <v>188</v>
      </c>
    </row>
    <row r="15" spans="2:14" ht="16.5" thickBot="1" x14ac:dyDescent="0.5">
      <c r="B15" s="64">
        <v>10</v>
      </c>
      <c r="C15" s="65" t="s">
        <v>179</v>
      </c>
      <c r="D15" s="66">
        <v>0</v>
      </c>
      <c r="F15" s="64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6">
        <v>0</v>
      </c>
      <c r="N15" s="79" t="s">
        <v>189</v>
      </c>
    </row>
    <row r="18" spans="2:14" ht="16.5" thickBot="1" x14ac:dyDescent="0.5">
      <c r="B18" s="6" t="s">
        <v>192</v>
      </c>
    </row>
    <row r="19" spans="2:14" x14ac:dyDescent="0.45">
      <c r="B19" s="114" t="s">
        <v>175</v>
      </c>
      <c r="C19" s="117" t="s">
        <v>177</v>
      </c>
      <c r="D19" s="118" t="s">
        <v>178</v>
      </c>
      <c r="F19" s="114" t="s">
        <v>74</v>
      </c>
      <c r="G19" s="117"/>
      <c r="H19" s="117"/>
      <c r="I19" s="117"/>
      <c r="J19" s="117" t="s">
        <v>73</v>
      </c>
      <c r="K19" s="117"/>
      <c r="L19" s="117"/>
      <c r="M19" s="121"/>
      <c r="N19" s="111" t="s">
        <v>176</v>
      </c>
    </row>
    <row r="20" spans="2:14" x14ac:dyDescent="0.45">
      <c r="B20" s="115"/>
      <c r="C20" s="104"/>
      <c r="D20" s="119"/>
      <c r="F20" s="61" t="s">
        <v>114</v>
      </c>
      <c r="G20" s="7" t="s">
        <v>115</v>
      </c>
      <c r="H20" s="7" t="s">
        <v>116</v>
      </c>
      <c r="I20" s="7" t="s">
        <v>117</v>
      </c>
      <c r="J20" s="7" t="s">
        <v>114</v>
      </c>
      <c r="K20" s="7" t="s">
        <v>115</v>
      </c>
      <c r="L20" s="7" t="s">
        <v>116</v>
      </c>
      <c r="M20" s="73" t="s">
        <v>117</v>
      </c>
      <c r="N20" s="112"/>
    </row>
    <row r="21" spans="2:14" ht="16.5" thickBot="1" x14ac:dyDescent="0.5">
      <c r="B21" s="116"/>
      <c r="C21" s="109"/>
      <c r="D21" s="120"/>
      <c r="F21" s="91">
        <v>12</v>
      </c>
      <c r="G21" s="92">
        <f t="shared" ref="G21" si="1">F21+20</f>
        <v>32</v>
      </c>
      <c r="H21" s="92">
        <f t="shared" ref="H21" si="2">G21+20</f>
        <v>52</v>
      </c>
      <c r="I21" s="92">
        <f t="shared" ref="I21" si="3">H21+20</f>
        <v>72</v>
      </c>
      <c r="J21" s="92">
        <f t="shared" ref="J21" si="4">I21+20</f>
        <v>92</v>
      </c>
      <c r="K21" s="92">
        <f t="shared" ref="K21" si="5">J21+20</f>
        <v>112</v>
      </c>
      <c r="L21" s="92">
        <f t="shared" ref="L21" si="6">K21+20</f>
        <v>132</v>
      </c>
      <c r="M21" s="93">
        <f t="shared" ref="M21" si="7">L21+20</f>
        <v>152</v>
      </c>
      <c r="N21" s="113"/>
    </row>
    <row r="22" spans="2:14" x14ac:dyDescent="0.45">
      <c r="B22" s="86">
        <v>1</v>
      </c>
      <c r="C22" s="87" t="s">
        <v>12</v>
      </c>
      <c r="D22" s="88">
        <v>0</v>
      </c>
      <c r="F22" s="86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0</v>
      </c>
      <c r="M22" s="88">
        <v>0</v>
      </c>
      <c r="N22" s="89" t="s">
        <v>182</v>
      </c>
    </row>
    <row r="23" spans="2:14" x14ac:dyDescent="0.45">
      <c r="B23" s="62">
        <v>2</v>
      </c>
      <c r="C23" s="3" t="s">
        <v>179</v>
      </c>
      <c r="D23" s="63">
        <v>25</v>
      </c>
      <c r="F23" s="62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63">
        <v>0</v>
      </c>
      <c r="N23" s="90" t="s">
        <v>193</v>
      </c>
    </row>
    <row r="24" spans="2:14" x14ac:dyDescent="0.45">
      <c r="B24" s="62">
        <v>3</v>
      </c>
      <c r="C24" s="3" t="s">
        <v>19</v>
      </c>
      <c r="D24" s="63">
        <v>12</v>
      </c>
      <c r="F24" s="80">
        <v>25</v>
      </c>
      <c r="G24" s="81">
        <v>25</v>
      </c>
      <c r="H24" s="81">
        <v>25</v>
      </c>
      <c r="I24" s="81">
        <v>25</v>
      </c>
      <c r="J24" s="81">
        <v>25</v>
      </c>
      <c r="K24" s="81">
        <v>25</v>
      </c>
      <c r="L24" s="81">
        <v>25</v>
      </c>
      <c r="M24" s="96">
        <v>25</v>
      </c>
      <c r="N24" s="90" t="s">
        <v>194</v>
      </c>
    </row>
    <row r="25" spans="2:14" x14ac:dyDescent="0.45">
      <c r="B25" s="62">
        <v>4</v>
      </c>
      <c r="C25" s="3" t="s">
        <v>23</v>
      </c>
      <c r="D25" s="63">
        <v>12</v>
      </c>
      <c r="F25" s="62">
        <v>0</v>
      </c>
      <c r="G25" s="81">
        <v>25</v>
      </c>
      <c r="H25" s="81">
        <v>25</v>
      </c>
      <c r="I25" s="81">
        <v>25</v>
      </c>
      <c r="J25" s="81">
        <v>25</v>
      </c>
      <c r="K25" s="81">
        <v>25</v>
      </c>
      <c r="L25" s="81">
        <v>25</v>
      </c>
      <c r="M25" s="96">
        <v>25</v>
      </c>
      <c r="N25" s="90" t="s">
        <v>195</v>
      </c>
    </row>
    <row r="26" spans="2:14" x14ac:dyDescent="0.45">
      <c r="B26" s="62">
        <v>5</v>
      </c>
      <c r="C26" s="3" t="s">
        <v>23</v>
      </c>
      <c r="D26" s="63">
        <v>52</v>
      </c>
      <c r="F26" s="62">
        <v>0</v>
      </c>
      <c r="G26" s="81">
        <v>25</v>
      </c>
      <c r="H26" s="8">
        <v>0</v>
      </c>
      <c r="I26" s="81">
        <v>25</v>
      </c>
      <c r="J26" s="81">
        <v>25</v>
      </c>
      <c r="K26" s="81">
        <v>25</v>
      </c>
      <c r="L26" s="81">
        <v>25</v>
      </c>
      <c r="M26" s="96">
        <v>25</v>
      </c>
      <c r="N26" s="90" t="s">
        <v>196</v>
      </c>
    </row>
    <row r="27" spans="2:14" x14ac:dyDescent="0.45">
      <c r="B27" s="62">
        <v>6</v>
      </c>
      <c r="C27" s="3" t="s">
        <v>23</v>
      </c>
      <c r="D27" s="63">
        <v>92</v>
      </c>
      <c r="F27" s="62">
        <v>0</v>
      </c>
      <c r="G27" s="81">
        <v>25</v>
      </c>
      <c r="H27" s="8">
        <v>0</v>
      </c>
      <c r="I27" s="81">
        <v>25</v>
      </c>
      <c r="J27" s="8">
        <v>0</v>
      </c>
      <c r="K27" s="81">
        <v>25</v>
      </c>
      <c r="L27" s="81">
        <v>25</v>
      </c>
      <c r="M27" s="96">
        <v>25</v>
      </c>
      <c r="N27" s="90" t="s">
        <v>197</v>
      </c>
    </row>
    <row r="28" spans="2:14" x14ac:dyDescent="0.45">
      <c r="B28" s="62">
        <v>7</v>
      </c>
      <c r="C28" s="3" t="s">
        <v>23</v>
      </c>
      <c r="D28" s="63">
        <v>132</v>
      </c>
      <c r="F28" s="62">
        <v>0</v>
      </c>
      <c r="G28" s="81">
        <v>25</v>
      </c>
      <c r="H28" s="8">
        <v>0</v>
      </c>
      <c r="I28" s="81">
        <v>25</v>
      </c>
      <c r="J28" s="8">
        <v>0</v>
      </c>
      <c r="K28" s="81">
        <v>25</v>
      </c>
      <c r="L28" s="8">
        <v>0</v>
      </c>
      <c r="M28" s="96">
        <v>25</v>
      </c>
      <c r="N28" s="90" t="s">
        <v>199</v>
      </c>
    </row>
    <row r="29" spans="2:14" x14ac:dyDescent="0.45">
      <c r="B29" s="62">
        <v>8</v>
      </c>
      <c r="C29" s="3" t="s">
        <v>20</v>
      </c>
      <c r="D29" s="63">
        <v>12</v>
      </c>
      <c r="F29" s="62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63">
        <v>0</v>
      </c>
      <c r="N29" s="90" t="s">
        <v>198</v>
      </c>
    </row>
    <row r="30" spans="2:14" x14ac:dyDescent="0.45">
      <c r="B30" s="62">
        <v>9</v>
      </c>
      <c r="C30" s="3" t="s">
        <v>179</v>
      </c>
      <c r="D30" s="63">
        <v>75</v>
      </c>
      <c r="F30" s="62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63">
        <v>0</v>
      </c>
      <c r="N30" s="90" t="s">
        <v>200</v>
      </c>
    </row>
    <row r="31" spans="2:14" x14ac:dyDescent="0.45">
      <c r="B31" s="62">
        <v>10</v>
      </c>
      <c r="C31" s="3" t="s">
        <v>22</v>
      </c>
      <c r="D31" s="63">
        <v>12</v>
      </c>
      <c r="F31" s="97">
        <v>75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63">
        <v>0</v>
      </c>
      <c r="N31" s="90" t="s">
        <v>201</v>
      </c>
    </row>
    <row r="32" spans="2:14" x14ac:dyDescent="0.45">
      <c r="B32" s="62">
        <v>11</v>
      </c>
      <c r="C32" s="3" t="s">
        <v>22</v>
      </c>
      <c r="D32" s="63">
        <v>52</v>
      </c>
      <c r="F32" s="97">
        <v>75</v>
      </c>
      <c r="G32" s="8">
        <v>0</v>
      </c>
      <c r="H32" s="94">
        <v>75</v>
      </c>
      <c r="I32" s="8">
        <v>0</v>
      </c>
      <c r="J32" s="8">
        <v>0</v>
      </c>
      <c r="K32" s="8">
        <v>0</v>
      </c>
      <c r="L32" s="8">
        <v>0</v>
      </c>
      <c r="M32" s="63">
        <v>0</v>
      </c>
      <c r="N32" s="90" t="s">
        <v>202</v>
      </c>
    </row>
    <row r="33" spans="2:14" x14ac:dyDescent="0.45">
      <c r="B33" s="62">
        <v>12</v>
      </c>
      <c r="C33" s="3" t="s">
        <v>22</v>
      </c>
      <c r="D33" s="63">
        <v>92</v>
      </c>
      <c r="F33" s="97">
        <v>75</v>
      </c>
      <c r="G33" s="8">
        <v>0</v>
      </c>
      <c r="H33" s="94">
        <v>75</v>
      </c>
      <c r="I33" s="8">
        <v>0</v>
      </c>
      <c r="J33" s="94">
        <v>75</v>
      </c>
      <c r="K33" s="8">
        <v>0</v>
      </c>
      <c r="L33" s="8">
        <v>0</v>
      </c>
      <c r="M33" s="63">
        <v>0</v>
      </c>
      <c r="N33" s="90" t="s">
        <v>203</v>
      </c>
    </row>
    <row r="34" spans="2:14" ht="16.5" thickBot="1" x14ac:dyDescent="0.5">
      <c r="B34" s="64">
        <v>13</v>
      </c>
      <c r="C34" s="65" t="s">
        <v>22</v>
      </c>
      <c r="D34" s="66">
        <v>132</v>
      </c>
      <c r="F34" s="98">
        <v>75</v>
      </c>
      <c r="G34" s="70">
        <v>0</v>
      </c>
      <c r="H34" s="99">
        <v>75</v>
      </c>
      <c r="I34" s="70">
        <v>0</v>
      </c>
      <c r="J34" s="99">
        <v>75</v>
      </c>
      <c r="K34" s="70">
        <v>0</v>
      </c>
      <c r="L34" s="99">
        <v>75</v>
      </c>
      <c r="M34" s="66">
        <v>0</v>
      </c>
      <c r="N34" s="100" t="s">
        <v>204</v>
      </c>
    </row>
  </sheetData>
  <mergeCells count="12">
    <mergeCell ref="N3:N5"/>
    <mergeCell ref="B3:B5"/>
    <mergeCell ref="C3:C5"/>
    <mergeCell ref="D3:D5"/>
    <mergeCell ref="F3:I3"/>
    <mergeCell ref="J3:M3"/>
    <mergeCell ref="N19:N21"/>
    <mergeCell ref="B19:B21"/>
    <mergeCell ref="C19:C21"/>
    <mergeCell ref="D19:D21"/>
    <mergeCell ref="F19:I19"/>
    <mergeCell ref="J19:M1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protocol</vt:lpstr>
      <vt:lpstr>xc xd mapping</vt:lpstr>
      <vt:lpstr>B'D check list</vt:lpstr>
      <vt:lpstr>B'D connector summary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2025-10-16T08:48:07Z</dcterms:modified>
</cp:coreProperties>
</file>