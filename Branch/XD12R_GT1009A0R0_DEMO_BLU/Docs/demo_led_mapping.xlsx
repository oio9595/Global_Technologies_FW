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C:\working\01_Project\FW\Branch\XD12R_GT1009A0R0_DEMO_BLU\Docs\"/>
    </mc:Choice>
  </mc:AlternateContent>
  <xr:revisionPtr revIDLastSave="0" documentId="13_ncr:1_{123ED596-E1BD-40A7-81BD-47521CF3F219}" xr6:coauthVersionLast="47" xr6:coauthVersionMax="47" xr10:uidLastSave="{00000000-0000-0000-0000-000000000000}"/>
  <bookViews>
    <workbookView xWindow="71880" yWindow="216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G15" i="1" l="1"/>
  <c r="AA15" i="1"/>
  <c r="U15" i="1"/>
  <c r="O15" i="1"/>
  <c r="O13" i="1"/>
  <c r="U13" i="1"/>
  <c r="AA13" i="1"/>
  <c r="AG13" i="1"/>
  <c r="AG11" i="1"/>
  <c r="AA11" i="1"/>
  <c r="U11" i="1"/>
  <c r="O11" i="1"/>
  <c r="O9" i="1"/>
  <c r="U9" i="1"/>
  <c r="AA9" i="1"/>
  <c r="AG9" i="1"/>
  <c r="AG7" i="1"/>
  <c r="AA7" i="1"/>
  <c r="U7" i="1"/>
  <c r="O7" i="1"/>
  <c r="AS28" i="1"/>
  <c r="AP25" i="1"/>
  <c r="AO25" i="1"/>
  <c r="AT24" i="1"/>
  <c r="AS24" i="1"/>
  <c r="AQ24" i="1"/>
  <c r="AR21" i="1"/>
  <c r="AR29" i="1" s="1"/>
  <c r="AQ21" i="1"/>
  <c r="AQ29" i="1" s="1"/>
  <c r="AP21" i="1"/>
  <c r="AP29" i="1" s="1"/>
  <c r="AO21" i="1"/>
  <c r="AO29" i="1" s="1"/>
  <c r="AS20" i="1"/>
  <c r="AT19" i="1"/>
  <c r="AT27" i="1" s="1"/>
  <c r="AS19" i="1"/>
  <c r="AS27" i="1" s="1"/>
  <c r="AR19" i="1"/>
  <c r="AR27" i="1" s="1"/>
  <c r="AQ19" i="1"/>
  <c r="AQ27" i="1" s="1"/>
  <c r="AP19" i="1"/>
  <c r="AP27" i="1" s="1"/>
  <c r="AO19" i="1"/>
  <c r="AO27" i="1" s="1"/>
  <c r="AT18" i="1"/>
  <c r="AT26" i="1" s="1"/>
  <c r="AS18" i="1"/>
  <c r="AS26" i="1" s="1"/>
  <c r="AR18" i="1"/>
  <c r="AR26" i="1" s="1"/>
  <c r="AQ18" i="1"/>
  <c r="AQ26" i="1" s="1"/>
  <c r="AP18" i="1"/>
  <c r="AP26" i="1" s="1"/>
  <c r="AO18" i="1"/>
  <c r="AO26" i="1" s="1"/>
  <c r="AT17" i="1"/>
  <c r="AT25" i="1" s="1"/>
  <c r="AS17" i="1"/>
  <c r="AS25" i="1" s="1"/>
  <c r="AR17" i="1"/>
  <c r="AR25" i="1" s="1"/>
  <c r="AQ17" i="1"/>
  <c r="AQ25" i="1" s="1"/>
  <c r="AP17" i="1"/>
  <c r="AO17" i="1"/>
  <c r="AT16" i="1"/>
  <c r="AS16" i="1"/>
  <c r="AR16" i="1"/>
  <c r="AR24" i="1" s="1"/>
  <c r="AQ16" i="1"/>
  <c r="AP16" i="1"/>
  <c r="AP24" i="1" s="1"/>
  <c r="AO16" i="1"/>
  <c r="AO24" i="1" s="1"/>
  <c r="AT15" i="1"/>
  <c r="AT23" i="1" s="1"/>
  <c r="AT31" i="1" s="1"/>
  <c r="AS15" i="1"/>
  <c r="AS23" i="1" s="1"/>
  <c r="AS31" i="1" s="1"/>
  <c r="AR15" i="1"/>
  <c r="AR23" i="1" s="1"/>
  <c r="AR31" i="1" s="1"/>
  <c r="AQ15" i="1"/>
  <c r="AQ23" i="1" s="1"/>
  <c r="AQ31" i="1" s="1"/>
  <c r="AP15" i="1"/>
  <c r="AP23" i="1" s="1"/>
  <c r="AP31" i="1" s="1"/>
  <c r="AO15" i="1"/>
  <c r="AO23" i="1" s="1"/>
  <c r="AO31" i="1" s="1"/>
  <c r="AT14" i="1"/>
  <c r="AT22" i="1" s="1"/>
  <c r="AT30" i="1" s="1"/>
  <c r="AS14" i="1"/>
  <c r="AS22" i="1" s="1"/>
  <c r="AS30" i="1" s="1"/>
  <c r="AR14" i="1"/>
  <c r="AR22" i="1" s="1"/>
  <c r="AR30" i="1" s="1"/>
  <c r="AQ14" i="1"/>
  <c r="AQ22" i="1" s="1"/>
  <c r="AQ30" i="1" s="1"/>
  <c r="AP14" i="1"/>
  <c r="AP22" i="1" s="1"/>
  <c r="AP30" i="1" s="1"/>
  <c r="AO14" i="1"/>
  <c r="AO22" i="1" s="1"/>
  <c r="AO30" i="1" s="1"/>
  <c r="AT13" i="1"/>
  <c r="AT21" i="1" s="1"/>
  <c r="AT29" i="1" s="1"/>
  <c r="AS13" i="1"/>
  <c r="AS21" i="1" s="1"/>
  <c r="AS29" i="1" s="1"/>
  <c r="AR13" i="1"/>
  <c r="AQ13" i="1"/>
  <c r="AP13" i="1"/>
  <c r="AO13" i="1"/>
  <c r="AT12" i="1"/>
  <c r="AT20" i="1" s="1"/>
  <c r="AT28" i="1" s="1"/>
  <c r="AS12" i="1"/>
  <c r="AR12" i="1"/>
  <c r="AR20" i="1" s="1"/>
  <c r="AR28" i="1" s="1"/>
  <c r="AQ12" i="1"/>
  <c r="AQ20" i="1" s="1"/>
  <c r="AQ28" i="1" s="1"/>
  <c r="AP12" i="1"/>
  <c r="AP20" i="1" s="1"/>
  <c r="AP28" i="1" s="1"/>
  <c r="AO12" i="1"/>
  <c r="AO20" i="1" s="1"/>
  <c r="AO28" i="1" s="1"/>
  <c r="T6" i="1"/>
  <c r="S6" i="1"/>
  <c r="R6" i="1"/>
  <c r="Q6" i="1"/>
  <c r="P6" i="1"/>
  <c r="O6" i="1"/>
  <c r="T5" i="1"/>
  <c r="S5" i="1"/>
  <c r="R5" i="1"/>
  <c r="Q5" i="1"/>
  <c r="P5" i="1"/>
  <c r="O5" i="1"/>
  <c r="Z6" i="1"/>
  <c r="Y6" i="1"/>
  <c r="X6" i="1"/>
  <c r="W6" i="1"/>
  <c r="V6" i="1"/>
  <c r="U6" i="1"/>
  <c r="Z5" i="1"/>
  <c r="Y5" i="1"/>
  <c r="X5" i="1"/>
  <c r="W5" i="1"/>
  <c r="V5" i="1"/>
  <c r="U5" i="1"/>
  <c r="AD6" i="1"/>
  <c r="AC6" i="1"/>
  <c r="AB6" i="1"/>
  <c r="AA6" i="1"/>
  <c r="AF6" i="1"/>
  <c r="AF5" i="1"/>
  <c r="AE5" i="1"/>
  <c r="AD5" i="1"/>
  <c r="AC5" i="1"/>
  <c r="AB5" i="1"/>
  <c r="AA5" i="1"/>
  <c r="AE6" i="1"/>
  <c r="AG6" i="1"/>
  <c r="AH6" i="1"/>
  <c r="AI6" i="1"/>
  <c r="AJ6" i="1"/>
  <c r="AK6" i="1"/>
  <c r="AL6" i="1"/>
  <c r="AL5" i="1"/>
  <c r="AK5" i="1"/>
  <c r="AJ5" i="1"/>
  <c r="AI5" i="1"/>
  <c r="AH5" i="1"/>
  <c r="AG5" i="1"/>
  <c r="AL4" i="1"/>
  <c r="AK4" i="1"/>
  <c r="AJ4" i="1"/>
  <c r="AI4" i="1"/>
  <c r="AH4" i="1"/>
  <c r="AG4" i="1"/>
  <c r="AL3" i="1"/>
  <c r="AK3" i="1"/>
  <c r="AJ3" i="1"/>
  <c r="AI3" i="1"/>
  <c r="AH3" i="1"/>
  <c r="AG3" i="1"/>
  <c r="AF4" i="1"/>
  <c r="AE4" i="1"/>
  <c r="AD4" i="1"/>
  <c r="AC4" i="1"/>
  <c r="AB4" i="1"/>
  <c r="AA4" i="1"/>
  <c r="AF3" i="1"/>
  <c r="AE3" i="1"/>
  <c r="AD3" i="1"/>
  <c r="AC3" i="1"/>
  <c r="AB3" i="1"/>
  <c r="AA3" i="1"/>
  <c r="Z4" i="1"/>
  <c r="Y4" i="1"/>
  <c r="X4" i="1"/>
  <c r="W4" i="1"/>
  <c r="V4" i="1"/>
  <c r="U4" i="1"/>
  <c r="Z3" i="1"/>
  <c r="Y3" i="1"/>
  <c r="X3" i="1"/>
  <c r="W3" i="1"/>
  <c r="V3" i="1"/>
  <c r="U3" i="1"/>
  <c r="T4" i="1"/>
  <c r="S4" i="1"/>
  <c r="R4" i="1"/>
  <c r="Q4" i="1"/>
  <c r="P4" i="1"/>
  <c r="O4" i="1"/>
  <c r="T3" i="1"/>
  <c r="S3" i="1"/>
  <c r="R3" i="1"/>
  <c r="Q3" i="1"/>
  <c r="P3" i="1"/>
  <c r="O3" i="1"/>
  <c r="C4" i="1"/>
  <c r="C5" i="1" s="1"/>
  <c r="C6" i="1" s="1"/>
  <c r="C7" i="1" s="1"/>
  <c r="C8" i="1" s="1"/>
  <c r="C9" i="1" s="1"/>
  <c r="C10" i="1" s="1"/>
  <c r="C11" i="1" s="1"/>
  <c r="C12" i="1" s="1"/>
  <c r="C13" i="1" s="1"/>
  <c r="C14" i="1" s="1"/>
  <c r="C15" i="1" s="1"/>
  <c r="C16" i="1" s="1"/>
  <c r="D4" i="1"/>
  <c r="D5" i="1" s="1"/>
  <c r="D6" i="1" s="1"/>
  <c r="D7" i="1" s="1"/>
  <c r="D8" i="1" s="1"/>
  <c r="D9" i="1" s="1"/>
  <c r="D10" i="1" s="1"/>
  <c r="D11" i="1" s="1"/>
  <c r="D12" i="1" s="1"/>
  <c r="D13" i="1" s="1"/>
  <c r="D14" i="1" s="1"/>
  <c r="D15" i="1" s="1"/>
  <c r="D16" i="1" s="1"/>
  <c r="E4" i="1"/>
  <c r="E5" i="1" s="1"/>
  <c r="E6" i="1" s="1"/>
  <c r="E7" i="1" s="1"/>
  <c r="E8" i="1" s="1"/>
  <c r="E9" i="1" s="1"/>
  <c r="E10" i="1" s="1"/>
  <c r="E11" i="1" s="1"/>
  <c r="E12" i="1" s="1"/>
  <c r="E13" i="1" s="1"/>
  <c r="E14" i="1" s="1"/>
  <c r="E15" i="1" s="1"/>
  <c r="E16" i="1" s="1"/>
  <c r="F4" i="1"/>
  <c r="F5" i="1" s="1"/>
  <c r="F6" i="1" s="1"/>
  <c r="F7" i="1" s="1"/>
  <c r="F8" i="1" s="1"/>
  <c r="F9" i="1" s="1"/>
  <c r="F10" i="1" s="1"/>
  <c r="F11" i="1" s="1"/>
  <c r="F12" i="1" s="1"/>
  <c r="F13" i="1" s="1"/>
  <c r="F14" i="1" s="1"/>
  <c r="F15" i="1" s="1"/>
  <c r="F16" i="1" s="1"/>
  <c r="G4" i="1"/>
  <c r="G5" i="1" s="1"/>
  <c r="G6" i="1" s="1"/>
  <c r="G7" i="1" s="1"/>
  <c r="G8" i="1" s="1"/>
  <c r="G9" i="1" s="1"/>
  <c r="G10" i="1" s="1"/>
  <c r="G11" i="1" s="1"/>
  <c r="G12" i="1" s="1"/>
  <c r="G13" i="1" s="1"/>
  <c r="G14" i="1" s="1"/>
  <c r="G15" i="1" s="1"/>
  <c r="G16" i="1" s="1"/>
  <c r="H4" i="1"/>
  <c r="H5" i="1" s="1"/>
  <c r="H6" i="1" s="1"/>
  <c r="H7" i="1" s="1"/>
  <c r="H8" i="1" s="1"/>
  <c r="H9" i="1" s="1"/>
  <c r="H10" i="1" s="1"/>
  <c r="H11" i="1" s="1"/>
  <c r="H12" i="1" s="1"/>
  <c r="H13" i="1" s="1"/>
  <c r="H14" i="1" s="1"/>
  <c r="H15" i="1" s="1"/>
  <c r="H16" i="1" s="1"/>
  <c r="I4" i="1"/>
  <c r="I5" i="1" s="1"/>
  <c r="I6" i="1" s="1"/>
  <c r="I7" i="1" s="1"/>
  <c r="I8" i="1" s="1"/>
  <c r="I9" i="1" s="1"/>
  <c r="I10" i="1" s="1"/>
  <c r="I11" i="1" s="1"/>
  <c r="I12" i="1" s="1"/>
  <c r="I13" i="1" s="1"/>
  <c r="I14" i="1" s="1"/>
  <c r="I15" i="1" s="1"/>
  <c r="I16" i="1" s="1"/>
  <c r="J4" i="1"/>
  <c r="J5" i="1" s="1"/>
  <c r="J6" i="1" s="1"/>
  <c r="J7" i="1" s="1"/>
  <c r="J8" i="1" s="1"/>
  <c r="J9" i="1" s="1"/>
  <c r="J10" i="1" s="1"/>
  <c r="J11" i="1" s="1"/>
  <c r="J12" i="1" s="1"/>
  <c r="J13" i="1" s="1"/>
  <c r="J14" i="1" s="1"/>
  <c r="J15" i="1" s="1"/>
  <c r="J16" i="1" s="1"/>
  <c r="K4" i="1"/>
  <c r="K5" i="1" s="1"/>
  <c r="K6" i="1" s="1"/>
  <c r="K7" i="1" s="1"/>
  <c r="K8" i="1" s="1"/>
  <c r="K9" i="1" s="1"/>
  <c r="K10" i="1" s="1"/>
  <c r="K11" i="1" s="1"/>
  <c r="K12" i="1" s="1"/>
  <c r="K13" i="1" s="1"/>
  <c r="K14" i="1" s="1"/>
  <c r="K15" i="1" s="1"/>
  <c r="K16" i="1" s="1"/>
  <c r="L4" i="1"/>
  <c r="L5" i="1" s="1"/>
  <c r="L6" i="1" s="1"/>
  <c r="L7" i="1" s="1"/>
  <c r="L8" i="1" s="1"/>
  <c r="L9" i="1" s="1"/>
  <c r="L10" i="1" s="1"/>
  <c r="L11" i="1" s="1"/>
  <c r="L12" i="1" s="1"/>
  <c r="L13" i="1" s="1"/>
  <c r="L14" i="1" s="1"/>
  <c r="L15" i="1" s="1"/>
  <c r="L16" i="1" s="1"/>
  <c r="M4" i="1"/>
  <c r="M5" i="1" s="1"/>
  <c r="M6" i="1" s="1"/>
  <c r="M7" i="1" s="1"/>
  <c r="M8" i="1" s="1"/>
  <c r="M9" i="1" s="1"/>
  <c r="M10" i="1" s="1"/>
  <c r="M11" i="1" s="1"/>
  <c r="M12" i="1" s="1"/>
  <c r="M13" i="1" s="1"/>
  <c r="M14" i="1" s="1"/>
  <c r="M15" i="1" s="1"/>
  <c r="M16" i="1" s="1"/>
  <c r="B4" i="1"/>
  <c r="B5" i="1" s="1"/>
  <c r="B6" i="1" s="1"/>
  <c r="B7" i="1" s="1"/>
  <c r="B8" i="1" s="1"/>
  <c r="B9" i="1" s="1"/>
  <c r="B10" i="1" s="1"/>
  <c r="B11" i="1" s="1"/>
  <c r="B12" i="1" s="1"/>
  <c r="B13" i="1" s="1"/>
  <c r="B14" i="1" s="1"/>
  <c r="B15" i="1" s="1"/>
  <c r="B16" i="1" s="1"/>
  <c r="AW5" i="1"/>
  <c r="AW6" i="1" s="1"/>
  <c r="AW7" i="1" s="1"/>
  <c r="AW8" i="1" s="1"/>
</calcChain>
</file>

<file path=xl/sharedStrings.xml><?xml version="1.0" encoding="utf-8"?>
<sst xmlns="http://schemas.openxmlformats.org/spreadsheetml/2006/main" count="68" uniqueCount="67">
  <si>
    <t>XDR Map</t>
    <phoneticPr fontId="1" type="noConversion"/>
  </si>
  <si>
    <t>LED Map Index</t>
    <phoneticPr fontId="1" type="noConversion"/>
  </si>
  <si>
    <t>LD Parsing LED Index Order</t>
    <phoneticPr fontId="1" type="noConversion"/>
  </si>
  <si>
    <t>IC #1</t>
    <phoneticPr fontId="1" type="noConversion"/>
  </si>
  <si>
    <t>IC #2</t>
  </si>
  <si>
    <t>IC #3</t>
  </si>
  <si>
    <t>IC #4</t>
  </si>
  <si>
    <t>IC #5</t>
  </si>
  <si>
    <t>IC #6</t>
  </si>
  <si>
    <t>IC #7</t>
  </si>
  <si>
    <t>IC #8</t>
  </si>
  <si>
    <t>IC #9</t>
  </si>
  <si>
    <t>IC #10</t>
  </si>
  <si>
    <t>IC #11</t>
  </si>
  <si>
    <t>IC #12</t>
  </si>
  <si>
    <t>IC #13</t>
  </si>
  <si>
    <t>IC #14</t>
  </si>
  <si>
    <t>IC #15</t>
  </si>
  <si>
    <t>IC #16</t>
  </si>
  <si>
    <t>IC #17</t>
  </si>
  <si>
    <t>IC #18</t>
  </si>
  <si>
    <t>IC #19</t>
  </si>
  <si>
    <t>IC #20</t>
  </si>
  <si>
    <t>IC Num</t>
    <phoneticPr fontId="1" type="noConversion"/>
  </si>
  <si>
    <t>CH1/2</t>
    <phoneticPr fontId="1" type="noConversion"/>
  </si>
  <si>
    <t>CH3/4</t>
    <phoneticPr fontId="1" type="noConversion"/>
  </si>
  <si>
    <t>CH5/6</t>
    <phoneticPr fontId="1" type="noConversion"/>
  </si>
  <si>
    <t>CH7/8</t>
    <phoneticPr fontId="1" type="noConversion"/>
  </si>
  <si>
    <t>CH9/10</t>
    <phoneticPr fontId="1" type="noConversion"/>
  </si>
  <si>
    <t>CH11/12</t>
    <phoneticPr fontId="1" type="noConversion"/>
  </si>
  <si>
    <t>IC #21</t>
  </si>
  <si>
    <t>IC #22</t>
  </si>
  <si>
    <t>IC #23</t>
  </si>
  <si>
    <t>IC #24</t>
  </si>
  <si>
    <t>CMD / 1-ic</t>
    <phoneticPr fontId="1" type="noConversion"/>
  </si>
  <si>
    <t>Payload / 2-ch</t>
    <phoneticPr fontId="1" type="noConversion"/>
  </si>
  <si>
    <t>Payload / 1-ic</t>
    <phoneticPr fontId="1" type="noConversion"/>
  </si>
  <si>
    <t>LD / 1-ic</t>
    <phoneticPr fontId="1" type="noConversion"/>
  </si>
  <si>
    <t>LD / 1-map</t>
    <phoneticPr fontId="1" type="noConversion"/>
  </si>
  <si>
    <t>IC #25</t>
  </si>
  <si>
    <t>IC #26</t>
  </si>
  <si>
    <t>IC #27</t>
  </si>
  <si>
    <t>IC #28</t>
  </si>
  <si>
    <t>0</t>
    <phoneticPr fontId="1" type="noConversion"/>
  </si>
  <si>
    <t>12</t>
    <phoneticPr fontId="1" type="noConversion"/>
  </si>
  <si>
    <t>1</t>
    <phoneticPr fontId="1" type="noConversion"/>
  </si>
  <si>
    <t>13</t>
    <phoneticPr fontId="1" type="noConversion"/>
  </si>
  <si>
    <t>2</t>
    <phoneticPr fontId="1" type="noConversion"/>
  </si>
  <si>
    <t>14</t>
    <phoneticPr fontId="1" type="noConversion"/>
  </si>
  <si>
    <t>3</t>
    <phoneticPr fontId="1" type="noConversion"/>
  </si>
  <si>
    <t>15</t>
    <phoneticPr fontId="1" type="noConversion"/>
  </si>
  <si>
    <t>4</t>
    <phoneticPr fontId="1" type="noConversion"/>
  </si>
  <si>
    <t>16</t>
    <phoneticPr fontId="1" type="noConversion"/>
  </si>
  <si>
    <t>5</t>
    <phoneticPr fontId="1" type="noConversion"/>
  </si>
  <si>
    <t>17</t>
    <phoneticPr fontId="1" type="noConversion"/>
  </si>
  <si>
    <t>6</t>
    <phoneticPr fontId="1" type="noConversion"/>
  </si>
  <si>
    <t>18</t>
    <phoneticPr fontId="1" type="noConversion"/>
  </si>
  <si>
    <t>7</t>
    <phoneticPr fontId="1" type="noConversion"/>
  </si>
  <si>
    <t>19</t>
    <phoneticPr fontId="1" type="noConversion"/>
  </si>
  <si>
    <t>8</t>
    <phoneticPr fontId="1" type="noConversion"/>
  </si>
  <si>
    <t>20</t>
    <phoneticPr fontId="1" type="noConversion"/>
  </si>
  <si>
    <t>9</t>
    <phoneticPr fontId="1" type="noConversion"/>
  </si>
  <si>
    <t>21</t>
    <phoneticPr fontId="1" type="noConversion"/>
  </si>
  <si>
    <t>10</t>
    <phoneticPr fontId="1" type="noConversion"/>
  </si>
  <si>
    <t>22</t>
    <phoneticPr fontId="1" type="noConversion"/>
  </si>
  <si>
    <t>11</t>
    <phoneticPr fontId="1" type="noConversion"/>
  </si>
  <si>
    <t>23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</si>
</sst>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mm&quot;월&quot;\ dd&quot;일&quot;"/>
  </numFmts>
  <fonts count="7" x14ac:knownFonts="1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  <font>
      <sz val="10"/>
      <color theme="1"/>
      <name val="맑은 고딕"/>
      <family val="2"/>
      <scheme val="minor"/>
    </font>
    <font>
      <sz val="6"/>
      <color theme="1"/>
      <name val="맑은 고딕"/>
      <family val="2"/>
      <scheme val="minor"/>
    </font>
    <font>
      <sz val="6"/>
      <color theme="1"/>
      <name val="맑은 고딕"/>
      <family val="3"/>
      <charset val="129"/>
      <scheme val="minor"/>
    </font>
    <font>
      <sz val="8"/>
      <color theme="1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</fonts>
  <fills count="9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FF00"/>
        <bgColor indexed="64"/>
      </patternFill>
    </fill>
  </fills>
  <borders count="44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dotted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dotted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dotted">
        <color indexed="64"/>
      </right>
      <top style="thin">
        <color indexed="64"/>
      </top>
      <bottom/>
      <diagonal/>
    </border>
    <border>
      <left style="medium">
        <color indexed="64"/>
      </left>
      <right style="dotted">
        <color indexed="64"/>
      </right>
      <top/>
      <bottom style="thin">
        <color indexed="64"/>
      </bottom>
      <diagonal/>
    </border>
    <border>
      <left style="thin">
        <color indexed="64"/>
      </left>
      <right style="dotted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dotted">
        <color indexed="64"/>
      </right>
      <top style="thin">
        <color indexed="64"/>
      </top>
      <bottom/>
      <diagonal/>
    </border>
    <border>
      <left style="thin">
        <color indexed="64"/>
      </left>
      <right style="dotted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dotted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58">
    <xf numFmtId="0" fontId="0" fillId="0" borderId="0" xfId="0"/>
    <xf numFmtId="0" fontId="2" fillId="0" borderId="0" xfId="0" applyFont="1"/>
    <xf numFmtId="0" fontId="6" fillId="0" borderId="0" xfId="0" applyFont="1"/>
    <xf numFmtId="0" fontId="5" fillId="0" borderId="0" xfId="0" applyFont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  <xf numFmtId="0" fontId="5" fillId="7" borderId="16" xfId="0" applyFont="1" applyFill="1" applyBorder="1" applyAlignment="1">
      <alignment horizontal="center" vertical="center"/>
    </xf>
    <xf numFmtId="0" fontId="5" fillId="7" borderId="17" xfId="0" applyFont="1" applyFill="1" applyBorder="1" applyAlignment="1">
      <alignment horizontal="center" vertical="center"/>
    </xf>
    <xf numFmtId="0" fontId="5" fillId="7" borderId="18" xfId="0" applyFont="1" applyFill="1" applyBorder="1" applyAlignment="1">
      <alignment horizontal="center" vertical="center"/>
    </xf>
    <xf numFmtId="0" fontId="5" fillId="7" borderId="1" xfId="0" applyFont="1" applyFill="1" applyBorder="1" applyAlignment="1">
      <alignment horizontal="center" vertical="center"/>
    </xf>
    <xf numFmtId="0" fontId="5" fillId="7" borderId="20" xfId="0" applyFont="1" applyFill="1" applyBorder="1" applyAlignment="1">
      <alignment horizontal="center" vertical="center"/>
    </xf>
    <xf numFmtId="0" fontId="5" fillId="7" borderId="21" xfId="0" applyFont="1" applyFill="1" applyBorder="1" applyAlignment="1">
      <alignment horizontal="center" vertical="center"/>
    </xf>
    <xf numFmtId="0" fontId="5" fillId="7" borderId="22" xfId="0" applyFont="1" applyFill="1" applyBorder="1" applyAlignment="1">
      <alignment horizontal="center" vertical="center"/>
    </xf>
    <xf numFmtId="0" fontId="6" fillId="0" borderId="0" xfId="0" applyFont="1" applyAlignment="1">
      <alignment horizontal="left" vertical="center"/>
    </xf>
    <xf numFmtId="0" fontId="6" fillId="7" borderId="0" xfId="0" applyFont="1" applyFill="1" applyAlignment="1">
      <alignment horizontal="left" vertical="center"/>
    </xf>
    <xf numFmtId="0" fontId="6" fillId="8" borderId="0" xfId="0" applyFont="1" applyFill="1" applyAlignment="1">
      <alignment horizontal="left" vertical="center"/>
    </xf>
    <xf numFmtId="0" fontId="3" fillId="0" borderId="0" xfId="0" applyFont="1" applyAlignment="1">
      <alignment horizontal="center" vertical="center"/>
    </xf>
    <xf numFmtId="49" fontId="4" fillId="0" borderId="0" xfId="0" applyNumberFormat="1" applyFont="1" applyAlignment="1">
      <alignment horizontal="center" vertical="center"/>
    </xf>
    <xf numFmtId="49" fontId="0" fillId="0" borderId="0" xfId="0" applyNumberFormat="1"/>
    <xf numFmtId="0" fontId="3" fillId="2" borderId="4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  <xf numFmtId="0" fontId="3" fillId="3" borderId="5" xfId="0" applyFont="1" applyFill="1" applyBorder="1" applyAlignment="1">
      <alignment horizontal="center" vertical="center"/>
    </xf>
    <xf numFmtId="49" fontId="4" fillId="4" borderId="19" xfId="0" applyNumberFormat="1" applyFont="1" applyFill="1" applyBorder="1" applyAlignment="1">
      <alignment horizontal="center" vertical="center"/>
    </xf>
    <xf numFmtId="49" fontId="4" fillId="6" borderId="19" xfId="0" applyNumberFormat="1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3" fillId="2" borderId="24" xfId="0" applyFont="1" applyFill="1" applyBorder="1" applyAlignment="1">
      <alignment horizontal="center" vertical="center"/>
    </xf>
    <xf numFmtId="0" fontId="3" fillId="2" borderId="23" xfId="0" applyFont="1" applyFill="1" applyBorder="1" applyAlignment="1">
      <alignment horizontal="center" vertical="center"/>
    </xf>
    <xf numFmtId="0" fontId="3" fillId="2" borderId="28" xfId="0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/>
    </xf>
    <xf numFmtId="49" fontId="4" fillId="2" borderId="2" xfId="0" applyNumberFormat="1" applyFont="1" applyFill="1" applyBorder="1" applyAlignment="1">
      <alignment horizontal="center" vertical="center"/>
    </xf>
    <xf numFmtId="49" fontId="4" fillId="2" borderId="23" xfId="0" applyNumberFormat="1" applyFont="1" applyFill="1" applyBorder="1" applyAlignment="1">
      <alignment horizontal="center" vertical="center"/>
    </xf>
    <xf numFmtId="49" fontId="4" fillId="2" borderId="3" xfId="0" applyNumberFormat="1" applyFont="1" applyFill="1" applyBorder="1" applyAlignment="1">
      <alignment horizontal="center" vertical="center"/>
    </xf>
    <xf numFmtId="0" fontId="3" fillId="3" borderId="23" xfId="0" applyFont="1" applyFill="1" applyBorder="1" applyAlignment="1">
      <alignment horizontal="center" vertical="center"/>
    </xf>
    <xf numFmtId="0" fontId="3" fillId="3" borderId="6" xfId="0" applyFont="1" applyFill="1" applyBorder="1" applyAlignment="1">
      <alignment horizontal="center" vertical="center"/>
    </xf>
    <xf numFmtId="0" fontId="3" fillId="3" borderId="28" xfId="0" applyFont="1" applyFill="1" applyBorder="1" applyAlignment="1">
      <alignment horizontal="center" vertical="center"/>
    </xf>
    <xf numFmtId="0" fontId="3" fillId="3" borderId="7" xfId="0" applyFont="1" applyFill="1" applyBorder="1" applyAlignment="1">
      <alignment horizontal="center" vertical="center"/>
    </xf>
    <xf numFmtId="0" fontId="3" fillId="2" borderId="8" xfId="0" applyFont="1" applyFill="1" applyBorder="1" applyAlignment="1">
      <alignment horizontal="center" vertical="center"/>
    </xf>
    <xf numFmtId="0" fontId="3" fillId="2" borderId="30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4" borderId="24" xfId="0" applyFont="1" applyFill="1" applyBorder="1" applyAlignment="1">
      <alignment horizontal="center" vertical="center"/>
    </xf>
    <xf numFmtId="0" fontId="3" fillId="4" borderId="31" xfId="0" applyFont="1" applyFill="1" applyBorder="1" applyAlignment="1">
      <alignment horizontal="center" vertical="center"/>
    </xf>
    <xf numFmtId="0" fontId="3" fillId="4" borderId="15" xfId="0" applyFont="1" applyFill="1" applyBorder="1" applyAlignment="1">
      <alignment horizontal="center" vertical="center"/>
    </xf>
    <xf numFmtId="0" fontId="3" fillId="4" borderId="8" xfId="0" applyFont="1" applyFill="1" applyBorder="1" applyAlignment="1">
      <alignment horizontal="center" vertical="center"/>
    </xf>
    <xf numFmtId="0" fontId="3" fillId="4" borderId="30" xfId="0" applyFont="1" applyFill="1" applyBorder="1" applyAlignment="1">
      <alignment horizontal="center" vertical="center"/>
    </xf>
    <xf numFmtId="0" fontId="3" fillId="4" borderId="10" xfId="0" applyFont="1" applyFill="1" applyBorder="1" applyAlignment="1">
      <alignment horizontal="center" vertical="center"/>
    </xf>
    <xf numFmtId="0" fontId="3" fillId="6" borderId="24" xfId="0" applyFont="1" applyFill="1" applyBorder="1" applyAlignment="1">
      <alignment horizontal="center" vertical="center"/>
    </xf>
    <xf numFmtId="0" fontId="3" fillId="6" borderId="31" xfId="0" applyFont="1" applyFill="1" applyBorder="1" applyAlignment="1">
      <alignment horizontal="center" vertical="center"/>
    </xf>
    <xf numFmtId="0" fontId="3" fillId="6" borderId="15" xfId="0" applyFont="1" applyFill="1" applyBorder="1" applyAlignment="1">
      <alignment horizontal="center" vertical="center"/>
    </xf>
    <xf numFmtId="0" fontId="3" fillId="5" borderId="2" xfId="0" applyFont="1" applyFill="1" applyBorder="1" applyAlignment="1">
      <alignment horizontal="center" vertical="center"/>
    </xf>
    <xf numFmtId="0" fontId="3" fillId="5" borderId="23" xfId="0" applyFont="1" applyFill="1" applyBorder="1" applyAlignment="1">
      <alignment horizontal="center" vertical="center"/>
    </xf>
    <xf numFmtId="0" fontId="3" fillId="5" borderId="3" xfId="0" applyFont="1" applyFill="1" applyBorder="1" applyAlignment="1">
      <alignment horizontal="center" vertical="center"/>
    </xf>
    <xf numFmtId="0" fontId="3" fillId="5" borderId="4" xfId="0" applyFont="1" applyFill="1" applyBorder="1" applyAlignment="1">
      <alignment horizontal="center" vertical="center"/>
    </xf>
    <xf numFmtId="0" fontId="3" fillId="5" borderId="28" xfId="0" applyFont="1" applyFill="1" applyBorder="1" applyAlignment="1">
      <alignment horizontal="center" vertical="center"/>
    </xf>
    <xf numFmtId="0" fontId="3" fillId="5" borderId="5" xfId="0" applyFont="1" applyFill="1" applyBorder="1" applyAlignment="1">
      <alignment horizontal="center" vertical="center"/>
    </xf>
    <xf numFmtId="0" fontId="3" fillId="6" borderId="8" xfId="0" applyFont="1" applyFill="1" applyBorder="1" applyAlignment="1">
      <alignment horizontal="center" vertical="center"/>
    </xf>
    <xf numFmtId="0" fontId="3" fillId="6" borderId="30" xfId="0" applyFont="1" applyFill="1" applyBorder="1" applyAlignment="1">
      <alignment horizontal="center" vertical="center"/>
    </xf>
    <xf numFmtId="0" fontId="3" fillId="6" borderId="10" xfId="0" applyFont="1" applyFill="1" applyBorder="1" applyAlignment="1">
      <alignment horizontal="center" vertical="center"/>
    </xf>
    <xf numFmtId="0" fontId="3" fillId="2" borderId="31" xfId="0" applyFont="1" applyFill="1" applyBorder="1" applyAlignment="1">
      <alignment horizontal="center" vertical="center"/>
    </xf>
    <xf numFmtId="0" fontId="3" fillId="2" borderId="15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 vertical="center"/>
    </xf>
    <xf numFmtId="0" fontId="3" fillId="0" borderId="23" xfId="0" applyFont="1" applyFill="1" applyBorder="1" applyAlignment="1">
      <alignment horizontal="center" vertical="center"/>
    </xf>
    <xf numFmtId="0" fontId="3" fillId="0" borderId="3" xfId="0" applyFont="1" applyFill="1" applyBorder="1" applyAlignment="1">
      <alignment horizontal="center" vertical="center"/>
    </xf>
    <xf numFmtId="0" fontId="3" fillId="0" borderId="4" xfId="0" applyFont="1" applyFill="1" applyBorder="1" applyAlignment="1">
      <alignment horizontal="center" vertical="center"/>
    </xf>
    <xf numFmtId="0" fontId="3" fillId="0" borderId="28" xfId="0" applyFont="1" applyFill="1" applyBorder="1" applyAlignment="1">
      <alignment horizontal="center" vertical="center"/>
    </xf>
    <xf numFmtId="0" fontId="3" fillId="0" borderId="5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4" borderId="25" xfId="0" applyFont="1" applyFill="1" applyBorder="1" applyAlignment="1">
      <alignment horizontal="center" vertical="center"/>
    </xf>
    <xf numFmtId="0" fontId="3" fillId="4" borderId="9" xfId="0" applyFont="1" applyFill="1" applyBorder="1" applyAlignment="1">
      <alignment horizontal="center" vertical="center"/>
    </xf>
    <xf numFmtId="0" fontId="3" fillId="5" borderId="6" xfId="0" applyFont="1" applyFill="1" applyBorder="1" applyAlignment="1">
      <alignment horizontal="center" vertical="center"/>
    </xf>
    <xf numFmtId="0" fontId="3" fillId="5" borderId="7" xfId="0" applyFont="1" applyFill="1" applyBorder="1" applyAlignment="1">
      <alignment horizontal="center" vertical="center"/>
    </xf>
    <xf numFmtId="0" fontId="3" fillId="6" borderId="25" xfId="0" applyFont="1" applyFill="1" applyBorder="1" applyAlignment="1">
      <alignment horizontal="center" vertical="center"/>
    </xf>
    <xf numFmtId="0" fontId="3" fillId="6" borderId="9" xfId="0" applyFont="1" applyFill="1" applyBorder="1" applyAlignment="1">
      <alignment horizontal="center" vertical="center"/>
    </xf>
    <xf numFmtId="0" fontId="3" fillId="0" borderId="6" xfId="0" applyFont="1" applyFill="1" applyBorder="1" applyAlignment="1">
      <alignment horizontal="center" vertical="center"/>
    </xf>
    <xf numFmtId="0" fontId="3" fillId="0" borderId="7" xfId="0" applyFont="1" applyFill="1" applyBorder="1" applyAlignment="1">
      <alignment horizontal="center" vertical="center"/>
    </xf>
    <xf numFmtId="0" fontId="3" fillId="2" borderId="25" xfId="0" applyFont="1" applyFill="1" applyBorder="1" applyAlignment="1">
      <alignment horizontal="center" vertical="center"/>
    </xf>
    <xf numFmtId="0" fontId="3" fillId="2" borderId="26" xfId="0" applyFont="1" applyFill="1" applyBorder="1" applyAlignment="1">
      <alignment horizontal="center" vertical="center"/>
    </xf>
    <xf numFmtId="0" fontId="3" fillId="3" borderId="11" xfId="0" applyFont="1" applyFill="1" applyBorder="1" applyAlignment="1">
      <alignment horizontal="center" vertical="center"/>
    </xf>
    <xf numFmtId="0" fontId="3" fillId="3" borderId="12" xfId="0" applyFont="1" applyFill="1" applyBorder="1" applyAlignment="1">
      <alignment horizontal="center" vertical="center"/>
    </xf>
    <xf numFmtId="0" fontId="3" fillId="4" borderId="19" xfId="0" applyFont="1" applyFill="1" applyBorder="1" applyAlignment="1">
      <alignment horizontal="center" vertical="center"/>
    </xf>
    <xf numFmtId="0" fontId="3" fillId="4" borderId="26" xfId="0" applyFont="1" applyFill="1" applyBorder="1" applyAlignment="1">
      <alignment horizontal="center" vertical="center"/>
    </xf>
    <xf numFmtId="0" fontId="3" fillId="5" borderId="11" xfId="0" applyFont="1" applyFill="1" applyBorder="1" applyAlignment="1">
      <alignment horizontal="center" vertical="center"/>
    </xf>
    <xf numFmtId="0" fontId="3" fillId="5" borderId="12" xfId="0" applyFont="1" applyFill="1" applyBorder="1" applyAlignment="1">
      <alignment horizontal="center" vertical="center"/>
    </xf>
    <xf numFmtId="0" fontId="3" fillId="6" borderId="19" xfId="0" applyFont="1" applyFill="1" applyBorder="1" applyAlignment="1">
      <alignment horizontal="center" vertical="center"/>
    </xf>
    <xf numFmtId="0" fontId="3" fillId="6" borderId="26" xfId="0" applyFont="1" applyFill="1" applyBorder="1" applyAlignment="1">
      <alignment horizontal="center" vertical="center"/>
    </xf>
    <xf numFmtId="0" fontId="3" fillId="0" borderId="11" xfId="0" applyFont="1" applyFill="1" applyBorder="1" applyAlignment="1">
      <alignment horizontal="center" vertical="center"/>
    </xf>
    <xf numFmtId="0" fontId="3" fillId="0" borderId="12" xfId="0" applyFont="1" applyFill="1" applyBorder="1" applyAlignment="1">
      <alignment horizontal="center" vertical="center"/>
    </xf>
    <xf numFmtId="0" fontId="3" fillId="2" borderId="19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176" fontId="3" fillId="2" borderId="11" xfId="0" quotePrefix="1" applyNumberFormat="1" applyFont="1" applyFill="1" applyBorder="1" applyAlignment="1">
      <alignment horizontal="center" vertical="center"/>
    </xf>
    <xf numFmtId="176" fontId="3" fillId="2" borderId="12" xfId="0" quotePrefix="1" applyNumberFormat="1" applyFont="1" applyFill="1" applyBorder="1" applyAlignment="1">
      <alignment horizontal="center" vertical="center"/>
    </xf>
    <xf numFmtId="176" fontId="3" fillId="2" borderId="14" xfId="0" quotePrefix="1" applyNumberFormat="1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34" xfId="0" applyFont="1" applyFill="1" applyBorder="1" applyAlignment="1">
      <alignment horizontal="center" vertical="center"/>
    </xf>
    <xf numFmtId="0" fontId="3" fillId="3" borderId="13" xfId="0" applyFont="1" applyFill="1" applyBorder="1" applyAlignment="1">
      <alignment horizontal="center" vertical="center"/>
    </xf>
    <xf numFmtId="0" fontId="3" fillId="3" borderId="14" xfId="0" applyFont="1" applyFill="1" applyBorder="1" applyAlignment="1">
      <alignment horizontal="center" vertical="center"/>
    </xf>
    <xf numFmtId="0" fontId="3" fillId="4" borderId="35" xfId="0" applyFont="1" applyFill="1" applyBorder="1" applyAlignment="1">
      <alignment horizontal="center" vertical="center"/>
    </xf>
    <xf numFmtId="176" fontId="3" fillId="2" borderId="26" xfId="0" quotePrefix="1" applyNumberFormat="1" applyFont="1" applyFill="1" applyBorder="1" applyAlignment="1">
      <alignment horizontal="center" vertical="center"/>
    </xf>
    <xf numFmtId="0" fontId="3" fillId="2" borderId="36" xfId="0" applyFont="1" applyFill="1" applyBorder="1" applyAlignment="1">
      <alignment horizontal="center" vertical="center"/>
    </xf>
    <xf numFmtId="0" fontId="3" fillId="2" borderId="37" xfId="0" applyFont="1" applyFill="1" applyBorder="1" applyAlignment="1">
      <alignment horizontal="center" vertical="center"/>
    </xf>
    <xf numFmtId="0" fontId="3" fillId="3" borderId="36" xfId="0" applyFont="1" applyFill="1" applyBorder="1" applyAlignment="1">
      <alignment horizontal="center" vertical="center"/>
    </xf>
    <xf numFmtId="0" fontId="3" fillId="3" borderId="38" xfId="0" applyFont="1" applyFill="1" applyBorder="1" applyAlignment="1">
      <alignment horizontal="center" vertical="center"/>
    </xf>
    <xf numFmtId="0" fontId="3" fillId="4" borderId="39" xfId="0" applyFont="1" applyFill="1" applyBorder="1" applyAlignment="1">
      <alignment horizontal="center" vertical="center"/>
    </xf>
    <xf numFmtId="176" fontId="3" fillId="2" borderId="38" xfId="0" quotePrefix="1" applyNumberFormat="1" applyFont="1" applyFill="1" applyBorder="1" applyAlignment="1">
      <alignment horizontal="center" vertical="center"/>
    </xf>
    <xf numFmtId="49" fontId="4" fillId="2" borderId="19" xfId="0" applyNumberFormat="1" applyFont="1" applyFill="1" applyBorder="1" applyAlignment="1">
      <alignment horizontal="center" vertical="center"/>
    </xf>
    <xf numFmtId="49" fontId="4" fillId="3" borderId="19" xfId="0" applyNumberFormat="1" applyFont="1" applyFill="1" applyBorder="1" applyAlignment="1">
      <alignment horizontal="center" vertical="center"/>
    </xf>
    <xf numFmtId="49" fontId="4" fillId="5" borderId="19" xfId="0" applyNumberFormat="1" applyFont="1" applyFill="1" applyBorder="1" applyAlignment="1">
      <alignment horizontal="center" vertical="center"/>
    </xf>
    <xf numFmtId="49" fontId="4" fillId="0" borderId="19" xfId="0" applyNumberFormat="1" applyFont="1" applyFill="1" applyBorder="1" applyAlignment="1">
      <alignment horizontal="center" vertical="center"/>
    </xf>
    <xf numFmtId="176" fontId="3" fillId="2" borderId="19" xfId="0" quotePrefix="1" applyNumberFormat="1" applyFont="1" applyFill="1" applyBorder="1" applyAlignment="1">
      <alignment horizontal="center" vertical="center"/>
    </xf>
    <xf numFmtId="0" fontId="3" fillId="4" borderId="34" xfId="0" applyFont="1" applyFill="1" applyBorder="1" applyAlignment="1">
      <alignment horizontal="center" vertical="center"/>
    </xf>
    <xf numFmtId="0" fontId="3" fillId="5" borderId="13" xfId="0" applyFont="1" applyFill="1" applyBorder="1" applyAlignment="1">
      <alignment horizontal="center" vertical="center"/>
    </xf>
    <xf numFmtId="0" fontId="3" fillId="5" borderId="14" xfId="0" applyFont="1" applyFill="1" applyBorder="1" applyAlignment="1">
      <alignment horizontal="center" vertical="center"/>
    </xf>
    <xf numFmtId="0" fontId="3" fillId="6" borderId="35" xfId="0" applyFont="1" applyFill="1" applyBorder="1" applyAlignment="1">
      <alignment horizontal="center" vertical="center"/>
    </xf>
    <xf numFmtId="0" fontId="3" fillId="6" borderId="34" xfId="0" applyFont="1" applyFill="1" applyBorder="1" applyAlignment="1">
      <alignment horizontal="center" vertical="center"/>
    </xf>
    <xf numFmtId="0" fontId="3" fillId="0" borderId="13" xfId="0" applyFont="1" applyFill="1" applyBorder="1" applyAlignment="1">
      <alignment horizontal="center" vertical="center"/>
    </xf>
    <xf numFmtId="0" fontId="3" fillId="0" borderId="14" xfId="0" applyFont="1" applyFill="1" applyBorder="1" applyAlignment="1">
      <alignment horizontal="center" vertical="center"/>
    </xf>
    <xf numFmtId="176" fontId="3" fillId="2" borderId="35" xfId="0" quotePrefix="1" applyNumberFormat="1" applyFont="1" applyFill="1" applyBorder="1" applyAlignment="1">
      <alignment horizontal="center" vertical="center"/>
    </xf>
    <xf numFmtId="0" fontId="3" fillId="4" borderId="37" xfId="0" applyFont="1" applyFill="1" applyBorder="1" applyAlignment="1">
      <alignment horizontal="center" vertical="center"/>
    </xf>
    <xf numFmtId="0" fontId="3" fillId="5" borderId="36" xfId="0" applyFont="1" applyFill="1" applyBorder="1" applyAlignment="1">
      <alignment horizontal="center" vertical="center"/>
    </xf>
    <xf numFmtId="0" fontId="3" fillId="5" borderId="38" xfId="0" applyFont="1" applyFill="1" applyBorder="1" applyAlignment="1">
      <alignment horizontal="center" vertical="center"/>
    </xf>
    <xf numFmtId="0" fontId="3" fillId="6" borderId="39" xfId="0" applyFont="1" applyFill="1" applyBorder="1" applyAlignment="1">
      <alignment horizontal="center" vertical="center"/>
    </xf>
    <xf numFmtId="0" fontId="3" fillId="6" borderId="37" xfId="0" applyFont="1" applyFill="1" applyBorder="1" applyAlignment="1">
      <alignment horizontal="center" vertical="center"/>
    </xf>
    <xf numFmtId="0" fontId="3" fillId="0" borderId="36" xfId="0" applyFont="1" applyFill="1" applyBorder="1" applyAlignment="1">
      <alignment horizontal="center" vertical="center"/>
    </xf>
    <xf numFmtId="0" fontId="3" fillId="0" borderId="38" xfId="0" applyFont="1" applyFill="1" applyBorder="1" applyAlignment="1">
      <alignment horizontal="center" vertical="center"/>
    </xf>
    <xf numFmtId="176" fontId="3" fillId="2" borderId="39" xfId="0" quotePrefix="1" applyNumberFormat="1" applyFont="1" applyFill="1" applyBorder="1" applyAlignment="1">
      <alignment horizontal="center" vertical="center"/>
    </xf>
    <xf numFmtId="176" fontId="3" fillId="2" borderId="29" xfId="0" quotePrefix="1" applyNumberFormat="1" applyFont="1" applyFill="1" applyBorder="1" applyAlignment="1">
      <alignment horizontal="center" vertical="center"/>
    </xf>
    <xf numFmtId="176" fontId="3" fillId="2" borderId="40" xfId="0" quotePrefix="1" applyNumberFormat="1" applyFont="1" applyFill="1" applyBorder="1" applyAlignment="1">
      <alignment horizontal="center" vertical="center"/>
    </xf>
    <xf numFmtId="0" fontId="3" fillId="3" borderId="29" xfId="0" applyFont="1" applyFill="1" applyBorder="1" applyAlignment="1">
      <alignment horizontal="center" vertical="center"/>
    </xf>
    <xf numFmtId="0" fontId="3" fillId="3" borderId="27" xfId="0" applyFont="1" applyFill="1" applyBorder="1" applyAlignment="1">
      <alignment horizontal="center" vertical="center"/>
    </xf>
    <xf numFmtId="0" fontId="3" fillId="4" borderId="41" xfId="0" applyFont="1" applyFill="1" applyBorder="1" applyAlignment="1">
      <alignment horizontal="center" vertical="center"/>
    </xf>
    <xf numFmtId="0" fontId="3" fillId="4" borderId="40" xfId="0" applyFont="1" applyFill="1" applyBorder="1" applyAlignment="1">
      <alignment horizontal="center" vertical="center"/>
    </xf>
    <xf numFmtId="0" fontId="3" fillId="5" borderId="29" xfId="0" applyFont="1" applyFill="1" applyBorder="1" applyAlignment="1">
      <alignment horizontal="center" vertical="center"/>
    </xf>
    <xf numFmtId="0" fontId="3" fillId="5" borderId="27" xfId="0" applyFont="1" applyFill="1" applyBorder="1" applyAlignment="1">
      <alignment horizontal="center" vertical="center"/>
    </xf>
    <xf numFmtId="0" fontId="3" fillId="6" borderId="41" xfId="0" applyFont="1" applyFill="1" applyBorder="1" applyAlignment="1">
      <alignment horizontal="center" vertical="center"/>
    </xf>
    <xf numFmtId="0" fontId="3" fillId="6" borderId="40" xfId="0" applyFont="1" applyFill="1" applyBorder="1" applyAlignment="1">
      <alignment horizontal="center" vertical="center"/>
    </xf>
    <xf numFmtId="0" fontId="3" fillId="0" borderId="29" xfId="0" applyFont="1" applyFill="1" applyBorder="1" applyAlignment="1">
      <alignment horizontal="center" vertical="center"/>
    </xf>
    <xf numFmtId="0" fontId="3" fillId="0" borderId="27" xfId="0" applyFont="1" applyFill="1" applyBorder="1" applyAlignment="1">
      <alignment horizontal="center" vertical="center"/>
    </xf>
    <xf numFmtId="176" fontId="3" fillId="2" borderId="41" xfId="0" quotePrefix="1" applyNumberFormat="1" applyFont="1" applyFill="1" applyBorder="1" applyAlignment="1">
      <alignment horizontal="center" vertical="center"/>
    </xf>
    <xf numFmtId="176" fontId="3" fillId="2" borderId="27" xfId="0" quotePrefix="1" applyNumberFormat="1" applyFont="1" applyFill="1" applyBorder="1" applyAlignment="1">
      <alignment horizontal="center" vertical="center"/>
    </xf>
    <xf numFmtId="176" fontId="3" fillId="2" borderId="36" xfId="0" quotePrefix="1" applyNumberFormat="1" applyFont="1" applyFill="1" applyBorder="1" applyAlignment="1">
      <alignment horizontal="center" vertical="center"/>
    </xf>
    <xf numFmtId="176" fontId="3" fillId="2" borderId="37" xfId="0" quotePrefix="1" applyNumberFormat="1" applyFont="1" applyFill="1" applyBorder="1" applyAlignment="1">
      <alignment horizontal="center" vertical="center"/>
    </xf>
    <xf numFmtId="176" fontId="3" fillId="2" borderId="32" xfId="0" quotePrefix="1" applyNumberFormat="1" applyFont="1" applyFill="1" applyBorder="1" applyAlignment="1">
      <alignment horizontal="center" vertical="center"/>
    </xf>
    <xf numFmtId="176" fontId="3" fillId="2" borderId="42" xfId="0" quotePrefix="1" applyNumberFormat="1" applyFont="1" applyFill="1" applyBorder="1" applyAlignment="1">
      <alignment horizontal="center" vertical="center"/>
    </xf>
    <xf numFmtId="0" fontId="3" fillId="3" borderId="32" xfId="0" applyFont="1" applyFill="1" applyBorder="1" applyAlignment="1">
      <alignment horizontal="center" vertical="center"/>
    </xf>
    <xf numFmtId="0" fontId="3" fillId="3" borderId="33" xfId="0" applyFont="1" applyFill="1" applyBorder="1" applyAlignment="1">
      <alignment horizontal="center" vertical="center"/>
    </xf>
    <xf numFmtId="0" fontId="3" fillId="4" borderId="43" xfId="0" applyFont="1" applyFill="1" applyBorder="1" applyAlignment="1">
      <alignment horizontal="center" vertical="center"/>
    </xf>
    <xf numFmtId="0" fontId="3" fillId="4" borderId="42" xfId="0" applyFont="1" applyFill="1" applyBorder="1" applyAlignment="1">
      <alignment horizontal="center" vertical="center"/>
    </xf>
    <xf numFmtId="0" fontId="3" fillId="5" borderId="32" xfId="0" applyFont="1" applyFill="1" applyBorder="1" applyAlignment="1">
      <alignment horizontal="center" vertical="center"/>
    </xf>
    <xf numFmtId="0" fontId="3" fillId="5" borderId="33" xfId="0" applyFont="1" applyFill="1" applyBorder="1" applyAlignment="1">
      <alignment horizontal="center" vertical="center"/>
    </xf>
    <xf numFmtId="0" fontId="3" fillId="6" borderId="43" xfId="0" applyFont="1" applyFill="1" applyBorder="1" applyAlignment="1">
      <alignment horizontal="center" vertical="center"/>
    </xf>
    <xf numFmtId="0" fontId="3" fillId="6" borderId="42" xfId="0" applyFont="1" applyFill="1" applyBorder="1" applyAlignment="1">
      <alignment horizontal="center" vertical="center"/>
    </xf>
    <xf numFmtId="0" fontId="3" fillId="0" borderId="32" xfId="0" applyFont="1" applyFill="1" applyBorder="1" applyAlignment="1">
      <alignment horizontal="center" vertical="center"/>
    </xf>
    <xf numFmtId="0" fontId="3" fillId="0" borderId="33" xfId="0" applyFont="1" applyFill="1" applyBorder="1" applyAlignment="1">
      <alignment horizontal="center" vertical="center"/>
    </xf>
    <xf numFmtId="176" fontId="3" fillId="2" borderId="43" xfId="0" quotePrefix="1" applyNumberFormat="1" applyFont="1" applyFill="1" applyBorder="1" applyAlignment="1">
      <alignment horizontal="center" vertical="center"/>
    </xf>
    <xf numFmtId="176" fontId="3" fillId="2" borderId="33" xfId="0" quotePrefix="1" applyNumberFormat="1" applyFont="1" applyFill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AZ31"/>
  <sheetViews>
    <sheetView tabSelected="1" zoomScale="85" zoomScaleNormal="85" workbookViewId="0"/>
  </sheetViews>
  <sheetFormatPr defaultRowHeight="17" x14ac:dyDescent="0.45"/>
  <cols>
    <col min="1" max="1" width="2.58203125" customWidth="1"/>
    <col min="2" max="13" width="6" customWidth="1"/>
    <col min="14" max="14" width="2.58203125" customWidth="1"/>
    <col min="15" max="39" width="3.25" customWidth="1"/>
    <col min="40" max="46" width="6" customWidth="1"/>
    <col min="47" max="47" width="5.58203125" customWidth="1"/>
    <col min="48" max="48" width="13.08203125" bestFit="1" customWidth="1"/>
  </cols>
  <sheetData>
    <row r="2" spans="2:52" ht="17.5" thickBot="1" x14ac:dyDescent="0.5">
      <c r="B2" s="1" t="s">
        <v>1</v>
      </c>
      <c r="O2" s="1" t="s">
        <v>0</v>
      </c>
      <c r="P2" s="2"/>
      <c r="AN2" s="1" t="s">
        <v>2</v>
      </c>
      <c r="AU2" s="15"/>
      <c r="AV2" s="15"/>
      <c r="AW2" s="15"/>
      <c r="AX2" s="15"/>
      <c r="AY2" s="15"/>
      <c r="AZ2" s="15"/>
    </row>
    <row r="3" spans="2:52" ht="17.5" thickBot="1" x14ac:dyDescent="0.5">
      <c r="B3" s="4">
        <v>0</v>
      </c>
      <c r="C3" s="29">
        <v>1</v>
      </c>
      <c r="D3" s="31">
        <v>2</v>
      </c>
      <c r="E3" s="4">
        <v>3</v>
      </c>
      <c r="F3" s="29">
        <v>4</v>
      </c>
      <c r="G3" s="5">
        <v>5</v>
      </c>
      <c r="H3" s="27">
        <v>6</v>
      </c>
      <c r="I3" s="29">
        <v>7</v>
      </c>
      <c r="J3" s="31">
        <v>8</v>
      </c>
      <c r="K3" s="33">
        <v>9</v>
      </c>
      <c r="L3" s="34">
        <v>10</v>
      </c>
      <c r="M3" s="35">
        <v>11</v>
      </c>
      <c r="O3" s="95" t="str">
        <f>_xlfn.CONCAT(1, "-1")</f>
        <v>1-1</v>
      </c>
      <c r="P3" s="27" t="str">
        <f>_xlfn.CONCAT(1, "-2")</f>
        <v>1-2</v>
      </c>
      <c r="Q3" s="101" t="str">
        <f>_xlfn.CONCAT(1, "-5")</f>
        <v>1-5</v>
      </c>
      <c r="R3" s="92" t="str">
        <f>_xlfn.CONCAT(1, "-6")</f>
        <v>1-6</v>
      </c>
      <c r="S3" s="142" t="str">
        <f>_xlfn.CONCAT(1, "-9")</f>
        <v>1-9</v>
      </c>
      <c r="T3" s="128" t="str">
        <f>_xlfn.CONCAT(1, "-10")</f>
        <v>1-10</v>
      </c>
      <c r="U3" s="95" t="str">
        <f>_xlfn.CONCAT(2, "-1")</f>
        <v>2-1</v>
      </c>
      <c r="V3" s="27" t="str">
        <f>_xlfn.CONCAT(2, "-2")</f>
        <v>2-2</v>
      </c>
      <c r="W3" s="101" t="str">
        <f>_xlfn.CONCAT(2, "-5")</f>
        <v>2-5</v>
      </c>
      <c r="X3" s="92" t="str">
        <f>_xlfn.CONCAT(2, "-6")</f>
        <v>2-6</v>
      </c>
      <c r="Y3" s="142" t="str">
        <f>_xlfn.CONCAT(2, "-9")</f>
        <v>2-9</v>
      </c>
      <c r="Z3" s="144" t="str">
        <f>_xlfn.CONCAT(2, "-10")</f>
        <v>2-10</v>
      </c>
      <c r="AA3" s="95" t="str">
        <f>_xlfn.CONCAT(3, "-1")</f>
        <v>3-1</v>
      </c>
      <c r="AB3" s="27" t="str">
        <f>_xlfn.CONCAT(3, "-2")</f>
        <v>3-2</v>
      </c>
      <c r="AC3" s="101" t="str">
        <f>_xlfn.CONCAT(3, "-5")</f>
        <v>3-5</v>
      </c>
      <c r="AD3" s="92" t="str">
        <f>_xlfn.CONCAT(3, "-6")</f>
        <v>3-6</v>
      </c>
      <c r="AE3" s="142" t="str">
        <f>_xlfn.CONCAT(3, "-9")</f>
        <v>3-9</v>
      </c>
      <c r="AF3" s="128" t="str">
        <f>_xlfn.CONCAT(3, "-10")</f>
        <v>3-10</v>
      </c>
      <c r="AG3" s="95" t="str">
        <f>_xlfn.CONCAT(4, "-1")</f>
        <v>4-1</v>
      </c>
      <c r="AH3" s="27" t="str">
        <f>_xlfn.CONCAT(4, "-2")</f>
        <v>4-2</v>
      </c>
      <c r="AI3" s="101" t="str">
        <f>_xlfn.CONCAT(4, "-5")</f>
        <v>4-5</v>
      </c>
      <c r="AJ3" s="92" t="str">
        <f>_xlfn.CONCAT(4, "-6")</f>
        <v>4-6</v>
      </c>
      <c r="AK3" s="142" t="str">
        <f>_xlfn.CONCAT(4, "-9")</f>
        <v>4-9</v>
      </c>
      <c r="AL3" s="128" t="str">
        <f>_xlfn.CONCAT(4, "-10")</f>
        <v>4-10</v>
      </c>
      <c r="AN3" s="11" t="s">
        <v>23</v>
      </c>
      <c r="AO3" s="10" t="s">
        <v>24</v>
      </c>
      <c r="AP3" s="8" t="s">
        <v>25</v>
      </c>
      <c r="AQ3" s="8" t="s">
        <v>26</v>
      </c>
      <c r="AR3" s="8" t="s">
        <v>27</v>
      </c>
      <c r="AS3" s="8" t="s">
        <v>28</v>
      </c>
      <c r="AT3" s="9" t="s">
        <v>29</v>
      </c>
      <c r="AU3" s="15"/>
      <c r="AV3" s="16" t="s">
        <v>23</v>
      </c>
      <c r="AW3" s="15">
        <v>24</v>
      </c>
      <c r="AX3" s="15"/>
      <c r="AY3" s="15"/>
      <c r="AZ3" s="15"/>
    </row>
    <row r="4" spans="2:52" ht="21" customHeight="1" thickBot="1" x14ac:dyDescent="0.5">
      <c r="B4" s="40">
        <f>B3+12</f>
        <v>12</v>
      </c>
      <c r="C4" s="41">
        <f t="shared" ref="C4:M4" si="0">C3+12</f>
        <v>13</v>
      </c>
      <c r="D4" s="69">
        <f t="shared" si="0"/>
        <v>14</v>
      </c>
      <c r="E4" s="40">
        <f t="shared" si="0"/>
        <v>15</v>
      </c>
      <c r="F4" s="41">
        <f t="shared" si="0"/>
        <v>16</v>
      </c>
      <c r="G4" s="42">
        <f t="shared" si="0"/>
        <v>17</v>
      </c>
      <c r="H4" s="79">
        <f t="shared" si="0"/>
        <v>18</v>
      </c>
      <c r="I4" s="41">
        <f t="shared" si="0"/>
        <v>19</v>
      </c>
      <c r="J4" s="69">
        <f t="shared" si="0"/>
        <v>20</v>
      </c>
      <c r="K4" s="40">
        <f t="shared" si="0"/>
        <v>21</v>
      </c>
      <c r="L4" s="41">
        <f t="shared" si="0"/>
        <v>22</v>
      </c>
      <c r="M4" s="42">
        <f t="shared" si="0"/>
        <v>23</v>
      </c>
      <c r="O4" s="96" t="str">
        <f>_xlfn.CONCAT(1, "-3")</f>
        <v>1-3</v>
      </c>
      <c r="P4" s="79" t="str">
        <f>_xlfn.CONCAT(1, "-4")</f>
        <v>1-4</v>
      </c>
      <c r="Q4" s="102" t="str">
        <f>_xlfn.CONCAT(1, "-7")</f>
        <v>1-7</v>
      </c>
      <c r="R4" s="100" t="str">
        <f>_xlfn.CONCAT(1, "-8")</f>
        <v>1-8</v>
      </c>
      <c r="S4" s="143" t="str">
        <f>_xlfn.CONCAT(1, "-11")</f>
        <v>1-11</v>
      </c>
      <c r="T4" s="129" t="str">
        <f>_xlfn.CONCAT(1, "-12")</f>
        <v>1-12</v>
      </c>
      <c r="U4" s="96" t="str">
        <f>_xlfn.CONCAT(2, "-3")</f>
        <v>2-3</v>
      </c>
      <c r="V4" s="79" t="str">
        <f>_xlfn.CONCAT(2, "-4")</f>
        <v>2-4</v>
      </c>
      <c r="W4" s="102" t="str">
        <f>_xlfn.CONCAT(2, "-7")</f>
        <v>2-7</v>
      </c>
      <c r="X4" s="100" t="str">
        <f>_xlfn.CONCAT(2, "-8")</f>
        <v>2-8</v>
      </c>
      <c r="Y4" s="143" t="str">
        <f>_xlfn.CONCAT(2, "-11")</f>
        <v>2-11</v>
      </c>
      <c r="Z4" s="145" t="str">
        <f>_xlfn.CONCAT(2, "-12")</f>
        <v>2-12</v>
      </c>
      <c r="AA4" s="96" t="str">
        <f>_xlfn.CONCAT(3, "-3")</f>
        <v>3-3</v>
      </c>
      <c r="AB4" s="79" t="str">
        <f>_xlfn.CONCAT(3, "-4")</f>
        <v>3-4</v>
      </c>
      <c r="AC4" s="102" t="str">
        <f>_xlfn.CONCAT(3, "-7")</f>
        <v>3-7</v>
      </c>
      <c r="AD4" s="100" t="str">
        <f>_xlfn.CONCAT(3, "-8")</f>
        <v>3-8</v>
      </c>
      <c r="AE4" s="143" t="str">
        <f>_xlfn.CONCAT(3, "-11")</f>
        <v>3-11</v>
      </c>
      <c r="AF4" s="129" t="str">
        <f>_xlfn.CONCAT(3, "-12")</f>
        <v>3-12</v>
      </c>
      <c r="AG4" s="96" t="str">
        <f>_xlfn.CONCAT(4, "-3")</f>
        <v>4-3</v>
      </c>
      <c r="AH4" s="79" t="str">
        <f>_xlfn.CONCAT(4, "-4")</f>
        <v>4-4</v>
      </c>
      <c r="AI4" s="102" t="str">
        <f>_xlfn.CONCAT(4, "-7")</f>
        <v>4-7</v>
      </c>
      <c r="AJ4" s="100" t="str">
        <f>_xlfn.CONCAT(4, "-8")</f>
        <v>4-8</v>
      </c>
      <c r="AK4" s="143" t="str">
        <f>_xlfn.CONCAT(4, "-11")</f>
        <v>4-11</v>
      </c>
      <c r="AL4" s="129" t="str">
        <f>_xlfn.CONCAT(4, "-12")</f>
        <v>4-12</v>
      </c>
      <c r="AN4" s="12" t="s">
        <v>3</v>
      </c>
      <c r="AO4" s="107" t="s">
        <v>43</v>
      </c>
      <c r="AP4" s="107" t="s">
        <v>44</v>
      </c>
      <c r="AQ4" s="107" t="s">
        <v>45</v>
      </c>
      <c r="AR4" s="107" t="s">
        <v>46</v>
      </c>
      <c r="AS4" s="107" t="s">
        <v>47</v>
      </c>
      <c r="AT4" s="107" t="s">
        <v>48</v>
      </c>
      <c r="AU4" s="15"/>
      <c r="AV4" s="16" t="s">
        <v>34</v>
      </c>
      <c r="AW4" s="15">
        <v>4</v>
      </c>
      <c r="AX4" s="15"/>
      <c r="AY4" s="15"/>
      <c r="AZ4" s="15"/>
    </row>
    <row r="5" spans="2:52" ht="21" customHeight="1" x14ac:dyDescent="0.45">
      <c r="B5" s="6">
        <f t="shared" ref="B5:B16" si="1">B4+12</f>
        <v>24</v>
      </c>
      <c r="C5" s="36">
        <f t="shared" ref="C5:C16" si="2">C4+12</f>
        <v>25</v>
      </c>
      <c r="D5" s="37">
        <f t="shared" ref="D5:D16" si="3">D4+12</f>
        <v>26</v>
      </c>
      <c r="E5" s="6">
        <f t="shared" ref="E5:E16" si="4">E4+12</f>
        <v>27</v>
      </c>
      <c r="F5" s="36">
        <f t="shared" ref="F5:F16" si="5">F4+12</f>
        <v>28</v>
      </c>
      <c r="G5" s="7">
        <f t="shared" ref="G5:G16" si="6">G4+12</f>
        <v>29</v>
      </c>
      <c r="H5" s="80">
        <f t="shared" ref="H5:H16" si="7">H4+12</f>
        <v>30</v>
      </c>
      <c r="I5" s="36">
        <f t="shared" ref="I5:I16" si="8">I4+12</f>
        <v>31</v>
      </c>
      <c r="J5" s="37">
        <f t="shared" ref="J5:J16" si="9">J4+12</f>
        <v>32</v>
      </c>
      <c r="K5" s="6">
        <f t="shared" ref="K5:K16" si="10">K4+12</f>
        <v>33</v>
      </c>
      <c r="L5" s="36">
        <f t="shared" ref="L5:L16" si="11">L4+12</f>
        <v>34</v>
      </c>
      <c r="M5" s="7">
        <f t="shared" ref="M5:M16" si="12">M4+12</f>
        <v>35</v>
      </c>
      <c r="O5" s="97" t="str">
        <f>_xlfn.CONCAT(8, "-1")</f>
        <v>8-1</v>
      </c>
      <c r="P5" s="80" t="str">
        <f>_xlfn.CONCAT(8, "-2")</f>
        <v>8-2</v>
      </c>
      <c r="Q5" s="103" t="str">
        <f>_xlfn.CONCAT(8, "-5")</f>
        <v>8-5</v>
      </c>
      <c r="R5" s="80" t="str">
        <f>_xlfn.CONCAT(8, "-6")</f>
        <v>8-6</v>
      </c>
      <c r="S5" s="103" t="str">
        <f>_xlfn.CONCAT(8, "-9")</f>
        <v>8-9</v>
      </c>
      <c r="T5" s="130" t="str">
        <f>_xlfn.CONCAT(8, "-10")</f>
        <v>8-10</v>
      </c>
      <c r="U5" s="97" t="str">
        <f>_xlfn.CONCAT(7, "-1")</f>
        <v>7-1</v>
      </c>
      <c r="V5" s="80" t="str">
        <f>_xlfn.CONCAT(7, "-2")</f>
        <v>7-2</v>
      </c>
      <c r="W5" s="103" t="str">
        <f>_xlfn.CONCAT(7, "-5")</f>
        <v>7-5</v>
      </c>
      <c r="X5" s="80" t="str">
        <f>_xlfn.CONCAT(7, "-6")</f>
        <v>7-6</v>
      </c>
      <c r="Y5" s="103" t="str">
        <f>_xlfn.CONCAT(7, "-9")</f>
        <v>7-9</v>
      </c>
      <c r="Z5" s="146" t="str">
        <f>_xlfn.CONCAT(7, "-10")</f>
        <v>7-10</v>
      </c>
      <c r="AA5" s="97" t="str">
        <f>_xlfn.CONCAT(6, "-1")</f>
        <v>6-1</v>
      </c>
      <c r="AB5" s="80" t="str">
        <f>_xlfn.CONCAT(6, "-2")</f>
        <v>6-2</v>
      </c>
      <c r="AC5" s="103" t="str">
        <f>_xlfn.CONCAT(6, "-5")</f>
        <v>6-5</v>
      </c>
      <c r="AD5" s="80" t="str">
        <f>_xlfn.CONCAT(6, "-6")</f>
        <v>6-6</v>
      </c>
      <c r="AE5" s="103" t="str">
        <f>_xlfn.CONCAT(6, "-9")</f>
        <v>6-9</v>
      </c>
      <c r="AF5" s="130" t="str">
        <f>_xlfn.CONCAT(6, "-10")</f>
        <v>6-10</v>
      </c>
      <c r="AG5" s="97" t="str">
        <f>_xlfn.CONCAT(5, "-1")</f>
        <v>5-1</v>
      </c>
      <c r="AH5" s="80" t="str">
        <f>_xlfn.CONCAT(5, "-2")</f>
        <v>5-2</v>
      </c>
      <c r="AI5" s="103" t="str">
        <f>_xlfn.CONCAT(5, "-5")</f>
        <v>5-5</v>
      </c>
      <c r="AJ5" s="80" t="str">
        <f>_xlfn.CONCAT(5, "-6")</f>
        <v>5-6</v>
      </c>
      <c r="AK5" s="103" t="str">
        <f>_xlfn.CONCAT(5, "-9")</f>
        <v>5-9</v>
      </c>
      <c r="AL5" s="130" t="str">
        <f>_xlfn.CONCAT(5, "-10")</f>
        <v>5-10</v>
      </c>
      <c r="AN5" s="13" t="s">
        <v>4</v>
      </c>
      <c r="AO5" s="107" t="s">
        <v>49</v>
      </c>
      <c r="AP5" s="107" t="s">
        <v>50</v>
      </c>
      <c r="AQ5" s="107" t="s">
        <v>51</v>
      </c>
      <c r="AR5" s="107" t="s">
        <v>52</v>
      </c>
      <c r="AS5" s="107" t="s">
        <v>53</v>
      </c>
      <c r="AT5" s="107" t="s">
        <v>54</v>
      </c>
      <c r="AU5" s="15"/>
      <c r="AV5" s="16" t="s">
        <v>35</v>
      </c>
      <c r="AW5" s="15">
        <f>14+28</f>
        <v>42</v>
      </c>
      <c r="AX5" s="15"/>
      <c r="AY5" s="15"/>
      <c r="AZ5" s="15"/>
    </row>
    <row r="6" spans="2:52" ht="21" customHeight="1" thickBot="1" x14ac:dyDescent="0.5">
      <c r="B6" s="23">
        <f t="shared" si="1"/>
        <v>36</v>
      </c>
      <c r="C6" s="38">
        <f t="shared" si="2"/>
        <v>37</v>
      </c>
      <c r="D6" s="39">
        <f t="shared" si="3"/>
        <v>38</v>
      </c>
      <c r="E6" s="23">
        <f t="shared" si="4"/>
        <v>39</v>
      </c>
      <c r="F6" s="38">
        <f t="shared" si="5"/>
        <v>40</v>
      </c>
      <c r="G6" s="24">
        <f t="shared" si="6"/>
        <v>41</v>
      </c>
      <c r="H6" s="81">
        <f t="shared" si="7"/>
        <v>42</v>
      </c>
      <c r="I6" s="38">
        <f t="shared" si="8"/>
        <v>43</v>
      </c>
      <c r="J6" s="39">
        <f t="shared" si="9"/>
        <v>44</v>
      </c>
      <c r="K6" s="23">
        <f t="shared" si="10"/>
        <v>45</v>
      </c>
      <c r="L6" s="38">
        <f t="shared" si="11"/>
        <v>46</v>
      </c>
      <c r="M6" s="24">
        <f t="shared" si="12"/>
        <v>47</v>
      </c>
      <c r="O6" s="98" t="str">
        <f>_xlfn.CONCAT(8, "-3")</f>
        <v>8-3</v>
      </c>
      <c r="P6" s="81" t="str">
        <f>_xlfn.CONCAT(8, "-4")</f>
        <v>8-4</v>
      </c>
      <c r="Q6" s="104" t="str">
        <f>_xlfn.CONCAT(8, "-7")</f>
        <v>8-7</v>
      </c>
      <c r="R6" s="81" t="str">
        <f>_xlfn.CONCAT(8, "-8")</f>
        <v>8-8</v>
      </c>
      <c r="S6" s="104" t="str">
        <f>_xlfn.CONCAT(8, "-11")</f>
        <v>8-11</v>
      </c>
      <c r="T6" s="131" t="str">
        <f>_xlfn.CONCAT(8, "-12")</f>
        <v>8-12</v>
      </c>
      <c r="U6" s="98" t="str">
        <f>_xlfn.CONCAT(7, "-3")</f>
        <v>7-3</v>
      </c>
      <c r="V6" s="81" t="str">
        <f>_xlfn.CONCAT(7, "-4")</f>
        <v>7-4</v>
      </c>
      <c r="W6" s="104" t="str">
        <f>_xlfn.CONCAT(7, "-7")</f>
        <v>7-7</v>
      </c>
      <c r="X6" s="81" t="str">
        <f>_xlfn.CONCAT(7, "-8")</f>
        <v>7-8</v>
      </c>
      <c r="Y6" s="104" t="str">
        <f>_xlfn.CONCAT(7, "-11")</f>
        <v>7-11</v>
      </c>
      <c r="Z6" s="147" t="str">
        <f>_xlfn.CONCAT(7, "-12")</f>
        <v>7-12</v>
      </c>
      <c r="AA6" s="98" t="str">
        <f>_xlfn.CONCAT(6, "-3")</f>
        <v>6-3</v>
      </c>
      <c r="AB6" s="81" t="str">
        <f>_xlfn.CONCAT(6, "-4")</f>
        <v>6-4</v>
      </c>
      <c r="AC6" s="104" t="str">
        <f>_xlfn.CONCAT(6, "-7")</f>
        <v>6-7</v>
      </c>
      <c r="AD6" s="81" t="str">
        <f>_xlfn.CONCAT(6, "-8")</f>
        <v>6-8</v>
      </c>
      <c r="AE6" s="104" t="str">
        <f>_xlfn.CONCAT(5, "-11")</f>
        <v>5-11</v>
      </c>
      <c r="AF6" s="131" t="str">
        <f>_xlfn.CONCAT(6, "-12")</f>
        <v>6-12</v>
      </c>
      <c r="AG6" s="98" t="str">
        <f>_xlfn.CONCAT(5, "-3")</f>
        <v>5-3</v>
      </c>
      <c r="AH6" s="81" t="str">
        <f>_xlfn.CONCAT(5, "-4")</f>
        <v>5-4</v>
      </c>
      <c r="AI6" s="104" t="str">
        <f>_xlfn.CONCAT(5, "-7")</f>
        <v>5-7</v>
      </c>
      <c r="AJ6" s="81" t="str">
        <f>_xlfn.CONCAT(5, "-8")</f>
        <v>5-8</v>
      </c>
      <c r="AK6" s="104" t="str">
        <f>_xlfn.CONCAT(5, "-11")</f>
        <v>5-11</v>
      </c>
      <c r="AL6" s="131" t="str">
        <f>_xlfn.CONCAT(5, "-12")</f>
        <v>5-12</v>
      </c>
      <c r="AN6" s="13" t="s">
        <v>5</v>
      </c>
      <c r="AO6" s="107" t="s">
        <v>55</v>
      </c>
      <c r="AP6" s="107" t="s">
        <v>56</v>
      </c>
      <c r="AQ6" s="107" t="s">
        <v>57</v>
      </c>
      <c r="AR6" s="107" t="s">
        <v>58</v>
      </c>
      <c r="AS6" s="107" t="s">
        <v>59</v>
      </c>
      <c r="AT6" s="107" t="s">
        <v>60</v>
      </c>
      <c r="AU6" s="15"/>
      <c r="AV6" s="16" t="s">
        <v>36</v>
      </c>
      <c r="AW6" s="15">
        <f>6*AW5</f>
        <v>252</v>
      </c>
      <c r="AX6" s="15"/>
      <c r="AY6" s="15"/>
      <c r="AZ6" s="15"/>
    </row>
    <row r="7" spans="2:52" ht="21" customHeight="1" x14ac:dyDescent="0.45">
      <c r="B7" s="43">
        <f t="shared" si="1"/>
        <v>48</v>
      </c>
      <c r="C7" s="44">
        <f t="shared" si="2"/>
        <v>49</v>
      </c>
      <c r="D7" s="70">
        <f t="shared" si="3"/>
        <v>50</v>
      </c>
      <c r="E7" s="43">
        <f t="shared" si="4"/>
        <v>51</v>
      </c>
      <c r="F7" s="44">
        <f t="shared" si="5"/>
        <v>52</v>
      </c>
      <c r="G7" s="45">
        <f t="shared" si="6"/>
        <v>53</v>
      </c>
      <c r="H7" s="82">
        <f t="shared" si="7"/>
        <v>54</v>
      </c>
      <c r="I7" s="44">
        <f t="shared" si="8"/>
        <v>55</v>
      </c>
      <c r="J7" s="70">
        <f t="shared" si="9"/>
        <v>56</v>
      </c>
      <c r="K7" s="43">
        <f t="shared" si="10"/>
        <v>57</v>
      </c>
      <c r="L7" s="44">
        <f t="shared" si="11"/>
        <v>58</v>
      </c>
      <c r="M7" s="45">
        <f t="shared" si="12"/>
        <v>59</v>
      </c>
      <c r="O7" s="99" t="str">
        <f>_xlfn.CONCAT(9, "-1")</f>
        <v>9-1</v>
      </c>
      <c r="P7" s="82"/>
      <c r="Q7" s="105"/>
      <c r="R7" s="82"/>
      <c r="S7" s="105"/>
      <c r="T7" s="132"/>
      <c r="U7" s="99" t="str">
        <f>_xlfn.CONCAT(10, "-1")</f>
        <v>10-1</v>
      </c>
      <c r="V7" s="82"/>
      <c r="W7" s="105"/>
      <c r="X7" s="82"/>
      <c r="Y7" s="105"/>
      <c r="Z7" s="148"/>
      <c r="AA7" s="99" t="str">
        <f>_xlfn.CONCAT(11, "-1")</f>
        <v>11-1</v>
      </c>
      <c r="AB7" s="82"/>
      <c r="AC7" s="105"/>
      <c r="AD7" s="82"/>
      <c r="AE7" s="105"/>
      <c r="AF7" s="132"/>
      <c r="AG7" s="99" t="str">
        <f>_xlfn.CONCAT(12,"-1")</f>
        <v>12-1</v>
      </c>
      <c r="AH7" s="82"/>
      <c r="AI7" s="105"/>
      <c r="AJ7" s="82"/>
      <c r="AK7" s="105"/>
      <c r="AL7" s="132"/>
      <c r="AN7" s="13" t="s">
        <v>6</v>
      </c>
      <c r="AO7" s="107" t="s">
        <v>61</v>
      </c>
      <c r="AP7" s="107" t="s">
        <v>62</v>
      </c>
      <c r="AQ7" s="107" t="s">
        <v>63</v>
      </c>
      <c r="AR7" s="107" t="s">
        <v>64</v>
      </c>
      <c r="AS7" s="107" t="s">
        <v>65</v>
      </c>
      <c r="AT7" s="107" t="s">
        <v>66</v>
      </c>
      <c r="AU7" s="15"/>
      <c r="AV7" s="16" t="s">
        <v>37</v>
      </c>
      <c r="AW7" s="15">
        <f>AW4+AW6</f>
        <v>256</v>
      </c>
      <c r="AX7" s="15"/>
      <c r="AY7" s="15"/>
      <c r="AZ7" s="15"/>
    </row>
    <row r="8" spans="2:52" ht="21" customHeight="1" thickBot="1" x14ac:dyDescent="0.5">
      <c r="B8" s="46">
        <f t="shared" si="1"/>
        <v>60</v>
      </c>
      <c r="C8" s="47">
        <f t="shared" si="2"/>
        <v>61</v>
      </c>
      <c r="D8" s="71">
        <f t="shared" si="3"/>
        <v>62</v>
      </c>
      <c r="E8" s="46">
        <f t="shared" si="4"/>
        <v>63</v>
      </c>
      <c r="F8" s="47">
        <f t="shared" si="5"/>
        <v>64</v>
      </c>
      <c r="G8" s="48">
        <f t="shared" si="6"/>
        <v>65</v>
      </c>
      <c r="H8" s="83">
        <f t="shared" si="7"/>
        <v>66</v>
      </c>
      <c r="I8" s="47">
        <f t="shared" si="8"/>
        <v>67</v>
      </c>
      <c r="J8" s="71">
        <f t="shared" si="9"/>
        <v>68</v>
      </c>
      <c r="K8" s="46">
        <f t="shared" si="10"/>
        <v>69</v>
      </c>
      <c r="L8" s="47">
        <f t="shared" si="11"/>
        <v>70</v>
      </c>
      <c r="M8" s="48">
        <f t="shared" si="12"/>
        <v>71</v>
      </c>
      <c r="O8" s="112"/>
      <c r="P8" s="83"/>
      <c r="Q8" s="120"/>
      <c r="R8" s="83"/>
      <c r="S8" s="120"/>
      <c r="T8" s="133"/>
      <c r="U8" s="112"/>
      <c r="V8" s="83"/>
      <c r="W8" s="120"/>
      <c r="X8" s="83"/>
      <c r="Y8" s="120"/>
      <c r="Z8" s="149"/>
      <c r="AA8" s="112"/>
      <c r="AB8" s="83"/>
      <c r="AC8" s="120"/>
      <c r="AD8" s="83"/>
      <c r="AE8" s="120"/>
      <c r="AF8" s="133"/>
      <c r="AG8" s="112"/>
      <c r="AH8" s="83"/>
      <c r="AI8" s="120"/>
      <c r="AJ8" s="83"/>
      <c r="AK8" s="120"/>
      <c r="AL8" s="133"/>
      <c r="AN8" s="13" t="s">
        <v>7</v>
      </c>
      <c r="AO8" s="108">
        <v>33</v>
      </c>
      <c r="AP8" s="108">
        <v>45</v>
      </c>
      <c r="AQ8" s="108">
        <v>34</v>
      </c>
      <c r="AR8" s="108">
        <v>46</v>
      </c>
      <c r="AS8" s="108">
        <v>35</v>
      </c>
      <c r="AT8" s="108">
        <v>47</v>
      </c>
      <c r="AU8" s="15"/>
      <c r="AV8" s="16" t="s">
        <v>38</v>
      </c>
      <c r="AW8" s="17">
        <f>AW7*AW3</f>
        <v>6144</v>
      </c>
      <c r="AX8" s="15"/>
      <c r="AY8" s="15"/>
      <c r="AZ8" s="15"/>
    </row>
    <row r="9" spans="2:52" ht="21" customHeight="1" x14ac:dyDescent="0.45">
      <c r="B9" s="52">
        <f t="shared" si="1"/>
        <v>72</v>
      </c>
      <c r="C9" s="53">
        <f t="shared" si="2"/>
        <v>73</v>
      </c>
      <c r="D9" s="72">
        <f t="shared" si="3"/>
        <v>74</v>
      </c>
      <c r="E9" s="52">
        <f t="shared" si="4"/>
        <v>75</v>
      </c>
      <c r="F9" s="53">
        <f t="shared" si="5"/>
        <v>76</v>
      </c>
      <c r="G9" s="54">
        <f t="shared" si="6"/>
        <v>77</v>
      </c>
      <c r="H9" s="84">
        <f t="shared" si="7"/>
        <v>78</v>
      </c>
      <c r="I9" s="53">
        <f t="shared" si="8"/>
        <v>79</v>
      </c>
      <c r="J9" s="72">
        <f t="shared" si="9"/>
        <v>80</v>
      </c>
      <c r="K9" s="52">
        <f t="shared" si="10"/>
        <v>81</v>
      </c>
      <c r="L9" s="53">
        <f t="shared" si="11"/>
        <v>82</v>
      </c>
      <c r="M9" s="54">
        <f t="shared" si="12"/>
        <v>83</v>
      </c>
      <c r="O9" s="113" t="str">
        <f>_xlfn.CONCAT(16,"-1")</f>
        <v>16-1</v>
      </c>
      <c r="P9" s="84"/>
      <c r="Q9" s="121"/>
      <c r="R9" s="84"/>
      <c r="S9" s="121"/>
      <c r="T9" s="134"/>
      <c r="U9" s="113" t="str">
        <f>_xlfn.CONCAT(15,"-1")</f>
        <v>15-1</v>
      </c>
      <c r="V9" s="84"/>
      <c r="W9" s="121"/>
      <c r="X9" s="84"/>
      <c r="Y9" s="121"/>
      <c r="Z9" s="150"/>
      <c r="AA9" s="113" t="str">
        <f>_xlfn.CONCAT(14,"-1")</f>
        <v>14-1</v>
      </c>
      <c r="AB9" s="84"/>
      <c r="AC9" s="121"/>
      <c r="AD9" s="84"/>
      <c r="AE9" s="121"/>
      <c r="AF9" s="134"/>
      <c r="AG9" s="113" t="str">
        <f>_xlfn.CONCAT(13,"-1")</f>
        <v>13-1</v>
      </c>
      <c r="AH9" s="84"/>
      <c r="AI9" s="121"/>
      <c r="AJ9" s="84"/>
      <c r="AK9" s="121"/>
      <c r="AL9" s="134"/>
      <c r="AN9" s="13" t="s">
        <v>8</v>
      </c>
      <c r="AO9" s="108">
        <v>30</v>
      </c>
      <c r="AP9" s="108">
        <v>42</v>
      </c>
      <c r="AQ9" s="108">
        <v>31</v>
      </c>
      <c r="AR9" s="108">
        <v>43</v>
      </c>
      <c r="AS9" s="108">
        <v>32</v>
      </c>
      <c r="AT9" s="108">
        <v>44</v>
      </c>
      <c r="AU9" s="15"/>
      <c r="AV9" s="15"/>
      <c r="AW9" s="15"/>
      <c r="AX9" s="15"/>
      <c r="AY9" s="15"/>
      <c r="AZ9" s="15"/>
    </row>
    <row r="10" spans="2:52" ht="21" customHeight="1" thickBot="1" x14ac:dyDescent="0.5">
      <c r="B10" s="55">
        <f t="shared" si="1"/>
        <v>84</v>
      </c>
      <c r="C10" s="56">
        <f t="shared" si="2"/>
        <v>85</v>
      </c>
      <c r="D10" s="73">
        <f t="shared" si="3"/>
        <v>86</v>
      </c>
      <c r="E10" s="55">
        <f t="shared" si="4"/>
        <v>87</v>
      </c>
      <c r="F10" s="56">
        <f t="shared" si="5"/>
        <v>88</v>
      </c>
      <c r="G10" s="57">
        <f t="shared" si="6"/>
        <v>89</v>
      </c>
      <c r="H10" s="85">
        <f t="shared" si="7"/>
        <v>90</v>
      </c>
      <c r="I10" s="56">
        <f t="shared" si="8"/>
        <v>91</v>
      </c>
      <c r="J10" s="73">
        <f t="shared" si="9"/>
        <v>92</v>
      </c>
      <c r="K10" s="55">
        <f t="shared" si="10"/>
        <v>93</v>
      </c>
      <c r="L10" s="56">
        <f t="shared" si="11"/>
        <v>94</v>
      </c>
      <c r="M10" s="57">
        <f t="shared" si="12"/>
        <v>95</v>
      </c>
      <c r="O10" s="114"/>
      <c r="P10" s="85"/>
      <c r="Q10" s="122"/>
      <c r="R10" s="85"/>
      <c r="S10" s="122"/>
      <c r="T10" s="135"/>
      <c r="U10" s="114"/>
      <c r="V10" s="85"/>
      <c r="W10" s="122"/>
      <c r="X10" s="85"/>
      <c r="Y10" s="122"/>
      <c r="Z10" s="151"/>
      <c r="AA10" s="114"/>
      <c r="AB10" s="85"/>
      <c r="AC10" s="122"/>
      <c r="AD10" s="85"/>
      <c r="AE10" s="122"/>
      <c r="AF10" s="135"/>
      <c r="AG10" s="114"/>
      <c r="AH10" s="85"/>
      <c r="AI10" s="122"/>
      <c r="AJ10" s="85"/>
      <c r="AK10" s="122"/>
      <c r="AL10" s="135"/>
      <c r="AN10" s="13" t="s">
        <v>9</v>
      </c>
      <c r="AO10" s="108">
        <v>27</v>
      </c>
      <c r="AP10" s="108">
        <v>39</v>
      </c>
      <c r="AQ10" s="108">
        <v>28</v>
      </c>
      <c r="AR10" s="108">
        <v>40</v>
      </c>
      <c r="AS10" s="108">
        <v>29</v>
      </c>
      <c r="AT10" s="108">
        <v>41</v>
      </c>
      <c r="AU10" s="15"/>
      <c r="AV10" s="15"/>
      <c r="AW10" s="15"/>
      <c r="AX10" s="15"/>
      <c r="AY10" s="15"/>
      <c r="AZ10" s="15"/>
    </row>
    <row r="11" spans="2:52" ht="21" customHeight="1" x14ac:dyDescent="0.45">
      <c r="B11" s="49">
        <f t="shared" si="1"/>
        <v>96</v>
      </c>
      <c r="C11" s="50">
        <f t="shared" si="2"/>
        <v>97</v>
      </c>
      <c r="D11" s="74">
        <f t="shared" si="3"/>
        <v>98</v>
      </c>
      <c r="E11" s="49">
        <f t="shared" si="4"/>
        <v>99</v>
      </c>
      <c r="F11" s="50">
        <f t="shared" si="5"/>
        <v>100</v>
      </c>
      <c r="G11" s="51">
        <f t="shared" si="6"/>
        <v>101</v>
      </c>
      <c r="H11" s="86">
        <f t="shared" si="7"/>
        <v>102</v>
      </c>
      <c r="I11" s="50">
        <f t="shared" si="8"/>
        <v>103</v>
      </c>
      <c r="J11" s="74">
        <f t="shared" si="9"/>
        <v>104</v>
      </c>
      <c r="K11" s="49">
        <f t="shared" si="10"/>
        <v>105</v>
      </c>
      <c r="L11" s="50">
        <f t="shared" si="11"/>
        <v>106</v>
      </c>
      <c r="M11" s="51">
        <f t="shared" si="12"/>
        <v>107</v>
      </c>
      <c r="O11" s="115" t="str">
        <f>_xlfn.CONCAT(17,"-1")</f>
        <v>17-1</v>
      </c>
      <c r="P11" s="86"/>
      <c r="Q11" s="123"/>
      <c r="R11" s="86"/>
      <c r="S11" s="123"/>
      <c r="T11" s="136"/>
      <c r="U11" s="115" t="str">
        <f>_xlfn.CONCAT(18,"-1")</f>
        <v>18-1</v>
      </c>
      <c r="V11" s="86"/>
      <c r="W11" s="123"/>
      <c r="X11" s="86"/>
      <c r="Y11" s="123"/>
      <c r="Z11" s="152"/>
      <c r="AA11" s="115" t="str">
        <f>_xlfn.CONCAT(19,"-1")</f>
        <v>19-1</v>
      </c>
      <c r="AB11" s="86"/>
      <c r="AC11" s="123"/>
      <c r="AD11" s="86"/>
      <c r="AE11" s="123"/>
      <c r="AF11" s="136"/>
      <c r="AG11" s="115" t="str">
        <f>_xlfn.CONCAT(20,"-1")</f>
        <v>20-1</v>
      </c>
      <c r="AH11" s="86"/>
      <c r="AI11" s="123"/>
      <c r="AJ11" s="86"/>
      <c r="AK11" s="123"/>
      <c r="AL11" s="136"/>
      <c r="AN11" s="13" t="s">
        <v>10</v>
      </c>
      <c r="AO11" s="108">
        <v>24</v>
      </c>
      <c r="AP11" s="108">
        <v>36</v>
      </c>
      <c r="AQ11" s="108">
        <v>25</v>
      </c>
      <c r="AR11" s="108">
        <v>37</v>
      </c>
      <c r="AS11" s="108">
        <v>26</v>
      </c>
      <c r="AT11" s="108">
        <v>38</v>
      </c>
      <c r="AU11" s="15"/>
      <c r="AV11" s="15"/>
      <c r="AW11" s="15"/>
      <c r="AX11" s="15"/>
      <c r="AY11" s="15"/>
      <c r="AZ11" s="15"/>
    </row>
    <row r="12" spans="2:52" ht="21" customHeight="1" thickBot="1" x14ac:dyDescent="0.5">
      <c r="B12" s="58">
        <f t="shared" si="1"/>
        <v>108</v>
      </c>
      <c r="C12" s="59">
        <f t="shared" si="2"/>
        <v>109</v>
      </c>
      <c r="D12" s="75">
        <f t="shared" si="3"/>
        <v>110</v>
      </c>
      <c r="E12" s="58">
        <f t="shared" si="4"/>
        <v>111</v>
      </c>
      <c r="F12" s="59">
        <f t="shared" si="5"/>
        <v>112</v>
      </c>
      <c r="G12" s="60">
        <f t="shared" si="6"/>
        <v>113</v>
      </c>
      <c r="H12" s="87">
        <f t="shared" si="7"/>
        <v>114</v>
      </c>
      <c r="I12" s="59">
        <f t="shared" si="8"/>
        <v>115</v>
      </c>
      <c r="J12" s="75">
        <f t="shared" si="9"/>
        <v>116</v>
      </c>
      <c r="K12" s="58">
        <f t="shared" si="10"/>
        <v>117</v>
      </c>
      <c r="L12" s="59">
        <f t="shared" si="11"/>
        <v>118</v>
      </c>
      <c r="M12" s="60">
        <f t="shared" si="12"/>
        <v>119</v>
      </c>
      <c r="O12" s="116"/>
      <c r="P12" s="87"/>
      <c r="Q12" s="124"/>
      <c r="R12" s="87"/>
      <c r="S12" s="124"/>
      <c r="T12" s="137"/>
      <c r="U12" s="116"/>
      <c r="V12" s="87"/>
      <c r="W12" s="124"/>
      <c r="X12" s="87"/>
      <c r="Y12" s="124"/>
      <c r="Z12" s="153"/>
      <c r="AA12" s="116"/>
      <c r="AB12" s="87"/>
      <c r="AC12" s="124"/>
      <c r="AD12" s="87"/>
      <c r="AE12" s="124"/>
      <c r="AF12" s="137"/>
      <c r="AG12" s="116"/>
      <c r="AH12" s="87"/>
      <c r="AI12" s="124"/>
      <c r="AJ12" s="87"/>
      <c r="AK12" s="124"/>
      <c r="AL12" s="137"/>
      <c r="AN12" s="13" t="s">
        <v>11</v>
      </c>
      <c r="AO12" s="25">
        <f>AO4+48</f>
        <v>48</v>
      </c>
      <c r="AP12" s="25">
        <f t="shared" ref="AP12:AT12" si="13">AP4+48</f>
        <v>60</v>
      </c>
      <c r="AQ12" s="25">
        <f t="shared" si="13"/>
        <v>49</v>
      </c>
      <c r="AR12" s="25">
        <f t="shared" si="13"/>
        <v>61</v>
      </c>
      <c r="AS12" s="25">
        <f t="shared" si="13"/>
        <v>50</v>
      </c>
      <c r="AT12" s="25">
        <f t="shared" si="13"/>
        <v>62</v>
      </c>
    </row>
    <row r="13" spans="2:52" ht="21" customHeight="1" x14ac:dyDescent="0.45">
      <c r="B13" s="63">
        <f t="shared" si="1"/>
        <v>120</v>
      </c>
      <c r="C13" s="64">
        <f t="shared" si="2"/>
        <v>121</v>
      </c>
      <c r="D13" s="76">
        <f t="shared" si="3"/>
        <v>122</v>
      </c>
      <c r="E13" s="63">
        <f t="shared" si="4"/>
        <v>123</v>
      </c>
      <c r="F13" s="64">
        <f t="shared" si="5"/>
        <v>124</v>
      </c>
      <c r="G13" s="65">
        <f t="shared" si="6"/>
        <v>125</v>
      </c>
      <c r="H13" s="88">
        <f t="shared" si="7"/>
        <v>126</v>
      </c>
      <c r="I13" s="64">
        <f t="shared" si="8"/>
        <v>127</v>
      </c>
      <c r="J13" s="76">
        <f t="shared" si="9"/>
        <v>128</v>
      </c>
      <c r="K13" s="63">
        <f t="shared" si="10"/>
        <v>129</v>
      </c>
      <c r="L13" s="64">
        <f t="shared" si="11"/>
        <v>130</v>
      </c>
      <c r="M13" s="65">
        <f t="shared" si="12"/>
        <v>131</v>
      </c>
      <c r="O13" s="117" t="str">
        <f>_xlfn.CONCAT(24,"-1")</f>
        <v>24-1</v>
      </c>
      <c r="P13" s="88"/>
      <c r="Q13" s="125"/>
      <c r="R13" s="88"/>
      <c r="S13" s="125"/>
      <c r="T13" s="138"/>
      <c r="U13" s="117" t="str">
        <f>_xlfn.CONCAT(23,"-1")</f>
        <v>23-1</v>
      </c>
      <c r="V13" s="88"/>
      <c r="W13" s="125"/>
      <c r="X13" s="88"/>
      <c r="Y13" s="125"/>
      <c r="Z13" s="154"/>
      <c r="AA13" s="117" t="str">
        <f>_xlfn.CONCAT(22,"-1")</f>
        <v>22-1</v>
      </c>
      <c r="AB13" s="88"/>
      <c r="AC13" s="125"/>
      <c r="AD13" s="88"/>
      <c r="AE13" s="125"/>
      <c r="AF13" s="138"/>
      <c r="AG13" s="117" t="str">
        <f>_xlfn.CONCAT(21,"-1")</f>
        <v>21-1</v>
      </c>
      <c r="AH13" s="88"/>
      <c r="AI13" s="125"/>
      <c r="AJ13" s="88"/>
      <c r="AK13" s="125"/>
      <c r="AL13" s="138"/>
      <c r="AN13" s="13" t="s">
        <v>12</v>
      </c>
      <c r="AO13" s="25">
        <f t="shared" ref="AO13:AT13" si="14">AO5+48</f>
        <v>51</v>
      </c>
      <c r="AP13" s="25">
        <f t="shared" si="14"/>
        <v>63</v>
      </c>
      <c r="AQ13" s="25">
        <f t="shared" si="14"/>
        <v>52</v>
      </c>
      <c r="AR13" s="25">
        <f t="shared" si="14"/>
        <v>64</v>
      </c>
      <c r="AS13" s="25">
        <f t="shared" si="14"/>
        <v>53</v>
      </c>
      <c r="AT13" s="25">
        <f t="shared" si="14"/>
        <v>65</v>
      </c>
    </row>
    <row r="14" spans="2:52" ht="21" customHeight="1" thickBot="1" x14ac:dyDescent="0.5">
      <c r="B14" s="66">
        <f t="shared" si="1"/>
        <v>132</v>
      </c>
      <c r="C14" s="67">
        <f t="shared" si="2"/>
        <v>133</v>
      </c>
      <c r="D14" s="77">
        <f t="shared" si="3"/>
        <v>134</v>
      </c>
      <c r="E14" s="66">
        <f t="shared" si="4"/>
        <v>135</v>
      </c>
      <c r="F14" s="67">
        <f t="shared" si="5"/>
        <v>136</v>
      </c>
      <c r="G14" s="68">
        <f t="shared" si="6"/>
        <v>137</v>
      </c>
      <c r="H14" s="89">
        <f t="shared" si="7"/>
        <v>138</v>
      </c>
      <c r="I14" s="67">
        <f t="shared" si="8"/>
        <v>139</v>
      </c>
      <c r="J14" s="77">
        <f t="shared" si="9"/>
        <v>140</v>
      </c>
      <c r="K14" s="66">
        <f t="shared" si="10"/>
        <v>141</v>
      </c>
      <c r="L14" s="67">
        <f t="shared" si="11"/>
        <v>142</v>
      </c>
      <c r="M14" s="68">
        <f t="shared" si="12"/>
        <v>143</v>
      </c>
      <c r="O14" s="118"/>
      <c r="P14" s="89"/>
      <c r="Q14" s="126"/>
      <c r="R14" s="89"/>
      <c r="S14" s="126"/>
      <c r="T14" s="139"/>
      <c r="U14" s="118"/>
      <c r="V14" s="89"/>
      <c r="W14" s="126"/>
      <c r="X14" s="89"/>
      <c r="Y14" s="126"/>
      <c r="Z14" s="155"/>
      <c r="AA14" s="118"/>
      <c r="AB14" s="89"/>
      <c r="AC14" s="126"/>
      <c r="AD14" s="89"/>
      <c r="AE14" s="126"/>
      <c r="AF14" s="139"/>
      <c r="AG14" s="118"/>
      <c r="AH14" s="89"/>
      <c r="AI14" s="126"/>
      <c r="AJ14" s="89"/>
      <c r="AK14" s="126"/>
      <c r="AL14" s="139"/>
      <c r="AN14" s="13" t="s">
        <v>13</v>
      </c>
      <c r="AO14" s="25">
        <f t="shared" ref="AO14:AT14" si="15">AO6+48</f>
        <v>54</v>
      </c>
      <c r="AP14" s="25">
        <f t="shared" si="15"/>
        <v>66</v>
      </c>
      <c r="AQ14" s="25">
        <f t="shared" si="15"/>
        <v>55</v>
      </c>
      <c r="AR14" s="25">
        <f t="shared" si="15"/>
        <v>67</v>
      </c>
      <c r="AS14" s="25">
        <f t="shared" si="15"/>
        <v>56</v>
      </c>
      <c r="AT14" s="25">
        <f t="shared" si="15"/>
        <v>68</v>
      </c>
    </row>
    <row r="15" spans="2:52" ht="21" customHeight="1" x14ac:dyDescent="0.45">
      <c r="B15" s="28">
        <f t="shared" si="1"/>
        <v>144</v>
      </c>
      <c r="C15" s="61">
        <f t="shared" si="2"/>
        <v>145</v>
      </c>
      <c r="D15" s="78">
        <f t="shared" si="3"/>
        <v>146</v>
      </c>
      <c r="E15" s="28">
        <f t="shared" si="4"/>
        <v>147</v>
      </c>
      <c r="F15" s="61">
        <f t="shared" si="5"/>
        <v>148</v>
      </c>
      <c r="G15" s="62">
        <f t="shared" si="6"/>
        <v>149</v>
      </c>
      <c r="H15" s="90">
        <f t="shared" si="7"/>
        <v>150</v>
      </c>
      <c r="I15" s="61">
        <f t="shared" si="8"/>
        <v>151</v>
      </c>
      <c r="J15" s="78">
        <f t="shared" si="9"/>
        <v>152</v>
      </c>
      <c r="K15" s="28">
        <f t="shared" si="10"/>
        <v>153</v>
      </c>
      <c r="L15" s="61">
        <f t="shared" si="11"/>
        <v>154</v>
      </c>
      <c r="M15" s="62">
        <f t="shared" si="12"/>
        <v>155</v>
      </c>
      <c r="O15" s="119" t="str">
        <f>_xlfn.CONCAT(25,"-1")</f>
        <v>25-1</v>
      </c>
      <c r="P15" s="111"/>
      <c r="Q15" s="127"/>
      <c r="R15" s="111"/>
      <c r="S15" s="127"/>
      <c r="T15" s="140"/>
      <c r="U15" s="119" t="str">
        <f>_xlfn.CONCAT(26,"-1")</f>
        <v>26-1</v>
      </c>
      <c r="V15" s="111"/>
      <c r="W15" s="127"/>
      <c r="X15" s="111"/>
      <c r="Y15" s="127"/>
      <c r="Z15" s="156"/>
      <c r="AA15" s="119" t="str">
        <f>_xlfn.CONCAT(27,"-1")</f>
        <v>27-1</v>
      </c>
      <c r="AB15" s="111"/>
      <c r="AC15" s="127"/>
      <c r="AD15" s="111"/>
      <c r="AE15" s="127"/>
      <c r="AF15" s="140"/>
      <c r="AG15" s="119" t="str">
        <f>_xlfn.CONCAT(28,"-1")</f>
        <v>28-1</v>
      </c>
      <c r="AH15" s="111"/>
      <c r="AI15" s="127"/>
      <c r="AJ15" s="111"/>
      <c r="AK15" s="127"/>
      <c r="AL15" s="140"/>
      <c r="AN15" s="13" t="s">
        <v>14</v>
      </c>
      <c r="AO15" s="25">
        <f t="shared" ref="AO15:AT15" si="16">AO7+48</f>
        <v>57</v>
      </c>
      <c r="AP15" s="25">
        <f t="shared" si="16"/>
        <v>69</v>
      </c>
      <c r="AQ15" s="25">
        <f t="shared" si="16"/>
        <v>58</v>
      </c>
      <c r="AR15" s="25">
        <f t="shared" si="16"/>
        <v>70</v>
      </c>
      <c r="AS15" s="25">
        <f t="shared" si="16"/>
        <v>59</v>
      </c>
      <c r="AT15" s="25">
        <f t="shared" si="16"/>
        <v>71</v>
      </c>
    </row>
    <row r="16" spans="2:52" ht="21" customHeight="1" thickBot="1" x14ac:dyDescent="0.5">
      <c r="B16" s="21">
        <f t="shared" si="1"/>
        <v>156</v>
      </c>
      <c r="C16" s="30">
        <f t="shared" si="2"/>
        <v>157</v>
      </c>
      <c r="D16" s="32">
        <f t="shared" si="3"/>
        <v>158</v>
      </c>
      <c r="E16" s="21">
        <f t="shared" si="4"/>
        <v>159</v>
      </c>
      <c r="F16" s="30">
        <f t="shared" si="5"/>
        <v>160</v>
      </c>
      <c r="G16" s="22">
        <f t="shared" si="6"/>
        <v>161</v>
      </c>
      <c r="H16" s="91">
        <f t="shared" si="7"/>
        <v>162</v>
      </c>
      <c r="I16" s="30">
        <f t="shared" si="8"/>
        <v>163</v>
      </c>
      <c r="J16" s="32">
        <f t="shared" si="9"/>
        <v>164</v>
      </c>
      <c r="K16" s="21">
        <f t="shared" si="10"/>
        <v>165</v>
      </c>
      <c r="L16" s="30">
        <f t="shared" si="11"/>
        <v>166</v>
      </c>
      <c r="M16" s="22">
        <f t="shared" si="12"/>
        <v>167</v>
      </c>
      <c r="O16" s="94"/>
      <c r="P16" s="93"/>
      <c r="Q16" s="106"/>
      <c r="R16" s="93"/>
      <c r="S16" s="106"/>
      <c r="T16" s="141"/>
      <c r="U16" s="94"/>
      <c r="V16" s="93"/>
      <c r="W16" s="106"/>
      <c r="X16" s="93"/>
      <c r="Y16" s="106"/>
      <c r="Z16" s="157"/>
      <c r="AA16" s="94"/>
      <c r="AB16" s="93"/>
      <c r="AC16" s="106"/>
      <c r="AD16" s="93"/>
      <c r="AE16" s="106"/>
      <c r="AF16" s="141"/>
      <c r="AG16" s="94"/>
      <c r="AH16" s="93"/>
      <c r="AI16" s="106"/>
      <c r="AJ16" s="93"/>
      <c r="AK16" s="106"/>
      <c r="AL16" s="141"/>
      <c r="AN16" s="13" t="s">
        <v>15</v>
      </c>
      <c r="AO16" s="109">
        <f>AO8+48</f>
        <v>81</v>
      </c>
      <c r="AP16" s="109">
        <f t="shared" ref="AP16:AT16" si="17">AP8+48</f>
        <v>93</v>
      </c>
      <c r="AQ16" s="109">
        <f t="shared" si="17"/>
        <v>82</v>
      </c>
      <c r="AR16" s="109">
        <f t="shared" si="17"/>
        <v>94</v>
      </c>
      <c r="AS16" s="109">
        <f t="shared" si="17"/>
        <v>83</v>
      </c>
      <c r="AT16" s="109">
        <f t="shared" si="17"/>
        <v>95</v>
      </c>
    </row>
    <row r="17" spans="10:47" ht="21" customHeight="1" x14ac:dyDescent="0.45">
      <c r="J17" s="18"/>
      <c r="K17" s="18"/>
      <c r="L17" s="18"/>
      <c r="M17" s="18"/>
      <c r="AN17" s="13" t="s">
        <v>16</v>
      </c>
      <c r="AO17" s="109">
        <f t="shared" ref="AO17:AT17" si="18">AO9+48</f>
        <v>78</v>
      </c>
      <c r="AP17" s="109">
        <f t="shared" si="18"/>
        <v>90</v>
      </c>
      <c r="AQ17" s="109">
        <f t="shared" si="18"/>
        <v>79</v>
      </c>
      <c r="AR17" s="109">
        <f t="shared" si="18"/>
        <v>91</v>
      </c>
      <c r="AS17" s="109">
        <f t="shared" si="18"/>
        <v>80</v>
      </c>
      <c r="AT17" s="109">
        <f t="shared" si="18"/>
        <v>92</v>
      </c>
    </row>
    <row r="18" spans="10:47" ht="21" customHeight="1" x14ac:dyDescent="0.45">
      <c r="J18" s="18"/>
      <c r="K18" s="18"/>
      <c r="L18" s="18"/>
      <c r="M18" s="18"/>
      <c r="AN18" s="13" t="s">
        <v>17</v>
      </c>
      <c r="AO18" s="109">
        <f t="shared" ref="AO18:AT18" si="19">AO10+48</f>
        <v>75</v>
      </c>
      <c r="AP18" s="109">
        <f t="shared" si="19"/>
        <v>87</v>
      </c>
      <c r="AQ18" s="109">
        <f t="shared" si="19"/>
        <v>76</v>
      </c>
      <c r="AR18" s="109">
        <f t="shared" si="19"/>
        <v>88</v>
      </c>
      <c r="AS18" s="109">
        <f t="shared" si="19"/>
        <v>77</v>
      </c>
      <c r="AT18" s="109">
        <f t="shared" si="19"/>
        <v>89</v>
      </c>
    </row>
    <row r="19" spans="10:47" ht="21" customHeight="1" x14ac:dyDescent="0.45">
      <c r="J19" s="18"/>
      <c r="K19" s="18"/>
      <c r="L19" s="18"/>
      <c r="M19" s="18"/>
      <c r="AN19" s="13" t="s">
        <v>18</v>
      </c>
      <c r="AO19" s="109">
        <f t="shared" ref="AO19:AT19" si="20">AO11+48</f>
        <v>72</v>
      </c>
      <c r="AP19" s="109">
        <f t="shared" si="20"/>
        <v>84</v>
      </c>
      <c r="AQ19" s="109">
        <f t="shared" si="20"/>
        <v>73</v>
      </c>
      <c r="AR19" s="109">
        <f t="shared" si="20"/>
        <v>85</v>
      </c>
      <c r="AS19" s="109">
        <f t="shared" si="20"/>
        <v>74</v>
      </c>
      <c r="AT19" s="109">
        <f t="shared" si="20"/>
        <v>86</v>
      </c>
    </row>
    <row r="20" spans="10:47" ht="21" customHeight="1" x14ac:dyDescent="0.45">
      <c r="J20" s="18"/>
      <c r="K20" s="18"/>
      <c r="L20" s="18"/>
      <c r="M20" s="18"/>
      <c r="AN20" s="13" t="s">
        <v>19</v>
      </c>
      <c r="AO20" s="26">
        <f>AO12+48</f>
        <v>96</v>
      </c>
      <c r="AP20" s="26">
        <f t="shared" ref="AP20:AT20" si="21">AP12+48</f>
        <v>108</v>
      </c>
      <c r="AQ20" s="26">
        <f t="shared" si="21"/>
        <v>97</v>
      </c>
      <c r="AR20" s="26">
        <f t="shared" si="21"/>
        <v>109</v>
      </c>
      <c r="AS20" s="26">
        <f t="shared" si="21"/>
        <v>98</v>
      </c>
      <c r="AT20" s="26">
        <f t="shared" si="21"/>
        <v>110</v>
      </c>
    </row>
    <row r="21" spans="10:47" ht="21" customHeight="1" x14ac:dyDescent="0.45">
      <c r="AN21" s="13" t="s">
        <v>20</v>
      </c>
      <c r="AO21" s="26">
        <f t="shared" ref="AO21:AT21" si="22">AO13+48</f>
        <v>99</v>
      </c>
      <c r="AP21" s="26">
        <f t="shared" si="22"/>
        <v>111</v>
      </c>
      <c r="AQ21" s="26">
        <f t="shared" si="22"/>
        <v>100</v>
      </c>
      <c r="AR21" s="26">
        <f t="shared" si="22"/>
        <v>112</v>
      </c>
      <c r="AS21" s="26">
        <f t="shared" si="22"/>
        <v>101</v>
      </c>
      <c r="AT21" s="26">
        <f t="shared" si="22"/>
        <v>113</v>
      </c>
    </row>
    <row r="22" spans="10:47" ht="21" customHeight="1" x14ac:dyDescent="0.45">
      <c r="O22" s="19"/>
      <c r="P22" s="19"/>
      <c r="Q22" s="19"/>
      <c r="R22" s="19"/>
      <c r="S22" s="19"/>
      <c r="T22" s="19"/>
      <c r="U22" s="19"/>
      <c r="V22" s="19"/>
      <c r="W22" s="19"/>
      <c r="X22" s="19"/>
      <c r="Y22" s="19"/>
      <c r="Z22" s="19"/>
      <c r="AA22" s="19"/>
      <c r="AB22" s="19"/>
      <c r="AC22" s="19"/>
      <c r="AD22" s="19"/>
      <c r="AE22" s="19"/>
      <c r="AF22" s="19"/>
      <c r="AG22" s="19"/>
      <c r="AH22" s="19"/>
      <c r="AI22" s="19"/>
      <c r="AJ22" s="19"/>
      <c r="AK22" s="19"/>
      <c r="AL22" s="19"/>
      <c r="AM22" s="20"/>
      <c r="AN22" s="13" t="s">
        <v>21</v>
      </c>
      <c r="AO22" s="26">
        <f t="shared" ref="AO22:AT22" si="23">AO14+48</f>
        <v>102</v>
      </c>
      <c r="AP22" s="26">
        <f t="shared" si="23"/>
        <v>114</v>
      </c>
      <c r="AQ22" s="26">
        <f t="shared" si="23"/>
        <v>103</v>
      </c>
      <c r="AR22" s="26">
        <f t="shared" si="23"/>
        <v>115</v>
      </c>
      <c r="AS22" s="26">
        <f t="shared" si="23"/>
        <v>104</v>
      </c>
      <c r="AT22" s="26">
        <f t="shared" si="23"/>
        <v>116</v>
      </c>
    </row>
    <row r="23" spans="10:47" ht="21" customHeight="1" x14ac:dyDescent="0.45">
      <c r="O23" s="19"/>
      <c r="P23" s="19"/>
      <c r="Q23" s="19"/>
      <c r="R23" s="19"/>
      <c r="S23" s="19"/>
      <c r="T23" s="19"/>
      <c r="U23" s="19"/>
      <c r="V23" s="19"/>
      <c r="W23" s="19"/>
      <c r="X23" s="19"/>
      <c r="Y23" s="19"/>
      <c r="Z23" s="19"/>
      <c r="AA23" s="19"/>
      <c r="AB23" s="19"/>
      <c r="AC23" s="19"/>
      <c r="AD23" s="19"/>
      <c r="AE23" s="19"/>
      <c r="AF23" s="19"/>
      <c r="AG23" s="19"/>
      <c r="AH23" s="19"/>
      <c r="AI23" s="19"/>
      <c r="AJ23" s="19"/>
      <c r="AK23" s="19"/>
      <c r="AL23" s="19"/>
      <c r="AM23" s="20"/>
      <c r="AN23" s="13" t="s">
        <v>22</v>
      </c>
      <c r="AO23" s="26">
        <f t="shared" ref="AO23:AT23" si="24">AO15+48</f>
        <v>105</v>
      </c>
      <c r="AP23" s="26">
        <f t="shared" si="24"/>
        <v>117</v>
      </c>
      <c r="AQ23" s="26">
        <f t="shared" si="24"/>
        <v>106</v>
      </c>
      <c r="AR23" s="26">
        <f t="shared" si="24"/>
        <v>118</v>
      </c>
      <c r="AS23" s="26">
        <f t="shared" si="24"/>
        <v>107</v>
      </c>
      <c r="AT23" s="26">
        <f t="shared" si="24"/>
        <v>119</v>
      </c>
    </row>
    <row r="24" spans="10:47" ht="21" customHeight="1" x14ac:dyDescent="0.45">
      <c r="AN24" s="13" t="s">
        <v>30</v>
      </c>
      <c r="AO24" s="110">
        <f>AO16+48</f>
        <v>129</v>
      </c>
      <c r="AP24" s="110">
        <f t="shared" ref="AP24:AT24" si="25">AP16+48</f>
        <v>141</v>
      </c>
      <c r="AQ24" s="110">
        <f t="shared" si="25"/>
        <v>130</v>
      </c>
      <c r="AR24" s="110">
        <f t="shared" si="25"/>
        <v>142</v>
      </c>
      <c r="AS24" s="110">
        <f t="shared" si="25"/>
        <v>131</v>
      </c>
      <c r="AT24" s="110">
        <f t="shared" si="25"/>
        <v>143</v>
      </c>
    </row>
    <row r="25" spans="10:47" ht="21" customHeight="1" x14ac:dyDescent="0.45">
      <c r="AN25" s="13" t="s">
        <v>31</v>
      </c>
      <c r="AO25" s="110">
        <f t="shared" ref="AO25:AT25" si="26">AO17+48</f>
        <v>126</v>
      </c>
      <c r="AP25" s="110">
        <f t="shared" si="26"/>
        <v>138</v>
      </c>
      <c r="AQ25" s="110">
        <f t="shared" si="26"/>
        <v>127</v>
      </c>
      <c r="AR25" s="110">
        <f t="shared" si="26"/>
        <v>139</v>
      </c>
      <c r="AS25" s="110">
        <f t="shared" si="26"/>
        <v>128</v>
      </c>
      <c r="AT25" s="110">
        <f t="shared" si="26"/>
        <v>140</v>
      </c>
    </row>
    <row r="26" spans="10:47" ht="21" customHeight="1" x14ac:dyDescent="0.45">
      <c r="AN26" s="13" t="s">
        <v>32</v>
      </c>
      <c r="AO26" s="110">
        <f t="shared" ref="AO26:AT26" si="27">AO18+48</f>
        <v>123</v>
      </c>
      <c r="AP26" s="110">
        <f t="shared" si="27"/>
        <v>135</v>
      </c>
      <c r="AQ26" s="110">
        <f t="shared" si="27"/>
        <v>124</v>
      </c>
      <c r="AR26" s="110">
        <f t="shared" si="27"/>
        <v>136</v>
      </c>
      <c r="AS26" s="110">
        <f t="shared" si="27"/>
        <v>125</v>
      </c>
      <c r="AT26" s="110">
        <f t="shared" si="27"/>
        <v>137</v>
      </c>
      <c r="AU26" s="3"/>
    </row>
    <row r="27" spans="10:47" ht="21" customHeight="1" x14ac:dyDescent="0.45">
      <c r="AN27" s="13" t="s">
        <v>33</v>
      </c>
      <c r="AO27" s="110">
        <f t="shared" ref="AO27:AT27" si="28">AO19+48</f>
        <v>120</v>
      </c>
      <c r="AP27" s="110">
        <f t="shared" si="28"/>
        <v>132</v>
      </c>
      <c r="AQ27" s="110">
        <f t="shared" si="28"/>
        <v>121</v>
      </c>
      <c r="AR27" s="110">
        <f t="shared" si="28"/>
        <v>133</v>
      </c>
      <c r="AS27" s="110">
        <f t="shared" si="28"/>
        <v>122</v>
      </c>
      <c r="AT27" s="110">
        <f t="shared" si="28"/>
        <v>134</v>
      </c>
    </row>
    <row r="28" spans="10:47" ht="21" customHeight="1" x14ac:dyDescent="0.45">
      <c r="AN28" s="13" t="s">
        <v>39</v>
      </c>
      <c r="AO28" s="107">
        <f>AO20+48</f>
        <v>144</v>
      </c>
      <c r="AP28" s="107">
        <f t="shared" ref="AP28:AT28" si="29">AP20+48</f>
        <v>156</v>
      </c>
      <c r="AQ28" s="107">
        <f t="shared" si="29"/>
        <v>145</v>
      </c>
      <c r="AR28" s="107">
        <f t="shared" si="29"/>
        <v>157</v>
      </c>
      <c r="AS28" s="107">
        <f t="shared" si="29"/>
        <v>146</v>
      </c>
      <c r="AT28" s="107">
        <f t="shared" si="29"/>
        <v>158</v>
      </c>
    </row>
    <row r="29" spans="10:47" ht="21" customHeight="1" x14ac:dyDescent="0.45">
      <c r="AN29" s="13" t="s">
        <v>40</v>
      </c>
      <c r="AO29" s="107">
        <f t="shared" ref="AO29:AT29" si="30">AO21+48</f>
        <v>147</v>
      </c>
      <c r="AP29" s="107">
        <f t="shared" si="30"/>
        <v>159</v>
      </c>
      <c r="AQ29" s="107">
        <f t="shared" si="30"/>
        <v>148</v>
      </c>
      <c r="AR29" s="107">
        <f t="shared" si="30"/>
        <v>160</v>
      </c>
      <c r="AS29" s="107">
        <f t="shared" si="30"/>
        <v>149</v>
      </c>
      <c r="AT29" s="107">
        <f t="shared" si="30"/>
        <v>161</v>
      </c>
    </row>
    <row r="30" spans="10:47" ht="21" customHeight="1" x14ac:dyDescent="0.45">
      <c r="AN30" s="13" t="s">
        <v>41</v>
      </c>
      <c r="AO30" s="107">
        <f t="shared" ref="AO30:AT30" si="31">AO22+48</f>
        <v>150</v>
      </c>
      <c r="AP30" s="107">
        <f t="shared" si="31"/>
        <v>162</v>
      </c>
      <c r="AQ30" s="107">
        <f t="shared" si="31"/>
        <v>151</v>
      </c>
      <c r="AR30" s="107">
        <f t="shared" si="31"/>
        <v>163</v>
      </c>
      <c r="AS30" s="107">
        <f t="shared" si="31"/>
        <v>152</v>
      </c>
      <c r="AT30" s="107">
        <f t="shared" si="31"/>
        <v>164</v>
      </c>
    </row>
    <row r="31" spans="10:47" ht="21" customHeight="1" thickBot="1" x14ac:dyDescent="0.5">
      <c r="AN31" s="14" t="s">
        <v>42</v>
      </c>
      <c r="AO31" s="107">
        <f t="shared" ref="AO31:AT31" si="32">AO23+48</f>
        <v>153</v>
      </c>
      <c r="AP31" s="107">
        <f t="shared" si="32"/>
        <v>165</v>
      </c>
      <c r="AQ31" s="107">
        <f t="shared" si="32"/>
        <v>154</v>
      </c>
      <c r="AR31" s="107">
        <f t="shared" si="32"/>
        <v>166</v>
      </c>
      <c r="AS31" s="107">
        <f t="shared" si="32"/>
        <v>155</v>
      </c>
      <c r="AT31" s="107">
        <f t="shared" si="32"/>
        <v>167</v>
      </c>
    </row>
  </sheetData>
  <phoneticPr fontId="1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jylee</dc:creator>
  <cp:lastModifiedBy>이 준영</cp:lastModifiedBy>
  <dcterms:created xsi:type="dcterms:W3CDTF">2015-06-05T18:19:34Z</dcterms:created>
  <dcterms:modified xsi:type="dcterms:W3CDTF">2026-03-17T05:25:25Z</dcterms:modified>
</cp:coreProperties>
</file>