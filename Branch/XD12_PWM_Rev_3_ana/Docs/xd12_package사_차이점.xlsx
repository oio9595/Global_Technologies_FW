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3\Docs\"/>
    </mc:Choice>
  </mc:AlternateContent>
  <xr:revisionPtr revIDLastSave="0" documentId="13_ncr:1_{089EA875-F93E-4718-ACA7-68AE4850418B}" xr6:coauthVersionLast="47" xr6:coauthVersionMax="47" xr10:uidLastSave="{00000000-0000-0000-0000-000000000000}"/>
  <bookViews>
    <workbookView xWindow="71880" yWindow="2160" windowWidth="29040" windowHeight="15720" activeTab="1" xr2:uid="{CD9CF483-D431-4896-B742-2CAB1E6892C0}"/>
  </bookViews>
  <sheets>
    <sheet name="GT_250_500" sheetId="1" r:id="rId1"/>
    <sheet name="Pack_350_600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3" l="1"/>
  <c r="I35" i="3"/>
  <c r="H35" i="3"/>
  <c r="E35" i="3"/>
  <c r="D35" i="3"/>
  <c r="C35" i="3"/>
  <c r="J34" i="3"/>
  <c r="I34" i="3"/>
  <c r="H34" i="3"/>
  <c r="E34" i="3"/>
  <c r="D34" i="3"/>
  <c r="N34" i="3" s="1"/>
  <c r="C34" i="3"/>
  <c r="J33" i="3"/>
  <c r="I33" i="3"/>
  <c r="H33" i="3"/>
  <c r="E33" i="3"/>
  <c r="D33" i="3"/>
  <c r="N33" i="3" s="1"/>
  <c r="C33" i="3"/>
  <c r="J19" i="3"/>
  <c r="I19" i="3"/>
  <c r="H19" i="3"/>
  <c r="E19" i="3"/>
  <c r="D19" i="3"/>
  <c r="C19" i="3"/>
  <c r="J18" i="3"/>
  <c r="I18" i="3"/>
  <c r="H18" i="3"/>
  <c r="E18" i="3"/>
  <c r="D18" i="3"/>
  <c r="C18" i="3"/>
  <c r="J17" i="3"/>
  <c r="I17" i="3"/>
  <c r="H17" i="3"/>
  <c r="E17" i="3"/>
  <c r="D17" i="3"/>
  <c r="N17" i="3" s="1"/>
  <c r="C17" i="3"/>
  <c r="J35" i="1"/>
  <c r="I35" i="1"/>
  <c r="H35" i="1"/>
  <c r="E35" i="1"/>
  <c r="O35" i="1" s="1"/>
  <c r="D35" i="1"/>
  <c r="C35" i="1"/>
  <c r="M35" i="1" s="1"/>
  <c r="J34" i="1"/>
  <c r="I34" i="1"/>
  <c r="H34" i="1"/>
  <c r="E34" i="1"/>
  <c r="O34" i="1" s="1"/>
  <c r="D34" i="1"/>
  <c r="N34" i="1" s="1"/>
  <c r="C34" i="1"/>
  <c r="M34" i="1" s="1"/>
  <c r="J33" i="1"/>
  <c r="I33" i="1"/>
  <c r="H33" i="1"/>
  <c r="E33" i="1"/>
  <c r="D33" i="1"/>
  <c r="N33" i="1" s="1"/>
  <c r="C33" i="1"/>
  <c r="M33" i="1" s="1"/>
  <c r="N17" i="1"/>
  <c r="O17" i="1"/>
  <c r="O18" i="1"/>
  <c r="I17" i="1"/>
  <c r="J17" i="1"/>
  <c r="I18" i="1"/>
  <c r="J18" i="1"/>
  <c r="I19" i="1"/>
  <c r="J19" i="1"/>
  <c r="D17" i="1"/>
  <c r="E17" i="1"/>
  <c r="D18" i="1"/>
  <c r="N18" i="1" s="1"/>
  <c r="E18" i="1"/>
  <c r="D19" i="1"/>
  <c r="N19" i="1" s="1"/>
  <c r="E19" i="1"/>
  <c r="O19" i="1" s="1"/>
  <c r="H19" i="1"/>
  <c r="H18" i="1"/>
  <c r="H17" i="1"/>
  <c r="C19" i="1"/>
  <c r="C18" i="1"/>
  <c r="M18" i="1" s="1"/>
  <c r="C17" i="1"/>
  <c r="O33" i="3" l="1"/>
  <c r="O34" i="3"/>
  <c r="O35" i="3"/>
  <c r="O17" i="3"/>
  <c r="O18" i="3"/>
  <c r="N35" i="3"/>
  <c r="N18" i="3"/>
  <c r="M33" i="3"/>
  <c r="M35" i="3"/>
  <c r="M34" i="3"/>
  <c r="M18" i="3"/>
  <c r="O19" i="3"/>
  <c r="M17" i="3"/>
  <c r="M19" i="3"/>
  <c r="N19" i="3"/>
  <c r="N35" i="1"/>
  <c r="O33" i="1"/>
  <c r="M17" i="1"/>
  <c r="M19" i="1"/>
</calcChain>
</file>

<file path=xl/sharedStrings.xml><?xml version="1.0" encoding="utf-8"?>
<sst xmlns="http://schemas.openxmlformats.org/spreadsheetml/2006/main" count="162" uniqueCount="39">
  <si>
    <t>J사</t>
    <phoneticPr fontId="2" type="noConversion"/>
  </si>
  <si>
    <t>S사</t>
    <phoneticPr fontId="2" type="noConversion"/>
  </si>
  <si>
    <t xml:space="preserve"> OFS CH[1] </t>
  </si>
  <si>
    <t xml:space="preserve"> OFS CH[2] </t>
  </si>
  <si>
    <t xml:space="preserve"> OFS CH[3] </t>
  </si>
  <si>
    <t xml:space="preserve"> OFS CH[4] </t>
  </si>
  <si>
    <t xml:space="preserve"> OFS CH[5] </t>
  </si>
  <si>
    <t xml:space="preserve"> OFS CH[6] </t>
  </si>
  <si>
    <t xml:space="preserve"> OFS CH[7] </t>
  </si>
  <si>
    <t xml:space="preserve"> OFS CH[8] </t>
  </si>
  <si>
    <t xml:space="preserve"> OFS CH[9] </t>
  </si>
  <si>
    <t xml:space="preserve"> OFS CH[10] </t>
  </si>
  <si>
    <t xml:space="preserve"> OFS CH[11] </t>
  </si>
  <si>
    <t xml:space="preserve"> OFS CH[12] </t>
  </si>
  <si>
    <t xml:space="preserve"> GAIN CH[1] </t>
  </si>
  <si>
    <t xml:space="preserve"> GAIN CH[2] </t>
  </si>
  <si>
    <t xml:space="preserve"> GAIN CH[3] </t>
  </si>
  <si>
    <t xml:space="preserve"> GAIN CH[4] </t>
  </si>
  <si>
    <t xml:space="preserve"> GAIN CH[5] </t>
  </si>
  <si>
    <t xml:space="preserve"> GAIN CH[6] </t>
  </si>
  <si>
    <t xml:space="preserve"> GAIN CH[7] </t>
  </si>
  <si>
    <t xml:space="preserve"> GAIN CH[8] </t>
  </si>
  <si>
    <t xml:space="preserve"> GAIN CH[9] </t>
  </si>
  <si>
    <t xml:space="preserve"> GAIN CH[10] </t>
  </si>
  <si>
    <t xml:space="preserve"> GAIN CH[11] </t>
  </si>
  <si>
    <t xml:space="preserve"> GAIN CH[12] </t>
  </si>
  <si>
    <t>min</t>
    <phoneticPr fontId="2" type="noConversion"/>
  </si>
  <si>
    <t>max</t>
    <phoneticPr fontId="2" type="noConversion"/>
  </si>
  <si>
    <t>avg</t>
    <phoneticPr fontId="2" type="noConversion"/>
  </si>
  <si>
    <t>min delta</t>
    <phoneticPr fontId="2" type="noConversion"/>
  </si>
  <si>
    <t>max delta</t>
    <phoneticPr fontId="2" type="noConversion"/>
  </si>
  <si>
    <t>avg delta</t>
    <phoneticPr fontId="2" type="noConversion"/>
  </si>
  <si>
    <t>12번째 채널은 계산에서 제외하였음</t>
    <phoneticPr fontId="2" type="noConversion"/>
  </si>
  <si>
    <t>R</t>
    <phoneticPr fontId="2" type="noConversion"/>
  </si>
  <si>
    <t>G</t>
    <phoneticPr fontId="2" type="noConversion"/>
  </si>
  <si>
    <t>B</t>
    <phoneticPr fontId="2" type="noConversion"/>
  </si>
  <si>
    <t>#1</t>
    <phoneticPr fontId="2" type="noConversion"/>
  </si>
  <si>
    <t>#2</t>
    <phoneticPr fontId="2" type="noConversion"/>
  </si>
  <si>
    <t>#3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</si>
</sst>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66FF"/>
      <name val="맑은 고딕"/>
      <family val="2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10" fontId="0" fillId="0" borderId="0" xfId="1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0" fillId="2" borderId="0" xfId="0" applyNumberForma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29C3-1D61-4E31-AE7A-C18937209889}">
  <dimension ref="B2:O35"/>
  <sheetViews>
    <sheetView zoomScale="85" zoomScaleNormal="85" workbookViewId="0"/>
  </sheetViews>
  <sheetFormatPr defaultRowHeight="17" x14ac:dyDescent="0.45"/>
  <cols>
    <col min="1" max="1" width="2.58203125" customWidth="1"/>
    <col min="2" max="2" width="13.58203125" customWidth="1"/>
    <col min="3" max="5" width="6.83203125" bestFit="1" customWidth="1"/>
    <col min="7" max="7" width="13.58203125" bestFit="1" customWidth="1"/>
    <col min="8" max="10" width="6.83203125" bestFit="1" customWidth="1"/>
    <col min="12" max="12" width="9.5" bestFit="1" customWidth="1"/>
    <col min="13" max="13" width="7.75" bestFit="1" customWidth="1"/>
    <col min="14" max="14" width="7.5" bestFit="1" customWidth="1"/>
    <col min="15" max="15" width="6.75" bestFit="1" customWidth="1"/>
  </cols>
  <sheetData>
    <row r="2" spans="2:15" x14ac:dyDescent="0.45">
      <c r="B2" s="3" t="s">
        <v>32</v>
      </c>
    </row>
    <row r="4" spans="2:15" x14ac:dyDescent="0.45">
      <c r="B4" t="s">
        <v>0</v>
      </c>
      <c r="C4" s="7" t="s">
        <v>36</v>
      </c>
      <c r="D4" s="8" t="s">
        <v>37</v>
      </c>
      <c r="E4" s="9" t="s">
        <v>38</v>
      </c>
      <c r="G4" t="s">
        <v>1</v>
      </c>
      <c r="H4" s="7" t="s">
        <v>36</v>
      </c>
      <c r="I4" s="8" t="s">
        <v>37</v>
      </c>
      <c r="J4" s="9" t="s">
        <v>38</v>
      </c>
    </row>
    <row r="5" spans="2:15" x14ac:dyDescent="0.45">
      <c r="B5" t="s">
        <v>2</v>
      </c>
      <c r="C5">
        <v>0.81399999999999995</v>
      </c>
      <c r="D5">
        <v>0.81499999999999995</v>
      </c>
      <c r="E5">
        <v>0.8</v>
      </c>
      <c r="G5" t="s">
        <v>2</v>
      </c>
      <c r="H5">
        <v>0.73399999999999999</v>
      </c>
      <c r="I5">
        <v>0.74099999999999999</v>
      </c>
      <c r="J5">
        <v>0.75</v>
      </c>
    </row>
    <row r="6" spans="2:15" x14ac:dyDescent="0.45">
      <c r="B6" t="s">
        <v>3</v>
      </c>
      <c r="C6">
        <v>0.81200000000000006</v>
      </c>
      <c r="D6">
        <v>0.81100000000000005</v>
      </c>
      <c r="E6">
        <v>0.80300000000000005</v>
      </c>
      <c r="G6" t="s">
        <v>3</v>
      </c>
      <c r="H6">
        <v>0.73499999999999999</v>
      </c>
      <c r="I6">
        <v>0.74399999999999999</v>
      </c>
      <c r="J6">
        <v>0.74399999999999999</v>
      </c>
    </row>
    <row r="7" spans="2:15" x14ac:dyDescent="0.45">
      <c r="B7" t="s">
        <v>4</v>
      </c>
      <c r="C7">
        <v>0.81100000000000005</v>
      </c>
      <c r="D7">
        <v>0.80900000000000005</v>
      </c>
      <c r="E7">
        <v>0.80200000000000005</v>
      </c>
      <c r="G7" t="s">
        <v>4</v>
      </c>
      <c r="H7">
        <v>0.73099999999999998</v>
      </c>
      <c r="I7">
        <v>0.73399999999999999</v>
      </c>
      <c r="J7">
        <v>0.746</v>
      </c>
    </row>
    <row r="8" spans="2:15" x14ac:dyDescent="0.45">
      <c r="B8" t="s">
        <v>5</v>
      </c>
      <c r="C8">
        <v>0.80900000000000005</v>
      </c>
      <c r="D8">
        <v>0.81</v>
      </c>
      <c r="E8">
        <v>0.80600000000000005</v>
      </c>
      <c r="G8" t="s">
        <v>5</v>
      </c>
      <c r="H8">
        <v>0.73199999999999998</v>
      </c>
      <c r="I8">
        <v>0.73599999999999999</v>
      </c>
      <c r="J8">
        <v>0.74399999999999999</v>
      </c>
    </row>
    <row r="9" spans="2:15" x14ac:dyDescent="0.45">
      <c r="B9" t="s">
        <v>6</v>
      </c>
      <c r="C9">
        <v>0.80800000000000005</v>
      </c>
      <c r="D9">
        <v>0.81200000000000006</v>
      </c>
      <c r="E9">
        <v>0.80100000000000005</v>
      </c>
      <c r="G9" t="s">
        <v>6</v>
      </c>
      <c r="H9">
        <v>0.73</v>
      </c>
      <c r="I9">
        <v>0.74099999999999999</v>
      </c>
      <c r="J9">
        <v>0.746</v>
      </c>
    </row>
    <row r="10" spans="2:15" x14ac:dyDescent="0.45">
      <c r="B10" t="s">
        <v>7</v>
      </c>
      <c r="C10">
        <v>0.80900000000000005</v>
      </c>
      <c r="D10">
        <v>0.80900000000000005</v>
      </c>
      <c r="E10">
        <v>0.80300000000000005</v>
      </c>
      <c r="G10" t="s">
        <v>7</v>
      </c>
      <c r="H10">
        <v>0.72799999999999998</v>
      </c>
      <c r="I10">
        <v>0.73799999999999999</v>
      </c>
      <c r="J10">
        <v>0.74399999999999999</v>
      </c>
    </row>
    <row r="11" spans="2:15" x14ac:dyDescent="0.45">
      <c r="B11" t="s">
        <v>8</v>
      </c>
      <c r="C11">
        <v>0.81299999999999994</v>
      </c>
      <c r="D11">
        <v>0.81100000000000005</v>
      </c>
      <c r="E11">
        <v>0.80400000000000005</v>
      </c>
      <c r="G11" t="s">
        <v>8</v>
      </c>
      <c r="H11">
        <v>0.73</v>
      </c>
      <c r="I11">
        <v>0.73599999999999999</v>
      </c>
      <c r="J11">
        <v>0.74399999999999999</v>
      </c>
    </row>
    <row r="12" spans="2:15" x14ac:dyDescent="0.45">
      <c r="B12" t="s">
        <v>9</v>
      </c>
      <c r="C12">
        <v>0.80800000000000005</v>
      </c>
      <c r="D12">
        <v>0.81100000000000005</v>
      </c>
      <c r="E12">
        <v>0.80400000000000005</v>
      </c>
      <c r="G12" t="s">
        <v>9</v>
      </c>
      <c r="H12">
        <v>0.72699999999999998</v>
      </c>
      <c r="I12">
        <v>0.73499999999999999</v>
      </c>
      <c r="J12">
        <v>0.73899999999999999</v>
      </c>
    </row>
    <row r="13" spans="2:15" x14ac:dyDescent="0.45">
      <c r="B13" t="s">
        <v>10</v>
      </c>
      <c r="C13">
        <v>0.81</v>
      </c>
      <c r="D13">
        <v>0.80900000000000005</v>
      </c>
      <c r="E13">
        <v>0.80100000000000005</v>
      </c>
      <c r="G13" t="s">
        <v>10</v>
      </c>
      <c r="H13">
        <v>0.72899999999999998</v>
      </c>
      <c r="I13">
        <v>0.73499999999999999</v>
      </c>
      <c r="J13">
        <v>0.745</v>
      </c>
    </row>
    <row r="14" spans="2:15" x14ac:dyDescent="0.45">
      <c r="B14" t="s">
        <v>11</v>
      </c>
      <c r="C14">
        <v>0.80700000000000005</v>
      </c>
      <c r="D14">
        <v>0.81100000000000005</v>
      </c>
      <c r="E14">
        <v>0.79800000000000004</v>
      </c>
      <c r="G14" t="s">
        <v>11</v>
      </c>
      <c r="H14">
        <v>0.73099999999999998</v>
      </c>
      <c r="I14">
        <v>0.73299999999999998</v>
      </c>
      <c r="J14">
        <v>0.74</v>
      </c>
    </row>
    <row r="15" spans="2:15" x14ac:dyDescent="0.45">
      <c r="B15" t="s">
        <v>12</v>
      </c>
      <c r="C15">
        <v>0.81</v>
      </c>
      <c r="D15">
        <v>0.81699999999999995</v>
      </c>
      <c r="E15">
        <v>0.79900000000000004</v>
      </c>
      <c r="G15" t="s">
        <v>12</v>
      </c>
      <c r="H15">
        <v>0.72299999999999998</v>
      </c>
      <c r="I15">
        <v>0.73399999999999999</v>
      </c>
      <c r="J15">
        <v>0.74399999999999999</v>
      </c>
    </row>
    <row r="16" spans="2:15" x14ac:dyDescent="0.45">
      <c r="B16" s="4" t="s">
        <v>13</v>
      </c>
      <c r="C16" s="5">
        <v>0.93899999999999995</v>
      </c>
      <c r="D16" s="5">
        <v>0.93100000000000005</v>
      </c>
      <c r="E16" s="5">
        <v>0.92300000000000004</v>
      </c>
      <c r="F16" s="5"/>
      <c r="G16" s="5" t="s">
        <v>13</v>
      </c>
      <c r="H16" s="5">
        <v>0.86599999999999999</v>
      </c>
      <c r="I16" s="5">
        <v>0.86199999999999999</v>
      </c>
      <c r="J16" s="5">
        <v>0.86799999999999999</v>
      </c>
      <c r="M16" s="7" t="s">
        <v>33</v>
      </c>
      <c r="N16" s="8" t="s">
        <v>34</v>
      </c>
      <c r="O16" s="9" t="s">
        <v>35</v>
      </c>
    </row>
    <row r="17" spans="2:15" x14ac:dyDescent="0.45">
      <c r="B17" s="1" t="s">
        <v>26</v>
      </c>
      <c r="C17" s="1">
        <f>MIN(C5:C15)</f>
        <v>0.80700000000000005</v>
      </c>
      <c r="D17" s="1">
        <f t="shared" ref="D17:E17" si="0">MIN(D5:D15)</f>
        <v>0.80900000000000005</v>
      </c>
      <c r="E17" s="1">
        <f t="shared" si="0"/>
        <v>0.79800000000000004</v>
      </c>
      <c r="F17" s="1"/>
      <c r="G17" s="1" t="s">
        <v>26</v>
      </c>
      <c r="H17" s="1">
        <f>MIN(H5:H15)</f>
        <v>0.72299999999999998</v>
      </c>
      <c r="I17" s="1">
        <f t="shared" ref="I17:J17" si="1">MIN(I5:I15)</f>
        <v>0.73299999999999998</v>
      </c>
      <c r="J17" s="1">
        <f t="shared" si="1"/>
        <v>0.73899999999999999</v>
      </c>
      <c r="L17" s="1" t="s">
        <v>29</v>
      </c>
      <c r="M17" s="2">
        <f t="shared" ref="M17:O19" si="2">(C17-H17)/C17</f>
        <v>0.1040892193308551</v>
      </c>
      <c r="N17" s="2">
        <f t="shared" si="2"/>
        <v>9.3943139678615659E-2</v>
      </c>
      <c r="O17" s="2">
        <f t="shared" si="2"/>
        <v>7.3934837092731895E-2</v>
      </c>
    </row>
    <row r="18" spans="2:15" x14ac:dyDescent="0.45">
      <c r="B18" s="1" t="s">
        <v>27</v>
      </c>
      <c r="C18" s="1">
        <f>MAX(C5:C15)</f>
        <v>0.81399999999999995</v>
      </c>
      <c r="D18" s="1">
        <f t="shared" ref="D18:E18" si="3">MAX(D5:D15)</f>
        <v>0.81699999999999995</v>
      </c>
      <c r="E18" s="1">
        <f t="shared" si="3"/>
        <v>0.80600000000000005</v>
      </c>
      <c r="F18" s="1"/>
      <c r="G18" s="1" t="s">
        <v>27</v>
      </c>
      <c r="H18" s="1">
        <f>MAX(H5:H15)</f>
        <v>0.73499999999999999</v>
      </c>
      <c r="I18" s="1">
        <f t="shared" ref="I18:J18" si="4">MAX(I5:I15)</f>
        <v>0.74399999999999999</v>
      </c>
      <c r="J18" s="1">
        <f t="shared" si="4"/>
        <v>0.75</v>
      </c>
      <c r="L18" s="1" t="s">
        <v>30</v>
      </c>
      <c r="M18" s="2">
        <f t="shared" si="2"/>
        <v>9.7051597051597008E-2</v>
      </c>
      <c r="N18" s="2">
        <f t="shared" si="2"/>
        <v>8.9351285189718438E-2</v>
      </c>
      <c r="O18" s="2">
        <f t="shared" si="2"/>
        <v>6.9478908188585667E-2</v>
      </c>
    </row>
    <row r="19" spans="2:15" x14ac:dyDescent="0.45">
      <c r="B19" s="1" t="s">
        <v>28</v>
      </c>
      <c r="C19" s="6">
        <f>AVERAGE(C5:C15)</f>
        <v>0.81009090909090919</v>
      </c>
      <c r="D19" s="6">
        <f t="shared" ref="D19:E19" si="5">AVERAGE(D5:D15)</f>
        <v>0.8113636363636364</v>
      </c>
      <c r="E19" s="6">
        <f t="shared" si="5"/>
        <v>0.80190909090909102</v>
      </c>
      <c r="F19" s="1"/>
      <c r="G19" s="1" t="s">
        <v>28</v>
      </c>
      <c r="H19" s="6">
        <f>AVERAGE(H5:H15)</f>
        <v>0.73</v>
      </c>
      <c r="I19" s="6">
        <f t="shared" ref="I19:J19" si="6">AVERAGE(I5:I15)</f>
        <v>0.73699999999999999</v>
      </c>
      <c r="J19" s="6">
        <f t="shared" si="6"/>
        <v>0.74418181818181817</v>
      </c>
      <c r="L19" s="1" t="s">
        <v>31</v>
      </c>
      <c r="M19" s="2">
        <f t="shared" si="2"/>
        <v>9.8866569408596255E-2</v>
      </c>
      <c r="N19" s="2">
        <f t="shared" si="2"/>
        <v>9.1652661064425822E-2</v>
      </c>
      <c r="O19" s="2">
        <f t="shared" si="2"/>
        <v>7.1987303026867844E-2</v>
      </c>
    </row>
    <row r="21" spans="2:15" x14ac:dyDescent="0.45">
      <c r="B21" t="s">
        <v>14</v>
      </c>
      <c r="C21">
        <v>3.96</v>
      </c>
      <c r="D21">
        <v>3.9990000000000001</v>
      </c>
      <c r="E21">
        <v>3.9359999999999999</v>
      </c>
      <c r="G21" t="s">
        <v>14</v>
      </c>
      <c r="H21">
        <v>4.0529999999999999</v>
      </c>
      <c r="I21">
        <v>4.0220000000000002</v>
      </c>
      <c r="J21">
        <v>3.9279999999999999</v>
      </c>
    </row>
    <row r="22" spans="2:15" x14ac:dyDescent="0.45">
      <c r="B22" t="s">
        <v>15</v>
      </c>
      <c r="C22">
        <v>3.952</v>
      </c>
      <c r="D22">
        <v>3.9910000000000001</v>
      </c>
      <c r="E22">
        <v>3.944</v>
      </c>
      <c r="G22" t="s">
        <v>15</v>
      </c>
      <c r="H22">
        <v>4.03</v>
      </c>
      <c r="I22">
        <v>3.9830000000000001</v>
      </c>
      <c r="J22">
        <v>3.96</v>
      </c>
    </row>
    <row r="23" spans="2:15" x14ac:dyDescent="0.45">
      <c r="B23" t="s">
        <v>16</v>
      </c>
      <c r="C23">
        <v>3.9750000000000001</v>
      </c>
      <c r="D23">
        <v>3.944</v>
      </c>
      <c r="E23">
        <v>3.952</v>
      </c>
      <c r="G23" t="s">
        <v>16</v>
      </c>
      <c r="H23">
        <v>4.077</v>
      </c>
      <c r="I23">
        <v>4.0220000000000002</v>
      </c>
      <c r="J23">
        <v>3.96</v>
      </c>
    </row>
    <row r="24" spans="2:15" x14ac:dyDescent="0.45">
      <c r="B24" t="s">
        <v>17</v>
      </c>
      <c r="C24">
        <v>3.9670000000000001</v>
      </c>
      <c r="D24">
        <v>3.952</v>
      </c>
      <c r="E24">
        <v>3.96</v>
      </c>
      <c r="G24" t="s">
        <v>17</v>
      </c>
      <c r="H24">
        <v>4.0220000000000002</v>
      </c>
      <c r="I24">
        <v>4.0069999999999997</v>
      </c>
      <c r="J24">
        <v>3.9049999999999998</v>
      </c>
    </row>
    <row r="25" spans="2:15" x14ac:dyDescent="0.45">
      <c r="B25" t="s">
        <v>18</v>
      </c>
      <c r="C25">
        <v>3.9670000000000001</v>
      </c>
      <c r="D25">
        <v>3.952</v>
      </c>
      <c r="E25">
        <v>3.952</v>
      </c>
      <c r="G25" t="s">
        <v>18</v>
      </c>
      <c r="H25">
        <v>4.0529999999999999</v>
      </c>
      <c r="I25">
        <v>4.0460000000000003</v>
      </c>
      <c r="J25">
        <v>3.952</v>
      </c>
    </row>
    <row r="26" spans="2:15" x14ac:dyDescent="0.45">
      <c r="B26" t="s">
        <v>19</v>
      </c>
      <c r="C26">
        <v>3.96</v>
      </c>
      <c r="D26">
        <v>3.9670000000000001</v>
      </c>
      <c r="E26">
        <v>3.9359999999999999</v>
      </c>
      <c r="G26" t="s">
        <v>19</v>
      </c>
      <c r="H26">
        <v>4.085</v>
      </c>
      <c r="I26">
        <v>3.9990000000000001</v>
      </c>
      <c r="J26">
        <v>3.952</v>
      </c>
    </row>
    <row r="27" spans="2:15" x14ac:dyDescent="0.45">
      <c r="B27" t="s">
        <v>20</v>
      </c>
      <c r="C27">
        <v>3.96</v>
      </c>
      <c r="D27">
        <v>3.9750000000000001</v>
      </c>
      <c r="E27">
        <v>3.96</v>
      </c>
      <c r="G27" t="s">
        <v>20</v>
      </c>
      <c r="H27">
        <v>3.9910000000000001</v>
      </c>
      <c r="I27">
        <v>4.0069999999999997</v>
      </c>
      <c r="J27">
        <v>3.9129999999999998</v>
      </c>
    </row>
    <row r="28" spans="2:15" x14ac:dyDescent="0.45">
      <c r="B28" t="s">
        <v>21</v>
      </c>
      <c r="C28">
        <v>3.952</v>
      </c>
      <c r="D28">
        <v>3.9670000000000001</v>
      </c>
      <c r="E28">
        <v>3.9670000000000001</v>
      </c>
      <c r="G28" t="s">
        <v>21</v>
      </c>
      <c r="H28">
        <v>4.0609999999999999</v>
      </c>
      <c r="I28">
        <v>3.9750000000000001</v>
      </c>
      <c r="J28">
        <v>3.9359999999999999</v>
      </c>
    </row>
    <row r="29" spans="2:15" x14ac:dyDescent="0.45">
      <c r="B29" t="s">
        <v>22</v>
      </c>
      <c r="C29">
        <v>3.96</v>
      </c>
      <c r="D29">
        <v>3.9670000000000001</v>
      </c>
      <c r="E29">
        <v>3.944</v>
      </c>
      <c r="G29" t="s">
        <v>22</v>
      </c>
      <c r="H29">
        <v>4.0529999999999999</v>
      </c>
      <c r="I29">
        <v>3.9670000000000001</v>
      </c>
      <c r="J29">
        <v>3.944</v>
      </c>
    </row>
    <row r="30" spans="2:15" x14ac:dyDescent="0.45">
      <c r="B30" t="s">
        <v>23</v>
      </c>
      <c r="C30">
        <v>3.96</v>
      </c>
      <c r="D30">
        <v>3.9670000000000001</v>
      </c>
      <c r="E30">
        <v>3.96</v>
      </c>
      <c r="G30" t="s">
        <v>23</v>
      </c>
      <c r="H30">
        <v>4.0140000000000002</v>
      </c>
      <c r="I30">
        <v>4.0140000000000002</v>
      </c>
      <c r="J30">
        <v>3.9129999999999998</v>
      </c>
    </row>
    <row r="31" spans="2:15" x14ac:dyDescent="0.45">
      <c r="B31" t="s">
        <v>24</v>
      </c>
      <c r="C31">
        <v>3.9750000000000001</v>
      </c>
      <c r="D31">
        <v>3.9910000000000001</v>
      </c>
      <c r="E31">
        <v>3.9750000000000001</v>
      </c>
      <c r="G31" t="s">
        <v>24</v>
      </c>
      <c r="H31">
        <v>3.9910000000000001</v>
      </c>
      <c r="I31">
        <v>3.9830000000000001</v>
      </c>
      <c r="J31">
        <v>3.92</v>
      </c>
    </row>
    <row r="32" spans="2:15" x14ac:dyDescent="0.45">
      <c r="B32" s="4" t="s">
        <v>25</v>
      </c>
      <c r="C32" s="5">
        <v>3.9830000000000001</v>
      </c>
      <c r="D32" s="5">
        <v>3.9830000000000001</v>
      </c>
      <c r="E32" s="5">
        <v>3.9750000000000001</v>
      </c>
      <c r="F32" s="5"/>
      <c r="G32" s="5" t="s">
        <v>25</v>
      </c>
      <c r="H32" s="5">
        <v>4.0069999999999997</v>
      </c>
      <c r="I32" s="5">
        <v>4.0140000000000002</v>
      </c>
      <c r="J32" s="5">
        <v>3.9359999999999999</v>
      </c>
      <c r="M32" s="7" t="s">
        <v>33</v>
      </c>
      <c r="N32" s="8" t="s">
        <v>34</v>
      </c>
      <c r="O32" s="9" t="s">
        <v>35</v>
      </c>
    </row>
    <row r="33" spans="2:15" x14ac:dyDescent="0.45">
      <c r="B33" s="1" t="s">
        <v>26</v>
      </c>
      <c r="C33" s="1">
        <f>MIN(C21:C31)</f>
        <v>3.952</v>
      </c>
      <c r="D33" s="1">
        <f t="shared" ref="D33:E33" si="7">MIN(D21:D31)</f>
        <v>3.944</v>
      </c>
      <c r="E33" s="1">
        <f t="shared" si="7"/>
        <v>3.9359999999999999</v>
      </c>
      <c r="F33" s="1"/>
      <c r="G33" s="1" t="s">
        <v>26</v>
      </c>
      <c r="H33" s="1">
        <f>MIN(H21:H31)</f>
        <v>3.9910000000000001</v>
      </c>
      <c r="I33" s="1">
        <f t="shared" ref="I33:J33" si="8">MIN(I21:I31)</f>
        <v>3.9670000000000001</v>
      </c>
      <c r="J33" s="1">
        <f t="shared" si="8"/>
        <v>3.9049999999999998</v>
      </c>
      <c r="L33" s="1" t="s">
        <v>29</v>
      </c>
      <c r="M33" s="2">
        <f t="shared" ref="M33:O35" si="9">(C33-H33)/C33</f>
        <v>-9.8684210526316166E-3</v>
      </c>
      <c r="N33" s="2">
        <f t="shared" si="9"/>
        <v>-5.8316430020284313E-3</v>
      </c>
      <c r="O33" s="2">
        <f t="shared" si="9"/>
        <v>7.8760162601626375E-3</v>
      </c>
    </row>
    <row r="34" spans="2:15" x14ac:dyDescent="0.45">
      <c r="B34" s="1" t="s">
        <v>27</v>
      </c>
      <c r="C34" s="1">
        <f>MAX(C21:C31)</f>
        <v>3.9750000000000001</v>
      </c>
      <c r="D34" s="1">
        <f t="shared" ref="D34:E34" si="10">MAX(D21:D31)</f>
        <v>3.9990000000000001</v>
      </c>
      <c r="E34" s="1">
        <f t="shared" si="10"/>
        <v>3.9750000000000001</v>
      </c>
      <c r="F34" s="1"/>
      <c r="G34" s="1" t="s">
        <v>27</v>
      </c>
      <c r="H34" s="1">
        <f>MAX(H21:H31)</f>
        <v>4.085</v>
      </c>
      <c r="I34" s="1">
        <f t="shared" ref="I34:J34" si="11">MAX(I21:I31)</f>
        <v>4.0460000000000003</v>
      </c>
      <c r="J34" s="1">
        <f t="shared" si="11"/>
        <v>3.96</v>
      </c>
      <c r="L34" s="1" t="s">
        <v>30</v>
      </c>
      <c r="M34" s="2">
        <f t="shared" si="9"/>
        <v>-2.7672955974842737E-2</v>
      </c>
      <c r="N34" s="2">
        <f t="shared" si="9"/>
        <v>-1.1752938234558677E-2</v>
      </c>
      <c r="O34" s="2">
        <f t="shared" si="9"/>
        <v>3.7735849056604086E-3</v>
      </c>
    </row>
    <row r="35" spans="2:15" x14ac:dyDescent="0.45">
      <c r="B35" s="1" t="s">
        <v>28</v>
      </c>
      <c r="C35" s="6">
        <f>AVERAGE(C21:C31)</f>
        <v>3.9625454545454555</v>
      </c>
      <c r="D35" s="6">
        <f t="shared" ref="D35:E35" si="12">AVERAGE(D21:D31)</f>
        <v>3.970181818181818</v>
      </c>
      <c r="E35" s="6">
        <f t="shared" si="12"/>
        <v>3.9532727272727275</v>
      </c>
      <c r="F35" s="1"/>
      <c r="G35" s="1" t="s">
        <v>28</v>
      </c>
      <c r="H35" s="6">
        <f>AVERAGE(H21:H31)</f>
        <v>4.0390909090909091</v>
      </c>
      <c r="I35" s="6">
        <f t="shared" ref="I35:J35" si="13">AVERAGE(I21:I31)</f>
        <v>4.002272727272727</v>
      </c>
      <c r="J35" s="6">
        <f t="shared" si="13"/>
        <v>3.9348181818181813</v>
      </c>
      <c r="L35" s="1" t="s">
        <v>31</v>
      </c>
      <c r="M35" s="2">
        <f t="shared" si="9"/>
        <v>-1.9317243277966165E-2</v>
      </c>
      <c r="N35" s="2">
        <f t="shared" si="9"/>
        <v>-8.0829822311778363E-3</v>
      </c>
      <c r="O35" s="2">
        <f t="shared" si="9"/>
        <v>4.6681690659064485E-3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7356-2E60-44F4-BDBD-62829BABD6F2}">
  <dimension ref="B2:O35"/>
  <sheetViews>
    <sheetView tabSelected="1" zoomScale="85" zoomScaleNormal="85" workbookViewId="0"/>
  </sheetViews>
  <sheetFormatPr defaultRowHeight="17" x14ac:dyDescent="0.45"/>
  <cols>
    <col min="1" max="1" width="2.58203125" customWidth="1"/>
    <col min="2" max="2" width="13.58203125" customWidth="1"/>
    <col min="3" max="5" width="6.83203125" bestFit="1" customWidth="1"/>
    <col min="7" max="7" width="13.58203125" bestFit="1" customWidth="1"/>
    <col min="8" max="10" width="6.83203125" bestFit="1" customWidth="1"/>
    <col min="12" max="12" width="9.5" bestFit="1" customWidth="1"/>
    <col min="13" max="13" width="7.75" bestFit="1" customWidth="1"/>
    <col min="14" max="14" width="7.5" bestFit="1" customWidth="1"/>
    <col min="15" max="15" width="6.75" bestFit="1" customWidth="1"/>
  </cols>
  <sheetData>
    <row r="2" spans="2:15" x14ac:dyDescent="0.45">
      <c r="B2" s="3" t="s">
        <v>32</v>
      </c>
    </row>
    <row r="4" spans="2:15" x14ac:dyDescent="0.45">
      <c r="B4" t="s">
        <v>0</v>
      </c>
      <c r="C4" s="7" t="s">
        <v>36</v>
      </c>
      <c r="D4" s="8" t="s">
        <v>37</v>
      </c>
      <c r="E4" s="9" t="s">
        <v>38</v>
      </c>
      <c r="G4" t="s">
        <v>1</v>
      </c>
      <c r="H4" s="7" t="s">
        <v>36</v>
      </c>
      <c r="I4" s="8" t="s">
        <v>37</v>
      </c>
      <c r="J4" s="9" t="s">
        <v>38</v>
      </c>
    </row>
    <row r="5" spans="2:15" x14ac:dyDescent="0.45">
      <c r="B5" t="s">
        <v>2</v>
      </c>
      <c r="C5">
        <v>1.012</v>
      </c>
      <c r="D5">
        <v>1.022</v>
      </c>
      <c r="E5">
        <v>1.0069999999999999</v>
      </c>
      <c r="G5" t="s">
        <v>2</v>
      </c>
      <c r="H5">
        <v>0.93700000000000006</v>
      </c>
      <c r="I5">
        <v>0.94099999999999995</v>
      </c>
      <c r="J5">
        <v>0.94599999999999995</v>
      </c>
    </row>
    <row r="6" spans="2:15" x14ac:dyDescent="0.45">
      <c r="B6" t="s">
        <v>3</v>
      </c>
      <c r="C6">
        <v>1.01</v>
      </c>
      <c r="D6">
        <v>1.0169999999999999</v>
      </c>
      <c r="E6">
        <v>1.0089999999999999</v>
      </c>
      <c r="G6" t="s">
        <v>3</v>
      </c>
      <c r="H6">
        <v>0.93899999999999995</v>
      </c>
      <c r="I6">
        <v>0.94399999999999995</v>
      </c>
      <c r="J6">
        <v>0.94</v>
      </c>
    </row>
    <row r="7" spans="2:15" x14ac:dyDescent="0.45">
      <c r="B7" t="s">
        <v>4</v>
      </c>
      <c r="C7">
        <v>1.0089999999999999</v>
      </c>
      <c r="D7">
        <v>1.008</v>
      </c>
      <c r="E7">
        <v>1.01</v>
      </c>
      <c r="G7" t="s">
        <v>4</v>
      </c>
      <c r="H7">
        <v>0.93400000000000005</v>
      </c>
      <c r="I7">
        <v>0.93400000000000005</v>
      </c>
      <c r="J7">
        <v>0.94099999999999995</v>
      </c>
    </row>
    <row r="8" spans="2:15" x14ac:dyDescent="0.45">
      <c r="B8" t="s">
        <v>5</v>
      </c>
      <c r="C8">
        <v>1.008</v>
      </c>
      <c r="D8">
        <v>1.0109999999999999</v>
      </c>
      <c r="E8">
        <v>1.0109999999999999</v>
      </c>
      <c r="G8" t="s">
        <v>5</v>
      </c>
      <c r="H8">
        <v>0.93300000000000005</v>
      </c>
      <c r="I8">
        <v>0.93500000000000005</v>
      </c>
      <c r="J8">
        <v>0.94</v>
      </c>
    </row>
    <row r="9" spans="2:15" x14ac:dyDescent="0.45">
      <c r="B9" t="s">
        <v>6</v>
      </c>
      <c r="C9">
        <v>1.0089999999999999</v>
      </c>
      <c r="D9">
        <v>1.012</v>
      </c>
      <c r="E9">
        <v>1.0069999999999999</v>
      </c>
      <c r="G9" t="s">
        <v>6</v>
      </c>
      <c r="H9">
        <v>0.93200000000000005</v>
      </c>
      <c r="I9">
        <v>0.94099999999999995</v>
      </c>
      <c r="J9">
        <v>0.94199999999999995</v>
      </c>
    </row>
    <row r="10" spans="2:15" x14ac:dyDescent="0.45">
      <c r="B10" t="s">
        <v>7</v>
      </c>
      <c r="C10">
        <v>1.008</v>
      </c>
      <c r="D10">
        <v>1.0109999999999999</v>
      </c>
      <c r="E10">
        <v>1.0089999999999999</v>
      </c>
      <c r="G10" t="s">
        <v>7</v>
      </c>
      <c r="H10">
        <v>0.93100000000000005</v>
      </c>
      <c r="I10">
        <v>0.93899999999999995</v>
      </c>
      <c r="J10">
        <v>0.94</v>
      </c>
    </row>
    <row r="11" spans="2:15" x14ac:dyDescent="0.45">
      <c r="B11" t="s">
        <v>8</v>
      </c>
      <c r="C11">
        <v>1.008</v>
      </c>
      <c r="D11">
        <v>1.0149999999999999</v>
      </c>
      <c r="E11">
        <v>1.0109999999999999</v>
      </c>
      <c r="G11" t="s">
        <v>8</v>
      </c>
      <c r="H11">
        <v>0.93100000000000005</v>
      </c>
      <c r="I11">
        <v>0.93799999999999994</v>
      </c>
      <c r="J11">
        <v>0.94</v>
      </c>
    </row>
    <row r="12" spans="2:15" x14ac:dyDescent="0.45">
      <c r="B12" t="s">
        <v>9</v>
      </c>
      <c r="C12">
        <v>1.0049999999999999</v>
      </c>
      <c r="D12">
        <v>1.014</v>
      </c>
      <c r="E12">
        <v>1.01</v>
      </c>
      <c r="G12" t="s">
        <v>9</v>
      </c>
      <c r="H12">
        <v>0.92900000000000005</v>
      </c>
      <c r="I12">
        <v>0.93500000000000005</v>
      </c>
      <c r="J12">
        <v>0.93500000000000005</v>
      </c>
    </row>
    <row r="13" spans="2:15" x14ac:dyDescent="0.45">
      <c r="B13" t="s">
        <v>10</v>
      </c>
      <c r="C13">
        <v>1.008</v>
      </c>
      <c r="D13">
        <v>1.0109999999999999</v>
      </c>
      <c r="E13">
        <v>1.006</v>
      </c>
      <c r="G13" t="s">
        <v>10</v>
      </c>
      <c r="H13">
        <v>0.93100000000000005</v>
      </c>
      <c r="I13">
        <v>0.93500000000000005</v>
      </c>
      <c r="J13">
        <v>0.94099999999999995</v>
      </c>
    </row>
    <row r="14" spans="2:15" x14ac:dyDescent="0.45">
      <c r="B14" t="s">
        <v>11</v>
      </c>
      <c r="C14">
        <v>1.0069999999999999</v>
      </c>
      <c r="D14">
        <v>1.0129999999999999</v>
      </c>
      <c r="E14">
        <v>1.004</v>
      </c>
      <c r="G14" t="s">
        <v>11</v>
      </c>
      <c r="H14">
        <v>0.93400000000000005</v>
      </c>
      <c r="I14">
        <v>0.93400000000000005</v>
      </c>
      <c r="J14">
        <v>0.93400000000000005</v>
      </c>
    </row>
    <row r="15" spans="2:15" x14ac:dyDescent="0.45">
      <c r="B15" t="s">
        <v>12</v>
      </c>
      <c r="C15">
        <v>1.0089999999999999</v>
      </c>
      <c r="D15">
        <v>1.02</v>
      </c>
      <c r="E15">
        <v>1.0069999999999999</v>
      </c>
      <c r="G15" t="s">
        <v>12</v>
      </c>
      <c r="H15">
        <v>0.92300000000000004</v>
      </c>
      <c r="I15">
        <v>0.93300000000000005</v>
      </c>
      <c r="J15">
        <v>0.94</v>
      </c>
    </row>
    <row r="16" spans="2:15" x14ac:dyDescent="0.45">
      <c r="B16" s="4" t="s">
        <v>13</v>
      </c>
      <c r="C16" s="5">
        <v>1.1459999999999999</v>
      </c>
      <c r="D16" s="5">
        <v>1.153</v>
      </c>
      <c r="E16" s="5">
        <v>1.1399999999999999</v>
      </c>
      <c r="F16" s="5"/>
      <c r="G16" s="5" t="s">
        <v>13</v>
      </c>
      <c r="H16" s="5">
        <v>1.0740000000000001</v>
      </c>
      <c r="I16" s="5">
        <v>1.0580000000000001</v>
      </c>
      <c r="J16" s="5">
        <v>1.0620000000000001</v>
      </c>
      <c r="M16" s="7" t="s">
        <v>33</v>
      </c>
      <c r="N16" s="8" t="s">
        <v>34</v>
      </c>
      <c r="O16" s="9" t="s">
        <v>35</v>
      </c>
    </row>
    <row r="17" spans="2:15" x14ac:dyDescent="0.45">
      <c r="B17" s="1" t="s">
        <v>26</v>
      </c>
      <c r="C17" s="1">
        <f>MIN(C5:C15)</f>
        <v>1.0049999999999999</v>
      </c>
      <c r="D17" s="1">
        <f t="shared" ref="D17:E17" si="0">MIN(D5:D15)</f>
        <v>1.008</v>
      </c>
      <c r="E17" s="1">
        <f t="shared" si="0"/>
        <v>1.004</v>
      </c>
      <c r="F17" s="1"/>
      <c r="G17" s="1" t="s">
        <v>26</v>
      </c>
      <c r="H17" s="1">
        <f>MIN(H5:H15)</f>
        <v>0.92300000000000004</v>
      </c>
      <c r="I17" s="1">
        <f t="shared" ref="I17:J17" si="1">MIN(I5:I15)</f>
        <v>0.93300000000000005</v>
      </c>
      <c r="J17" s="1">
        <f t="shared" si="1"/>
        <v>0.93400000000000005</v>
      </c>
      <c r="L17" s="1" t="s">
        <v>29</v>
      </c>
      <c r="M17" s="2">
        <f t="shared" ref="M17:O19" si="2">(C17-H17)/C17</f>
        <v>8.1592039800994887E-2</v>
      </c>
      <c r="N17" s="2">
        <f t="shared" si="2"/>
        <v>7.4404761904761862E-2</v>
      </c>
      <c r="O17" s="2">
        <f t="shared" si="2"/>
        <v>6.9721115537848558E-2</v>
      </c>
    </row>
    <row r="18" spans="2:15" x14ac:dyDescent="0.45">
      <c r="B18" s="1" t="s">
        <v>27</v>
      </c>
      <c r="C18" s="1">
        <f>MAX(C5:C15)</f>
        <v>1.012</v>
      </c>
      <c r="D18" s="1">
        <f t="shared" ref="D18:E18" si="3">MAX(D5:D15)</f>
        <v>1.022</v>
      </c>
      <c r="E18" s="1">
        <f t="shared" si="3"/>
        <v>1.0109999999999999</v>
      </c>
      <c r="F18" s="1"/>
      <c r="G18" s="1" t="s">
        <v>27</v>
      </c>
      <c r="H18" s="1">
        <f>MAX(H5:H15)</f>
        <v>0.93899999999999995</v>
      </c>
      <c r="I18" s="1">
        <f t="shared" ref="I18:J18" si="4">MAX(I5:I15)</f>
        <v>0.94399999999999995</v>
      </c>
      <c r="J18" s="1">
        <f t="shared" si="4"/>
        <v>0.94599999999999995</v>
      </c>
      <c r="L18" s="1" t="s">
        <v>30</v>
      </c>
      <c r="M18" s="2">
        <f t="shared" si="2"/>
        <v>7.2134387351778725E-2</v>
      </c>
      <c r="N18" s="2">
        <f t="shared" si="2"/>
        <v>7.632093933463803E-2</v>
      </c>
      <c r="O18" s="2">
        <f t="shared" si="2"/>
        <v>6.4292779426310537E-2</v>
      </c>
    </row>
    <row r="19" spans="2:15" x14ac:dyDescent="0.45">
      <c r="B19" s="1" t="s">
        <v>28</v>
      </c>
      <c r="C19" s="6">
        <f>AVERAGE(C5:C15)</f>
        <v>1.0084545454545453</v>
      </c>
      <c r="D19" s="6">
        <f t="shared" ref="D19:E19" si="5">AVERAGE(D5:D15)</f>
        <v>1.0139999999999998</v>
      </c>
      <c r="E19" s="6">
        <f t="shared" si="5"/>
        <v>1.0082727272727272</v>
      </c>
      <c r="F19" s="1"/>
      <c r="G19" s="1" t="s">
        <v>28</v>
      </c>
      <c r="H19" s="6">
        <f>AVERAGE(H5:H15)</f>
        <v>0.93218181818181833</v>
      </c>
      <c r="I19" s="6">
        <f t="shared" ref="I19:J19" si="6">AVERAGE(I5:I15)</f>
        <v>0.93718181818181812</v>
      </c>
      <c r="J19" s="6">
        <f t="shared" si="6"/>
        <v>0.93990909090909081</v>
      </c>
      <c r="L19" s="1" t="s">
        <v>31</v>
      </c>
      <c r="M19" s="2">
        <f t="shared" si="2"/>
        <v>7.5633282250067296E-2</v>
      </c>
      <c r="N19" s="2">
        <f t="shared" si="2"/>
        <v>7.5757575757575635E-2</v>
      </c>
      <c r="O19" s="2">
        <f t="shared" si="2"/>
        <v>6.7802722928500633E-2</v>
      </c>
    </row>
    <row r="21" spans="2:15" x14ac:dyDescent="0.45">
      <c r="B21" t="s">
        <v>14</v>
      </c>
      <c r="C21">
        <v>3.9670000000000001</v>
      </c>
      <c r="D21">
        <v>4.0069999999999997</v>
      </c>
      <c r="E21">
        <v>3.952</v>
      </c>
      <c r="G21" t="s">
        <v>14</v>
      </c>
      <c r="H21">
        <v>4.0529999999999999</v>
      </c>
      <c r="I21">
        <v>4.0220000000000002</v>
      </c>
      <c r="J21">
        <v>3.92</v>
      </c>
    </row>
    <row r="22" spans="2:15" x14ac:dyDescent="0.45">
      <c r="B22" t="s">
        <v>15</v>
      </c>
      <c r="C22">
        <v>3.96</v>
      </c>
      <c r="D22">
        <v>3.9990000000000001</v>
      </c>
      <c r="E22">
        <v>3.96</v>
      </c>
      <c r="G22" t="s">
        <v>15</v>
      </c>
      <c r="H22">
        <v>4.03</v>
      </c>
      <c r="I22">
        <v>3.9830000000000001</v>
      </c>
      <c r="J22">
        <v>3.96</v>
      </c>
    </row>
    <row r="23" spans="2:15" x14ac:dyDescent="0.45">
      <c r="B23" t="s">
        <v>16</v>
      </c>
      <c r="C23">
        <v>3.9750000000000001</v>
      </c>
      <c r="D23">
        <v>3.952</v>
      </c>
      <c r="E23">
        <v>3.9670000000000001</v>
      </c>
      <c r="G23" t="s">
        <v>16</v>
      </c>
      <c r="H23">
        <v>4.069</v>
      </c>
      <c r="I23">
        <v>4.0140000000000002</v>
      </c>
      <c r="J23">
        <v>3.96</v>
      </c>
    </row>
    <row r="24" spans="2:15" x14ac:dyDescent="0.45">
      <c r="B24" t="s">
        <v>17</v>
      </c>
      <c r="C24">
        <v>3.9750000000000001</v>
      </c>
      <c r="D24">
        <v>3.96</v>
      </c>
      <c r="E24">
        <v>3.9750000000000001</v>
      </c>
      <c r="G24" t="s">
        <v>17</v>
      </c>
      <c r="H24">
        <v>4.0220000000000002</v>
      </c>
      <c r="I24">
        <v>4.0069999999999997</v>
      </c>
      <c r="J24">
        <v>3.9049999999999998</v>
      </c>
    </row>
    <row r="25" spans="2:15" x14ac:dyDescent="0.45">
      <c r="B25" t="s">
        <v>18</v>
      </c>
      <c r="C25">
        <v>3.9670000000000001</v>
      </c>
      <c r="D25">
        <v>3.96</v>
      </c>
      <c r="E25">
        <v>3.96</v>
      </c>
      <c r="G25" t="s">
        <v>18</v>
      </c>
      <c r="H25">
        <v>4.0529999999999999</v>
      </c>
      <c r="I25">
        <v>4.0460000000000003</v>
      </c>
      <c r="J25">
        <v>3.952</v>
      </c>
    </row>
    <row r="26" spans="2:15" x14ac:dyDescent="0.45">
      <c r="B26" t="s">
        <v>19</v>
      </c>
      <c r="C26">
        <v>3.9670000000000001</v>
      </c>
      <c r="D26">
        <v>3.9670000000000001</v>
      </c>
      <c r="E26">
        <v>3.952</v>
      </c>
      <c r="G26" t="s">
        <v>19</v>
      </c>
      <c r="H26">
        <v>4.093</v>
      </c>
      <c r="I26">
        <v>3.9990000000000001</v>
      </c>
      <c r="J26">
        <v>3.944</v>
      </c>
    </row>
    <row r="27" spans="2:15" x14ac:dyDescent="0.45">
      <c r="B27" t="s">
        <v>20</v>
      </c>
      <c r="C27">
        <v>3.9670000000000001</v>
      </c>
      <c r="D27">
        <v>3.9830000000000001</v>
      </c>
      <c r="E27">
        <v>3.9670000000000001</v>
      </c>
      <c r="G27" t="s">
        <v>20</v>
      </c>
      <c r="H27">
        <v>3.9990000000000001</v>
      </c>
      <c r="I27">
        <v>4.0069999999999997</v>
      </c>
      <c r="J27">
        <v>3.9129999999999998</v>
      </c>
    </row>
    <row r="28" spans="2:15" x14ac:dyDescent="0.45">
      <c r="B28" t="s">
        <v>21</v>
      </c>
      <c r="C28">
        <v>3.96</v>
      </c>
      <c r="D28">
        <v>3.9750000000000001</v>
      </c>
      <c r="E28">
        <v>3.9750000000000001</v>
      </c>
      <c r="G28" t="s">
        <v>21</v>
      </c>
      <c r="H28">
        <v>4.0609999999999999</v>
      </c>
      <c r="I28">
        <v>3.9750000000000001</v>
      </c>
      <c r="J28">
        <v>3.9359999999999999</v>
      </c>
    </row>
    <row r="29" spans="2:15" x14ac:dyDescent="0.45">
      <c r="B29" t="s">
        <v>22</v>
      </c>
      <c r="C29">
        <v>3.9670000000000001</v>
      </c>
      <c r="D29">
        <v>3.9670000000000001</v>
      </c>
      <c r="E29">
        <v>3.96</v>
      </c>
      <c r="G29" t="s">
        <v>22</v>
      </c>
      <c r="H29">
        <v>4.0609999999999999</v>
      </c>
      <c r="I29">
        <v>3.9750000000000001</v>
      </c>
      <c r="J29">
        <v>3.944</v>
      </c>
    </row>
    <row r="30" spans="2:15" x14ac:dyDescent="0.45">
      <c r="B30" t="s">
        <v>23</v>
      </c>
      <c r="C30">
        <v>3.9670000000000001</v>
      </c>
      <c r="D30">
        <v>3.9670000000000001</v>
      </c>
      <c r="E30">
        <v>3.96</v>
      </c>
      <c r="G30" t="s">
        <v>23</v>
      </c>
      <c r="H30">
        <v>4.0140000000000002</v>
      </c>
      <c r="I30">
        <v>4.0140000000000002</v>
      </c>
      <c r="J30">
        <v>3.9049999999999998</v>
      </c>
    </row>
    <row r="31" spans="2:15" x14ac:dyDescent="0.45">
      <c r="B31" t="s">
        <v>24</v>
      </c>
      <c r="C31">
        <v>3.9750000000000001</v>
      </c>
      <c r="D31">
        <v>3.9910000000000001</v>
      </c>
      <c r="E31">
        <v>3.9830000000000001</v>
      </c>
      <c r="G31" t="s">
        <v>24</v>
      </c>
      <c r="H31">
        <v>3.9910000000000001</v>
      </c>
      <c r="I31">
        <v>3.9910000000000001</v>
      </c>
      <c r="J31">
        <v>3.9129999999999998</v>
      </c>
    </row>
    <row r="32" spans="2:15" x14ac:dyDescent="0.45">
      <c r="B32" s="4" t="s">
        <v>25</v>
      </c>
      <c r="C32" s="5">
        <v>3.9910000000000001</v>
      </c>
      <c r="D32" s="5">
        <v>3.9990000000000001</v>
      </c>
      <c r="E32" s="5">
        <v>3.9750000000000001</v>
      </c>
      <c r="F32" s="5"/>
      <c r="G32" s="5" t="s">
        <v>25</v>
      </c>
      <c r="H32" s="5">
        <v>4.0220000000000002</v>
      </c>
      <c r="I32" s="5">
        <v>4.0220000000000002</v>
      </c>
      <c r="J32" s="5">
        <v>3.944</v>
      </c>
      <c r="M32" s="7" t="s">
        <v>33</v>
      </c>
      <c r="N32" s="8" t="s">
        <v>34</v>
      </c>
      <c r="O32" s="9" t="s">
        <v>35</v>
      </c>
    </row>
    <row r="33" spans="2:15" x14ac:dyDescent="0.45">
      <c r="B33" s="1" t="s">
        <v>26</v>
      </c>
      <c r="C33" s="1">
        <f>MIN(C21:C31)</f>
        <v>3.96</v>
      </c>
      <c r="D33" s="1">
        <f t="shared" ref="D33:E33" si="7">MIN(D21:D31)</f>
        <v>3.952</v>
      </c>
      <c r="E33" s="1">
        <f t="shared" si="7"/>
        <v>3.952</v>
      </c>
      <c r="F33" s="1"/>
      <c r="G33" s="1" t="s">
        <v>26</v>
      </c>
      <c r="H33" s="1">
        <f>MIN(H21:H31)</f>
        <v>3.9910000000000001</v>
      </c>
      <c r="I33" s="1">
        <f t="shared" ref="I33:J33" si="8">MIN(I21:I31)</f>
        <v>3.9750000000000001</v>
      </c>
      <c r="J33" s="1">
        <f t="shared" si="8"/>
        <v>3.9049999999999998</v>
      </c>
      <c r="L33" s="1" t="s">
        <v>29</v>
      </c>
      <c r="M33" s="2">
        <f t="shared" ref="M33:O35" si="9">(C33-H33)/C33</f>
        <v>-7.8282828282828631E-3</v>
      </c>
      <c r="N33" s="2">
        <f t="shared" si="9"/>
        <v>-5.8198380566801952E-3</v>
      </c>
      <c r="O33" s="2">
        <f t="shared" si="9"/>
        <v>1.1892712550607327E-2</v>
      </c>
    </row>
    <row r="34" spans="2:15" x14ac:dyDescent="0.45">
      <c r="B34" s="1" t="s">
        <v>27</v>
      </c>
      <c r="C34" s="1">
        <f>MAX(C21:C31)</f>
        <v>3.9750000000000001</v>
      </c>
      <c r="D34" s="1">
        <f t="shared" ref="D34:E34" si="10">MAX(D21:D31)</f>
        <v>4.0069999999999997</v>
      </c>
      <c r="E34" s="1">
        <f t="shared" si="10"/>
        <v>3.9830000000000001</v>
      </c>
      <c r="F34" s="1"/>
      <c r="G34" s="1" t="s">
        <v>27</v>
      </c>
      <c r="H34" s="1">
        <f>MAX(H21:H31)</f>
        <v>4.093</v>
      </c>
      <c r="I34" s="1">
        <f t="shared" ref="I34:J34" si="11">MAX(I21:I31)</f>
        <v>4.0460000000000003</v>
      </c>
      <c r="J34" s="1">
        <f t="shared" si="11"/>
        <v>3.96</v>
      </c>
      <c r="L34" s="1" t="s">
        <v>30</v>
      </c>
      <c r="M34" s="2">
        <f t="shared" si="9"/>
        <v>-2.968553459119494E-2</v>
      </c>
      <c r="N34" s="2">
        <f t="shared" si="9"/>
        <v>-9.7329673072125266E-3</v>
      </c>
      <c r="O34" s="2">
        <f t="shared" si="9"/>
        <v>5.7745418026613439E-3</v>
      </c>
    </row>
    <row r="35" spans="2:15" x14ac:dyDescent="0.45">
      <c r="B35" s="1" t="s">
        <v>28</v>
      </c>
      <c r="C35" s="6">
        <f>AVERAGE(C21:C31)</f>
        <v>3.9679090909090906</v>
      </c>
      <c r="D35" s="6">
        <f t="shared" ref="D35:E35" si="12">AVERAGE(D21:D31)</f>
        <v>3.9752727272727273</v>
      </c>
      <c r="E35" s="6">
        <f t="shared" si="12"/>
        <v>3.9646363636363633</v>
      </c>
      <c r="F35" s="1"/>
      <c r="G35" s="1" t="s">
        <v>28</v>
      </c>
      <c r="H35" s="6">
        <f>AVERAGE(H21:H31)</f>
        <v>4.0405454545454544</v>
      </c>
      <c r="I35" s="6">
        <f t="shared" ref="I35:J35" si="13">AVERAGE(I21:I31)</f>
        <v>4.003000000000001</v>
      </c>
      <c r="J35" s="6">
        <f t="shared" si="13"/>
        <v>3.9319999999999995</v>
      </c>
      <c r="L35" s="1" t="s">
        <v>31</v>
      </c>
      <c r="M35" s="2">
        <f t="shared" si="9"/>
        <v>-1.8305954590235346E-2</v>
      </c>
      <c r="N35" s="2">
        <f t="shared" si="9"/>
        <v>-6.9749359678011984E-3</v>
      </c>
      <c r="O35" s="2">
        <f t="shared" si="9"/>
        <v>8.2318681066703772E-3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GT_250_500</vt:lpstr>
      <vt:lpstr>Pack_350_600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2025-10-27T09:04:20Z</dcterms:created>
  <dcterms:modified xsi:type="dcterms:W3CDTF">2025-10-28T00:33:13Z</dcterms:modified>
</cp:coreProperties>
</file>