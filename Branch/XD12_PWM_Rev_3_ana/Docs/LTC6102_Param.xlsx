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01_Project\Jig\XD12_JIG\XD12_PWM\Docs\"/>
    </mc:Choice>
  </mc:AlternateContent>
  <xr:revisionPtr revIDLastSave="0" documentId="13_ncr:1_{2F91F00E-F2DA-4814-93E3-80CBAB7A996F}" xr6:coauthVersionLast="47" xr6:coauthVersionMax="47" xr10:uidLastSave="{00000000-0000-0000-0000-000000000000}"/>
  <bookViews>
    <workbookView xWindow="-98" yWindow="-98" windowWidth="21795" windowHeight="12975" activeTab="1" xr2:uid="{11FFDA7F-9C68-49B0-9D76-D5DA7C94FBB9}"/>
  </bookViews>
  <sheets>
    <sheet name="Org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" l="1"/>
  <c r="X24" i="2" s="1"/>
  <c r="Y24" i="2" s="1"/>
  <c r="Z24" i="2" s="1"/>
  <c r="G9" i="2"/>
  <c r="E11" i="2"/>
  <c r="E10" i="2"/>
  <c r="E9" i="2"/>
  <c r="D11" i="2"/>
  <c r="F11" i="2" s="1"/>
  <c r="D10" i="2"/>
  <c r="G10" i="2" s="1"/>
  <c r="D9" i="2"/>
  <c r="F9" i="2" s="1"/>
  <c r="E13" i="1"/>
  <c r="D22" i="2"/>
  <c r="D24" i="2"/>
  <c r="D21" i="2"/>
  <c r="C23" i="2"/>
  <c r="D23" i="2" s="1"/>
  <c r="E23" i="2" s="1"/>
  <c r="F23" i="2" s="1"/>
  <c r="X5" i="2"/>
  <c r="Y5" i="2" s="1"/>
  <c r="Z5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X11" i="2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5" i="2"/>
  <c r="Y25" i="2" s="1"/>
  <c r="Z25" i="2" s="1"/>
  <c r="X26" i="2"/>
  <c r="Y26" i="2" s="1"/>
  <c r="Z26" i="2" s="1"/>
  <c r="X27" i="2"/>
  <c r="X4" i="2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R20" i="2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4" i="2"/>
  <c r="L5" i="2"/>
  <c r="M5" i="2" s="1"/>
  <c r="N5" i="2" s="1"/>
  <c r="L6" i="2"/>
  <c r="M6" i="2" s="1"/>
  <c r="N6" i="2" s="1"/>
  <c r="L7" i="2"/>
  <c r="M7" i="2" s="1"/>
  <c r="N7" i="2" s="1"/>
  <c r="L8" i="2"/>
  <c r="M8" i="2" s="1"/>
  <c r="N8" i="2" s="1"/>
  <c r="L9" i="2"/>
  <c r="M9" i="2" s="1"/>
  <c r="N9" i="2" s="1"/>
  <c r="L10" i="2"/>
  <c r="M10" i="2" s="1"/>
  <c r="N10" i="2" s="1"/>
  <c r="L11" i="2"/>
  <c r="M11" i="2" s="1"/>
  <c r="N11" i="2" s="1"/>
  <c r="L12" i="2"/>
  <c r="M12" i="2" s="1"/>
  <c r="N12" i="2" s="1"/>
  <c r="L13" i="2"/>
  <c r="M13" i="2" s="1"/>
  <c r="N13" i="2" s="1"/>
  <c r="L14" i="2"/>
  <c r="M14" i="2" s="1"/>
  <c r="N14" i="2" s="1"/>
  <c r="L15" i="2"/>
  <c r="M15" i="2" s="1"/>
  <c r="N15" i="2" s="1"/>
  <c r="L16" i="2"/>
  <c r="M16" i="2" s="1"/>
  <c r="N16" i="2" s="1"/>
  <c r="L17" i="2"/>
  <c r="M17" i="2" s="1"/>
  <c r="N17" i="2" s="1"/>
  <c r="L18" i="2"/>
  <c r="M18" i="2" s="1"/>
  <c r="N18" i="2" s="1"/>
  <c r="L19" i="2"/>
  <c r="M19" i="2" s="1"/>
  <c r="N19" i="2" s="1"/>
  <c r="L20" i="2"/>
  <c r="M20" i="2" s="1"/>
  <c r="N20" i="2" s="1"/>
  <c r="L21" i="2"/>
  <c r="M21" i="2" s="1"/>
  <c r="N21" i="2" s="1"/>
  <c r="L22" i="2"/>
  <c r="M22" i="2" s="1"/>
  <c r="N22" i="2" s="1"/>
  <c r="L23" i="2"/>
  <c r="M23" i="2" s="1"/>
  <c r="N23" i="2" s="1"/>
  <c r="L24" i="2"/>
  <c r="M24" i="2" s="1"/>
  <c r="N24" i="2" s="1"/>
  <c r="L25" i="2"/>
  <c r="M25" i="2" s="1"/>
  <c r="N25" i="2" s="1"/>
  <c r="L26" i="2"/>
  <c r="M26" i="2" s="1"/>
  <c r="N26" i="2" s="1"/>
  <c r="L27" i="2"/>
  <c r="M27" i="2" s="1"/>
  <c r="N27" i="2" s="1"/>
  <c r="L4" i="2"/>
  <c r="S19" i="2"/>
  <c r="T19" i="2" s="1"/>
  <c r="S20" i="2"/>
  <c r="T20" i="2" s="1"/>
  <c r="Y10" i="2"/>
  <c r="Z10" i="2" s="1"/>
  <c r="Y11" i="2"/>
  <c r="Z11" i="2" s="1"/>
  <c r="Y27" i="2"/>
  <c r="Z27" i="2" s="1"/>
  <c r="E16" i="2"/>
  <c r="E15" i="2"/>
  <c r="E14" i="2"/>
  <c r="D16" i="2"/>
  <c r="D15" i="2"/>
  <c r="D14" i="2"/>
  <c r="G11" i="2" l="1"/>
  <c r="F10" i="2"/>
  <c r="E24" i="2" l="1"/>
  <c r="F24" i="2" s="1"/>
  <c r="E22" i="2"/>
  <c r="F22" i="2" s="1"/>
  <c r="E21" i="2"/>
  <c r="F21" i="2" s="1"/>
  <c r="Y4" i="2"/>
  <c r="Z4" i="2" s="1"/>
  <c r="S4" i="2"/>
  <c r="T4" i="2" s="1"/>
  <c r="M4" i="2"/>
  <c r="N4" i="2" s="1"/>
  <c r="D3" i="2"/>
  <c r="AA4" i="2" l="1"/>
  <c r="O4" i="2"/>
  <c r="O8" i="2"/>
  <c r="O5" i="2"/>
  <c r="U11" i="2"/>
  <c r="AA15" i="2"/>
  <c r="U5" i="2"/>
  <c r="AA25" i="2"/>
  <c r="U13" i="2"/>
  <c r="U26" i="2"/>
  <c r="O10" i="2"/>
  <c r="O12" i="2"/>
  <c r="AA8" i="2"/>
  <c r="U10" i="2"/>
  <c r="O16" i="2"/>
  <c r="O24" i="2"/>
  <c r="O27" i="2"/>
  <c r="G23" i="2"/>
  <c r="O26" i="2"/>
  <c r="U24" i="2"/>
  <c r="O23" i="2"/>
  <c r="O17" i="2"/>
  <c r="AA20" i="2"/>
  <c r="AA26" i="2"/>
  <c r="AA21" i="2"/>
  <c r="O7" i="2"/>
  <c r="U21" i="2"/>
  <c r="O11" i="2"/>
  <c r="AA11" i="2"/>
  <c r="AA27" i="2"/>
  <c r="AA22" i="2"/>
  <c r="U16" i="2"/>
  <c r="U8" i="2"/>
  <c r="O22" i="2"/>
  <c r="U18" i="2"/>
  <c r="AA10" i="2"/>
  <c r="U20" i="2"/>
  <c r="U14" i="2"/>
  <c r="AA5" i="2"/>
  <c r="U6" i="2"/>
  <c r="AA13" i="2"/>
  <c r="U23" i="2"/>
  <c r="AA9" i="2"/>
  <c r="U12" i="2"/>
  <c r="AA16" i="2"/>
  <c r="O20" i="2"/>
  <c r="AA23" i="2"/>
  <c r="U27" i="2"/>
  <c r="AA19" i="2"/>
  <c r="U19" i="2"/>
  <c r="O18" i="2"/>
  <c r="O14" i="2"/>
  <c r="U22" i="2"/>
  <c r="AA7" i="2"/>
  <c r="AA14" i="2"/>
  <c r="AA17" i="2"/>
  <c r="O15" i="2"/>
  <c r="O13" i="2"/>
  <c r="O9" i="2"/>
  <c r="U25" i="2"/>
  <c r="O25" i="2"/>
  <c r="U7" i="2"/>
  <c r="AA6" i="2"/>
  <c r="U15" i="2"/>
  <c r="AA24" i="2"/>
  <c r="O19" i="2"/>
  <c r="AA18" i="2"/>
  <c r="O6" i="2"/>
  <c r="AA12" i="2"/>
  <c r="U9" i="2"/>
  <c r="U17" i="2"/>
  <c r="O21" i="2"/>
  <c r="U4" i="2"/>
  <c r="F3" i="2"/>
  <c r="I9" i="2"/>
  <c r="I11" i="2"/>
  <c r="I10" i="2"/>
  <c r="G22" i="2"/>
  <c r="H10" i="2"/>
  <c r="F15" i="2" s="1"/>
  <c r="G24" i="2"/>
  <c r="H11" i="2"/>
  <c r="F16" i="2" s="1"/>
  <c r="G21" i="2"/>
  <c r="H9" i="2"/>
  <c r="F14" i="2" s="1"/>
  <c r="Q15" i="1" l="1"/>
  <c r="R15" i="1" s="1"/>
  <c r="Q16" i="1"/>
  <c r="R16" i="1" s="1"/>
  <c r="Q17" i="1"/>
  <c r="R17" i="1" s="1"/>
  <c r="Q18" i="1"/>
  <c r="S18" i="1" s="1"/>
  <c r="Q19" i="1"/>
  <c r="S19" i="1" s="1"/>
  <c r="Q20" i="1"/>
  <c r="R20" i="1" s="1"/>
  <c r="Q21" i="1"/>
  <c r="R21" i="1" s="1"/>
  <c r="Q22" i="1"/>
  <c r="R22" i="1" s="1"/>
  <c r="Q13" i="1"/>
  <c r="R13" i="1" s="1"/>
  <c r="Q11" i="1"/>
  <c r="R11" i="1" s="1"/>
  <c r="Q9" i="1"/>
  <c r="S9" i="1" s="1"/>
  <c r="Q7" i="1"/>
  <c r="S7" i="1" s="1"/>
  <c r="Q5" i="1"/>
  <c r="R5" i="1" s="1"/>
  <c r="R19" i="1" l="1"/>
  <c r="S5" i="1"/>
  <c r="S13" i="1"/>
  <c r="S21" i="1"/>
  <c r="S22" i="1"/>
  <c r="S17" i="1"/>
  <c r="R9" i="1"/>
  <c r="S15" i="1"/>
  <c r="R18" i="1"/>
  <c r="S20" i="1"/>
  <c r="S16" i="1"/>
  <c r="S11" i="1"/>
  <c r="R7" i="1"/>
  <c r="E19" i="1" l="1"/>
  <c r="E18" i="1"/>
  <c r="D19" i="1"/>
  <c r="F19" i="1" s="1"/>
  <c r="D18" i="1"/>
  <c r="F18" i="1" s="1"/>
  <c r="D32" i="1"/>
  <c r="E32" i="1" s="1"/>
  <c r="F32" i="1" s="1"/>
  <c r="D31" i="1"/>
  <c r="E31" i="1" s="1"/>
  <c r="F31" i="1" s="1"/>
  <c r="D30" i="1"/>
  <c r="E30" i="1" s="1"/>
  <c r="F30" i="1" s="1"/>
  <c r="D13" i="1"/>
  <c r="F13" i="1" s="1"/>
  <c r="D14" i="1"/>
  <c r="F14" i="1" s="1"/>
  <c r="E14" i="1"/>
  <c r="D15" i="1"/>
  <c r="F15" i="1" s="1"/>
  <c r="E15" i="1"/>
  <c r="D23" i="1"/>
  <c r="E23" i="1"/>
  <c r="D24" i="1"/>
  <c r="E24" i="1"/>
  <c r="D25" i="1"/>
  <c r="E25" i="1"/>
  <c r="X22" i="1" l="1"/>
  <c r="Z22" i="1" s="1"/>
  <c r="X21" i="1"/>
  <c r="Z21" i="1" s="1"/>
  <c r="X20" i="1"/>
  <c r="Z20" i="1" s="1"/>
  <c r="X19" i="1"/>
  <c r="Z19" i="1" s="1"/>
  <c r="X18" i="1"/>
  <c r="Y18" i="1" s="1"/>
  <c r="X17" i="1"/>
  <c r="Y17" i="1" s="1"/>
  <c r="X16" i="1"/>
  <c r="Y16" i="1" s="1"/>
  <c r="X15" i="1"/>
  <c r="Z15" i="1" s="1"/>
  <c r="X14" i="1"/>
  <c r="Z14" i="1" s="1"/>
  <c r="X13" i="1"/>
  <c r="Y13" i="1" s="1"/>
  <c r="X12" i="1"/>
  <c r="Y12" i="1" s="1"/>
  <c r="X11" i="1"/>
  <c r="Z11" i="1" s="1"/>
  <c r="X10" i="1"/>
  <c r="Y10" i="1" s="1"/>
  <c r="X9" i="1"/>
  <c r="Z9" i="1" s="1"/>
  <c r="X8" i="1"/>
  <c r="Y8" i="1" s="1"/>
  <c r="X7" i="1"/>
  <c r="Z7" i="1" s="1"/>
  <c r="X6" i="1"/>
  <c r="Y6" i="1" s="1"/>
  <c r="X5" i="1"/>
  <c r="X4" i="1"/>
  <c r="Y4" i="1" s="1"/>
  <c r="Q14" i="1"/>
  <c r="R14" i="1" s="1"/>
  <c r="Q12" i="1"/>
  <c r="S12" i="1" s="1"/>
  <c r="Q10" i="1"/>
  <c r="R10" i="1" s="1"/>
  <c r="Q8" i="1"/>
  <c r="Q6" i="1"/>
  <c r="R6" i="1" s="1"/>
  <c r="Q4" i="1"/>
  <c r="S4" i="1" s="1"/>
  <c r="J22" i="1"/>
  <c r="L22" i="1" s="1"/>
  <c r="J21" i="1"/>
  <c r="K21" i="1" s="1"/>
  <c r="J20" i="1"/>
  <c r="L20" i="1" s="1"/>
  <c r="J19" i="1"/>
  <c r="L19" i="1" s="1"/>
  <c r="J18" i="1"/>
  <c r="L18" i="1" s="1"/>
  <c r="J17" i="1"/>
  <c r="K17" i="1" s="1"/>
  <c r="J16" i="1"/>
  <c r="K16" i="1" s="1"/>
  <c r="J15" i="1"/>
  <c r="L15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K14" i="1" s="1"/>
  <c r="J4" i="1"/>
  <c r="K4" i="1" s="1"/>
  <c r="C6" i="1"/>
  <c r="C7" i="1"/>
  <c r="Y5" i="1" l="1"/>
  <c r="C20" i="1"/>
  <c r="Z12" i="1"/>
  <c r="S14" i="1"/>
  <c r="Z6" i="1"/>
  <c r="L4" i="1"/>
  <c r="L17" i="1"/>
  <c r="L16" i="1"/>
  <c r="L14" i="1"/>
  <c r="K19" i="1"/>
  <c r="K18" i="1"/>
  <c r="L21" i="1"/>
  <c r="K20" i="1"/>
  <c r="Y9" i="1"/>
  <c r="Z8" i="1"/>
  <c r="Y21" i="1"/>
  <c r="Z16" i="1"/>
  <c r="Z5" i="1"/>
  <c r="S10" i="1"/>
  <c r="Z13" i="1"/>
  <c r="S8" i="1"/>
  <c r="S6" i="1"/>
  <c r="Y22" i="1"/>
  <c r="Y20" i="1"/>
  <c r="Y7" i="1"/>
  <c r="Y14" i="1"/>
  <c r="Z17" i="1"/>
  <c r="Y11" i="1"/>
  <c r="Z4" i="1"/>
  <c r="Y15" i="1"/>
  <c r="Z18" i="1"/>
  <c r="Z10" i="1"/>
  <c r="Y19" i="1"/>
  <c r="R4" i="1"/>
  <c r="R12" i="1"/>
  <c r="R8" i="1"/>
  <c r="K13" i="1"/>
  <c r="K15" i="1"/>
  <c r="K12" i="1"/>
  <c r="K11" i="1"/>
  <c r="K10" i="1"/>
  <c r="K9" i="1"/>
  <c r="K8" i="1"/>
  <c r="K7" i="1"/>
  <c r="K6" i="1"/>
  <c r="K5" i="1"/>
  <c r="K22" i="1"/>
  <c r="D3" i="1"/>
  <c r="F3" i="1" l="1"/>
  <c r="T7" i="1"/>
  <c r="T9" i="1"/>
  <c r="T19" i="1"/>
  <c r="T18" i="1"/>
  <c r="T20" i="1"/>
  <c r="T17" i="1"/>
  <c r="T15" i="1"/>
  <c r="T16" i="1"/>
  <c r="T21" i="1"/>
  <c r="T11" i="1"/>
  <c r="T22" i="1"/>
  <c r="T13" i="1"/>
  <c r="T5" i="1"/>
  <c r="G15" i="1"/>
  <c r="G13" i="1"/>
  <c r="F23" i="1" s="1"/>
  <c r="G14" i="1"/>
  <c r="F24" i="1" s="1"/>
  <c r="D20" i="1"/>
  <c r="F20" i="1" s="1"/>
  <c r="E20" i="1"/>
  <c r="G18" i="1"/>
  <c r="G20" i="1"/>
  <c r="G30" i="1"/>
  <c r="G31" i="1"/>
  <c r="G19" i="1"/>
  <c r="G32" i="1"/>
  <c r="AA22" i="1"/>
  <c r="AA14" i="1"/>
  <c r="AA8" i="1"/>
  <c r="T8" i="1"/>
  <c r="T10" i="1"/>
  <c r="AA18" i="1"/>
  <c r="AA10" i="1"/>
  <c r="AA4" i="1"/>
  <c r="AA20" i="1"/>
  <c r="T14" i="1"/>
  <c r="T12" i="1"/>
  <c r="AA15" i="1"/>
  <c r="AA6" i="1"/>
  <c r="AA19" i="1"/>
  <c r="AA21" i="1"/>
  <c r="AA13" i="1"/>
  <c r="AA16" i="1"/>
  <c r="AA11" i="1"/>
  <c r="AA12" i="1"/>
  <c r="AA5" i="1"/>
  <c r="T4" i="1"/>
  <c r="AA17" i="1"/>
  <c r="T6" i="1"/>
  <c r="AA7" i="1"/>
  <c r="AA9" i="1"/>
  <c r="M9" i="1"/>
  <c r="M22" i="1"/>
  <c r="M20" i="1"/>
  <c r="M19" i="1"/>
  <c r="M5" i="1"/>
  <c r="M12" i="1"/>
  <c r="M4" i="1"/>
  <c r="M17" i="1"/>
  <c r="M7" i="1"/>
  <c r="M15" i="1"/>
  <c r="M21" i="1"/>
  <c r="M11" i="1"/>
  <c r="M6" i="1"/>
  <c r="M8" i="1"/>
  <c r="M14" i="1"/>
  <c r="M16" i="1"/>
  <c r="M10" i="1"/>
  <c r="M13" i="1"/>
  <c r="M18" i="1"/>
  <c r="U9" i="1" l="1"/>
  <c r="U13" i="1"/>
  <c r="U7" i="1"/>
  <c r="U18" i="1"/>
  <c r="U19" i="1"/>
  <c r="U5" i="1"/>
  <c r="U16" i="1"/>
  <c r="U22" i="1"/>
  <c r="U17" i="1"/>
  <c r="U15" i="1"/>
  <c r="U11" i="1"/>
  <c r="U20" i="1"/>
  <c r="U21" i="1"/>
  <c r="U4" i="1"/>
  <c r="F25" i="1"/>
  <c r="AB4" i="1" s="1"/>
  <c r="AB13" i="1"/>
  <c r="AB6" i="1"/>
  <c r="AB7" i="1"/>
  <c r="AB12" i="1"/>
  <c r="AB9" i="1"/>
  <c r="U12" i="1"/>
  <c r="AB15" i="1"/>
  <c r="AB21" i="1"/>
  <c r="AB20" i="1"/>
  <c r="AB14" i="1"/>
  <c r="U8" i="1"/>
  <c r="U6" i="1"/>
  <c r="AB5" i="1"/>
  <c r="AB8" i="1"/>
  <c r="AB11" i="1"/>
  <c r="AB16" i="1"/>
  <c r="AB22" i="1"/>
  <c r="AB19" i="1"/>
  <c r="U14" i="1"/>
  <c r="U10" i="1"/>
  <c r="AB10" i="1"/>
  <c r="AB17" i="1"/>
  <c r="AB18" i="1"/>
  <c r="N15" i="1"/>
  <c r="N8" i="1"/>
  <c r="N7" i="1"/>
  <c r="N20" i="1"/>
  <c r="N10" i="1"/>
  <c r="N9" i="1"/>
  <c r="N17" i="1"/>
  <c r="N14" i="1"/>
  <c r="N6" i="1"/>
  <c r="N11" i="1"/>
  <c r="N19" i="1"/>
  <c r="N5" i="1"/>
  <c r="N13" i="1"/>
  <c r="N16" i="1"/>
  <c r="N22" i="1"/>
  <c r="N4" i="1"/>
  <c r="N21" i="1"/>
  <c r="N18" i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tc={028E8432-2CA6-4871-81D6-81A0FA8B601D}</author>
    <author>tc={C02458E1-C573-4910-B5E7-3B02BD79962B}</author>
    <author>tc={1CFE2521-8A92-47D2-81ED-AAA324AFE33F}</author>
    <author>tc={F39B105D-5A85-4154-AB34-80E7893F99EC}</author>
    <author>tc={8EEE779A-0BE1-47A2-8AC4-E9FEBBDE45C0}</author>
    <author>tc={6468581F-CC82-4A63-85E4-EB2FA7B81B04}</author>
    <author>tc={15F3F31B-FF6B-442A-BC18-7DD765028073}</author>
  </authors>
  <commentList>
    <comment ref="D13" authorId="0" shapeId="0" xr:uid="{028E8432-2CA6-4871-81D6-81A0FA8B60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3" authorId="1" shapeId="0" xr:uid="{C02458E1-C573-4910-B5E7-3B02BD7996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3" authorId="2" shapeId="0" xr:uid="{1CFE2521-8A92-47D2-81ED-AAA324AFE3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D18" authorId="3" shapeId="0" xr:uid="{F39B105D-5A85-4154-AB34-80E7893F99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18" authorId="4" shapeId="0" xr:uid="{8EEE779A-0BE1-47A2-8AC4-E9FEBBDE45C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18" authorId="5" shapeId="0" xr:uid="{6468581F-CC82-4A63-85E4-EB2FA7B81B0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23" authorId="6" shapeId="0" xr:uid="{15F3F31B-FF6B-442A-BC18-7DD7650280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tc={D9368403-67FB-4172-954A-BB7532EBF278}</author>
    <author>tc={CB0D3CC0-A1B6-4A6E-9371-C1371B0572F3}</author>
    <author>tc={57C68BC7-40AB-445E-8043-993268F71BA9}</author>
    <author>tc={448F1C05-5EE3-4D8D-ACA0-15A31E4BEA2A}</author>
    <author>tc={FFB82C01-707C-4876-ADBB-BD07CEA0C5EF}</author>
  </authors>
  <commentList>
    <comment ref="D6" authorId="0" shapeId="0" xr:uid="{D9368403-67FB-4172-954A-BB7532EBF2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56Ω 병렬</t>
      </text>
    </comment>
    <comment ref="D9" authorId="1" shapeId="0" xr:uid="{CB0D3CC0-A1B6-4A6E-9371-C1371B057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2V</t>
      </text>
    </comment>
    <comment ref="E9" authorId="2" shapeId="0" xr:uid="{57C68BC7-40AB-445E-8043-993268F71B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1mA</t>
      </text>
    </comment>
    <comment ref="F9" authorId="3" shapeId="0" xr:uid="{448F1C05-5EE3-4D8D-ACA0-15A31E4BE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Under 3V</t>
      </text>
    </comment>
    <comment ref="F14" authorId="4" shapeId="0" xr:uid="{FFB82C01-707C-4876-ADBB-BD07CEA0C5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@ Gain = Low</t>
      </text>
    </comment>
  </commentList>
</comments>
</file>

<file path=xl/sharedStrings.xml><?xml version="1.0" encoding="utf-8"?>
<sst xmlns="http://schemas.openxmlformats.org/spreadsheetml/2006/main" count="131" uniqueCount="43">
  <si>
    <t>Rs</t>
    <phoneticPr fontId="1" type="noConversion"/>
  </si>
  <si>
    <t>Rin</t>
    <phoneticPr fontId="1" type="noConversion"/>
  </si>
  <si>
    <t>Is</t>
    <phoneticPr fontId="1" type="noConversion"/>
  </si>
  <si>
    <t>Vs</t>
    <phoneticPr fontId="1" type="noConversion"/>
  </si>
  <si>
    <t>Vo</t>
    <phoneticPr fontId="1" type="noConversion"/>
  </si>
  <si>
    <t>Io</t>
    <phoneticPr fontId="1" type="noConversion"/>
  </si>
  <si>
    <t>XD12</t>
    <phoneticPr fontId="1" type="noConversion"/>
  </si>
  <si>
    <t>Input Offset</t>
    <phoneticPr fontId="1" type="noConversion"/>
  </si>
  <si>
    <t>Vout</t>
    <phoneticPr fontId="1" type="noConversion"/>
  </si>
  <si>
    <t>Is_resolution</t>
    <phoneticPr fontId="1" type="noConversion"/>
  </si>
  <si>
    <t>V+</t>
    <phoneticPr fontId="1" type="noConversion"/>
  </si>
  <si>
    <t>PWM</t>
    <phoneticPr fontId="1" type="noConversion"/>
  </si>
  <si>
    <t>+offset</t>
    <phoneticPr fontId="1" type="noConversion"/>
  </si>
  <si>
    <t>step</t>
    <phoneticPr fontId="1" type="noConversion"/>
  </si>
  <si>
    <t>Iout</t>
    <phoneticPr fontId="1" type="noConversion"/>
  </si>
  <si>
    <t>Rout_high</t>
    <phoneticPr fontId="1" type="noConversion"/>
  </si>
  <si>
    <t>Rout_mid</t>
    <phoneticPr fontId="1" type="noConversion"/>
  </si>
  <si>
    <t>Rout_low</t>
    <phoneticPr fontId="1" type="noConversion"/>
  </si>
  <si>
    <t>Io_max</t>
    <phoneticPr fontId="1" type="noConversion"/>
  </si>
  <si>
    <t>Gain</t>
    <phoneticPr fontId="1" type="noConversion"/>
  </si>
  <si>
    <t>Gain high</t>
    <phoneticPr fontId="1" type="noConversion"/>
  </si>
  <si>
    <t>Gain mid</t>
    <phoneticPr fontId="1" type="noConversion"/>
  </si>
  <si>
    <t>Gain low</t>
    <phoneticPr fontId="1" type="noConversion"/>
  </si>
  <si>
    <t>high</t>
    <phoneticPr fontId="1" type="noConversion"/>
  </si>
  <si>
    <t>mid</t>
    <phoneticPr fontId="1" type="noConversion"/>
  </si>
  <si>
    <t>low</t>
    <phoneticPr fontId="1" type="noConversion"/>
  </si>
  <si>
    <t>Target</t>
    <phoneticPr fontId="1" type="noConversion"/>
  </si>
  <si>
    <t>Trimming</t>
    <phoneticPr fontId="1" type="noConversion"/>
  </si>
  <si>
    <t>Is_max</t>
    <phoneticPr fontId="1" type="noConversion"/>
  </si>
  <si>
    <t>adc</t>
    <phoneticPr fontId="1" type="noConversion"/>
  </si>
  <si>
    <t>adc_ref</t>
    <phoneticPr fontId="1" type="noConversion"/>
  </si>
  <si>
    <t>adc_resolution</t>
    <phoneticPr fontId="1" type="noConversion"/>
  </si>
  <si>
    <t>Rs_low</t>
    <phoneticPr fontId="1" type="noConversion"/>
  </si>
  <si>
    <t>Rs_mid</t>
    <phoneticPr fontId="1" type="noConversion"/>
  </si>
  <si>
    <t>Rs_high</t>
    <phoneticPr fontId="1" type="noConversion"/>
  </si>
  <si>
    <t>Rout</t>
    <phoneticPr fontId="1" type="noConversion"/>
  </si>
  <si>
    <t>ofs_p1</t>
    <phoneticPr fontId="1" type="noConversion"/>
  </si>
  <si>
    <t>ofs_p2</t>
    <phoneticPr fontId="1" type="noConversion"/>
  </si>
  <si>
    <t>gain</t>
    <phoneticPr fontId="1" type="noConversion"/>
  </si>
  <si>
    <t>ofs_avg</t>
    <phoneticPr fontId="1" type="noConversion"/>
  </si>
  <si>
    <t>max curr</t>
    <phoneticPr fontId="1" type="noConversion"/>
  </si>
  <si>
    <t>resolution</t>
    <phoneticPr fontId="1" type="noConversion"/>
  </si>
  <si>
    <t>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</si>
</sst>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&quot;mA&quot;"/>
    <numFmt numFmtId="177" formatCode="0.000&quot;V&quot;"/>
    <numFmt numFmtId="178" formatCode="0.0&quot;mA&quot;"/>
    <numFmt numFmtId="179" formatCode="0.000&quot;mA&quot;"/>
    <numFmt numFmtId="180" formatCode="0.0000&quot;mV&quot;"/>
    <numFmt numFmtId="181" formatCode="0.000&quot;uA&quot;"/>
    <numFmt numFmtId="182" formatCode="0.0000&quot;uA&quot;"/>
    <numFmt numFmtId="183" formatCode="0&quot;uV&quot;"/>
    <numFmt numFmtId="184" formatCode="0.0000&quot;V&quot;"/>
    <numFmt numFmtId="185" formatCode="0&quot;Ω&quot;"/>
    <numFmt numFmtId="186" formatCode="0.00&quot;mV&quot;"/>
    <numFmt numFmtId="187" formatCode="0&quot;V&quot;"/>
    <numFmt numFmtId="188" formatCode="0&quot;uA&quot;"/>
    <numFmt numFmtId="189" formatCode="0.000&quot;uV&quot;"/>
    <numFmt numFmtId="190" formatCode="0.000&quot;mV&quot;"/>
    <numFmt numFmtId="191" formatCode="0.00000&quot;V&quot;"/>
    <numFmt numFmtId="192" formatCode="0.0000000&quot;V&quot;"/>
    <numFmt numFmtId="193" formatCode="0.0&quot;Ω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91" fontId="0" fillId="0" borderId="0" xfId="0" applyNumberFormat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Continuous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 준영" id="{F2846A85-6A85-4C35-B044-DD791C885369}" userId="S::jy.lee@solutionkorea.onmicrosoft.com::12b76314-354e-4dfd-8d1b-a7478f8747f1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" dT="2024-01-31T07:08:09.58" personId="{F2846A85-6A85-4C35-B044-DD791C885369}" id="{028E8432-2CA6-4871-81D6-81A0FA8B601D}">
    <text>Under 2V</text>
  </threadedComment>
  <threadedComment ref="E13" dT="2024-01-29T02:28:58.50" personId="{F2846A85-6A85-4C35-B044-DD791C885369}" id="{C02458E1-C573-4910-B5E7-3B02BD79962B}">
    <text>Under 1mA</text>
  </threadedComment>
  <threadedComment ref="F13" dT="2024-01-29T02:33:49.51" personId="{F2846A85-6A85-4C35-B044-DD791C885369}" id="{1CFE2521-8A92-47D2-81ED-AAA324AFE33F}">
    <text>Under 3V</text>
  </threadedComment>
  <threadedComment ref="D18" dT="2024-01-31T07:08:09.58" personId="{F2846A85-6A85-4C35-B044-DD791C885369}" id="{F39B105D-5A85-4154-AB34-80E7893F99EC}">
    <text>Under 2V</text>
  </threadedComment>
  <threadedComment ref="E18" dT="2024-01-29T02:28:58.50" personId="{F2846A85-6A85-4C35-B044-DD791C885369}" id="{8EEE779A-0BE1-47A2-8AC4-E9FEBBDE45C0}">
    <text>Under 1mA</text>
  </threadedComment>
  <threadedComment ref="F18" dT="2024-01-29T02:33:49.51" personId="{F2846A85-6A85-4C35-B044-DD791C885369}" id="{6468581F-CC82-4A63-85E4-EB2FA7B81B04}">
    <text>Under 3V</text>
  </threadedComment>
  <threadedComment ref="F23" dT="2024-03-04T08:47:25.65" personId="{F2846A85-6A85-4C35-B044-DD791C885369}" id="{15F3F31B-FF6B-442A-BC18-7DD765028073}">
    <text>@ Gain = Low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3-21T03:04:55.30" personId="{F2846A85-6A85-4C35-B044-DD791C885369}" id="{D9368403-67FB-4172-954A-BB7532EBF278}">
    <text>56Ω 병렬</text>
  </threadedComment>
  <threadedComment ref="D9" dT="2024-01-31T07:08:09.58" personId="{F2846A85-6A85-4C35-B044-DD791C885369}" id="{CB0D3CC0-A1B6-4A6E-9371-C1371B0572F3}">
    <text>Under 2V</text>
  </threadedComment>
  <threadedComment ref="E9" dT="2024-01-29T02:28:58.50" personId="{F2846A85-6A85-4C35-B044-DD791C885369}" id="{57C68BC7-40AB-445E-8043-993268F71BA9}">
    <text>Under 1mA</text>
  </threadedComment>
  <threadedComment ref="F9" dT="2024-01-29T02:33:49.51" personId="{F2846A85-6A85-4C35-B044-DD791C885369}" id="{448F1C05-5EE3-4D8D-ACA0-15A31E4BEA2A}">
    <text>Under 3V</text>
  </threadedComment>
  <threadedComment ref="F14" dT="2024-03-04T08:47:25.65" personId="{F2846A85-6A85-4C35-B044-DD791C885369}" id="{FFB82C01-707C-4876-ADBB-BD07CEA0C5EF}">
    <text>@ Gain = Low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B103-93DB-4F05-96C0-1F9112CAD650}">
  <dimension ref="B2:AB73"/>
  <sheetViews>
    <sheetView zoomScale="85" zoomScaleNormal="85" workbookViewId="0">
      <selection activeCell="E13" sqref="E13"/>
    </sheetView>
  </sheetViews>
  <sheetFormatPr defaultRowHeight="16.899999999999999" x14ac:dyDescent="0.6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8" width="2.625" style="1" customWidth="1"/>
    <col min="9" max="9" width="6.875" style="1" bestFit="1" customWidth="1"/>
    <col min="10" max="10" width="11.75" style="1" bestFit="1" customWidth="1"/>
    <col min="11" max="11" width="14.125" style="1" bestFit="1" customWidth="1"/>
    <col min="12" max="12" width="10.125" style="1" bestFit="1" customWidth="1"/>
    <col min="13" max="13" width="6.875" style="1" customWidth="1"/>
    <col min="14" max="14" width="7.625" style="1" hidden="1" customWidth="1"/>
    <col min="15" max="15" width="2.625" style="1" customWidth="1"/>
    <col min="16" max="16" width="6.875" style="1" bestFit="1" customWidth="1"/>
    <col min="17" max="17" width="11.75" style="1" bestFit="1" customWidth="1"/>
    <col min="18" max="18" width="14.125" style="1" bestFit="1" customWidth="1"/>
    <col min="19" max="19" width="11.25" style="1" bestFit="1" customWidth="1"/>
    <col min="20" max="20" width="6.875" style="1" customWidth="1"/>
    <col min="21" max="21" width="7.625" style="1" hidden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28" width="7.625" style="1" hidden="1" customWidth="1"/>
    <col min="29" max="16384" width="9" style="1"/>
  </cols>
  <sheetData>
    <row r="2" spans="2:28" x14ac:dyDescent="0.6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I2" s="27" t="s">
        <v>20</v>
      </c>
      <c r="J2" s="27"/>
      <c r="K2" s="27"/>
      <c r="L2" s="27"/>
      <c r="M2" s="27"/>
      <c r="N2" s="27"/>
      <c r="P2" s="27" t="s">
        <v>21</v>
      </c>
      <c r="Q2" s="27"/>
      <c r="R2" s="27"/>
      <c r="S2" s="27"/>
      <c r="T2" s="27"/>
      <c r="U2" s="27"/>
      <c r="W2" s="27" t="s">
        <v>22</v>
      </c>
      <c r="X2" s="27"/>
      <c r="Y2" s="27"/>
      <c r="Z2" s="27"/>
      <c r="AA2" s="27"/>
      <c r="AB2" s="27"/>
    </row>
    <row r="3" spans="2:28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I3" s="7" t="s">
        <v>11</v>
      </c>
      <c r="J3" s="7" t="s">
        <v>2</v>
      </c>
      <c r="K3" s="7" t="s">
        <v>3</v>
      </c>
      <c r="L3" s="7" t="s">
        <v>4</v>
      </c>
      <c r="M3" s="7" t="s">
        <v>29</v>
      </c>
      <c r="N3" s="13" t="s">
        <v>12</v>
      </c>
      <c r="P3" s="7" t="s">
        <v>11</v>
      </c>
      <c r="Q3" s="7" t="s">
        <v>2</v>
      </c>
      <c r="R3" s="7" t="s">
        <v>3</v>
      </c>
      <c r="S3" s="7" t="s">
        <v>4</v>
      </c>
      <c r="T3" s="7" t="s">
        <v>29</v>
      </c>
      <c r="U3" s="13" t="s">
        <v>12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  <c r="AB3" s="13" t="s">
        <v>12</v>
      </c>
    </row>
    <row r="4" spans="2:28" x14ac:dyDescent="0.6">
      <c r="I4" s="7">
        <v>0</v>
      </c>
      <c r="J4" s="9">
        <f>8000*I4/65535</f>
        <v>0</v>
      </c>
      <c r="K4" s="17">
        <f t="shared" ref="K4:K22" si="0">J4*$B$10</f>
        <v>0</v>
      </c>
      <c r="L4" s="14">
        <f t="shared" ref="L4:L22" si="1">J4*$B$10/$C$10*$D$10/1000</f>
        <v>0</v>
      </c>
      <c r="M4" s="1">
        <f t="shared" ref="M4:M22" si="2">ROUND((L4/1000)/$E$3*$D$3, 0)</f>
        <v>0</v>
      </c>
      <c r="N4" s="1">
        <f t="shared" ref="N4:N22" si="3">M4+$F$23</f>
        <v>0</v>
      </c>
      <c r="P4" s="7">
        <v>0</v>
      </c>
      <c r="Q4" s="9">
        <f>8000*P4/65535</f>
        <v>0</v>
      </c>
      <c r="R4" s="17">
        <f t="shared" ref="R4" si="4">Q4*$B$10</f>
        <v>0</v>
      </c>
      <c r="S4" s="14">
        <f t="shared" ref="S4" si="5">Q4*$B$10/$C$10*$E$10/1000</f>
        <v>0</v>
      </c>
      <c r="T4" s="1">
        <f t="shared" ref="T4" si="6">ROUND((S4/1000)/$E$3*$D$3, 0)</f>
        <v>0</v>
      </c>
      <c r="U4" s="1">
        <f>T4+$F$24</f>
        <v>0</v>
      </c>
      <c r="W4" s="7">
        <v>0</v>
      </c>
      <c r="X4" s="9">
        <f>8000*W4/65535</f>
        <v>0</v>
      </c>
      <c r="Y4" s="17">
        <f t="shared" ref="Y4:Y22" si="7">X4*$B$10</f>
        <v>0</v>
      </c>
      <c r="Z4" s="14">
        <f t="shared" ref="Z4:Z22" si="8">X4*$B$10/$C$10*$F$10/1000</f>
        <v>0</v>
      </c>
      <c r="AA4" s="1">
        <f t="shared" ref="AA4:AA22" si="9">ROUND((Z4/1000)/$E$3*$D$3, 0)</f>
        <v>0</v>
      </c>
      <c r="AB4" s="1">
        <f>AA4+$F$25</f>
        <v>10</v>
      </c>
    </row>
    <row r="5" spans="2:28" x14ac:dyDescent="0.6">
      <c r="B5" s="7" t="s">
        <v>13</v>
      </c>
      <c r="C5" s="7" t="s">
        <v>14</v>
      </c>
      <c r="I5" s="7">
        <v>1</v>
      </c>
      <c r="J5" s="9">
        <f t="shared" ref="J5:J22" si="10">8000*I5/65535</f>
        <v>0.12207217517357137</v>
      </c>
      <c r="K5" s="17">
        <f t="shared" si="0"/>
        <v>9.1554131380178525</v>
      </c>
      <c r="L5" s="14">
        <f t="shared" si="1"/>
        <v>1.4207656658797516E-2</v>
      </c>
      <c r="M5" s="1">
        <f t="shared" si="2"/>
        <v>0</v>
      </c>
      <c r="N5" s="1">
        <f t="shared" si="3"/>
        <v>0</v>
      </c>
      <c r="P5" s="7">
        <v>1</v>
      </c>
      <c r="Q5" s="9">
        <f t="shared" ref="Q5" si="11">8000*P5/65535</f>
        <v>0.12207217517357137</v>
      </c>
      <c r="R5" s="17">
        <f t="shared" ref="R5:R14" si="12">Q5*$B$10</f>
        <v>9.1554131380178525</v>
      </c>
      <c r="S5" s="14">
        <f t="shared" ref="S5:S14" si="13">Q5*$B$10/$C$10*$E$10/1000</f>
        <v>3.4574132299784392E-2</v>
      </c>
      <c r="T5" s="1">
        <f t="shared" ref="T5:T14" si="14">ROUND((S5/1000)/$E$3*$D$3, 0)</f>
        <v>0</v>
      </c>
      <c r="U5" s="1">
        <f t="shared" ref="U5:U14" si="15">T5+$F$23</f>
        <v>0</v>
      </c>
      <c r="W5" s="7">
        <v>41</v>
      </c>
      <c r="X5" s="9">
        <f t="shared" ref="X5:X22" si="16">8000*W5/65535</f>
        <v>5.0049591821164263</v>
      </c>
      <c r="Y5" s="17">
        <f t="shared" si="7"/>
        <v>375.37193865873195</v>
      </c>
      <c r="Z5" s="14">
        <f t="shared" si="8"/>
        <v>46.215326476596161</v>
      </c>
      <c r="AA5" s="1">
        <f t="shared" si="9"/>
        <v>303</v>
      </c>
      <c r="AB5" s="1">
        <f t="shared" ref="AB5:AB22" si="17">AA5+$F$23</f>
        <v>303</v>
      </c>
    </row>
    <row r="6" spans="2:28" x14ac:dyDescent="0.6">
      <c r="B6" s="7">
        <v>60</v>
      </c>
      <c r="C6" s="9">
        <f>$C$3/$B$3*B6</f>
        <v>7.3243305104142822</v>
      </c>
      <c r="I6" s="7">
        <v>2</v>
      </c>
      <c r="J6" s="9">
        <f t="shared" si="10"/>
        <v>0.24414435034714274</v>
      </c>
      <c r="K6" s="17">
        <f t="shared" si="0"/>
        <v>18.310826276035705</v>
      </c>
      <c r="L6" s="14">
        <f t="shared" si="1"/>
        <v>2.8415313317595031E-2</v>
      </c>
      <c r="M6" s="1">
        <f t="shared" si="2"/>
        <v>0</v>
      </c>
      <c r="N6" s="1">
        <f t="shared" si="3"/>
        <v>0</v>
      </c>
      <c r="P6" s="7">
        <v>2</v>
      </c>
      <c r="Q6" s="9">
        <f t="shared" ref="Q6:Q7" si="18">8000*P6/65535</f>
        <v>0.24414435034714274</v>
      </c>
      <c r="R6" s="17">
        <f t="shared" si="12"/>
        <v>18.310826276035705</v>
      </c>
      <c r="S6" s="14">
        <f t="shared" si="13"/>
        <v>6.9148264599568784E-2</v>
      </c>
      <c r="T6" s="1">
        <f t="shared" si="14"/>
        <v>0</v>
      </c>
      <c r="U6" s="1">
        <f t="shared" si="15"/>
        <v>0</v>
      </c>
      <c r="W6" s="7">
        <v>82</v>
      </c>
      <c r="X6" s="9">
        <f t="shared" si="16"/>
        <v>10.009918364232853</v>
      </c>
      <c r="Y6" s="17">
        <f t="shared" si="7"/>
        <v>750.7438773174639</v>
      </c>
      <c r="Z6" s="14">
        <f t="shared" si="8"/>
        <v>92.430652953192322</v>
      </c>
      <c r="AA6" s="1">
        <f t="shared" si="9"/>
        <v>606</v>
      </c>
      <c r="AB6" s="1">
        <f t="shared" si="17"/>
        <v>606</v>
      </c>
    </row>
    <row r="7" spans="2:28" x14ac:dyDescent="0.6">
      <c r="B7" s="7">
        <v>51</v>
      </c>
      <c r="C7" s="9">
        <f>$C$3/$B$3*B7</f>
        <v>6.2256809338521402</v>
      </c>
      <c r="I7" s="7">
        <v>3</v>
      </c>
      <c r="J7" s="9">
        <f t="shared" si="10"/>
        <v>0.3662165255207141</v>
      </c>
      <c r="K7" s="17">
        <f t="shared" si="0"/>
        <v>27.466239414053558</v>
      </c>
      <c r="L7" s="14">
        <f t="shared" si="1"/>
        <v>4.2622969976392547E-2</v>
      </c>
      <c r="M7" s="1">
        <f t="shared" si="2"/>
        <v>0</v>
      </c>
      <c r="N7" s="1">
        <f t="shared" si="3"/>
        <v>0</v>
      </c>
      <c r="P7" s="7">
        <v>3</v>
      </c>
      <c r="Q7" s="9">
        <f t="shared" si="18"/>
        <v>0.3662165255207141</v>
      </c>
      <c r="R7" s="17">
        <f t="shared" si="12"/>
        <v>27.466239414053558</v>
      </c>
      <c r="S7" s="14">
        <f t="shared" si="13"/>
        <v>0.1037223968993532</v>
      </c>
      <c r="T7" s="1">
        <f t="shared" si="14"/>
        <v>1</v>
      </c>
      <c r="U7" s="1">
        <f t="shared" si="15"/>
        <v>1</v>
      </c>
      <c r="W7" s="7">
        <v>123</v>
      </c>
      <c r="X7" s="9">
        <f t="shared" si="16"/>
        <v>15.014877546349279</v>
      </c>
      <c r="Y7" s="17">
        <f t="shared" si="7"/>
        <v>1126.115815976196</v>
      </c>
      <c r="Z7" s="14">
        <f t="shared" si="8"/>
        <v>138.64597942978847</v>
      </c>
      <c r="AA7" s="1">
        <f t="shared" si="9"/>
        <v>909</v>
      </c>
      <c r="AB7" s="1">
        <f t="shared" si="17"/>
        <v>909</v>
      </c>
    </row>
    <row r="8" spans="2:28" x14ac:dyDescent="0.6">
      <c r="I8" s="7">
        <v>4</v>
      </c>
      <c r="J8" s="9">
        <f t="shared" si="10"/>
        <v>0.48828870069428548</v>
      </c>
      <c r="K8" s="17">
        <f t="shared" si="0"/>
        <v>36.62165255207141</v>
      </c>
      <c r="L8" s="14">
        <f t="shared" si="1"/>
        <v>5.6830626635190062E-2</v>
      </c>
      <c r="M8" s="1">
        <f t="shared" si="2"/>
        <v>0</v>
      </c>
      <c r="N8" s="1">
        <f t="shared" si="3"/>
        <v>0</v>
      </c>
      <c r="P8" s="7">
        <v>4</v>
      </c>
      <c r="Q8" s="9">
        <f t="shared" ref="Q8:Q14" si="19">8000*P8/65535</f>
        <v>0.48828870069428548</v>
      </c>
      <c r="R8" s="17">
        <f t="shared" si="12"/>
        <v>36.62165255207141</v>
      </c>
      <c r="S8" s="14">
        <f t="shared" si="13"/>
        <v>0.13829652919913757</v>
      </c>
      <c r="T8" s="1">
        <f t="shared" si="14"/>
        <v>1</v>
      </c>
      <c r="U8" s="1">
        <f t="shared" si="15"/>
        <v>1</v>
      </c>
      <c r="W8" s="7">
        <v>164</v>
      </c>
      <c r="X8" s="9">
        <f t="shared" si="16"/>
        <v>20.019836728465705</v>
      </c>
      <c r="Y8" s="17">
        <f t="shared" si="7"/>
        <v>1501.4877546349278</v>
      </c>
      <c r="Z8" s="14">
        <f t="shared" si="8"/>
        <v>184.86130590638464</v>
      </c>
      <c r="AA8" s="1">
        <f t="shared" si="9"/>
        <v>1211</v>
      </c>
      <c r="AB8" s="1">
        <f t="shared" si="17"/>
        <v>1211</v>
      </c>
    </row>
    <row r="9" spans="2:28" x14ac:dyDescent="0.6">
      <c r="B9" s="7" t="s">
        <v>0</v>
      </c>
      <c r="C9" s="7" t="s">
        <v>1</v>
      </c>
      <c r="D9" s="7" t="s">
        <v>15</v>
      </c>
      <c r="E9" s="7" t="s">
        <v>16</v>
      </c>
      <c r="F9" s="7" t="s">
        <v>17</v>
      </c>
      <c r="I9" s="7">
        <v>5</v>
      </c>
      <c r="J9" s="9">
        <f t="shared" si="10"/>
        <v>0.61036087586785692</v>
      </c>
      <c r="K9" s="17">
        <f t="shared" si="0"/>
        <v>45.777065690089266</v>
      </c>
      <c r="L9" s="14">
        <f t="shared" si="1"/>
        <v>7.1038283293987592E-2</v>
      </c>
      <c r="M9" s="1">
        <f t="shared" si="2"/>
        <v>0</v>
      </c>
      <c r="N9" s="1">
        <f t="shared" si="3"/>
        <v>0</v>
      </c>
      <c r="P9" s="7">
        <v>5</v>
      </c>
      <c r="Q9" s="9">
        <f t="shared" si="19"/>
        <v>0.61036087586785692</v>
      </c>
      <c r="R9" s="17">
        <f t="shared" si="12"/>
        <v>45.777065690089266</v>
      </c>
      <c r="S9" s="14">
        <f t="shared" si="13"/>
        <v>0.172870661498922</v>
      </c>
      <c r="T9" s="1">
        <f t="shared" si="14"/>
        <v>1</v>
      </c>
      <c r="U9" s="1">
        <f t="shared" si="15"/>
        <v>1</v>
      </c>
      <c r="W9" s="7">
        <v>205</v>
      </c>
      <c r="X9" s="9">
        <f t="shared" si="16"/>
        <v>25.024795910582132</v>
      </c>
      <c r="Y9" s="17">
        <f t="shared" si="7"/>
        <v>1876.8596932936598</v>
      </c>
      <c r="Z9" s="14">
        <f t="shared" si="8"/>
        <v>231.07663238298079</v>
      </c>
      <c r="AA9" s="1">
        <f t="shared" si="9"/>
        <v>1514</v>
      </c>
      <c r="AB9" s="1">
        <f t="shared" si="17"/>
        <v>1514</v>
      </c>
    </row>
    <row r="10" spans="2:28" x14ac:dyDescent="0.6">
      <c r="B10" s="12">
        <v>75</v>
      </c>
      <c r="C10" s="12">
        <v>1802</v>
      </c>
      <c r="D10" s="12">
        <v>2796.4</v>
      </c>
      <c r="E10" s="12">
        <v>6805</v>
      </c>
      <c r="F10" s="12">
        <v>221860</v>
      </c>
      <c r="I10" s="7">
        <v>6</v>
      </c>
      <c r="J10" s="9">
        <f t="shared" si="10"/>
        <v>0.7324330510414282</v>
      </c>
      <c r="K10" s="17">
        <f t="shared" si="0"/>
        <v>54.932478828107115</v>
      </c>
      <c r="L10" s="14">
        <f t="shared" si="1"/>
        <v>8.5245939952785094E-2</v>
      </c>
      <c r="M10" s="1">
        <f t="shared" si="2"/>
        <v>1</v>
      </c>
      <c r="N10" s="1">
        <f t="shared" si="3"/>
        <v>1</v>
      </c>
      <c r="P10" s="7">
        <v>6</v>
      </c>
      <c r="Q10" s="9">
        <f t="shared" si="19"/>
        <v>0.7324330510414282</v>
      </c>
      <c r="R10" s="17">
        <f t="shared" si="12"/>
        <v>54.932478828107115</v>
      </c>
      <c r="S10" s="14">
        <f t="shared" si="13"/>
        <v>0.2074447937987064</v>
      </c>
      <c r="T10" s="1">
        <f t="shared" si="14"/>
        <v>1</v>
      </c>
      <c r="U10" s="1">
        <f t="shared" si="15"/>
        <v>1</v>
      </c>
      <c r="W10" s="7">
        <v>246</v>
      </c>
      <c r="X10" s="9">
        <f t="shared" si="16"/>
        <v>30.029755092698558</v>
      </c>
      <c r="Y10" s="17">
        <f t="shared" si="7"/>
        <v>2252.231631952392</v>
      </c>
      <c r="Z10" s="14">
        <f t="shared" si="8"/>
        <v>277.29195885957694</v>
      </c>
      <c r="AA10" s="1">
        <f t="shared" si="9"/>
        <v>1817</v>
      </c>
      <c r="AB10" s="1">
        <f t="shared" si="17"/>
        <v>1817</v>
      </c>
    </row>
    <row r="11" spans="2:28" x14ac:dyDescent="0.6">
      <c r="I11" s="7">
        <v>7</v>
      </c>
      <c r="J11" s="9">
        <f t="shared" si="10"/>
        <v>0.85450522621499958</v>
      </c>
      <c r="K11" s="17">
        <f t="shared" si="0"/>
        <v>64.087891966124971</v>
      </c>
      <c r="L11" s="14">
        <f t="shared" si="1"/>
        <v>9.9453596611582609E-2</v>
      </c>
      <c r="M11" s="1">
        <f t="shared" si="2"/>
        <v>1</v>
      </c>
      <c r="N11" s="1">
        <f t="shared" si="3"/>
        <v>1</v>
      </c>
      <c r="P11" s="7">
        <v>7</v>
      </c>
      <c r="Q11" s="9">
        <f t="shared" si="19"/>
        <v>0.85450522621499958</v>
      </c>
      <c r="R11" s="17">
        <f t="shared" si="12"/>
        <v>64.087891966124971</v>
      </c>
      <c r="S11" s="14">
        <f t="shared" si="13"/>
        <v>0.24201892609849079</v>
      </c>
      <c r="T11" s="1">
        <f t="shared" si="14"/>
        <v>2</v>
      </c>
      <c r="U11" s="1">
        <f t="shared" si="15"/>
        <v>2</v>
      </c>
      <c r="W11" s="7">
        <v>287</v>
      </c>
      <c r="X11" s="9">
        <f t="shared" si="16"/>
        <v>35.034714274814988</v>
      </c>
      <c r="Y11" s="17">
        <f t="shared" si="7"/>
        <v>2627.6035706111243</v>
      </c>
      <c r="Z11" s="14">
        <f t="shared" si="8"/>
        <v>323.50728533617314</v>
      </c>
      <c r="AA11" s="1">
        <f t="shared" si="9"/>
        <v>2120</v>
      </c>
      <c r="AB11" s="1">
        <f t="shared" si="17"/>
        <v>2120</v>
      </c>
    </row>
    <row r="12" spans="2:28" x14ac:dyDescent="0.6">
      <c r="B12" s="7" t="s">
        <v>19</v>
      </c>
      <c r="C12" s="7" t="s">
        <v>28</v>
      </c>
      <c r="D12" s="7" t="s">
        <v>3</v>
      </c>
      <c r="E12" s="7" t="s">
        <v>5</v>
      </c>
      <c r="F12" s="7" t="s">
        <v>4</v>
      </c>
      <c r="G12" s="7" t="s">
        <v>9</v>
      </c>
      <c r="I12" s="7">
        <v>8</v>
      </c>
      <c r="J12" s="9">
        <f t="shared" si="10"/>
        <v>0.97657740138857096</v>
      </c>
      <c r="K12" s="17">
        <f t="shared" si="0"/>
        <v>73.24330510414282</v>
      </c>
      <c r="L12" s="14">
        <f t="shared" si="1"/>
        <v>0.11366125327038012</v>
      </c>
      <c r="M12" s="1">
        <f t="shared" si="2"/>
        <v>1</v>
      </c>
      <c r="N12" s="1">
        <f t="shared" si="3"/>
        <v>1</v>
      </c>
      <c r="P12" s="7">
        <v>8</v>
      </c>
      <c r="Q12" s="9">
        <f t="shared" si="19"/>
        <v>0.97657740138857096</v>
      </c>
      <c r="R12" s="17">
        <f t="shared" si="12"/>
        <v>73.24330510414282</v>
      </c>
      <c r="S12" s="14">
        <f t="shared" si="13"/>
        <v>0.27659305839827514</v>
      </c>
      <c r="T12" s="1">
        <f t="shared" si="14"/>
        <v>2</v>
      </c>
      <c r="U12" s="1">
        <f t="shared" si="15"/>
        <v>2</v>
      </c>
      <c r="W12" s="7">
        <v>328</v>
      </c>
      <c r="X12" s="9">
        <f t="shared" si="16"/>
        <v>40.039673456931411</v>
      </c>
      <c r="Y12" s="17">
        <f t="shared" si="7"/>
        <v>3002.9755092698556</v>
      </c>
      <c r="Z12" s="14">
        <f t="shared" si="8"/>
        <v>369.72261181276929</v>
      </c>
      <c r="AA12" s="1">
        <f t="shared" si="9"/>
        <v>2423</v>
      </c>
      <c r="AB12" s="1">
        <f t="shared" si="17"/>
        <v>2423</v>
      </c>
    </row>
    <row r="13" spans="2:28" x14ac:dyDescent="0.6">
      <c r="B13" s="7" t="s">
        <v>23</v>
      </c>
      <c r="C13" s="4">
        <v>25</v>
      </c>
      <c r="D13" s="11">
        <f>C13*B10/1000</f>
        <v>1.875</v>
      </c>
      <c r="E13" s="5">
        <f>C13*B10/C10</f>
        <v>1.0405105438401776</v>
      </c>
      <c r="F13" s="2">
        <f>D13/C10*D10</f>
        <v>2.9096836847946728</v>
      </c>
      <c r="G13" s="8">
        <f>C13/(F13/$E$3*$D$3)*1000</f>
        <v>1.3110750506781801</v>
      </c>
      <c r="I13" s="7">
        <v>9</v>
      </c>
      <c r="J13" s="9">
        <f t="shared" si="10"/>
        <v>1.0986495765621425</v>
      </c>
      <c r="K13" s="17">
        <f t="shared" si="0"/>
        <v>82.398718242160683</v>
      </c>
      <c r="L13" s="14">
        <f t="shared" si="1"/>
        <v>0.12786890992917765</v>
      </c>
      <c r="M13" s="1">
        <f t="shared" si="2"/>
        <v>1</v>
      </c>
      <c r="N13" s="1">
        <f t="shared" si="3"/>
        <v>1</v>
      </c>
      <c r="O13" s="2"/>
      <c r="P13" s="7">
        <v>9</v>
      </c>
      <c r="Q13" s="9">
        <f t="shared" si="19"/>
        <v>1.0986495765621425</v>
      </c>
      <c r="R13" s="17">
        <f t="shared" si="12"/>
        <v>82.398718242160683</v>
      </c>
      <c r="S13" s="14">
        <f t="shared" si="13"/>
        <v>0.31116719069805965</v>
      </c>
      <c r="T13" s="1">
        <f t="shared" si="14"/>
        <v>2</v>
      </c>
      <c r="U13" s="1">
        <f t="shared" si="15"/>
        <v>2</v>
      </c>
      <c r="W13" s="7">
        <v>369</v>
      </c>
      <c r="X13" s="9">
        <f t="shared" si="16"/>
        <v>45.04463263904784</v>
      </c>
      <c r="Y13" s="17">
        <f t="shared" si="7"/>
        <v>3378.3474479285878</v>
      </c>
      <c r="Z13" s="14">
        <f t="shared" si="8"/>
        <v>415.93793828936543</v>
      </c>
      <c r="AA13" s="1">
        <f t="shared" si="9"/>
        <v>2726</v>
      </c>
      <c r="AB13" s="1">
        <f t="shared" si="17"/>
        <v>2726</v>
      </c>
    </row>
    <row r="14" spans="2:28" x14ac:dyDescent="0.6">
      <c r="B14" s="7" t="s">
        <v>24</v>
      </c>
      <c r="C14" s="4">
        <v>10</v>
      </c>
      <c r="D14" s="11">
        <f>C14*B10/1000</f>
        <v>0.75</v>
      </c>
      <c r="E14" s="5">
        <f>C14*B10/C10</f>
        <v>0.41620421753607101</v>
      </c>
      <c r="F14" s="2">
        <f>D14/C10*E10</f>
        <v>2.8322697003329633</v>
      </c>
      <c r="G14" s="8">
        <f>C14/(F14/$E$3*$D$3)*1000</f>
        <v>0.53876418394070003</v>
      </c>
      <c r="I14" s="7">
        <v>10</v>
      </c>
      <c r="J14" s="9">
        <f t="shared" si="10"/>
        <v>1.2207217517357138</v>
      </c>
      <c r="K14" s="17">
        <f t="shared" si="0"/>
        <v>91.554131380178532</v>
      </c>
      <c r="L14" s="14">
        <f t="shared" si="1"/>
        <v>0.14207656658797518</v>
      </c>
      <c r="M14" s="1">
        <f t="shared" si="2"/>
        <v>1</v>
      </c>
      <c r="N14" s="1">
        <f t="shared" si="3"/>
        <v>1</v>
      </c>
      <c r="O14" s="2"/>
      <c r="P14" s="7">
        <v>10</v>
      </c>
      <c r="Q14" s="9">
        <f t="shared" si="19"/>
        <v>1.2207217517357138</v>
      </c>
      <c r="R14" s="17">
        <f t="shared" si="12"/>
        <v>91.554131380178532</v>
      </c>
      <c r="S14" s="14">
        <f t="shared" si="13"/>
        <v>0.34574132299784399</v>
      </c>
      <c r="T14" s="1">
        <f t="shared" si="14"/>
        <v>2</v>
      </c>
      <c r="U14" s="1">
        <f t="shared" si="15"/>
        <v>2</v>
      </c>
      <c r="W14" s="7">
        <v>410</v>
      </c>
      <c r="X14" s="9">
        <f t="shared" si="16"/>
        <v>50.049591821164263</v>
      </c>
      <c r="Y14" s="17">
        <f t="shared" si="7"/>
        <v>3753.7193865873196</v>
      </c>
      <c r="Z14" s="14">
        <f t="shared" si="8"/>
        <v>462.15326476596158</v>
      </c>
      <c r="AA14" s="1">
        <f t="shared" si="9"/>
        <v>3029</v>
      </c>
      <c r="AB14" s="1">
        <f t="shared" si="17"/>
        <v>3029</v>
      </c>
    </row>
    <row r="15" spans="2:28" x14ac:dyDescent="0.6">
      <c r="B15" s="7" t="s">
        <v>25</v>
      </c>
      <c r="C15" s="6">
        <v>0.3</v>
      </c>
      <c r="D15" s="11">
        <f>C15*B10/1000</f>
        <v>2.2499999999999999E-2</v>
      </c>
      <c r="E15" s="5">
        <f>C15*B10/C10</f>
        <v>1.2486126526082131E-2</v>
      </c>
      <c r="F15" s="2">
        <f>D15/C10*F10</f>
        <v>2.7701720310765818</v>
      </c>
      <c r="G15" s="8">
        <f>C15/(F15/$E$3*$D$3)*1000</f>
        <v>1.6525242367783563E-2</v>
      </c>
      <c r="I15" s="7">
        <v>11</v>
      </c>
      <c r="J15" s="9">
        <f t="shared" si="10"/>
        <v>1.342793926909285</v>
      </c>
      <c r="K15" s="17">
        <f t="shared" si="0"/>
        <v>100.70954451819638</v>
      </c>
      <c r="L15" s="14">
        <f t="shared" si="1"/>
        <v>0.15628422324677269</v>
      </c>
      <c r="M15" s="1">
        <f t="shared" si="2"/>
        <v>1</v>
      </c>
      <c r="N15" s="1">
        <f t="shared" si="3"/>
        <v>1</v>
      </c>
      <c r="O15" s="2"/>
      <c r="P15" s="7">
        <v>20</v>
      </c>
      <c r="Q15" s="9">
        <f t="shared" ref="Q15:Q22" si="20">8000*P15/65535</f>
        <v>2.4414435034714277</v>
      </c>
      <c r="R15" s="17">
        <f t="shared" ref="R15:R22" si="21">Q15*$B$10</f>
        <v>183.10826276035706</v>
      </c>
      <c r="S15" s="14">
        <f t="shared" ref="S15:S22" si="22">Q15*$B$10/$C$10*$E$10/1000</f>
        <v>0.69148264599568798</v>
      </c>
      <c r="T15" s="1">
        <f t="shared" ref="T15:T22" si="23">ROUND((S15/1000)/$E$3*$D$3, 0)</f>
        <v>5</v>
      </c>
      <c r="U15" s="1">
        <f t="shared" ref="U15:U22" si="24">T15+$F$23</f>
        <v>5</v>
      </c>
      <c r="W15" s="7">
        <v>451</v>
      </c>
      <c r="X15" s="9">
        <f t="shared" si="16"/>
        <v>55.054551003280693</v>
      </c>
      <c r="Y15" s="17">
        <f t="shared" si="7"/>
        <v>4129.0913252460523</v>
      </c>
      <c r="Z15" s="14">
        <f t="shared" si="8"/>
        <v>508.36859124255784</v>
      </c>
      <c r="AA15" s="1">
        <f t="shared" si="9"/>
        <v>3332</v>
      </c>
      <c r="AB15" s="1">
        <f t="shared" si="17"/>
        <v>3332</v>
      </c>
    </row>
    <row r="16" spans="2:28" x14ac:dyDescent="0.6">
      <c r="I16" s="7">
        <v>12</v>
      </c>
      <c r="J16" s="9">
        <f t="shared" si="10"/>
        <v>1.4648661020828564</v>
      </c>
      <c r="K16" s="17">
        <f t="shared" si="0"/>
        <v>109.86495765621423</v>
      </c>
      <c r="L16" s="14">
        <f t="shared" si="1"/>
        <v>0.17049187990557019</v>
      </c>
      <c r="M16" s="1">
        <f t="shared" si="2"/>
        <v>1</v>
      </c>
      <c r="N16" s="1">
        <f t="shared" si="3"/>
        <v>1</v>
      </c>
      <c r="O16" s="2"/>
      <c r="P16" s="7">
        <v>50</v>
      </c>
      <c r="Q16" s="9">
        <f t="shared" si="20"/>
        <v>6.1036087586785683</v>
      </c>
      <c r="R16" s="17">
        <f t="shared" si="21"/>
        <v>457.77065690089262</v>
      </c>
      <c r="S16" s="14">
        <f t="shared" si="22"/>
        <v>1.7287066149892198</v>
      </c>
      <c r="T16" s="1">
        <f t="shared" si="23"/>
        <v>11</v>
      </c>
      <c r="U16" s="1">
        <f t="shared" si="24"/>
        <v>11</v>
      </c>
      <c r="W16" s="7">
        <v>492</v>
      </c>
      <c r="X16" s="9">
        <f t="shared" si="16"/>
        <v>60.059510185397116</v>
      </c>
      <c r="Y16" s="17">
        <f t="shared" si="7"/>
        <v>4504.4632639047841</v>
      </c>
      <c r="Z16" s="14">
        <f t="shared" si="8"/>
        <v>554.58391771915387</v>
      </c>
      <c r="AA16" s="1">
        <f t="shared" si="9"/>
        <v>3634</v>
      </c>
      <c r="AB16" s="1">
        <f t="shared" si="17"/>
        <v>3634</v>
      </c>
    </row>
    <row r="17" spans="2:28" x14ac:dyDescent="0.6">
      <c r="B17" s="7" t="s">
        <v>19</v>
      </c>
      <c r="C17" s="7" t="s">
        <v>2</v>
      </c>
      <c r="D17" s="7" t="s">
        <v>3</v>
      </c>
      <c r="E17" s="7" t="s">
        <v>5</v>
      </c>
      <c r="F17" s="7" t="s">
        <v>4</v>
      </c>
      <c r="G17" s="7" t="s">
        <v>29</v>
      </c>
      <c r="I17" s="7">
        <v>13</v>
      </c>
      <c r="J17" s="9">
        <f t="shared" si="10"/>
        <v>1.5869382772564278</v>
      </c>
      <c r="K17" s="17">
        <f t="shared" si="0"/>
        <v>119.02037079423208</v>
      </c>
      <c r="L17" s="14">
        <f t="shared" si="1"/>
        <v>0.18469953656436769</v>
      </c>
      <c r="M17" s="1">
        <f t="shared" si="2"/>
        <v>1</v>
      </c>
      <c r="N17" s="1">
        <f t="shared" si="3"/>
        <v>1</v>
      </c>
      <c r="P17" s="7">
        <v>100</v>
      </c>
      <c r="Q17" s="9">
        <f t="shared" si="20"/>
        <v>12.207217517357137</v>
      </c>
      <c r="R17" s="17">
        <f t="shared" si="21"/>
        <v>915.54131380178524</v>
      </c>
      <c r="S17" s="14">
        <f t="shared" si="22"/>
        <v>3.4574132299784397</v>
      </c>
      <c r="T17" s="1">
        <f t="shared" si="23"/>
        <v>23</v>
      </c>
      <c r="U17" s="1">
        <f t="shared" si="24"/>
        <v>23</v>
      </c>
      <c r="W17" s="7">
        <v>533</v>
      </c>
      <c r="X17" s="9">
        <f t="shared" si="16"/>
        <v>65.064469367513539</v>
      </c>
      <c r="Y17" s="17">
        <f t="shared" si="7"/>
        <v>4879.8352025635158</v>
      </c>
      <c r="Z17" s="14">
        <f t="shared" si="8"/>
        <v>600.79924419575013</v>
      </c>
      <c r="AA17" s="1">
        <f t="shared" si="9"/>
        <v>3937</v>
      </c>
      <c r="AB17" s="1">
        <f t="shared" si="17"/>
        <v>3937</v>
      </c>
    </row>
    <row r="18" spans="2:28" x14ac:dyDescent="0.6">
      <c r="B18" s="7" t="s">
        <v>23</v>
      </c>
      <c r="C18" s="4">
        <v>25</v>
      </c>
      <c r="D18" s="11">
        <f>C18*$B$10/1000</f>
        <v>1.875</v>
      </c>
      <c r="E18" s="5">
        <f>C18*$B$10/$C$10</f>
        <v>1.0405105438401776</v>
      </c>
      <c r="F18" s="2">
        <f>D18/$C$10*$D$10</f>
        <v>2.9096836847946728</v>
      </c>
      <c r="G18" s="20">
        <f>F18/$E$3*$D$3</f>
        <v>19068.321059933409</v>
      </c>
      <c r="I18" s="7">
        <v>14</v>
      </c>
      <c r="J18" s="9">
        <f t="shared" si="10"/>
        <v>1.7090104524299992</v>
      </c>
      <c r="K18" s="17">
        <f t="shared" si="0"/>
        <v>128.17578393224994</v>
      </c>
      <c r="L18" s="14">
        <f t="shared" si="1"/>
        <v>0.19890719322316522</v>
      </c>
      <c r="M18" s="1">
        <f t="shared" si="2"/>
        <v>1</v>
      </c>
      <c r="N18" s="1">
        <f t="shared" si="3"/>
        <v>1</v>
      </c>
      <c r="P18" s="7">
        <v>150</v>
      </c>
      <c r="Q18" s="9">
        <f t="shared" si="20"/>
        <v>18.310826276035705</v>
      </c>
      <c r="R18" s="17">
        <f t="shared" si="21"/>
        <v>1373.3119707026779</v>
      </c>
      <c r="S18" s="14">
        <f t="shared" si="22"/>
        <v>5.18611984496766</v>
      </c>
      <c r="T18" s="1">
        <f t="shared" si="23"/>
        <v>34</v>
      </c>
      <c r="U18" s="1">
        <f t="shared" si="24"/>
        <v>34</v>
      </c>
      <c r="W18" s="7">
        <v>150</v>
      </c>
      <c r="X18" s="9">
        <f t="shared" si="16"/>
        <v>18.310826276035705</v>
      </c>
      <c r="Y18" s="17">
        <f t="shared" si="7"/>
        <v>1373.3119707026779</v>
      </c>
      <c r="Z18" s="14">
        <f t="shared" si="8"/>
        <v>169.08046271925423</v>
      </c>
      <c r="AA18" s="1">
        <f t="shared" si="9"/>
        <v>1108</v>
      </c>
      <c r="AB18" s="1">
        <f t="shared" si="17"/>
        <v>1108</v>
      </c>
    </row>
    <row r="19" spans="2:28" x14ac:dyDescent="0.6">
      <c r="B19" s="7" t="s">
        <v>24</v>
      </c>
      <c r="C19" s="4">
        <v>0.30009000000000002</v>
      </c>
      <c r="D19" s="11">
        <f>C19*$B$10/1000</f>
        <v>2.2506749999999999E-2</v>
      </c>
      <c r="E19" s="5">
        <f t="shared" ref="E19:E20" si="25">C19*$B$10/$C$10</f>
        <v>1.2489872364039955E-2</v>
      </c>
      <c r="F19" s="2">
        <f>D19/$C$10*$E$10</f>
        <v>8.4993581437291896E-2</v>
      </c>
      <c r="G19" s="20">
        <f t="shared" ref="G19:G20" si="26">F19/$E$3*$D$3</f>
        <v>556.99693659114871</v>
      </c>
      <c r="I19" s="7">
        <v>15</v>
      </c>
      <c r="J19" s="9">
        <f t="shared" si="10"/>
        <v>1.8310826276035705</v>
      </c>
      <c r="K19" s="17">
        <f t="shared" si="0"/>
        <v>137.33119707026779</v>
      </c>
      <c r="L19" s="14">
        <f t="shared" si="1"/>
        <v>0.21311484988196275</v>
      </c>
      <c r="M19" s="1">
        <f t="shared" si="2"/>
        <v>1</v>
      </c>
      <c r="N19" s="1">
        <f t="shared" si="3"/>
        <v>1</v>
      </c>
      <c r="P19" s="7">
        <v>200</v>
      </c>
      <c r="Q19" s="9">
        <f t="shared" si="20"/>
        <v>24.414435034714273</v>
      </c>
      <c r="R19" s="17">
        <f t="shared" si="21"/>
        <v>1831.0826276035705</v>
      </c>
      <c r="S19" s="14">
        <f t="shared" si="22"/>
        <v>6.9148264599568794</v>
      </c>
      <c r="T19" s="1">
        <f t="shared" si="23"/>
        <v>45</v>
      </c>
      <c r="U19" s="1">
        <f t="shared" si="24"/>
        <v>45</v>
      </c>
      <c r="W19" s="7">
        <v>200</v>
      </c>
      <c r="X19" s="9">
        <f t="shared" si="16"/>
        <v>24.414435034714273</v>
      </c>
      <c r="Y19" s="17">
        <f t="shared" si="7"/>
        <v>1831.0826276035705</v>
      </c>
      <c r="Z19" s="14">
        <f t="shared" si="8"/>
        <v>225.44061695900558</v>
      </c>
      <c r="AA19" s="1">
        <f t="shared" si="9"/>
        <v>1477</v>
      </c>
      <c r="AB19" s="1">
        <f t="shared" si="17"/>
        <v>1477</v>
      </c>
    </row>
    <row r="20" spans="2:28" x14ac:dyDescent="0.6">
      <c r="B20" s="7" t="s">
        <v>25</v>
      </c>
      <c r="C20" s="6">
        <f>X5/1000</f>
        <v>5.0049591821164259E-3</v>
      </c>
      <c r="D20" s="21">
        <f>C20*$B$10/1000</f>
        <v>3.753719386587319E-4</v>
      </c>
      <c r="E20" s="5">
        <f t="shared" si="25"/>
        <v>2.0830851201927411E-4</v>
      </c>
      <c r="F20" s="2">
        <f>D20/$C$10*$F$10</f>
        <v>4.6215326476596152E-2</v>
      </c>
      <c r="G20" s="20">
        <f t="shared" si="26"/>
        <v>302.86752053172523</v>
      </c>
      <c r="I20" s="7">
        <v>300</v>
      </c>
      <c r="J20" s="9">
        <f t="shared" si="10"/>
        <v>36.62165255207141</v>
      </c>
      <c r="K20" s="17">
        <f t="shared" si="0"/>
        <v>2746.6239414053557</v>
      </c>
      <c r="L20" s="14">
        <f t="shared" si="1"/>
        <v>4.2622969976392548</v>
      </c>
      <c r="M20" s="1">
        <f t="shared" si="2"/>
        <v>28</v>
      </c>
      <c r="N20" s="1">
        <f t="shared" si="3"/>
        <v>28</v>
      </c>
      <c r="P20" s="7">
        <v>300</v>
      </c>
      <c r="Q20" s="9">
        <f t="shared" si="20"/>
        <v>36.62165255207141</v>
      </c>
      <c r="R20" s="17">
        <f t="shared" si="21"/>
        <v>2746.6239414053557</v>
      </c>
      <c r="S20" s="14">
        <f t="shared" si="22"/>
        <v>10.37223968993532</v>
      </c>
      <c r="T20" s="1">
        <f t="shared" si="23"/>
        <v>68</v>
      </c>
      <c r="U20" s="1">
        <f t="shared" si="24"/>
        <v>68</v>
      </c>
      <c r="W20" s="7">
        <v>300</v>
      </c>
      <c r="X20" s="9">
        <f t="shared" si="16"/>
        <v>36.62165255207141</v>
      </c>
      <c r="Y20" s="17">
        <f t="shared" si="7"/>
        <v>2746.6239414053557</v>
      </c>
      <c r="Z20" s="14">
        <f t="shared" si="8"/>
        <v>338.16092543850846</v>
      </c>
      <c r="AA20" s="1">
        <f t="shared" si="9"/>
        <v>2216</v>
      </c>
      <c r="AB20" s="1">
        <f t="shared" si="17"/>
        <v>2216</v>
      </c>
    </row>
    <row r="21" spans="2:28" x14ac:dyDescent="0.6">
      <c r="I21" s="7">
        <v>2419</v>
      </c>
      <c r="J21" s="9">
        <f t="shared" si="10"/>
        <v>295.29259174486913</v>
      </c>
      <c r="K21" s="17">
        <f t="shared" si="0"/>
        <v>22146.944380865185</v>
      </c>
      <c r="L21" s="14">
        <f t="shared" si="1"/>
        <v>34.36832145763119</v>
      </c>
      <c r="M21" s="1">
        <f t="shared" si="2"/>
        <v>225</v>
      </c>
      <c r="N21" s="1">
        <f t="shared" si="3"/>
        <v>225</v>
      </c>
      <c r="P21" s="7">
        <v>2419</v>
      </c>
      <c r="Q21" s="9">
        <f t="shared" si="20"/>
        <v>295.29259174486913</v>
      </c>
      <c r="R21" s="17">
        <f t="shared" si="21"/>
        <v>22146.944380865185</v>
      </c>
      <c r="S21" s="14">
        <f t="shared" si="22"/>
        <v>83.634826033178456</v>
      </c>
      <c r="T21" s="1">
        <f t="shared" si="23"/>
        <v>548</v>
      </c>
      <c r="U21" s="1">
        <f t="shared" si="24"/>
        <v>548</v>
      </c>
      <c r="W21" s="7">
        <v>2419</v>
      </c>
      <c r="X21" s="9">
        <f t="shared" si="16"/>
        <v>295.29259174486913</v>
      </c>
      <c r="Y21" s="17">
        <f t="shared" si="7"/>
        <v>22146.944380865185</v>
      </c>
      <c r="Z21" s="14">
        <f t="shared" si="8"/>
        <v>2726.7042621191731</v>
      </c>
      <c r="AA21" s="1">
        <f t="shared" si="9"/>
        <v>17869</v>
      </c>
      <c r="AB21" s="1">
        <f t="shared" si="17"/>
        <v>17869</v>
      </c>
    </row>
    <row r="22" spans="2:28" x14ac:dyDescent="0.6">
      <c r="B22" s="7" t="s">
        <v>19</v>
      </c>
      <c r="C22" s="7" t="s">
        <v>7</v>
      </c>
      <c r="D22" s="7" t="s">
        <v>8</v>
      </c>
      <c r="E22" s="7" t="s">
        <v>2</v>
      </c>
      <c r="F22" s="7" t="s">
        <v>29</v>
      </c>
      <c r="I22" s="7">
        <v>65535</v>
      </c>
      <c r="J22" s="9">
        <f t="shared" si="10"/>
        <v>8000</v>
      </c>
      <c r="K22" s="17">
        <f t="shared" si="0"/>
        <v>600000</v>
      </c>
      <c r="L22" s="14">
        <f t="shared" si="1"/>
        <v>931.09877913429534</v>
      </c>
      <c r="M22" s="1">
        <f t="shared" si="2"/>
        <v>6102</v>
      </c>
      <c r="N22" s="1">
        <f t="shared" si="3"/>
        <v>6102</v>
      </c>
      <c r="P22" s="7">
        <v>1156</v>
      </c>
      <c r="Q22" s="9">
        <f t="shared" si="20"/>
        <v>141.11543450064852</v>
      </c>
      <c r="R22" s="17">
        <f t="shared" si="21"/>
        <v>10583.65758754864</v>
      </c>
      <c r="S22" s="14">
        <f t="shared" si="22"/>
        <v>39.967696938550773</v>
      </c>
      <c r="T22" s="1">
        <f t="shared" si="23"/>
        <v>262</v>
      </c>
      <c r="U22" s="1">
        <f t="shared" si="24"/>
        <v>262</v>
      </c>
      <c r="W22" s="7">
        <v>1156</v>
      </c>
      <c r="X22" s="9">
        <f t="shared" si="16"/>
        <v>141.11543450064852</v>
      </c>
      <c r="Y22" s="17">
        <f t="shared" si="7"/>
        <v>10583.65758754864</v>
      </c>
      <c r="Z22" s="14">
        <f t="shared" si="8"/>
        <v>1303.0467660230529</v>
      </c>
      <c r="AA22" s="1">
        <f t="shared" si="9"/>
        <v>8539</v>
      </c>
      <c r="AB22" s="1">
        <f t="shared" si="17"/>
        <v>8539</v>
      </c>
    </row>
    <row r="23" spans="2:28" x14ac:dyDescent="0.6">
      <c r="B23" s="7" t="s">
        <v>23</v>
      </c>
      <c r="C23" s="10">
        <v>12</v>
      </c>
      <c r="D23" s="18">
        <f>C23/$C$10*D10/1000</f>
        <v>1.8621975582685905E-2</v>
      </c>
      <c r="E23" s="9">
        <f>C23/$B$10</f>
        <v>0.16</v>
      </c>
      <c r="F23" s="1">
        <f>ROUND(E23/$G$13, 0)</f>
        <v>0</v>
      </c>
      <c r="Q23" s="9"/>
      <c r="R23" s="17"/>
      <c r="S23" s="14"/>
    </row>
    <row r="24" spans="2:28" x14ac:dyDescent="0.6">
      <c r="B24" s="7" t="s">
        <v>24</v>
      </c>
      <c r="C24" s="10">
        <v>12</v>
      </c>
      <c r="D24" s="18">
        <f>C24/$C$10*E10/1000</f>
        <v>4.5316315205327411E-2</v>
      </c>
      <c r="E24" s="9">
        <f>C24/$B$10</f>
        <v>0.16</v>
      </c>
      <c r="F24" s="1">
        <f>ROUND(E24/$G$14, 0)</f>
        <v>0</v>
      </c>
      <c r="O24" s="17"/>
      <c r="P24" s="17"/>
      <c r="Q24" s="17"/>
      <c r="R24" s="17"/>
      <c r="S24" s="14"/>
    </row>
    <row r="25" spans="2:28" x14ac:dyDescent="0.6">
      <c r="B25" s="7" t="s">
        <v>25</v>
      </c>
      <c r="C25" s="10">
        <v>12</v>
      </c>
      <c r="D25" s="18">
        <f>C25/$C$10*F10/1000</f>
        <v>1.4774250832408433</v>
      </c>
      <c r="E25" s="9">
        <f>C25/$B$10</f>
        <v>0.16</v>
      </c>
      <c r="F25" s="1">
        <f>ROUND(E25/$G$15, 0)</f>
        <v>10</v>
      </c>
      <c r="O25" s="17"/>
      <c r="P25" s="17"/>
      <c r="Q25" s="17"/>
      <c r="R25" s="17"/>
      <c r="S25" s="14"/>
    </row>
    <row r="26" spans="2:28" x14ac:dyDescent="0.6">
      <c r="O26" s="17"/>
      <c r="P26" s="17"/>
      <c r="R26" s="22"/>
      <c r="S26" s="14"/>
    </row>
    <row r="27" spans="2:28" x14ac:dyDescent="0.6">
      <c r="O27" s="17"/>
      <c r="P27" s="17"/>
      <c r="Q27" s="17"/>
      <c r="R27" s="17"/>
      <c r="S27" s="14"/>
    </row>
    <row r="28" spans="2:28" x14ac:dyDescent="0.6">
      <c r="B28" s="19" t="s">
        <v>27</v>
      </c>
      <c r="C28" s="7">
        <v>8000</v>
      </c>
      <c r="D28" s="7">
        <v>255</v>
      </c>
      <c r="E28" s="7"/>
      <c r="F28" s="7"/>
      <c r="G28" s="7"/>
      <c r="O28" s="17"/>
      <c r="P28" s="17"/>
      <c r="Q28" s="17"/>
      <c r="R28" s="17"/>
      <c r="S28" s="14"/>
    </row>
    <row r="29" spans="2:28" x14ac:dyDescent="0.6">
      <c r="B29" s="7" t="s">
        <v>19</v>
      </c>
      <c r="C29" s="7" t="s">
        <v>26</v>
      </c>
      <c r="D29" s="7" t="s">
        <v>2</v>
      </c>
      <c r="E29" s="7" t="s">
        <v>3</v>
      </c>
      <c r="F29" s="7" t="s">
        <v>8</v>
      </c>
      <c r="G29" s="7" t="s">
        <v>29</v>
      </c>
      <c r="Q29" s="9"/>
      <c r="R29" s="17"/>
      <c r="S29" s="14"/>
    </row>
    <row r="30" spans="2:28" x14ac:dyDescent="0.6">
      <c r="B30" s="7" t="s">
        <v>25</v>
      </c>
      <c r="C30" s="1">
        <v>3</v>
      </c>
      <c r="D30" s="9">
        <f>$C$28/$D$28*C30</f>
        <v>94.117647058823522</v>
      </c>
      <c r="E30" s="18">
        <f>D30*$B$10/1000+C23/1000</f>
        <v>7.0708235294117632</v>
      </c>
      <c r="F30" s="18">
        <f>E30/$C$10*$F$10</f>
        <v>870.55100346020754</v>
      </c>
      <c r="G30" s="1">
        <f>ROUND(F30/1000/$E$3*$D$3, 0)</f>
        <v>5705</v>
      </c>
      <c r="Q30" s="9"/>
      <c r="R30" s="23"/>
      <c r="S30" s="14"/>
    </row>
    <row r="31" spans="2:28" x14ac:dyDescent="0.6">
      <c r="B31" s="7" t="s">
        <v>25</v>
      </c>
      <c r="C31" s="1">
        <v>7</v>
      </c>
      <c r="D31" s="9">
        <f>$C$28/$D$28*C31</f>
        <v>219.60784313725489</v>
      </c>
      <c r="E31" s="18">
        <f>D31*$B$10/1000+C24/1000</f>
        <v>16.482588235294116</v>
      </c>
      <c r="F31" s="18">
        <f>E31/$C$10*$F$10</f>
        <v>2029.3157746294964</v>
      </c>
      <c r="G31" s="1">
        <f t="shared" ref="G31:G32" si="27">ROUND(F31/1000/$E$3*$D$3, 0)</f>
        <v>13299</v>
      </c>
      <c r="Q31" s="9"/>
      <c r="R31" s="17"/>
      <c r="S31" s="14"/>
    </row>
    <row r="32" spans="2:28" x14ac:dyDescent="0.6">
      <c r="B32" s="7" t="s">
        <v>24</v>
      </c>
      <c r="C32" s="1">
        <v>56</v>
      </c>
      <c r="D32" s="9">
        <f>$C$28/$D$28*C32</f>
        <v>1756.8627450980391</v>
      </c>
      <c r="E32" s="18">
        <f>D32*$B$10/1000+C25/1000</f>
        <v>131.77670588235293</v>
      </c>
      <c r="F32" s="18">
        <f>E32/$C$10*$E$10</f>
        <v>497.63622837370235</v>
      </c>
      <c r="G32" s="1">
        <f t="shared" si="27"/>
        <v>3261</v>
      </c>
      <c r="Q32" s="9"/>
      <c r="R32" s="17"/>
      <c r="S32" s="14"/>
    </row>
    <row r="33" spans="13:19" x14ac:dyDescent="0.6">
      <c r="Q33" s="9"/>
      <c r="R33" s="17"/>
      <c r="S33" s="14"/>
    </row>
    <row r="34" spans="13:19" x14ac:dyDescent="0.6">
      <c r="Q34" s="9"/>
      <c r="R34" s="17"/>
      <c r="S34" s="14"/>
    </row>
    <row r="35" spans="13:19" x14ac:dyDescent="0.6">
      <c r="M35" s="17"/>
      <c r="N35" s="17"/>
      <c r="O35" s="17"/>
      <c r="P35" s="17"/>
      <c r="Q35" s="17"/>
    </row>
    <row r="36" spans="13:19" x14ac:dyDescent="0.6">
      <c r="M36" s="17"/>
      <c r="N36" s="17"/>
      <c r="O36" s="17"/>
      <c r="P36" s="17"/>
      <c r="Q36" s="17"/>
    </row>
    <row r="37" spans="13:19" x14ac:dyDescent="0.6">
      <c r="M37" s="17"/>
      <c r="N37" s="17"/>
      <c r="O37" s="17"/>
      <c r="P37" s="17"/>
      <c r="Q37" s="17"/>
    </row>
    <row r="38" spans="13:19" x14ac:dyDescent="0.6">
      <c r="M38" s="17"/>
      <c r="N38" s="17"/>
      <c r="O38" s="17"/>
      <c r="P38" s="17"/>
      <c r="Q38" s="17"/>
      <c r="R38" s="17"/>
      <c r="S38" s="14"/>
    </row>
    <row r="39" spans="13:19" x14ac:dyDescent="0.6">
      <c r="M39" s="17"/>
      <c r="N39" s="17"/>
      <c r="O39" s="17"/>
      <c r="P39" s="17"/>
      <c r="Q39" s="17"/>
    </row>
    <row r="40" spans="13:19" x14ac:dyDescent="0.6">
      <c r="M40" s="17"/>
      <c r="N40" s="17"/>
      <c r="O40" s="17"/>
      <c r="P40" s="17"/>
      <c r="Q40" s="17"/>
    </row>
    <row r="41" spans="13:19" x14ac:dyDescent="0.6">
      <c r="M41" s="17"/>
      <c r="N41" s="17"/>
      <c r="O41" s="17"/>
      <c r="P41" s="17"/>
      <c r="Q41" s="17"/>
    </row>
    <row r="42" spans="13:19" x14ac:dyDescent="0.6">
      <c r="M42" s="17"/>
      <c r="N42" s="17"/>
      <c r="O42" s="17"/>
      <c r="P42" s="17"/>
      <c r="Q42" s="17"/>
    </row>
    <row r="43" spans="13:19" x14ac:dyDescent="0.6">
      <c r="M43" s="17"/>
      <c r="N43" s="17"/>
      <c r="O43" s="17"/>
      <c r="P43" s="17"/>
      <c r="Q43" s="17"/>
    </row>
    <row r="44" spans="13:19" x14ac:dyDescent="0.6">
      <c r="M44" s="17"/>
      <c r="N44" s="17"/>
      <c r="O44" s="17"/>
      <c r="P44" s="17"/>
      <c r="Q44" s="17"/>
    </row>
    <row r="45" spans="13:19" x14ac:dyDescent="0.6">
      <c r="M45" s="17"/>
      <c r="N45" s="17"/>
      <c r="O45" s="17"/>
      <c r="P45" s="17"/>
      <c r="Q45" s="17"/>
    </row>
    <row r="46" spans="13:19" x14ac:dyDescent="0.6">
      <c r="M46" s="17"/>
      <c r="N46" s="17"/>
      <c r="O46" s="17"/>
      <c r="P46" s="17"/>
      <c r="Q46" s="17"/>
    </row>
    <row r="47" spans="13:19" x14ac:dyDescent="0.6">
      <c r="M47" s="17"/>
      <c r="N47" s="17"/>
      <c r="O47" s="17"/>
      <c r="P47" s="17"/>
      <c r="Q47" s="17"/>
    </row>
    <row r="48" spans="13:19" x14ac:dyDescent="0.6">
      <c r="M48" s="17"/>
      <c r="N48" s="17"/>
      <c r="O48" s="17"/>
      <c r="P48" s="17"/>
      <c r="Q48" s="17"/>
    </row>
    <row r="49" spans="13:19" x14ac:dyDescent="0.6">
      <c r="M49" s="17"/>
      <c r="N49" s="17"/>
      <c r="O49" s="17"/>
      <c r="P49" s="17"/>
      <c r="Q49" s="17"/>
    </row>
    <row r="50" spans="13:19" x14ac:dyDescent="0.6">
      <c r="M50" s="17"/>
      <c r="N50" s="17"/>
      <c r="O50" s="17"/>
      <c r="P50" s="17"/>
      <c r="Q50" s="17"/>
    </row>
    <row r="51" spans="13:19" x14ac:dyDescent="0.6">
      <c r="M51" s="17"/>
      <c r="N51" s="17"/>
      <c r="O51" s="17"/>
      <c r="P51" s="17"/>
      <c r="Q51" s="17"/>
      <c r="R51" s="17"/>
      <c r="S51" s="14"/>
    </row>
    <row r="52" spans="13:19" x14ac:dyDescent="0.6">
      <c r="M52" s="17"/>
      <c r="N52" s="17"/>
      <c r="O52" s="17"/>
      <c r="P52" s="17"/>
      <c r="Q52" s="17"/>
      <c r="R52" s="17"/>
      <c r="S52" s="14"/>
    </row>
    <row r="53" spans="13:19" x14ac:dyDescent="0.6">
      <c r="M53" s="17"/>
      <c r="N53" s="17"/>
      <c r="O53" s="17"/>
      <c r="P53" s="17"/>
      <c r="Q53" s="17"/>
      <c r="R53" s="17"/>
      <c r="S53" s="14"/>
    </row>
    <row r="54" spans="13:19" x14ac:dyDescent="0.6">
      <c r="M54" s="17"/>
      <c r="N54" s="17"/>
      <c r="O54" s="17"/>
      <c r="P54" s="17"/>
      <c r="Q54" s="17"/>
      <c r="R54" s="17"/>
      <c r="S54" s="14"/>
    </row>
    <row r="55" spans="13:19" x14ac:dyDescent="0.6">
      <c r="M55" s="17"/>
      <c r="N55" s="17"/>
      <c r="O55" s="17"/>
      <c r="P55" s="17"/>
      <c r="Q55" s="17"/>
      <c r="R55" s="17"/>
      <c r="S55" s="14"/>
    </row>
    <row r="56" spans="13:19" x14ac:dyDescent="0.6">
      <c r="M56" s="17"/>
      <c r="N56" s="17"/>
      <c r="O56" s="17"/>
      <c r="P56" s="17"/>
      <c r="Q56" s="17"/>
      <c r="R56" s="17"/>
      <c r="S56" s="14"/>
    </row>
    <row r="57" spans="13:19" x14ac:dyDescent="0.6">
      <c r="M57" s="17"/>
      <c r="N57" s="17"/>
      <c r="O57" s="17"/>
      <c r="P57" s="17"/>
      <c r="Q57" s="17"/>
      <c r="R57" s="17"/>
      <c r="S57" s="14"/>
    </row>
    <row r="58" spans="13:19" x14ac:dyDescent="0.6">
      <c r="M58" s="17"/>
      <c r="N58" s="17"/>
      <c r="O58" s="17"/>
      <c r="P58" s="17"/>
      <c r="Q58" s="17"/>
      <c r="R58" s="17"/>
      <c r="S58" s="14"/>
    </row>
    <row r="59" spans="13:19" x14ac:dyDescent="0.6">
      <c r="M59" s="17"/>
      <c r="N59" s="17"/>
      <c r="O59" s="17"/>
      <c r="P59" s="17"/>
      <c r="Q59" s="17"/>
      <c r="R59" s="17"/>
      <c r="S59" s="14"/>
    </row>
    <row r="60" spans="13:19" x14ac:dyDescent="0.6">
      <c r="M60" s="17"/>
      <c r="N60" s="17"/>
      <c r="O60" s="17"/>
      <c r="P60" s="17"/>
      <c r="Q60" s="17"/>
      <c r="R60" s="17"/>
      <c r="S60" s="14"/>
    </row>
    <row r="61" spans="13:19" x14ac:dyDescent="0.6">
      <c r="M61" s="17"/>
      <c r="N61" s="17"/>
      <c r="O61" s="17"/>
      <c r="P61" s="17"/>
      <c r="Q61" s="17"/>
      <c r="R61" s="17"/>
      <c r="S61" s="14"/>
    </row>
    <row r="62" spans="13:19" x14ac:dyDescent="0.6">
      <c r="M62" s="17"/>
      <c r="N62" s="17"/>
      <c r="O62" s="17"/>
      <c r="P62" s="17"/>
      <c r="Q62" s="17"/>
      <c r="R62" s="17"/>
      <c r="S62" s="14"/>
    </row>
    <row r="63" spans="13:19" x14ac:dyDescent="0.6">
      <c r="M63" s="17"/>
      <c r="N63" s="17"/>
      <c r="O63" s="17"/>
      <c r="P63" s="17"/>
      <c r="Q63" s="17"/>
      <c r="R63" s="17"/>
      <c r="S63" s="14"/>
    </row>
    <row r="64" spans="13:19" x14ac:dyDescent="0.6">
      <c r="M64" s="17"/>
      <c r="N64" s="17"/>
      <c r="O64" s="17"/>
      <c r="P64" s="17"/>
      <c r="Q64" s="17"/>
      <c r="R64" s="17"/>
      <c r="S64" s="14"/>
    </row>
    <row r="65" spans="13:19" x14ac:dyDescent="0.6">
      <c r="M65" s="17"/>
      <c r="N65" s="17"/>
      <c r="O65" s="17"/>
      <c r="P65" s="17"/>
      <c r="Q65" s="17"/>
      <c r="R65" s="17"/>
      <c r="S65" s="14"/>
    </row>
    <row r="66" spans="13:19" x14ac:dyDescent="0.6">
      <c r="M66" s="17"/>
      <c r="N66" s="17"/>
      <c r="O66" s="17"/>
      <c r="P66" s="17"/>
      <c r="Q66" s="17"/>
      <c r="R66" s="17"/>
      <c r="S66" s="14"/>
    </row>
    <row r="67" spans="13:19" x14ac:dyDescent="0.6">
      <c r="M67" s="17"/>
      <c r="N67" s="17"/>
      <c r="O67" s="17"/>
      <c r="P67" s="17"/>
      <c r="Q67" s="17"/>
      <c r="R67" s="17"/>
      <c r="S67" s="14"/>
    </row>
    <row r="68" spans="13:19" x14ac:dyDescent="0.6">
      <c r="M68" s="17"/>
      <c r="N68" s="17"/>
      <c r="O68" s="17"/>
      <c r="P68" s="17"/>
      <c r="Q68" s="17"/>
      <c r="R68" s="17"/>
      <c r="S68" s="14"/>
    </row>
    <row r="69" spans="13:19" x14ac:dyDescent="0.6">
      <c r="M69" s="17"/>
      <c r="N69" s="17"/>
      <c r="O69" s="17"/>
      <c r="P69" s="17"/>
      <c r="Q69" s="17"/>
    </row>
    <row r="70" spans="13:19" x14ac:dyDescent="0.6">
      <c r="M70" s="17"/>
      <c r="N70" s="17"/>
      <c r="O70" s="17"/>
      <c r="P70" s="17"/>
      <c r="Q70" s="17"/>
    </row>
    <row r="71" spans="13:19" x14ac:dyDescent="0.6">
      <c r="M71" s="17"/>
      <c r="N71" s="17"/>
      <c r="O71" s="17"/>
      <c r="P71" s="17"/>
      <c r="Q71" s="17"/>
    </row>
    <row r="72" spans="13:19" x14ac:dyDescent="0.6">
      <c r="M72" s="17"/>
      <c r="N72" s="17"/>
      <c r="O72" s="17"/>
      <c r="P72" s="17"/>
      <c r="Q72" s="17"/>
    </row>
    <row r="73" spans="13:19" x14ac:dyDescent="0.6">
      <c r="M73" s="17"/>
      <c r="N73" s="17"/>
      <c r="O73" s="17"/>
      <c r="P73" s="17"/>
      <c r="Q73" s="17"/>
    </row>
  </sheetData>
  <mergeCells count="3">
    <mergeCell ref="I2:N2"/>
    <mergeCell ref="P2:U2"/>
    <mergeCell ref="W2:AB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8D16-4342-49FF-83F1-3C8221F853B6}">
  <dimension ref="A1:AA73"/>
  <sheetViews>
    <sheetView tabSelected="1" zoomScale="85" zoomScaleNormal="85" workbookViewId="0"/>
  </sheetViews>
  <sheetFormatPr defaultRowHeight="16.899999999999999" x14ac:dyDescent="0.6"/>
  <cols>
    <col min="1" max="1" width="2.625" style="1" customWidth="1"/>
    <col min="2" max="2" width="9.625" style="1" bestFit="1" customWidth="1"/>
    <col min="3" max="3" width="11.875" style="1" bestFit="1" customWidth="1"/>
    <col min="4" max="4" width="11.75" style="1" bestFit="1" customWidth="1"/>
    <col min="5" max="5" width="11.25" style="1" bestFit="1" customWidth="1"/>
    <col min="6" max="6" width="15.125" style="1" bestFit="1" customWidth="1"/>
    <col min="7" max="7" width="14.125" style="1" bestFit="1" customWidth="1"/>
    <col min="8" max="9" width="14.125" style="1" customWidth="1"/>
    <col min="10" max="10" width="2.625" style="1" customWidth="1"/>
    <col min="11" max="11" width="6.875" style="1" bestFit="1" customWidth="1"/>
    <col min="12" max="12" width="11.75" style="1" bestFit="1" customWidth="1"/>
    <col min="13" max="13" width="14.125" style="1" bestFit="1" customWidth="1"/>
    <col min="14" max="14" width="10.125" style="1" bestFit="1" customWidth="1"/>
    <col min="15" max="15" width="6.875" style="1" customWidth="1"/>
    <col min="16" max="16" width="2.625" style="1" customWidth="1"/>
    <col min="17" max="17" width="6.875" style="1" bestFit="1" customWidth="1"/>
    <col min="18" max="18" width="11.75" style="1" bestFit="1" customWidth="1"/>
    <col min="19" max="19" width="14.125" style="1" bestFit="1" customWidth="1"/>
    <col min="20" max="20" width="11.25" style="1" bestFit="1" customWidth="1"/>
    <col min="21" max="21" width="6.875" style="1" customWidth="1"/>
    <col min="22" max="22" width="2.625" style="1" customWidth="1"/>
    <col min="23" max="23" width="6.125" style="1" bestFit="1" customWidth="1"/>
    <col min="24" max="24" width="10.625" style="1" bestFit="1" customWidth="1"/>
    <col min="25" max="25" width="12.875" style="1" bestFit="1" customWidth="1"/>
    <col min="26" max="26" width="11.25" style="1" bestFit="1" customWidth="1"/>
    <col min="27" max="27" width="6.875" style="1" bestFit="1" customWidth="1"/>
    <col min="28" max="16384" width="9" style="1"/>
  </cols>
  <sheetData>
    <row r="1" spans="1:27" x14ac:dyDescent="0.6">
      <c r="A1"/>
    </row>
    <row r="2" spans="1:27" x14ac:dyDescent="0.6">
      <c r="B2" s="7" t="s">
        <v>6</v>
      </c>
      <c r="C2" s="7" t="s">
        <v>18</v>
      </c>
      <c r="D2" s="7" t="s">
        <v>29</v>
      </c>
      <c r="E2" s="7" t="s">
        <v>30</v>
      </c>
      <c r="F2" s="7" t="s">
        <v>31</v>
      </c>
      <c r="G2" s="7" t="s">
        <v>10</v>
      </c>
      <c r="K2" s="26">
        <v>8</v>
      </c>
      <c r="L2" s="25" t="s">
        <v>20</v>
      </c>
      <c r="M2" s="25"/>
      <c r="N2" s="25"/>
      <c r="O2" s="25"/>
      <c r="Q2" s="26">
        <v>8</v>
      </c>
      <c r="R2" s="25" t="s">
        <v>21</v>
      </c>
      <c r="S2" s="25"/>
      <c r="T2" s="25"/>
      <c r="U2" s="25"/>
      <c r="W2" s="26">
        <v>8</v>
      </c>
      <c r="X2" s="25" t="s">
        <v>22</v>
      </c>
      <c r="Y2" s="25"/>
      <c r="Z2" s="25"/>
      <c r="AA2" s="25"/>
    </row>
    <row r="3" spans="1:27" x14ac:dyDescent="0.6">
      <c r="B3" s="1">
        <v>65535</v>
      </c>
      <c r="C3" s="16">
        <v>8000</v>
      </c>
      <c r="D3" s="1">
        <f>2^15-1</f>
        <v>32767</v>
      </c>
      <c r="E3" s="15">
        <v>5</v>
      </c>
      <c r="F3" s="3">
        <f>E3/D3*1000</f>
        <v>0.15259254737998595</v>
      </c>
      <c r="G3" s="2">
        <v>9.1739999999999995</v>
      </c>
      <c r="K3" s="7" t="s">
        <v>11</v>
      </c>
      <c r="L3" s="7" t="s">
        <v>2</v>
      </c>
      <c r="M3" s="7" t="s">
        <v>3</v>
      </c>
      <c r="N3" s="7" t="s">
        <v>4</v>
      </c>
      <c r="O3" s="7" t="s">
        <v>29</v>
      </c>
      <c r="Q3" s="7" t="s">
        <v>11</v>
      </c>
      <c r="R3" s="7" t="s">
        <v>2</v>
      </c>
      <c r="S3" s="7" t="s">
        <v>3</v>
      </c>
      <c r="T3" s="7" t="s">
        <v>4</v>
      </c>
      <c r="U3" s="7" t="s">
        <v>29</v>
      </c>
      <c r="W3" s="7" t="s">
        <v>11</v>
      </c>
      <c r="X3" s="7" t="s">
        <v>2</v>
      </c>
      <c r="Y3" s="7" t="s">
        <v>3</v>
      </c>
      <c r="Z3" s="7" t="s">
        <v>4</v>
      </c>
      <c r="AA3" s="7" t="s">
        <v>29</v>
      </c>
    </row>
    <row r="4" spans="1:27" x14ac:dyDescent="0.6">
      <c r="K4" s="7">
        <v>0</v>
      </c>
      <c r="L4" s="9">
        <f>$K$2*1000*K4/65535</f>
        <v>0</v>
      </c>
      <c r="M4" s="18">
        <f t="shared" ref="M4:M27" si="0">L4*$D$6/1000</f>
        <v>0</v>
      </c>
      <c r="N4" s="14">
        <f t="shared" ref="N4:N27" si="1">M4/$E$6*$F$6</f>
        <v>0</v>
      </c>
      <c r="O4" s="1">
        <f>ROUND((N4/1000)/$E$3*$D$3, 0)</f>
        <v>0</v>
      </c>
      <c r="Q4" s="7">
        <v>0</v>
      </c>
      <c r="R4" s="9">
        <f>$Q$2*1000*Q4/65535</f>
        <v>0</v>
      </c>
      <c r="S4" s="18">
        <f t="shared" ref="S4:S27" si="2">R4*$C$6/1000</f>
        <v>0</v>
      </c>
      <c r="T4" s="14">
        <f t="shared" ref="T4:T27" si="3">S4/$E$6*$F$6</f>
        <v>0</v>
      </c>
      <c r="U4" s="1">
        <f>ROUND((T4/1000)/$E$3*$D$3, 0)</f>
        <v>0</v>
      </c>
      <c r="W4" s="7">
        <v>0</v>
      </c>
      <c r="X4" s="9">
        <f>$W$2*1000*W4/65535</f>
        <v>0</v>
      </c>
      <c r="Y4" s="18">
        <f t="shared" ref="Y4:Y27" si="4">X4*$B$6/1000</f>
        <v>0</v>
      </c>
      <c r="Z4" s="14">
        <f t="shared" ref="Z4:Z27" si="5">Y4/$E$6*$F$6</f>
        <v>0</v>
      </c>
      <c r="AA4" s="1">
        <f>ROUND((Z4/1000)/$E$3*$D$3, 0)</f>
        <v>0</v>
      </c>
    </row>
    <row r="5" spans="1:27" x14ac:dyDescent="0.6">
      <c r="B5" s="7" t="s">
        <v>32</v>
      </c>
      <c r="C5" s="7" t="s">
        <v>33</v>
      </c>
      <c r="D5" s="7" t="s">
        <v>34</v>
      </c>
      <c r="E5" s="7" t="s">
        <v>1</v>
      </c>
      <c r="F5" s="7" t="s">
        <v>35</v>
      </c>
      <c r="K5" s="7">
        <v>1</v>
      </c>
      <c r="L5" s="9">
        <f t="shared" ref="L5:L27" si="6">$K$2*1000*K5/65535</f>
        <v>0.12207217517357137</v>
      </c>
      <c r="M5" s="18">
        <f t="shared" si="0"/>
        <v>3.4180209048599985E-3</v>
      </c>
      <c r="N5" s="14">
        <f t="shared" si="1"/>
        <v>5.1270313572899977E-3</v>
      </c>
      <c r="O5" s="1">
        <f t="shared" ref="O5:O27" si="7">ROUND((N5/1000)/$E$3*$D$3, 0)</f>
        <v>0</v>
      </c>
      <c r="Q5" s="7">
        <v>1</v>
      </c>
      <c r="R5" s="9">
        <f t="shared" ref="R5:R27" si="8">$Q$2*1000*Q5/65535</f>
        <v>0.12207217517357137</v>
      </c>
      <c r="S5" s="18">
        <f t="shared" si="2"/>
        <v>2.4414435034714275E-2</v>
      </c>
      <c r="T5" s="14">
        <f t="shared" si="3"/>
        <v>3.6621652552071414E-2</v>
      </c>
      <c r="U5" s="1">
        <f t="shared" ref="U5:U27" si="9">ROUND((T5/1000)/$E$3*$D$3, 0)</f>
        <v>0</v>
      </c>
      <c r="W5" s="7">
        <v>1</v>
      </c>
      <c r="X5" s="9">
        <f t="shared" ref="X5:X27" si="10">$W$2*1000*W5/65535</f>
        <v>0.12207217517357137</v>
      </c>
      <c r="Y5" s="18">
        <f t="shared" si="4"/>
        <v>0.47608148317692839</v>
      </c>
      <c r="Z5" s="14">
        <f t="shared" si="5"/>
        <v>0.71412222476539267</v>
      </c>
      <c r="AA5" s="1">
        <f t="shared" ref="AA5:AA27" si="11">ROUND((Z5/1000)/$E$3*$D$3, 0)</f>
        <v>5</v>
      </c>
    </row>
    <row r="6" spans="1:27" x14ac:dyDescent="0.6">
      <c r="B6" s="12">
        <v>3900</v>
      </c>
      <c r="C6" s="12">
        <v>200</v>
      </c>
      <c r="D6" s="12">
        <v>28</v>
      </c>
      <c r="E6" s="24">
        <v>2200</v>
      </c>
      <c r="F6" s="24">
        <v>3300</v>
      </c>
      <c r="K6" s="7">
        <v>2</v>
      </c>
      <c r="L6" s="9">
        <f t="shared" si="6"/>
        <v>0.24414435034714274</v>
      </c>
      <c r="M6" s="18">
        <f t="shared" si="0"/>
        <v>6.8360418097199969E-3</v>
      </c>
      <c r="N6" s="14">
        <f t="shared" si="1"/>
        <v>1.0254062714579995E-2</v>
      </c>
      <c r="O6" s="1">
        <f t="shared" si="7"/>
        <v>0</v>
      </c>
      <c r="Q6" s="7">
        <v>2</v>
      </c>
      <c r="R6" s="9">
        <f t="shared" si="8"/>
        <v>0.24414435034714274</v>
      </c>
      <c r="S6" s="18">
        <f t="shared" si="2"/>
        <v>4.882887006942855E-2</v>
      </c>
      <c r="T6" s="14">
        <f t="shared" si="3"/>
        <v>7.3243305104142828E-2</v>
      </c>
      <c r="U6" s="1">
        <f t="shared" si="9"/>
        <v>0</v>
      </c>
      <c r="W6" s="7">
        <v>2</v>
      </c>
      <c r="X6" s="9">
        <f t="shared" si="10"/>
        <v>0.24414435034714274</v>
      </c>
      <c r="Y6" s="18">
        <f t="shared" si="4"/>
        <v>0.95216296635385678</v>
      </c>
      <c r="Z6" s="14">
        <f t="shared" si="5"/>
        <v>1.4282444495307853</v>
      </c>
      <c r="AA6" s="1">
        <f t="shared" si="11"/>
        <v>9</v>
      </c>
    </row>
    <row r="7" spans="1:27" x14ac:dyDescent="0.6">
      <c r="K7" s="7">
        <v>3</v>
      </c>
      <c r="L7" s="9">
        <f t="shared" si="6"/>
        <v>0.3662165255207141</v>
      </c>
      <c r="M7" s="18">
        <f t="shared" si="0"/>
        <v>1.0254062714579994E-2</v>
      </c>
      <c r="N7" s="14">
        <f t="shared" si="1"/>
        <v>1.5381094071869989E-2</v>
      </c>
      <c r="O7" s="1">
        <f t="shared" si="7"/>
        <v>0</v>
      </c>
      <c r="Q7" s="7">
        <v>3</v>
      </c>
      <c r="R7" s="9">
        <f t="shared" si="8"/>
        <v>0.3662165255207141</v>
      </c>
      <c r="S7" s="18">
        <f t="shared" si="2"/>
        <v>7.3243305104142814E-2</v>
      </c>
      <c r="T7" s="14">
        <f t="shared" si="3"/>
        <v>0.10986495765621422</v>
      </c>
      <c r="U7" s="1">
        <f t="shared" si="9"/>
        <v>1</v>
      </c>
      <c r="W7" s="7">
        <v>3</v>
      </c>
      <c r="X7" s="9">
        <f t="shared" si="10"/>
        <v>0.3662165255207141</v>
      </c>
      <c r="Y7" s="18">
        <f t="shared" si="4"/>
        <v>1.4282444495307851</v>
      </c>
      <c r="Z7" s="14">
        <f t="shared" si="5"/>
        <v>2.1423666742961776</v>
      </c>
      <c r="AA7" s="1">
        <f t="shared" si="11"/>
        <v>14</v>
      </c>
    </row>
    <row r="8" spans="1:27" x14ac:dyDescent="0.6">
      <c r="B8" s="7" t="s">
        <v>19</v>
      </c>
      <c r="C8" s="7" t="s">
        <v>28</v>
      </c>
      <c r="D8" s="7" t="s">
        <v>3</v>
      </c>
      <c r="E8" s="7" t="s">
        <v>5</v>
      </c>
      <c r="F8" s="7" t="s">
        <v>4</v>
      </c>
      <c r="G8" s="7" t="s">
        <v>42</v>
      </c>
      <c r="H8" s="7" t="s">
        <v>9</v>
      </c>
      <c r="I8" s="7" t="s">
        <v>29</v>
      </c>
      <c r="K8" s="7">
        <v>4</v>
      </c>
      <c r="L8" s="9">
        <f t="shared" si="6"/>
        <v>0.48828870069428548</v>
      </c>
      <c r="M8" s="18">
        <f t="shared" si="0"/>
        <v>1.3672083619439994E-2</v>
      </c>
      <c r="N8" s="14">
        <f t="shared" si="1"/>
        <v>2.0508125429159991E-2</v>
      </c>
      <c r="O8" s="1">
        <f t="shared" si="7"/>
        <v>0</v>
      </c>
      <c r="Q8" s="7">
        <v>4</v>
      </c>
      <c r="R8" s="9">
        <f t="shared" si="8"/>
        <v>0.48828870069428548</v>
      </c>
      <c r="S8" s="18">
        <f t="shared" si="2"/>
        <v>9.7657740138857099E-2</v>
      </c>
      <c r="T8" s="14">
        <f t="shared" si="3"/>
        <v>0.14648661020828566</v>
      </c>
      <c r="U8" s="1">
        <f t="shared" si="9"/>
        <v>1</v>
      </c>
      <c r="W8" s="7">
        <v>4</v>
      </c>
      <c r="X8" s="9">
        <f t="shared" si="10"/>
        <v>0.48828870069428548</v>
      </c>
      <c r="Y8" s="18">
        <f t="shared" si="4"/>
        <v>1.9043259327077136</v>
      </c>
      <c r="Z8" s="14">
        <f t="shared" si="5"/>
        <v>2.8564888990615707</v>
      </c>
      <c r="AA8" s="1">
        <f t="shared" si="11"/>
        <v>19</v>
      </c>
    </row>
    <row r="9" spans="1:27" x14ac:dyDescent="0.6">
      <c r="B9" s="7" t="s">
        <v>23</v>
      </c>
      <c r="C9" s="4">
        <v>70</v>
      </c>
      <c r="D9" s="11">
        <f>C9*$D$6/1000</f>
        <v>1.96</v>
      </c>
      <c r="E9" s="5">
        <f>C9*D6/$E$6</f>
        <v>0.89090909090909087</v>
      </c>
      <c r="F9" s="2">
        <f>D9/$E$6*$F$6</f>
        <v>2.94</v>
      </c>
      <c r="G9" s="1">
        <f>$D9*$D9/D6</f>
        <v>0.13719999999999999</v>
      </c>
      <c r="H9" s="8">
        <f>C9/(F9/$E$3*$D$3)*1000</f>
        <v>3.6331558899996659</v>
      </c>
      <c r="I9" s="20">
        <f>F9/$E$3*$D$3</f>
        <v>19266.995999999999</v>
      </c>
      <c r="K9" s="7">
        <v>5</v>
      </c>
      <c r="L9" s="9">
        <f t="shared" si="6"/>
        <v>0.61036087586785692</v>
      </c>
      <c r="M9" s="18">
        <f t="shared" si="0"/>
        <v>1.7090104524299994E-2</v>
      </c>
      <c r="N9" s="14">
        <f t="shared" si="1"/>
        <v>2.5635156786449991E-2</v>
      </c>
      <c r="O9" s="1">
        <f t="shared" si="7"/>
        <v>0</v>
      </c>
      <c r="Q9" s="7">
        <v>5</v>
      </c>
      <c r="R9" s="9">
        <f t="shared" si="8"/>
        <v>0.61036087586785692</v>
      </c>
      <c r="S9" s="18">
        <f t="shared" si="2"/>
        <v>0.12207217517357138</v>
      </c>
      <c r="T9" s="14">
        <f t="shared" si="3"/>
        <v>0.18310826276035708</v>
      </c>
      <c r="U9" s="1">
        <f t="shared" si="9"/>
        <v>1</v>
      </c>
      <c r="W9" s="7">
        <v>5</v>
      </c>
      <c r="X9" s="9">
        <f t="shared" si="10"/>
        <v>0.61036087586785692</v>
      </c>
      <c r="Y9" s="18">
        <f t="shared" si="4"/>
        <v>2.3804074158846418</v>
      </c>
      <c r="Z9" s="14">
        <f t="shared" si="5"/>
        <v>3.5706111238269624</v>
      </c>
      <c r="AA9" s="1">
        <f t="shared" si="11"/>
        <v>23</v>
      </c>
    </row>
    <row r="10" spans="1:27" x14ac:dyDescent="0.6">
      <c r="B10" s="7" t="s">
        <v>24</v>
      </c>
      <c r="C10" s="4">
        <v>10</v>
      </c>
      <c r="D10" s="11">
        <f>C10*$C$6/1000</f>
        <v>2</v>
      </c>
      <c r="E10" s="5">
        <f>C10*C6/$E$6</f>
        <v>0.90909090909090906</v>
      </c>
      <c r="F10" s="2">
        <f>D10/$E$6*$F$6</f>
        <v>3</v>
      </c>
      <c r="G10" s="1">
        <f>$D10*$D10/C6</f>
        <v>0.02</v>
      </c>
      <c r="H10" s="8">
        <f>C10/(F10/$E$3*$D$3)*1000</f>
        <v>0.50864182459995322</v>
      </c>
      <c r="I10" s="20">
        <f>F10/$E$3*$D$3</f>
        <v>19660.2</v>
      </c>
      <c r="K10" s="7">
        <v>6</v>
      </c>
      <c r="L10" s="9">
        <f t="shared" si="6"/>
        <v>0.7324330510414282</v>
      </c>
      <c r="M10" s="18">
        <f t="shared" si="0"/>
        <v>2.0508125429159987E-2</v>
      </c>
      <c r="N10" s="14">
        <f t="shared" si="1"/>
        <v>3.0762188143739978E-2</v>
      </c>
      <c r="O10" s="1">
        <f t="shared" si="7"/>
        <v>0</v>
      </c>
      <c r="Q10" s="7">
        <v>6</v>
      </c>
      <c r="R10" s="9">
        <f t="shared" si="8"/>
        <v>0.7324330510414282</v>
      </c>
      <c r="S10" s="18">
        <f t="shared" si="2"/>
        <v>0.14648661020828563</v>
      </c>
      <c r="T10" s="14">
        <f t="shared" si="3"/>
        <v>0.21972991531242844</v>
      </c>
      <c r="U10" s="1">
        <f t="shared" si="9"/>
        <v>1</v>
      </c>
      <c r="W10" s="7">
        <v>6</v>
      </c>
      <c r="X10" s="9">
        <f t="shared" si="10"/>
        <v>0.7324330510414282</v>
      </c>
      <c r="Y10" s="18">
        <f t="shared" si="4"/>
        <v>2.8564888990615702</v>
      </c>
      <c r="Z10" s="14">
        <f t="shared" si="5"/>
        <v>4.2847333485923551</v>
      </c>
      <c r="AA10" s="1">
        <f t="shared" si="11"/>
        <v>28</v>
      </c>
    </row>
    <row r="11" spans="1:27" x14ac:dyDescent="0.6">
      <c r="B11" s="7" t="s">
        <v>25</v>
      </c>
      <c r="C11" s="6">
        <v>0.5</v>
      </c>
      <c r="D11" s="11">
        <f>C11*$B$6/1000</f>
        <v>1.95</v>
      </c>
      <c r="E11" s="5">
        <f>C11*B6/$E$6</f>
        <v>0.88636363636363635</v>
      </c>
      <c r="F11" s="2">
        <f>D11/$E$6*$F$6</f>
        <v>2.9249999999999998</v>
      </c>
      <c r="G11" s="1">
        <f>$D11*$D11/B6</f>
        <v>9.7499999999999996E-4</v>
      </c>
      <c r="H11" s="8">
        <f>C11/(F11/$E$3*$D$3)*1000</f>
        <v>2.6084196133330934E-2</v>
      </c>
      <c r="I11" s="20">
        <f>F11/$E$3*$D$3</f>
        <v>19168.695</v>
      </c>
      <c r="K11" s="7">
        <v>7</v>
      </c>
      <c r="L11" s="9">
        <f t="shared" si="6"/>
        <v>0.85450522621499958</v>
      </c>
      <c r="M11" s="18">
        <f t="shared" si="0"/>
        <v>2.3926146334019991E-2</v>
      </c>
      <c r="N11" s="14">
        <f t="shared" si="1"/>
        <v>3.5889219501029988E-2</v>
      </c>
      <c r="O11" s="1">
        <f t="shared" si="7"/>
        <v>0</v>
      </c>
      <c r="Q11" s="7">
        <v>7</v>
      </c>
      <c r="R11" s="9">
        <f t="shared" si="8"/>
        <v>0.85450522621499958</v>
      </c>
      <c r="S11" s="18">
        <f t="shared" si="2"/>
        <v>0.17090104524299993</v>
      </c>
      <c r="T11" s="14">
        <f t="shared" si="3"/>
        <v>0.25635156786449986</v>
      </c>
      <c r="U11" s="1">
        <f t="shared" si="9"/>
        <v>2</v>
      </c>
      <c r="W11" s="7">
        <v>7</v>
      </c>
      <c r="X11" s="9">
        <f t="shared" si="10"/>
        <v>0.85450522621499958</v>
      </c>
      <c r="Y11" s="18">
        <f t="shared" si="4"/>
        <v>3.3325703822384987</v>
      </c>
      <c r="Z11" s="14">
        <f t="shared" si="5"/>
        <v>4.9988555733577478</v>
      </c>
      <c r="AA11" s="1">
        <f t="shared" si="11"/>
        <v>33</v>
      </c>
    </row>
    <row r="12" spans="1:27" x14ac:dyDescent="0.6">
      <c r="K12" s="7">
        <v>8</v>
      </c>
      <c r="L12" s="9">
        <f t="shared" si="6"/>
        <v>0.97657740138857096</v>
      </c>
      <c r="M12" s="18">
        <f t="shared" si="0"/>
        <v>2.7344167238879988E-2</v>
      </c>
      <c r="N12" s="14">
        <f t="shared" si="1"/>
        <v>4.1016250858319982E-2</v>
      </c>
      <c r="O12" s="1">
        <f t="shared" si="7"/>
        <v>0</v>
      </c>
      <c r="Q12" s="7">
        <v>8</v>
      </c>
      <c r="R12" s="9">
        <f t="shared" si="8"/>
        <v>0.97657740138857096</v>
      </c>
      <c r="S12" s="18">
        <f t="shared" si="2"/>
        <v>0.1953154802777142</v>
      </c>
      <c r="T12" s="14">
        <f t="shared" si="3"/>
        <v>0.29297322041657131</v>
      </c>
      <c r="U12" s="1">
        <f t="shared" si="9"/>
        <v>2</v>
      </c>
      <c r="W12" s="7">
        <v>8</v>
      </c>
      <c r="X12" s="9">
        <f t="shared" si="10"/>
        <v>0.97657740138857096</v>
      </c>
      <c r="Y12" s="18">
        <f t="shared" si="4"/>
        <v>3.8086518654154271</v>
      </c>
      <c r="Z12" s="14">
        <f t="shared" si="5"/>
        <v>5.7129777981231413</v>
      </c>
      <c r="AA12" s="1">
        <f t="shared" si="11"/>
        <v>37</v>
      </c>
    </row>
    <row r="13" spans="1:27" x14ac:dyDescent="0.6">
      <c r="B13" s="7" t="s">
        <v>19</v>
      </c>
      <c r="C13" s="7" t="s">
        <v>7</v>
      </c>
      <c r="D13" s="7" t="s">
        <v>8</v>
      </c>
      <c r="E13" s="7" t="s">
        <v>2</v>
      </c>
      <c r="F13" s="7" t="s">
        <v>29</v>
      </c>
      <c r="K13" s="7">
        <v>9</v>
      </c>
      <c r="L13" s="9">
        <f t="shared" si="6"/>
        <v>1.0986495765621425</v>
      </c>
      <c r="M13" s="18">
        <f t="shared" si="0"/>
        <v>3.0762188143739991E-2</v>
      </c>
      <c r="N13" s="14">
        <f t="shared" si="1"/>
        <v>4.6143282215609989E-2</v>
      </c>
      <c r="O13" s="1">
        <f t="shared" si="7"/>
        <v>0</v>
      </c>
      <c r="P13" s="2"/>
      <c r="Q13" s="7">
        <v>9</v>
      </c>
      <c r="R13" s="9">
        <f t="shared" si="8"/>
        <v>1.0986495765621425</v>
      </c>
      <c r="S13" s="18">
        <f t="shared" si="2"/>
        <v>0.2197299153124285</v>
      </c>
      <c r="T13" s="14">
        <f t="shared" si="3"/>
        <v>0.32959487296864276</v>
      </c>
      <c r="U13" s="1">
        <f t="shared" si="9"/>
        <v>2</v>
      </c>
      <c r="W13" s="7">
        <v>9</v>
      </c>
      <c r="X13" s="9">
        <f t="shared" si="10"/>
        <v>1.0986495765621425</v>
      </c>
      <c r="Y13" s="18">
        <f t="shared" si="4"/>
        <v>4.2847333485923551</v>
      </c>
      <c r="Z13" s="14">
        <f t="shared" si="5"/>
        <v>6.4271000228885322</v>
      </c>
      <c r="AA13" s="1">
        <f t="shared" si="11"/>
        <v>42</v>
      </c>
    </row>
    <row r="14" spans="1:27" x14ac:dyDescent="0.6">
      <c r="B14" s="7" t="s">
        <v>23</v>
      </c>
      <c r="C14" s="10">
        <v>12</v>
      </c>
      <c r="D14" s="10">
        <f>C14/$E$6*$F$6</f>
        <v>18</v>
      </c>
      <c r="E14" s="9">
        <f>C14/$D$6</f>
        <v>0.42857142857142855</v>
      </c>
      <c r="F14" s="1">
        <f>ROUND(E14/$H$9, 0)</f>
        <v>0</v>
      </c>
      <c r="K14" s="7">
        <v>10</v>
      </c>
      <c r="L14" s="9">
        <f t="shared" si="6"/>
        <v>1.2207217517357138</v>
      </c>
      <c r="M14" s="18">
        <f t="shared" si="0"/>
        <v>3.4180209048599988E-2</v>
      </c>
      <c r="N14" s="14">
        <f t="shared" si="1"/>
        <v>5.1270313572899982E-2</v>
      </c>
      <c r="O14" s="1">
        <f t="shared" si="7"/>
        <v>0</v>
      </c>
      <c r="P14" s="2"/>
      <c r="Q14" s="7">
        <v>10</v>
      </c>
      <c r="R14" s="9">
        <f t="shared" si="8"/>
        <v>1.2207217517357138</v>
      </c>
      <c r="S14" s="18">
        <f t="shared" si="2"/>
        <v>0.24414435034714277</v>
      </c>
      <c r="T14" s="14">
        <f t="shared" si="3"/>
        <v>0.36621652552071415</v>
      </c>
      <c r="U14" s="1">
        <f t="shared" si="9"/>
        <v>2</v>
      </c>
      <c r="W14" s="7">
        <v>10</v>
      </c>
      <c r="X14" s="9">
        <f t="shared" si="10"/>
        <v>1.2207217517357138</v>
      </c>
      <c r="Y14" s="18">
        <f t="shared" si="4"/>
        <v>4.7608148317692836</v>
      </c>
      <c r="Z14" s="14">
        <f t="shared" si="5"/>
        <v>7.1412222476539249</v>
      </c>
      <c r="AA14" s="1">
        <f t="shared" si="11"/>
        <v>47</v>
      </c>
    </row>
    <row r="15" spans="1:27" x14ac:dyDescent="0.6">
      <c r="B15" s="7" t="s">
        <v>24</v>
      </c>
      <c r="C15" s="10">
        <v>12</v>
      </c>
      <c r="D15" s="10">
        <f>C15/$E$6*$F$6</f>
        <v>18</v>
      </c>
      <c r="E15" s="9">
        <f>C15/$C$6</f>
        <v>0.06</v>
      </c>
      <c r="F15" s="1">
        <f>ROUND(E15/$H$10, 0)</f>
        <v>0</v>
      </c>
      <c r="K15" s="7">
        <v>20</v>
      </c>
      <c r="L15" s="9">
        <f t="shared" si="6"/>
        <v>2.4414435034714277</v>
      </c>
      <c r="M15" s="18">
        <f t="shared" si="0"/>
        <v>6.8360418097199976E-2</v>
      </c>
      <c r="N15" s="14">
        <f t="shared" si="1"/>
        <v>0.10254062714579996</v>
      </c>
      <c r="O15" s="1">
        <f t="shared" si="7"/>
        <v>1</v>
      </c>
      <c r="P15" s="2"/>
      <c r="Q15" s="7">
        <v>20</v>
      </c>
      <c r="R15" s="9">
        <f t="shared" si="8"/>
        <v>2.4414435034714277</v>
      </c>
      <c r="S15" s="18">
        <f t="shared" si="2"/>
        <v>0.48828870069428554</v>
      </c>
      <c r="T15" s="14">
        <f t="shared" si="3"/>
        <v>0.73243305104142831</v>
      </c>
      <c r="U15" s="1">
        <f t="shared" si="9"/>
        <v>5</v>
      </c>
      <c r="W15" s="7">
        <v>20</v>
      </c>
      <c r="X15" s="9">
        <f t="shared" si="10"/>
        <v>2.4414435034714277</v>
      </c>
      <c r="Y15" s="18">
        <f t="shared" si="4"/>
        <v>9.5216296635385671</v>
      </c>
      <c r="Z15" s="14">
        <f t="shared" si="5"/>
        <v>14.28244449530785</v>
      </c>
      <c r="AA15" s="1">
        <f t="shared" si="11"/>
        <v>94</v>
      </c>
    </row>
    <row r="16" spans="1:27" x14ac:dyDescent="0.6">
      <c r="B16" s="7" t="s">
        <v>25</v>
      </c>
      <c r="C16" s="10">
        <v>12</v>
      </c>
      <c r="D16" s="10">
        <f>C16/$E$6*$F$6</f>
        <v>18</v>
      </c>
      <c r="E16" s="9">
        <f>C16/$B$6</f>
        <v>3.0769230769230769E-3</v>
      </c>
      <c r="F16" s="1">
        <f>ROUND(E16/$H$11, 0)</f>
        <v>0</v>
      </c>
      <c r="K16" s="7">
        <v>30</v>
      </c>
      <c r="L16" s="9">
        <f t="shared" si="6"/>
        <v>3.6621652552071411</v>
      </c>
      <c r="M16" s="18">
        <f t="shared" si="0"/>
        <v>0.10254062714579995</v>
      </c>
      <c r="N16" s="14">
        <f t="shared" si="1"/>
        <v>0.15381094071869994</v>
      </c>
      <c r="O16" s="1">
        <f t="shared" si="7"/>
        <v>1</v>
      </c>
      <c r="P16" s="2"/>
      <c r="Q16" s="7">
        <v>50</v>
      </c>
      <c r="R16" s="9">
        <f t="shared" si="8"/>
        <v>6.1036087586785683</v>
      </c>
      <c r="S16" s="18">
        <f t="shared" si="2"/>
        <v>1.2207217517357136</v>
      </c>
      <c r="T16" s="14">
        <f t="shared" si="3"/>
        <v>1.8310826276035705</v>
      </c>
      <c r="U16" s="1">
        <f t="shared" si="9"/>
        <v>12</v>
      </c>
      <c r="W16" s="7">
        <v>50</v>
      </c>
      <c r="X16" s="9">
        <f t="shared" si="10"/>
        <v>6.1036087586785683</v>
      </c>
      <c r="Y16" s="18">
        <f t="shared" si="4"/>
        <v>23.804074158846415</v>
      </c>
      <c r="Z16" s="14">
        <f t="shared" si="5"/>
        <v>35.706111238269621</v>
      </c>
      <c r="AA16" s="1">
        <f t="shared" si="11"/>
        <v>234</v>
      </c>
    </row>
    <row r="17" spans="2:27" x14ac:dyDescent="0.6">
      <c r="K17" s="7">
        <v>50</v>
      </c>
      <c r="L17" s="9">
        <f t="shared" si="6"/>
        <v>6.1036087586785683</v>
      </c>
      <c r="M17" s="18">
        <f t="shared" si="0"/>
        <v>0.17090104524299993</v>
      </c>
      <c r="N17" s="14">
        <f t="shared" si="1"/>
        <v>0.25635156786449986</v>
      </c>
      <c r="O17" s="1">
        <f t="shared" si="7"/>
        <v>2</v>
      </c>
      <c r="Q17" s="7">
        <v>100</v>
      </c>
      <c r="R17" s="9">
        <f t="shared" si="8"/>
        <v>12.207217517357137</v>
      </c>
      <c r="S17" s="18">
        <f t="shared" si="2"/>
        <v>2.4414435034714272</v>
      </c>
      <c r="T17" s="14">
        <f t="shared" si="3"/>
        <v>3.6621652552071411</v>
      </c>
      <c r="U17" s="1">
        <f t="shared" si="9"/>
        <v>24</v>
      </c>
      <c r="W17" s="7">
        <v>100</v>
      </c>
      <c r="X17" s="9">
        <f t="shared" si="10"/>
        <v>12.207217517357137</v>
      </c>
      <c r="Y17" s="18">
        <f t="shared" si="4"/>
        <v>47.60814831769283</v>
      </c>
      <c r="Z17" s="14">
        <f t="shared" si="5"/>
        <v>71.412222476539242</v>
      </c>
      <c r="AA17" s="1">
        <f t="shared" si="11"/>
        <v>468</v>
      </c>
    </row>
    <row r="18" spans="2:27" x14ac:dyDescent="0.6">
      <c r="K18" s="7">
        <v>100</v>
      </c>
      <c r="L18" s="9">
        <f t="shared" si="6"/>
        <v>12.207217517357137</v>
      </c>
      <c r="M18" s="18">
        <f t="shared" si="0"/>
        <v>0.34180209048599985</v>
      </c>
      <c r="N18" s="14">
        <f t="shared" si="1"/>
        <v>0.51270313572899973</v>
      </c>
      <c r="O18" s="1">
        <f t="shared" si="7"/>
        <v>3</v>
      </c>
      <c r="Q18" s="7">
        <v>150</v>
      </c>
      <c r="R18" s="9">
        <f t="shared" si="8"/>
        <v>18.310826276035705</v>
      </c>
      <c r="S18" s="18">
        <f t="shared" si="2"/>
        <v>3.6621652552071411</v>
      </c>
      <c r="T18" s="14">
        <f t="shared" si="3"/>
        <v>5.493247882810711</v>
      </c>
      <c r="U18" s="1">
        <f t="shared" si="9"/>
        <v>36</v>
      </c>
      <c r="W18" s="7">
        <v>150</v>
      </c>
      <c r="X18" s="9">
        <f t="shared" si="10"/>
        <v>18.310826276035705</v>
      </c>
      <c r="Y18" s="18">
        <f t="shared" si="4"/>
        <v>71.412222476539242</v>
      </c>
      <c r="Z18" s="14">
        <f t="shared" si="5"/>
        <v>107.11833371480887</v>
      </c>
      <c r="AA18" s="1">
        <f t="shared" si="11"/>
        <v>702</v>
      </c>
    </row>
    <row r="19" spans="2:27" x14ac:dyDescent="0.6">
      <c r="B19" s="19" t="s">
        <v>27</v>
      </c>
      <c r="C19" s="7" t="s">
        <v>40</v>
      </c>
      <c r="D19" s="7">
        <v>8000</v>
      </c>
      <c r="E19" s="7" t="s">
        <v>41</v>
      </c>
      <c r="F19" s="7">
        <v>127</v>
      </c>
      <c r="G19" s="7"/>
      <c r="K19" s="7">
        <v>200</v>
      </c>
      <c r="L19" s="9">
        <f t="shared" si="6"/>
        <v>24.414435034714273</v>
      </c>
      <c r="M19" s="18">
        <f t="shared" si="0"/>
        <v>0.68360418097199971</v>
      </c>
      <c r="N19" s="14">
        <f t="shared" si="1"/>
        <v>1.0254062714579995</v>
      </c>
      <c r="O19" s="1">
        <f t="shared" si="7"/>
        <v>7</v>
      </c>
      <c r="Q19" s="7">
        <v>200</v>
      </c>
      <c r="R19" s="9">
        <f t="shared" si="8"/>
        <v>24.414435034714273</v>
      </c>
      <c r="S19" s="18">
        <f t="shared" si="2"/>
        <v>4.8828870069428545</v>
      </c>
      <c r="T19" s="14">
        <f t="shared" si="3"/>
        <v>7.3243305104142822</v>
      </c>
      <c r="U19" s="1">
        <f t="shared" si="9"/>
        <v>48</v>
      </c>
      <c r="W19" s="7">
        <v>200</v>
      </c>
      <c r="X19" s="9">
        <f t="shared" si="10"/>
        <v>24.414435034714273</v>
      </c>
      <c r="Y19" s="18">
        <f t="shared" si="4"/>
        <v>95.21629663538566</v>
      </c>
      <c r="Z19" s="14">
        <f t="shared" si="5"/>
        <v>142.82444495307848</v>
      </c>
      <c r="AA19" s="1">
        <f t="shared" si="11"/>
        <v>936</v>
      </c>
    </row>
    <row r="20" spans="2:27" x14ac:dyDescent="0.6">
      <c r="B20" s="7" t="s">
        <v>19</v>
      </c>
      <c r="C20" s="7" t="s">
        <v>26</v>
      </c>
      <c r="D20" s="7" t="s">
        <v>2</v>
      </c>
      <c r="E20" s="7" t="s">
        <v>3</v>
      </c>
      <c r="F20" s="7" t="s">
        <v>8</v>
      </c>
      <c r="G20" s="7" t="s">
        <v>29</v>
      </c>
      <c r="K20" s="7">
        <v>300</v>
      </c>
      <c r="L20" s="9">
        <f t="shared" si="6"/>
        <v>36.62165255207141</v>
      </c>
      <c r="M20" s="18">
        <f t="shared" si="0"/>
        <v>1.0254062714579995</v>
      </c>
      <c r="N20" s="14">
        <f t="shared" si="1"/>
        <v>1.5381094071869992</v>
      </c>
      <c r="O20" s="1">
        <f t="shared" si="7"/>
        <v>10</v>
      </c>
      <c r="Q20" s="7">
        <v>300</v>
      </c>
      <c r="R20" s="9">
        <f t="shared" si="8"/>
        <v>36.62165255207141</v>
      </c>
      <c r="S20" s="18">
        <f t="shared" si="2"/>
        <v>7.3243305104142822</v>
      </c>
      <c r="T20" s="14">
        <f t="shared" si="3"/>
        <v>10.986495765621422</v>
      </c>
      <c r="U20" s="1">
        <f t="shared" si="9"/>
        <v>72</v>
      </c>
      <c r="W20" s="7">
        <v>300</v>
      </c>
      <c r="X20" s="9">
        <f t="shared" si="10"/>
        <v>36.62165255207141</v>
      </c>
      <c r="Y20" s="18">
        <f t="shared" si="4"/>
        <v>142.82444495307848</v>
      </c>
      <c r="Z20" s="14">
        <f t="shared" si="5"/>
        <v>214.23666742961774</v>
      </c>
      <c r="AA20" s="1">
        <f t="shared" si="11"/>
        <v>1404</v>
      </c>
    </row>
    <row r="21" spans="2:27" x14ac:dyDescent="0.6">
      <c r="B21" s="7" t="s">
        <v>36</v>
      </c>
      <c r="C21" s="1">
        <v>2</v>
      </c>
      <c r="D21" s="9">
        <f>$D$19/$F$19*C21</f>
        <v>125.98425196850394</v>
      </c>
      <c r="E21" s="18">
        <f>D21*$B$6/1000</f>
        <v>491.33858267716539</v>
      </c>
      <c r="F21" s="18">
        <f>E21/$E$6*$F$6</f>
        <v>737.00787401574814</v>
      </c>
      <c r="G21" s="1">
        <f>ROUND(F21/1000/$E$3*$D$3, 0)</f>
        <v>4830</v>
      </c>
      <c r="K21" s="7">
        <v>500</v>
      </c>
      <c r="L21" s="9">
        <f t="shared" si="6"/>
        <v>61.03608758678569</v>
      </c>
      <c r="M21" s="18">
        <f t="shared" si="0"/>
        <v>1.7090104524299994</v>
      </c>
      <c r="N21" s="14">
        <f t="shared" si="1"/>
        <v>2.5635156786449991</v>
      </c>
      <c r="O21" s="1">
        <f t="shared" si="7"/>
        <v>17</v>
      </c>
      <c r="Q21" s="7">
        <v>500</v>
      </c>
      <c r="R21" s="9">
        <f t="shared" si="8"/>
        <v>61.03608758678569</v>
      </c>
      <c r="S21" s="18">
        <f t="shared" si="2"/>
        <v>12.207217517357138</v>
      </c>
      <c r="T21" s="14">
        <f t="shared" si="3"/>
        <v>18.310826276035709</v>
      </c>
      <c r="U21" s="1">
        <f t="shared" si="9"/>
        <v>120</v>
      </c>
      <c r="W21" s="7">
        <v>500</v>
      </c>
      <c r="X21" s="9">
        <f t="shared" si="10"/>
        <v>61.03608758678569</v>
      </c>
      <c r="Y21" s="18">
        <f t="shared" si="4"/>
        <v>238.04074158846419</v>
      </c>
      <c r="Z21" s="14">
        <f t="shared" si="5"/>
        <v>357.06111238269625</v>
      </c>
      <c r="AA21" s="1">
        <f t="shared" si="11"/>
        <v>2340</v>
      </c>
    </row>
    <row r="22" spans="2:27" x14ac:dyDescent="0.6">
      <c r="B22" s="7" t="s">
        <v>37</v>
      </c>
      <c r="C22" s="1">
        <v>4</v>
      </c>
      <c r="D22" s="9">
        <f t="shared" ref="D22:D24" si="12">$D$19/$F$19*C22</f>
        <v>251.96850393700788</v>
      </c>
      <c r="E22" s="18">
        <f>D22*$B$6/1000</f>
        <v>982.67716535433078</v>
      </c>
      <c r="F22" s="18">
        <f t="shared" ref="F22:F23" si="13">E22/$E$6*$F$6</f>
        <v>1474.0157480314963</v>
      </c>
      <c r="G22" s="1">
        <f t="shared" ref="G22:G23" si="14">ROUND(F22/1000/$E$3*$D$3, 0)</f>
        <v>9660</v>
      </c>
      <c r="K22" s="7">
        <v>1000</v>
      </c>
      <c r="L22" s="9">
        <f t="shared" si="6"/>
        <v>122.07217517357138</v>
      </c>
      <c r="M22" s="18">
        <f t="shared" si="0"/>
        <v>3.4180209048599988</v>
      </c>
      <c r="N22" s="14">
        <f t="shared" si="1"/>
        <v>5.1270313572899981</v>
      </c>
      <c r="O22" s="1">
        <f t="shared" si="7"/>
        <v>34</v>
      </c>
      <c r="Q22" s="7">
        <v>1000</v>
      </c>
      <c r="R22" s="9">
        <f t="shared" si="8"/>
        <v>122.07217517357138</v>
      </c>
      <c r="S22" s="18">
        <f t="shared" si="2"/>
        <v>24.414435034714277</v>
      </c>
      <c r="T22" s="14">
        <f t="shared" si="3"/>
        <v>36.621652552071417</v>
      </c>
      <c r="U22" s="1">
        <f t="shared" si="9"/>
        <v>240</v>
      </c>
      <c r="W22" s="7">
        <v>1000</v>
      </c>
      <c r="X22" s="9">
        <f t="shared" si="10"/>
        <v>122.07217517357138</v>
      </c>
      <c r="Y22" s="18">
        <f t="shared" si="4"/>
        <v>476.08148317692837</v>
      </c>
      <c r="Z22" s="14">
        <f t="shared" si="5"/>
        <v>714.1222247653925</v>
      </c>
      <c r="AA22" s="1">
        <f t="shared" si="11"/>
        <v>4680</v>
      </c>
    </row>
    <row r="23" spans="2:27" x14ac:dyDescent="0.6">
      <c r="B23" s="7" t="s">
        <v>39</v>
      </c>
      <c r="C23" s="1">
        <f>(C22+C21)/2</f>
        <v>3</v>
      </c>
      <c r="D23" s="9">
        <f t="shared" si="12"/>
        <v>188.97637795275591</v>
      </c>
      <c r="E23" s="18">
        <f>D23*$B$6/1000</f>
        <v>737.00787401574803</v>
      </c>
      <c r="F23" s="18">
        <f t="shared" si="13"/>
        <v>1105.5118110236219</v>
      </c>
      <c r="G23" s="1">
        <f t="shared" si="14"/>
        <v>7245</v>
      </c>
      <c r="K23" s="7">
        <v>2000</v>
      </c>
      <c r="L23" s="9">
        <f t="shared" si="6"/>
        <v>244.14435034714276</v>
      </c>
      <c r="M23" s="18">
        <f t="shared" si="0"/>
        <v>6.8360418097199975</v>
      </c>
      <c r="N23" s="14">
        <f t="shared" si="1"/>
        <v>10.254062714579996</v>
      </c>
      <c r="O23" s="1">
        <f t="shared" si="7"/>
        <v>67</v>
      </c>
      <c r="Q23" s="7">
        <v>2000</v>
      </c>
      <c r="R23" s="9">
        <f t="shared" si="8"/>
        <v>244.14435034714276</v>
      </c>
      <c r="S23" s="18">
        <f t="shared" si="2"/>
        <v>48.828870069428554</v>
      </c>
      <c r="T23" s="14">
        <f t="shared" si="3"/>
        <v>73.243305104142834</v>
      </c>
      <c r="U23" s="1">
        <f t="shared" si="9"/>
        <v>480</v>
      </c>
      <c r="W23" s="7">
        <v>2000</v>
      </c>
      <c r="X23" s="9">
        <f t="shared" si="10"/>
        <v>244.14435034714276</v>
      </c>
      <c r="Y23" s="18">
        <f t="shared" si="4"/>
        <v>952.16296635385675</v>
      </c>
      <c r="Z23" s="14">
        <f t="shared" si="5"/>
        <v>1428.244449530785</v>
      </c>
      <c r="AA23" s="1">
        <f t="shared" si="11"/>
        <v>9360</v>
      </c>
    </row>
    <row r="24" spans="2:27" x14ac:dyDescent="0.6">
      <c r="B24" s="7" t="s">
        <v>38</v>
      </c>
      <c r="C24" s="1">
        <v>30</v>
      </c>
      <c r="D24" s="9">
        <f t="shared" si="12"/>
        <v>1889.7637795275591</v>
      </c>
      <c r="E24" s="18">
        <f>D24*$C$6/1000</f>
        <v>377.95275590551182</v>
      </c>
      <c r="F24" s="18">
        <f>E24/$E$6*$F$6</f>
        <v>566.92913385826773</v>
      </c>
      <c r="G24" s="1">
        <f>ROUND(F24/1000/$E$3*$D$3, 0)</f>
        <v>3715</v>
      </c>
      <c r="K24" s="7">
        <v>5000</v>
      </c>
      <c r="L24" s="9">
        <f t="shared" si="6"/>
        <v>610.36087586785686</v>
      </c>
      <c r="M24" s="18">
        <f t="shared" si="0"/>
        <v>17.090104524299992</v>
      </c>
      <c r="N24" s="14">
        <f t="shared" si="1"/>
        <v>25.63515678644999</v>
      </c>
      <c r="O24" s="1">
        <f t="shared" si="7"/>
        <v>168</v>
      </c>
      <c r="P24" s="17"/>
      <c r="Q24" s="7">
        <v>5000</v>
      </c>
      <c r="R24" s="9">
        <f t="shared" si="8"/>
        <v>610.36087586785686</v>
      </c>
      <c r="S24" s="18">
        <f t="shared" si="2"/>
        <v>122.07217517357138</v>
      </c>
      <c r="T24" s="14">
        <f t="shared" si="3"/>
        <v>183.10826276035706</v>
      </c>
      <c r="U24" s="1">
        <f t="shared" si="9"/>
        <v>1200</v>
      </c>
      <c r="W24" s="7">
        <f>512*5</f>
        <v>2560</v>
      </c>
      <c r="X24" s="9">
        <f t="shared" si="10"/>
        <v>312.50476844434274</v>
      </c>
      <c r="Y24" s="18">
        <f t="shared" si="4"/>
        <v>1218.7685969329366</v>
      </c>
      <c r="Z24" s="14">
        <f t="shared" si="5"/>
        <v>1828.1528953994048</v>
      </c>
      <c r="AA24" s="1">
        <f t="shared" si="11"/>
        <v>11981</v>
      </c>
    </row>
    <row r="25" spans="2:27" x14ac:dyDescent="0.6">
      <c r="K25" s="7">
        <v>10000</v>
      </c>
      <c r="L25" s="9">
        <f t="shared" si="6"/>
        <v>1220.7217517357137</v>
      </c>
      <c r="M25" s="18">
        <f t="shared" si="0"/>
        <v>34.180209048599984</v>
      </c>
      <c r="N25" s="14">
        <f t="shared" si="1"/>
        <v>51.27031357289998</v>
      </c>
      <c r="O25" s="1">
        <f t="shared" si="7"/>
        <v>336</v>
      </c>
      <c r="P25" s="17"/>
      <c r="Q25" s="7">
        <v>10000</v>
      </c>
      <c r="R25" s="9">
        <f t="shared" si="8"/>
        <v>1220.7217517357137</v>
      </c>
      <c r="S25" s="18">
        <f t="shared" si="2"/>
        <v>244.14435034714276</v>
      </c>
      <c r="T25" s="14">
        <f t="shared" si="3"/>
        <v>366.21652552071413</v>
      </c>
      <c r="U25" s="1">
        <f t="shared" si="9"/>
        <v>2400</v>
      </c>
      <c r="W25" s="7">
        <v>4100</v>
      </c>
      <c r="X25" s="9">
        <f t="shared" si="10"/>
        <v>500.49591821164262</v>
      </c>
      <c r="Y25" s="18">
        <f t="shared" si="4"/>
        <v>1951.9340810254062</v>
      </c>
      <c r="Z25" s="14">
        <f t="shared" si="5"/>
        <v>2927.9011215381092</v>
      </c>
      <c r="AA25" s="1">
        <f t="shared" si="11"/>
        <v>19188</v>
      </c>
    </row>
    <row r="26" spans="2:27" x14ac:dyDescent="0.6">
      <c r="K26" s="7">
        <v>30000</v>
      </c>
      <c r="L26" s="9">
        <f t="shared" si="6"/>
        <v>3662.1652552071414</v>
      </c>
      <c r="M26" s="18">
        <f t="shared" si="0"/>
        <v>102.54062714579996</v>
      </c>
      <c r="N26" s="14">
        <f t="shared" si="1"/>
        <v>153.81094071869992</v>
      </c>
      <c r="O26" s="1">
        <f t="shared" si="7"/>
        <v>1008</v>
      </c>
      <c r="Q26" s="7">
        <v>30000</v>
      </c>
      <c r="R26" s="9">
        <f t="shared" si="8"/>
        <v>3662.1652552071414</v>
      </c>
      <c r="S26" s="18">
        <f t="shared" si="2"/>
        <v>732.43305104142826</v>
      </c>
      <c r="T26" s="14">
        <f t="shared" si="3"/>
        <v>1098.6495765621423</v>
      </c>
      <c r="U26" s="1">
        <f t="shared" si="9"/>
        <v>7200</v>
      </c>
      <c r="W26" s="7">
        <v>30000</v>
      </c>
      <c r="X26" s="9">
        <f t="shared" si="10"/>
        <v>3662.1652552071414</v>
      </c>
      <c r="Y26" s="18">
        <f t="shared" si="4"/>
        <v>14282.444495307851</v>
      </c>
      <c r="Z26" s="14">
        <f t="shared" si="5"/>
        <v>21423.666742961777</v>
      </c>
      <c r="AA26" s="1">
        <f t="shared" si="11"/>
        <v>140398</v>
      </c>
    </row>
    <row r="27" spans="2:27" x14ac:dyDescent="0.6">
      <c r="K27" s="7">
        <v>65535</v>
      </c>
      <c r="L27" s="9">
        <f t="shared" si="6"/>
        <v>8000</v>
      </c>
      <c r="M27" s="18">
        <f t="shared" si="0"/>
        <v>224</v>
      </c>
      <c r="N27" s="14">
        <f t="shared" si="1"/>
        <v>336</v>
      </c>
      <c r="O27" s="1">
        <f t="shared" si="7"/>
        <v>2202</v>
      </c>
      <c r="Q27" s="7">
        <v>65535</v>
      </c>
      <c r="R27" s="9">
        <f t="shared" si="8"/>
        <v>8000</v>
      </c>
      <c r="S27" s="18">
        <f t="shared" si="2"/>
        <v>1600</v>
      </c>
      <c r="T27" s="14">
        <f t="shared" si="3"/>
        <v>2400</v>
      </c>
      <c r="U27" s="1">
        <f t="shared" si="9"/>
        <v>15728</v>
      </c>
      <c r="W27" s="7">
        <v>65535</v>
      </c>
      <c r="X27" s="9">
        <f t="shared" si="10"/>
        <v>8000</v>
      </c>
      <c r="Y27" s="18">
        <f t="shared" si="4"/>
        <v>31200</v>
      </c>
      <c r="Z27" s="14">
        <f t="shared" si="5"/>
        <v>46800</v>
      </c>
      <c r="AA27" s="1">
        <f t="shared" si="11"/>
        <v>306699</v>
      </c>
    </row>
    <row r="28" spans="2:27" x14ac:dyDescent="0.6">
      <c r="P28" s="17"/>
      <c r="Q28" s="17"/>
      <c r="R28" s="17"/>
      <c r="S28" s="17"/>
      <c r="T28" s="14"/>
    </row>
    <row r="29" spans="2:27" x14ac:dyDescent="0.6">
      <c r="R29" s="9"/>
      <c r="S29" s="17"/>
      <c r="T29" s="14"/>
    </row>
    <row r="30" spans="2:27" x14ac:dyDescent="0.6">
      <c r="R30" s="9"/>
      <c r="S30" s="23"/>
      <c r="T30" s="14"/>
    </row>
    <row r="31" spans="2:27" x14ac:dyDescent="0.6">
      <c r="R31" s="9"/>
      <c r="S31" s="17"/>
      <c r="T31" s="14"/>
    </row>
    <row r="32" spans="2:27" x14ac:dyDescent="0.6">
      <c r="R32" s="9"/>
      <c r="S32" s="17"/>
      <c r="T32" s="14"/>
    </row>
    <row r="33" spans="15:20" x14ac:dyDescent="0.6">
      <c r="R33" s="9"/>
      <c r="S33" s="17"/>
      <c r="T33" s="14"/>
    </row>
    <row r="34" spans="15:20" x14ac:dyDescent="0.6">
      <c r="R34" s="9"/>
      <c r="S34" s="17"/>
      <c r="T34" s="14"/>
    </row>
    <row r="35" spans="15:20" x14ac:dyDescent="0.6">
      <c r="O35" s="17"/>
      <c r="P35" s="17"/>
      <c r="Q35" s="17"/>
      <c r="R35" s="17"/>
    </row>
    <row r="36" spans="15:20" x14ac:dyDescent="0.6">
      <c r="O36" s="17"/>
      <c r="P36" s="17"/>
      <c r="Q36" s="17"/>
      <c r="R36" s="17"/>
    </row>
    <row r="37" spans="15:20" x14ac:dyDescent="0.6">
      <c r="O37" s="17"/>
      <c r="P37" s="17"/>
      <c r="Q37" s="17"/>
      <c r="R37" s="17"/>
    </row>
    <row r="38" spans="15:20" x14ac:dyDescent="0.6">
      <c r="O38" s="17"/>
      <c r="P38" s="17"/>
      <c r="Q38" s="17"/>
      <c r="R38" s="17"/>
      <c r="S38" s="17"/>
      <c r="T38" s="14"/>
    </row>
    <row r="39" spans="15:20" x14ac:dyDescent="0.6">
      <c r="O39" s="17"/>
      <c r="P39" s="17"/>
      <c r="Q39" s="17"/>
      <c r="R39" s="17"/>
    </row>
    <row r="40" spans="15:20" x14ac:dyDescent="0.6">
      <c r="O40" s="17"/>
      <c r="P40" s="17"/>
      <c r="Q40" s="17"/>
      <c r="R40" s="17"/>
    </row>
    <row r="41" spans="15:20" x14ac:dyDescent="0.6">
      <c r="O41" s="17"/>
      <c r="P41" s="17"/>
      <c r="Q41" s="17"/>
      <c r="R41" s="17"/>
    </row>
    <row r="42" spans="15:20" x14ac:dyDescent="0.6">
      <c r="O42" s="17"/>
      <c r="P42" s="17"/>
      <c r="Q42" s="17"/>
      <c r="R42" s="17"/>
    </row>
    <row r="43" spans="15:20" x14ac:dyDescent="0.6">
      <c r="O43" s="17"/>
      <c r="P43" s="17"/>
      <c r="Q43" s="17"/>
      <c r="R43" s="17"/>
    </row>
    <row r="44" spans="15:20" x14ac:dyDescent="0.6">
      <c r="O44" s="17"/>
      <c r="P44" s="17"/>
      <c r="Q44" s="17"/>
      <c r="R44" s="17"/>
    </row>
    <row r="45" spans="15:20" x14ac:dyDescent="0.6">
      <c r="O45" s="17"/>
      <c r="P45" s="17"/>
      <c r="Q45" s="17"/>
      <c r="R45" s="17"/>
    </row>
    <row r="46" spans="15:20" x14ac:dyDescent="0.6">
      <c r="O46" s="17"/>
      <c r="P46" s="17"/>
      <c r="Q46" s="17"/>
      <c r="R46" s="17"/>
    </row>
    <row r="47" spans="15:20" x14ac:dyDescent="0.6">
      <c r="O47" s="17"/>
      <c r="P47" s="17"/>
      <c r="Q47" s="17"/>
      <c r="R47" s="17"/>
    </row>
    <row r="48" spans="15:20" x14ac:dyDescent="0.6">
      <c r="O48" s="17"/>
      <c r="P48" s="17"/>
      <c r="Q48" s="17"/>
      <c r="R48" s="17"/>
    </row>
    <row r="49" spans="15:20" x14ac:dyDescent="0.6">
      <c r="O49" s="17"/>
      <c r="P49" s="17"/>
      <c r="Q49" s="17"/>
      <c r="R49" s="17"/>
    </row>
    <row r="50" spans="15:20" x14ac:dyDescent="0.6">
      <c r="O50" s="17"/>
      <c r="P50" s="17"/>
      <c r="Q50" s="17"/>
      <c r="R50" s="17"/>
    </row>
    <row r="51" spans="15:20" x14ac:dyDescent="0.6">
      <c r="O51" s="17"/>
      <c r="P51" s="17"/>
      <c r="Q51" s="17"/>
      <c r="R51" s="17"/>
      <c r="S51" s="17"/>
      <c r="T51" s="14"/>
    </row>
    <row r="52" spans="15:20" x14ac:dyDescent="0.6">
      <c r="O52" s="17"/>
      <c r="P52" s="17"/>
      <c r="Q52" s="17"/>
      <c r="R52" s="17"/>
      <c r="S52" s="17"/>
      <c r="T52" s="14"/>
    </row>
    <row r="53" spans="15:20" x14ac:dyDescent="0.6">
      <c r="O53" s="17"/>
      <c r="P53" s="17"/>
      <c r="Q53" s="17"/>
      <c r="R53" s="17"/>
      <c r="S53" s="17"/>
      <c r="T53" s="14"/>
    </row>
    <row r="54" spans="15:20" x14ac:dyDescent="0.6">
      <c r="O54" s="17"/>
      <c r="P54" s="17"/>
      <c r="Q54" s="17"/>
      <c r="R54" s="17"/>
      <c r="S54" s="17"/>
      <c r="T54" s="14"/>
    </row>
    <row r="55" spans="15:20" x14ac:dyDescent="0.6">
      <c r="O55" s="17"/>
      <c r="P55" s="17"/>
      <c r="Q55" s="17"/>
      <c r="R55" s="17"/>
      <c r="S55" s="17"/>
      <c r="T55" s="14"/>
    </row>
    <row r="56" spans="15:20" x14ac:dyDescent="0.6">
      <c r="O56" s="17"/>
      <c r="P56" s="17"/>
      <c r="Q56" s="17"/>
      <c r="R56" s="17"/>
      <c r="S56" s="17"/>
      <c r="T56" s="14"/>
    </row>
    <row r="57" spans="15:20" x14ac:dyDescent="0.6">
      <c r="O57" s="17"/>
      <c r="P57" s="17"/>
      <c r="Q57" s="17"/>
      <c r="R57" s="17"/>
      <c r="S57" s="17"/>
      <c r="T57" s="14"/>
    </row>
    <row r="58" spans="15:20" x14ac:dyDescent="0.6">
      <c r="O58" s="17"/>
      <c r="P58" s="17"/>
      <c r="Q58" s="17"/>
      <c r="R58" s="17"/>
      <c r="S58" s="17"/>
      <c r="T58" s="14"/>
    </row>
    <row r="59" spans="15:20" x14ac:dyDescent="0.6">
      <c r="O59" s="17"/>
      <c r="P59" s="17"/>
      <c r="Q59" s="17"/>
      <c r="R59" s="17"/>
      <c r="S59" s="17"/>
      <c r="T59" s="14"/>
    </row>
    <row r="60" spans="15:20" x14ac:dyDescent="0.6">
      <c r="O60" s="17"/>
      <c r="P60" s="17"/>
      <c r="Q60" s="17"/>
      <c r="R60" s="17"/>
      <c r="S60" s="17"/>
      <c r="T60" s="14"/>
    </row>
    <row r="61" spans="15:20" x14ac:dyDescent="0.6">
      <c r="O61" s="17"/>
      <c r="P61" s="17"/>
      <c r="Q61" s="17"/>
      <c r="R61" s="17"/>
      <c r="S61" s="17"/>
      <c r="T61" s="14"/>
    </row>
    <row r="62" spans="15:20" x14ac:dyDescent="0.6">
      <c r="O62" s="17"/>
      <c r="P62" s="17"/>
      <c r="Q62" s="17"/>
      <c r="R62" s="17"/>
      <c r="S62" s="17"/>
      <c r="T62" s="14"/>
    </row>
    <row r="63" spans="15:20" x14ac:dyDescent="0.6">
      <c r="O63" s="17"/>
      <c r="P63" s="17"/>
      <c r="Q63" s="17"/>
      <c r="R63" s="17"/>
      <c r="S63" s="17"/>
      <c r="T63" s="14"/>
    </row>
    <row r="64" spans="15:20" x14ac:dyDescent="0.6">
      <c r="O64" s="17"/>
      <c r="P64" s="17"/>
      <c r="Q64" s="17"/>
      <c r="R64" s="17"/>
      <c r="S64" s="17"/>
      <c r="T64" s="14"/>
    </row>
    <row r="65" spans="15:20" x14ac:dyDescent="0.6">
      <c r="O65" s="17"/>
      <c r="P65" s="17"/>
      <c r="Q65" s="17"/>
      <c r="R65" s="17"/>
      <c r="S65" s="17"/>
      <c r="T65" s="14"/>
    </row>
    <row r="66" spans="15:20" x14ac:dyDescent="0.6">
      <c r="O66" s="17"/>
      <c r="P66" s="17"/>
      <c r="Q66" s="17"/>
      <c r="R66" s="17"/>
      <c r="S66" s="17"/>
      <c r="T66" s="14"/>
    </row>
    <row r="67" spans="15:20" x14ac:dyDescent="0.6">
      <c r="O67" s="17"/>
      <c r="P67" s="17"/>
      <c r="Q67" s="17"/>
      <c r="R67" s="17"/>
      <c r="S67" s="17"/>
      <c r="T67" s="14"/>
    </row>
    <row r="68" spans="15:20" x14ac:dyDescent="0.6">
      <c r="O68" s="17"/>
      <c r="P68" s="17"/>
      <c r="Q68" s="17"/>
      <c r="R68" s="17"/>
      <c r="S68" s="17"/>
      <c r="T68" s="14"/>
    </row>
    <row r="69" spans="15:20" x14ac:dyDescent="0.6">
      <c r="O69" s="17"/>
      <c r="P69" s="17"/>
      <c r="Q69" s="17"/>
      <c r="R69" s="17"/>
    </row>
    <row r="70" spans="15:20" x14ac:dyDescent="0.6">
      <c r="O70" s="17"/>
      <c r="P70" s="17"/>
      <c r="Q70" s="17"/>
      <c r="R70" s="17"/>
    </row>
    <row r="71" spans="15:20" x14ac:dyDescent="0.6">
      <c r="O71" s="17"/>
      <c r="P71" s="17"/>
      <c r="Q71" s="17"/>
      <c r="R71" s="17"/>
    </row>
    <row r="72" spans="15:20" x14ac:dyDescent="0.6">
      <c r="O72" s="17"/>
      <c r="P72" s="17"/>
      <c r="Q72" s="17"/>
      <c r="R72" s="17"/>
    </row>
    <row r="73" spans="15:20" x14ac:dyDescent="0.6">
      <c r="O73" s="17"/>
      <c r="P73" s="17"/>
      <c r="Q73" s="17"/>
      <c r="R73" s="17"/>
    </row>
  </sheetData>
  <phoneticPr fontId="1" type="noConversion"/>
  <conditionalFormatting sqref="N4:N27 T4:T27 Z4:Z27">
    <cfRule type="cellIs" dxfId="0" priority="1" operator="greaterThan">
      <formula>3000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2024-03-05T01:12:53Z</cp:lastPrinted>
  <dcterms:created xsi:type="dcterms:W3CDTF">2024-01-29T02:23:28Z</dcterms:created>
  <dcterms:modified xsi:type="dcterms:W3CDTF">2025-02-06T07:54:26Z</dcterms:modified>
</cp:coreProperties>
</file>