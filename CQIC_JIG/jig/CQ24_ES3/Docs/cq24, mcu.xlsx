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CQIC_JIG\jig\CQ24_ES3\Docs\"/>
    </mc:Choice>
  </mc:AlternateContent>
  <xr:revisionPtr revIDLastSave="0" documentId="13_ncr:1_{D430660C-B0CA-4B77-80F7-7981762B6458}" xr6:coauthVersionLast="47" xr6:coauthVersionMax="47" xr10:uidLastSave="{00000000-0000-0000-0000-000000000000}"/>
  <bookViews>
    <workbookView xWindow="-98" yWindow="-98" windowWidth="21795" windowHeight="12975" activeTab="1" xr2:uid="{403C74C4-8D11-4202-B611-5176957C4D3C}"/>
  </bookViews>
  <sheets>
    <sheet name="timer" sheetId="3" r:id="rId1"/>
    <sheet name="Sheet1" sheetId="1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3" i="3"/>
  <c r="D4" i="3"/>
  <c r="M10" i="3" s="1"/>
  <c r="M13" i="3" s="1"/>
  <c r="M14" i="3" s="1"/>
  <c r="M15" i="3" s="1"/>
  <c r="D3" i="3"/>
  <c r="I10" i="3" s="1"/>
  <c r="I13" i="3" s="1"/>
  <c r="I14" i="3" s="1"/>
  <c r="I15" i="3" s="1"/>
  <c r="C10" i="3" l="1"/>
  <c r="C13" i="3" s="1"/>
  <c r="C14" i="3" s="1"/>
  <c r="C15" i="3" s="1"/>
  <c r="K10" i="3"/>
  <c r="K13" i="3" s="1"/>
  <c r="K14" i="3" s="1"/>
  <c r="K15" i="3" s="1"/>
  <c r="L10" i="3"/>
  <c r="L13" i="3" s="1"/>
  <c r="L14" i="3" s="1"/>
  <c r="L15" i="3" s="1"/>
  <c r="J10" i="3"/>
  <c r="J13" i="3" s="1"/>
  <c r="J14" i="3" s="1"/>
  <c r="J15" i="3" s="1"/>
  <c r="N10" i="3"/>
  <c r="N13" i="3" s="1"/>
  <c r="N14" i="3" s="1"/>
  <c r="N15" i="3" s="1"/>
  <c r="D10" i="3"/>
  <c r="D13" i="3" s="1"/>
  <c r="D14" i="3" s="1"/>
  <c r="D15" i="3" s="1"/>
  <c r="F10" i="3"/>
  <c r="F13" i="3" s="1"/>
  <c r="F14" i="3" s="1"/>
  <c r="F15" i="3" s="1"/>
  <c r="O10" i="3"/>
  <c r="O13" i="3" s="1"/>
  <c r="O14" i="3" s="1"/>
  <c r="O15" i="3" s="1"/>
  <c r="G10" i="3"/>
  <c r="G13" i="3" s="1"/>
  <c r="G14" i="3" s="1"/>
  <c r="G15" i="3" s="1"/>
  <c r="P10" i="3"/>
  <c r="P13" i="3" s="1"/>
  <c r="P14" i="3" s="1"/>
  <c r="P15" i="3" s="1"/>
  <c r="H10" i="3"/>
  <c r="H13" i="3" s="1"/>
  <c r="H14" i="3" s="1"/>
  <c r="H15" i="3" s="1"/>
  <c r="E10" i="3"/>
  <c r="E13" i="3" s="1"/>
  <c r="E14" i="3" s="1"/>
  <c r="E15" i="3" s="1"/>
  <c r="C9" i="1"/>
  <c r="F11" i="1"/>
  <c r="F10" i="1"/>
  <c r="F9" i="1"/>
  <c r="F8" i="1"/>
  <c r="E2" i="1"/>
  <c r="E4" i="1" s="1"/>
  <c r="E3" i="1"/>
  <c r="E5" i="1" l="1"/>
</calcChain>
</file>

<file path=xl/sharedStrings.xml><?xml version="1.0" encoding="utf-8"?>
<sst xmlns="http://schemas.openxmlformats.org/spreadsheetml/2006/main" count="475" uniqueCount="277">
  <si>
    <t>us</t>
    <phoneticPr fontId="1" type="noConversion"/>
  </si>
  <si>
    <t>MHz</t>
    <phoneticPr fontId="1" type="noConversion"/>
  </si>
  <si>
    <t>MCLK</t>
    <phoneticPr fontId="1" type="noConversion"/>
  </si>
  <si>
    <t>VSYNC</t>
    <phoneticPr fontId="1" type="noConversion"/>
  </si>
  <si>
    <t>Hz</t>
    <phoneticPr fontId="1" type="noConversion"/>
  </si>
  <si>
    <t>svsync_size</t>
    <phoneticPr fontId="1" type="noConversion"/>
  </si>
  <si>
    <t>shsync_size</t>
    <phoneticPr fontId="1" type="noConversion"/>
  </si>
  <si>
    <t>ea</t>
    <phoneticPr fontId="1" type="noConversion"/>
  </si>
  <si>
    <t>dec</t>
    <phoneticPr fontId="1" type="noConversion"/>
  </si>
  <si>
    <t>hex</t>
    <phoneticPr fontId="1" type="noConversion"/>
  </si>
  <si>
    <t>sv_period</t>
    <phoneticPr fontId="1" type="noConversion"/>
  </si>
  <si>
    <t>sh_period</t>
    <phoneticPr fontId="1" type="noConversion"/>
  </si>
  <si>
    <t>hold_su</t>
    <phoneticPr fontId="1" type="noConversion"/>
  </si>
  <si>
    <t>hold_on</t>
    <phoneticPr fontId="1" type="noConversion"/>
  </si>
  <si>
    <t>Peripheral</t>
    <phoneticPr fontId="1" type="noConversion"/>
  </si>
  <si>
    <t>timer</t>
    <phoneticPr fontId="1" type="noConversion"/>
  </si>
  <si>
    <t>APB1</t>
    <phoneticPr fontId="1" type="noConversion"/>
  </si>
  <si>
    <t>APB2</t>
    <phoneticPr fontId="1" type="noConversion"/>
  </si>
  <si>
    <t>TIM1</t>
    <phoneticPr fontId="1" type="noConversion"/>
  </si>
  <si>
    <t>TIM2</t>
    <phoneticPr fontId="1" type="noConversion"/>
  </si>
  <si>
    <t>TIM3</t>
    <phoneticPr fontId="1" type="noConversion"/>
  </si>
  <si>
    <t>TIM4</t>
    <phoneticPr fontId="1" type="noConversion"/>
  </si>
  <si>
    <t>TIM5</t>
  </si>
  <si>
    <t>TIM6</t>
  </si>
  <si>
    <t>TIM7</t>
  </si>
  <si>
    <t>TIM8</t>
  </si>
  <si>
    <t>TIM9</t>
  </si>
  <si>
    <t>TIM10</t>
  </si>
  <si>
    <t>TIM11</t>
  </si>
  <si>
    <t>TIM12</t>
  </si>
  <si>
    <t>TIM13</t>
  </si>
  <si>
    <t>TIM14</t>
  </si>
  <si>
    <t>APB</t>
    <phoneticPr fontId="1" type="noConversion"/>
  </si>
  <si>
    <t>BIT</t>
    <phoneticPr fontId="1" type="noConversion"/>
  </si>
  <si>
    <t>Purpose</t>
    <phoneticPr fontId="1" type="noConversion"/>
  </si>
  <si>
    <t>Base Freq</t>
    <phoneticPr fontId="1" type="noConversion"/>
  </si>
  <si>
    <t>Precaler</t>
    <phoneticPr fontId="1" type="noConversion"/>
  </si>
  <si>
    <t>Period</t>
    <phoneticPr fontId="1" type="noConversion"/>
  </si>
  <si>
    <t>kHz</t>
    <phoneticPr fontId="1" type="noConversion"/>
  </si>
  <si>
    <t>RTOS clock</t>
    <phoneticPr fontId="1" type="noConversion"/>
  </si>
  <si>
    <t>vsync</t>
    <phoneticPr fontId="1" type="noConversion"/>
  </si>
  <si>
    <t>buzzer</t>
    <phoneticPr fontId="1" type="noConversion"/>
  </si>
  <si>
    <t>CQ24 CMD1 REGISTERS</t>
  </si>
  <si>
    <t>CQ24 CMD2 REGISTERS</t>
  </si>
  <si>
    <t xml:space="preserve">[0x00] </t>
  </si>
  <si>
    <t xml:space="preserve"> [0x000]</t>
  </si>
  <si>
    <t xml:space="preserve">[0x01] </t>
  </si>
  <si>
    <t xml:space="preserve"> [0x091]</t>
  </si>
  <si>
    <t xml:space="preserve">[0x02] </t>
  </si>
  <si>
    <t xml:space="preserve"> [0x400]</t>
  </si>
  <si>
    <t xml:space="preserve">[0x03] </t>
  </si>
  <si>
    <t xml:space="preserve">0x00 </t>
  </si>
  <si>
    <t xml:space="preserve"> 0x0640</t>
  </si>
  <si>
    <t xml:space="preserve">0x01 </t>
  </si>
  <si>
    <t xml:space="preserve"> 0x0101</t>
  </si>
  <si>
    <t xml:space="preserve">0x02 </t>
  </si>
  <si>
    <t xml:space="preserve"> 0x1800</t>
  </si>
  <si>
    <t xml:space="preserve">0x03 </t>
  </si>
  <si>
    <t xml:space="preserve"> 0x0000</t>
  </si>
  <si>
    <t xml:space="preserve">0x04 </t>
  </si>
  <si>
    <t xml:space="preserve"> 0x09BA</t>
  </si>
  <si>
    <t xml:space="preserve">0x05 </t>
  </si>
  <si>
    <t xml:space="preserve"> 0x019C</t>
  </si>
  <si>
    <t xml:space="preserve">0x06 </t>
  </si>
  <si>
    <t xml:space="preserve">0x07 </t>
  </si>
  <si>
    <t xml:space="preserve">0x08 </t>
  </si>
  <si>
    <t xml:space="preserve">0x09 </t>
  </si>
  <si>
    <t xml:space="preserve">0x0A </t>
  </si>
  <si>
    <t xml:space="preserve">0x0B </t>
  </si>
  <si>
    <t xml:space="preserve">0x0C </t>
  </si>
  <si>
    <t xml:space="preserve">0x0D </t>
  </si>
  <si>
    <t xml:space="preserve">0x0E </t>
  </si>
  <si>
    <t xml:space="preserve">0x0F </t>
  </si>
  <si>
    <t xml:space="preserve">0x10 </t>
  </si>
  <si>
    <t xml:space="preserve"> 0x2FFF</t>
  </si>
  <si>
    <t xml:space="preserve">0x11 </t>
  </si>
  <si>
    <t xml:space="preserve">0x12 </t>
  </si>
  <si>
    <t xml:space="preserve">0x13 </t>
  </si>
  <si>
    <t xml:space="preserve">0x14 </t>
  </si>
  <si>
    <t xml:space="preserve">0x15 </t>
  </si>
  <si>
    <t xml:space="preserve">0x16 </t>
  </si>
  <si>
    <t xml:space="preserve">0x17 </t>
  </si>
  <si>
    <t xml:space="preserve"> 0x0FFF</t>
  </si>
  <si>
    <t xml:space="preserve">0x18 </t>
  </si>
  <si>
    <t xml:space="preserve">0x19 </t>
  </si>
  <si>
    <t xml:space="preserve"> 0xFFFF</t>
  </si>
  <si>
    <t xml:space="preserve">0x1A </t>
  </si>
  <si>
    <t xml:space="preserve"> 0x00FF</t>
  </si>
  <si>
    <t xml:space="preserve">0x1B </t>
  </si>
  <si>
    <t xml:space="preserve">0x1C </t>
  </si>
  <si>
    <t xml:space="preserve">0x30 </t>
  </si>
  <si>
    <t xml:space="preserve"> 0x12C2</t>
  </si>
  <si>
    <t xml:space="preserve">0x31 </t>
  </si>
  <si>
    <t xml:space="preserve"> 0x0004</t>
  </si>
  <si>
    <t xml:space="preserve">0x32 </t>
  </si>
  <si>
    <t xml:space="preserve">0x33 </t>
  </si>
  <si>
    <t xml:space="preserve"> 0x5A5A</t>
  </si>
  <si>
    <t xml:space="preserve">0x39 </t>
  </si>
  <si>
    <t xml:space="preserve">0x3A </t>
  </si>
  <si>
    <t xml:space="preserve"> 0x001F</t>
  </si>
  <si>
    <t xml:space="preserve">0x40 </t>
  </si>
  <si>
    <t xml:space="preserve"> 0x01FF</t>
  </si>
  <si>
    <t xml:space="preserve">0x41 </t>
  </si>
  <si>
    <t xml:space="preserve">0x42 </t>
  </si>
  <si>
    <t xml:space="preserve">0x43 </t>
  </si>
  <si>
    <t xml:space="preserve">0x44 </t>
  </si>
  <si>
    <t xml:space="preserve">0x45 </t>
  </si>
  <si>
    <t xml:space="preserve">0x46 </t>
  </si>
  <si>
    <t xml:space="preserve">0x47 </t>
  </si>
  <si>
    <t xml:space="preserve">0x48 </t>
  </si>
  <si>
    <t xml:space="preserve">0x49 </t>
  </si>
  <si>
    <t xml:space="preserve">0x4A </t>
  </si>
  <si>
    <t xml:space="preserve">0x4B </t>
  </si>
  <si>
    <t xml:space="preserve">0x4C </t>
  </si>
  <si>
    <t xml:space="preserve">0x4D </t>
  </si>
  <si>
    <t xml:space="preserve">0x4E </t>
  </si>
  <si>
    <t xml:space="preserve">0x4F </t>
  </si>
  <si>
    <t xml:space="preserve">0x50 </t>
  </si>
  <si>
    <t xml:space="preserve">0x51 </t>
  </si>
  <si>
    <t xml:space="preserve">0x52 </t>
  </si>
  <si>
    <t xml:space="preserve">0x53 </t>
  </si>
  <si>
    <t xml:space="preserve">0x54 </t>
  </si>
  <si>
    <t xml:space="preserve">0x55 </t>
  </si>
  <si>
    <t xml:space="preserve">0x56 </t>
  </si>
  <si>
    <t xml:space="preserve">0x57 </t>
  </si>
  <si>
    <t xml:space="preserve">0x58 </t>
  </si>
  <si>
    <t xml:space="preserve">0x59 </t>
  </si>
  <si>
    <t xml:space="preserve">0x5A </t>
  </si>
  <si>
    <t xml:space="preserve">0x5B </t>
  </si>
  <si>
    <t xml:space="preserve">0x5C </t>
  </si>
  <si>
    <t xml:space="preserve">0x5D </t>
  </si>
  <si>
    <t xml:space="preserve">0x5E </t>
  </si>
  <si>
    <t xml:space="preserve">0x5F </t>
  </si>
  <si>
    <t xml:space="preserve">0x60 </t>
  </si>
  <si>
    <t xml:space="preserve">0x61 </t>
  </si>
  <si>
    <t xml:space="preserve">0x62 </t>
  </si>
  <si>
    <t xml:space="preserve">0x63 </t>
  </si>
  <si>
    <t xml:space="preserve">0x64 </t>
  </si>
  <si>
    <t xml:space="preserve">0x65 </t>
  </si>
  <si>
    <t xml:space="preserve">0x66 </t>
  </si>
  <si>
    <t xml:space="preserve">0x67 </t>
  </si>
  <si>
    <t xml:space="preserve">0x68 </t>
  </si>
  <si>
    <t xml:space="preserve">0x69 </t>
  </si>
  <si>
    <t xml:space="preserve">0x6A </t>
  </si>
  <si>
    <t xml:space="preserve">0x6B </t>
  </si>
  <si>
    <t xml:space="preserve">0x6C </t>
  </si>
  <si>
    <t xml:space="preserve">0x6D </t>
  </si>
  <si>
    <t xml:space="preserve">0x6E </t>
  </si>
  <si>
    <t xml:space="preserve">0x6F </t>
  </si>
  <si>
    <t xml:space="preserve">0x70 </t>
  </si>
  <si>
    <t>CQ24&gt;&gt; CQ24 CMD1 REGISTERS</t>
  </si>
  <si>
    <t xml:space="preserve"> [0x100]</t>
  </si>
  <si>
    <t xml:space="preserve"> [0x401]</t>
  </si>
  <si>
    <t xml:space="preserve"> [0x0740]</t>
  </si>
  <si>
    <t xml:space="preserve"> [0x0101]</t>
  </si>
  <si>
    <t xml:space="preserve"> [0x1800]</t>
  </si>
  <si>
    <t xml:space="preserve"> [0x0000]</t>
  </si>
  <si>
    <t xml:space="preserve">[0x04] </t>
  </si>
  <si>
    <t xml:space="preserve"> [0x098A]</t>
  </si>
  <si>
    <t xml:space="preserve">[0x05] </t>
  </si>
  <si>
    <t xml:space="preserve"> [0x019C]</t>
  </si>
  <si>
    <t xml:space="preserve">[0x06] </t>
  </si>
  <si>
    <t xml:space="preserve">[0x07] </t>
  </si>
  <si>
    <t xml:space="preserve">[0x08] </t>
  </si>
  <si>
    <t xml:space="preserve">[0x09] </t>
  </si>
  <si>
    <t xml:space="preserve">[0x0A] </t>
  </si>
  <si>
    <t xml:space="preserve">[0x0B] </t>
  </si>
  <si>
    <t xml:space="preserve">[0x0C] </t>
  </si>
  <si>
    <t xml:space="preserve">[0x0D] </t>
  </si>
  <si>
    <t xml:space="preserve">[0x0E] </t>
  </si>
  <si>
    <t xml:space="preserve">[0x0F] </t>
  </si>
  <si>
    <t xml:space="preserve">[0x10] </t>
  </si>
  <si>
    <t xml:space="preserve"> [0x2FFF]</t>
  </si>
  <si>
    <t xml:space="preserve">[0x11] </t>
  </si>
  <si>
    <t xml:space="preserve">[0x12] </t>
  </si>
  <si>
    <t xml:space="preserve">[0x13] </t>
  </si>
  <si>
    <t xml:space="preserve">[0x14] </t>
  </si>
  <si>
    <t xml:space="preserve">[0x15] </t>
  </si>
  <si>
    <t xml:space="preserve">[0x16] </t>
  </si>
  <si>
    <t xml:space="preserve">[0x17] </t>
  </si>
  <si>
    <t xml:space="preserve"> [0x0FFF]</t>
  </si>
  <si>
    <t xml:space="preserve">[0x18] </t>
  </si>
  <si>
    <t xml:space="preserve">[0x19] </t>
  </si>
  <si>
    <t xml:space="preserve"> [0xFFFF]</t>
  </si>
  <si>
    <t xml:space="preserve">[0x1A] </t>
  </si>
  <si>
    <t xml:space="preserve"> [0x00FF]</t>
  </si>
  <si>
    <t xml:space="preserve">[0x1B] </t>
  </si>
  <si>
    <t xml:space="preserve">[0x1C] </t>
  </si>
  <si>
    <t xml:space="preserve">[0x1D] </t>
  </si>
  <si>
    <t xml:space="preserve">[0x1E] </t>
  </si>
  <si>
    <t xml:space="preserve">[0x1F] </t>
  </si>
  <si>
    <t xml:space="preserve">[0x20] </t>
  </si>
  <si>
    <t xml:space="preserve">[0x21] </t>
  </si>
  <si>
    <t xml:space="preserve">[0x22] </t>
  </si>
  <si>
    <t xml:space="preserve">[0x23] </t>
  </si>
  <si>
    <t xml:space="preserve">[0x24] </t>
  </si>
  <si>
    <t xml:space="preserve">[0x25] </t>
  </si>
  <si>
    <t xml:space="preserve">[0x26] </t>
  </si>
  <si>
    <t xml:space="preserve">[0x27] </t>
  </si>
  <si>
    <t xml:space="preserve">[0x28] </t>
  </si>
  <si>
    <t xml:space="preserve">[0x29] </t>
  </si>
  <si>
    <t xml:space="preserve">[0x2A] </t>
  </si>
  <si>
    <t xml:space="preserve">[0x2B] </t>
  </si>
  <si>
    <t xml:space="preserve">[0x2C] </t>
  </si>
  <si>
    <t xml:space="preserve">[0x2D] </t>
  </si>
  <si>
    <t xml:space="preserve">[0x2E] </t>
  </si>
  <si>
    <t xml:space="preserve">[0x2F] </t>
  </si>
  <si>
    <t xml:space="preserve">[0x30] </t>
  </si>
  <si>
    <t xml:space="preserve"> [0x12C2]</t>
  </si>
  <si>
    <t xml:space="preserve">[0x31] </t>
  </si>
  <si>
    <t xml:space="preserve"> [0x0004]</t>
  </si>
  <si>
    <t xml:space="preserve">[0x32] </t>
  </si>
  <si>
    <t xml:space="preserve">[0x33] </t>
  </si>
  <si>
    <t xml:space="preserve"> [0x5A5A]</t>
  </si>
  <si>
    <t xml:space="preserve">[0x34] </t>
  </si>
  <si>
    <t xml:space="preserve">[0x35] </t>
  </si>
  <si>
    <t xml:space="preserve">[0x36] </t>
  </si>
  <si>
    <t xml:space="preserve">[0x37] </t>
  </si>
  <si>
    <t xml:space="preserve">[0x38] </t>
  </si>
  <si>
    <t xml:space="preserve">[0x39] </t>
  </si>
  <si>
    <t xml:space="preserve">[0x3A] </t>
  </si>
  <si>
    <t xml:space="preserve"> [0x001F]</t>
  </si>
  <si>
    <t xml:space="preserve">[0x3B] </t>
  </si>
  <si>
    <t xml:space="preserve">[0x3C] </t>
  </si>
  <si>
    <t xml:space="preserve">[0x3D] </t>
  </si>
  <si>
    <t xml:space="preserve">[0x3E] </t>
  </si>
  <si>
    <t xml:space="preserve">[0x3F] </t>
  </si>
  <si>
    <t xml:space="preserve">[0x40] </t>
  </si>
  <si>
    <t xml:space="preserve"> [0x01FF]</t>
  </si>
  <si>
    <t xml:space="preserve">[0x41] </t>
  </si>
  <si>
    <t xml:space="preserve">[0x42] </t>
  </si>
  <si>
    <t xml:space="preserve">[0x43] </t>
  </si>
  <si>
    <t xml:space="preserve">[0x44] </t>
  </si>
  <si>
    <t xml:space="preserve">[0x45] </t>
  </si>
  <si>
    <t xml:space="preserve">[0x46] </t>
  </si>
  <si>
    <t xml:space="preserve">[0x47] </t>
  </si>
  <si>
    <t xml:space="preserve">[0x48] </t>
  </si>
  <si>
    <t xml:space="preserve">[0x49] </t>
  </si>
  <si>
    <t xml:space="preserve">[0x4A] </t>
  </si>
  <si>
    <t xml:space="preserve">[0x4B] </t>
  </si>
  <si>
    <t xml:space="preserve">[0x4C] </t>
  </si>
  <si>
    <t xml:space="preserve">[0x4D] </t>
  </si>
  <si>
    <t xml:space="preserve">[0x4E] </t>
  </si>
  <si>
    <t xml:space="preserve">[0x4F] </t>
  </si>
  <si>
    <t xml:space="preserve">[0x50] </t>
  </si>
  <si>
    <t xml:space="preserve">[0x51] </t>
  </si>
  <si>
    <t xml:space="preserve">[0x52] </t>
  </si>
  <si>
    <t xml:space="preserve">[0x53] </t>
  </si>
  <si>
    <t xml:space="preserve">[0x54] </t>
  </si>
  <si>
    <t xml:space="preserve">[0x55] </t>
  </si>
  <si>
    <t xml:space="preserve">[0x56] </t>
  </si>
  <si>
    <t xml:space="preserve">[0x57] </t>
  </si>
  <si>
    <t xml:space="preserve">[0x58] </t>
  </si>
  <si>
    <t xml:space="preserve">[0x59] </t>
  </si>
  <si>
    <t xml:space="preserve">[0x5A] </t>
  </si>
  <si>
    <t xml:space="preserve">[0x5B] </t>
  </si>
  <si>
    <t xml:space="preserve">[0x5C] </t>
  </si>
  <si>
    <t xml:space="preserve">[0x5D] </t>
  </si>
  <si>
    <t xml:space="preserve">[0x5E] </t>
  </si>
  <si>
    <t xml:space="preserve">[0x5F] </t>
  </si>
  <si>
    <t xml:space="preserve">[0x60] </t>
  </si>
  <si>
    <t xml:space="preserve">[0x61] </t>
  </si>
  <si>
    <t xml:space="preserve">[0x62] </t>
  </si>
  <si>
    <t xml:space="preserve">[0x63] </t>
  </si>
  <si>
    <t xml:space="preserve">[0x64] </t>
  </si>
  <si>
    <t xml:space="preserve">[0x65] </t>
  </si>
  <si>
    <t xml:space="preserve">[0x66] </t>
  </si>
  <si>
    <t xml:space="preserve">[0x67] </t>
  </si>
  <si>
    <t xml:space="preserve">[0x68] </t>
  </si>
  <si>
    <t xml:space="preserve">[0x69] </t>
  </si>
  <si>
    <t xml:space="preserve">[0x6A] </t>
  </si>
  <si>
    <t xml:space="preserve">[0x6B] </t>
  </si>
  <si>
    <t xml:space="preserve">[0x6C] </t>
  </si>
  <si>
    <t xml:space="preserve">[0x6D] </t>
  </si>
  <si>
    <t xml:space="preserve">[0x6E] </t>
  </si>
  <si>
    <t xml:space="preserve">[0x6F] </t>
  </si>
  <si>
    <t xml:space="preserve">[0x70]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</si>
</sst>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MHz&quot;"/>
    <numFmt numFmtId="177" formatCode="0&quot;MHz&quot;"/>
    <numFmt numFmtId="178" formatCode="0.00&quot;MHz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680356</xdr:colOff>
      <xdr:row>0</xdr:row>
      <xdr:rowOff>217713</xdr:rowOff>
    </xdr:from>
    <xdr:to>
      <xdr:col>31</xdr:col>
      <xdr:colOff>601010</xdr:colOff>
      <xdr:row>33</xdr:row>
      <xdr:rowOff>18369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58E3C24-8C81-435D-A6E7-87ABED58A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0518" y="217713"/>
          <a:ext cx="10202891" cy="70301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4BD1-7A1F-43D5-88A5-A933F0DA5CD8}">
  <dimension ref="B2:R15"/>
  <sheetViews>
    <sheetView zoomScale="70" zoomScaleNormal="70" workbookViewId="0"/>
  </sheetViews>
  <sheetFormatPr defaultRowHeight="16.899999999999999" x14ac:dyDescent="0.6"/>
  <cols>
    <col min="1" max="1" width="2.5625" customWidth="1"/>
    <col min="2" max="2" width="9.9375" bestFit="1" customWidth="1"/>
    <col min="3" max="3" width="11.6875" bestFit="1" customWidth="1"/>
    <col min="4" max="4" width="10.5625" bestFit="1" customWidth="1"/>
    <col min="5" max="5" width="14.1875" bestFit="1" customWidth="1"/>
    <col min="6" max="9" width="10.5625" bestFit="1" customWidth="1"/>
    <col min="10" max="13" width="11.6875" bestFit="1" customWidth="1"/>
    <col min="14" max="16" width="10.5625" bestFit="1" customWidth="1"/>
  </cols>
  <sheetData>
    <row r="2" spans="2:18" x14ac:dyDescent="0.6">
      <c r="C2" t="s">
        <v>14</v>
      </c>
      <c r="D2" t="s">
        <v>15</v>
      </c>
      <c r="F2" t="s">
        <v>2</v>
      </c>
    </row>
    <row r="3" spans="2:18" x14ac:dyDescent="0.6">
      <c r="B3" s="2" t="s">
        <v>16</v>
      </c>
      <c r="C3" s="5">
        <v>32</v>
      </c>
      <c r="D3" s="5">
        <f>C3*2</f>
        <v>64</v>
      </c>
      <c r="F3">
        <f>8/6*194/4/4</f>
        <v>16.166666666666664</v>
      </c>
    </row>
    <row r="4" spans="2:18" x14ac:dyDescent="0.6">
      <c r="B4" s="2" t="s">
        <v>17</v>
      </c>
      <c r="C4" s="5">
        <v>64</v>
      </c>
      <c r="D4" s="5">
        <f>C4*2</f>
        <v>128</v>
      </c>
      <c r="Q4" s="4"/>
      <c r="R4" s="4"/>
    </row>
    <row r="6" spans="2:18" x14ac:dyDescent="0.6">
      <c r="B6" s="2"/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29</v>
      </c>
      <c r="O6" s="2" t="s">
        <v>30</v>
      </c>
      <c r="P6" s="2" t="s">
        <v>31</v>
      </c>
    </row>
    <row r="7" spans="2:18" x14ac:dyDescent="0.6">
      <c r="B7" s="2" t="s">
        <v>32</v>
      </c>
      <c r="C7" s="2" t="s">
        <v>17</v>
      </c>
      <c r="D7" s="2" t="s">
        <v>16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17</v>
      </c>
      <c r="K7" s="2" t="s">
        <v>17</v>
      </c>
      <c r="L7" s="2" t="s">
        <v>17</v>
      </c>
      <c r="M7" s="2" t="s">
        <v>17</v>
      </c>
      <c r="N7" s="2" t="s">
        <v>16</v>
      </c>
      <c r="O7" s="2" t="s">
        <v>16</v>
      </c>
      <c r="P7" s="2" t="s">
        <v>16</v>
      </c>
    </row>
    <row r="8" spans="2:18" x14ac:dyDescent="0.6">
      <c r="B8" s="2" t="s">
        <v>33</v>
      </c>
      <c r="C8" s="2">
        <v>16</v>
      </c>
      <c r="D8" s="2">
        <v>32</v>
      </c>
      <c r="E8" s="2">
        <v>16</v>
      </c>
      <c r="F8" s="2">
        <v>16</v>
      </c>
      <c r="G8" s="2">
        <v>32</v>
      </c>
      <c r="H8" s="2">
        <v>16</v>
      </c>
      <c r="I8" s="2">
        <v>16</v>
      </c>
      <c r="J8" s="2">
        <v>16</v>
      </c>
      <c r="K8" s="2">
        <v>16</v>
      </c>
      <c r="L8" s="2">
        <v>16</v>
      </c>
      <c r="M8" s="2">
        <v>16</v>
      </c>
      <c r="N8" s="2">
        <v>16</v>
      </c>
      <c r="O8" s="2">
        <v>16</v>
      </c>
      <c r="P8" s="2">
        <v>16</v>
      </c>
    </row>
    <row r="9" spans="2:18" x14ac:dyDescent="0.6">
      <c r="B9" s="2" t="s">
        <v>34</v>
      </c>
      <c r="C9" t="s">
        <v>39</v>
      </c>
      <c r="D9" t="s">
        <v>40</v>
      </c>
      <c r="N9" t="s">
        <v>41</v>
      </c>
    </row>
    <row r="10" spans="2:18" x14ac:dyDescent="0.6">
      <c r="B10" s="2" t="s">
        <v>35</v>
      </c>
      <c r="C10" s="5">
        <f t="shared" ref="C10:P10" si="0">IF(C7="APB2",$D$4, $D$3)</f>
        <v>128</v>
      </c>
      <c r="D10" s="5">
        <f t="shared" si="0"/>
        <v>64</v>
      </c>
      <c r="E10" s="5">
        <f t="shared" si="0"/>
        <v>64</v>
      </c>
      <c r="F10" s="5">
        <f t="shared" si="0"/>
        <v>64</v>
      </c>
      <c r="G10" s="5">
        <f t="shared" si="0"/>
        <v>64</v>
      </c>
      <c r="H10" s="5">
        <f t="shared" si="0"/>
        <v>64</v>
      </c>
      <c r="I10" s="5">
        <f t="shared" si="0"/>
        <v>64</v>
      </c>
      <c r="J10" s="5">
        <f t="shared" si="0"/>
        <v>128</v>
      </c>
      <c r="K10" s="5">
        <f t="shared" si="0"/>
        <v>128</v>
      </c>
      <c r="L10" s="5">
        <f t="shared" si="0"/>
        <v>128</v>
      </c>
      <c r="M10" s="5">
        <f t="shared" si="0"/>
        <v>128</v>
      </c>
      <c r="N10" s="5">
        <f t="shared" si="0"/>
        <v>64</v>
      </c>
      <c r="O10" s="3">
        <f t="shared" si="0"/>
        <v>64</v>
      </c>
      <c r="P10" s="3">
        <f t="shared" si="0"/>
        <v>64</v>
      </c>
    </row>
    <row r="11" spans="2:18" x14ac:dyDescent="0.6">
      <c r="B11" s="2" t="s">
        <v>36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89</v>
      </c>
      <c r="O11">
        <v>0</v>
      </c>
      <c r="P11">
        <v>0</v>
      </c>
    </row>
    <row r="12" spans="2:18" x14ac:dyDescent="0.6">
      <c r="B12" s="2" t="s">
        <v>37</v>
      </c>
      <c r="C12">
        <v>0</v>
      </c>
      <c r="D12">
        <v>639999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3866</v>
      </c>
      <c r="O12">
        <v>0</v>
      </c>
      <c r="P12">
        <v>0</v>
      </c>
    </row>
    <row r="13" spans="2:18" x14ac:dyDescent="0.6">
      <c r="B13" s="2" t="s">
        <v>1</v>
      </c>
      <c r="C13">
        <f>C10/((C11+1)*(C12+1))</f>
        <v>128</v>
      </c>
      <c r="D13">
        <f t="shared" ref="D13:P13" si="1">D10/((D11+1)*(D12+1))</f>
        <v>1E-4</v>
      </c>
      <c r="E13">
        <f t="shared" si="1"/>
        <v>64</v>
      </c>
      <c r="F13">
        <f t="shared" si="1"/>
        <v>64</v>
      </c>
      <c r="G13">
        <f t="shared" si="1"/>
        <v>64</v>
      </c>
      <c r="H13">
        <f t="shared" si="1"/>
        <v>64</v>
      </c>
      <c r="I13">
        <f t="shared" si="1"/>
        <v>64</v>
      </c>
      <c r="J13">
        <f t="shared" si="1"/>
        <v>128</v>
      </c>
      <c r="K13">
        <f t="shared" si="1"/>
        <v>128</v>
      </c>
      <c r="L13">
        <f t="shared" si="1"/>
        <v>128</v>
      </c>
      <c r="M13">
        <f t="shared" si="1"/>
        <v>128</v>
      </c>
      <c r="N13">
        <f t="shared" si="1"/>
        <v>1.8389219320173549E-4</v>
      </c>
      <c r="O13">
        <f t="shared" si="1"/>
        <v>64</v>
      </c>
      <c r="P13">
        <f t="shared" si="1"/>
        <v>64</v>
      </c>
    </row>
    <row r="14" spans="2:18" x14ac:dyDescent="0.6">
      <c r="B14" s="2" t="s">
        <v>38</v>
      </c>
      <c r="C14">
        <f>C13*1000</f>
        <v>128000</v>
      </c>
      <c r="D14">
        <f t="shared" ref="D14:P15" si="2">D13*1000</f>
        <v>0.1</v>
      </c>
      <c r="E14">
        <f t="shared" si="2"/>
        <v>64000</v>
      </c>
      <c r="F14">
        <f t="shared" si="2"/>
        <v>64000</v>
      </c>
      <c r="G14">
        <f t="shared" si="2"/>
        <v>64000</v>
      </c>
      <c r="H14">
        <f t="shared" si="2"/>
        <v>64000</v>
      </c>
      <c r="I14">
        <f t="shared" si="2"/>
        <v>64000</v>
      </c>
      <c r="J14">
        <f t="shared" si="2"/>
        <v>128000</v>
      </c>
      <c r="K14">
        <f t="shared" si="2"/>
        <v>128000</v>
      </c>
      <c r="L14">
        <f t="shared" si="2"/>
        <v>128000</v>
      </c>
      <c r="M14">
        <f t="shared" si="2"/>
        <v>128000</v>
      </c>
      <c r="N14">
        <f t="shared" si="2"/>
        <v>0.1838921932017355</v>
      </c>
      <c r="O14">
        <f t="shared" si="2"/>
        <v>64000</v>
      </c>
      <c r="P14">
        <f t="shared" si="2"/>
        <v>64000</v>
      </c>
    </row>
    <row r="15" spans="2:18" x14ac:dyDescent="0.6">
      <c r="B15" s="2" t="s">
        <v>4</v>
      </c>
      <c r="C15">
        <f>C14*1000</f>
        <v>128000000</v>
      </c>
      <c r="D15">
        <f t="shared" si="2"/>
        <v>100</v>
      </c>
      <c r="E15">
        <f t="shared" si="2"/>
        <v>64000000</v>
      </c>
      <c r="F15">
        <f t="shared" si="2"/>
        <v>64000000</v>
      </c>
      <c r="G15">
        <f t="shared" si="2"/>
        <v>64000000</v>
      </c>
      <c r="H15">
        <f t="shared" si="2"/>
        <v>64000000</v>
      </c>
      <c r="I15">
        <f t="shared" si="2"/>
        <v>64000000</v>
      </c>
      <c r="J15">
        <f t="shared" si="2"/>
        <v>128000000</v>
      </c>
      <c r="K15">
        <f t="shared" si="2"/>
        <v>128000000</v>
      </c>
      <c r="L15">
        <f t="shared" si="2"/>
        <v>128000000</v>
      </c>
      <c r="M15">
        <f t="shared" si="2"/>
        <v>128000000</v>
      </c>
      <c r="N15">
        <f t="shared" si="2"/>
        <v>183.89219320173549</v>
      </c>
      <c r="O15">
        <f t="shared" si="2"/>
        <v>64000000</v>
      </c>
      <c r="P15">
        <f t="shared" si="2"/>
        <v>64000000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CCDE-3ABD-436D-95E7-3FFBDDAA0456}">
  <dimension ref="B2:F11"/>
  <sheetViews>
    <sheetView tabSelected="1" zoomScale="85" zoomScaleNormal="85" workbookViewId="0"/>
  </sheetViews>
  <sheetFormatPr defaultRowHeight="16.899999999999999" x14ac:dyDescent="0.6"/>
  <cols>
    <col min="1" max="1" width="2.5625" style="1" customWidth="1"/>
    <col min="2" max="2" width="10.375" style="1" bestFit="1" customWidth="1"/>
    <col min="3" max="16384" width="9" style="1"/>
  </cols>
  <sheetData>
    <row r="2" spans="2:6" x14ac:dyDescent="0.6">
      <c r="B2" s="1" t="s">
        <v>3</v>
      </c>
      <c r="C2" s="1">
        <v>100</v>
      </c>
      <c r="D2" s="1" t="s">
        <v>4</v>
      </c>
      <c r="E2" s="1">
        <f>1000000/C2</f>
        <v>10000</v>
      </c>
      <c r="F2" s="1" t="s">
        <v>0</v>
      </c>
    </row>
    <row r="3" spans="2:6" x14ac:dyDescent="0.6">
      <c r="B3" s="1" t="s">
        <v>2</v>
      </c>
      <c r="C3" s="1">
        <v>16.166666599999999</v>
      </c>
      <c r="D3" s="1" t="s">
        <v>1</v>
      </c>
      <c r="E3" s="1">
        <f>1/C3</f>
        <v>6.1855670358167719E-2</v>
      </c>
      <c r="F3" s="1" t="s">
        <v>0</v>
      </c>
    </row>
    <row r="4" spans="2:6" x14ac:dyDescent="0.6">
      <c r="B4" s="1" t="s">
        <v>5</v>
      </c>
      <c r="C4" s="1">
        <v>64</v>
      </c>
      <c r="E4" s="1">
        <f>E2/C4</f>
        <v>156.25</v>
      </c>
    </row>
    <row r="5" spans="2:6" x14ac:dyDescent="0.6">
      <c r="B5" s="1" t="s">
        <v>6</v>
      </c>
      <c r="C5" s="1">
        <v>7</v>
      </c>
      <c r="E5" s="1">
        <f>E4/C5</f>
        <v>22.321428571428573</v>
      </c>
    </row>
    <row r="7" spans="2:6" x14ac:dyDescent="0.6">
      <c r="E7" s="1" t="s">
        <v>8</v>
      </c>
      <c r="F7" s="1" t="s">
        <v>9</v>
      </c>
    </row>
    <row r="8" spans="2:6" x14ac:dyDescent="0.6">
      <c r="B8" s="1" t="s">
        <v>10</v>
      </c>
      <c r="C8" s="1">
        <f>E4/E3</f>
        <v>2526.04165625</v>
      </c>
      <c r="D8" s="1" t="s">
        <v>7</v>
      </c>
      <c r="E8" s="1">
        <v>2500</v>
      </c>
      <c r="F8" s="1" t="str">
        <f>DEC2HEX(E8)</f>
        <v>9C4</v>
      </c>
    </row>
    <row r="9" spans="2:6" x14ac:dyDescent="0.6">
      <c r="B9" s="1" t="s">
        <v>11</v>
      </c>
      <c r="C9" s="1">
        <f>E5/E3</f>
        <v>360.86309374999996</v>
      </c>
      <c r="D9" s="1" t="s">
        <v>7</v>
      </c>
      <c r="E9" s="1">
        <v>356</v>
      </c>
      <c r="F9" s="1" t="str">
        <f>DEC2HEX(E9)</f>
        <v>164</v>
      </c>
    </row>
    <row r="10" spans="2:6" x14ac:dyDescent="0.6">
      <c r="B10" s="1" t="s">
        <v>12</v>
      </c>
      <c r="E10" s="1">
        <v>320</v>
      </c>
      <c r="F10" s="1" t="str">
        <f>DEC2HEX(E10)</f>
        <v>140</v>
      </c>
    </row>
    <row r="11" spans="2:6" x14ac:dyDescent="0.6">
      <c r="B11" s="1" t="s">
        <v>13</v>
      </c>
      <c r="E11" s="1">
        <v>32</v>
      </c>
      <c r="F11" s="1" t="str">
        <f>DEC2HEX(E11)</f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69DA-3647-4257-8D34-BA0A722973F5}">
  <dimension ref="B2:G121"/>
  <sheetViews>
    <sheetView workbookViewId="0">
      <selection activeCell="C6" sqref="C6"/>
    </sheetView>
  </sheetViews>
  <sheetFormatPr defaultRowHeight="16.899999999999999" x14ac:dyDescent="0.6"/>
  <sheetData>
    <row r="2" spans="2:7" x14ac:dyDescent="0.6">
      <c r="B2" t="s">
        <v>42</v>
      </c>
      <c r="F2" t="s">
        <v>150</v>
      </c>
    </row>
    <row r="3" spans="2:7" x14ac:dyDescent="0.6">
      <c r="B3" t="s">
        <v>44</v>
      </c>
      <c r="C3" t="s">
        <v>45</v>
      </c>
      <c r="F3" t="s">
        <v>44</v>
      </c>
      <c r="G3" t="s">
        <v>151</v>
      </c>
    </row>
    <row r="4" spans="2:7" x14ac:dyDescent="0.6">
      <c r="B4" t="s">
        <v>46</v>
      </c>
      <c r="C4" t="s">
        <v>47</v>
      </c>
      <c r="F4" t="s">
        <v>46</v>
      </c>
      <c r="G4" t="s">
        <v>152</v>
      </c>
    </row>
    <row r="5" spans="2:7" x14ac:dyDescent="0.6">
      <c r="B5" t="s">
        <v>48</v>
      </c>
      <c r="C5" t="s">
        <v>49</v>
      </c>
      <c r="F5" t="s">
        <v>48</v>
      </c>
      <c r="G5" t="s">
        <v>49</v>
      </c>
    </row>
    <row r="6" spans="2:7" x14ac:dyDescent="0.6">
      <c r="B6" t="s">
        <v>50</v>
      </c>
      <c r="C6" t="s">
        <v>45</v>
      </c>
      <c r="F6" t="s">
        <v>50</v>
      </c>
      <c r="G6" t="s">
        <v>45</v>
      </c>
    </row>
    <row r="8" spans="2:7" x14ac:dyDescent="0.6">
      <c r="B8" t="s">
        <v>43</v>
      </c>
      <c r="F8" t="s">
        <v>43</v>
      </c>
    </row>
    <row r="9" spans="2:7" x14ac:dyDescent="0.6">
      <c r="B9" t="s">
        <v>51</v>
      </c>
      <c r="C9" t="s">
        <v>52</v>
      </c>
      <c r="F9" t="s">
        <v>44</v>
      </c>
      <c r="G9" t="s">
        <v>153</v>
      </c>
    </row>
    <row r="10" spans="2:7" x14ac:dyDescent="0.6">
      <c r="B10" t="s">
        <v>53</v>
      </c>
      <c r="C10" t="s">
        <v>54</v>
      </c>
      <c r="F10" t="s">
        <v>46</v>
      </c>
      <c r="G10" t="s">
        <v>154</v>
      </c>
    </row>
    <row r="11" spans="2:7" x14ac:dyDescent="0.6">
      <c r="B11" t="s">
        <v>55</v>
      </c>
      <c r="C11" t="s">
        <v>56</v>
      </c>
      <c r="F11" t="s">
        <v>48</v>
      </c>
      <c r="G11" t="s">
        <v>155</v>
      </c>
    </row>
    <row r="12" spans="2:7" x14ac:dyDescent="0.6">
      <c r="B12" t="s">
        <v>57</v>
      </c>
      <c r="C12" t="s">
        <v>58</v>
      </c>
      <c r="F12" t="s">
        <v>50</v>
      </c>
      <c r="G12" t="s">
        <v>156</v>
      </c>
    </row>
    <row r="13" spans="2:7" x14ac:dyDescent="0.6">
      <c r="B13" t="s">
        <v>59</v>
      </c>
      <c r="C13" t="s">
        <v>60</v>
      </c>
      <c r="F13" t="s">
        <v>157</v>
      </c>
      <c r="G13" t="s">
        <v>158</v>
      </c>
    </row>
    <row r="14" spans="2:7" x14ac:dyDescent="0.6">
      <c r="B14" t="s">
        <v>61</v>
      </c>
      <c r="C14" t="s">
        <v>62</v>
      </c>
      <c r="F14" t="s">
        <v>159</v>
      </c>
      <c r="G14" t="s">
        <v>160</v>
      </c>
    </row>
    <row r="15" spans="2:7" x14ac:dyDescent="0.6">
      <c r="B15" t="s">
        <v>63</v>
      </c>
      <c r="C15" t="s">
        <v>58</v>
      </c>
      <c r="F15" t="s">
        <v>161</v>
      </c>
      <c r="G15" t="s">
        <v>156</v>
      </c>
    </row>
    <row r="16" spans="2:7" x14ac:dyDescent="0.6">
      <c r="B16" t="s">
        <v>64</v>
      </c>
      <c r="C16" t="s">
        <v>58</v>
      </c>
      <c r="F16" t="s">
        <v>162</v>
      </c>
      <c r="G16" t="s">
        <v>156</v>
      </c>
    </row>
    <row r="17" spans="2:7" x14ac:dyDescent="0.6">
      <c r="B17" t="s">
        <v>65</v>
      </c>
      <c r="C17" t="s">
        <v>58</v>
      </c>
      <c r="F17" t="s">
        <v>163</v>
      </c>
      <c r="G17" t="s">
        <v>156</v>
      </c>
    </row>
    <row r="18" spans="2:7" x14ac:dyDescent="0.6">
      <c r="B18" t="s">
        <v>66</v>
      </c>
      <c r="C18" t="s">
        <v>58</v>
      </c>
      <c r="F18" t="s">
        <v>164</v>
      </c>
      <c r="G18" t="s">
        <v>156</v>
      </c>
    </row>
    <row r="19" spans="2:7" x14ac:dyDescent="0.6">
      <c r="B19" t="s">
        <v>67</v>
      </c>
      <c r="C19" t="s">
        <v>58</v>
      </c>
      <c r="F19" t="s">
        <v>165</v>
      </c>
      <c r="G19" t="s">
        <v>156</v>
      </c>
    </row>
    <row r="20" spans="2:7" x14ac:dyDescent="0.6">
      <c r="B20" t="s">
        <v>68</v>
      </c>
      <c r="C20" t="s">
        <v>58</v>
      </c>
      <c r="F20" t="s">
        <v>166</v>
      </c>
      <c r="G20" t="s">
        <v>156</v>
      </c>
    </row>
    <row r="21" spans="2:7" x14ac:dyDescent="0.6">
      <c r="B21" t="s">
        <v>69</v>
      </c>
      <c r="C21" t="s">
        <v>58</v>
      </c>
      <c r="F21" t="s">
        <v>167</v>
      </c>
      <c r="G21" t="s">
        <v>156</v>
      </c>
    </row>
    <row r="22" spans="2:7" x14ac:dyDescent="0.6">
      <c r="B22" t="s">
        <v>70</v>
      </c>
      <c r="C22" t="s">
        <v>58</v>
      </c>
      <c r="F22" t="s">
        <v>168</v>
      </c>
      <c r="G22" t="s">
        <v>156</v>
      </c>
    </row>
    <row r="23" spans="2:7" x14ac:dyDescent="0.6">
      <c r="B23" t="s">
        <v>71</v>
      </c>
      <c r="C23" t="s">
        <v>58</v>
      </c>
      <c r="F23" t="s">
        <v>169</v>
      </c>
      <c r="G23" t="s">
        <v>156</v>
      </c>
    </row>
    <row r="24" spans="2:7" x14ac:dyDescent="0.6">
      <c r="B24" t="s">
        <v>72</v>
      </c>
      <c r="C24" t="s">
        <v>58</v>
      </c>
      <c r="F24" t="s">
        <v>170</v>
      </c>
      <c r="G24" t="s">
        <v>156</v>
      </c>
    </row>
    <row r="25" spans="2:7" x14ac:dyDescent="0.6">
      <c r="B25" t="s">
        <v>73</v>
      </c>
      <c r="C25" t="s">
        <v>74</v>
      </c>
      <c r="F25" t="s">
        <v>171</v>
      </c>
      <c r="G25" t="s">
        <v>172</v>
      </c>
    </row>
    <row r="26" spans="2:7" x14ac:dyDescent="0.6">
      <c r="B26" t="s">
        <v>75</v>
      </c>
      <c r="C26" t="s">
        <v>58</v>
      </c>
      <c r="F26" t="s">
        <v>173</v>
      </c>
      <c r="G26" t="s">
        <v>156</v>
      </c>
    </row>
    <row r="27" spans="2:7" x14ac:dyDescent="0.6">
      <c r="B27" t="s">
        <v>76</v>
      </c>
      <c r="C27" t="s">
        <v>58</v>
      </c>
      <c r="F27" t="s">
        <v>174</v>
      </c>
      <c r="G27" t="s">
        <v>156</v>
      </c>
    </row>
    <row r="28" spans="2:7" x14ac:dyDescent="0.6">
      <c r="B28" t="s">
        <v>77</v>
      </c>
      <c r="C28" t="s">
        <v>58</v>
      </c>
      <c r="F28" t="s">
        <v>175</v>
      </c>
      <c r="G28" t="s">
        <v>156</v>
      </c>
    </row>
    <row r="29" spans="2:7" x14ac:dyDescent="0.6">
      <c r="B29" t="s">
        <v>78</v>
      </c>
      <c r="C29" t="s">
        <v>58</v>
      </c>
      <c r="F29" t="s">
        <v>176</v>
      </c>
      <c r="G29" t="s">
        <v>156</v>
      </c>
    </row>
    <row r="30" spans="2:7" x14ac:dyDescent="0.6">
      <c r="B30" t="s">
        <v>79</v>
      </c>
      <c r="C30" t="s">
        <v>58</v>
      </c>
      <c r="F30" t="s">
        <v>177</v>
      </c>
      <c r="G30" t="s">
        <v>156</v>
      </c>
    </row>
    <row r="31" spans="2:7" x14ac:dyDescent="0.6">
      <c r="B31" t="s">
        <v>80</v>
      </c>
      <c r="C31" t="s">
        <v>58</v>
      </c>
      <c r="F31" t="s">
        <v>178</v>
      </c>
      <c r="G31" t="s">
        <v>156</v>
      </c>
    </row>
    <row r="32" spans="2:7" x14ac:dyDescent="0.6">
      <c r="B32" t="s">
        <v>81</v>
      </c>
      <c r="C32" t="s">
        <v>82</v>
      </c>
      <c r="F32" t="s">
        <v>179</v>
      </c>
      <c r="G32" t="s">
        <v>180</v>
      </c>
    </row>
    <row r="33" spans="2:7" x14ac:dyDescent="0.6">
      <c r="B33" t="s">
        <v>83</v>
      </c>
      <c r="C33" t="s">
        <v>58</v>
      </c>
      <c r="F33" t="s">
        <v>181</v>
      </c>
      <c r="G33" t="s">
        <v>156</v>
      </c>
    </row>
    <row r="34" spans="2:7" x14ac:dyDescent="0.6">
      <c r="B34" t="s">
        <v>84</v>
      </c>
      <c r="C34" t="s">
        <v>85</v>
      </c>
      <c r="F34" t="s">
        <v>182</v>
      </c>
      <c r="G34" t="s">
        <v>183</v>
      </c>
    </row>
    <row r="35" spans="2:7" x14ac:dyDescent="0.6">
      <c r="B35" t="s">
        <v>86</v>
      </c>
      <c r="C35" t="s">
        <v>87</v>
      </c>
      <c r="F35" t="s">
        <v>184</v>
      </c>
      <c r="G35" t="s">
        <v>185</v>
      </c>
    </row>
    <row r="36" spans="2:7" x14ac:dyDescent="0.6">
      <c r="B36" t="s">
        <v>88</v>
      </c>
      <c r="C36" t="s">
        <v>58</v>
      </c>
      <c r="F36" t="s">
        <v>186</v>
      </c>
      <c r="G36" t="s">
        <v>156</v>
      </c>
    </row>
    <row r="37" spans="2:7" x14ac:dyDescent="0.6">
      <c r="B37" t="s">
        <v>89</v>
      </c>
      <c r="C37" t="s">
        <v>58</v>
      </c>
      <c r="F37" t="s">
        <v>187</v>
      </c>
      <c r="G37" t="s">
        <v>156</v>
      </c>
    </row>
    <row r="38" spans="2:7" x14ac:dyDescent="0.6">
      <c r="F38" t="s">
        <v>188</v>
      </c>
      <c r="G38" t="s">
        <v>156</v>
      </c>
    </row>
    <row r="39" spans="2:7" x14ac:dyDescent="0.6">
      <c r="F39" t="s">
        <v>189</v>
      </c>
      <c r="G39" t="s">
        <v>156</v>
      </c>
    </row>
    <row r="40" spans="2:7" x14ac:dyDescent="0.6">
      <c r="F40" t="s">
        <v>190</v>
      </c>
      <c r="G40" t="s">
        <v>156</v>
      </c>
    </row>
    <row r="41" spans="2:7" x14ac:dyDescent="0.6">
      <c r="F41" t="s">
        <v>191</v>
      </c>
      <c r="G41" t="s">
        <v>156</v>
      </c>
    </row>
    <row r="42" spans="2:7" x14ac:dyDescent="0.6">
      <c r="F42" t="s">
        <v>192</v>
      </c>
      <c r="G42" t="s">
        <v>156</v>
      </c>
    </row>
    <row r="43" spans="2:7" x14ac:dyDescent="0.6">
      <c r="F43" t="s">
        <v>193</v>
      </c>
      <c r="G43" t="s">
        <v>156</v>
      </c>
    </row>
    <row r="44" spans="2:7" x14ac:dyDescent="0.6">
      <c r="F44" t="s">
        <v>194</v>
      </c>
      <c r="G44" t="s">
        <v>156</v>
      </c>
    </row>
    <row r="45" spans="2:7" x14ac:dyDescent="0.6">
      <c r="F45" t="s">
        <v>195</v>
      </c>
      <c r="G45" t="s">
        <v>156</v>
      </c>
    </row>
    <row r="46" spans="2:7" x14ac:dyDescent="0.6">
      <c r="F46" t="s">
        <v>196</v>
      </c>
      <c r="G46" t="s">
        <v>156</v>
      </c>
    </row>
    <row r="47" spans="2:7" x14ac:dyDescent="0.6">
      <c r="F47" t="s">
        <v>197</v>
      </c>
      <c r="G47" t="s">
        <v>156</v>
      </c>
    </row>
    <row r="48" spans="2:7" x14ac:dyDescent="0.6">
      <c r="F48" t="s">
        <v>198</v>
      </c>
      <c r="G48" t="s">
        <v>156</v>
      </c>
    </row>
    <row r="49" spans="2:7" x14ac:dyDescent="0.6">
      <c r="F49" t="s">
        <v>199</v>
      </c>
      <c r="G49" t="s">
        <v>156</v>
      </c>
    </row>
    <row r="50" spans="2:7" x14ac:dyDescent="0.6">
      <c r="F50" t="s">
        <v>200</v>
      </c>
      <c r="G50" t="s">
        <v>156</v>
      </c>
    </row>
    <row r="51" spans="2:7" x14ac:dyDescent="0.6">
      <c r="F51" t="s">
        <v>201</v>
      </c>
      <c r="G51" t="s">
        <v>156</v>
      </c>
    </row>
    <row r="52" spans="2:7" x14ac:dyDescent="0.6">
      <c r="F52" t="s">
        <v>202</v>
      </c>
      <c r="G52" t="s">
        <v>156</v>
      </c>
    </row>
    <row r="53" spans="2:7" x14ac:dyDescent="0.6">
      <c r="F53" t="s">
        <v>203</v>
      </c>
      <c r="G53" t="s">
        <v>156</v>
      </c>
    </row>
    <row r="54" spans="2:7" x14ac:dyDescent="0.6">
      <c r="F54" t="s">
        <v>204</v>
      </c>
      <c r="G54" t="s">
        <v>156</v>
      </c>
    </row>
    <row r="55" spans="2:7" x14ac:dyDescent="0.6">
      <c r="F55" t="s">
        <v>205</v>
      </c>
      <c r="G55" t="s">
        <v>156</v>
      </c>
    </row>
    <row r="56" spans="2:7" x14ac:dyDescent="0.6">
      <c r="F56" t="s">
        <v>206</v>
      </c>
      <c r="G56" t="s">
        <v>156</v>
      </c>
    </row>
    <row r="57" spans="2:7" x14ac:dyDescent="0.6">
      <c r="B57" t="s">
        <v>90</v>
      </c>
      <c r="C57" t="s">
        <v>91</v>
      </c>
      <c r="F57" t="s">
        <v>207</v>
      </c>
      <c r="G57" t="s">
        <v>208</v>
      </c>
    </row>
    <row r="58" spans="2:7" x14ac:dyDescent="0.6">
      <c r="B58" t="s">
        <v>92</v>
      </c>
      <c r="C58" t="s">
        <v>93</v>
      </c>
      <c r="F58" t="s">
        <v>209</v>
      </c>
      <c r="G58" t="s">
        <v>210</v>
      </c>
    </row>
    <row r="59" spans="2:7" x14ac:dyDescent="0.6">
      <c r="B59" t="s">
        <v>94</v>
      </c>
      <c r="C59" t="s">
        <v>58</v>
      </c>
      <c r="F59" t="s">
        <v>211</v>
      </c>
      <c r="G59" t="s">
        <v>156</v>
      </c>
    </row>
    <row r="60" spans="2:7" x14ac:dyDescent="0.6">
      <c r="B60" t="s">
        <v>95</v>
      </c>
      <c r="C60" t="s">
        <v>96</v>
      </c>
      <c r="F60" t="s">
        <v>212</v>
      </c>
      <c r="G60" t="s">
        <v>213</v>
      </c>
    </row>
    <row r="61" spans="2:7" x14ac:dyDescent="0.6">
      <c r="F61" t="s">
        <v>214</v>
      </c>
      <c r="G61" t="s">
        <v>156</v>
      </c>
    </row>
    <row r="62" spans="2:7" x14ac:dyDescent="0.6">
      <c r="F62" t="s">
        <v>215</v>
      </c>
      <c r="G62" t="s">
        <v>156</v>
      </c>
    </row>
    <row r="63" spans="2:7" x14ac:dyDescent="0.6">
      <c r="F63" t="s">
        <v>216</v>
      </c>
      <c r="G63" t="s">
        <v>156</v>
      </c>
    </row>
    <row r="64" spans="2:7" x14ac:dyDescent="0.6">
      <c r="F64" t="s">
        <v>217</v>
      </c>
      <c r="G64" t="s">
        <v>156</v>
      </c>
    </row>
    <row r="65" spans="2:7" x14ac:dyDescent="0.6">
      <c r="F65" t="s">
        <v>218</v>
      </c>
      <c r="G65" t="s">
        <v>156</v>
      </c>
    </row>
    <row r="66" spans="2:7" x14ac:dyDescent="0.6">
      <c r="B66" t="s">
        <v>97</v>
      </c>
      <c r="C66" t="s">
        <v>58</v>
      </c>
      <c r="F66" t="s">
        <v>219</v>
      </c>
      <c r="G66" t="s">
        <v>156</v>
      </c>
    </row>
    <row r="67" spans="2:7" x14ac:dyDescent="0.6">
      <c r="B67" t="s">
        <v>98</v>
      </c>
      <c r="C67" t="s">
        <v>99</v>
      </c>
      <c r="F67" t="s">
        <v>220</v>
      </c>
      <c r="G67" t="s">
        <v>221</v>
      </c>
    </row>
    <row r="68" spans="2:7" x14ac:dyDescent="0.6">
      <c r="F68" t="s">
        <v>222</v>
      </c>
      <c r="G68" t="s">
        <v>156</v>
      </c>
    </row>
    <row r="69" spans="2:7" x14ac:dyDescent="0.6">
      <c r="F69" t="s">
        <v>223</v>
      </c>
      <c r="G69" t="s">
        <v>156</v>
      </c>
    </row>
    <row r="70" spans="2:7" x14ac:dyDescent="0.6">
      <c r="F70" t="s">
        <v>224</v>
      </c>
      <c r="G70" t="s">
        <v>156</v>
      </c>
    </row>
    <row r="71" spans="2:7" x14ac:dyDescent="0.6">
      <c r="F71" t="s">
        <v>225</v>
      </c>
      <c r="G71" t="s">
        <v>156</v>
      </c>
    </row>
    <row r="72" spans="2:7" x14ac:dyDescent="0.6">
      <c r="F72" t="s">
        <v>226</v>
      </c>
      <c r="G72" t="s">
        <v>156</v>
      </c>
    </row>
    <row r="73" spans="2:7" x14ac:dyDescent="0.6">
      <c r="B73" t="s">
        <v>100</v>
      </c>
      <c r="C73" t="s">
        <v>101</v>
      </c>
      <c r="F73" t="s">
        <v>227</v>
      </c>
      <c r="G73" t="s">
        <v>228</v>
      </c>
    </row>
    <row r="74" spans="2:7" x14ac:dyDescent="0.6">
      <c r="B74" t="s">
        <v>102</v>
      </c>
      <c r="C74" t="s">
        <v>58</v>
      </c>
      <c r="F74" t="s">
        <v>229</v>
      </c>
      <c r="G74" t="s">
        <v>156</v>
      </c>
    </row>
    <row r="75" spans="2:7" x14ac:dyDescent="0.6">
      <c r="B75" t="s">
        <v>103</v>
      </c>
      <c r="C75" t="s">
        <v>58</v>
      </c>
      <c r="F75" t="s">
        <v>230</v>
      </c>
      <c r="G75" t="s">
        <v>156</v>
      </c>
    </row>
    <row r="76" spans="2:7" x14ac:dyDescent="0.6">
      <c r="B76" t="s">
        <v>104</v>
      </c>
      <c r="C76" t="s">
        <v>58</v>
      </c>
      <c r="F76" t="s">
        <v>231</v>
      </c>
      <c r="G76" t="s">
        <v>156</v>
      </c>
    </row>
    <row r="77" spans="2:7" x14ac:dyDescent="0.6">
      <c r="B77" t="s">
        <v>105</v>
      </c>
      <c r="C77" t="s">
        <v>58</v>
      </c>
      <c r="F77" t="s">
        <v>232</v>
      </c>
      <c r="G77" t="s">
        <v>156</v>
      </c>
    </row>
    <row r="78" spans="2:7" x14ac:dyDescent="0.6">
      <c r="B78" t="s">
        <v>106</v>
      </c>
      <c r="C78" t="s">
        <v>58</v>
      </c>
      <c r="F78" t="s">
        <v>233</v>
      </c>
      <c r="G78" t="s">
        <v>156</v>
      </c>
    </row>
    <row r="79" spans="2:7" x14ac:dyDescent="0.6">
      <c r="B79" t="s">
        <v>107</v>
      </c>
      <c r="C79" t="s">
        <v>58</v>
      </c>
      <c r="F79" t="s">
        <v>234</v>
      </c>
      <c r="G79" t="s">
        <v>156</v>
      </c>
    </row>
    <row r="80" spans="2:7" x14ac:dyDescent="0.6">
      <c r="B80" t="s">
        <v>108</v>
      </c>
      <c r="C80" t="s">
        <v>58</v>
      </c>
      <c r="F80" t="s">
        <v>235</v>
      </c>
      <c r="G80" t="s">
        <v>156</v>
      </c>
    </row>
    <row r="81" spans="2:7" x14ac:dyDescent="0.6">
      <c r="B81" t="s">
        <v>109</v>
      </c>
      <c r="C81" t="s">
        <v>58</v>
      </c>
      <c r="F81" t="s">
        <v>236</v>
      </c>
      <c r="G81" t="s">
        <v>156</v>
      </c>
    </row>
    <row r="82" spans="2:7" x14ac:dyDescent="0.6">
      <c r="B82" t="s">
        <v>110</v>
      </c>
      <c r="C82" t="s">
        <v>58</v>
      </c>
      <c r="F82" t="s">
        <v>237</v>
      </c>
      <c r="G82" t="s">
        <v>156</v>
      </c>
    </row>
    <row r="83" spans="2:7" x14ac:dyDescent="0.6">
      <c r="B83" t="s">
        <v>111</v>
      </c>
      <c r="C83" t="s">
        <v>58</v>
      </c>
      <c r="F83" t="s">
        <v>238</v>
      </c>
      <c r="G83" t="s">
        <v>156</v>
      </c>
    </row>
    <row r="84" spans="2:7" x14ac:dyDescent="0.6">
      <c r="B84" t="s">
        <v>112</v>
      </c>
      <c r="C84" t="s">
        <v>58</v>
      </c>
      <c r="F84" t="s">
        <v>239</v>
      </c>
      <c r="G84" t="s">
        <v>156</v>
      </c>
    </row>
    <row r="85" spans="2:7" x14ac:dyDescent="0.6">
      <c r="B85" t="s">
        <v>113</v>
      </c>
      <c r="C85" t="s">
        <v>58</v>
      </c>
      <c r="F85" t="s">
        <v>240</v>
      </c>
      <c r="G85" t="s">
        <v>156</v>
      </c>
    </row>
    <row r="86" spans="2:7" x14ac:dyDescent="0.6">
      <c r="B86" t="s">
        <v>114</v>
      </c>
      <c r="C86" t="s">
        <v>58</v>
      </c>
      <c r="F86" t="s">
        <v>241</v>
      </c>
      <c r="G86" t="s">
        <v>156</v>
      </c>
    </row>
    <row r="87" spans="2:7" x14ac:dyDescent="0.6">
      <c r="B87" t="s">
        <v>115</v>
      </c>
      <c r="C87" t="s">
        <v>58</v>
      </c>
      <c r="F87" t="s">
        <v>242</v>
      </c>
      <c r="G87" t="s">
        <v>156</v>
      </c>
    </row>
    <row r="88" spans="2:7" x14ac:dyDescent="0.6">
      <c r="B88" t="s">
        <v>116</v>
      </c>
      <c r="C88" t="s">
        <v>58</v>
      </c>
      <c r="F88" t="s">
        <v>243</v>
      </c>
      <c r="G88" t="s">
        <v>156</v>
      </c>
    </row>
    <row r="89" spans="2:7" x14ac:dyDescent="0.6">
      <c r="B89" t="s">
        <v>117</v>
      </c>
      <c r="C89" t="s">
        <v>58</v>
      </c>
      <c r="F89" t="s">
        <v>244</v>
      </c>
      <c r="G89" t="s">
        <v>156</v>
      </c>
    </row>
    <row r="90" spans="2:7" x14ac:dyDescent="0.6">
      <c r="B90" t="s">
        <v>118</v>
      </c>
      <c r="C90" t="s">
        <v>58</v>
      </c>
      <c r="F90" t="s">
        <v>245</v>
      </c>
      <c r="G90" t="s">
        <v>156</v>
      </c>
    </row>
    <row r="91" spans="2:7" x14ac:dyDescent="0.6">
      <c r="B91" t="s">
        <v>119</v>
      </c>
      <c r="C91" t="s">
        <v>58</v>
      </c>
      <c r="F91" t="s">
        <v>246</v>
      </c>
      <c r="G91" t="s">
        <v>156</v>
      </c>
    </row>
    <row r="92" spans="2:7" x14ac:dyDescent="0.6">
      <c r="B92" t="s">
        <v>120</v>
      </c>
      <c r="C92" t="s">
        <v>58</v>
      </c>
      <c r="F92" t="s">
        <v>247</v>
      </c>
      <c r="G92" t="s">
        <v>156</v>
      </c>
    </row>
    <row r="93" spans="2:7" x14ac:dyDescent="0.6">
      <c r="B93" t="s">
        <v>121</v>
      </c>
      <c r="C93" t="s">
        <v>58</v>
      </c>
      <c r="F93" t="s">
        <v>248</v>
      </c>
      <c r="G93" t="s">
        <v>156</v>
      </c>
    </row>
    <row r="94" spans="2:7" x14ac:dyDescent="0.6">
      <c r="B94" t="s">
        <v>122</v>
      </c>
      <c r="C94" t="s">
        <v>58</v>
      </c>
      <c r="F94" t="s">
        <v>249</v>
      </c>
      <c r="G94" t="s">
        <v>156</v>
      </c>
    </row>
    <row r="95" spans="2:7" x14ac:dyDescent="0.6">
      <c r="B95" t="s">
        <v>123</v>
      </c>
      <c r="C95" t="s">
        <v>58</v>
      </c>
      <c r="F95" t="s">
        <v>250</v>
      </c>
      <c r="G95" t="s">
        <v>156</v>
      </c>
    </row>
    <row r="96" spans="2:7" x14ac:dyDescent="0.6">
      <c r="B96" t="s">
        <v>124</v>
      </c>
      <c r="C96" t="s">
        <v>58</v>
      </c>
      <c r="F96" t="s">
        <v>251</v>
      </c>
      <c r="G96" t="s">
        <v>156</v>
      </c>
    </row>
    <row r="97" spans="2:7" x14ac:dyDescent="0.6">
      <c r="B97" t="s">
        <v>125</v>
      </c>
      <c r="C97" t="s">
        <v>58</v>
      </c>
      <c r="F97" t="s">
        <v>252</v>
      </c>
      <c r="G97" t="s">
        <v>156</v>
      </c>
    </row>
    <row r="98" spans="2:7" x14ac:dyDescent="0.6">
      <c r="B98" t="s">
        <v>126</v>
      </c>
      <c r="C98" t="s">
        <v>58</v>
      </c>
      <c r="F98" t="s">
        <v>253</v>
      </c>
      <c r="G98" t="s">
        <v>156</v>
      </c>
    </row>
    <row r="99" spans="2:7" x14ac:dyDescent="0.6">
      <c r="B99" t="s">
        <v>127</v>
      </c>
      <c r="C99" t="s">
        <v>58</v>
      </c>
      <c r="F99" t="s">
        <v>254</v>
      </c>
      <c r="G99" t="s">
        <v>156</v>
      </c>
    </row>
    <row r="100" spans="2:7" x14ac:dyDescent="0.6">
      <c r="B100" t="s">
        <v>128</v>
      </c>
      <c r="C100" t="s">
        <v>58</v>
      </c>
      <c r="F100" t="s">
        <v>255</v>
      </c>
      <c r="G100" t="s">
        <v>156</v>
      </c>
    </row>
    <row r="101" spans="2:7" x14ac:dyDescent="0.6">
      <c r="B101" t="s">
        <v>129</v>
      </c>
      <c r="C101" t="s">
        <v>58</v>
      </c>
      <c r="F101" t="s">
        <v>256</v>
      </c>
      <c r="G101" t="s">
        <v>156</v>
      </c>
    </row>
    <row r="102" spans="2:7" x14ac:dyDescent="0.6">
      <c r="B102" t="s">
        <v>130</v>
      </c>
      <c r="C102" t="s">
        <v>58</v>
      </c>
      <c r="F102" t="s">
        <v>257</v>
      </c>
      <c r="G102" t="s">
        <v>156</v>
      </c>
    </row>
    <row r="103" spans="2:7" x14ac:dyDescent="0.6">
      <c r="B103" t="s">
        <v>131</v>
      </c>
      <c r="C103" t="s">
        <v>58</v>
      </c>
      <c r="F103" t="s">
        <v>258</v>
      </c>
      <c r="G103" t="s">
        <v>156</v>
      </c>
    </row>
    <row r="104" spans="2:7" x14ac:dyDescent="0.6">
      <c r="B104" t="s">
        <v>132</v>
      </c>
      <c r="C104" t="s">
        <v>58</v>
      </c>
      <c r="F104" t="s">
        <v>259</v>
      </c>
      <c r="G104" t="s">
        <v>156</v>
      </c>
    </row>
    <row r="105" spans="2:7" x14ac:dyDescent="0.6">
      <c r="B105" t="s">
        <v>133</v>
      </c>
      <c r="C105" t="s">
        <v>58</v>
      </c>
      <c r="F105" t="s">
        <v>260</v>
      </c>
      <c r="G105" t="s">
        <v>156</v>
      </c>
    </row>
    <row r="106" spans="2:7" x14ac:dyDescent="0.6">
      <c r="B106" t="s">
        <v>134</v>
      </c>
      <c r="C106" t="s">
        <v>58</v>
      </c>
      <c r="F106" t="s">
        <v>261</v>
      </c>
      <c r="G106" t="s">
        <v>156</v>
      </c>
    </row>
    <row r="107" spans="2:7" x14ac:dyDescent="0.6">
      <c r="B107" t="s">
        <v>135</v>
      </c>
      <c r="C107" t="s">
        <v>58</v>
      </c>
      <c r="F107" t="s">
        <v>262</v>
      </c>
      <c r="G107" t="s">
        <v>156</v>
      </c>
    </row>
    <row r="108" spans="2:7" x14ac:dyDescent="0.6">
      <c r="B108" t="s">
        <v>136</v>
      </c>
      <c r="C108" t="s">
        <v>58</v>
      </c>
      <c r="F108" t="s">
        <v>263</v>
      </c>
      <c r="G108" t="s">
        <v>156</v>
      </c>
    </row>
    <row r="109" spans="2:7" x14ac:dyDescent="0.6">
      <c r="B109" t="s">
        <v>137</v>
      </c>
      <c r="C109" t="s">
        <v>58</v>
      </c>
      <c r="F109" t="s">
        <v>264</v>
      </c>
      <c r="G109" t="s">
        <v>156</v>
      </c>
    </row>
    <row r="110" spans="2:7" x14ac:dyDescent="0.6">
      <c r="B110" t="s">
        <v>138</v>
      </c>
      <c r="C110" t="s">
        <v>58</v>
      </c>
      <c r="F110" t="s">
        <v>265</v>
      </c>
      <c r="G110" t="s">
        <v>156</v>
      </c>
    </row>
    <row r="111" spans="2:7" x14ac:dyDescent="0.6">
      <c r="B111" t="s">
        <v>139</v>
      </c>
      <c r="C111" t="s">
        <v>58</v>
      </c>
      <c r="F111" t="s">
        <v>266</v>
      </c>
      <c r="G111" t="s">
        <v>156</v>
      </c>
    </row>
    <row r="112" spans="2:7" x14ac:dyDescent="0.6">
      <c r="B112" t="s">
        <v>140</v>
      </c>
      <c r="C112" t="s">
        <v>58</v>
      </c>
      <c r="F112" t="s">
        <v>267</v>
      </c>
      <c r="G112" t="s">
        <v>156</v>
      </c>
    </row>
    <row r="113" spans="2:7" x14ac:dyDescent="0.6">
      <c r="B113" t="s">
        <v>141</v>
      </c>
      <c r="C113" t="s">
        <v>58</v>
      </c>
      <c r="F113" t="s">
        <v>268</v>
      </c>
      <c r="G113" t="s">
        <v>156</v>
      </c>
    </row>
    <row r="114" spans="2:7" x14ac:dyDescent="0.6">
      <c r="B114" t="s">
        <v>142</v>
      </c>
      <c r="C114" t="s">
        <v>58</v>
      </c>
      <c r="F114" t="s">
        <v>269</v>
      </c>
      <c r="G114" t="s">
        <v>156</v>
      </c>
    </row>
    <row r="115" spans="2:7" x14ac:dyDescent="0.6">
      <c r="B115" t="s">
        <v>143</v>
      </c>
      <c r="C115" t="s">
        <v>58</v>
      </c>
      <c r="F115" t="s">
        <v>270</v>
      </c>
      <c r="G115" t="s">
        <v>156</v>
      </c>
    </row>
    <row r="116" spans="2:7" x14ac:dyDescent="0.6">
      <c r="B116" t="s">
        <v>144</v>
      </c>
      <c r="C116" t="s">
        <v>58</v>
      </c>
      <c r="F116" t="s">
        <v>271</v>
      </c>
      <c r="G116" t="s">
        <v>156</v>
      </c>
    </row>
    <row r="117" spans="2:7" x14ac:dyDescent="0.6">
      <c r="B117" t="s">
        <v>145</v>
      </c>
      <c r="C117" t="s">
        <v>58</v>
      </c>
      <c r="F117" t="s">
        <v>272</v>
      </c>
      <c r="G117" t="s">
        <v>156</v>
      </c>
    </row>
    <row r="118" spans="2:7" x14ac:dyDescent="0.6">
      <c r="B118" t="s">
        <v>146</v>
      </c>
      <c r="C118" t="s">
        <v>58</v>
      </c>
      <c r="F118" t="s">
        <v>273</v>
      </c>
      <c r="G118" t="s">
        <v>156</v>
      </c>
    </row>
    <row r="119" spans="2:7" x14ac:dyDescent="0.6">
      <c r="B119" t="s">
        <v>147</v>
      </c>
      <c r="C119" t="s">
        <v>58</v>
      </c>
      <c r="F119" t="s">
        <v>274</v>
      </c>
      <c r="G119" t="s">
        <v>156</v>
      </c>
    </row>
    <row r="120" spans="2:7" x14ac:dyDescent="0.6">
      <c r="B120" t="s">
        <v>148</v>
      </c>
      <c r="C120" t="s">
        <v>58</v>
      </c>
      <c r="F120" t="s">
        <v>275</v>
      </c>
      <c r="G120" t="s">
        <v>156</v>
      </c>
    </row>
    <row r="121" spans="2:7" x14ac:dyDescent="0.6">
      <c r="B121" t="s">
        <v>149</v>
      </c>
      <c r="C121" t="s">
        <v>58</v>
      </c>
      <c r="F121" t="s">
        <v>276</v>
      </c>
      <c r="G121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timer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2024-11-27T01:46:10Z</dcterms:created>
  <dcterms:modified xsi:type="dcterms:W3CDTF">2025-03-18T08:59:41Z</dcterms:modified>
</cp:coreProperties>
</file>