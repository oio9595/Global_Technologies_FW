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ID601\Jig\ID601_ES\Docs\"/>
    </mc:Choice>
  </mc:AlternateContent>
  <xr:revisionPtr revIDLastSave="0" documentId="13_ncr:1_{69B5B34C-DD04-44C4-9034-23694CF23C37}" xr6:coauthVersionLast="47" xr6:coauthVersionMax="47" xr10:uidLastSave="{00000000-0000-0000-0000-000000000000}"/>
  <bookViews>
    <workbookView xWindow="71880" yWindow="2160" windowWidth="29040" windowHeight="15720" firstSheet="5" activeTab="6" xr2:uid="{38C040EB-84B3-4739-B441-9A4630389CF1}"/>
  </bookViews>
  <sheets>
    <sheet name="xd12r_reg_mp1" sheetId="3" r:id="rId1"/>
    <sheet name="xd12r_reg_mp1_0424" sheetId="2" r:id="rId2"/>
    <sheet name="ID601_regmap_0512" sheetId="4" r:id="rId3"/>
    <sheet name="ID601_regmap_0602" sheetId="5" r:id="rId4"/>
    <sheet name="ID601_regmap_0609" sheetId="6" r:id="rId5"/>
    <sheet name="ID601_regmap" sheetId="9" r:id="rId6"/>
    <sheet name="Sheet1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0" l="1"/>
  <c r="E9" i="10" s="1"/>
  <c r="E8" i="10"/>
  <c r="E7" i="10"/>
  <c r="C10" i="10"/>
  <c r="C4" i="10"/>
  <c r="C8" i="10"/>
  <c r="C7" i="10"/>
  <c r="T98" i="9"/>
  <c r="B67" i="9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57" i="9"/>
  <c r="B58" i="9" s="1"/>
  <c r="B59" i="9" s="1"/>
  <c r="B60" i="9" s="1"/>
  <c r="B61" i="9" s="1"/>
  <c r="B4" i="9"/>
  <c r="B5" i="9" s="1"/>
  <c r="B6" i="9" s="1"/>
  <c r="B7" i="9" s="1"/>
  <c r="B8" i="9" s="1"/>
  <c r="B9" i="9" s="1"/>
  <c r="B10" i="9" s="1"/>
  <c r="B11" i="9" s="1"/>
  <c r="B12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31" i="9" s="1"/>
  <c r="B32" i="9" s="1"/>
  <c r="B33" i="9" s="1"/>
  <c r="B34" i="9" s="1"/>
  <c r="B35" i="9" s="1"/>
  <c r="B36" i="9" s="1"/>
  <c r="B37" i="9" s="1"/>
  <c r="B38" i="9" s="1"/>
  <c r="B40" i="9" s="1"/>
  <c r="B41" i="9" s="1"/>
  <c r="B43" i="9" s="1"/>
  <c r="B44" i="9" s="1"/>
  <c r="B45" i="9" s="1"/>
  <c r="B46" i="9" s="1"/>
  <c r="B47" i="9" s="1"/>
  <c r="B48" i="9" s="1"/>
  <c r="B49" i="9" s="1"/>
  <c r="B50" i="9" s="1"/>
  <c r="B51" i="9" s="1"/>
  <c r="T95" i="6" l="1"/>
  <c r="B64" i="6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54" i="6"/>
  <c r="B55" i="6" s="1"/>
  <c r="B56" i="6" s="1"/>
  <c r="B57" i="6" s="1"/>
  <c r="B58" i="6" s="1"/>
  <c r="B4" i="6"/>
  <c r="B5" i="6" s="1"/>
  <c r="B6" i="6" s="1"/>
  <c r="B7" i="6" s="1"/>
  <c r="B8" i="6" s="1"/>
  <c r="B9" i="6" s="1"/>
  <c r="B10" i="6" s="1"/>
  <c r="B11" i="6" s="1"/>
  <c r="B12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31" i="6" s="1"/>
  <c r="B32" i="6" s="1"/>
  <c r="B33" i="6" s="1"/>
  <c r="B34" i="6" s="1"/>
  <c r="B35" i="6" s="1"/>
  <c r="B36" i="6" s="1"/>
  <c r="B37" i="6" s="1"/>
  <c r="B38" i="6" s="1"/>
  <c r="B40" i="6" s="1"/>
  <c r="B41" i="6" s="1"/>
  <c r="B43" i="6" s="1"/>
  <c r="B44" i="6" s="1"/>
  <c r="B45" i="6" s="1"/>
  <c r="B46" i="6" s="1"/>
  <c r="B47" i="6" s="1"/>
  <c r="B48" i="6" s="1"/>
  <c r="T92" i="5"/>
  <c r="B63" i="5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53" i="5"/>
  <c r="B54" i="5" s="1"/>
  <c r="B55" i="5" s="1"/>
  <c r="B56" i="5" s="1"/>
  <c r="B57" i="5" s="1"/>
  <c r="B4" i="5"/>
  <c r="B5" i="5" s="1"/>
  <c r="B6" i="5" s="1"/>
  <c r="B7" i="5" s="1"/>
  <c r="B8" i="5" s="1"/>
  <c r="B9" i="5" s="1"/>
  <c r="B10" i="5" s="1"/>
  <c r="B11" i="5" s="1"/>
  <c r="B12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31" i="5" s="1"/>
  <c r="B32" i="5" s="1"/>
  <c r="B33" i="5" s="1"/>
  <c r="B34" i="5" s="1"/>
  <c r="B35" i="5" s="1"/>
  <c r="B36" i="5" s="1"/>
  <c r="B37" i="5" s="1"/>
  <c r="B38" i="5" s="1"/>
  <c r="B40" i="5" s="1"/>
  <c r="B41" i="5" s="1"/>
  <c r="B43" i="5" s="1"/>
  <c r="B44" i="5" s="1"/>
  <c r="B45" i="5" s="1"/>
  <c r="B46" i="5" s="1"/>
  <c r="B47" i="5" s="1"/>
  <c r="B48" i="5" s="1"/>
  <c r="T92" i="4"/>
  <c r="B63" i="4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53" i="4"/>
  <c r="B54" i="4" s="1"/>
  <c r="B55" i="4" s="1"/>
  <c r="B56" i="4" s="1"/>
  <c r="B57" i="4" s="1"/>
  <c r="B4" i="4"/>
  <c r="B5" i="4" s="1"/>
  <c r="B6" i="4" s="1"/>
  <c r="B7" i="4" s="1"/>
  <c r="B8" i="4" s="1"/>
  <c r="B9" i="4" s="1"/>
  <c r="B10" i="4" s="1"/>
  <c r="B11" i="4" s="1"/>
  <c r="B12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31" i="4" s="1"/>
  <c r="B32" i="4" s="1"/>
  <c r="B33" i="4" s="1"/>
  <c r="B34" i="4" s="1"/>
  <c r="B35" i="4" s="1"/>
  <c r="B36" i="4" s="1"/>
  <c r="B37" i="4" s="1"/>
  <c r="B38" i="4" s="1"/>
  <c r="B40" i="4" s="1"/>
  <c r="B41" i="4" s="1"/>
  <c r="B43" i="4" s="1"/>
  <c r="B44" i="4" s="1"/>
  <c r="B45" i="4" s="1"/>
  <c r="B46" i="4" s="1"/>
  <c r="B47" i="4" s="1"/>
  <c r="B48" i="4" s="1"/>
  <c r="T92" i="3"/>
  <c r="B63" i="3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53" i="3"/>
  <c r="B54" i="3" s="1"/>
  <c r="B55" i="3" s="1"/>
  <c r="B56" i="3" s="1"/>
  <c r="B57" i="3" s="1"/>
  <c r="B4" i="3"/>
  <c r="B5" i="3" s="1"/>
  <c r="B6" i="3" s="1"/>
  <c r="B7" i="3" s="1"/>
  <c r="B8" i="3" s="1"/>
  <c r="B9" i="3" s="1"/>
  <c r="B10" i="3" s="1"/>
  <c r="B11" i="3" s="1"/>
  <c r="B12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31" i="3" s="1"/>
  <c r="B32" i="3" s="1"/>
  <c r="B33" i="3" s="1"/>
  <c r="B34" i="3" s="1"/>
  <c r="B35" i="3" s="1"/>
  <c r="B36" i="3" s="1"/>
  <c r="B37" i="3" s="1"/>
  <c r="B38" i="3" s="1"/>
  <c r="B40" i="3" s="1"/>
  <c r="B41" i="3" s="1"/>
  <c r="B43" i="3" s="1"/>
  <c r="B44" i="3" s="1"/>
  <c r="B45" i="3" s="1"/>
  <c r="B46" i="3" s="1"/>
  <c r="B47" i="3" s="1"/>
  <c r="B48" i="3" s="1"/>
  <c r="T92" i="2" l="1"/>
  <c r="B63" i="2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53" i="2"/>
  <c r="B54" i="2" s="1"/>
  <c r="B55" i="2" s="1"/>
  <c r="B56" i="2" s="1"/>
  <c r="B57" i="2" s="1"/>
  <c r="B4" i="2"/>
  <c r="B5" i="2" s="1"/>
  <c r="B6" i="2" s="1"/>
  <c r="B7" i="2" s="1"/>
  <c r="B8" i="2" s="1"/>
  <c r="B9" i="2" s="1"/>
  <c r="B10" i="2" s="1"/>
  <c r="B11" i="2" s="1"/>
  <c r="B12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31" i="2" s="1"/>
  <c r="B32" i="2" s="1"/>
  <c r="B33" i="2" s="1"/>
  <c r="B34" i="2" s="1"/>
  <c r="B35" i="2" s="1"/>
  <c r="B36" i="2" s="1"/>
  <c r="B37" i="2" s="1"/>
  <c r="B38" i="2" s="1"/>
  <c r="B40" i="2" s="1"/>
  <c r="B41" i="2" s="1"/>
  <c r="B43" i="2" s="1"/>
  <c r="B44" i="2" s="1"/>
  <c r="B45" i="2" s="1"/>
  <c r="B46" i="2" s="1"/>
  <c r="B47" i="2" s="1"/>
  <c r="B4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36" authorId="0" shapeId="0" xr:uid="{8C69FE03-1EEE-40AF-B577-BCC4B12DFB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P44" authorId="0" shapeId="0" xr:uid="{07AA37BF-165D-4AEA-8B28-CC4170DDC7F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M47" authorId="0" shapeId="0" xr:uid="{57FDF511-238A-4272-B050-0D61F5237D0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E77C886A-006B-465F-BCD7-81C78FA29F9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2" authorId="0" shapeId="0" xr:uid="{50D91423-1DAA-434A-BAF5-31682D835624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2" authorId="0" shapeId="0" xr:uid="{07ADFA14-06B6-4F8A-9437-9DB64F94ACC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36" authorId="0" shapeId="0" xr:uid="{7305245C-EDBD-4647-AAEC-2D5C5E6C83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P44" authorId="0" shapeId="0" xr:uid="{FD4D5E87-A505-47EE-90C4-793AB20AB87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M47" authorId="0" shapeId="0" xr:uid="{F134750C-3F14-413D-8172-6C088EB1B4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6D87C9B4-92A1-4451-A7D5-FEFE2455E04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2" authorId="0" shapeId="0" xr:uid="{FA82969B-6C43-4878-AAB7-37D8294D28FE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2" authorId="0" shapeId="0" xr:uid="{5088FA45-C965-4260-BE6D-16DE3C98A34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36" authorId="0" shapeId="0" xr:uid="{AC5D9DB5-D1F8-44F4-804F-B25328FFB3F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P44" authorId="0" shapeId="0" xr:uid="{279DF608-ABCE-4BA7-BE51-E12C43EB511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M47" authorId="0" shapeId="0" xr:uid="{A3471671-27A9-4FBC-B311-98BF6FEDE98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67BB8436-CA5B-479D-86FA-12D191570A0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2" authorId="0" shapeId="0" xr:uid="{C89E6D94-320B-4DC2-A621-09773A2C6AB5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2" authorId="0" shapeId="0" xr:uid="{BDFA9748-3E53-4F34-A375-C7E7AFCEC67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36" authorId="0" shapeId="0" xr:uid="{C063104B-066A-40BB-A659-F082B1BA0B6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P44" authorId="0" shapeId="0" xr:uid="{C0479C9F-8E24-4505-9E21-BC3635E3956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M47" authorId="0" shapeId="0" xr:uid="{2DB16ABE-A805-4483-B55F-E997A7D31C3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B824A035-9E9D-48C2-9878-761AFD79F0A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2" authorId="0" shapeId="0" xr:uid="{5CA9286E-9CD0-4BA2-941C-228EBC8D3948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2" authorId="0" shapeId="0" xr:uid="{B6DA129A-6619-44CC-9DB7-FF4329D9F67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36" authorId="0" shapeId="0" xr:uid="{7F2A5AFF-F19C-4985-83CB-B782221B84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P44" authorId="0" shapeId="0" xr:uid="{D5AE2173-0138-41DB-9B58-CE0F5984B02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M47" authorId="0" shapeId="0" xr:uid="{41141A73-E781-4D07-A505-A71240144A1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FB3833FE-298F-4948-AD0B-18C16B3D71B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2" authorId="0" shapeId="0" xr:uid="{FCFC9C34-7DD7-4E69-9C00-DEFC9EE300EF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2" authorId="0" shapeId="0" xr:uid="{DD8D1D72-6618-41AB-9682-657949156F4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36" authorId="0" shapeId="0" xr:uid="{3D9EF8A5-677D-4647-9887-7422A0DAF73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P44" authorId="0" shapeId="0" xr:uid="{B6D75C5A-A3D2-47DA-A2F4-B450BD5761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M47" authorId="0" shapeId="0" xr:uid="{20D387CF-92DB-49FB-9213-A5A3142FA8D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6D1F497E-7BA3-4C73-8DB0-4F6CDE8981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5" authorId="0" shapeId="0" xr:uid="{BF773D97-8ACA-49EC-8AF5-127C77B5983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5" authorId="0" shapeId="0" xr:uid="{EC41C1CD-8DF7-4D6E-B92D-B32903FAEF0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sharedStrings.xml><?xml version="1.0" encoding="utf-8"?>
<sst xmlns="http://schemas.openxmlformats.org/spreadsheetml/2006/main" count="3525" uniqueCount="481">
  <si>
    <t>register</t>
    <phoneticPr fontId="2" type="noConversion"/>
  </si>
  <si>
    <t>access</t>
    <phoneticPr fontId="2" type="noConversion"/>
  </si>
  <si>
    <t>address</t>
    <phoneticPr fontId="2" type="noConversion"/>
  </si>
  <si>
    <t>default</t>
    <phoneticPr fontId="2" type="noConversion"/>
  </si>
  <si>
    <t>bit11</t>
    <phoneticPr fontId="2" type="noConversion"/>
  </si>
  <si>
    <t>bit10</t>
    <phoneticPr fontId="2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</si>
  <si>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</si>
  <si>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</si>
  <si>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</si>
  <si>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</si>
  <si>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</si>
  <si>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</si>
  <si>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</si>
  <si>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</si>
  <si>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</si>
  <si>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</si>
  <si>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description</t>
    <phoneticPr fontId="2" type="noConversion"/>
  </si>
  <si>
    <t>RST &amp; ID</t>
    <phoneticPr fontId="2" type="noConversion"/>
  </si>
  <si>
    <t>r/w</t>
    <phoneticPr fontId="2" type="noConversion"/>
  </si>
  <si>
    <t>0x00</t>
    <phoneticPr fontId="2" type="noConversion"/>
  </si>
  <si>
    <t>0x100</t>
    <phoneticPr fontId="2" type="noConversion"/>
  </si>
  <si>
    <t>RST</t>
    <phoneticPr fontId="2" type="noConversion"/>
  </si>
  <si>
    <t>VS_RST</t>
    <phoneticPr fontId="2" type="noConversion"/>
  </si>
  <si>
    <t>E_RST</t>
    <phoneticPr fontId="2" type="noConversion"/>
  </si>
  <si>
    <t>LKG_E</t>
    <phoneticPr fontId="2" type="noConversion"/>
  </si>
  <si>
    <t>ID [4:0]</t>
    <phoneticPr fontId="2" type="noConversion"/>
  </si>
  <si>
    <t>ID[4:0] : not writable from a host, ID auto-write #1~#31 ('0' invalid)
LKG_E : ch leakage mode en (default = enabled ; typ 100nA)
E_RST : SER/DESER reset @ last svsync and rstcnt expired
VS_RST : both cmd and svi(=vsnyc) signal ; SER/DESER reset @ vsync
RST : all logics reset, auto-cleared, but the otp value is not downloaded</t>
    <phoneticPr fontId="2" type="noConversion"/>
  </si>
  <si>
    <t>LD CONTROL</t>
    <phoneticPr fontId="2" type="noConversion"/>
  </si>
  <si>
    <t>0x01</t>
  </si>
  <si>
    <t>0x000</t>
    <phoneticPr fontId="2" type="noConversion"/>
  </si>
  <si>
    <t>SV_NO [5:0]</t>
    <phoneticPr fontId="2" type="noConversion"/>
  </si>
  <si>
    <t>LD_TYPE</t>
    <phoneticPr fontId="2" type="noConversion"/>
  </si>
  <si>
    <t>DELAY_CH_EN</t>
    <phoneticPr fontId="2" type="noConversion"/>
  </si>
  <si>
    <t>SYNCMODE</t>
    <phoneticPr fontId="2" type="noConversion"/>
  </si>
  <si>
    <t>LD_RES</t>
    <phoneticPr fontId="2" type="noConversion"/>
  </si>
  <si>
    <t>LD_DIR</t>
    <phoneticPr fontId="2" type="noConversion"/>
  </si>
  <si>
    <t>LD_MODE</t>
    <phoneticPr fontId="2" type="noConversion"/>
  </si>
  <si>
    <t>LD_MODE : '0' normal,  '1' x8 (repeat 8 times the same dimming pattern, SV_NO=8)
LD_DIR : '0' Head Lighting, '1' Tail Lighting
LD_RES : '0' 12-bit LD, '1' 14-bit LD
SYNCMODE : '0' cmd+svi,  '1' vo+svi
LD_TYPE : '1' RGB mode, '0' R/GB, GB/GB mode 
SV_NO : '8' means total 16 times, (g=8, b=8)</t>
    <phoneticPr fontId="2" type="noConversion"/>
  </si>
  <si>
    <t>LD_SIZE</t>
    <phoneticPr fontId="2" type="noConversion"/>
  </si>
  <si>
    <t>0x02</t>
  </si>
  <si>
    <t>LD_SIZE [4:0]</t>
    <phoneticPr fontId="2" type="noConversion"/>
  </si>
  <si>
    <t>LD_SIZE : the number of LD data to be transmitted</t>
    <phoneticPr fontId="2" type="noConversion"/>
  </si>
  <si>
    <t>PWMCLK_DIV1/2</t>
    <phoneticPr fontId="2" type="noConversion"/>
  </si>
  <si>
    <t>0x03</t>
  </si>
  <si>
    <t>PWMCLK_DIV2 [3:0]</t>
    <phoneticPr fontId="2" type="noConversion"/>
  </si>
  <si>
    <t>PWMCLK_DIV1 [7:0]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</si>
  <si>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the value updated at every vsync</t>
    </r>
    <phoneticPr fontId="2" type="noConversion"/>
  </si>
  <si>
    <t>PWMCLK_DIV2/3</t>
    <phoneticPr fontId="2" type="noConversion"/>
  </si>
  <si>
    <t>0x04</t>
  </si>
  <si>
    <t>PWMCLK_DIV3 [7:0]</t>
    <phoneticPr fontId="2" type="noConversion"/>
  </si>
  <si>
    <t>PWMCLK_DIV2 [7:4]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</si>
  <si>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FF"/>
        <rFont val="맑은 고딕"/>
        <family val="3"/>
        <charset val="129"/>
        <scheme val="minor"/>
      </rPr>
      <t xml:space="preserve"> the value updated at every vsync</t>
    </r>
    <phoneticPr fontId="2" type="noConversion"/>
  </si>
  <si>
    <t>CHANNEL ENABLE</t>
    <phoneticPr fontId="2" type="noConversion"/>
  </si>
  <si>
    <t>0x05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</si>
  <si>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</si>
  <si>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</si>
  <si>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</si>
  <si>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</si>
  <si>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</si>
  <si>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</si>
  <si>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</si>
  <si>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</si>
  <si>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</si>
  <si>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</si>
  <si>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</si>
  <si>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</si>
  <si>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FAULT CONTROL0</t>
    <phoneticPr fontId="2" type="noConversion"/>
  </si>
  <si>
    <t>0x06</t>
  </si>
  <si>
    <t>PARITY_E</t>
    <phoneticPr fontId="2" type="noConversion"/>
  </si>
  <si>
    <t>FT_MODE [1:0]</t>
    <phoneticPr fontId="2" type="noConversion"/>
  </si>
  <si>
    <t>FB_MODE [1:0]</t>
    <phoneticPr fontId="2" type="noConversion"/>
  </si>
  <si>
    <t>O_FB_E</t>
    <phoneticPr fontId="2" type="noConversion"/>
  </si>
  <si>
    <t>S_DET_E</t>
    <phoneticPr fontId="2" type="noConversion"/>
  </si>
  <si>
    <t>O_DET_E</t>
    <phoneticPr fontId="2" type="noConversion"/>
  </si>
  <si>
    <t>T_OFF_E</t>
    <phoneticPr fontId="2" type="noConversion"/>
  </si>
  <si>
    <t>S_OFF_E</t>
    <phoneticPr fontId="2" type="noConversion"/>
  </si>
  <si>
    <t>O_OFF_E</t>
    <phoneticPr fontId="2" type="noConversion"/>
  </si>
  <si>
    <t>O_OFF_E/ S_OFF_E : only a corresponding ch Offed (@ CHx_EN=1)
T_OFF_E : all ch Offed (@ CHx_EN=1)
O_DET_E/ S_DET_E : detection enabled (@ CHx_EN=1)
O_FB_E : valid FBx = FBx &amp;&amp; (~O_FB_E || (O_FB_E &amp;&amp; ~OPENx)) (@ CHx_EN=1)</t>
    <phoneticPr fontId="2" type="noConversion"/>
  </si>
  <si>
    <t>FB LEVEL</t>
    <phoneticPr fontId="2" type="noConversion"/>
  </si>
  <si>
    <t>0x07</t>
    <phoneticPr fontId="2" type="noConversion"/>
  </si>
  <si>
    <t>FB3_LEVEL [2:0]</t>
    <phoneticPr fontId="2" type="noConversion"/>
  </si>
  <si>
    <t>FB2_LEVEL [2:0]</t>
    <phoneticPr fontId="2" type="noConversion"/>
  </si>
  <si>
    <t>FB1_LEVEL [2:0]</t>
    <phoneticPr fontId="2" type="noConversion"/>
  </si>
  <si>
    <t>SHORT LEVEL</t>
    <phoneticPr fontId="2" type="noConversion"/>
  </si>
  <si>
    <t>0x08</t>
    <phoneticPr fontId="2" type="noConversion"/>
  </si>
  <si>
    <t>SHORT3_LEVEL [2:0]</t>
    <phoneticPr fontId="2" type="noConversion"/>
  </si>
  <si>
    <t>SHORT2_LEVEL [2:0]</t>
    <phoneticPr fontId="2" type="noConversion"/>
  </si>
  <si>
    <t>SHORT1_LEVEL [2:0]</t>
    <phoneticPr fontId="2" type="noConversion"/>
  </si>
  <si>
    <t>FAULT STATUS0</t>
    <phoneticPr fontId="2" type="noConversion"/>
  </si>
  <si>
    <t>ro</t>
    <phoneticPr fontId="2" type="noConversion"/>
  </si>
  <si>
    <t>0x09</t>
    <phoneticPr fontId="2" type="noConversion"/>
  </si>
  <si>
    <t>0x000</t>
  </si>
  <si>
    <t>SHORT</t>
    <phoneticPr fontId="2" type="noConversion"/>
  </si>
  <si>
    <t>OPEN</t>
    <phoneticPr fontId="2" type="noConversion"/>
  </si>
  <si>
    <t>FB3</t>
    <phoneticPr fontId="2" type="noConversion"/>
  </si>
  <si>
    <t>FB2</t>
    <phoneticPr fontId="2" type="noConversion"/>
  </si>
  <si>
    <t>FB1</t>
    <phoneticPr fontId="2" type="noConversion"/>
  </si>
  <si>
    <t>auto-cleared just after a readout</t>
    <phoneticPr fontId="2" type="noConversion"/>
  </si>
  <si>
    <t>FAULT STATUS1</t>
    <phoneticPr fontId="2" type="noConversion"/>
  </si>
  <si>
    <t>0x0A</t>
    <phoneticPr fontId="2" type="noConversion"/>
  </si>
  <si>
    <t>CH_CTRL_MISMATCH</t>
    <phoneticPr fontId="2" type="noConversion"/>
  </si>
  <si>
    <t>WD_TIMEOUT</t>
    <phoneticPr fontId="2" type="noConversion"/>
  </si>
  <si>
    <t>VS_MISS</t>
    <phoneticPr fontId="2" type="noConversion"/>
  </si>
  <si>
    <t>CRC_ERR</t>
    <phoneticPr fontId="2" type="noConversion"/>
  </si>
  <si>
    <t>CH_DAC_OV</t>
    <phoneticPr fontId="2" type="noConversion"/>
  </si>
  <si>
    <t>CH_DAC_UV</t>
    <phoneticPr fontId="2" type="noConversion"/>
  </si>
  <si>
    <t>VDD_OV</t>
    <phoneticPr fontId="2" type="noConversion"/>
  </si>
  <si>
    <t>VDD_UV</t>
    <phoneticPr fontId="2" type="noConversion"/>
  </si>
  <si>
    <t>LDO_OV</t>
    <phoneticPr fontId="2" type="noConversion"/>
  </si>
  <si>
    <t>LDO_UV</t>
    <phoneticPr fontId="2" type="noConversion"/>
  </si>
  <si>
    <t>THERMAL</t>
    <phoneticPr fontId="2" type="noConversion"/>
  </si>
  <si>
    <t>FAULT STATUS2</t>
  </si>
  <si>
    <t>0x0B</t>
    <phoneticPr fontId="2" type="noConversion"/>
  </si>
  <si>
    <t>OPEN_CH12</t>
    <phoneticPr fontId="2" type="noConversion"/>
  </si>
  <si>
    <t>OPEN_CH11</t>
    <phoneticPr fontId="2" type="noConversion"/>
  </si>
  <si>
    <t>OPEN_CH10</t>
  </si>
  <si>
    <t>OPEN_CH9</t>
  </si>
  <si>
    <t>OPEN_CH8</t>
  </si>
  <si>
    <t>OPEN_CH7</t>
  </si>
  <si>
    <t>OPEN_CH6</t>
  </si>
  <si>
    <t>OPEN_CH5</t>
  </si>
  <si>
    <t>OPEN_CH4</t>
  </si>
  <si>
    <t>OPEN_CH3</t>
  </si>
  <si>
    <t>OPEN_CH2</t>
  </si>
  <si>
    <t>OPEN_CH1</t>
  </si>
  <si>
    <t>FAULT STATUS3</t>
  </si>
  <si>
    <t>0x0C</t>
    <phoneticPr fontId="2" type="noConversion"/>
  </si>
  <si>
    <t>SHORT_CH12</t>
    <phoneticPr fontId="2" type="noConversion"/>
  </si>
  <si>
    <t>SHORT_CH11</t>
    <phoneticPr fontId="2" type="noConversion"/>
  </si>
  <si>
    <t>SHORT_CH10</t>
  </si>
  <si>
    <t>SHORT_CH9</t>
  </si>
  <si>
    <t>SHORT_CH8</t>
  </si>
  <si>
    <t>SHORT_CH7</t>
  </si>
  <si>
    <t>SHORT_CH6</t>
  </si>
  <si>
    <t>SHORT_CH5</t>
  </si>
  <si>
    <t>SHORT_CH4</t>
  </si>
  <si>
    <t>SHORT_CH3</t>
  </si>
  <si>
    <t>SHORT_CH2</t>
  </si>
  <si>
    <t>SHORT_CH1</t>
  </si>
  <si>
    <t>MAX CURRENT LEVEL</t>
    <phoneticPr fontId="2" type="noConversion"/>
  </si>
  <si>
    <t>0x0D</t>
    <phoneticPr fontId="2" type="noConversion"/>
  </si>
  <si>
    <t>MAX_CURR3_LEVEL [3:0]</t>
    <phoneticPr fontId="2" type="noConversion"/>
  </si>
  <si>
    <t>MAX_CURR2_LEVEL [3:0]</t>
    <phoneticPr fontId="2" type="noConversion"/>
  </si>
  <si>
    <t>MAX_CURR1_LEVEL [3:0]</t>
    <phoneticPr fontId="2" type="noConversion"/>
  </si>
  <si>
    <t>4/8/12/16/20/24/28/32/36/40/44/48/52/56/60/64/ max 80</t>
    <phoneticPr fontId="2" type="noConversion"/>
  </si>
  <si>
    <t>MAX_CURR_VREF1</t>
    <phoneticPr fontId="2" type="noConversion"/>
  </si>
  <si>
    <t>0x0E</t>
    <phoneticPr fontId="2" type="noConversion"/>
  </si>
  <si>
    <t>MAX_CURR1_VREF [11:0]</t>
    <phoneticPr fontId="2" type="noConversion"/>
  </si>
  <si>
    <t>the value updated at every vsync</t>
    <phoneticPr fontId="2" type="noConversion"/>
  </si>
  <si>
    <t>MAX_CURR_VREF2</t>
  </si>
  <si>
    <t>0x0F</t>
    <phoneticPr fontId="2" type="noConversion"/>
  </si>
  <si>
    <t>MAX_CURR2_VREF [11:0]</t>
    <phoneticPr fontId="2" type="noConversion"/>
  </si>
  <si>
    <t>MAX_CURR_VREF3</t>
  </si>
  <si>
    <t>0x10</t>
    <phoneticPr fontId="2" type="noConversion"/>
  </si>
  <si>
    <t>MAX_CURR3_VREF [11:0]</t>
    <phoneticPr fontId="2" type="noConversion"/>
  </si>
  <si>
    <t>CHx_LD_TYPE</t>
    <phoneticPr fontId="2" type="noConversion"/>
  </si>
  <si>
    <t>0x11</t>
    <phoneticPr fontId="2" type="noConversion"/>
  </si>
  <si>
    <t>CH12_LD_TYPE</t>
  </si>
  <si>
    <t>CH11_LD_TYPE</t>
  </si>
  <si>
    <t>CH10_LD_TYPE</t>
  </si>
  <si>
    <t>CH9_LD_TYPE</t>
  </si>
  <si>
    <t>CH8_LD_TYPE</t>
  </si>
  <si>
    <t>CH7_LD_TYPE</t>
  </si>
  <si>
    <t>CH6_LD_TYPE</t>
  </si>
  <si>
    <t>CH5_LD_TYPE</t>
  </si>
  <si>
    <t>CH4_LD_TYPE</t>
  </si>
  <si>
    <t>CH3_LD_TYPE</t>
  </si>
  <si>
    <t>CH2_LD_TYPE</t>
    <phoneticPr fontId="2" type="noConversion"/>
  </si>
  <si>
    <t>CH1_LD_TYPE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</si>
  <si>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0' 1LD,  '1' 2LD (the number of the LD to be transmitted)
LD_TYPE = 1, register is ignored.</t>
    </r>
    <phoneticPr fontId="2" type="noConversion"/>
  </si>
  <si>
    <t>DELAY_CH1/2</t>
    <phoneticPr fontId="2" type="noConversion"/>
  </si>
  <si>
    <t>0x12</t>
    <phoneticPr fontId="2" type="noConversion"/>
  </si>
  <si>
    <t>DELAY_CH2 [4:0]</t>
    <phoneticPr fontId="2" type="noConversion"/>
  </si>
  <si>
    <t>DELAY_CH1 [4:0]</t>
    <phoneticPr fontId="2" type="noConversion"/>
  </si>
  <si>
    <t>counted by the sv (0 is countable)</t>
    <phoneticPr fontId="2" type="noConversion"/>
  </si>
  <si>
    <t>DELAY_CH3/4</t>
    <phoneticPr fontId="2" type="noConversion"/>
  </si>
  <si>
    <t>0x13</t>
    <phoneticPr fontId="2" type="noConversion"/>
  </si>
  <si>
    <t>DELAY_CH4 [4:0]</t>
    <phoneticPr fontId="2" type="noConversion"/>
  </si>
  <si>
    <t>DELAY_CH3 [4:0]</t>
    <phoneticPr fontId="2" type="noConversion"/>
  </si>
  <si>
    <t>DELAY_CH5/6</t>
    <phoneticPr fontId="2" type="noConversion"/>
  </si>
  <si>
    <t>0x14</t>
    <phoneticPr fontId="2" type="noConversion"/>
  </si>
  <si>
    <t>DELAY_CH6 [4:0]</t>
    <phoneticPr fontId="2" type="noConversion"/>
  </si>
  <si>
    <t>DELAY_CH5 [4:0]</t>
    <phoneticPr fontId="2" type="noConversion"/>
  </si>
  <si>
    <t>DELAY_CH7/8</t>
    <phoneticPr fontId="2" type="noConversion"/>
  </si>
  <si>
    <t>0x15</t>
    <phoneticPr fontId="2" type="noConversion"/>
  </si>
  <si>
    <t>DELAY_CH8 [4:0]</t>
    <phoneticPr fontId="2" type="noConversion"/>
  </si>
  <si>
    <t>DELAY_CH7 [4:0]</t>
    <phoneticPr fontId="2" type="noConversion"/>
  </si>
  <si>
    <t>DELAY_CH9/10</t>
    <phoneticPr fontId="2" type="noConversion"/>
  </si>
  <si>
    <t>0x16</t>
    <phoneticPr fontId="2" type="noConversion"/>
  </si>
  <si>
    <t>DELAY_CH10 [4:0]</t>
    <phoneticPr fontId="2" type="noConversion"/>
  </si>
  <si>
    <t>DELAY_CH9 [4:0]</t>
    <phoneticPr fontId="2" type="noConversion"/>
  </si>
  <si>
    <t>DELAY_CH11/12</t>
    <phoneticPr fontId="2" type="noConversion"/>
  </si>
  <si>
    <t>0x17</t>
    <phoneticPr fontId="2" type="noConversion"/>
  </si>
  <si>
    <t>DELAY_CH12 [4:0]</t>
    <phoneticPr fontId="2" type="noConversion"/>
  </si>
  <si>
    <t>DELAY_CH11 [4:0]</t>
    <phoneticPr fontId="2" type="noConversion"/>
  </si>
  <si>
    <t>FAULT CONFIGURATION</t>
    <phoneticPr fontId="2" type="noConversion"/>
  </si>
  <si>
    <t>0x18</t>
  </si>
  <si>
    <t>0xB79</t>
    <phoneticPr fontId="2" type="noConversion"/>
  </si>
  <si>
    <t>T_DET_E</t>
  </si>
  <si>
    <t>WD_EN</t>
  </si>
  <si>
    <t>WD_TIMECFG[1:0]</t>
    <phoneticPr fontId="2" type="noConversion"/>
  </si>
  <si>
    <t>WD_DIMM_EN</t>
  </si>
  <si>
    <t>BGR_OVUV_EN</t>
  </si>
  <si>
    <t>LDO_OVUV_EN</t>
    <phoneticPr fontId="2" type="noConversion"/>
  </si>
  <si>
    <t>CH_DAC_OVUV_EN</t>
  </si>
  <si>
    <t>CH_DAC_OVUV_OFF_EN</t>
  </si>
  <si>
    <t>VS_MISS_EN</t>
  </si>
  <si>
    <t>VS_MISS_DIMM_EN</t>
  </si>
  <si>
    <t>CH_CTRL_MISMATCH_EN</t>
  </si>
  <si>
    <t>BIST</t>
    <phoneticPr fontId="2" type="noConversion"/>
  </si>
  <si>
    <t>r/w(ro)</t>
    <phoneticPr fontId="2" type="noConversion"/>
  </si>
  <si>
    <t>0x19</t>
  </si>
  <si>
    <t>BIST_START</t>
    <phoneticPr fontId="2" type="noConversion"/>
  </si>
  <si>
    <t>BIST_START (ro)</t>
    <phoneticPr fontId="2" type="noConversion"/>
  </si>
  <si>
    <t>BIST_BUSY (ro)</t>
    <phoneticPr fontId="2" type="noConversion"/>
  </si>
  <si>
    <t>BIST_DONE (ro)</t>
    <phoneticPr fontId="2" type="noConversion"/>
  </si>
  <si>
    <t>BIST_ERR (ro)</t>
    <phoneticPr fontId="2" type="noConversion"/>
  </si>
  <si>
    <t>TEST_MODE0</t>
    <phoneticPr fontId="2" type="noConversion"/>
  </si>
  <si>
    <t>0x1A</t>
    <phoneticPr fontId="2" type="noConversion"/>
  </si>
  <si>
    <t>AMUX_SEL[3:0]</t>
    <phoneticPr fontId="2" type="noConversion"/>
  </si>
  <si>
    <t>DMUX_SEL[3:0]</t>
    <phoneticPr fontId="2" type="noConversion"/>
  </si>
  <si>
    <t>TEST_MODE1</t>
    <phoneticPr fontId="2" type="noConversion"/>
  </si>
  <si>
    <t>0x1B</t>
    <phoneticPr fontId="2" type="noConversion"/>
  </si>
  <si>
    <t>TM_OSC_STUCK_HIGH</t>
    <phoneticPr fontId="2" type="noConversion"/>
  </si>
  <si>
    <t>TM_OSC_STUCK_LOW</t>
    <phoneticPr fontId="2" type="noConversion"/>
  </si>
  <si>
    <t>TM_OVOVTEST_BGR</t>
    <phoneticPr fontId="2" type="noConversion"/>
  </si>
  <si>
    <t>TM_UVOTEST_LDO_1P5</t>
    <phoneticPr fontId="2" type="noConversion"/>
  </si>
  <si>
    <t>TM_LDO_OK</t>
    <phoneticPr fontId="2" type="noConversion"/>
  </si>
  <si>
    <t>TM_UVOVTEST_DAC_1P5</t>
    <phoneticPr fontId="2" type="noConversion"/>
  </si>
  <si>
    <t>TM_ANA_DIM_FIX_MAN</t>
    <phoneticPr fontId="2" type="noConversion"/>
  </si>
  <si>
    <t>TM_ANA_DIM_FIX_DIS</t>
    <phoneticPr fontId="2" type="noConversion"/>
  </si>
  <si>
    <t>SERIAL CLK GEN</t>
    <phoneticPr fontId="2" type="noConversion"/>
  </si>
  <si>
    <t>0x1C</t>
    <phoneticPr fontId="2" type="noConversion"/>
  </si>
  <si>
    <t>0x318</t>
    <phoneticPr fontId="2" type="noConversion"/>
  </si>
  <si>
    <t>SCLK_LOW [5:0] default 12ea</t>
    <phoneticPr fontId="2" type="noConversion"/>
  </si>
  <si>
    <t>SCLK_HIGH [5:0] default 24ea</t>
    <phoneticPr fontId="2" type="noConversion"/>
  </si>
  <si>
    <t>counted by a mclk/2 @ serializer ; deserializer operated at a mclk/1</t>
    <phoneticPr fontId="2" type="noConversion"/>
  </si>
  <si>
    <t>SERIAL_LATENCY</t>
    <phoneticPr fontId="2" type="noConversion"/>
  </si>
  <si>
    <t>0x1D</t>
    <phoneticPr fontId="2" type="noConversion"/>
  </si>
  <si>
    <t>0x080</t>
    <phoneticPr fontId="2" type="noConversion"/>
  </si>
  <si>
    <t>SERIAL_LATENCY [8:0] default 128ea</t>
    <phoneticPr fontId="2" type="noConversion"/>
  </si>
  <si>
    <r>
      <t>counted by a mclk/</t>
    </r>
    <r>
      <rPr>
        <u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</si>
  <si>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V_MASK</t>
    <phoneticPr fontId="2" type="noConversion"/>
  </si>
  <si>
    <t>0x1E</t>
    <phoneticPr fontId="2" type="noConversion"/>
  </si>
  <si>
    <t>V_MASK [9:0]</t>
    <phoneticPr fontId="2" type="noConversion"/>
  </si>
  <si>
    <t>counted by a mclk/2
setting value must consider a frame frequency transition</t>
    <phoneticPr fontId="2" type="noConversion"/>
  </si>
  <si>
    <t>SV_MASK</t>
    <phoneticPr fontId="2" type="noConversion"/>
  </si>
  <si>
    <t>0x1F</t>
    <phoneticPr fontId="2" type="noConversion"/>
  </si>
  <si>
    <t>SV_MASK_EN</t>
    <phoneticPr fontId="2" type="noConversion"/>
  </si>
  <si>
    <t>SV_MASK [9:0]</t>
    <phoneticPr fontId="2" type="noConversion"/>
  </si>
  <si>
    <t>RSTCNT</t>
    <phoneticPr fontId="2" type="noConversion"/>
  </si>
  <si>
    <t>0x20</t>
    <phoneticPr fontId="2" type="noConversion"/>
  </si>
  <si>
    <t>RSTCNT [9:0]</t>
    <phoneticPr fontId="2" type="noConversion"/>
  </si>
  <si>
    <r>
      <t xml:space="preserve">counted by a mclk/64 from a last svsync, </t>
    </r>
    <r>
      <rPr>
        <sz val="11"/>
        <color rgb="FFFF00FF"/>
        <rFont val="맑은 고딕"/>
        <family val="3"/>
        <charset val="129"/>
        <scheme val="minor"/>
      </rPr>
      <t>reset at every vsync</t>
    </r>
    <phoneticPr fontId="2" type="noConversion"/>
  </si>
  <si>
    <t>TIMEOUT</t>
    <phoneticPr fontId="2" type="noConversion"/>
  </si>
  <si>
    <t>0x21</t>
  </si>
  <si>
    <t>0x3FF</t>
    <phoneticPr fontId="2" type="noConversion"/>
  </si>
  <si>
    <t>TIMEOUT [10:0]</t>
    <phoneticPr fontId="2" type="noConversion"/>
  </si>
  <si>
    <r>
      <t xml:space="preserve">counted by a mclk/64, </t>
    </r>
    <r>
      <rPr>
        <sz val="11"/>
        <color rgb="FFFF0000"/>
        <rFont val="맑은 고딕"/>
        <family val="3"/>
        <charset val="129"/>
        <scheme val="minor"/>
      </rPr>
      <t>when the timeout is stopped @ reg readout ?</t>
    </r>
    <phoneticPr fontId="2" type="noConversion"/>
  </si>
  <si>
    <t>FLLCNT1</t>
    <phoneticPr fontId="2" type="noConversion"/>
  </si>
  <si>
    <t>0x22</t>
  </si>
  <si>
    <t>FLLCNT [11:0]</t>
    <phoneticPr fontId="2" type="noConversion"/>
  </si>
  <si>
    <t>FLLCNT2</t>
    <phoneticPr fontId="2" type="noConversion"/>
  </si>
  <si>
    <t>0x23</t>
  </si>
  <si>
    <t>0xC32</t>
    <phoneticPr fontId="2" type="noConversion"/>
  </si>
  <si>
    <t>FLL_EN</t>
    <phoneticPr fontId="2" type="noConversion"/>
  </si>
  <si>
    <t>FLL_RANGE [1:0]</t>
    <phoneticPr fontId="2" type="noConversion"/>
  </si>
  <si>
    <t>FLLCNT [19:12]</t>
    <phoneticPr fontId="2" type="noConversion"/>
  </si>
  <si>
    <r>
      <t xml:space="preserve">FLL_EN : '0 disable,  '1' enable (polarity changed)
</t>
    </r>
    <r>
      <rPr>
        <sz val="11"/>
        <color rgb="FFFF00FF"/>
        <rFont val="맑은 고딕"/>
        <family val="3"/>
        <charset val="129"/>
        <scheme val="minor"/>
      </rPr>
      <t>the value updated at every vsync, not svsync</t>
    </r>
    <phoneticPr fontId="2" type="noConversion"/>
  </si>
  <si>
    <t>WR_PROTECT</t>
    <phoneticPr fontId="2" type="noConversion"/>
  </si>
  <si>
    <t>0x24</t>
  </si>
  <si>
    <t>0x555</t>
    <phoneticPr fontId="2" type="noConversion"/>
  </si>
  <si>
    <t>WR_PROTECT [9:0]</t>
    <phoneticPr fontId="2" type="noConversion"/>
  </si>
  <si>
    <t>1. 0xAAA : MAX_CURR_VREF1/2/3 만 writable
2. 0xCCC : LD_CONTROL, FLLCNT1/2, PWMCLK_DIV1/2/3, MAX_CURR_VREF1/2/3 만 writable
3. 0x555 : all reg writable
4. others : un-writable
5. WR_PROTECT reg always writable</t>
    <phoneticPr fontId="2" type="noConversion"/>
  </si>
  <si>
    <t>NF CONTROL</t>
    <phoneticPr fontId="2" type="noConversion"/>
  </si>
  <si>
    <t>0x25</t>
  </si>
  <si>
    <t>BBKN_TH [5:0]</t>
    <phoneticPr fontId="2" type="noConversion"/>
  </si>
  <si>
    <t>O_EMI_REJ_EN</t>
  </si>
  <si>
    <t>SGRJT_EN2</t>
    <phoneticPr fontId="2" type="noConversion"/>
  </si>
  <si>
    <t>SGRJT_EN1</t>
    <phoneticPr fontId="2" type="noConversion"/>
  </si>
  <si>
    <t>BBKN_EN</t>
    <phoneticPr fontId="2" type="noConversion"/>
  </si>
  <si>
    <t>DGRJT_EN2</t>
    <phoneticPr fontId="2" type="noConversion"/>
  </si>
  <si>
    <t>DGRJT_EN1</t>
    <phoneticPr fontId="2" type="noConversion"/>
  </si>
  <si>
    <r>
      <t xml:space="preserve">DGRJT_EN1 : '1' 1 mclk data glitch rejection enable
DGRJT_EN2 : '1' 2 mclk data glitch rejection enable
BBKN_EN : '1' bit broken detection enable </t>
    </r>
    <r>
      <rPr>
        <sz val="11"/>
        <color rgb="FFFF0000"/>
        <rFont val="맑은 고딕"/>
        <family val="3"/>
        <charset val="129"/>
        <scheme val="minor"/>
      </rPr>
      <t>--&gt; DIO/ DDIO 신호 모두 적용 ?</t>
    </r>
    <r>
      <rPr>
        <sz val="11"/>
        <color theme="1"/>
        <rFont val="맑은 고딕"/>
        <family val="3"/>
        <charset val="129"/>
        <scheme val="minor"/>
      </rPr>
      <t xml:space="preserve">
SGRJT_EN1 : '1' 3 mclk svi glitch rejection enable
SGRJT_EN2 : '1' 4 mclk svi glitch rejection enable</t>
    </r>
    <phoneticPr fontId="2" type="noConversion"/>
  </si>
  <si>
    <t>CHOP_EN</t>
    <phoneticPr fontId="2" type="noConversion"/>
  </si>
  <si>
    <t>0x26</t>
  </si>
  <si>
    <t>CHOP_DRV_EN</t>
    <phoneticPr fontId="2" type="noConversion"/>
  </si>
  <si>
    <t>CHOP_OSCLDO_EN</t>
    <phoneticPr fontId="2" type="noConversion"/>
  </si>
  <si>
    <t>CHOP_OSC_EN</t>
    <phoneticPr fontId="2" type="noConversion"/>
  </si>
  <si>
    <t>CHOP_DAC_EN</t>
    <phoneticPr fontId="2" type="noConversion"/>
  </si>
  <si>
    <t>CHOP_BGR_EN</t>
    <phoneticPr fontId="2" type="noConversion"/>
  </si>
  <si>
    <t>TEMP</t>
    <phoneticPr fontId="2" type="noConversion"/>
  </si>
  <si>
    <t>0x27</t>
  </si>
  <si>
    <t>0x829</t>
    <phoneticPr fontId="2" type="noConversion"/>
  </si>
  <si>
    <t>OFS_TEMP [3:0]</t>
    <phoneticPr fontId="2" type="noConversion"/>
  </si>
  <si>
    <t>OV_SWAP_EN</t>
    <phoneticPr fontId="2" type="noConversion"/>
  </si>
  <si>
    <t>DAC_RNG</t>
    <phoneticPr fontId="2" type="noConversion"/>
  </si>
  <si>
    <t>FLT_CTL [1:0]</t>
    <phoneticPr fontId="2" type="noConversion"/>
  </si>
  <si>
    <t>O_SLEW [1:0]</t>
    <phoneticPr fontId="2" type="noConversion"/>
  </si>
  <si>
    <t>FLT_GAIN [1:0]</t>
    <phoneticPr fontId="2" type="noConversion"/>
  </si>
  <si>
    <t>OSC_FLL_MAN1</t>
    <phoneticPr fontId="2" type="noConversion"/>
  </si>
  <si>
    <t>0x28</t>
  </si>
  <si>
    <t>OSC_FLL_MAN [11:0]</t>
    <phoneticPr fontId="2" type="noConversion"/>
  </si>
  <si>
    <t>OSC_FLL_MAN2</t>
  </si>
  <si>
    <t>0x29</t>
  </si>
  <si>
    <t>0x808</t>
    <phoneticPr fontId="2" type="noConversion"/>
  </si>
  <si>
    <t>OSC_MAN_EN</t>
    <phoneticPr fontId="2" type="noConversion"/>
  </si>
  <si>
    <t>OSC_FLL_ERR_RANGE [1:0]</t>
    <phoneticPr fontId="2" type="noConversion"/>
  </si>
  <si>
    <t>OSC_FLL_MAN [15:12]</t>
    <phoneticPr fontId="2" type="noConversion"/>
  </si>
  <si>
    <t>OSC SPREAD</t>
    <phoneticPr fontId="2" type="noConversion"/>
  </si>
  <si>
    <t>0x2A</t>
    <phoneticPr fontId="2" type="noConversion"/>
  </si>
  <si>
    <t>SPRD_EN</t>
    <phoneticPr fontId="2" type="noConversion"/>
  </si>
  <si>
    <t>SPRD_SPD[2:0]</t>
    <phoneticPr fontId="2" type="noConversion"/>
  </si>
  <si>
    <t>SPRD_GAIN[2:0]</t>
    <phoneticPr fontId="2" type="noConversion"/>
  </si>
  <si>
    <t>CLOCK GATE EN</t>
    <phoneticPr fontId="2" type="noConversion"/>
  </si>
  <si>
    <t>0x2B</t>
    <phoneticPr fontId="2" type="noConversion"/>
  </si>
  <si>
    <t>0x07F</t>
    <phoneticPr fontId="2" type="noConversion"/>
  </si>
  <si>
    <t>OTP_MCLK_EN</t>
    <phoneticPr fontId="2" type="noConversion"/>
  </si>
  <si>
    <t>FLL_MCLK_EN</t>
    <phoneticPr fontId="2" type="noConversion"/>
  </si>
  <si>
    <t>FR2_MCLK_EN</t>
    <phoneticPr fontId="2" type="noConversion"/>
  </si>
  <si>
    <t>FR1_MCLK_EN</t>
    <phoneticPr fontId="2" type="noConversion"/>
  </si>
  <si>
    <t>DC_MCLK_EN</t>
    <phoneticPr fontId="2" type="noConversion"/>
  </si>
  <si>
    <t>for test only</t>
    <phoneticPr fontId="2" type="noConversion"/>
  </si>
  <si>
    <t>OTP CONTROL</t>
    <phoneticPr fontId="2" type="noConversion"/>
  </si>
  <si>
    <t>OP MODE</t>
    <phoneticPr fontId="2" type="noConversion"/>
  </si>
  <si>
    <t>0x3F</t>
    <phoneticPr fontId="2" type="noConversion"/>
  </si>
  <si>
    <t>TEST_EN</t>
    <phoneticPr fontId="2" type="noConversion"/>
  </si>
  <si>
    <t>TEST_ANA_EN [2:0]</t>
    <phoneticPr fontId="2" type="noConversion"/>
  </si>
  <si>
    <t>SW_SEL [1:0]</t>
    <phoneticPr fontId="2" type="noConversion"/>
  </si>
  <si>
    <t>PWMOUT_FULL</t>
    <phoneticPr fontId="2" type="noConversion"/>
  </si>
  <si>
    <t>MCLK64_O</t>
    <phoneticPr fontId="2" type="noConversion"/>
  </si>
  <si>
    <t>DTEST_MUX_EN</t>
  </si>
  <si>
    <t>RD_EN</t>
    <phoneticPr fontId="2" type="noConversion"/>
  </si>
  <si>
    <t>EXT_CLKIN</t>
    <phoneticPr fontId="2" type="noConversion"/>
  </si>
  <si>
    <t>ADDR_EXT</t>
    <phoneticPr fontId="2" type="noConversion"/>
  </si>
  <si>
    <r>
      <t xml:space="preserve">TEST_EN=1 &amp;&amp;
① MCLK64_O=1 : mclk/64 clk out to SVO pin 13
② PWMOUT_FULL=1 : </t>
    </r>
    <r>
      <rPr>
        <sz val="11"/>
        <color theme="1"/>
        <rFont val="맑은 고딕"/>
        <family val="3"/>
        <charset val="129"/>
      </rPr>
      <t>PWMOUTx=1 (@ CHx_EN=1)
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</t>
    </r>
    <r>
      <rPr>
        <sz val="11"/>
        <color theme="1"/>
        <rFont val="맑은 고딕"/>
        <family val="3"/>
        <charset val="129"/>
      </rPr>
      <t xml:space="preserve">DDIO_DIS=1 : DDIO blocking out to PAD </t>
    </r>
    <r>
      <rPr>
        <sz val="11"/>
        <color theme="1"/>
        <rFont val="Malgun Gothic Semilight"/>
        <family val="3"/>
        <charset val="129"/>
      </rPr>
      <t>→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삭제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맑은 고딕"/>
        <family val="3"/>
        <charset val="129"/>
        <scheme val="minor"/>
      </rPr>
      <t xml:space="preserve">TEST_EN=1, then blocking OTP downloaing despite of checksum error
</t>
    </r>
    <r>
      <rPr>
        <sz val="11"/>
        <color theme="1"/>
        <rFont val="맑은 고딕"/>
        <family val="3"/>
        <charset val="129"/>
      </rPr>
      <t xml:space="preserve">⑤ </t>
    </r>
    <r>
      <rPr>
        <sz val="11"/>
        <color theme="1"/>
        <rFont val="맑은 고딕"/>
        <family val="3"/>
        <charset val="129"/>
        <scheme val="minor"/>
      </rPr>
      <t>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    '0' general reg addr accessible
    '1' otp address accesible</t>
    </r>
    <phoneticPr fontId="2" type="noConversion"/>
  </si>
  <si>
    <t>OTP ACCESS1</t>
  </si>
  <si>
    <t>0x3A</t>
    <phoneticPr fontId="2" type="noConversion"/>
  </si>
  <si>
    <t>OTP_PG_ACC_CYCLE [15:12]</t>
    <phoneticPr fontId="2" type="noConversion"/>
  </si>
  <si>
    <t>70mhz counting, check the counter &amp; reg size</t>
    <phoneticPr fontId="2" type="noConversion"/>
  </si>
  <si>
    <t>OTP ACCESS2</t>
    <phoneticPr fontId="2" type="noConversion"/>
  </si>
  <si>
    <t>0x3B</t>
    <phoneticPr fontId="2" type="noConversion"/>
  </si>
  <si>
    <t>OTP_PG_ACC_CYCLE [11:0] (default : decimal 320)</t>
    <phoneticPr fontId="2" type="noConversion"/>
  </si>
  <si>
    <t>OTP WRITE</t>
    <phoneticPr fontId="2" type="noConversion"/>
  </si>
  <si>
    <t>0x3C</t>
    <phoneticPr fontId="2" type="noConversion"/>
  </si>
  <si>
    <t>0x004</t>
    <phoneticPr fontId="2" type="noConversion"/>
  </si>
  <si>
    <t>OTP_RD [1:0]</t>
    <phoneticPr fontId="2" type="noConversion"/>
  </si>
  <si>
    <t>OTP_WSEL [3:0]</t>
    <phoneticPr fontId="2" type="noConversion"/>
  </si>
  <si>
    <t>OTP RD/PROG</t>
    <phoneticPr fontId="2" type="noConversion"/>
  </si>
  <si>
    <t>0x3D</t>
    <phoneticPr fontId="2" type="noConversion"/>
  </si>
  <si>
    <t>OTP_PG_DONE</t>
    <phoneticPr fontId="2" type="noConversion"/>
  </si>
  <si>
    <t>OTP_RD_S</t>
    <phoneticPr fontId="2" type="noConversion"/>
  </si>
  <si>
    <t>OTP_PG_S</t>
    <phoneticPr fontId="2" type="noConversion"/>
  </si>
  <si>
    <t>OTP PROTECT</t>
    <phoneticPr fontId="2" type="noConversion"/>
  </si>
  <si>
    <t>0x3E</t>
    <phoneticPr fontId="2" type="noConversion"/>
  </si>
  <si>
    <t>0x5A5</t>
    <phoneticPr fontId="2" type="noConversion"/>
  </si>
  <si>
    <t>PROTECT_EN (0x5A5=not accessible), PROTECT_DIS (0xA5A=accessible)</t>
    <phoneticPr fontId="2" type="noConversion"/>
  </si>
  <si>
    <t>OTP MIRROR</t>
    <phoneticPr fontId="2" type="noConversion"/>
  </si>
  <si>
    <t>OTP_CRC_CHECKSUM [7:0]</t>
    <phoneticPr fontId="2" type="noConversion"/>
  </si>
  <si>
    <t>0x210</t>
    <phoneticPr fontId="2" type="noConversion"/>
  </si>
  <si>
    <t>IREF_CTL [4:0]</t>
    <phoneticPr fontId="2" type="noConversion"/>
  </si>
  <si>
    <t>BGR_TC [4:0]</t>
    <phoneticPr fontId="2" type="noConversion"/>
  </si>
  <si>
    <t>0x810</t>
    <phoneticPr fontId="2" type="noConversion"/>
  </si>
  <si>
    <t>LDO_DAC_CTL [4:0]</t>
    <phoneticPr fontId="2" type="noConversion"/>
  </si>
  <si>
    <t>OSC_RCTL [4:0]</t>
    <phoneticPr fontId="2" type="noConversion"/>
  </si>
  <si>
    <t>LDO_OSC_CTL [3:0]</t>
    <phoneticPr fontId="2" type="noConversion"/>
  </si>
  <si>
    <t>LDO_CTL [3:0]</t>
    <phoneticPr fontId="2" type="noConversion"/>
  </si>
  <si>
    <t>OFS_CH1 [8:0]</t>
    <phoneticPr fontId="2" type="noConversion"/>
  </si>
  <si>
    <t>OFS_CH2 [8:0]</t>
    <phoneticPr fontId="2" type="noConversion"/>
  </si>
  <si>
    <t>OFS_CH3 [8:0]</t>
    <phoneticPr fontId="2" type="noConversion"/>
  </si>
  <si>
    <t>0x07</t>
  </si>
  <si>
    <t>OFS_CH4 [8:0]</t>
    <phoneticPr fontId="2" type="noConversion"/>
  </si>
  <si>
    <t>0x08</t>
  </si>
  <si>
    <t>OFS_CH5 [8:0]</t>
    <phoneticPr fontId="2" type="noConversion"/>
  </si>
  <si>
    <t>0x09</t>
  </si>
  <si>
    <t>OFS_CH6 [8:0]</t>
    <phoneticPr fontId="2" type="noConversion"/>
  </si>
  <si>
    <t>OFS_CH7 [8:0]</t>
    <phoneticPr fontId="2" type="noConversion"/>
  </si>
  <si>
    <t>OFS_CH8 [8:0]</t>
    <phoneticPr fontId="2" type="noConversion"/>
  </si>
  <si>
    <t>OFS_CH9 [8:0]</t>
    <phoneticPr fontId="2" type="noConversion"/>
  </si>
  <si>
    <t>OFS_CH10 [8:0]</t>
    <phoneticPr fontId="2" type="noConversion"/>
  </si>
  <si>
    <t>OFS_CH11 [8:0]</t>
    <phoneticPr fontId="2" type="noConversion"/>
  </si>
  <si>
    <t>OFS_CH12 [8:0]</t>
    <phoneticPr fontId="2" type="noConversion"/>
  </si>
  <si>
    <t>0x040</t>
    <phoneticPr fontId="2" type="noConversion"/>
  </si>
  <si>
    <t>GAIN_CH1 [6:0]</t>
    <phoneticPr fontId="2" type="noConversion"/>
  </si>
  <si>
    <t>0x11</t>
  </si>
  <si>
    <t>GAIN_CH2 [6:0]</t>
    <phoneticPr fontId="2" type="noConversion"/>
  </si>
  <si>
    <t>0x12</t>
  </si>
  <si>
    <t>0x040</t>
  </si>
  <si>
    <t>GAIN_CH3 [6:0]</t>
    <phoneticPr fontId="2" type="noConversion"/>
  </si>
  <si>
    <t>0x13</t>
  </si>
  <si>
    <t>GAIN_CH4 [6:0]</t>
    <phoneticPr fontId="2" type="noConversion"/>
  </si>
  <si>
    <t>`</t>
    <phoneticPr fontId="2" type="noConversion"/>
  </si>
  <si>
    <t>0x14</t>
  </si>
  <si>
    <t>GAIN_CH5 [6:0]</t>
    <phoneticPr fontId="2" type="noConversion"/>
  </si>
  <si>
    <t>0x15</t>
  </si>
  <si>
    <t>GAIN_CH6 [6:0]</t>
    <phoneticPr fontId="2" type="noConversion"/>
  </si>
  <si>
    <t>0x16</t>
  </si>
  <si>
    <t>GAIN_CH7 [6:0]</t>
    <phoneticPr fontId="2" type="noConversion"/>
  </si>
  <si>
    <t>0x17</t>
  </si>
  <si>
    <t>GAIN_CH8 [6:0]</t>
    <phoneticPr fontId="2" type="noConversion"/>
  </si>
  <si>
    <t>GAIN_CH9 [6:0]</t>
    <phoneticPr fontId="2" type="noConversion"/>
  </si>
  <si>
    <t>GAIN_CH10 [6:0]</t>
    <phoneticPr fontId="2" type="noConversion"/>
  </si>
  <si>
    <t>GAIN_CH11 [6:0]</t>
    <phoneticPr fontId="2" type="noConversion"/>
  </si>
  <si>
    <t>GAIN_CH12 [6:0]</t>
    <phoneticPr fontId="2" type="noConversion"/>
  </si>
  <si>
    <t>VERSION0 [11:0]</t>
    <phoneticPr fontId="2" type="noConversion"/>
  </si>
  <si>
    <t>VERSION1 [11:0]</t>
    <phoneticPr fontId="2" type="noConversion"/>
  </si>
  <si>
    <t>0x03F</t>
    <phoneticPr fontId="2" type="noConversion"/>
  </si>
  <si>
    <t>RESP_ERR</t>
    <phoneticPr fontId="2" type="noConversion"/>
  </si>
  <si>
    <t>CMD_ERR</t>
    <phoneticPr fontId="2" type="noConversion"/>
  </si>
  <si>
    <t>VREF_OV</t>
    <phoneticPr fontId="2" type="noConversion"/>
  </si>
  <si>
    <t>VREF_UV</t>
    <phoneticPr fontId="2" type="noConversion"/>
  </si>
  <si>
    <t>OSC_LDO_OV</t>
    <phoneticPr fontId="2" type="noConversion"/>
  </si>
  <si>
    <t>OSC_LDO_UV</t>
    <phoneticPr fontId="2" type="noConversion"/>
  </si>
  <si>
    <t>0x31F</t>
    <phoneticPr fontId="2" type="noConversion"/>
  </si>
  <si>
    <t>CRC_EN</t>
    <phoneticPr fontId="2" type="noConversion"/>
  </si>
  <si>
    <t>VREF_OVUV_OFF_EN</t>
    <phoneticPr fontId="2" type="noConversion"/>
  </si>
  <si>
    <t>VREF_OVUV_EN</t>
    <phoneticPr fontId="2" type="noConversion"/>
  </si>
  <si>
    <t>OSC_LDO_OVUV_EN</t>
    <phoneticPr fontId="2" type="noConversion"/>
  </si>
  <si>
    <t>1. 0xAAA : MAX_CURR_VREF1/2/3 만 writable
2. 0xCCC : LD_CONTROL, FLLCNT1/2, PWMCLK_DIV1/2/3, MAX_CURR_VREF1/2/3 만 writable
3. 0x555 : all reg writable
4. others : un-writable FFF
5. WR_PROTECT reg always writable</t>
    <phoneticPr fontId="2" type="noConversion"/>
  </si>
  <si>
    <t>AMUX_SEL[4:0]</t>
    <phoneticPr fontId="2" type="noConversion"/>
  </si>
  <si>
    <t>DMUX_SEL[4:0]</t>
    <phoneticPr fontId="2" type="noConversion"/>
  </si>
  <si>
    <t>TM_CH_CTRL_INPUT_FLIP</t>
    <phoneticPr fontId="2" type="noConversion"/>
  </si>
  <si>
    <t>LD_SIZE [5:0]</t>
    <phoneticPr fontId="2" type="noConversion"/>
  </si>
  <si>
    <r>
      <t xml:space="preserve">0x1A
</t>
    </r>
    <r>
      <rPr>
        <b/>
        <sz val="11"/>
        <color theme="1"/>
        <rFont val="맑은 고딕"/>
        <family val="3"/>
        <charset val="129"/>
        <scheme val="minor"/>
      </rPr>
      <t>(TM required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</si>
  <si>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0x1B 
</t>
    </r>
    <r>
      <rPr>
        <b/>
        <sz val="11"/>
        <color theme="1"/>
        <rFont val="맑은 고딕"/>
        <family val="3"/>
        <charset val="129"/>
        <scheme val="minor"/>
      </rPr>
      <t>(TM required)</t>
    </r>
    <phoneticPr fontId="2" type="noConversion"/>
  </si>
  <si>
    <r>
      <t xml:space="preserve">1. 0xAAA : MAX_CURR_VREF1/2/3 만 writable
2. 0xCCC : LD_CONTROL, FLLCNT1/2, PWMCLK_DIV1/2/3, MAX_CURR_VREF1/2/3 만 writable
3. 0x555 : all reg writable
</t>
    </r>
    <r>
      <rPr>
        <b/>
        <sz val="11"/>
        <color rgb="FFFF0000"/>
        <rFont val="맑은 고딕"/>
        <family val="3"/>
        <charset val="129"/>
        <scheme val="minor"/>
      </rPr>
      <t>4. writing 0xA5A --&gt; 0x5A5 : enters Testmode</t>
    </r>
    <r>
      <rPr>
        <sz val="11"/>
        <color theme="1"/>
        <rFont val="맑은 고딕"/>
        <family val="3"/>
        <charset val="129"/>
        <scheme val="minor"/>
      </rPr>
      <t xml:space="preserve">
5. others : un-writable FFF
6. WR_PROTECT reg always writable</t>
    </r>
    <phoneticPr fontId="2" type="noConversion"/>
  </si>
  <si>
    <r>
      <rPr>
        <b/>
        <strike/>
        <sz val="11"/>
        <color rgb="FFFF0000"/>
        <rFont val="맑은 고딕"/>
        <family val="3"/>
        <charset val="129"/>
        <scheme val="minor"/>
      </rPr>
      <t>0x07F</t>
    </r>
    <r>
      <rPr>
        <b/>
        <sz val="11"/>
        <color rgb="FFFF0000"/>
        <rFont val="맑은 고딕"/>
        <family val="3"/>
        <charset val="129"/>
        <scheme val="minor"/>
      </rPr>
      <t xml:space="preserve">
0x017</t>
    </r>
    <phoneticPr fontId="2" type="noConversion"/>
  </si>
  <si>
    <t>OTP CONTROL(TM required)</t>
    <phoneticPr fontId="2" type="noConversion"/>
  </si>
  <si>
    <t>OTP MIRROR(TM, OTP Protect dis required)</t>
    <phoneticPr fontId="2" type="noConversion"/>
  </si>
  <si>
    <t>0x02</t>
    <phoneticPr fontId="2" type="noConversion"/>
  </si>
  <si>
    <t>0x03</t>
    <phoneticPr fontId="2" type="noConversion"/>
  </si>
  <si>
    <t>OFS_TEMP [3:0] : efuse로 변경</t>
    <phoneticPr fontId="2" type="noConversion"/>
  </si>
  <si>
    <t>TEST_ANA_EN</t>
    <phoneticPr fontId="2" type="noConversion"/>
  </si>
  <si>
    <t>0x39</t>
    <phoneticPr fontId="2" type="noConversion"/>
  </si>
  <si>
    <t>TEST_ANA_EN [4:0]</t>
    <phoneticPr fontId="2" type="noConversion"/>
  </si>
  <si>
    <t>register bit 확장에 따른 위치 변경</t>
    <phoneticPr fontId="2" type="noConversion"/>
  </si>
  <si>
    <t>r</t>
    <phoneticPr fontId="2" type="noConversion"/>
  </si>
  <si>
    <t>신규 control bit</t>
    <phoneticPr fontId="2" type="noConversion"/>
  </si>
  <si>
    <t>IREF2_CTL [4:0]</t>
    <phoneticPr fontId="2" type="noConversion"/>
  </si>
  <si>
    <t>BGR2_TC [4:0]</t>
    <phoneticPr fontId="2" type="noConversion"/>
  </si>
  <si>
    <t>0x010</t>
    <phoneticPr fontId="2" type="noConversion"/>
  </si>
  <si>
    <t>LDO_BGR2_CTL [4:0]</t>
    <phoneticPr fontId="2" type="noConversion"/>
  </si>
  <si>
    <t>bit size 변경함</t>
    <phoneticPr fontId="2" type="noConversion"/>
  </si>
  <si>
    <t>VERSION0 [7:0]</t>
    <phoneticPr fontId="2" type="noConversion"/>
  </si>
  <si>
    <t>삭제됨</t>
    <phoneticPr fontId="2" type="noConversion"/>
  </si>
  <si>
    <t>TESTMODE</t>
    <phoneticPr fontId="2" type="noConversion"/>
  </si>
  <si>
    <t>TESTMODE: ID601 is in testmode (read only)</t>
    <phoneticPr fontId="2" type="noConversion"/>
  </si>
  <si>
    <r>
      <t xml:space="preserve">1. 0xAAA : MAX_CURR_VREF1/2/3 만 writable
2. 0xCCC : LD_CONTROL, FLLCNT1/2, PWMCLK_DIV1/2/3, MAX_CURR_VREF1/2/3 만 writable
3. 0x555 : all reg writable
4. writing 0xA5A --&gt; 0x5A5 : enters Testmode, </t>
    </r>
    <r>
      <rPr>
        <b/>
        <sz val="11"/>
        <color rgb="FFFF0000"/>
        <rFont val="맑은 고딕"/>
        <family val="3"/>
        <charset val="129"/>
        <scheme val="minor"/>
      </rPr>
      <t>all reg writable in testmode</t>
    </r>
    <r>
      <rPr>
        <sz val="11"/>
        <color theme="1"/>
        <rFont val="맑은 고딕"/>
        <family val="3"/>
        <charset val="129"/>
        <scheme val="minor"/>
      </rPr>
      <t xml:space="preserve">
5. others : un-writable </t>
    </r>
    <r>
      <rPr>
        <b/>
        <strike/>
        <sz val="11"/>
        <color rgb="FFFF0000"/>
        <rFont val="맑은 고딕"/>
        <family val="3"/>
        <charset val="129"/>
        <scheme val="minor"/>
      </rPr>
      <t>FFF</t>
    </r>
    <r>
      <rPr>
        <sz val="11"/>
        <color theme="1"/>
        <rFont val="맑은 고딕"/>
        <family val="3"/>
        <charset val="129"/>
        <scheme val="minor"/>
      </rPr>
      <t xml:space="preserve">
6. WR_PROTECT reg always writable</t>
    </r>
    <phoneticPr fontId="2" type="noConversion"/>
  </si>
  <si>
    <t>0x029</t>
    <phoneticPr fontId="2" type="noConversion"/>
  </si>
  <si>
    <t>VREF_FIX1</t>
    <phoneticPr fontId="2" type="noConversion"/>
  </si>
  <si>
    <t>0x2C</t>
    <phoneticPr fontId="2" type="noConversion"/>
  </si>
  <si>
    <t>VREF_FIX1 [11:0]</t>
    <phoneticPr fontId="2" type="noConversion"/>
  </si>
  <si>
    <t>VREF_FIX2</t>
  </si>
  <si>
    <t>0x2D</t>
    <phoneticPr fontId="2" type="noConversion"/>
  </si>
  <si>
    <t>VREF_FIX2 [11:0]</t>
    <phoneticPr fontId="2" type="noConversion"/>
  </si>
  <si>
    <t>VREF_FIX3</t>
  </si>
  <si>
    <t>0x2E</t>
    <phoneticPr fontId="2" type="noConversion"/>
  </si>
  <si>
    <t>VREF_FIX3 [11:0]</t>
    <phoneticPr fontId="2" type="noConversion"/>
  </si>
  <si>
    <t>OPEN_MASK_OPT</t>
    <phoneticPr fontId="2" type="noConversion"/>
  </si>
  <si>
    <t>0x017</t>
    <phoneticPr fontId="2" type="noConversion"/>
  </si>
  <si>
    <t>setting value</t>
    <phoneticPr fontId="2" type="noConversion"/>
  </si>
  <si>
    <t>0x800</t>
    <phoneticPr fontId="2" type="noConversion"/>
  </si>
  <si>
    <t>0x826</t>
    <phoneticPr fontId="2" type="noConversion"/>
  </si>
  <si>
    <t>0x024</t>
    <phoneticPr fontId="2" type="noConversion"/>
  </si>
  <si>
    <t>0xFFF</t>
    <phoneticPr fontId="2" type="noConversion"/>
  </si>
  <si>
    <t>0x738</t>
    <phoneticPr fontId="2" type="noConversion"/>
  </si>
  <si>
    <t>0x1FF</t>
    <phoneticPr fontId="2" type="noConversion"/>
  </si>
  <si>
    <t>0x001</t>
  </si>
  <si>
    <t>0x002</t>
  </si>
  <si>
    <t>0x27E</t>
    <phoneticPr fontId="2" type="noConversion"/>
  </si>
  <si>
    <t>0xE68</t>
    <phoneticPr fontId="2" type="noConversion"/>
  </si>
  <si>
    <t>0xD16</t>
    <phoneticPr fontId="2" type="noConversion"/>
  </si>
  <si>
    <t>Vsync</t>
    <phoneticPr fontId="2" type="noConversion"/>
  </si>
  <si>
    <t>Hz</t>
    <phoneticPr fontId="2" type="noConversion"/>
  </si>
  <si>
    <t>SV_NO</t>
    <phoneticPr fontId="2" type="noConversion"/>
  </si>
  <si>
    <t>EA</t>
    <phoneticPr fontId="2" type="noConversion"/>
  </si>
  <si>
    <t>R</t>
    <phoneticPr fontId="2" type="noConversion"/>
  </si>
  <si>
    <t>us</t>
    <phoneticPr fontId="2" type="noConversion"/>
  </si>
  <si>
    <t>G</t>
    <phoneticPr fontId="2" type="noConversion"/>
  </si>
  <si>
    <t>B</t>
    <phoneticPr fontId="2" type="noConversion"/>
  </si>
  <si>
    <t>us/sub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</si>
</sst>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Malgun Gothic Semilight"/>
      <family val="3"/>
      <charset val="129"/>
    </font>
    <font>
      <sz val="12.1"/>
      <color theme="1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/>
    </xf>
    <xf numFmtId="0" fontId="1" fillId="0" borderId="2" xfId="0" quotePrefix="1" applyFont="1" applyBorder="1" applyAlignment="1">
      <alignment horizontal="left" vertical="top" wrapText="1"/>
    </xf>
    <xf numFmtId="0" fontId="1" fillId="5" borderId="0" xfId="0" applyFont="1" applyFill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top" wrapText="1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2" xfId="0" quotePrefix="1" applyFont="1" applyBorder="1" applyAlignment="1">
      <alignment horizontal="left" vertical="top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/>
    </xf>
    <xf numFmtId="0" fontId="8" fillId="2" borderId="0" xfId="0" applyFont="1" applyFill="1">
      <alignment vertical="center"/>
    </xf>
    <xf numFmtId="0" fontId="1" fillId="8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9" borderId="1" xfId="0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left" vertical="top"/>
    </xf>
    <xf numFmtId="0" fontId="1" fillId="0" borderId="1" xfId="0" applyFont="1" applyBorder="1" applyAlignment="1">
      <alignment vertical="center" shrinkToFit="1"/>
    </xf>
    <xf numFmtId="0" fontId="1" fillId="0" borderId="0" xfId="0" applyFont="1" applyAlignment="1">
      <alignment horizontal="left" vertical="center"/>
    </xf>
    <xf numFmtId="0" fontId="1" fillId="10" borderId="0" xfId="0" applyFont="1" applyFill="1" applyAlignment="1">
      <alignment horizontal="center" vertical="center" wrapText="1"/>
    </xf>
    <xf numFmtId="0" fontId="1" fillId="10" borderId="2" xfId="0" applyFont="1" applyFill="1" applyBorder="1" applyAlignment="1">
      <alignment horizontal="left" vertical="top" wrapText="1"/>
    </xf>
    <xf numFmtId="0" fontId="14" fillId="10" borderId="0" xfId="0" applyFont="1" applyFill="1" applyAlignment="1">
      <alignment horizontal="center" vertical="center" wrapText="1"/>
    </xf>
    <xf numFmtId="0" fontId="8" fillId="10" borderId="0" xfId="0" applyFont="1" applyFill="1">
      <alignment vertical="center"/>
    </xf>
    <xf numFmtId="0" fontId="1" fillId="8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0" fontId="7" fillId="12" borderId="0" xfId="0" applyFont="1" applyFill="1" applyAlignment="1">
      <alignment horizontal="center" vertical="center"/>
    </xf>
    <xf numFmtId="0" fontId="1" fillId="13" borderId="2" xfId="0" applyFont="1" applyFill="1" applyBorder="1" applyAlignment="1">
      <alignment horizontal="left" vertical="top" wrapText="1"/>
    </xf>
    <xf numFmtId="0" fontId="1" fillId="13" borderId="0" xfId="0" applyFont="1" applyFill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10" borderId="0" xfId="0" applyFont="1" applyFill="1" applyAlignment="1">
      <alignment horizontal="right" vertical="center"/>
    </xf>
    <xf numFmtId="0" fontId="1" fillId="15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8" fillId="2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shrinkToFit="1"/>
    </xf>
    <xf numFmtId="0" fontId="1" fillId="3" borderId="5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shrinkToFit="1"/>
    </xf>
    <xf numFmtId="0" fontId="7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7" fillId="11" borderId="1" xfId="0" applyFont="1" applyFill="1" applyBorder="1" applyAlignment="1">
      <alignment horizontal="center" vertical="center" shrinkToFit="1"/>
    </xf>
    <xf numFmtId="0" fontId="1" fillId="11" borderId="1" xfId="0" applyFont="1" applyFill="1" applyBorder="1" applyAlignment="1">
      <alignment horizontal="center" vertical="center" shrinkToFit="1"/>
    </xf>
    <xf numFmtId="0" fontId="1" fillId="9" borderId="3" xfId="0" applyFont="1" applyFill="1" applyBorder="1" applyAlignment="1">
      <alignment horizontal="center" vertical="center" shrinkToFit="1"/>
    </xf>
    <xf numFmtId="0" fontId="1" fillId="9" borderId="4" xfId="0" applyFont="1" applyFill="1" applyBorder="1" applyAlignment="1">
      <alignment horizontal="center" vertical="center" shrinkToFit="1"/>
    </xf>
    <xf numFmtId="0" fontId="1" fillId="9" borderId="5" xfId="0" applyFont="1" applyFill="1" applyBorder="1" applyAlignment="1">
      <alignment horizontal="center" vertical="center" shrinkToFit="1"/>
    </xf>
    <xf numFmtId="0" fontId="16" fillId="12" borderId="1" xfId="0" applyFont="1" applyFill="1" applyBorder="1" applyAlignment="1">
      <alignment horizontal="center" vertical="center" shrinkToFit="1"/>
    </xf>
    <xf numFmtId="0" fontId="3" fillId="9" borderId="1" xfId="0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 shrinkToFit="1"/>
    </xf>
    <xf numFmtId="0" fontId="0" fillId="3" borderId="5" xfId="0" applyFill="1" applyBorder="1" applyAlignment="1">
      <alignment horizontal="center" vertical="center" shrinkToFit="1"/>
    </xf>
    <xf numFmtId="0" fontId="1" fillId="6" borderId="3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 shrinkToFit="1"/>
    </xf>
    <xf numFmtId="0" fontId="14" fillId="10" borderId="4" xfId="0" applyFont="1" applyFill="1" applyBorder="1" applyAlignment="1">
      <alignment horizontal="center" vertical="center" shrinkToFit="1"/>
    </xf>
    <xf numFmtId="0" fontId="14" fillId="10" borderId="5" xfId="0" applyFont="1" applyFill="1" applyBorder="1" applyAlignment="1">
      <alignment horizontal="center" vertical="center" shrinkToFi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 shrinkToFit="1"/>
    </xf>
    <xf numFmtId="0" fontId="1" fillId="13" borderId="4" xfId="0" applyFont="1" applyFill="1" applyBorder="1" applyAlignment="1">
      <alignment horizontal="center" vertical="center" shrinkToFit="1"/>
    </xf>
    <xf numFmtId="0" fontId="1" fillId="13" borderId="5" xfId="0" applyFont="1" applyFill="1" applyBorder="1" applyAlignment="1">
      <alignment horizontal="center" vertical="center" shrinkToFit="1"/>
    </xf>
    <xf numFmtId="0" fontId="1" fillId="13" borderId="1" xfId="0" applyFont="1" applyFill="1" applyBorder="1" applyAlignment="1">
      <alignment horizontal="center" vertical="center" shrinkToFit="1"/>
    </xf>
    <xf numFmtId="0" fontId="1" fillId="13" borderId="3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7961-5A06-41DF-9AAF-A7C200633C61}">
  <sheetPr>
    <tabColor rgb="FF0000FF"/>
  </sheetPr>
  <dimension ref="A1:U92"/>
  <sheetViews>
    <sheetView showGridLines="0" topLeftCell="A9" zoomScale="70" zoomScaleNormal="70" workbookViewId="0">
      <selection activeCell="A29" sqref="A29:XFD29"/>
    </sheetView>
  </sheetViews>
  <sheetFormatPr defaultColWidth="8.58203125" defaultRowHeight="17"/>
  <cols>
    <col min="1" max="1" width="8.58203125" style="1" customWidth="1"/>
    <col min="2" max="2" width="3.08203125" style="1" bestFit="1" customWidth="1"/>
    <col min="3" max="3" width="19.9140625" style="2" bestFit="1" customWidth="1"/>
    <col min="4" max="4" width="6.4140625" style="3" bestFit="1" customWidth="1"/>
    <col min="5" max="5" width="10.08203125" style="3" bestFit="1" customWidth="1"/>
    <col min="6" max="6" width="6.9140625" style="3" bestFit="1" customWidth="1"/>
    <col min="7" max="7" width="1.58203125" style="3" customWidth="1"/>
    <col min="8" max="8" width="16.4140625" style="3" bestFit="1" customWidth="1"/>
    <col min="9" max="9" width="19" style="3" customWidth="1"/>
    <col min="10" max="10" width="13.58203125" style="3" bestFit="1" customWidth="1"/>
    <col min="11" max="11" width="12.58203125" style="3" bestFit="1" customWidth="1"/>
    <col min="12" max="12" width="21" style="3" customWidth="1"/>
    <col min="13" max="13" width="21.9140625" style="3" customWidth="1"/>
    <col min="14" max="14" width="19.9140625" style="3" customWidth="1"/>
    <col min="15" max="15" width="21.58203125" style="3" customWidth="1"/>
    <col min="16" max="16" width="22.1640625" style="3" customWidth="1"/>
    <col min="17" max="17" width="22.08203125" style="3" customWidth="1"/>
    <col min="18" max="18" width="21.58203125" style="3" customWidth="1"/>
    <col min="19" max="19" width="22.58203125" style="3" customWidth="1"/>
    <col min="20" max="20" width="83.1640625" style="4" bestFit="1" customWidth="1"/>
    <col min="21" max="21" width="8.58203125" style="1" customWidth="1"/>
    <col min="22" max="16384" width="8.58203125" style="1"/>
  </cols>
  <sheetData>
    <row r="1" spans="2:20">
      <c r="D1" s="2"/>
      <c r="E1" s="2"/>
      <c r="F1" s="2"/>
    </row>
    <row r="2" spans="2:20">
      <c r="B2" s="5"/>
      <c r="C2" s="6" t="s">
        <v>0</v>
      </c>
      <c r="D2" s="7" t="s">
        <v>1</v>
      </c>
      <c r="E2" s="7" t="s">
        <v>2</v>
      </c>
      <c r="F2" s="7" t="s">
        <v>3</v>
      </c>
      <c r="G2" s="7"/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8" t="s">
        <v>16</v>
      </c>
    </row>
    <row r="3" spans="2:20" ht="85">
      <c r="B3" s="5">
        <v>1</v>
      </c>
      <c r="C3" s="2" t="s">
        <v>17</v>
      </c>
      <c r="D3" s="3" t="s">
        <v>18</v>
      </c>
      <c r="E3" s="3" t="s">
        <v>19</v>
      </c>
      <c r="F3" s="9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1"/>
      <c r="M3" s="11"/>
      <c r="N3" s="11"/>
      <c r="O3" s="63" t="s">
        <v>25</v>
      </c>
      <c r="P3" s="63"/>
      <c r="Q3" s="63"/>
      <c r="R3" s="63"/>
      <c r="S3" s="63"/>
      <c r="T3" s="12" t="s">
        <v>26</v>
      </c>
    </row>
    <row r="4" spans="2:20" ht="101.4" customHeight="1">
      <c r="B4" s="5">
        <f>B3+1</f>
        <v>2</v>
      </c>
      <c r="C4" s="2" t="s">
        <v>27</v>
      </c>
      <c r="D4" s="3" t="s">
        <v>18</v>
      </c>
      <c r="E4" s="3" t="s">
        <v>28</v>
      </c>
      <c r="F4" s="3" t="s">
        <v>29</v>
      </c>
      <c r="H4" s="64" t="s">
        <v>30</v>
      </c>
      <c r="I4" s="65"/>
      <c r="J4" s="65"/>
      <c r="K4" s="65"/>
      <c r="L4" s="65"/>
      <c r="M4" s="65"/>
      <c r="N4" s="13" t="s">
        <v>31</v>
      </c>
      <c r="O4" s="14" t="s">
        <v>32</v>
      </c>
      <c r="P4" s="13" t="s">
        <v>33</v>
      </c>
      <c r="Q4" s="15" t="s">
        <v>34</v>
      </c>
      <c r="R4" s="15" t="s">
        <v>35</v>
      </c>
      <c r="S4" s="13" t="s">
        <v>36</v>
      </c>
      <c r="T4" s="12" t="s">
        <v>37</v>
      </c>
    </row>
    <row r="5" spans="2:20">
      <c r="B5" s="5">
        <f t="shared" ref="B5:B41" si="0">B4+1</f>
        <v>3</v>
      </c>
      <c r="C5" s="2" t="s">
        <v>38</v>
      </c>
      <c r="D5" s="3" t="s">
        <v>18</v>
      </c>
      <c r="E5" s="3" t="s">
        <v>39</v>
      </c>
      <c r="F5" s="3" t="s">
        <v>29</v>
      </c>
      <c r="H5" s="16"/>
      <c r="I5" s="16"/>
      <c r="J5" s="16"/>
      <c r="K5" s="16"/>
      <c r="L5" s="16"/>
      <c r="M5" s="16"/>
      <c r="N5" s="66" t="s">
        <v>40</v>
      </c>
      <c r="O5" s="92"/>
      <c r="P5" s="92"/>
      <c r="Q5" s="92"/>
      <c r="R5" s="92"/>
      <c r="S5" s="93"/>
      <c r="T5" s="1" t="s">
        <v>41</v>
      </c>
    </row>
    <row r="6" spans="2:20">
      <c r="B6" s="5">
        <f t="shared" si="0"/>
        <v>4</v>
      </c>
      <c r="C6" s="2" t="s">
        <v>42</v>
      </c>
      <c r="D6" s="3" t="s">
        <v>18</v>
      </c>
      <c r="E6" s="3" t="s">
        <v>43</v>
      </c>
      <c r="F6" s="3" t="s">
        <v>29</v>
      </c>
      <c r="H6" s="69" t="s">
        <v>44</v>
      </c>
      <c r="I6" s="69"/>
      <c r="J6" s="69"/>
      <c r="K6" s="69"/>
      <c r="L6" s="69" t="s">
        <v>45</v>
      </c>
      <c r="M6" s="69"/>
      <c r="N6" s="69"/>
      <c r="O6" s="69"/>
      <c r="P6" s="69"/>
      <c r="Q6" s="69"/>
      <c r="R6" s="69"/>
      <c r="S6" s="69"/>
      <c r="T6" s="17" t="s">
        <v>46</v>
      </c>
    </row>
    <row r="7" spans="2:20">
      <c r="B7" s="5">
        <f t="shared" si="0"/>
        <v>5</v>
      </c>
      <c r="C7" s="2" t="s">
        <v>47</v>
      </c>
      <c r="D7" s="3" t="s">
        <v>18</v>
      </c>
      <c r="E7" s="3" t="s">
        <v>48</v>
      </c>
      <c r="F7" s="3" t="s">
        <v>29</v>
      </c>
      <c r="H7" s="69" t="s">
        <v>49</v>
      </c>
      <c r="I7" s="69"/>
      <c r="J7" s="69"/>
      <c r="K7" s="69"/>
      <c r="L7" s="69"/>
      <c r="M7" s="69"/>
      <c r="N7" s="69"/>
      <c r="O7" s="69"/>
      <c r="P7" s="69" t="s">
        <v>50</v>
      </c>
      <c r="Q7" s="69"/>
      <c r="R7" s="69"/>
      <c r="S7" s="69"/>
      <c r="T7" s="18" t="s">
        <v>51</v>
      </c>
    </row>
    <row r="8" spans="2:20">
      <c r="B8" s="5">
        <f t="shared" si="0"/>
        <v>6</v>
      </c>
      <c r="C8" s="2" t="s">
        <v>52</v>
      </c>
      <c r="D8" s="3" t="s">
        <v>18</v>
      </c>
      <c r="E8" s="3" t="s">
        <v>53</v>
      </c>
      <c r="F8" s="3" t="s">
        <v>29</v>
      </c>
      <c r="H8" s="19" t="s">
        <v>54</v>
      </c>
      <c r="I8" s="19" t="s">
        <v>55</v>
      </c>
      <c r="J8" s="19" t="s">
        <v>56</v>
      </c>
      <c r="K8" s="19" t="s">
        <v>57</v>
      </c>
      <c r="L8" s="19" t="s">
        <v>58</v>
      </c>
      <c r="M8" s="19" t="s">
        <v>59</v>
      </c>
      <c r="N8" s="19" t="s">
        <v>60</v>
      </c>
      <c r="O8" s="19" t="s">
        <v>61</v>
      </c>
      <c r="P8" s="19" t="s">
        <v>62</v>
      </c>
      <c r="Q8" s="19" t="s">
        <v>63</v>
      </c>
      <c r="R8" s="19" t="s">
        <v>64</v>
      </c>
      <c r="S8" s="19" t="s">
        <v>65</v>
      </c>
      <c r="T8" s="20"/>
    </row>
    <row r="9" spans="2:20" ht="68">
      <c r="B9" s="5">
        <f t="shared" si="0"/>
        <v>7</v>
      </c>
      <c r="C9" s="21" t="s">
        <v>66</v>
      </c>
      <c r="D9" s="3" t="s">
        <v>18</v>
      </c>
      <c r="E9" s="3" t="s">
        <v>67</v>
      </c>
      <c r="F9" s="3" t="s">
        <v>29</v>
      </c>
      <c r="H9" s="10" t="s">
        <v>68</v>
      </c>
      <c r="I9" s="71" t="s">
        <v>69</v>
      </c>
      <c r="J9" s="71"/>
      <c r="K9" s="64" t="s">
        <v>70</v>
      </c>
      <c r="L9" s="91"/>
      <c r="M9" s="11"/>
      <c r="N9" s="10" t="s">
        <v>71</v>
      </c>
      <c r="O9" s="10" t="s">
        <v>72</v>
      </c>
      <c r="P9" s="10" t="s">
        <v>73</v>
      </c>
      <c r="Q9" s="19" t="s">
        <v>74</v>
      </c>
      <c r="R9" s="19" t="s">
        <v>75</v>
      </c>
      <c r="S9" s="10" t="s">
        <v>76</v>
      </c>
      <c r="T9" s="20" t="s">
        <v>77</v>
      </c>
    </row>
    <row r="10" spans="2:20">
      <c r="B10" s="5">
        <f>B9+1</f>
        <v>8</v>
      </c>
      <c r="C10" s="2" t="s">
        <v>78</v>
      </c>
      <c r="D10" s="3" t="s">
        <v>18</v>
      </c>
      <c r="E10" s="3" t="s">
        <v>79</v>
      </c>
      <c r="F10" s="3" t="s">
        <v>29</v>
      </c>
      <c r="H10" s="23"/>
      <c r="I10" s="23"/>
      <c r="J10" s="23"/>
      <c r="K10" s="73" t="s">
        <v>80</v>
      </c>
      <c r="L10" s="73"/>
      <c r="M10" s="73"/>
      <c r="N10" s="73" t="s">
        <v>81</v>
      </c>
      <c r="O10" s="73"/>
      <c r="P10" s="73"/>
      <c r="Q10" s="73" t="s">
        <v>82</v>
      </c>
      <c r="R10" s="73"/>
      <c r="S10" s="73"/>
      <c r="T10" s="12"/>
    </row>
    <row r="11" spans="2:20" ht="17.149999999999999" customHeight="1">
      <c r="B11" s="5">
        <f t="shared" si="0"/>
        <v>9</v>
      </c>
      <c r="C11" s="2" t="s">
        <v>83</v>
      </c>
      <c r="D11" s="3" t="s">
        <v>18</v>
      </c>
      <c r="E11" s="3" t="s">
        <v>84</v>
      </c>
      <c r="F11" s="3" t="s">
        <v>29</v>
      </c>
      <c r="H11" s="23"/>
      <c r="I11" s="23"/>
      <c r="J11" s="23"/>
      <c r="K11" s="73" t="s">
        <v>85</v>
      </c>
      <c r="L11" s="73"/>
      <c r="M11" s="73"/>
      <c r="N11" s="73" t="s">
        <v>86</v>
      </c>
      <c r="O11" s="73"/>
      <c r="P11" s="73"/>
      <c r="Q11" s="73" t="s">
        <v>87</v>
      </c>
      <c r="R11" s="73"/>
      <c r="S11" s="73"/>
      <c r="T11" s="12"/>
    </row>
    <row r="12" spans="2:20">
      <c r="B12" s="5">
        <f t="shared" si="0"/>
        <v>10</v>
      </c>
      <c r="C12" s="21" t="s">
        <v>88</v>
      </c>
      <c r="D12" s="3" t="s">
        <v>89</v>
      </c>
      <c r="E12" s="3" t="s">
        <v>90</v>
      </c>
      <c r="F12" s="3" t="s">
        <v>91</v>
      </c>
      <c r="H12" s="11"/>
      <c r="I12" s="11"/>
      <c r="J12" s="11"/>
      <c r="K12" s="11"/>
      <c r="L12" s="11"/>
      <c r="M12" s="11"/>
      <c r="N12" s="11"/>
      <c r="O12" s="10" t="s">
        <v>92</v>
      </c>
      <c r="P12" s="10" t="s">
        <v>93</v>
      </c>
      <c r="Q12" s="19" t="s">
        <v>94</v>
      </c>
      <c r="R12" s="19" t="s">
        <v>95</v>
      </c>
      <c r="S12" s="19" t="s">
        <v>96</v>
      </c>
      <c r="T12" s="20" t="s">
        <v>97</v>
      </c>
    </row>
    <row r="13" spans="2:20">
      <c r="B13" s="5"/>
      <c r="C13" s="21" t="s">
        <v>98</v>
      </c>
      <c r="D13" s="3" t="s">
        <v>89</v>
      </c>
      <c r="E13" s="3" t="s">
        <v>99</v>
      </c>
      <c r="F13" s="3" t="s">
        <v>91</v>
      </c>
      <c r="H13" s="11"/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9" t="s">
        <v>105</v>
      </c>
      <c r="O13" s="10" t="s">
        <v>106</v>
      </c>
      <c r="P13" s="10" t="s">
        <v>107</v>
      </c>
      <c r="Q13" s="10" t="s">
        <v>108</v>
      </c>
      <c r="R13" s="10" t="s">
        <v>109</v>
      </c>
      <c r="S13" s="19" t="s">
        <v>110</v>
      </c>
      <c r="T13" s="20"/>
    </row>
    <row r="14" spans="2:20">
      <c r="B14" s="5"/>
      <c r="C14" s="21" t="s">
        <v>111</v>
      </c>
      <c r="D14" s="3" t="s">
        <v>89</v>
      </c>
      <c r="E14" s="3" t="s">
        <v>112</v>
      </c>
      <c r="F14" s="3" t="s">
        <v>91</v>
      </c>
      <c r="H14" s="10" t="s">
        <v>113</v>
      </c>
      <c r="I14" s="10" t="s">
        <v>114</v>
      </c>
      <c r="J14" s="10" t="s">
        <v>115</v>
      </c>
      <c r="K14" s="10" t="s">
        <v>116</v>
      </c>
      <c r="L14" s="10" t="s">
        <v>117</v>
      </c>
      <c r="M14" s="10" t="s">
        <v>118</v>
      </c>
      <c r="N14" s="10" t="s">
        <v>119</v>
      </c>
      <c r="O14" s="10" t="s">
        <v>120</v>
      </c>
      <c r="P14" s="10" t="s">
        <v>121</v>
      </c>
      <c r="Q14" s="10" t="s">
        <v>122</v>
      </c>
      <c r="R14" s="10" t="s">
        <v>123</v>
      </c>
      <c r="S14" s="10" t="s">
        <v>124</v>
      </c>
      <c r="T14" s="20"/>
    </row>
    <row r="15" spans="2:20">
      <c r="B15" s="5"/>
      <c r="C15" s="21" t="s">
        <v>125</v>
      </c>
      <c r="D15" s="3" t="s">
        <v>89</v>
      </c>
      <c r="E15" s="3" t="s">
        <v>126</v>
      </c>
      <c r="F15" s="3" t="s">
        <v>91</v>
      </c>
      <c r="H15" s="10" t="s">
        <v>127</v>
      </c>
      <c r="I15" s="10" t="s">
        <v>128</v>
      </c>
      <c r="J15" s="10" t="s">
        <v>129</v>
      </c>
      <c r="K15" s="10" t="s">
        <v>130</v>
      </c>
      <c r="L15" s="10" t="s">
        <v>131</v>
      </c>
      <c r="M15" s="10" t="s">
        <v>132</v>
      </c>
      <c r="N15" s="10" t="s">
        <v>133</v>
      </c>
      <c r="O15" s="10" t="s">
        <v>134</v>
      </c>
      <c r="P15" s="10" t="s">
        <v>135</v>
      </c>
      <c r="Q15" s="10" t="s">
        <v>136</v>
      </c>
      <c r="R15" s="10" t="s">
        <v>137</v>
      </c>
      <c r="S15" s="10" t="s">
        <v>138</v>
      </c>
      <c r="T15" s="20"/>
    </row>
    <row r="16" spans="2:20" ht="17.149999999999999" customHeight="1">
      <c r="B16" s="5">
        <f>B12+1</f>
        <v>11</v>
      </c>
      <c r="C16" s="2" t="s">
        <v>139</v>
      </c>
      <c r="D16" s="3" t="s">
        <v>18</v>
      </c>
      <c r="E16" s="3" t="s">
        <v>140</v>
      </c>
      <c r="F16" s="3" t="s">
        <v>91</v>
      </c>
      <c r="H16" s="70" t="s">
        <v>141</v>
      </c>
      <c r="I16" s="70"/>
      <c r="J16" s="70"/>
      <c r="K16" s="70"/>
      <c r="L16" s="70" t="s">
        <v>142</v>
      </c>
      <c r="M16" s="70"/>
      <c r="N16" s="70"/>
      <c r="O16" s="70"/>
      <c r="P16" s="70" t="s">
        <v>143</v>
      </c>
      <c r="Q16" s="70"/>
      <c r="R16" s="70"/>
      <c r="S16" s="70"/>
      <c r="T16" s="12" t="s">
        <v>144</v>
      </c>
    </row>
    <row r="17" spans="2:20">
      <c r="B17" s="5">
        <f t="shared" si="0"/>
        <v>12</v>
      </c>
      <c r="C17" s="2" t="s">
        <v>145</v>
      </c>
      <c r="D17" s="3" t="s">
        <v>18</v>
      </c>
      <c r="E17" s="3" t="s">
        <v>146</v>
      </c>
      <c r="F17" s="3" t="s">
        <v>91</v>
      </c>
      <c r="H17" s="63" t="s">
        <v>147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18" t="s">
        <v>148</v>
      </c>
    </row>
    <row r="18" spans="2:20">
      <c r="B18" s="5">
        <f t="shared" si="0"/>
        <v>13</v>
      </c>
      <c r="C18" s="2" t="s">
        <v>149</v>
      </c>
      <c r="D18" s="3" t="s">
        <v>18</v>
      </c>
      <c r="E18" s="3" t="s">
        <v>150</v>
      </c>
      <c r="F18" s="3" t="s">
        <v>91</v>
      </c>
      <c r="H18" s="63" t="s">
        <v>151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18" t="s">
        <v>148</v>
      </c>
    </row>
    <row r="19" spans="2:20">
      <c r="B19" s="5">
        <f t="shared" si="0"/>
        <v>14</v>
      </c>
      <c r="C19" s="2" t="s">
        <v>152</v>
      </c>
      <c r="D19" s="3" t="s">
        <v>18</v>
      </c>
      <c r="E19" s="3" t="s">
        <v>153</v>
      </c>
      <c r="F19" s="3" t="s">
        <v>91</v>
      </c>
      <c r="H19" s="63" t="s">
        <v>154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18" t="s">
        <v>148</v>
      </c>
    </row>
    <row r="20" spans="2:20" ht="34">
      <c r="B20" s="5">
        <f t="shared" si="0"/>
        <v>15</v>
      </c>
      <c r="C20" s="2" t="s">
        <v>155</v>
      </c>
      <c r="D20" s="3" t="s">
        <v>18</v>
      </c>
      <c r="E20" s="3" t="s">
        <v>156</v>
      </c>
      <c r="F20" s="3" t="s">
        <v>91</v>
      </c>
      <c r="H20" s="19" t="s">
        <v>157</v>
      </c>
      <c r="I20" s="19" t="s">
        <v>158</v>
      </c>
      <c r="J20" s="19" t="s">
        <v>159</v>
      </c>
      <c r="K20" s="19" t="s">
        <v>160</v>
      </c>
      <c r="L20" s="19" t="s">
        <v>161</v>
      </c>
      <c r="M20" s="19" t="s">
        <v>162</v>
      </c>
      <c r="N20" s="19" t="s">
        <v>163</v>
      </c>
      <c r="O20" s="19" t="s">
        <v>164</v>
      </c>
      <c r="P20" s="19" t="s">
        <v>165</v>
      </c>
      <c r="Q20" s="19" t="s">
        <v>166</v>
      </c>
      <c r="R20" s="19" t="s">
        <v>167</v>
      </c>
      <c r="S20" s="19" t="s">
        <v>168</v>
      </c>
      <c r="T20" s="24" t="s">
        <v>169</v>
      </c>
    </row>
    <row r="21" spans="2:20">
      <c r="B21" s="5">
        <f>B20+1</f>
        <v>16</v>
      </c>
      <c r="C21" s="2" t="s">
        <v>170</v>
      </c>
      <c r="D21" s="3" t="s">
        <v>18</v>
      </c>
      <c r="E21" s="3" t="s">
        <v>171</v>
      </c>
      <c r="F21" s="3" t="s">
        <v>91</v>
      </c>
      <c r="H21" s="25"/>
      <c r="I21" s="23"/>
      <c r="J21" s="69" t="s">
        <v>172</v>
      </c>
      <c r="K21" s="69"/>
      <c r="L21" s="69"/>
      <c r="M21" s="69"/>
      <c r="N21" s="69"/>
      <c r="O21" s="69" t="s">
        <v>173</v>
      </c>
      <c r="P21" s="69"/>
      <c r="Q21" s="69"/>
      <c r="R21" s="69"/>
      <c r="S21" s="69"/>
      <c r="T21" s="26" t="s">
        <v>174</v>
      </c>
    </row>
    <row r="22" spans="2:20">
      <c r="B22" s="5">
        <f t="shared" si="0"/>
        <v>17</v>
      </c>
      <c r="C22" s="2" t="s">
        <v>175</v>
      </c>
      <c r="D22" s="3" t="s">
        <v>18</v>
      </c>
      <c r="E22" s="3" t="s">
        <v>176</v>
      </c>
      <c r="F22" s="3" t="s">
        <v>91</v>
      </c>
      <c r="H22" s="25"/>
      <c r="I22" s="25"/>
      <c r="J22" s="69" t="s">
        <v>177</v>
      </c>
      <c r="K22" s="69"/>
      <c r="L22" s="69"/>
      <c r="M22" s="69"/>
      <c r="N22" s="69"/>
      <c r="O22" s="69" t="s">
        <v>178</v>
      </c>
      <c r="P22" s="69"/>
      <c r="Q22" s="69"/>
      <c r="R22" s="69"/>
      <c r="S22" s="69"/>
      <c r="T22" s="27"/>
    </row>
    <row r="23" spans="2:20">
      <c r="B23" s="5">
        <f t="shared" si="0"/>
        <v>18</v>
      </c>
      <c r="C23" s="2" t="s">
        <v>179</v>
      </c>
      <c r="D23" s="3" t="s">
        <v>18</v>
      </c>
      <c r="E23" s="3" t="s">
        <v>180</v>
      </c>
      <c r="F23" s="3" t="s">
        <v>91</v>
      </c>
      <c r="H23" s="25"/>
      <c r="I23" s="25"/>
      <c r="J23" s="69" t="s">
        <v>181</v>
      </c>
      <c r="K23" s="69"/>
      <c r="L23" s="69"/>
      <c r="M23" s="69"/>
      <c r="N23" s="69"/>
      <c r="O23" s="69" t="s">
        <v>182</v>
      </c>
      <c r="P23" s="69"/>
      <c r="Q23" s="69"/>
      <c r="R23" s="69"/>
      <c r="S23" s="69"/>
      <c r="T23" s="27"/>
    </row>
    <row r="24" spans="2:20">
      <c r="B24" s="5">
        <f t="shared" si="0"/>
        <v>19</v>
      </c>
      <c r="C24" s="2" t="s">
        <v>183</v>
      </c>
      <c r="D24" s="3" t="s">
        <v>18</v>
      </c>
      <c r="E24" s="3" t="s">
        <v>184</v>
      </c>
      <c r="F24" s="3" t="s">
        <v>91</v>
      </c>
      <c r="H24" s="25"/>
      <c r="I24" s="25"/>
      <c r="J24" s="69" t="s">
        <v>185</v>
      </c>
      <c r="K24" s="69"/>
      <c r="L24" s="69"/>
      <c r="M24" s="69"/>
      <c r="N24" s="69"/>
      <c r="O24" s="69" t="s">
        <v>186</v>
      </c>
      <c r="P24" s="69"/>
      <c r="Q24" s="69"/>
      <c r="R24" s="69"/>
      <c r="S24" s="69"/>
      <c r="T24" s="12"/>
    </row>
    <row r="25" spans="2:20">
      <c r="B25" s="5">
        <f t="shared" si="0"/>
        <v>20</v>
      </c>
      <c r="C25" s="2" t="s">
        <v>187</v>
      </c>
      <c r="D25" s="3" t="s">
        <v>18</v>
      </c>
      <c r="E25" s="3" t="s">
        <v>188</v>
      </c>
      <c r="F25" s="3" t="s">
        <v>91</v>
      </c>
      <c r="H25" s="25"/>
      <c r="I25" s="25"/>
      <c r="J25" s="69" t="s">
        <v>189</v>
      </c>
      <c r="K25" s="69"/>
      <c r="L25" s="69"/>
      <c r="M25" s="69"/>
      <c r="N25" s="69"/>
      <c r="O25" s="69" t="s">
        <v>190</v>
      </c>
      <c r="P25" s="69"/>
      <c r="Q25" s="69"/>
      <c r="R25" s="69"/>
      <c r="S25" s="69"/>
      <c r="T25" s="12"/>
    </row>
    <row r="26" spans="2:20">
      <c r="B26" s="5">
        <f t="shared" si="0"/>
        <v>21</v>
      </c>
      <c r="C26" s="2" t="s">
        <v>191</v>
      </c>
      <c r="D26" s="3" t="s">
        <v>18</v>
      </c>
      <c r="E26" s="3" t="s">
        <v>192</v>
      </c>
      <c r="F26" s="3" t="s">
        <v>91</v>
      </c>
      <c r="H26" s="25"/>
      <c r="I26" s="25"/>
      <c r="J26" s="69" t="s">
        <v>193</v>
      </c>
      <c r="K26" s="69"/>
      <c r="L26" s="69"/>
      <c r="M26" s="69"/>
      <c r="N26" s="69"/>
      <c r="O26" s="69" t="s">
        <v>194</v>
      </c>
      <c r="P26" s="69"/>
      <c r="Q26" s="69"/>
      <c r="R26" s="69"/>
      <c r="S26" s="69"/>
      <c r="T26" s="12"/>
    </row>
    <row r="27" spans="2:20">
      <c r="B27" s="5"/>
      <c r="C27" s="21" t="s">
        <v>195</v>
      </c>
      <c r="D27" s="3" t="s">
        <v>18</v>
      </c>
      <c r="E27" s="3" t="s">
        <v>196</v>
      </c>
      <c r="F27" s="3" t="s">
        <v>197</v>
      </c>
      <c r="H27" s="10" t="s">
        <v>198</v>
      </c>
      <c r="I27" s="13" t="s">
        <v>199</v>
      </c>
      <c r="J27" s="74" t="s">
        <v>200</v>
      </c>
      <c r="K27" s="91"/>
      <c r="L27" s="10" t="s">
        <v>201</v>
      </c>
      <c r="M27" s="10" t="s">
        <v>202</v>
      </c>
      <c r="N27" s="10" t="s">
        <v>203</v>
      </c>
      <c r="O27" s="10" t="s">
        <v>204</v>
      </c>
      <c r="P27" s="10" t="s">
        <v>205</v>
      </c>
      <c r="Q27" s="19" t="s">
        <v>206</v>
      </c>
      <c r="R27" s="19" t="s">
        <v>207</v>
      </c>
      <c r="S27" s="10" t="s">
        <v>208</v>
      </c>
      <c r="T27" s="12"/>
    </row>
    <row r="28" spans="2:20">
      <c r="B28" s="5"/>
      <c r="C28" s="21" t="s">
        <v>209</v>
      </c>
      <c r="D28" s="3" t="s">
        <v>210</v>
      </c>
      <c r="E28" s="3" t="s">
        <v>211</v>
      </c>
      <c r="F28" s="3" t="s">
        <v>29</v>
      </c>
      <c r="H28" s="10" t="s">
        <v>212</v>
      </c>
      <c r="I28" s="25"/>
      <c r="J28" s="11"/>
      <c r="K28" s="11"/>
      <c r="L28" s="11"/>
      <c r="M28" s="11"/>
      <c r="N28" s="11"/>
      <c r="O28" s="11"/>
      <c r="P28" s="10" t="s">
        <v>213</v>
      </c>
      <c r="Q28" s="10" t="s">
        <v>214</v>
      </c>
      <c r="R28" s="10" t="s">
        <v>215</v>
      </c>
      <c r="S28" s="10" t="s">
        <v>216</v>
      </c>
      <c r="T28" s="12"/>
    </row>
    <row r="29" spans="2:20">
      <c r="B29" s="5"/>
      <c r="C29" s="21" t="s">
        <v>217</v>
      </c>
      <c r="D29" s="3" t="s">
        <v>18</v>
      </c>
      <c r="E29" s="3" t="s">
        <v>218</v>
      </c>
      <c r="F29" s="3" t="s">
        <v>29</v>
      </c>
      <c r="H29" s="25"/>
      <c r="I29" s="25"/>
      <c r="J29" s="11"/>
      <c r="K29" s="11"/>
      <c r="L29" s="64" t="s">
        <v>219</v>
      </c>
      <c r="M29" s="65"/>
      <c r="N29" s="65"/>
      <c r="O29" s="91"/>
      <c r="P29" s="64" t="s">
        <v>220</v>
      </c>
      <c r="Q29" s="65"/>
      <c r="R29" s="65"/>
      <c r="S29" s="91"/>
      <c r="T29" s="12"/>
    </row>
    <row r="30" spans="2:20">
      <c r="B30" s="5"/>
      <c r="C30" s="21" t="s">
        <v>221</v>
      </c>
      <c r="D30" s="3" t="s">
        <v>18</v>
      </c>
      <c r="E30" s="3" t="s">
        <v>222</v>
      </c>
      <c r="F30" s="3" t="s">
        <v>29</v>
      </c>
      <c r="H30" s="25"/>
      <c r="I30" s="25"/>
      <c r="J30" s="11"/>
      <c r="K30" s="11"/>
      <c r="L30" s="10" t="s">
        <v>223</v>
      </c>
      <c r="M30" s="10" t="s">
        <v>224</v>
      </c>
      <c r="N30" s="10" t="s">
        <v>225</v>
      </c>
      <c r="O30" s="10" t="s">
        <v>226</v>
      </c>
      <c r="P30" s="10" t="s">
        <v>227</v>
      </c>
      <c r="Q30" s="10" t="s">
        <v>228</v>
      </c>
      <c r="R30" s="10" t="s">
        <v>229</v>
      </c>
      <c r="S30" s="10" t="s">
        <v>230</v>
      </c>
      <c r="T30" s="12"/>
    </row>
    <row r="31" spans="2:20">
      <c r="B31" s="5">
        <f>B26+1</f>
        <v>22</v>
      </c>
      <c r="C31" s="2" t="s">
        <v>231</v>
      </c>
      <c r="D31" s="3" t="s">
        <v>18</v>
      </c>
      <c r="E31" s="3" t="s">
        <v>232</v>
      </c>
      <c r="F31" s="3" t="s">
        <v>233</v>
      </c>
      <c r="H31" s="69" t="s">
        <v>234</v>
      </c>
      <c r="I31" s="69"/>
      <c r="J31" s="69"/>
      <c r="K31" s="69"/>
      <c r="L31" s="69"/>
      <c r="M31" s="69"/>
      <c r="N31" s="69" t="s">
        <v>235</v>
      </c>
      <c r="O31" s="69"/>
      <c r="P31" s="69"/>
      <c r="Q31" s="69"/>
      <c r="R31" s="69"/>
      <c r="S31" s="69"/>
      <c r="T31" s="12" t="s">
        <v>236</v>
      </c>
    </row>
    <row r="32" spans="2:20">
      <c r="B32" s="5">
        <f t="shared" si="0"/>
        <v>23</v>
      </c>
      <c r="C32" s="2" t="s">
        <v>237</v>
      </c>
      <c r="D32" s="3" t="s">
        <v>18</v>
      </c>
      <c r="E32" s="3" t="s">
        <v>238</v>
      </c>
      <c r="F32" s="3" t="s">
        <v>239</v>
      </c>
      <c r="H32" s="11"/>
      <c r="I32" s="11"/>
      <c r="J32" s="11"/>
      <c r="K32" s="69" t="s">
        <v>240</v>
      </c>
      <c r="L32" s="69"/>
      <c r="M32" s="69"/>
      <c r="N32" s="69"/>
      <c r="O32" s="69"/>
      <c r="P32" s="69"/>
      <c r="Q32" s="69"/>
      <c r="R32" s="69"/>
      <c r="S32" s="69"/>
      <c r="T32" s="12" t="s">
        <v>241</v>
      </c>
    </row>
    <row r="33" spans="2:20" ht="34">
      <c r="B33" s="5">
        <f t="shared" si="0"/>
        <v>24</v>
      </c>
      <c r="C33" s="2" t="s">
        <v>242</v>
      </c>
      <c r="D33" s="3" t="s">
        <v>18</v>
      </c>
      <c r="E33" s="3" t="s">
        <v>243</v>
      </c>
      <c r="F33" s="3" t="s">
        <v>29</v>
      </c>
      <c r="H33" s="11"/>
      <c r="I33" s="11"/>
      <c r="J33" s="69" t="s">
        <v>244</v>
      </c>
      <c r="K33" s="69"/>
      <c r="L33" s="69"/>
      <c r="M33" s="69"/>
      <c r="N33" s="69"/>
      <c r="O33" s="69"/>
      <c r="P33" s="69"/>
      <c r="Q33" s="69"/>
      <c r="R33" s="69"/>
      <c r="S33" s="69"/>
      <c r="T33" s="12" t="s">
        <v>245</v>
      </c>
    </row>
    <row r="34" spans="2:20" ht="34">
      <c r="B34" s="5">
        <f t="shared" si="0"/>
        <v>25</v>
      </c>
      <c r="C34" s="2" t="s">
        <v>246</v>
      </c>
      <c r="D34" s="3" t="s">
        <v>18</v>
      </c>
      <c r="E34" s="3" t="s">
        <v>247</v>
      </c>
      <c r="F34" s="3" t="s">
        <v>29</v>
      </c>
      <c r="H34" s="10" t="s">
        <v>248</v>
      </c>
      <c r="I34" s="11"/>
      <c r="J34" s="69" t="s">
        <v>249</v>
      </c>
      <c r="K34" s="69"/>
      <c r="L34" s="69"/>
      <c r="M34" s="69"/>
      <c r="N34" s="69"/>
      <c r="O34" s="69"/>
      <c r="P34" s="69"/>
      <c r="Q34" s="69"/>
      <c r="R34" s="69"/>
      <c r="S34" s="69"/>
      <c r="T34" s="12" t="s">
        <v>245</v>
      </c>
    </row>
    <row r="35" spans="2:20">
      <c r="B35" s="5">
        <f t="shared" si="0"/>
        <v>26</v>
      </c>
      <c r="C35" s="2" t="s">
        <v>250</v>
      </c>
      <c r="D35" s="3" t="s">
        <v>18</v>
      </c>
      <c r="E35" s="3" t="s">
        <v>251</v>
      </c>
      <c r="F35" s="3" t="s">
        <v>29</v>
      </c>
      <c r="H35" s="25"/>
      <c r="I35" s="25"/>
      <c r="J35" s="69" t="s">
        <v>252</v>
      </c>
      <c r="K35" s="69"/>
      <c r="L35" s="69"/>
      <c r="M35" s="69"/>
      <c r="N35" s="69"/>
      <c r="O35" s="69"/>
      <c r="P35" s="69"/>
      <c r="Q35" s="69"/>
      <c r="R35" s="69"/>
      <c r="S35" s="69"/>
      <c r="T35" s="12" t="s">
        <v>253</v>
      </c>
    </row>
    <row r="36" spans="2:20">
      <c r="B36" s="5">
        <f t="shared" si="0"/>
        <v>27</v>
      </c>
      <c r="C36" s="2" t="s">
        <v>254</v>
      </c>
      <c r="D36" s="3" t="s">
        <v>18</v>
      </c>
      <c r="E36" s="3" t="s">
        <v>255</v>
      </c>
      <c r="F36" s="3" t="s">
        <v>256</v>
      </c>
      <c r="H36" s="25"/>
      <c r="I36" s="69" t="s">
        <v>257</v>
      </c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12" t="s">
        <v>258</v>
      </c>
    </row>
    <row r="37" spans="2:20">
      <c r="B37" s="5">
        <f t="shared" si="0"/>
        <v>28</v>
      </c>
      <c r="C37" s="2" t="s">
        <v>259</v>
      </c>
      <c r="D37" s="3" t="s">
        <v>18</v>
      </c>
      <c r="E37" s="3" t="s">
        <v>260</v>
      </c>
      <c r="F37" s="3" t="s">
        <v>29</v>
      </c>
      <c r="H37" s="69" t="s">
        <v>261</v>
      </c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12" t="s">
        <v>241</v>
      </c>
    </row>
    <row r="38" spans="2:20" ht="34">
      <c r="B38" s="5">
        <f t="shared" si="0"/>
        <v>29</v>
      </c>
      <c r="C38" s="2" t="s">
        <v>262</v>
      </c>
      <c r="D38" s="3" t="s">
        <v>18</v>
      </c>
      <c r="E38" s="3" t="s">
        <v>263</v>
      </c>
      <c r="F38" s="3" t="s">
        <v>264</v>
      </c>
      <c r="H38" s="10" t="s">
        <v>265</v>
      </c>
      <c r="I38" s="69" t="s">
        <v>266</v>
      </c>
      <c r="J38" s="69"/>
      <c r="K38" s="11"/>
      <c r="L38" s="69" t="s">
        <v>267</v>
      </c>
      <c r="M38" s="69"/>
      <c r="N38" s="69"/>
      <c r="O38" s="69"/>
      <c r="P38" s="69"/>
      <c r="Q38" s="69"/>
      <c r="R38" s="69"/>
      <c r="S38" s="69"/>
      <c r="T38" s="12" t="s">
        <v>268</v>
      </c>
    </row>
    <row r="39" spans="2:20">
      <c r="B39" s="5"/>
      <c r="H39" s="30"/>
      <c r="T39" s="12"/>
    </row>
    <row r="40" spans="2:20" ht="85">
      <c r="B40" s="5">
        <f>B38+1</f>
        <v>30</v>
      </c>
      <c r="C40" s="2" t="s">
        <v>269</v>
      </c>
      <c r="D40" s="3" t="s">
        <v>18</v>
      </c>
      <c r="E40" s="3" t="s">
        <v>270</v>
      </c>
      <c r="F40" s="3" t="s">
        <v>271</v>
      </c>
      <c r="H40" s="71" t="s">
        <v>272</v>
      </c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12" t="s">
        <v>273</v>
      </c>
    </row>
    <row r="41" spans="2:20" ht="85">
      <c r="B41" s="5">
        <f t="shared" si="0"/>
        <v>31</v>
      </c>
      <c r="C41" s="2" t="s">
        <v>274</v>
      </c>
      <c r="D41" s="3" t="s">
        <v>18</v>
      </c>
      <c r="E41" s="3" t="s">
        <v>275</v>
      </c>
      <c r="F41" s="3" t="s">
        <v>29</v>
      </c>
      <c r="H41" s="69" t="s">
        <v>276</v>
      </c>
      <c r="I41" s="69"/>
      <c r="J41" s="69"/>
      <c r="K41" s="69"/>
      <c r="L41" s="69"/>
      <c r="M41" s="69"/>
      <c r="N41" s="14" t="s">
        <v>277</v>
      </c>
      <c r="O41" s="19" t="s">
        <v>278</v>
      </c>
      <c r="P41" s="19" t="s">
        <v>279</v>
      </c>
      <c r="Q41" s="10" t="s">
        <v>280</v>
      </c>
      <c r="R41" s="10" t="s">
        <v>281</v>
      </c>
      <c r="S41" s="10" t="s">
        <v>282</v>
      </c>
      <c r="T41" s="12" t="s">
        <v>283</v>
      </c>
    </row>
    <row r="42" spans="2:20">
      <c r="B42" s="5"/>
      <c r="C42" s="31"/>
      <c r="D42" s="31"/>
      <c r="E42" s="1"/>
      <c r="F42" s="31"/>
      <c r="G42" s="3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7"/>
    </row>
    <row r="43" spans="2:20">
      <c r="B43" s="5">
        <f>B41+1</f>
        <v>32</v>
      </c>
      <c r="C43" s="2" t="s">
        <v>284</v>
      </c>
      <c r="D43" s="3" t="s">
        <v>18</v>
      </c>
      <c r="E43" s="3" t="s">
        <v>285</v>
      </c>
      <c r="F43" s="3" t="s">
        <v>29</v>
      </c>
      <c r="H43" s="11"/>
      <c r="I43" s="11"/>
      <c r="J43" s="11"/>
      <c r="K43" s="11"/>
      <c r="L43" s="11"/>
      <c r="M43" s="11"/>
      <c r="N43" s="10" t="s">
        <v>284</v>
      </c>
      <c r="O43" s="10" t="s">
        <v>286</v>
      </c>
      <c r="P43" s="10" t="s">
        <v>287</v>
      </c>
      <c r="Q43" s="10" t="s">
        <v>288</v>
      </c>
      <c r="R43" s="10" t="s">
        <v>289</v>
      </c>
      <c r="S43" s="10" t="s">
        <v>290</v>
      </c>
      <c r="T43" s="12"/>
    </row>
    <row r="44" spans="2:20">
      <c r="B44" s="5">
        <f>B43+1</f>
        <v>33</v>
      </c>
      <c r="C44" s="2" t="s">
        <v>291</v>
      </c>
      <c r="D44" s="3" t="s">
        <v>18</v>
      </c>
      <c r="E44" s="3" t="s">
        <v>292</v>
      </c>
      <c r="F44" s="3" t="s">
        <v>293</v>
      </c>
      <c r="H44" s="69" t="s">
        <v>294</v>
      </c>
      <c r="I44" s="69"/>
      <c r="J44" s="69"/>
      <c r="K44" s="69"/>
      <c r="L44" s="14" t="s">
        <v>295</v>
      </c>
      <c r="M44" s="10" t="s">
        <v>296</v>
      </c>
      <c r="N44" s="69" t="s">
        <v>297</v>
      </c>
      <c r="O44" s="69"/>
      <c r="P44" s="71" t="s">
        <v>298</v>
      </c>
      <c r="Q44" s="71"/>
      <c r="R44" s="69" t="s">
        <v>299</v>
      </c>
      <c r="S44" s="69"/>
      <c r="T44" s="12"/>
    </row>
    <row r="45" spans="2:20">
      <c r="B45" s="5">
        <f t="shared" ref="B45:B48" si="1">B44+1</f>
        <v>34</v>
      </c>
      <c r="C45" s="2" t="s">
        <v>300</v>
      </c>
      <c r="D45" s="3" t="s">
        <v>18</v>
      </c>
      <c r="E45" s="3" t="s">
        <v>301</v>
      </c>
      <c r="F45" s="3" t="s">
        <v>29</v>
      </c>
      <c r="H45" s="69" t="s">
        <v>302</v>
      </c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12"/>
    </row>
    <row r="46" spans="2:20">
      <c r="B46" s="5">
        <f t="shared" si="1"/>
        <v>35</v>
      </c>
      <c r="C46" s="2" t="s">
        <v>303</v>
      </c>
      <c r="D46" s="3" t="s">
        <v>18</v>
      </c>
      <c r="E46" s="3" t="s">
        <v>304</v>
      </c>
      <c r="F46" s="3" t="s">
        <v>305</v>
      </c>
      <c r="H46" s="10" t="s">
        <v>306</v>
      </c>
      <c r="I46" s="11"/>
      <c r="J46" s="11"/>
      <c r="K46" s="11"/>
      <c r="L46" s="11"/>
      <c r="M46" s="11"/>
      <c r="N46" s="79" t="s">
        <v>307</v>
      </c>
      <c r="O46" s="79"/>
      <c r="P46" s="69" t="s">
        <v>308</v>
      </c>
      <c r="Q46" s="69"/>
      <c r="R46" s="69"/>
      <c r="S46" s="69"/>
      <c r="T46" s="12"/>
    </row>
    <row r="47" spans="2:20">
      <c r="B47" s="5">
        <f t="shared" si="1"/>
        <v>36</v>
      </c>
      <c r="C47" s="2" t="s">
        <v>309</v>
      </c>
      <c r="D47" s="3" t="s">
        <v>18</v>
      </c>
      <c r="E47" s="3" t="s">
        <v>310</v>
      </c>
      <c r="F47" s="3" t="s">
        <v>29</v>
      </c>
      <c r="G47" s="33"/>
      <c r="H47" s="15" t="s">
        <v>311</v>
      </c>
      <c r="I47" s="16"/>
      <c r="J47" s="16"/>
      <c r="K47" s="16"/>
      <c r="L47" s="16"/>
      <c r="M47" s="79" t="s">
        <v>312</v>
      </c>
      <c r="N47" s="79"/>
      <c r="O47" s="79"/>
      <c r="P47" s="16"/>
      <c r="Q47" s="79" t="s">
        <v>313</v>
      </c>
      <c r="R47" s="79"/>
      <c r="S47" s="79"/>
      <c r="T47" s="17"/>
    </row>
    <row r="48" spans="2:20">
      <c r="B48" s="5">
        <f t="shared" si="1"/>
        <v>37</v>
      </c>
      <c r="C48" s="2" t="s">
        <v>314</v>
      </c>
      <c r="D48" s="3" t="s">
        <v>18</v>
      </c>
      <c r="E48" s="3" t="s">
        <v>315</v>
      </c>
      <c r="F48" s="3" t="s">
        <v>316</v>
      </c>
      <c r="G48" s="9"/>
      <c r="H48" s="34"/>
      <c r="I48" s="34"/>
      <c r="J48" s="34"/>
      <c r="K48" s="34"/>
      <c r="L48" s="35"/>
      <c r="M48" s="34"/>
      <c r="N48" s="35"/>
      <c r="O48" s="15" t="s">
        <v>317</v>
      </c>
      <c r="P48" s="36" t="s">
        <v>318</v>
      </c>
      <c r="Q48" s="15" t="s">
        <v>319</v>
      </c>
      <c r="R48" s="15" t="s">
        <v>320</v>
      </c>
      <c r="S48" s="15" t="s">
        <v>321</v>
      </c>
      <c r="T48" s="12" t="s">
        <v>322</v>
      </c>
    </row>
    <row r="49" spans="2:20">
      <c r="B49" s="5"/>
      <c r="T49" s="37"/>
    </row>
    <row r="50" spans="2:20">
      <c r="B50" s="5"/>
      <c r="C50" s="38" t="s">
        <v>323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37"/>
    </row>
    <row r="51" spans="2:20">
      <c r="B51" s="5"/>
    </row>
    <row r="52" spans="2:20" ht="153.5">
      <c r="B52" s="5">
        <v>1</v>
      </c>
      <c r="C52" s="2" t="s">
        <v>324</v>
      </c>
      <c r="D52" s="3" t="s">
        <v>18</v>
      </c>
      <c r="E52" s="39" t="s">
        <v>325</v>
      </c>
      <c r="F52" s="3" t="s">
        <v>29</v>
      </c>
      <c r="H52" s="10" t="s">
        <v>326</v>
      </c>
      <c r="I52" s="79" t="s">
        <v>327</v>
      </c>
      <c r="J52" s="79"/>
      <c r="K52" s="79"/>
      <c r="L52" s="71" t="s">
        <v>328</v>
      </c>
      <c r="M52" s="69"/>
      <c r="N52" s="10" t="s">
        <v>329</v>
      </c>
      <c r="O52" s="10" t="s">
        <v>330</v>
      </c>
      <c r="P52" s="14" t="s">
        <v>331</v>
      </c>
      <c r="Q52" s="14" t="s">
        <v>332</v>
      </c>
      <c r="R52" s="10" t="s">
        <v>333</v>
      </c>
      <c r="S52" s="10" t="s">
        <v>334</v>
      </c>
      <c r="T52" s="12" t="s">
        <v>335</v>
      </c>
    </row>
    <row r="53" spans="2:20">
      <c r="B53" s="5">
        <f>B52+1</f>
        <v>2</v>
      </c>
      <c r="C53" s="2" t="s">
        <v>336</v>
      </c>
      <c r="D53" s="3" t="s">
        <v>18</v>
      </c>
      <c r="E53" s="39" t="s">
        <v>337</v>
      </c>
      <c r="F53" s="3" t="s">
        <v>29</v>
      </c>
      <c r="H53" s="11"/>
      <c r="I53" s="11"/>
      <c r="J53" s="11"/>
      <c r="K53" s="11"/>
      <c r="L53" s="11"/>
      <c r="M53" s="11"/>
      <c r="N53" s="11"/>
      <c r="O53" s="11"/>
      <c r="P53" s="69" t="s">
        <v>338</v>
      </c>
      <c r="Q53" s="69"/>
      <c r="R53" s="69"/>
      <c r="S53" s="69"/>
      <c r="T53" s="40" t="s">
        <v>339</v>
      </c>
    </row>
    <row r="54" spans="2:20">
      <c r="B54" s="5">
        <f t="shared" ref="B54:B57" si="2">B53+1</f>
        <v>3</v>
      </c>
      <c r="C54" s="2" t="s">
        <v>340</v>
      </c>
      <c r="D54" s="3" t="s">
        <v>18</v>
      </c>
      <c r="E54" s="39" t="s">
        <v>341</v>
      </c>
      <c r="F54" s="3" t="s">
        <v>256</v>
      </c>
      <c r="H54" s="69" t="s">
        <v>342</v>
      </c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40" t="s">
        <v>339</v>
      </c>
    </row>
    <row r="55" spans="2:20">
      <c r="B55" s="5">
        <f t="shared" si="2"/>
        <v>4</v>
      </c>
      <c r="C55" s="2" t="s">
        <v>343</v>
      </c>
      <c r="D55" s="3" t="s">
        <v>18</v>
      </c>
      <c r="E55" s="39" t="s">
        <v>344</v>
      </c>
      <c r="F55" s="3" t="s">
        <v>345</v>
      </c>
      <c r="H55" s="11"/>
      <c r="I55" s="11"/>
      <c r="J55" s="11"/>
      <c r="K55" s="11"/>
      <c r="L55" s="11"/>
      <c r="M55" s="11"/>
      <c r="N55" s="69" t="s">
        <v>346</v>
      </c>
      <c r="O55" s="69"/>
      <c r="P55" s="69" t="s">
        <v>347</v>
      </c>
      <c r="Q55" s="69"/>
      <c r="R55" s="69"/>
      <c r="S55" s="69"/>
      <c r="T55" s="40" t="s">
        <v>339</v>
      </c>
    </row>
    <row r="56" spans="2:20">
      <c r="B56" s="5">
        <f t="shared" si="2"/>
        <v>5</v>
      </c>
      <c r="C56" s="2" t="s">
        <v>348</v>
      </c>
      <c r="D56" s="3" t="s">
        <v>18</v>
      </c>
      <c r="E56" s="39" t="s">
        <v>349</v>
      </c>
      <c r="F56" s="3" t="s">
        <v>29</v>
      </c>
      <c r="H56" s="41" t="s">
        <v>350</v>
      </c>
      <c r="I56" s="11"/>
      <c r="J56" s="11"/>
      <c r="K56" s="11"/>
      <c r="L56" s="11"/>
      <c r="M56" s="11"/>
      <c r="N56" s="11"/>
      <c r="O56" s="11"/>
      <c r="P56" s="11"/>
      <c r="Q56" s="11"/>
      <c r="R56" s="10" t="s">
        <v>351</v>
      </c>
      <c r="S56" s="10" t="s">
        <v>352</v>
      </c>
      <c r="T56" s="40">
        <v>1</v>
      </c>
    </row>
    <row r="57" spans="2:20">
      <c r="B57" s="5">
        <f t="shared" si="2"/>
        <v>6</v>
      </c>
      <c r="C57" s="2" t="s">
        <v>353</v>
      </c>
      <c r="D57" s="3" t="s">
        <v>18</v>
      </c>
      <c r="E57" s="39" t="s">
        <v>354</v>
      </c>
      <c r="F57" s="3" t="s">
        <v>355</v>
      </c>
      <c r="H57" s="69" t="s">
        <v>356</v>
      </c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42"/>
    </row>
    <row r="58" spans="2:20">
      <c r="B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42"/>
    </row>
    <row r="59" spans="2:20">
      <c r="B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42"/>
    </row>
    <row r="60" spans="2:20">
      <c r="B60" s="5"/>
      <c r="C60" s="38" t="s">
        <v>357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26"/>
    </row>
    <row r="61" spans="2:20"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6"/>
    </row>
    <row r="62" spans="2:20">
      <c r="B62" s="5">
        <v>1</v>
      </c>
      <c r="D62" s="3" t="s">
        <v>18</v>
      </c>
      <c r="E62" s="3" t="s">
        <v>19</v>
      </c>
      <c r="F62" s="3" t="s">
        <v>29</v>
      </c>
      <c r="H62" s="16"/>
      <c r="I62" s="16"/>
      <c r="J62" s="16"/>
      <c r="K62" s="16"/>
      <c r="L62" s="82" t="s">
        <v>358</v>
      </c>
      <c r="M62" s="82"/>
      <c r="N62" s="82"/>
      <c r="O62" s="82"/>
      <c r="P62" s="82"/>
      <c r="Q62" s="82"/>
      <c r="R62" s="82"/>
      <c r="S62" s="82"/>
      <c r="T62" s="26">
        <v>8</v>
      </c>
    </row>
    <row r="63" spans="2:20">
      <c r="B63" s="5">
        <f>B62+1</f>
        <v>2</v>
      </c>
      <c r="D63" s="3" t="s">
        <v>18</v>
      </c>
      <c r="E63" s="3" t="s">
        <v>28</v>
      </c>
      <c r="F63" s="3" t="s">
        <v>359</v>
      </c>
      <c r="H63" s="43"/>
      <c r="I63" s="43"/>
      <c r="J63" s="82" t="s">
        <v>360</v>
      </c>
      <c r="K63" s="83"/>
      <c r="L63" s="83"/>
      <c r="M63" s="83"/>
      <c r="N63" s="83"/>
      <c r="O63" s="82" t="s">
        <v>361</v>
      </c>
      <c r="P63" s="83"/>
      <c r="Q63" s="83"/>
      <c r="R63" s="83"/>
      <c r="S63" s="83"/>
      <c r="T63" s="26">
        <v>10</v>
      </c>
    </row>
    <row r="64" spans="2:20" s="44" customFormat="1">
      <c r="B64" s="5">
        <f t="shared" ref="B64:B91" si="3">B63+1</f>
        <v>3</v>
      </c>
      <c r="C64" s="2"/>
      <c r="D64" s="3" t="s">
        <v>18</v>
      </c>
      <c r="E64" s="3" t="s">
        <v>39</v>
      </c>
      <c r="F64" s="3" t="s">
        <v>362</v>
      </c>
      <c r="G64" s="3"/>
      <c r="H64" s="86" t="s">
        <v>363</v>
      </c>
      <c r="I64" s="87"/>
      <c r="J64" s="87"/>
      <c r="K64" s="87"/>
      <c r="L64" s="88"/>
      <c r="M64" s="16"/>
      <c r="N64" s="16"/>
      <c r="O64" s="86" t="s">
        <v>364</v>
      </c>
      <c r="P64" s="87"/>
      <c r="Q64" s="87"/>
      <c r="R64" s="87"/>
      <c r="S64" s="88"/>
      <c r="T64" s="26">
        <v>10</v>
      </c>
    </row>
    <row r="65" spans="2:20" s="44" customFormat="1">
      <c r="B65" s="5">
        <f t="shared" si="3"/>
        <v>4</v>
      </c>
      <c r="C65" s="2"/>
      <c r="D65" s="3" t="s">
        <v>18</v>
      </c>
      <c r="E65" s="3" t="s">
        <v>43</v>
      </c>
      <c r="F65" s="3" t="s">
        <v>239</v>
      </c>
      <c r="G65" s="3"/>
      <c r="H65" s="16"/>
      <c r="I65" s="16"/>
      <c r="J65" s="16"/>
      <c r="K65" s="16"/>
      <c r="L65" s="82" t="s">
        <v>365</v>
      </c>
      <c r="M65" s="82"/>
      <c r="N65" s="82"/>
      <c r="O65" s="82"/>
      <c r="P65" s="82" t="s">
        <v>366</v>
      </c>
      <c r="Q65" s="82"/>
      <c r="R65" s="82"/>
      <c r="S65" s="82"/>
      <c r="T65" s="26">
        <v>8</v>
      </c>
    </row>
    <row r="66" spans="2:20" s="44" customFormat="1">
      <c r="B66" s="5">
        <f t="shared" si="3"/>
        <v>5</v>
      </c>
      <c r="C66" s="2"/>
      <c r="D66" s="3" t="s">
        <v>18</v>
      </c>
      <c r="E66" s="3" t="s">
        <v>48</v>
      </c>
      <c r="F66" s="3" t="s">
        <v>29</v>
      </c>
      <c r="G66" s="3"/>
      <c r="H66" s="16"/>
      <c r="I66" s="16"/>
      <c r="J66" s="16"/>
      <c r="K66" s="86" t="s">
        <v>367</v>
      </c>
      <c r="L66" s="87"/>
      <c r="M66" s="87"/>
      <c r="N66" s="87"/>
      <c r="O66" s="87"/>
      <c r="P66" s="87"/>
      <c r="Q66" s="87"/>
      <c r="R66" s="87"/>
      <c r="S66" s="88"/>
      <c r="T66" s="26">
        <v>9</v>
      </c>
    </row>
    <row r="67" spans="2:20" s="44" customFormat="1">
      <c r="B67" s="5">
        <f t="shared" si="3"/>
        <v>6</v>
      </c>
      <c r="C67" s="2"/>
      <c r="D67" s="3" t="s">
        <v>18</v>
      </c>
      <c r="E67" s="3" t="s">
        <v>53</v>
      </c>
      <c r="F67" s="3" t="s">
        <v>29</v>
      </c>
      <c r="G67" s="3"/>
      <c r="H67" s="16"/>
      <c r="I67" s="16"/>
      <c r="J67" s="16"/>
      <c r="K67" s="86" t="s">
        <v>368</v>
      </c>
      <c r="L67" s="87"/>
      <c r="M67" s="87"/>
      <c r="N67" s="87"/>
      <c r="O67" s="87"/>
      <c r="P67" s="87"/>
      <c r="Q67" s="87"/>
      <c r="R67" s="87"/>
      <c r="S67" s="88"/>
      <c r="T67" s="26">
        <v>9</v>
      </c>
    </row>
    <row r="68" spans="2:20" s="44" customFormat="1">
      <c r="B68" s="5">
        <f t="shared" si="3"/>
        <v>7</v>
      </c>
      <c r="C68" s="2"/>
      <c r="D68" s="3" t="s">
        <v>18</v>
      </c>
      <c r="E68" s="3" t="s">
        <v>67</v>
      </c>
      <c r="F68" s="3" t="s">
        <v>29</v>
      </c>
      <c r="G68" s="3"/>
      <c r="H68" s="16"/>
      <c r="I68" s="16"/>
      <c r="J68" s="16"/>
      <c r="K68" s="86" t="s">
        <v>369</v>
      </c>
      <c r="L68" s="87"/>
      <c r="M68" s="87"/>
      <c r="N68" s="87"/>
      <c r="O68" s="87"/>
      <c r="P68" s="87"/>
      <c r="Q68" s="87"/>
      <c r="R68" s="87"/>
      <c r="S68" s="88"/>
      <c r="T68" s="26">
        <v>9</v>
      </c>
    </row>
    <row r="69" spans="2:20" s="44" customFormat="1">
      <c r="B69" s="5">
        <f t="shared" si="3"/>
        <v>8</v>
      </c>
      <c r="C69" s="2"/>
      <c r="D69" s="3" t="s">
        <v>18</v>
      </c>
      <c r="E69" s="3" t="s">
        <v>370</v>
      </c>
      <c r="F69" s="3" t="s">
        <v>29</v>
      </c>
      <c r="G69" s="3"/>
      <c r="H69" s="16"/>
      <c r="I69" s="16"/>
      <c r="J69" s="16"/>
      <c r="K69" s="86" t="s">
        <v>371</v>
      </c>
      <c r="L69" s="87"/>
      <c r="M69" s="87"/>
      <c r="N69" s="87"/>
      <c r="O69" s="87"/>
      <c r="P69" s="87"/>
      <c r="Q69" s="87"/>
      <c r="R69" s="87"/>
      <c r="S69" s="88"/>
      <c r="T69" s="26">
        <v>9</v>
      </c>
    </row>
    <row r="70" spans="2:20" s="44" customFormat="1">
      <c r="B70" s="5">
        <f t="shared" si="3"/>
        <v>9</v>
      </c>
      <c r="C70" s="2"/>
      <c r="D70" s="3" t="s">
        <v>18</v>
      </c>
      <c r="E70" s="3" t="s">
        <v>372</v>
      </c>
      <c r="F70" s="3" t="s">
        <v>29</v>
      </c>
      <c r="G70" s="3"/>
      <c r="H70" s="16"/>
      <c r="I70" s="16"/>
      <c r="J70" s="16"/>
      <c r="K70" s="86" t="s">
        <v>373</v>
      </c>
      <c r="L70" s="87"/>
      <c r="M70" s="87"/>
      <c r="N70" s="87"/>
      <c r="O70" s="87"/>
      <c r="P70" s="87"/>
      <c r="Q70" s="87"/>
      <c r="R70" s="87"/>
      <c r="S70" s="88"/>
      <c r="T70" s="26">
        <v>9</v>
      </c>
    </row>
    <row r="71" spans="2:20" s="44" customFormat="1">
      <c r="B71" s="5">
        <f t="shared" si="3"/>
        <v>10</v>
      </c>
      <c r="C71" s="2"/>
      <c r="D71" s="3" t="s">
        <v>18</v>
      </c>
      <c r="E71" s="3" t="s">
        <v>374</v>
      </c>
      <c r="F71" s="3" t="s">
        <v>29</v>
      </c>
      <c r="G71" s="3"/>
      <c r="H71" s="16"/>
      <c r="I71" s="16"/>
      <c r="J71" s="16"/>
      <c r="K71" s="86" t="s">
        <v>375</v>
      </c>
      <c r="L71" s="87"/>
      <c r="M71" s="87"/>
      <c r="N71" s="87"/>
      <c r="O71" s="87"/>
      <c r="P71" s="87"/>
      <c r="Q71" s="87"/>
      <c r="R71" s="87"/>
      <c r="S71" s="88"/>
      <c r="T71" s="26">
        <v>9</v>
      </c>
    </row>
    <row r="72" spans="2:20" s="44" customFormat="1">
      <c r="B72" s="5">
        <f t="shared" si="3"/>
        <v>11</v>
      </c>
      <c r="C72" s="2"/>
      <c r="D72" s="3" t="s">
        <v>18</v>
      </c>
      <c r="E72" s="3" t="s">
        <v>99</v>
      </c>
      <c r="F72" s="3" t="s">
        <v>29</v>
      </c>
      <c r="G72" s="3"/>
      <c r="H72" s="16"/>
      <c r="I72" s="16"/>
      <c r="J72" s="16"/>
      <c r="K72" s="86" t="s">
        <v>376</v>
      </c>
      <c r="L72" s="87"/>
      <c r="M72" s="87"/>
      <c r="N72" s="87"/>
      <c r="O72" s="87"/>
      <c r="P72" s="87"/>
      <c r="Q72" s="87"/>
      <c r="R72" s="87"/>
      <c r="S72" s="88"/>
      <c r="T72" s="26">
        <v>9</v>
      </c>
    </row>
    <row r="73" spans="2:20" s="44" customFormat="1">
      <c r="B73" s="5">
        <f t="shared" si="3"/>
        <v>12</v>
      </c>
      <c r="C73" s="2"/>
      <c r="D73" s="3" t="s">
        <v>18</v>
      </c>
      <c r="E73" s="3" t="s">
        <v>112</v>
      </c>
      <c r="F73" s="3" t="s">
        <v>29</v>
      </c>
      <c r="G73" s="3"/>
      <c r="H73" s="16"/>
      <c r="I73" s="16"/>
      <c r="J73" s="16"/>
      <c r="K73" s="86" t="s">
        <v>377</v>
      </c>
      <c r="L73" s="87"/>
      <c r="M73" s="87"/>
      <c r="N73" s="87"/>
      <c r="O73" s="87"/>
      <c r="P73" s="87"/>
      <c r="Q73" s="87"/>
      <c r="R73" s="87"/>
      <c r="S73" s="88"/>
      <c r="T73" s="26">
        <v>9</v>
      </c>
    </row>
    <row r="74" spans="2:20" s="44" customFormat="1">
      <c r="B74" s="5">
        <f t="shared" si="3"/>
        <v>13</v>
      </c>
      <c r="C74" s="2"/>
      <c r="D74" s="3" t="s">
        <v>18</v>
      </c>
      <c r="E74" s="3" t="s">
        <v>126</v>
      </c>
      <c r="F74" s="3" t="s">
        <v>29</v>
      </c>
      <c r="G74" s="3"/>
      <c r="H74" s="16"/>
      <c r="I74" s="16"/>
      <c r="J74" s="16"/>
      <c r="K74" s="86" t="s">
        <v>378</v>
      </c>
      <c r="L74" s="87"/>
      <c r="M74" s="87"/>
      <c r="N74" s="87"/>
      <c r="O74" s="87"/>
      <c r="P74" s="87"/>
      <c r="Q74" s="87"/>
      <c r="R74" s="87"/>
      <c r="S74" s="88"/>
      <c r="T74" s="26">
        <v>9</v>
      </c>
    </row>
    <row r="75" spans="2:20" s="44" customFormat="1">
      <c r="B75" s="5">
        <f t="shared" si="3"/>
        <v>14</v>
      </c>
      <c r="C75" s="2"/>
      <c r="D75" s="3" t="s">
        <v>18</v>
      </c>
      <c r="E75" s="3" t="s">
        <v>140</v>
      </c>
      <c r="F75" s="3" t="s">
        <v>29</v>
      </c>
      <c r="G75" s="3"/>
      <c r="H75" s="16"/>
      <c r="I75" s="16"/>
      <c r="J75" s="16"/>
      <c r="K75" s="86" t="s">
        <v>379</v>
      </c>
      <c r="L75" s="87"/>
      <c r="M75" s="87"/>
      <c r="N75" s="87"/>
      <c r="O75" s="87"/>
      <c r="P75" s="87"/>
      <c r="Q75" s="87"/>
      <c r="R75" s="87"/>
      <c r="S75" s="88"/>
      <c r="T75" s="26">
        <v>9</v>
      </c>
    </row>
    <row r="76" spans="2:20" s="44" customFormat="1">
      <c r="B76" s="5">
        <f t="shared" si="3"/>
        <v>15</v>
      </c>
      <c r="C76" s="2"/>
      <c r="D76" s="3" t="s">
        <v>18</v>
      </c>
      <c r="E76" s="3" t="s">
        <v>146</v>
      </c>
      <c r="F76" s="3" t="s">
        <v>29</v>
      </c>
      <c r="G76" s="2"/>
      <c r="H76" s="16"/>
      <c r="I76" s="16"/>
      <c r="J76" s="16"/>
      <c r="K76" s="86" t="s">
        <v>380</v>
      </c>
      <c r="L76" s="87"/>
      <c r="M76" s="87"/>
      <c r="N76" s="87"/>
      <c r="O76" s="87"/>
      <c r="P76" s="87"/>
      <c r="Q76" s="87"/>
      <c r="R76" s="87"/>
      <c r="S76" s="88"/>
      <c r="T76" s="26">
        <v>9</v>
      </c>
    </row>
    <row r="77" spans="2:20" s="44" customFormat="1">
      <c r="B77" s="5">
        <f t="shared" si="3"/>
        <v>16</v>
      </c>
      <c r="C77" s="2"/>
      <c r="D77" s="3" t="s">
        <v>18</v>
      </c>
      <c r="E77" s="3" t="s">
        <v>150</v>
      </c>
      <c r="F77" s="3" t="s">
        <v>29</v>
      </c>
      <c r="G77" s="3"/>
      <c r="H77" s="16"/>
      <c r="I77" s="16"/>
      <c r="J77" s="16"/>
      <c r="K77" s="86" t="s">
        <v>381</v>
      </c>
      <c r="L77" s="87"/>
      <c r="M77" s="87"/>
      <c r="N77" s="87"/>
      <c r="O77" s="87"/>
      <c r="P77" s="87"/>
      <c r="Q77" s="87"/>
      <c r="R77" s="87"/>
      <c r="S77" s="88"/>
      <c r="T77" s="26">
        <v>9</v>
      </c>
    </row>
    <row r="78" spans="2:20" s="44" customFormat="1">
      <c r="B78" s="5">
        <f t="shared" si="3"/>
        <v>17</v>
      </c>
      <c r="C78" s="2"/>
      <c r="D78" s="3" t="s">
        <v>18</v>
      </c>
      <c r="E78" s="3" t="s">
        <v>153</v>
      </c>
      <c r="F78" s="3" t="s">
        <v>382</v>
      </c>
      <c r="G78" s="3"/>
      <c r="H78" s="16"/>
      <c r="I78" s="16"/>
      <c r="J78" s="16"/>
      <c r="K78" s="16"/>
      <c r="L78" s="16"/>
      <c r="M78" s="86" t="s">
        <v>383</v>
      </c>
      <c r="N78" s="87"/>
      <c r="O78" s="87"/>
      <c r="P78" s="87"/>
      <c r="Q78" s="87"/>
      <c r="R78" s="87"/>
      <c r="S78" s="88"/>
      <c r="T78" s="26">
        <v>7</v>
      </c>
    </row>
    <row r="79" spans="2:20" s="44" customFormat="1">
      <c r="B79" s="5">
        <f t="shared" si="3"/>
        <v>18</v>
      </c>
      <c r="C79" s="2"/>
      <c r="D79" s="3" t="s">
        <v>18</v>
      </c>
      <c r="E79" s="3" t="s">
        <v>384</v>
      </c>
      <c r="F79" s="3" t="s">
        <v>382</v>
      </c>
      <c r="G79" s="3"/>
      <c r="H79" s="16"/>
      <c r="I79" s="16"/>
      <c r="J79" s="16"/>
      <c r="K79" s="16"/>
      <c r="L79" s="16"/>
      <c r="M79" s="86" t="s">
        <v>385</v>
      </c>
      <c r="N79" s="87"/>
      <c r="O79" s="87"/>
      <c r="P79" s="87"/>
      <c r="Q79" s="87"/>
      <c r="R79" s="87"/>
      <c r="S79" s="88"/>
      <c r="T79" s="26">
        <v>7</v>
      </c>
    </row>
    <row r="80" spans="2:20" s="44" customFormat="1">
      <c r="B80" s="5">
        <f t="shared" si="3"/>
        <v>19</v>
      </c>
      <c r="C80" s="2"/>
      <c r="D80" s="3" t="s">
        <v>18</v>
      </c>
      <c r="E80" s="3" t="s">
        <v>386</v>
      </c>
      <c r="F80" s="3" t="s">
        <v>387</v>
      </c>
      <c r="G80" s="3"/>
      <c r="H80" s="16"/>
      <c r="I80" s="16"/>
      <c r="J80" s="16"/>
      <c r="K80" s="16"/>
      <c r="L80" s="16"/>
      <c r="M80" s="86" t="s">
        <v>388</v>
      </c>
      <c r="N80" s="87"/>
      <c r="O80" s="87"/>
      <c r="P80" s="87"/>
      <c r="Q80" s="87"/>
      <c r="R80" s="87"/>
      <c r="S80" s="88"/>
      <c r="T80" s="26">
        <v>7</v>
      </c>
    </row>
    <row r="81" spans="1:21" s="44" customFormat="1">
      <c r="B81" s="5">
        <f t="shared" si="3"/>
        <v>20</v>
      </c>
      <c r="C81" s="2"/>
      <c r="D81" s="3" t="s">
        <v>18</v>
      </c>
      <c r="E81" s="3" t="s">
        <v>389</v>
      </c>
      <c r="F81" s="3" t="s">
        <v>387</v>
      </c>
      <c r="G81" s="3"/>
      <c r="H81" s="16"/>
      <c r="I81" s="16"/>
      <c r="J81" s="16"/>
      <c r="K81" s="16"/>
      <c r="L81" s="16"/>
      <c r="M81" s="86" t="s">
        <v>390</v>
      </c>
      <c r="N81" s="87"/>
      <c r="O81" s="87"/>
      <c r="P81" s="87"/>
      <c r="Q81" s="87"/>
      <c r="R81" s="87"/>
      <c r="S81" s="88"/>
      <c r="T81" s="26">
        <v>7</v>
      </c>
    </row>
    <row r="82" spans="1:21" s="44" customFormat="1">
      <c r="A82" s="44" t="s">
        <v>391</v>
      </c>
      <c r="B82" s="5">
        <f t="shared" si="3"/>
        <v>21</v>
      </c>
      <c r="C82" s="2"/>
      <c r="D82" s="3" t="s">
        <v>18</v>
      </c>
      <c r="E82" s="3" t="s">
        <v>392</v>
      </c>
      <c r="F82" s="3" t="s">
        <v>387</v>
      </c>
      <c r="G82" s="3"/>
      <c r="H82" s="16"/>
      <c r="I82" s="16"/>
      <c r="J82" s="16"/>
      <c r="K82" s="16"/>
      <c r="L82" s="16"/>
      <c r="M82" s="86" t="s">
        <v>393</v>
      </c>
      <c r="N82" s="87"/>
      <c r="O82" s="87"/>
      <c r="P82" s="87"/>
      <c r="Q82" s="87"/>
      <c r="R82" s="87"/>
      <c r="S82" s="88"/>
      <c r="T82" s="26">
        <v>7</v>
      </c>
    </row>
    <row r="83" spans="1:21" s="44" customFormat="1">
      <c r="B83" s="5">
        <f t="shared" si="3"/>
        <v>22</v>
      </c>
      <c r="C83" s="2"/>
      <c r="D83" s="3" t="s">
        <v>18</v>
      </c>
      <c r="E83" s="3" t="s">
        <v>394</v>
      </c>
      <c r="F83" s="3" t="s">
        <v>387</v>
      </c>
      <c r="G83" s="3"/>
      <c r="H83" s="16"/>
      <c r="I83" s="16"/>
      <c r="J83" s="16"/>
      <c r="K83" s="16"/>
      <c r="L83" s="16"/>
      <c r="M83" s="86" t="s">
        <v>395</v>
      </c>
      <c r="N83" s="87"/>
      <c r="O83" s="87"/>
      <c r="P83" s="87"/>
      <c r="Q83" s="87"/>
      <c r="R83" s="87"/>
      <c r="S83" s="88"/>
      <c r="T83" s="26">
        <v>7</v>
      </c>
    </row>
    <row r="84" spans="1:21" s="44" customFormat="1">
      <c r="B84" s="5">
        <f t="shared" si="3"/>
        <v>23</v>
      </c>
      <c r="C84" s="2"/>
      <c r="D84" s="3" t="s">
        <v>18</v>
      </c>
      <c r="E84" s="3" t="s">
        <v>396</v>
      </c>
      <c r="F84" s="3" t="s">
        <v>387</v>
      </c>
      <c r="G84" s="3"/>
      <c r="H84" s="16"/>
      <c r="I84" s="16"/>
      <c r="J84" s="16"/>
      <c r="K84" s="16"/>
      <c r="L84" s="16"/>
      <c r="M84" s="86" t="s">
        <v>397</v>
      </c>
      <c r="N84" s="87"/>
      <c r="O84" s="87"/>
      <c r="P84" s="87"/>
      <c r="Q84" s="87"/>
      <c r="R84" s="87"/>
      <c r="S84" s="88"/>
      <c r="T84" s="26">
        <v>7</v>
      </c>
    </row>
    <row r="85" spans="1:21" s="44" customFormat="1">
      <c r="B85" s="5">
        <f t="shared" si="3"/>
        <v>24</v>
      </c>
      <c r="C85" s="2"/>
      <c r="D85" s="3" t="s">
        <v>18</v>
      </c>
      <c r="E85" s="3" t="s">
        <v>398</v>
      </c>
      <c r="F85" s="3" t="s">
        <v>387</v>
      </c>
      <c r="G85" s="3"/>
      <c r="H85" s="16"/>
      <c r="I85" s="16"/>
      <c r="J85" s="16"/>
      <c r="K85" s="16"/>
      <c r="L85" s="16"/>
      <c r="M85" s="86" t="s">
        <v>399</v>
      </c>
      <c r="N85" s="87"/>
      <c r="O85" s="87"/>
      <c r="P85" s="87"/>
      <c r="Q85" s="87"/>
      <c r="R85" s="87"/>
      <c r="S85" s="88"/>
      <c r="T85" s="26">
        <v>7</v>
      </c>
    </row>
    <row r="86" spans="1:21">
      <c r="B86" s="5">
        <f t="shared" si="3"/>
        <v>25</v>
      </c>
      <c r="D86" s="3" t="s">
        <v>18</v>
      </c>
      <c r="E86" s="3" t="s">
        <v>196</v>
      </c>
      <c r="F86" s="3" t="s">
        <v>387</v>
      </c>
      <c r="H86" s="16"/>
      <c r="I86" s="16"/>
      <c r="J86" s="16"/>
      <c r="K86" s="16"/>
      <c r="L86" s="16"/>
      <c r="M86" s="86" t="s">
        <v>400</v>
      </c>
      <c r="N86" s="87"/>
      <c r="O86" s="87"/>
      <c r="P86" s="87"/>
      <c r="Q86" s="87"/>
      <c r="R86" s="87"/>
      <c r="S86" s="88"/>
      <c r="T86" s="26">
        <v>7</v>
      </c>
    </row>
    <row r="87" spans="1:21">
      <c r="B87" s="5">
        <f t="shared" si="3"/>
        <v>26</v>
      </c>
      <c r="D87" s="3" t="s">
        <v>18</v>
      </c>
      <c r="E87" s="3" t="s">
        <v>211</v>
      </c>
      <c r="F87" s="3" t="s">
        <v>387</v>
      </c>
      <c r="H87" s="16"/>
      <c r="I87" s="16"/>
      <c r="J87" s="16"/>
      <c r="K87" s="16"/>
      <c r="L87" s="16"/>
      <c r="M87" s="86" t="s">
        <v>401</v>
      </c>
      <c r="N87" s="87"/>
      <c r="O87" s="87"/>
      <c r="P87" s="87"/>
      <c r="Q87" s="87"/>
      <c r="R87" s="87"/>
      <c r="S87" s="88"/>
      <c r="T87" s="26">
        <v>7</v>
      </c>
    </row>
    <row r="88" spans="1:21">
      <c r="B88" s="5">
        <f t="shared" si="3"/>
        <v>27</v>
      </c>
      <c r="D88" s="3" t="s">
        <v>18</v>
      </c>
      <c r="E88" s="3" t="s">
        <v>218</v>
      </c>
      <c r="F88" s="3" t="s">
        <v>387</v>
      </c>
      <c r="H88" s="16"/>
      <c r="I88" s="16"/>
      <c r="J88" s="16"/>
      <c r="K88" s="16"/>
      <c r="L88" s="16"/>
      <c r="M88" s="86" t="s">
        <v>402</v>
      </c>
      <c r="N88" s="87"/>
      <c r="O88" s="87"/>
      <c r="P88" s="87"/>
      <c r="Q88" s="87"/>
      <c r="R88" s="87"/>
      <c r="S88" s="88"/>
      <c r="T88" s="26">
        <v>7</v>
      </c>
      <c r="U88" s="3"/>
    </row>
    <row r="89" spans="1:21">
      <c r="B89" s="5">
        <f t="shared" si="3"/>
        <v>28</v>
      </c>
      <c r="D89" s="3" t="s">
        <v>18</v>
      </c>
      <c r="E89" s="3" t="s">
        <v>222</v>
      </c>
      <c r="F89" s="3" t="s">
        <v>387</v>
      </c>
      <c r="H89" s="16"/>
      <c r="I89" s="16"/>
      <c r="J89" s="16"/>
      <c r="K89" s="16"/>
      <c r="L89" s="16"/>
      <c r="M89" s="86" t="s">
        <v>403</v>
      </c>
      <c r="N89" s="87"/>
      <c r="O89" s="87"/>
      <c r="P89" s="87"/>
      <c r="Q89" s="87"/>
      <c r="R89" s="87"/>
      <c r="S89" s="88"/>
      <c r="T89" s="26">
        <v>7</v>
      </c>
      <c r="U89" s="3"/>
    </row>
    <row r="90" spans="1:21">
      <c r="B90" s="5">
        <f t="shared" si="3"/>
        <v>29</v>
      </c>
      <c r="D90" s="3" t="s">
        <v>18</v>
      </c>
      <c r="E90" s="3" t="s">
        <v>232</v>
      </c>
      <c r="F90" s="3" t="s">
        <v>29</v>
      </c>
      <c r="H90" s="82" t="s">
        <v>404</v>
      </c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26">
        <v>12</v>
      </c>
    </row>
    <row r="91" spans="1:21" s="4" customFormat="1">
      <c r="A91" s="1"/>
      <c r="B91" s="5">
        <f t="shared" si="3"/>
        <v>30</v>
      </c>
      <c r="C91" s="2"/>
      <c r="D91" s="3" t="s">
        <v>18</v>
      </c>
      <c r="E91" s="3" t="s">
        <v>238</v>
      </c>
      <c r="F91" s="3" t="s">
        <v>29</v>
      </c>
      <c r="G91" s="3"/>
      <c r="H91" s="90" t="s">
        <v>405</v>
      </c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26">
        <v>12</v>
      </c>
      <c r="U91" s="1"/>
    </row>
    <row r="92" spans="1:21">
      <c r="T92" s="26">
        <f>SUM(T62:T91)</f>
        <v>252</v>
      </c>
    </row>
  </sheetData>
  <mergeCells count="97">
    <mergeCell ref="H7:O7"/>
    <mergeCell ref="P7:S7"/>
    <mergeCell ref="O3:S3"/>
    <mergeCell ref="H4:M4"/>
    <mergeCell ref="N5:S5"/>
    <mergeCell ref="H6:K6"/>
    <mergeCell ref="L6:S6"/>
    <mergeCell ref="H19:S19"/>
    <mergeCell ref="I9:J9"/>
    <mergeCell ref="K9:L9"/>
    <mergeCell ref="K10:M10"/>
    <mergeCell ref="N10:P10"/>
    <mergeCell ref="Q10:S10"/>
    <mergeCell ref="K11:M11"/>
    <mergeCell ref="N11:P11"/>
    <mergeCell ref="Q11:S11"/>
    <mergeCell ref="H16:K16"/>
    <mergeCell ref="L16:O16"/>
    <mergeCell ref="P16:S16"/>
    <mergeCell ref="H17:S17"/>
    <mergeCell ref="H18:S18"/>
    <mergeCell ref="J21:N21"/>
    <mergeCell ref="O21:S21"/>
    <mergeCell ref="J22:N22"/>
    <mergeCell ref="O22:S22"/>
    <mergeCell ref="J23:N23"/>
    <mergeCell ref="O23:S23"/>
    <mergeCell ref="J24:N24"/>
    <mergeCell ref="O24:S24"/>
    <mergeCell ref="J25:N25"/>
    <mergeCell ref="O25:S25"/>
    <mergeCell ref="J26:N26"/>
    <mergeCell ref="O26:S26"/>
    <mergeCell ref="I38:J38"/>
    <mergeCell ref="L38:S38"/>
    <mergeCell ref="J27:K27"/>
    <mergeCell ref="L29:O29"/>
    <mergeCell ref="P29:S29"/>
    <mergeCell ref="H31:M31"/>
    <mergeCell ref="N31:S31"/>
    <mergeCell ref="K32:S32"/>
    <mergeCell ref="J33:S33"/>
    <mergeCell ref="J34:S34"/>
    <mergeCell ref="J35:S35"/>
    <mergeCell ref="I36:S36"/>
    <mergeCell ref="H37:S37"/>
    <mergeCell ref="H40:S40"/>
    <mergeCell ref="H41:M41"/>
    <mergeCell ref="H44:K44"/>
    <mergeCell ref="N44:O44"/>
    <mergeCell ref="P44:Q44"/>
    <mergeCell ref="R44:S44"/>
    <mergeCell ref="L62:S62"/>
    <mergeCell ref="H45:S45"/>
    <mergeCell ref="N46:O46"/>
    <mergeCell ref="P46:S46"/>
    <mergeCell ref="M47:O47"/>
    <mergeCell ref="Q47:S47"/>
    <mergeCell ref="I52:K52"/>
    <mergeCell ref="L52:M52"/>
    <mergeCell ref="P53:S53"/>
    <mergeCell ref="H54:S54"/>
    <mergeCell ref="N55:O55"/>
    <mergeCell ref="P55:S55"/>
    <mergeCell ref="H57:S57"/>
    <mergeCell ref="K71:S71"/>
    <mergeCell ref="J63:N63"/>
    <mergeCell ref="O63:S63"/>
    <mergeCell ref="H64:L64"/>
    <mergeCell ref="O64:S64"/>
    <mergeCell ref="L65:O65"/>
    <mergeCell ref="P65:S65"/>
    <mergeCell ref="K66:S66"/>
    <mergeCell ref="K67:S67"/>
    <mergeCell ref="K68:S68"/>
    <mergeCell ref="K69:S69"/>
    <mergeCell ref="K70:S70"/>
    <mergeCell ref="M83:S83"/>
    <mergeCell ref="K72:S72"/>
    <mergeCell ref="K73:S73"/>
    <mergeCell ref="K74:S74"/>
    <mergeCell ref="K75:S75"/>
    <mergeCell ref="K76:S76"/>
    <mergeCell ref="K77:S77"/>
    <mergeCell ref="M78:S78"/>
    <mergeCell ref="M79:S79"/>
    <mergeCell ref="M80:S80"/>
    <mergeCell ref="M81:S81"/>
    <mergeCell ref="M82:S82"/>
    <mergeCell ref="H90:S90"/>
    <mergeCell ref="H91:S91"/>
    <mergeCell ref="M84:S84"/>
    <mergeCell ref="M85:S85"/>
    <mergeCell ref="M86:S86"/>
    <mergeCell ref="M87:S87"/>
    <mergeCell ref="M88:S88"/>
    <mergeCell ref="M89:S89"/>
  </mergeCells>
  <phoneticPr fontId="2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현정재( HYUN Jeongjae ) 전원구동반도체팀 / 1628630@mobis.com / 본 문서는 현대모비스의 대외비 정보자산이므로 무단 전재 및 복제할 수 없으며, 위반 시 당사 사규 및 관련 법규에 의해 제재될 수 있습니다. 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A069-4F43-49B9-B414-D9BEB68CF961}">
  <sheetPr>
    <tabColor rgb="FF0000FF"/>
  </sheetPr>
  <dimension ref="A1:U92"/>
  <sheetViews>
    <sheetView showGridLines="0" topLeftCell="A3" zoomScale="55" zoomScaleNormal="55" workbookViewId="0">
      <selection activeCell="J68" sqref="J68"/>
    </sheetView>
  </sheetViews>
  <sheetFormatPr defaultColWidth="8.58203125" defaultRowHeight="17"/>
  <cols>
    <col min="1" max="1" width="8.58203125" style="1" customWidth="1"/>
    <col min="2" max="2" width="3.08203125" style="1" bestFit="1" customWidth="1"/>
    <col min="3" max="3" width="19.9140625" style="2" bestFit="1" customWidth="1"/>
    <col min="4" max="4" width="6.4140625" style="3" bestFit="1" customWidth="1"/>
    <col min="5" max="5" width="10.08203125" style="3" bestFit="1" customWidth="1"/>
    <col min="6" max="6" width="6.9140625" style="3" bestFit="1" customWidth="1"/>
    <col min="7" max="7" width="1.58203125" style="3" customWidth="1"/>
    <col min="8" max="8" width="16.4140625" style="3" bestFit="1" customWidth="1"/>
    <col min="9" max="9" width="19" style="3" customWidth="1"/>
    <col min="10" max="10" width="13.58203125" style="3" bestFit="1" customWidth="1"/>
    <col min="11" max="11" width="12.58203125" style="3" bestFit="1" customWidth="1"/>
    <col min="12" max="12" width="21" style="3" customWidth="1"/>
    <col min="13" max="13" width="21.9140625" style="3" customWidth="1"/>
    <col min="14" max="14" width="19.9140625" style="3" customWidth="1"/>
    <col min="15" max="15" width="21.58203125" style="3" customWidth="1"/>
    <col min="16" max="16" width="22.1640625" style="3" customWidth="1"/>
    <col min="17" max="17" width="22.08203125" style="3" customWidth="1"/>
    <col min="18" max="18" width="21.58203125" style="3" customWidth="1"/>
    <col min="19" max="19" width="22.58203125" style="3" customWidth="1"/>
    <col min="20" max="20" width="83.1640625" style="4" bestFit="1" customWidth="1"/>
    <col min="21" max="21" width="8.58203125" style="1" customWidth="1"/>
    <col min="22" max="16384" width="8.58203125" style="1"/>
  </cols>
  <sheetData>
    <row r="1" spans="2:20">
      <c r="D1" s="2"/>
      <c r="E1" s="2"/>
      <c r="F1" s="2"/>
    </row>
    <row r="2" spans="2:20">
      <c r="B2" s="5"/>
      <c r="C2" s="6" t="s">
        <v>0</v>
      </c>
      <c r="D2" s="7" t="s">
        <v>1</v>
      </c>
      <c r="E2" s="7" t="s">
        <v>2</v>
      </c>
      <c r="F2" s="7" t="s">
        <v>3</v>
      </c>
      <c r="G2" s="7"/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8" t="s">
        <v>16</v>
      </c>
    </row>
    <row r="3" spans="2:20" ht="85">
      <c r="B3" s="5">
        <v>1</v>
      </c>
      <c r="C3" s="2" t="s">
        <v>17</v>
      </c>
      <c r="D3" s="3" t="s">
        <v>18</v>
      </c>
      <c r="E3" s="3" t="s">
        <v>19</v>
      </c>
      <c r="F3" s="9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1"/>
      <c r="M3" s="11"/>
      <c r="N3" s="11"/>
      <c r="O3" s="63" t="s">
        <v>25</v>
      </c>
      <c r="P3" s="63"/>
      <c r="Q3" s="63"/>
      <c r="R3" s="63"/>
      <c r="S3" s="63"/>
      <c r="T3" s="12" t="s">
        <v>26</v>
      </c>
    </row>
    <row r="4" spans="2:20" ht="101.4" customHeight="1">
      <c r="B4" s="5">
        <f>B3+1</f>
        <v>2</v>
      </c>
      <c r="C4" s="2" t="s">
        <v>27</v>
      </c>
      <c r="D4" s="3" t="s">
        <v>18</v>
      </c>
      <c r="E4" s="3" t="s">
        <v>28</v>
      </c>
      <c r="F4" s="3" t="s">
        <v>29</v>
      </c>
      <c r="H4" s="64" t="s">
        <v>30</v>
      </c>
      <c r="I4" s="65"/>
      <c r="J4" s="65"/>
      <c r="K4" s="65"/>
      <c r="L4" s="65"/>
      <c r="M4" s="65"/>
      <c r="N4" s="13" t="s">
        <v>31</v>
      </c>
      <c r="O4" s="14" t="s">
        <v>32</v>
      </c>
      <c r="P4" s="13" t="s">
        <v>33</v>
      </c>
      <c r="Q4" s="15" t="s">
        <v>34</v>
      </c>
      <c r="R4" s="15" t="s">
        <v>35</v>
      </c>
      <c r="S4" s="13" t="s">
        <v>36</v>
      </c>
      <c r="T4" s="12" t="s">
        <v>37</v>
      </c>
    </row>
    <row r="5" spans="2:20">
      <c r="B5" s="5">
        <f t="shared" ref="B5:B41" si="0">B4+1</f>
        <v>3</v>
      </c>
      <c r="C5" s="2" t="s">
        <v>38</v>
      </c>
      <c r="D5" s="3" t="s">
        <v>18</v>
      </c>
      <c r="E5" s="3" t="s">
        <v>39</v>
      </c>
      <c r="F5" s="3" t="s">
        <v>29</v>
      </c>
      <c r="H5" s="16"/>
      <c r="I5" s="16"/>
      <c r="J5" s="16"/>
      <c r="K5" s="16"/>
      <c r="L5" s="16"/>
      <c r="M5" s="16"/>
      <c r="N5" s="66" t="s">
        <v>40</v>
      </c>
      <c r="O5" s="92"/>
      <c r="P5" s="92"/>
      <c r="Q5" s="92"/>
      <c r="R5" s="92"/>
      <c r="S5" s="93"/>
      <c r="T5" s="1" t="s">
        <v>41</v>
      </c>
    </row>
    <row r="6" spans="2:20">
      <c r="B6" s="5">
        <f t="shared" si="0"/>
        <v>4</v>
      </c>
      <c r="C6" s="2" t="s">
        <v>42</v>
      </c>
      <c r="D6" s="3" t="s">
        <v>18</v>
      </c>
      <c r="E6" s="3" t="s">
        <v>43</v>
      </c>
      <c r="F6" s="3" t="s">
        <v>29</v>
      </c>
      <c r="H6" s="69" t="s">
        <v>44</v>
      </c>
      <c r="I6" s="69"/>
      <c r="J6" s="69"/>
      <c r="K6" s="69"/>
      <c r="L6" s="69" t="s">
        <v>45</v>
      </c>
      <c r="M6" s="69"/>
      <c r="N6" s="69"/>
      <c r="O6" s="69"/>
      <c r="P6" s="69"/>
      <c r="Q6" s="69"/>
      <c r="R6" s="69"/>
      <c r="S6" s="69"/>
      <c r="T6" s="17" t="s">
        <v>46</v>
      </c>
    </row>
    <row r="7" spans="2:20">
      <c r="B7" s="5">
        <f t="shared" si="0"/>
        <v>5</v>
      </c>
      <c r="C7" s="2" t="s">
        <v>47</v>
      </c>
      <c r="D7" s="3" t="s">
        <v>18</v>
      </c>
      <c r="E7" s="3" t="s">
        <v>48</v>
      </c>
      <c r="F7" s="3" t="s">
        <v>29</v>
      </c>
      <c r="H7" s="69" t="s">
        <v>49</v>
      </c>
      <c r="I7" s="69"/>
      <c r="J7" s="69"/>
      <c r="K7" s="69"/>
      <c r="L7" s="69"/>
      <c r="M7" s="69"/>
      <c r="N7" s="69"/>
      <c r="O7" s="69"/>
      <c r="P7" s="69" t="s">
        <v>50</v>
      </c>
      <c r="Q7" s="69"/>
      <c r="R7" s="69"/>
      <c r="S7" s="69"/>
      <c r="T7" s="18" t="s">
        <v>51</v>
      </c>
    </row>
    <row r="8" spans="2:20">
      <c r="B8" s="5">
        <f t="shared" si="0"/>
        <v>6</v>
      </c>
      <c r="C8" s="2" t="s">
        <v>52</v>
      </c>
      <c r="D8" s="3" t="s">
        <v>18</v>
      </c>
      <c r="E8" s="3" t="s">
        <v>53</v>
      </c>
      <c r="F8" s="3" t="s">
        <v>29</v>
      </c>
      <c r="H8" s="19" t="s">
        <v>54</v>
      </c>
      <c r="I8" s="19" t="s">
        <v>55</v>
      </c>
      <c r="J8" s="19" t="s">
        <v>56</v>
      </c>
      <c r="K8" s="19" t="s">
        <v>57</v>
      </c>
      <c r="L8" s="19" t="s">
        <v>58</v>
      </c>
      <c r="M8" s="19" t="s">
        <v>59</v>
      </c>
      <c r="N8" s="19" t="s">
        <v>60</v>
      </c>
      <c r="O8" s="19" t="s">
        <v>61</v>
      </c>
      <c r="P8" s="19" t="s">
        <v>62</v>
      </c>
      <c r="Q8" s="19" t="s">
        <v>63</v>
      </c>
      <c r="R8" s="19" t="s">
        <v>64</v>
      </c>
      <c r="S8" s="19" t="s">
        <v>65</v>
      </c>
      <c r="T8" s="20"/>
    </row>
    <row r="9" spans="2:20" ht="68">
      <c r="B9" s="5">
        <f t="shared" si="0"/>
        <v>7</v>
      </c>
      <c r="C9" s="21" t="s">
        <v>66</v>
      </c>
      <c r="D9" s="3" t="s">
        <v>18</v>
      </c>
      <c r="E9" s="3" t="s">
        <v>67</v>
      </c>
      <c r="F9" s="3" t="s">
        <v>406</v>
      </c>
      <c r="H9" s="22"/>
      <c r="I9" s="96" t="s">
        <v>69</v>
      </c>
      <c r="J9" s="96"/>
      <c r="K9" s="97" t="s">
        <v>70</v>
      </c>
      <c r="L9" s="95"/>
      <c r="M9" s="22" t="s">
        <v>71</v>
      </c>
      <c r="N9" s="22" t="s">
        <v>198</v>
      </c>
      <c r="O9" s="22" t="s">
        <v>72</v>
      </c>
      <c r="P9" s="22" t="s">
        <v>73</v>
      </c>
      <c r="Q9" s="22" t="s">
        <v>74</v>
      </c>
      <c r="R9" s="22" t="s">
        <v>75</v>
      </c>
      <c r="S9" s="22" t="s">
        <v>76</v>
      </c>
      <c r="T9" s="20" t="s">
        <v>77</v>
      </c>
    </row>
    <row r="10" spans="2:20">
      <c r="B10" s="5">
        <f>B9+1</f>
        <v>8</v>
      </c>
      <c r="C10" s="2" t="s">
        <v>78</v>
      </c>
      <c r="D10" s="3" t="s">
        <v>18</v>
      </c>
      <c r="E10" s="3" t="s">
        <v>79</v>
      </c>
      <c r="F10" s="3" t="s">
        <v>29</v>
      </c>
      <c r="H10" s="23"/>
      <c r="I10" s="23"/>
      <c r="J10" s="23"/>
      <c r="K10" s="73" t="s">
        <v>80</v>
      </c>
      <c r="L10" s="73"/>
      <c r="M10" s="73"/>
      <c r="N10" s="73" t="s">
        <v>81</v>
      </c>
      <c r="O10" s="73"/>
      <c r="P10" s="73"/>
      <c r="Q10" s="73" t="s">
        <v>82</v>
      </c>
      <c r="R10" s="73"/>
      <c r="S10" s="73"/>
      <c r="T10" s="12"/>
    </row>
    <row r="11" spans="2:20" ht="17.149999999999999" customHeight="1">
      <c r="B11" s="5">
        <f t="shared" si="0"/>
        <v>9</v>
      </c>
      <c r="C11" s="2" t="s">
        <v>83</v>
      </c>
      <c r="D11" s="3" t="s">
        <v>18</v>
      </c>
      <c r="E11" s="3" t="s">
        <v>84</v>
      </c>
      <c r="F11" s="3" t="s">
        <v>29</v>
      </c>
      <c r="H11" s="23"/>
      <c r="I11" s="23"/>
      <c r="J11" s="23"/>
      <c r="K11" s="73" t="s">
        <v>85</v>
      </c>
      <c r="L11" s="73"/>
      <c r="M11" s="73"/>
      <c r="N11" s="73" t="s">
        <v>86</v>
      </c>
      <c r="O11" s="73"/>
      <c r="P11" s="73"/>
      <c r="Q11" s="73" t="s">
        <v>87</v>
      </c>
      <c r="R11" s="73"/>
      <c r="S11" s="73"/>
      <c r="T11" s="12"/>
    </row>
    <row r="12" spans="2:20">
      <c r="B12" s="5">
        <f t="shared" si="0"/>
        <v>10</v>
      </c>
      <c r="C12" s="21" t="s">
        <v>88</v>
      </c>
      <c r="D12" s="3" t="s">
        <v>89</v>
      </c>
      <c r="E12" s="3" t="s">
        <v>90</v>
      </c>
      <c r="F12" s="3" t="s">
        <v>91</v>
      </c>
      <c r="H12" s="10"/>
      <c r="I12" s="10"/>
      <c r="J12" s="10"/>
      <c r="K12" s="10"/>
      <c r="L12" s="10"/>
      <c r="M12" s="10"/>
      <c r="N12" s="10"/>
      <c r="O12" s="10" t="s">
        <v>92</v>
      </c>
      <c r="P12" s="10" t="s">
        <v>93</v>
      </c>
      <c r="Q12" s="10" t="s">
        <v>94</v>
      </c>
      <c r="R12" s="10" t="s">
        <v>95</v>
      </c>
      <c r="S12" s="10" t="s">
        <v>96</v>
      </c>
      <c r="T12" s="20" t="s">
        <v>97</v>
      </c>
    </row>
    <row r="13" spans="2:20">
      <c r="B13" s="5"/>
      <c r="C13" s="21" t="s">
        <v>98</v>
      </c>
      <c r="D13" s="3" t="s">
        <v>89</v>
      </c>
      <c r="E13" s="3" t="s">
        <v>99</v>
      </c>
      <c r="F13" s="3" t="s">
        <v>91</v>
      </c>
      <c r="H13" s="22" t="s">
        <v>407</v>
      </c>
      <c r="I13" s="22" t="s">
        <v>408</v>
      </c>
      <c r="J13" s="22" t="s">
        <v>101</v>
      </c>
      <c r="K13" s="22" t="s">
        <v>102</v>
      </c>
      <c r="L13" s="22" t="s">
        <v>100</v>
      </c>
      <c r="M13" s="22" t="s">
        <v>409</v>
      </c>
      <c r="N13" s="22" t="s">
        <v>410</v>
      </c>
      <c r="O13" s="22" t="s">
        <v>411</v>
      </c>
      <c r="P13" s="22" t="s">
        <v>412</v>
      </c>
      <c r="Q13" s="22" t="s">
        <v>108</v>
      </c>
      <c r="R13" s="22" t="s">
        <v>109</v>
      </c>
      <c r="S13" s="22" t="s">
        <v>110</v>
      </c>
      <c r="T13" s="20"/>
    </row>
    <row r="14" spans="2:20">
      <c r="B14" s="5"/>
      <c r="C14" s="21" t="s">
        <v>111</v>
      </c>
      <c r="D14" s="3" t="s">
        <v>89</v>
      </c>
      <c r="E14" s="3" t="s">
        <v>112</v>
      </c>
      <c r="F14" s="3" t="s">
        <v>91</v>
      </c>
      <c r="H14" s="10" t="s">
        <v>113</v>
      </c>
      <c r="I14" s="10" t="s">
        <v>114</v>
      </c>
      <c r="J14" s="10" t="s">
        <v>115</v>
      </c>
      <c r="K14" s="10" t="s">
        <v>116</v>
      </c>
      <c r="L14" s="10" t="s">
        <v>117</v>
      </c>
      <c r="M14" s="10" t="s">
        <v>118</v>
      </c>
      <c r="N14" s="10" t="s">
        <v>119</v>
      </c>
      <c r="O14" s="10" t="s">
        <v>120</v>
      </c>
      <c r="P14" s="10" t="s">
        <v>121</v>
      </c>
      <c r="Q14" s="10" t="s">
        <v>122</v>
      </c>
      <c r="R14" s="10" t="s">
        <v>123</v>
      </c>
      <c r="S14" s="10" t="s">
        <v>124</v>
      </c>
      <c r="T14" s="20"/>
    </row>
    <row r="15" spans="2:20">
      <c r="B15" s="5"/>
      <c r="C15" s="21" t="s">
        <v>125</v>
      </c>
      <c r="D15" s="3" t="s">
        <v>89</v>
      </c>
      <c r="E15" s="3" t="s">
        <v>126</v>
      </c>
      <c r="F15" s="3" t="s">
        <v>91</v>
      </c>
      <c r="H15" s="10" t="s">
        <v>127</v>
      </c>
      <c r="I15" s="10" t="s">
        <v>128</v>
      </c>
      <c r="J15" s="10" t="s">
        <v>129</v>
      </c>
      <c r="K15" s="10" t="s">
        <v>130</v>
      </c>
      <c r="L15" s="10" t="s">
        <v>131</v>
      </c>
      <c r="M15" s="10" t="s">
        <v>132</v>
      </c>
      <c r="N15" s="10" t="s">
        <v>133</v>
      </c>
      <c r="O15" s="10" t="s">
        <v>134</v>
      </c>
      <c r="P15" s="10" t="s">
        <v>135</v>
      </c>
      <c r="Q15" s="10" t="s">
        <v>136</v>
      </c>
      <c r="R15" s="10" t="s">
        <v>137</v>
      </c>
      <c r="S15" s="10" t="s">
        <v>138</v>
      </c>
      <c r="T15" s="20"/>
    </row>
    <row r="16" spans="2:20" ht="17.149999999999999" customHeight="1">
      <c r="B16" s="5">
        <f>B12+1</f>
        <v>11</v>
      </c>
      <c r="C16" s="2" t="s">
        <v>139</v>
      </c>
      <c r="D16" s="3" t="s">
        <v>18</v>
      </c>
      <c r="E16" s="3" t="s">
        <v>140</v>
      </c>
      <c r="F16" s="3" t="s">
        <v>91</v>
      </c>
      <c r="H16" s="70" t="s">
        <v>141</v>
      </c>
      <c r="I16" s="70"/>
      <c r="J16" s="70"/>
      <c r="K16" s="70"/>
      <c r="L16" s="70" t="s">
        <v>142</v>
      </c>
      <c r="M16" s="70"/>
      <c r="N16" s="70"/>
      <c r="O16" s="70"/>
      <c r="P16" s="70" t="s">
        <v>143</v>
      </c>
      <c r="Q16" s="70"/>
      <c r="R16" s="70"/>
      <c r="S16" s="70"/>
      <c r="T16" s="12" t="s">
        <v>144</v>
      </c>
    </row>
    <row r="17" spans="2:20">
      <c r="B17" s="5">
        <f t="shared" si="0"/>
        <v>12</v>
      </c>
      <c r="C17" s="2" t="s">
        <v>145</v>
      </c>
      <c r="D17" s="3" t="s">
        <v>18</v>
      </c>
      <c r="E17" s="3" t="s">
        <v>146</v>
      </c>
      <c r="F17" s="3" t="s">
        <v>91</v>
      </c>
      <c r="H17" s="63" t="s">
        <v>147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18" t="s">
        <v>148</v>
      </c>
    </row>
    <row r="18" spans="2:20">
      <c r="B18" s="5">
        <f t="shared" si="0"/>
        <v>13</v>
      </c>
      <c r="C18" s="2" t="s">
        <v>149</v>
      </c>
      <c r="D18" s="3" t="s">
        <v>18</v>
      </c>
      <c r="E18" s="3" t="s">
        <v>150</v>
      </c>
      <c r="F18" s="3" t="s">
        <v>91</v>
      </c>
      <c r="H18" s="63" t="s">
        <v>151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18" t="s">
        <v>148</v>
      </c>
    </row>
    <row r="19" spans="2:20">
      <c r="B19" s="5">
        <f t="shared" si="0"/>
        <v>14</v>
      </c>
      <c r="C19" s="2" t="s">
        <v>152</v>
      </c>
      <c r="D19" s="3" t="s">
        <v>18</v>
      </c>
      <c r="E19" s="3" t="s">
        <v>153</v>
      </c>
      <c r="F19" s="3" t="s">
        <v>91</v>
      </c>
      <c r="H19" s="63" t="s">
        <v>154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18" t="s">
        <v>148</v>
      </c>
    </row>
    <row r="20" spans="2:20" ht="34">
      <c r="B20" s="5">
        <f t="shared" si="0"/>
        <v>15</v>
      </c>
      <c r="C20" s="2" t="s">
        <v>155</v>
      </c>
      <c r="D20" s="3" t="s">
        <v>18</v>
      </c>
      <c r="E20" s="3" t="s">
        <v>156</v>
      </c>
      <c r="F20" s="3" t="s">
        <v>91</v>
      </c>
      <c r="H20" s="19" t="s">
        <v>157</v>
      </c>
      <c r="I20" s="19" t="s">
        <v>158</v>
      </c>
      <c r="J20" s="19" t="s">
        <v>159</v>
      </c>
      <c r="K20" s="19" t="s">
        <v>160</v>
      </c>
      <c r="L20" s="19" t="s">
        <v>161</v>
      </c>
      <c r="M20" s="19" t="s">
        <v>162</v>
      </c>
      <c r="N20" s="19" t="s">
        <v>163</v>
      </c>
      <c r="O20" s="19" t="s">
        <v>164</v>
      </c>
      <c r="P20" s="19" t="s">
        <v>165</v>
      </c>
      <c r="Q20" s="19" t="s">
        <v>166</v>
      </c>
      <c r="R20" s="19" t="s">
        <v>167</v>
      </c>
      <c r="S20" s="19" t="s">
        <v>168</v>
      </c>
      <c r="T20" s="24" t="s">
        <v>169</v>
      </c>
    </row>
    <row r="21" spans="2:20">
      <c r="B21" s="5">
        <f>B20+1</f>
        <v>16</v>
      </c>
      <c r="C21" s="2" t="s">
        <v>170</v>
      </c>
      <c r="D21" s="3" t="s">
        <v>18</v>
      </c>
      <c r="E21" s="3" t="s">
        <v>171</v>
      </c>
      <c r="F21" s="3" t="s">
        <v>91</v>
      </c>
      <c r="H21" s="25"/>
      <c r="I21" s="23"/>
      <c r="J21" s="69" t="s">
        <v>172</v>
      </c>
      <c r="K21" s="69"/>
      <c r="L21" s="69"/>
      <c r="M21" s="69"/>
      <c r="N21" s="69"/>
      <c r="O21" s="69" t="s">
        <v>173</v>
      </c>
      <c r="P21" s="69"/>
      <c r="Q21" s="69"/>
      <c r="R21" s="69"/>
      <c r="S21" s="69"/>
      <c r="T21" s="26" t="s">
        <v>174</v>
      </c>
    </row>
    <row r="22" spans="2:20">
      <c r="B22" s="5">
        <f t="shared" si="0"/>
        <v>17</v>
      </c>
      <c r="C22" s="2" t="s">
        <v>175</v>
      </c>
      <c r="D22" s="3" t="s">
        <v>18</v>
      </c>
      <c r="E22" s="3" t="s">
        <v>176</v>
      </c>
      <c r="F22" s="3" t="s">
        <v>91</v>
      </c>
      <c r="H22" s="25"/>
      <c r="I22" s="25"/>
      <c r="J22" s="69" t="s">
        <v>177</v>
      </c>
      <c r="K22" s="69"/>
      <c r="L22" s="69"/>
      <c r="M22" s="69"/>
      <c r="N22" s="69"/>
      <c r="O22" s="69" t="s">
        <v>178</v>
      </c>
      <c r="P22" s="69"/>
      <c r="Q22" s="69"/>
      <c r="R22" s="69"/>
      <c r="S22" s="69"/>
      <c r="T22" s="27"/>
    </row>
    <row r="23" spans="2:20">
      <c r="B23" s="5">
        <f t="shared" si="0"/>
        <v>18</v>
      </c>
      <c r="C23" s="2" t="s">
        <v>179</v>
      </c>
      <c r="D23" s="3" t="s">
        <v>18</v>
      </c>
      <c r="E23" s="3" t="s">
        <v>180</v>
      </c>
      <c r="F23" s="3" t="s">
        <v>91</v>
      </c>
      <c r="H23" s="25"/>
      <c r="I23" s="25"/>
      <c r="J23" s="69" t="s">
        <v>181</v>
      </c>
      <c r="K23" s="69"/>
      <c r="L23" s="69"/>
      <c r="M23" s="69"/>
      <c r="N23" s="69"/>
      <c r="O23" s="69" t="s">
        <v>182</v>
      </c>
      <c r="P23" s="69"/>
      <c r="Q23" s="69"/>
      <c r="R23" s="69"/>
      <c r="S23" s="69"/>
      <c r="T23" s="27"/>
    </row>
    <row r="24" spans="2:20">
      <c r="B24" s="5">
        <f t="shared" si="0"/>
        <v>19</v>
      </c>
      <c r="C24" s="2" t="s">
        <v>183</v>
      </c>
      <c r="D24" s="3" t="s">
        <v>18</v>
      </c>
      <c r="E24" s="3" t="s">
        <v>184</v>
      </c>
      <c r="F24" s="3" t="s">
        <v>91</v>
      </c>
      <c r="H24" s="25"/>
      <c r="I24" s="25"/>
      <c r="J24" s="69" t="s">
        <v>185</v>
      </c>
      <c r="K24" s="69"/>
      <c r="L24" s="69"/>
      <c r="M24" s="69"/>
      <c r="N24" s="69"/>
      <c r="O24" s="69" t="s">
        <v>186</v>
      </c>
      <c r="P24" s="69"/>
      <c r="Q24" s="69"/>
      <c r="R24" s="69"/>
      <c r="S24" s="69"/>
      <c r="T24" s="12"/>
    </row>
    <row r="25" spans="2:20">
      <c r="B25" s="5">
        <f t="shared" si="0"/>
        <v>20</v>
      </c>
      <c r="C25" s="2" t="s">
        <v>187</v>
      </c>
      <c r="D25" s="3" t="s">
        <v>18</v>
      </c>
      <c r="E25" s="3" t="s">
        <v>188</v>
      </c>
      <c r="F25" s="3" t="s">
        <v>91</v>
      </c>
      <c r="H25" s="25"/>
      <c r="I25" s="25"/>
      <c r="J25" s="69" t="s">
        <v>189</v>
      </c>
      <c r="K25" s="69"/>
      <c r="L25" s="69"/>
      <c r="M25" s="69"/>
      <c r="N25" s="69"/>
      <c r="O25" s="69" t="s">
        <v>190</v>
      </c>
      <c r="P25" s="69"/>
      <c r="Q25" s="69"/>
      <c r="R25" s="69"/>
      <c r="S25" s="69"/>
      <c r="T25" s="12"/>
    </row>
    <row r="26" spans="2:20">
      <c r="B26" s="5">
        <f t="shared" si="0"/>
        <v>21</v>
      </c>
      <c r="C26" s="2" t="s">
        <v>191</v>
      </c>
      <c r="D26" s="3" t="s">
        <v>18</v>
      </c>
      <c r="E26" s="3" t="s">
        <v>192</v>
      </c>
      <c r="F26" s="3" t="s">
        <v>91</v>
      </c>
      <c r="H26" s="25"/>
      <c r="I26" s="25"/>
      <c r="J26" s="69" t="s">
        <v>193</v>
      </c>
      <c r="K26" s="69"/>
      <c r="L26" s="69"/>
      <c r="M26" s="69"/>
      <c r="N26" s="69"/>
      <c r="O26" s="69" t="s">
        <v>194</v>
      </c>
      <c r="P26" s="69"/>
      <c r="Q26" s="69"/>
      <c r="R26" s="69"/>
      <c r="S26" s="69"/>
      <c r="T26" s="12"/>
    </row>
    <row r="27" spans="2:20">
      <c r="B27" s="5"/>
      <c r="C27" s="21" t="s">
        <v>195</v>
      </c>
      <c r="D27" s="3" t="s">
        <v>18</v>
      </c>
      <c r="E27" s="3" t="s">
        <v>196</v>
      </c>
      <c r="F27" s="3" t="s">
        <v>413</v>
      </c>
      <c r="H27" s="22" t="s">
        <v>414</v>
      </c>
      <c r="I27" s="22" t="s">
        <v>201</v>
      </c>
      <c r="J27" s="94" t="s">
        <v>200</v>
      </c>
      <c r="K27" s="95"/>
      <c r="L27" s="28" t="s">
        <v>199</v>
      </c>
      <c r="M27" s="22" t="s">
        <v>207</v>
      </c>
      <c r="N27" s="22" t="s">
        <v>206</v>
      </c>
      <c r="O27" s="22" t="s">
        <v>208</v>
      </c>
      <c r="P27" s="22" t="s">
        <v>415</v>
      </c>
      <c r="Q27" s="22" t="s">
        <v>416</v>
      </c>
      <c r="R27" s="22" t="s">
        <v>417</v>
      </c>
      <c r="S27" s="22" t="s">
        <v>203</v>
      </c>
      <c r="T27" s="12"/>
    </row>
    <row r="28" spans="2:20">
      <c r="B28" s="5"/>
      <c r="C28" s="21" t="s">
        <v>209</v>
      </c>
      <c r="D28" s="3" t="s">
        <v>210</v>
      </c>
      <c r="E28" s="3" t="s">
        <v>211</v>
      </c>
      <c r="F28" s="3" t="s">
        <v>29</v>
      </c>
      <c r="H28" s="10" t="s">
        <v>212</v>
      </c>
      <c r="I28" s="25"/>
      <c r="J28" s="11"/>
      <c r="K28" s="11"/>
      <c r="L28" s="11"/>
      <c r="M28" s="11"/>
      <c r="N28" s="11"/>
      <c r="O28" s="11"/>
      <c r="P28" s="29" t="s">
        <v>213</v>
      </c>
      <c r="Q28" s="10" t="s">
        <v>214</v>
      </c>
      <c r="R28" s="10" t="s">
        <v>215</v>
      </c>
      <c r="S28" s="10" t="s">
        <v>216</v>
      </c>
      <c r="T28" s="12"/>
    </row>
    <row r="29" spans="2:20">
      <c r="B29" s="5"/>
      <c r="C29" s="21" t="s">
        <v>217</v>
      </c>
      <c r="D29" s="3" t="s">
        <v>18</v>
      </c>
      <c r="E29" s="3" t="s">
        <v>218</v>
      </c>
      <c r="F29" s="3" t="s">
        <v>29</v>
      </c>
      <c r="H29" s="25"/>
      <c r="I29" s="25"/>
      <c r="J29" s="11"/>
      <c r="K29" s="11"/>
      <c r="L29" s="64" t="s">
        <v>219</v>
      </c>
      <c r="M29" s="65"/>
      <c r="N29" s="65"/>
      <c r="O29" s="91"/>
      <c r="P29" s="64" t="s">
        <v>220</v>
      </c>
      <c r="Q29" s="65"/>
      <c r="R29" s="65"/>
      <c r="S29" s="91"/>
      <c r="T29" s="12"/>
    </row>
    <row r="30" spans="2:20">
      <c r="B30" s="5"/>
      <c r="C30" s="21" t="s">
        <v>221</v>
      </c>
      <c r="D30" s="3" t="s">
        <v>18</v>
      </c>
      <c r="E30" s="3" t="s">
        <v>222</v>
      </c>
      <c r="F30" s="3" t="s">
        <v>29</v>
      </c>
      <c r="H30" s="25"/>
      <c r="I30" s="25"/>
      <c r="J30" s="11"/>
      <c r="K30" s="11"/>
      <c r="L30" s="29" t="s">
        <v>223</v>
      </c>
      <c r="M30" s="29" t="s">
        <v>224</v>
      </c>
      <c r="N30" s="29" t="s">
        <v>225</v>
      </c>
      <c r="O30" s="29" t="s">
        <v>226</v>
      </c>
      <c r="P30" s="29" t="s">
        <v>227</v>
      </c>
      <c r="Q30" s="29" t="s">
        <v>228</v>
      </c>
      <c r="R30" s="29" t="s">
        <v>229</v>
      </c>
      <c r="S30" s="29" t="s">
        <v>230</v>
      </c>
      <c r="T30" s="12"/>
    </row>
    <row r="31" spans="2:20">
      <c r="B31" s="5">
        <f>B26+1</f>
        <v>22</v>
      </c>
      <c r="C31" s="2" t="s">
        <v>231</v>
      </c>
      <c r="D31" s="3" t="s">
        <v>18</v>
      </c>
      <c r="E31" s="3" t="s">
        <v>232</v>
      </c>
      <c r="F31" s="3" t="s">
        <v>233</v>
      </c>
      <c r="H31" s="69" t="s">
        <v>234</v>
      </c>
      <c r="I31" s="69"/>
      <c r="J31" s="69"/>
      <c r="K31" s="69"/>
      <c r="L31" s="69"/>
      <c r="M31" s="69"/>
      <c r="N31" s="69" t="s">
        <v>235</v>
      </c>
      <c r="O31" s="69"/>
      <c r="P31" s="69"/>
      <c r="Q31" s="69"/>
      <c r="R31" s="69"/>
      <c r="S31" s="69"/>
      <c r="T31" s="12" t="s">
        <v>236</v>
      </c>
    </row>
    <row r="32" spans="2:20">
      <c r="B32" s="5">
        <f t="shared" si="0"/>
        <v>23</v>
      </c>
      <c r="C32" s="2" t="s">
        <v>237</v>
      </c>
      <c r="D32" s="3" t="s">
        <v>18</v>
      </c>
      <c r="E32" s="3" t="s">
        <v>238</v>
      </c>
      <c r="F32" s="3" t="s">
        <v>239</v>
      </c>
      <c r="H32" s="11"/>
      <c r="I32" s="11"/>
      <c r="J32" s="11"/>
      <c r="K32" s="69" t="s">
        <v>240</v>
      </c>
      <c r="L32" s="69"/>
      <c r="M32" s="69"/>
      <c r="N32" s="69"/>
      <c r="O32" s="69"/>
      <c r="P32" s="69"/>
      <c r="Q32" s="69"/>
      <c r="R32" s="69"/>
      <c r="S32" s="69"/>
      <c r="T32" s="12" t="s">
        <v>241</v>
      </c>
    </row>
    <row r="33" spans="2:20" ht="34">
      <c r="B33" s="5">
        <f t="shared" si="0"/>
        <v>24</v>
      </c>
      <c r="C33" s="2" t="s">
        <v>242</v>
      </c>
      <c r="D33" s="3" t="s">
        <v>18</v>
      </c>
      <c r="E33" s="3" t="s">
        <v>243</v>
      </c>
      <c r="F33" s="3" t="s">
        <v>29</v>
      </c>
      <c r="H33" s="11"/>
      <c r="I33" s="11"/>
      <c r="J33" s="69" t="s">
        <v>244</v>
      </c>
      <c r="K33" s="69"/>
      <c r="L33" s="69"/>
      <c r="M33" s="69"/>
      <c r="N33" s="69"/>
      <c r="O33" s="69"/>
      <c r="P33" s="69"/>
      <c r="Q33" s="69"/>
      <c r="R33" s="69"/>
      <c r="S33" s="69"/>
      <c r="T33" s="12" t="s">
        <v>245</v>
      </c>
    </row>
    <row r="34" spans="2:20" ht="34">
      <c r="B34" s="5">
        <f t="shared" si="0"/>
        <v>25</v>
      </c>
      <c r="C34" s="2" t="s">
        <v>246</v>
      </c>
      <c r="D34" s="3" t="s">
        <v>18</v>
      </c>
      <c r="E34" s="3" t="s">
        <v>247</v>
      </c>
      <c r="F34" s="3" t="s">
        <v>29</v>
      </c>
      <c r="H34" s="10" t="s">
        <v>248</v>
      </c>
      <c r="I34" s="11"/>
      <c r="J34" s="69" t="s">
        <v>249</v>
      </c>
      <c r="K34" s="69"/>
      <c r="L34" s="69"/>
      <c r="M34" s="69"/>
      <c r="N34" s="69"/>
      <c r="O34" s="69"/>
      <c r="P34" s="69"/>
      <c r="Q34" s="69"/>
      <c r="R34" s="69"/>
      <c r="S34" s="69"/>
      <c r="T34" s="12" t="s">
        <v>245</v>
      </c>
    </row>
    <row r="35" spans="2:20">
      <c r="B35" s="5">
        <f t="shared" si="0"/>
        <v>26</v>
      </c>
      <c r="C35" s="2" t="s">
        <v>250</v>
      </c>
      <c r="D35" s="3" t="s">
        <v>18</v>
      </c>
      <c r="E35" s="3" t="s">
        <v>251</v>
      </c>
      <c r="F35" s="3" t="s">
        <v>29</v>
      </c>
      <c r="H35" s="25"/>
      <c r="I35" s="25"/>
      <c r="J35" s="69" t="s">
        <v>252</v>
      </c>
      <c r="K35" s="69"/>
      <c r="L35" s="69"/>
      <c r="M35" s="69"/>
      <c r="N35" s="69"/>
      <c r="O35" s="69"/>
      <c r="P35" s="69"/>
      <c r="Q35" s="69"/>
      <c r="R35" s="69"/>
      <c r="S35" s="69"/>
      <c r="T35" s="12" t="s">
        <v>253</v>
      </c>
    </row>
    <row r="36" spans="2:20">
      <c r="B36" s="5">
        <f t="shared" si="0"/>
        <v>27</v>
      </c>
      <c r="C36" s="2" t="s">
        <v>254</v>
      </c>
      <c r="D36" s="3" t="s">
        <v>18</v>
      </c>
      <c r="E36" s="3" t="s">
        <v>255</v>
      </c>
      <c r="F36" s="3" t="s">
        <v>256</v>
      </c>
      <c r="H36" s="25"/>
      <c r="I36" s="69" t="s">
        <v>257</v>
      </c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12" t="s">
        <v>258</v>
      </c>
    </row>
    <row r="37" spans="2:20">
      <c r="B37" s="5">
        <f t="shared" si="0"/>
        <v>28</v>
      </c>
      <c r="C37" s="2" t="s">
        <v>259</v>
      </c>
      <c r="D37" s="3" t="s">
        <v>18</v>
      </c>
      <c r="E37" s="3" t="s">
        <v>260</v>
      </c>
      <c r="F37" s="3" t="s">
        <v>29</v>
      </c>
      <c r="H37" s="69" t="s">
        <v>261</v>
      </c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12" t="s">
        <v>241</v>
      </c>
    </row>
    <row r="38" spans="2:20" ht="34">
      <c r="B38" s="5">
        <f t="shared" si="0"/>
        <v>29</v>
      </c>
      <c r="C38" s="2" t="s">
        <v>262</v>
      </c>
      <c r="D38" s="3" t="s">
        <v>18</v>
      </c>
      <c r="E38" s="3" t="s">
        <v>263</v>
      </c>
      <c r="F38" s="3" t="s">
        <v>264</v>
      </c>
      <c r="H38" s="10" t="s">
        <v>265</v>
      </c>
      <c r="I38" s="69" t="s">
        <v>266</v>
      </c>
      <c r="J38" s="69"/>
      <c r="K38" s="11"/>
      <c r="L38" s="69" t="s">
        <v>267</v>
      </c>
      <c r="M38" s="69"/>
      <c r="N38" s="69"/>
      <c r="O38" s="69"/>
      <c r="P38" s="69"/>
      <c r="Q38" s="69"/>
      <c r="R38" s="69"/>
      <c r="S38" s="69"/>
      <c r="T38" s="12" t="s">
        <v>268</v>
      </c>
    </row>
    <row r="39" spans="2:20">
      <c r="B39" s="5"/>
      <c r="H39" s="30"/>
      <c r="T39" s="12"/>
    </row>
    <row r="40" spans="2:20" ht="85">
      <c r="B40" s="5">
        <f>B38+1</f>
        <v>30</v>
      </c>
      <c r="C40" s="2" t="s">
        <v>269</v>
      </c>
      <c r="D40" s="3" t="s">
        <v>18</v>
      </c>
      <c r="E40" s="3" t="s">
        <v>270</v>
      </c>
      <c r="F40" s="3" t="s">
        <v>271</v>
      </c>
      <c r="H40" s="71" t="s">
        <v>272</v>
      </c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12" t="s">
        <v>418</v>
      </c>
    </row>
    <row r="41" spans="2:20" ht="85">
      <c r="B41" s="5">
        <f t="shared" si="0"/>
        <v>31</v>
      </c>
      <c r="C41" s="2" t="s">
        <v>274</v>
      </c>
      <c r="D41" s="3" t="s">
        <v>18</v>
      </c>
      <c r="E41" s="3" t="s">
        <v>275</v>
      </c>
      <c r="F41" s="3" t="s">
        <v>29</v>
      </c>
      <c r="H41" s="69" t="s">
        <v>276</v>
      </c>
      <c r="I41" s="69"/>
      <c r="J41" s="69"/>
      <c r="K41" s="69"/>
      <c r="L41" s="69"/>
      <c r="M41" s="69"/>
      <c r="N41" s="14" t="s">
        <v>277</v>
      </c>
      <c r="O41" s="19" t="s">
        <v>278</v>
      </c>
      <c r="P41" s="19" t="s">
        <v>279</v>
      </c>
      <c r="Q41" s="10" t="s">
        <v>280</v>
      </c>
      <c r="R41" s="10" t="s">
        <v>281</v>
      </c>
      <c r="S41" s="10" t="s">
        <v>282</v>
      </c>
      <c r="T41" s="12" t="s">
        <v>283</v>
      </c>
    </row>
    <row r="42" spans="2:20">
      <c r="B42" s="5"/>
      <c r="C42" s="31"/>
      <c r="D42" s="31"/>
      <c r="E42" s="1"/>
      <c r="F42" s="31"/>
      <c r="G42" s="3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7"/>
    </row>
    <row r="43" spans="2:20">
      <c r="B43" s="5">
        <f>B41+1</f>
        <v>32</v>
      </c>
      <c r="C43" s="2" t="s">
        <v>284</v>
      </c>
      <c r="D43" s="3" t="s">
        <v>18</v>
      </c>
      <c r="E43" s="3" t="s">
        <v>285</v>
      </c>
      <c r="F43" s="3" t="s">
        <v>29</v>
      </c>
      <c r="H43" s="11"/>
      <c r="I43" s="11"/>
      <c r="J43" s="11"/>
      <c r="K43" s="11"/>
      <c r="L43" s="11"/>
      <c r="M43" s="11"/>
      <c r="N43" s="10" t="s">
        <v>284</v>
      </c>
      <c r="O43" s="10" t="s">
        <v>286</v>
      </c>
      <c r="P43" s="10" t="s">
        <v>287</v>
      </c>
      <c r="Q43" s="10" t="s">
        <v>288</v>
      </c>
      <c r="R43" s="10" t="s">
        <v>289</v>
      </c>
      <c r="S43" s="10" t="s">
        <v>290</v>
      </c>
      <c r="T43" s="12"/>
    </row>
    <row r="44" spans="2:20">
      <c r="B44" s="5">
        <f>B43+1</f>
        <v>33</v>
      </c>
      <c r="C44" s="2" t="s">
        <v>291</v>
      </c>
      <c r="D44" s="3" t="s">
        <v>18</v>
      </c>
      <c r="E44" s="3" t="s">
        <v>292</v>
      </c>
      <c r="F44" s="3" t="s">
        <v>293</v>
      </c>
      <c r="H44" s="69" t="s">
        <v>294</v>
      </c>
      <c r="I44" s="69"/>
      <c r="J44" s="69"/>
      <c r="K44" s="69"/>
      <c r="L44" s="14" t="s">
        <v>295</v>
      </c>
      <c r="M44" s="10" t="s">
        <v>296</v>
      </c>
      <c r="N44" s="69" t="s">
        <v>297</v>
      </c>
      <c r="O44" s="69"/>
      <c r="P44" s="71" t="s">
        <v>298</v>
      </c>
      <c r="Q44" s="71"/>
      <c r="R44" s="69" t="s">
        <v>299</v>
      </c>
      <c r="S44" s="69"/>
      <c r="T44" s="12"/>
    </row>
    <row r="45" spans="2:20">
      <c r="B45" s="5">
        <f t="shared" ref="B45:B48" si="1">B44+1</f>
        <v>34</v>
      </c>
      <c r="C45" s="2" t="s">
        <v>300</v>
      </c>
      <c r="D45" s="3" t="s">
        <v>18</v>
      </c>
      <c r="E45" s="3" t="s">
        <v>301</v>
      </c>
      <c r="F45" s="3" t="s">
        <v>29</v>
      </c>
      <c r="H45" s="69" t="s">
        <v>302</v>
      </c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12"/>
    </row>
    <row r="46" spans="2:20">
      <c r="B46" s="5">
        <f t="shared" si="1"/>
        <v>35</v>
      </c>
      <c r="C46" s="2" t="s">
        <v>303</v>
      </c>
      <c r="D46" s="3" t="s">
        <v>18</v>
      </c>
      <c r="E46" s="3" t="s">
        <v>304</v>
      </c>
      <c r="F46" s="3" t="s">
        <v>305</v>
      </c>
      <c r="H46" s="10" t="s">
        <v>306</v>
      </c>
      <c r="I46" s="11"/>
      <c r="J46" s="11"/>
      <c r="K46" s="11"/>
      <c r="L46" s="11"/>
      <c r="M46" s="11"/>
      <c r="N46" s="79" t="s">
        <v>307</v>
      </c>
      <c r="O46" s="79"/>
      <c r="P46" s="69" t="s">
        <v>308</v>
      </c>
      <c r="Q46" s="69"/>
      <c r="R46" s="69"/>
      <c r="S46" s="69"/>
      <c r="T46" s="12"/>
    </row>
    <row r="47" spans="2:20">
      <c r="B47" s="5">
        <f t="shared" si="1"/>
        <v>36</v>
      </c>
      <c r="C47" s="2" t="s">
        <v>309</v>
      </c>
      <c r="D47" s="3" t="s">
        <v>18</v>
      </c>
      <c r="E47" s="3" t="s">
        <v>310</v>
      </c>
      <c r="F47" s="3" t="s">
        <v>29</v>
      </c>
      <c r="G47" s="33"/>
      <c r="H47" s="15" t="s">
        <v>311</v>
      </c>
      <c r="I47" s="16"/>
      <c r="J47" s="16"/>
      <c r="K47" s="16"/>
      <c r="L47" s="16"/>
      <c r="M47" s="79" t="s">
        <v>312</v>
      </c>
      <c r="N47" s="79"/>
      <c r="O47" s="79"/>
      <c r="P47" s="16"/>
      <c r="Q47" s="79" t="s">
        <v>313</v>
      </c>
      <c r="R47" s="79"/>
      <c r="S47" s="79"/>
      <c r="T47" s="17"/>
    </row>
    <row r="48" spans="2:20">
      <c r="B48" s="5">
        <f t="shared" si="1"/>
        <v>37</v>
      </c>
      <c r="C48" s="2" t="s">
        <v>314</v>
      </c>
      <c r="D48" s="3" t="s">
        <v>18</v>
      </c>
      <c r="E48" s="3" t="s">
        <v>315</v>
      </c>
      <c r="F48" s="3" t="s">
        <v>316</v>
      </c>
      <c r="G48" s="9"/>
      <c r="H48" s="34"/>
      <c r="I48" s="34"/>
      <c r="J48" s="34"/>
      <c r="K48" s="34"/>
      <c r="L48" s="35"/>
      <c r="M48" s="34"/>
      <c r="N48" s="35"/>
      <c r="O48" s="15" t="s">
        <v>317</v>
      </c>
      <c r="P48" s="36" t="s">
        <v>318</v>
      </c>
      <c r="Q48" s="15" t="s">
        <v>319</v>
      </c>
      <c r="R48" s="15" t="s">
        <v>320</v>
      </c>
      <c r="S48" s="15" t="s">
        <v>321</v>
      </c>
      <c r="T48" s="12" t="s">
        <v>322</v>
      </c>
    </row>
    <row r="49" spans="2:20">
      <c r="B49" s="5"/>
      <c r="T49" s="37"/>
    </row>
    <row r="50" spans="2:20">
      <c r="B50" s="5"/>
      <c r="C50" s="38" t="s">
        <v>323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37"/>
    </row>
    <row r="51" spans="2:20">
      <c r="B51" s="5"/>
    </row>
    <row r="52" spans="2:20" ht="153.5">
      <c r="B52" s="5">
        <v>1</v>
      </c>
      <c r="C52" s="2" t="s">
        <v>324</v>
      </c>
      <c r="D52" s="3" t="s">
        <v>18</v>
      </c>
      <c r="E52" s="39" t="s">
        <v>325</v>
      </c>
      <c r="F52" s="3" t="s">
        <v>29</v>
      </c>
      <c r="H52" s="10" t="s">
        <v>326</v>
      </c>
      <c r="I52" s="79" t="s">
        <v>327</v>
      </c>
      <c r="J52" s="79"/>
      <c r="K52" s="79"/>
      <c r="L52" s="71" t="s">
        <v>328</v>
      </c>
      <c r="M52" s="69"/>
      <c r="N52" s="10" t="s">
        <v>329</v>
      </c>
      <c r="O52" s="10" t="s">
        <v>330</v>
      </c>
      <c r="P52" s="14" t="s">
        <v>331</v>
      </c>
      <c r="Q52" s="14" t="s">
        <v>332</v>
      </c>
      <c r="R52" s="10" t="s">
        <v>333</v>
      </c>
      <c r="S52" s="10" t="s">
        <v>334</v>
      </c>
      <c r="T52" s="12" t="s">
        <v>335</v>
      </c>
    </row>
    <row r="53" spans="2:20">
      <c r="B53" s="5">
        <f>B52+1</f>
        <v>2</v>
      </c>
      <c r="C53" s="2" t="s">
        <v>336</v>
      </c>
      <c r="D53" s="3" t="s">
        <v>18</v>
      </c>
      <c r="E53" s="39" t="s">
        <v>337</v>
      </c>
      <c r="F53" s="3" t="s">
        <v>29</v>
      </c>
      <c r="H53" s="11"/>
      <c r="I53" s="11"/>
      <c r="J53" s="11"/>
      <c r="K53" s="11"/>
      <c r="L53" s="11"/>
      <c r="M53" s="11"/>
      <c r="N53" s="11"/>
      <c r="O53" s="11"/>
      <c r="P53" s="69" t="s">
        <v>338</v>
      </c>
      <c r="Q53" s="69"/>
      <c r="R53" s="69"/>
      <c r="S53" s="69"/>
      <c r="T53" s="40" t="s">
        <v>339</v>
      </c>
    </row>
    <row r="54" spans="2:20">
      <c r="B54" s="5">
        <f t="shared" ref="B54:B57" si="2">B53+1</f>
        <v>3</v>
      </c>
      <c r="C54" s="2" t="s">
        <v>340</v>
      </c>
      <c r="D54" s="3" t="s">
        <v>18</v>
      </c>
      <c r="E54" s="39" t="s">
        <v>341</v>
      </c>
      <c r="F54" s="3" t="s">
        <v>256</v>
      </c>
      <c r="H54" s="69" t="s">
        <v>342</v>
      </c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40" t="s">
        <v>339</v>
      </c>
    </row>
    <row r="55" spans="2:20">
      <c r="B55" s="5">
        <f t="shared" si="2"/>
        <v>4</v>
      </c>
      <c r="C55" s="2" t="s">
        <v>343</v>
      </c>
      <c r="D55" s="3" t="s">
        <v>18</v>
      </c>
      <c r="E55" s="39" t="s">
        <v>344</v>
      </c>
      <c r="F55" s="3" t="s">
        <v>345</v>
      </c>
      <c r="H55" s="11"/>
      <c r="I55" s="11"/>
      <c r="J55" s="11"/>
      <c r="K55" s="11"/>
      <c r="L55" s="11"/>
      <c r="M55" s="11"/>
      <c r="N55" s="69" t="s">
        <v>346</v>
      </c>
      <c r="O55" s="69"/>
      <c r="P55" s="69" t="s">
        <v>347</v>
      </c>
      <c r="Q55" s="69"/>
      <c r="R55" s="69"/>
      <c r="S55" s="69"/>
      <c r="T55" s="40" t="s">
        <v>339</v>
      </c>
    </row>
    <row r="56" spans="2:20">
      <c r="B56" s="5">
        <f t="shared" si="2"/>
        <v>5</v>
      </c>
      <c r="C56" s="2" t="s">
        <v>348</v>
      </c>
      <c r="D56" s="3" t="s">
        <v>18</v>
      </c>
      <c r="E56" s="39" t="s">
        <v>349</v>
      </c>
      <c r="F56" s="3" t="s">
        <v>29</v>
      </c>
      <c r="H56" s="41" t="s">
        <v>350</v>
      </c>
      <c r="I56" s="11"/>
      <c r="J56" s="11"/>
      <c r="K56" s="11"/>
      <c r="L56" s="11"/>
      <c r="M56" s="11"/>
      <c r="N56" s="11"/>
      <c r="O56" s="11"/>
      <c r="P56" s="11"/>
      <c r="Q56" s="11"/>
      <c r="R56" s="10" t="s">
        <v>351</v>
      </c>
      <c r="S56" s="10" t="s">
        <v>352</v>
      </c>
      <c r="T56" s="40">
        <v>1</v>
      </c>
    </row>
    <row r="57" spans="2:20">
      <c r="B57" s="5">
        <f t="shared" si="2"/>
        <v>6</v>
      </c>
      <c r="C57" s="2" t="s">
        <v>353</v>
      </c>
      <c r="D57" s="3" t="s">
        <v>18</v>
      </c>
      <c r="E57" s="39" t="s">
        <v>354</v>
      </c>
      <c r="F57" s="3" t="s">
        <v>355</v>
      </c>
      <c r="H57" s="69" t="s">
        <v>356</v>
      </c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42"/>
    </row>
    <row r="58" spans="2:20">
      <c r="B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42"/>
    </row>
    <row r="59" spans="2:20">
      <c r="B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42"/>
    </row>
    <row r="60" spans="2:20">
      <c r="B60" s="5"/>
      <c r="C60" s="38" t="s">
        <v>357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26"/>
    </row>
    <row r="61" spans="2:20"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6"/>
    </row>
    <row r="62" spans="2:20">
      <c r="B62" s="5">
        <v>1</v>
      </c>
      <c r="D62" s="3" t="s">
        <v>18</v>
      </c>
      <c r="E62" s="3" t="s">
        <v>19</v>
      </c>
      <c r="F62" s="3" t="s">
        <v>29</v>
      </c>
      <c r="H62" s="16"/>
      <c r="I62" s="16"/>
      <c r="J62" s="16"/>
      <c r="K62" s="16"/>
      <c r="L62" s="82" t="s">
        <v>358</v>
      </c>
      <c r="M62" s="82"/>
      <c r="N62" s="82"/>
      <c r="O62" s="82"/>
      <c r="P62" s="82"/>
      <c r="Q62" s="82"/>
      <c r="R62" s="82"/>
      <c r="S62" s="82"/>
      <c r="T62" s="26">
        <v>8</v>
      </c>
    </row>
    <row r="63" spans="2:20">
      <c r="B63" s="5">
        <f>B62+1</f>
        <v>2</v>
      </c>
      <c r="D63" s="3" t="s">
        <v>18</v>
      </c>
      <c r="E63" s="3" t="s">
        <v>28</v>
      </c>
      <c r="F63" s="3" t="s">
        <v>359</v>
      </c>
      <c r="H63" s="43"/>
      <c r="I63" s="43"/>
      <c r="J63" s="82" t="s">
        <v>360</v>
      </c>
      <c r="K63" s="83"/>
      <c r="L63" s="83"/>
      <c r="M63" s="83"/>
      <c r="N63" s="83"/>
      <c r="O63" s="82" t="s">
        <v>361</v>
      </c>
      <c r="P63" s="83"/>
      <c r="Q63" s="83"/>
      <c r="R63" s="83"/>
      <c r="S63" s="83"/>
      <c r="T63" s="26">
        <v>10</v>
      </c>
    </row>
    <row r="64" spans="2:20" s="44" customFormat="1">
      <c r="B64" s="5">
        <f t="shared" ref="B64:B91" si="3">B63+1</f>
        <v>3</v>
      </c>
      <c r="C64" s="2"/>
      <c r="D64" s="3" t="s">
        <v>18</v>
      </c>
      <c r="E64" s="3" t="s">
        <v>39</v>
      </c>
      <c r="F64" s="3" t="s">
        <v>362</v>
      </c>
      <c r="G64" s="3"/>
      <c r="H64" s="86" t="s">
        <v>363</v>
      </c>
      <c r="I64" s="87"/>
      <c r="J64" s="87"/>
      <c r="K64" s="87"/>
      <c r="L64" s="88"/>
      <c r="M64" s="16"/>
      <c r="N64" s="16"/>
      <c r="O64" s="86" t="s">
        <v>364</v>
      </c>
      <c r="P64" s="87"/>
      <c r="Q64" s="87"/>
      <c r="R64" s="87"/>
      <c r="S64" s="88"/>
      <c r="T64" s="26">
        <v>10</v>
      </c>
    </row>
    <row r="65" spans="2:20" s="44" customFormat="1">
      <c r="B65" s="5">
        <f t="shared" si="3"/>
        <v>4</v>
      </c>
      <c r="C65" s="2"/>
      <c r="D65" s="3" t="s">
        <v>18</v>
      </c>
      <c r="E65" s="3" t="s">
        <v>43</v>
      </c>
      <c r="F65" s="3" t="s">
        <v>239</v>
      </c>
      <c r="G65" s="3"/>
      <c r="H65" s="16"/>
      <c r="I65" s="16"/>
      <c r="J65" s="16"/>
      <c r="K65" s="16"/>
      <c r="L65" s="82" t="s">
        <v>365</v>
      </c>
      <c r="M65" s="82"/>
      <c r="N65" s="82"/>
      <c r="O65" s="82"/>
      <c r="P65" s="82" t="s">
        <v>366</v>
      </c>
      <c r="Q65" s="82"/>
      <c r="R65" s="82"/>
      <c r="S65" s="82"/>
      <c r="T65" s="26">
        <v>8</v>
      </c>
    </row>
    <row r="66" spans="2:20" s="44" customFormat="1">
      <c r="B66" s="5">
        <f t="shared" si="3"/>
        <v>5</v>
      </c>
      <c r="C66" s="2"/>
      <c r="D66" s="3" t="s">
        <v>18</v>
      </c>
      <c r="E66" s="3" t="s">
        <v>48</v>
      </c>
      <c r="F66" s="3" t="s">
        <v>29</v>
      </c>
      <c r="G66" s="3"/>
      <c r="H66" s="16"/>
      <c r="I66" s="16"/>
      <c r="J66" s="16"/>
      <c r="K66" s="86" t="s">
        <v>367</v>
      </c>
      <c r="L66" s="87"/>
      <c r="M66" s="87"/>
      <c r="N66" s="87"/>
      <c r="O66" s="87"/>
      <c r="P66" s="87"/>
      <c r="Q66" s="87"/>
      <c r="R66" s="87"/>
      <c r="S66" s="88"/>
      <c r="T66" s="26">
        <v>9</v>
      </c>
    </row>
    <row r="67" spans="2:20" s="44" customFormat="1">
      <c r="B67" s="5">
        <f t="shared" si="3"/>
        <v>6</v>
      </c>
      <c r="C67" s="2"/>
      <c r="D67" s="3" t="s">
        <v>18</v>
      </c>
      <c r="E67" s="3" t="s">
        <v>53</v>
      </c>
      <c r="F67" s="3" t="s">
        <v>29</v>
      </c>
      <c r="G67" s="3"/>
      <c r="H67" s="16"/>
      <c r="I67" s="16"/>
      <c r="J67" s="16"/>
      <c r="K67" s="86" t="s">
        <v>368</v>
      </c>
      <c r="L67" s="87"/>
      <c r="M67" s="87"/>
      <c r="N67" s="87"/>
      <c r="O67" s="87"/>
      <c r="P67" s="87"/>
      <c r="Q67" s="87"/>
      <c r="R67" s="87"/>
      <c r="S67" s="88"/>
      <c r="T67" s="26">
        <v>9</v>
      </c>
    </row>
    <row r="68" spans="2:20" s="44" customFormat="1">
      <c r="B68" s="5">
        <f t="shared" si="3"/>
        <v>7</v>
      </c>
      <c r="C68" s="2"/>
      <c r="D68" s="3" t="s">
        <v>18</v>
      </c>
      <c r="E68" s="3" t="s">
        <v>67</v>
      </c>
      <c r="F68" s="3" t="s">
        <v>29</v>
      </c>
      <c r="G68" s="3"/>
      <c r="H68" s="16"/>
      <c r="I68" s="16"/>
      <c r="J68" s="16"/>
      <c r="K68" s="86" t="s">
        <v>369</v>
      </c>
      <c r="L68" s="87"/>
      <c r="M68" s="87"/>
      <c r="N68" s="87"/>
      <c r="O68" s="87"/>
      <c r="P68" s="87"/>
      <c r="Q68" s="87"/>
      <c r="R68" s="87"/>
      <c r="S68" s="88"/>
      <c r="T68" s="26">
        <v>9</v>
      </c>
    </row>
    <row r="69" spans="2:20" s="44" customFormat="1">
      <c r="B69" s="5">
        <f t="shared" si="3"/>
        <v>8</v>
      </c>
      <c r="C69" s="2"/>
      <c r="D69" s="3" t="s">
        <v>18</v>
      </c>
      <c r="E69" s="3" t="s">
        <v>370</v>
      </c>
      <c r="F69" s="3" t="s">
        <v>29</v>
      </c>
      <c r="G69" s="3"/>
      <c r="H69" s="16"/>
      <c r="I69" s="16"/>
      <c r="J69" s="16"/>
      <c r="K69" s="86" t="s">
        <v>371</v>
      </c>
      <c r="L69" s="87"/>
      <c r="M69" s="87"/>
      <c r="N69" s="87"/>
      <c r="O69" s="87"/>
      <c r="P69" s="87"/>
      <c r="Q69" s="87"/>
      <c r="R69" s="87"/>
      <c r="S69" s="88"/>
      <c r="T69" s="26">
        <v>9</v>
      </c>
    </row>
    <row r="70" spans="2:20" s="44" customFormat="1">
      <c r="B70" s="5">
        <f t="shared" si="3"/>
        <v>9</v>
      </c>
      <c r="C70" s="2"/>
      <c r="D70" s="3" t="s">
        <v>18</v>
      </c>
      <c r="E70" s="3" t="s">
        <v>372</v>
      </c>
      <c r="F70" s="3" t="s">
        <v>29</v>
      </c>
      <c r="G70" s="3"/>
      <c r="H70" s="16"/>
      <c r="I70" s="16"/>
      <c r="J70" s="16"/>
      <c r="K70" s="86" t="s">
        <v>373</v>
      </c>
      <c r="L70" s="87"/>
      <c r="M70" s="87"/>
      <c r="N70" s="87"/>
      <c r="O70" s="87"/>
      <c r="P70" s="87"/>
      <c r="Q70" s="87"/>
      <c r="R70" s="87"/>
      <c r="S70" s="88"/>
      <c r="T70" s="26">
        <v>9</v>
      </c>
    </row>
    <row r="71" spans="2:20" s="44" customFormat="1">
      <c r="B71" s="5">
        <f t="shared" si="3"/>
        <v>10</v>
      </c>
      <c r="C71" s="2"/>
      <c r="D71" s="3" t="s">
        <v>18</v>
      </c>
      <c r="E71" s="3" t="s">
        <v>374</v>
      </c>
      <c r="F71" s="3" t="s">
        <v>29</v>
      </c>
      <c r="G71" s="3"/>
      <c r="H71" s="16"/>
      <c r="I71" s="16"/>
      <c r="J71" s="16"/>
      <c r="K71" s="86" t="s">
        <v>375</v>
      </c>
      <c r="L71" s="87"/>
      <c r="M71" s="87"/>
      <c r="N71" s="87"/>
      <c r="O71" s="87"/>
      <c r="P71" s="87"/>
      <c r="Q71" s="87"/>
      <c r="R71" s="87"/>
      <c r="S71" s="88"/>
      <c r="T71" s="26">
        <v>9</v>
      </c>
    </row>
    <row r="72" spans="2:20" s="44" customFormat="1">
      <c r="B72" s="5">
        <f t="shared" si="3"/>
        <v>11</v>
      </c>
      <c r="C72" s="2"/>
      <c r="D72" s="3" t="s">
        <v>18</v>
      </c>
      <c r="E72" s="3" t="s">
        <v>99</v>
      </c>
      <c r="F72" s="3" t="s">
        <v>29</v>
      </c>
      <c r="G72" s="3"/>
      <c r="H72" s="16"/>
      <c r="I72" s="16"/>
      <c r="J72" s="16"/>
      <c r="K72" s="86" t="s">
        <v>376</v>
      </c>
      <c r="L72" s="87"/>
      <c r="M72" s="87"/>
      <c r="N72" s="87"/>
      <c r="O72" s="87"/>
      <c r="P72" s="87"/>
      <c r="Q72" s="87"/>
      <c r="R72" s="87"/>
      <c r="S72" s="88"/>
      <c r="T72" s="26">
        <v>9</v>
      </c>
    </row>
    <row r="73" spans="2:20" s="44" customFormat="1">
      <c r="B73" s="5">
        <f t="shared" si="3"/>
        <v>12</v>
      </c>
      <c r="C73" s="2"/>
      <c r="D73" s="3" t="s">
        <v>18</v>
      </c>
      <c r="E73" s="3" t="s">
        <v>112</v>
      </c>
      <c r="F73" s="3" t="s">
        <v>29</v>
      </c>
      <c r="G73" s="3"/>
      <c r="H73" s="16"/>
      <c r="I73" s="16"/>
      <c r="J73" s="16"/>
      <c r="K73" s="86" t="s">
        <v>377</v>
      </c>
      <c r="L73" s="87"/>
      <c r="M73" s="87"/>
      <c r="N73" s="87"/>
      <c r="O73" s="87"/>
      <c r="P73" s="87"/>
      <c r="Q73" s="87"/>
      <c r="R73" s="87"/>
      <c r="S73" s="88"/>
      <c r="T73" s="26">
        <v>9</v>
      </c>
    </row>
    <row r="74" spans="2:20" s="44" customFormat="1">
      <c r="B74" s="5">
        <f t="shared" si="3"/>
        <v>13</v>
      </c>
      <c r="C74" s="2"/>
      <c r="D74" s="3" t="s">
        <v>18</v>
      </c>
      <c r="E74" s="3" t="s">
        <v>126</v>
      </c>
      <c r="F74" s="3" t="s">
        <v>29</v>
      </c>
      <c r="G74" s="3"/>
      <c r="H74" s="16"/>
      <c r="I74" s="16"/>
      <c r="J74" s="16"/>
      <c r="K74" s="86" t="s">
        <v>378</v>
      </c>
      <c r="L74" s="87"/>
      <c r="M74" s="87"/>
      <c r="N74" s="87"/>
      <c r="O74" s="87"/>
      <c r="P74" s="87"/>
      <c r="Q74" s="87"/>
      <c r="R74" s="87"/>
      <c r="S74" s="88"/>
      <c r="T74" s="26">
        <v>9</v>
      </c>
    </row>
    <row r="75" spans="2:20" s="44" customFormat="1">
      <c r="B75" s="5">
        <f t="shared" si="3"/>
        <v>14</v>
      </c>
      <c r="C75" s="2"/>
      <c r="D75" s="3" t="s">
        <v>18</v>
      </c>
      <c r="E75" s="3" t="s">
        <v>140</v>
      </c>
      <c r="F75" s="3" t="s">
        <v>29</v>
      </c>
      <c r="G75" s="3"/>
      <c r="H75" s="16"/>
      <c r="I75" s="16"/>
      <c r="J75" s="16"/>
      <c r="K75" s="86" t="s">
        <v>379</v>
      </c>
      <c r="L75" s="87"/>
      <c r="M75" s="87"/>
      <c r="N75" s="87"/>
      <c r="O75" s="87"/>
      <c r="P75" s="87"/>
      <c r="Q75" s="87"/>
      <c r="R75" s="87"/>
      <c r="S75" s="88"/>
      <c r="T75" s="26">
        <v>9</v>
      </c>
    </row>
    <row r="76" spans="2:20" s="44" customFormat="1">
      <c r="B76" s="5">
        <f t="shared" si="3"/>
        <v>15</v>
      </c>
      <c r="C76" s="2"/>
      <c r="D76" s="3" t="s">
        <v>18</v>
      </c>
      <c r="E76" s="3" t="s">
        <v>146</v>
      </c>
      <c r="F76" s="3" t="s">
        <v>29</v>
      </c>
      <c r="G76" s="2"/>
      <c r="H76" s="16"/>
      <c r="I76" s="16"/>
      <c r="J76" s="16"/>
      <c r="K76" s="86" t="s">
        <v>380</v>
      </c>
      <c r="L76" s="87"/>
      <c r="M76" s="87"/>
      <c r="N76" s="87"/>
      <c r="O76" s="87"/>
      <c r="P76" s="87"/>
      <c r="Q76" s="87"/>
      <c r="R76" s="87"/>
      <c r="S76" s="88"/>
      <c r="T76" s="26">
        <v>9</v>
      </c>
    </row>
    <row r="77" spans="2:20" s="44" customFormat="1">
      <c r="B77" s="5">
        <f t="shared" si="3"/>
        <v>16</v>
      </c>
      <c r="C77" s="2"/>
      <c r="D77" s="3" t="s">
        <v>18</v>
      </c>
      <c r="E77" s="3" t="s">
        <v>150</v>
      </c>
      <c r="F77" s="3" t="s">
        <v>29</v>
      </c>
      <c r="G77" s="3"/>
      <c r="H77" s="16"/>
      <c r="I77" s="16"/>
      <c r="J77" s="16"/>
      <c r="K77" s="86" t="s">
        <v>381</v>
      </c>
      <c r="L77" s="87"/>
      <c r="M77" s="87"/>
      <c r="N77" s="87"/>
      <c r="O77" s="87"/>
      <c r="P77" s="87"/>
      <c r="Q77" s="87"/>
      <c r="R77" s="87"/>
      <c r="S77" s="88"/>
      <c r="T77" s="26">
        <v>9</v>
      </c>
    </row>
    <row r="78" spans="2:20" s="44" customFormat="1">
      <c r="B78" s="5">
        <f t="shared" si="3"/>
        <v>17</v>
      </c>
      <c r="C78" s="2"/>
      <c r="D78" s="3" t="s">
        <v>18</v>
      </c>
      <c r="E78" s="3" t="s">
        <v>153</v>
      </c>
      <c r="F78" s="3" t="s">
        <v>382</v>
      </c>
      <c r="G78" s="3"/>
      <c r="H78" s="16"/>
      <c r="I78" s="16"/>
      <c r="J78" s="16"/>
      <c r="K78" s="16"/>
      <c r="L78" s="16"/>
      <c r="M78" s="86" t="s">
        <v>383</v>
      </c>
      <c r="N78" s="87"/>
      <c r="O78" s="87"/>
      <c r="P78" s="87"/>
      <c r="Q78" s="87"/>
      <c r="R78" s="87"/>
      <c r="S78" s="88"/>
      <c r="T78" s="26">
        <v>7</v>
      </c>
    </row>
    <row r="79" spans="2:20" s="44" customFormat="1">
      <c r="B79" s="5">
        <f t="shared" si="3"/>
        <v>18</v>
      </c>
      <c r="C79" s="2"/>
      <c r="D79" s="3" t="s">
        <v>18</v>
      </c>
      <c r="E79" s="3" t="s">
        <v>384</v>
      </c>
      <c r="F79" s="3" t="s">
        <v>382</v>
      </c>
      <c r="G79" s="3"/>
      <c r="H79" s="16"/>
      <c r="I79" s="16"/>
      <c r="J79" s="16"/>
      <c r="K79" s="16"/>
      <c r="L79" s="16"/>
      <c r="M79" s="86" t="s">
        <v>385</v>
      </c>
      <c r="N79" s="87"/>
      <c r="O79" s="87"/>
      <c r="P79" s="87"/>
      <c r="Q79" s="87"/>
      <c r="R79" s="87"/>
      <c r="S79" s="88"/>
      <c r="T79" s="26">
        <v>7</v>
      </c>
    </row>
    <row r="80" spans="2:20" s="44" customFormat="1">
      <c r="B80" s="5">
        <f t="shared" si="3"/>
        <v>19</v>
      </c>
      <c r="C80" s="2"/>
      <c r="D80" s="3" t="s">
        <v>18</v>
      </c>
      <c r="E80" s="3" t="s">
        <v>386</v>
      </c>
      <c r="F80" s="3" t="s">
        <v>387</v>
      </c>
      <c r="G80" s="3"/>
      <c r="H80" s="16"/>
      <c r="I80" s="16"/>
      <c r="J80" s="16"/>
      <c r="K80" s="16"/>
      <c r="L80" s="16"/>
      <c r="M80" s="86" t="s">
        <v>388</v>
      </c>
      <c r="N80" s="87"/>
      <c r="O80" s="87"/>
      <c r="P80" s="87"/>
      <c r="Q80" s="87"/>
      <c r="R80" s="87"/>
      <c r="S80" s="88"/>
      <c r="T80" s="26">
        <v>7</v>
      </c>
    </row>
    <row r="81" spans="1:21" s="44" customFormat="1">
      <c r="B81" s="5">
        <f t="shared" si="3"/>
        <v>20</v>
      </c>
      <c r="C81" s="2"/>
      <c r="D81" s="3" t="s">
        <v>18</v>
      </c>
      <c r="E81" s="3" t="s">
        <v>389</v>
      </c>
      <c r="F81" s="3" t="s">
        <v>387</v>
      </c>
      <c r="G81" s="3"/>
      <c r="H81" s="16"/>
      <c r="I81" s="16"/>
      <c r="J81" s="16"/>
      <c r="K81" s="16"/>
      <c r="L81" s="16"/>
      <c r="M81" s="86" t="s">
        <v>390</v>
      </c>
      <c r="N81" s="87"/>
      <c r="O81" s="87"/>
      <c r="P81" s="87"/>
      <c r="Q81" s="87"/>
      <c r="R81" s="87"/>
      <c r="S81" s="88"/>
      <c r="T81" s="26">
        <v>7</v>
      </c>
    </row>
    <row r="82" spans="1:21" s="44" customFormat="1">
      <c r="A82" s="44" t="s">
        <v>391</v>
      </c>
      <c r="B82" s="5">
        <f t="shared" si="3"/>
        <v>21</v>
      </c>
      <c r="C82" s="2"/>
      <c r="D82" s="3" t="s">
        <v>18</v>
      </c>
      <c r="E82" s="3" t="s">
        <v>392</v>
      </c>
      <c r="F82" s="3" t="s">
        <v>387</v>
      </c>
      <c r="G82" s="3"/>
      <c r="H82" s="16"/>
      <c r="I82" s="16"/>
      <c r="J82" s="16"/>
      <c r="K82" s="16"/>
      <c r="L82" s="16"/>
      <c r="M82" s="86" t="s">
        <v>393</v>
      </c>
      <c r="N82" s="87"/>
      <c r="O82" s="87"/>
      <c r="P82" s="87"/>
      <c r="Q82" s="87"/>
      <c r="R82" s="87"/>
      <c r="S82" s="88"/>
      <c r="T82" s="26">
        <v>7</v>
      </c>
    </row>
    <row r="83" spans="1:21" s="44" customFormat="1">
      <c r="B83" s="5">
        <f t="shared" si="3"/>
        <v>22</v>
      </c>
      <c r="C83" s="2"/>
      <c r="D83" s="3" t="s">
        <v>18</v>
      </c>
      <c r="E83" s="3" t="s">
        <v>394</v>
      </c>
      <c r="F83" s="3" t="s">
        <v>387</v>
      </c>
      <c r="G83" s="3"/>
      <c r="H83" s="16"/>
      <c r="I83" s="16"/>
      <c r="J83" s="16"/>
      <c r="K83" s="16"/>
      <c r="L83" s="16"/>
      <c r="M83" s="86" t="s">
        <v>395</v>
      </c>
      <c r="N83" s="87"/>
      <c r="O83" s="87"/>
      <c r="P83" s="87"/>
      <c r="Q83" s="87"/>
      <c r="R83" s="87"/>
      <c r="S83" s="88"/>
      <c r="T83" s="26">
        <v>7</v>
      </c>
    </row>
    <row r="84" spans="1:21" s="44" customFormat="1">
      <c r="B84" s="5">
        <f t="shared" si="3"/>
        <v>23</v>
      </c>
      <c r="C84" s="2"/>
      <c r="D84" s="3" t="s">
        <v>18</v>
      </c>
      <c r="E84" s="3" t="s">
        <v>396</v>
      </c>
      <c r="F84" s="3" t="s">
        <v>387</v>
      </c>
      <c r="G84" s="3"/>
      <c r="H84" s="16"/>
      <c r="I84" s="16"/>
      <c r="J84" s="16"/>
      <c r="K84" s="16"/>
      <c r="L84" s="16"/>
      <c r="M84" s="86" t="s">
        <v>397</v>
      </c>
      <c r="N84" s="87"/>
      <c r="O84" s="87"/>
      <c r="P84" s="87"/>
      <c r="Q84" s="87"/>
      <c r="R84" s="87"/>
      <c r="S84" s="88"/>
      <c r="T84" s="26">
        <v>7</v>
      </c>
    </row>
    <row r="85" spans="1:21" s="44" customFormat="1">
      <c r="B85" s="5">
        <f t="shared" si="3"/>
        <v>24</v>
      </c>
      <c r="C85" s="2"/>
      <c r="D85" s="3" t="s">
        <v>18</v>
      </c>
      <c r="E85" s="3" t="s">
        <v>398</v>
      </c>
      <c r="F85" s="3" t="s">
        <v>387</v>
      </c>
      <c r="G85" s="3"/>
      <c r="H85" s="16"/>
      <c r="I85" s="16"/>
      <c r="J85" s="16"/>
      <c r="K85" s="16"/>
      <c r="L85" s="16"/>
      <c r="M85" s="86" t="s">
        <v>399</v>
      </c>
      <c r="N85" s="87"/>
      <c r="O85" s="87"/>
      <c r="P85" s="87"/>
      <c r="Q85" s="87"/>
      <c r="R85" s="87"/>
      <c r="S85" s="88"/>
      <c r="T85" s="26">
        <v>7</v>
      </c>
    </row>
    <row r="86" spans="1:21">
      <c r="B86" s="5">
        <f t="shared" si="3"/>
        <v>25</v>
      </c>
      <c r="D86" s="3" t="s">
        <v>18</v>
      </c>
      <c r="E86" s="3" t="s">
        <v>196</v>
      </c>
      <c r="F86" s="3" t="s">
        <v>387</v>
      </c>
      <c r="H86" s="16"/>
      <c r="I86" s="16"/>
      <c r="J86" s="16"/>
      <c r="K86" s="16"/>
      <c r="L86" s="16"/>
      <c r="M86" s="86" t="s">
        <v>400</v>
      </c>
      <c r="N86" s="87"/>
      <c r="O86" s="87"/>
      <c r="P86" s="87"/>
      <c r="Q86" s="87"/>
      <c r="R86" s="87"/>
      <c r="S86" s="88"/>
      <c r="T86" s="26">
        <v>7</v>
      </c>
    </row>
    <row r="87" spans="1:21">
      <c r="B87" s="5">
        <f t="shared" si="3"/>
        <v>26</v>
      </c>
      <c r="D87" s="3" t="s">
        <v>18</v>
      </c>
      <c r="E87" s="3" t="s">
        <v>211</v>
      </c>
      <c r="F87" s="3" t="s">
        <v>387</v>
      </c>
      <c r="H87" s="16"/>
      <c r="I87" s="16"/>
      <c r="J87" s="16"/>
      <c r="K87" s="16"/>
      <c r="L87" s="16"/>
      <c r="M87" s="86" t="s">
        <v>401</v>
      </c>
      <c r="N87" s="87"/>
      <c r="O87" s="87"/>
      <c r="P87" s="87"/>
      <c r="Q87" s="87"/>
      <c r="R87" s="87"/>
      <c r="S87" s="88"/>
      <c r="T87" s="26">
        <v>7</v>
      </c>
    </row>
    <row r="88" spans="1:21">
      <c r="B88" s="5">
        <f t="shared" si="3"/>
        <v>27</v>
      </c>
      <c r="D88" s="3" t="s">
        <v>18</v>
      </c>
      <c r="E88" s="3" t="s">
        <v>218</v>
      </c>
      <c r="F88" s="3" t="s">
        <v>387</v>
      </c>
      <c r="H88" s="16"/>
      <c r="I88" s="16"/>
      <c r="J88" s="16"/>
      <c r="K88" s="16"/>
      <c r="L88" s="16"/>
      <c r="M88" s="86" t="s">
        <v>402</v>
      </c>
      <c r="N88" s="87"/>
      <c r="O88" s="87"/>
      <c r="P88" s="87"/>
      <c r="Q88" s="87"/>
      <c r="R88" s="87"/>
      <c r="S88" s="88"/>
      <c r="T88" s="26">
        <v>7</v>
      </c>
      <c r="U88" s="3"/>
    </row>
    <row r="89" spans="1:21">
      <c r="B89" s="5">
        <f t="shared" si="3"/>
        <v>28</v>
      </c>
      <c r="D89" s="3" t="s">
        <v>18</v>
      </c>
      <c r="E89" s="3" t="s">
        <v>222</v>
      </c>
      <c r="F89" s="3" t="s">
        <v>387</v>
      </c>
      <c r="H89" s="16"/>
      <c r="I89" s="16"/>
      <c r="J89" s="16"/>
      <c r="K89" s="16"/>
      <c r="L89" s="16"/>
      <c r="M89" s="86" t="s">
        <v>403</v>
      </c>
      <c r="N89" s="87"/>
      <c r="O89" s="87"/>
      <c r="P89" s="87"/>
      <c r="Q89" s="87"/>
      <c r="R89" s="87"/>
      <c r="S89" s="88"/>
      <c r="T89" s="26">
        <v>7</v>
      </c>
      <c r="U89" s="3"/>
    </row>
    <row r="90" spans="1:21">
      <c r="B90" s="5">
        <f t="shared" si="3"/>
        <v>29</v>
      </c>
      <c r="D90" s="3" t="s">
        <v>18</v>
      </c>
      <c r="E90" s="3" t="s">
        <v>232</v>
      </c>
      <c r="F90" s="3" t="s">
        <v>29</v>
      </c>
      <c r="H90" s="82" t="s">
        <v>404</v>
      </c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26">
        <v>12</v>
      </c>
    </row>
    <row r="91" spans="1:21" s="4" customFormat="1">
      <c r="A91" s="1"/>
      <c r="B91" s="5">
        <f t="shared" si="3"/>
        <v>30</v>
      </c>
      <c r="C91" s="2"/>
      <c r="D91" s="3" t="s">
        <v>18</v>
      </c>
      <c r="E91" s="3" t="s">
        <v>238</v>
      </c>
      <c r="F91" s="3" t="s">
        <v>29</v>
      </c>
      <c r="G91" s="3"/>
      <c r="H91" s="90" t="s">
        <v>405</v>
      </c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26">
        <v>12</v>
      </c>
      <c r="U91" s="1"/>
    </row>
    <row r="92" spans="1:21">
      <c r="T92" s="26">
        <f>SUM(T62:T91)</f>
        <v>252</v>
      </c>
    </row>
  </sheetData>
  <mergeCells count="97">
    <mergeCell ref="H7:O7"/>
    <mergeCell ref="P7:S7"/>
    <mergeCell ref="P29:S29"/>
    <mergeCell ref="L29:O29"/>
    <mergeCell ref="O3:S3"/>
    <mergeCell ref="H4:M4"/>
    <mergeCell ref="N5:S5"/>
    <mergeCell ref="H6:K6"/>
    <mergeCell ref="L6:S6"/>
    <mergeCell ref="H19:S19"/>
    <mergeCell ref="I9:J9"/>
    <mergeCell ref="K9:L9"/>
    <mergeCell ref="K10:M10"/>
    <mergeCell ref="N10:P10"/>
    <mergeCell ref="Q10:S10"/>
    <mergeCell ref="K11:M11"/>
    <mergeCell ref="N11:P11"/>
    <mergeCell ref="Q11:S11"/>
    <mergeCell ref="H16:K16"/>
    <mergeCell ref="L16:O16"/>
    <mergeCell ref="P16:S16"/>
    <mergeCell ref="H17:S17"/>
    <mergeCell ref="H18:S18"/>
    <mergeCell ref="J21:N21"/>
    <mergeCell ref="O21:S21"/>
    <mergeCell ref="J22:N22"/>
    <mergeCell ref="O22:S22"/>
    <mergeCell ref="J23:N23"/>
    <mergeCell ref="O23:S23"/>
    <mergeCell ref="J24:N24"/>
    <mergeCell ref="O24:S24"/>
    <mergeCell ref="J25:N25"/>
    <mergeCell ref="O25:S25"/>
    <mergeCell ref="J26:N26"/>
    <mergeCell ref="O26:S26"/>
    <mergeCell ref="I38:J38"/>
    <mergeCell ref="L38:S38"/>
    <mergeCell ref="J27:K27"/>
    <mergeCell ref="H31:M31"/>
    <mergeCell ref="N31:S31"/>
    <mergeCell ref="K32:S32"/>
    <mergeCell ref="J33:S33"/>
    <mergeCell ref="J34:S34"/>
    <mergeCell ref="J35:S35"/>
    <mergeCell ref="I36:S36"/>
    <mergeCell ref="H37:S37"/>
    <mergeCell ref="H40:S40"/>
    <mergeCell ref="H41:M41"/>
    <mergeCell ref="H44:K44"/>
    <mergeCell ref="N44:O44"/>
    <mergeCell ref="P44:Q44"/>
    <mergeCell ref="R44:S44"/>
    <mergeCell ref="L62:S62"/>
    <mergeCell ref="H45:S45"/>
    <mergeCell ref="N46:O46"/>
    <mergeCell ref="P46:S46"/>
    <mergeCell ref="M47:O47"/>
    <mergeCell ref="Q47:S47"/>
    <mergeCell ref="I52:K52"/>
    <mergeCell ref="L52:M52"/>
    <mergeCell ref="P53:S53"/>
    <mergeCell ref="H54:S54"/>
    <mergeCell ref="N55:O55"/>
    <mergeCell ref="P55:S55"/>
    <mergeCell ref="H57:S57"/>
    <mergeCell ref="K71:S71"/>
    <mergeCell ref="J63:N63"/>
    <mergeCell ref="O63:S63"/>
    <mergeCell ref="H64:L64"/>
    <mergeCell ref="O64:S64"/>
    <mergeCell ref="L65:O65"/>
    <mergeCell ref="P65:S65"/>
    <mergeCell ref="K66:S66"/>
    <mergeCell ref="K67:S67"/>
    <mergeCell ref="K68:S68"/>
    <mergeCell ref="K69:S69"/>
    <mergeCell ref="K70:S70"/>
    <mergeCell ref="M83:S83"/>
    <mergeCell ref="K72:S72"/>
    <mergeCell ref="K73:S73"/>
    <mergeCell ref="K74:S74"/>
    <mergeCell ref="K75:S75"/>
    <mergeCell ref="K76:S76"/>
    <mergeCell ref="K77:S77"/>
    <mergeCell ref="M78:S78"/>
    <mergeCell ref="M79:S79"/>
    <mergeCell ref="M80:S80"/>
    <mergeCell ref="M81:S81"/>
    <mergeCell ref="M82:S82"/>
    <mergeCell ref="H90:S90"/>
    <mergeCell ref="H91:S91"/>
    <mergeCell ref="M84:S84"/>
    <mergeCell ref="M85:S85"/>
    <mergeCell ref="M86:S86"/>
    <mergeCell ref="M87:S87"/>
    <mergeCell ref="M88:S88"/>
    <mergeCell ref="M89:S89"/>
  </mergeCells>
  <phoneticPr fontId="2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현정재( HYUN Jeongjae ) 전원구동반도체팀 / 1628630@mobis.com / 본 문서는 현대모비스의 대외비 정보자산이므로 무단 전재 및 복제할 수 없으며, 위반 시 당사 사규 및 관련 법규에 의해 제재될 수 있습니다. 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DC03-480E-4AC6-B890-8971C9F36EE5}">
  <sheetPr>
    <tabColor rgb="FF0000FF"/>
  </sheetPr>
  <dimension ref="A1:U92"/>
  <sheetViews>
    <sheetView showGridLines="0" zoomScale="55" zoomScaleNormal="55" workbookViewId="0">
      <selection activeCell="T3" sqref="T3"/>
    </sheetView>
  </sheetViews>
  <sheetFormatPr defaultColWidth="8.58203125" defaultRowHeight="17"/>
  <cols>
    <col min="1" max="1" width="8.58203125" style="1" customWidth="1"/>
    <col min="2" max="2" width="3.08203125" style="1" bestFit="1" customWidth="1"/>
    <col min="3" max="3" width="19.9140625" style="2" bestFit="1" customWidth="1"/>
    <col min="4" max="4" width="6.4140625" style="3" bestFit="1" customWidth="1"/>
    <col min="5" max="5" width="10.08203125" style="3" bestFit="1" customWidth="1"/>
    <col min="6" max="6" width="6.9140625" style="3" bestFit="1" customWidth="1"/>
    <col min="7" max="7" width="1.58203125" style="3" customWidth="1"/>
    <col min="8" max="8" width="16.4140625" style="3" bestFit="1" customWidth="1"/>
    <col min="9" max="9" width="19" style="3" customWidth="1"/>
    <col min="10" max="10" width="13.58203125" style="3" bestFit="1" customWidth="1"/>
    <col min="11" max="11" width="12.58203125" style="3" bestFit="1" customWidth="1"/>
    <col min="12" max="12" width="21" style="3" customWidth="1"/>
    <col min="13" max="13" width="21.9140625" style="3" customWidth="1"/>
    <col min="14" max="14" width="19.9140625" style="3" customWidth="1"/>
    <col min="15" max="15" width="21.58203125" style="3" customWidth="1"/>
    <col min="16" max="16" width="22.1640625" style="3" customWidth="1"/>
    <col min="17" max="17" width="22.08203125" style="3" customWidth="1"/>
    <col min="18" max="18" width="21.58203125" style="3" customWidth="1"/>
    <col min="19" max="19" width="22.58203125" style="3" customWidth="1"/>
    <col min="20" max="20" width="83.1640625" style="4" bestFit="1" customWidth="1"/>
    <col min="21" max="21" width="8.58203125" style="1" customWidth="1"/>
    <col min="22" max="16384" width="8.58203125" style="1"/>
  </cols>
  <sheetData>
    <row r="1" spans="2:20">
      <c r="D1" s="2"/>
      <c r="E1" s="2"/>
      <c r="F1" s="2"/>
    </row>
    <row r="2" spans="2:20">
      <c r="B2" s="5"/>
      <c r="C2" s="6" t="s">
        <v>0</v>
      </c>
      <c r="D2" s="7" t="s">
        <v>1</v>
      </c>
      <c r="E2" s="7" t="s">
        <v>2</v>
      </c>
      <c r="F2" s="7" t="s">
        <v>3</v>
      </c>
      <c r="G2" s="7"/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8" t="s">
        <v>16</v>
      </c>
    </row>
    <row r="3" spans="2:20" ht="85">
      <c r="B3" s="5">
        <v>1</v>
      </c>
      <c r="C3" s="2" t="s">
        <v>17</v>
      </c>
      <c r="D3" s="3" t="s">
        <v>18</v>
      </c>
      <c r="E3" s="3" t="s">
        <v>19</v>
      </c>
      <c r="F3" s="9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1"/>
      <c r="M3" s="11"/>
      <c r="N3" s="11"/>
      <c r="O3" s="63" t="s">
        <v>25</v>
      </c>
      <c r="P3" s="63"/>
      <c r="Q3" s="63"/>
      <c r="R3" s="63"/>
      <c r="S3" s="63"/>
      <c r="T3" s="12" t="s">
        <v>26</v>
      </c>
    </row>
    <row r="4" spans="2:20" ht="101.4" customHeight="1">
      <c r="B4" s="5">
        <f>B3+1</f>
        <v>2</v>
      </c>
      <c r="C4" s="2" t="s">
        <v>27</v>
      </c>
      <c r="D4" s="3" t="s">
        <v>18</v>
      </c>
      <c r="E4" s="3" t="s">
        <v>28</v>
      </c>
      <c r="F4" s="3" t="s">
        <v>29</v>
      </c>
      <c r="H4" s="64" t="s">
        <v>30</v>
      </c>
      <c r="I4" s="65"/>
      <c r="J4" s="65"/>
      <c r="K4" s="65"/>
      <c r="L4" s="65"/>
      <c r="M4" s="65"/>
      <c r="N4" s="13" t="s">
        <v>31</v>
      </c>
      <c r="O4" s="14" t="s">
        <v>32</v>
      </c>
      <c r="P4" s="13" t="s">
        <v>33</v>
      </c>
      <c r="Q4" s="15" t="s">
        <v>34</v>
      </c>
      <c r="R4" s="15" t="s">
        <v>35</v>
      </c>
      <c r="S4" s="13" t="s">
        <v>36</v>
      </c>
      <c r="T4" s="12" t="s">
        <v>37</v>
      </c>
    </row>
    <row r="5" spans="2:20">
      <c r="B5" s="5">
        <f t="shared" ref="B5:B41" si="0">B4+1</f>
        <v>3</v>
      </c>
      <c r="C5" s="2" t="s">
        <v>38</v>
      </c>
      <c r="D5" s="3" t="s">
        <v>18</v>
      </c>
      <c r="E5" s="3" t="s">
        <v>39</v>
      </c>
      <c r="F5" s="3" t="s">
        <v>29</v>
      </c>
      <c r="H5" s="16"/>
      <c r="I5" s="16"/>
      <c r="J5" s="16"/>
      <c r="K5" s="16"/>
      <c r="L5" s="16"/>
      <c r="M5" s="16"/>
      <c r="N5" s="66" t="s">
        <v>40</v>
      </c>
      <c r="O5" s="92"/>
      <c r="P5" s="92"/>
      <c r="Q5" s="92"/>
      <c r="R5" s="92"/>
      <c r="S5" s="93"/>
      <c r="T5" s="1" t="s">
        <v>41</v>
      </c>
    </row>
    <row r="6" spans="2:20">
      <c r="B6" s="5">
        <f t="shared" si="0"/>
        <v>4</v>
      </c>
      <c r="C6" s="2" t="s">
        <v>42</v>
      </c>
      <c r="D6" s="3" t="s">
        <v>18</v>
      </c>
      <c r="E6" s="3" t="s">
        <v>43</v>
      </c>
      <c r="F6" s="3" t="s">
        <v>29</v>
      </c>
      <c r="H6" s="69" t="s">
        <v>44</v>
      </c>
      <c r="I6" s="69"/>
      <c r="J6" s="69"/>
      <c r="K6" s="69"/>
      <c r="L6" s="69" t="s">
        <v>45</v>
      </c>
      <c r="M6" s="69"/>
      <c r="N6" s="69"/>
      <c r="O6" s="69"/>
      <c r="P6" s="69"/>
      <c r="Q6" s="69"/>
      <c r="R6" s="69"/>
      <c r="S6" s="69"/>
      <c r="T6" s="17" t="s">
        <v>46</v>
      </c>
    </row>
    <row r="7" spans="2:20">
      <c r="B7" s="5">
        <f t="shared" si="0"/>
        <v>5</v>
      </c>
      <c r="C7" s="2" t="s">
        <v>47</v>
      </c>
      <c r="D7" s="3" t="s">
        <v>18</v>
      </c>
      <c r="E7" s="3" t="s">
        <v>48</v>
      </c>
      <c r="F7" s="3" t="s">
        <v>29</v>
      </c>
      <c r="H7" s="69" t="s">
        <v>49</v>
      </c>
      <c r="I7" s="69"/>
      <c r="J7" s="69"/>
      <c r="K7" s="69"/>
      <c r="L7" s="69"/>
      <c r="M7" s="69"/>
      <c r="N7" s="69"/>
      <c r="O7" s="69"/>
      <c r="P7" s="69" t="s">
        <v>50</v>
      </c>
      <c r="Q7" s="69"/>
      <c r="R7" s="69"/>
      <c r="S7" s="69"/>
      <c r="T7" s="18" t="s">
        <v>51</v>
      </c>
    </row>
    <row r="8" spans="2:20">
      <c r="B8" s="5">
        <f t="shared" si="0"/>
        <v>6</v>
      </c>
      <c r="C8" s="2" t="s">
        <v>52</v>
      </c>
      <c r="D8" s="3" t="s">
        <v>18</v>
      </c>
      <c r="E8" s="3" t="s">
        <v>53</v>
      </c>
      <c r="F8" s="3" t="s">
        <v>29</v>
      </c>
      <c r="H8" s="19" t="s">
        <v>54</v>
      </c>
      <c r="I8" s="19" t="s">
        <v>55</v>
      </c>
      <c r="J8" s="19" t="s">
        <v>56</v>
      </c>
      <c r="K8" s="19" t="s">
        <v>57</v>
      </c>
      <c r="L8" s="19" t="s">
        <v>58</v>
      </c>
      <c r="M8" s="19" t="s">
        <v>59</v>
      </c>
      <c r="N8" s="19" t="s">
        <v>60</v>
      </c>
      <c r="O8" s="19" t="s">
        <v>61</v>
      </c>
      <c r="P8" s="19" t="s">
        <v>62</v>
      </c>
      <c r="Q8" s="19" t="s">
        <v>63</v>
      </c>
      <c r="R8" s="19" t="s">
        <v>64</v>
      </c>
      <c r="S8" s="19" t="s">
        <v>65</v>
      </c>
      <c r="T8" s="20"/>
    </row>
    <row r="9" spans="2:20" ht="68">
      <c r="B9" s="5">
        <f t="shared" si="0"/>
        <v>7</v>
      </c>
      <c r="C9" s="21" t="s">
        <v>66</v>
      </c>
      <c r="D9" s="3" t="s">
        <v>18</v>
      </c>
      <c r="E9" s="3" t="s">
        <v>67</v>
      </c>
      <c r="F9" s="3" t="s">
        <v>406</v>
      </c>
      <c r="H9" s="22"/>
      <c r="I9" s="96" t="s">
        <v>69</v>
      </c>
      <c r="J9" s="96"/>
      <c r="K9" s="97" t="s">
        <v>70</v>
      </c>
      <c r="L9" s="95"/>
      <c r="M9" s="22" t="s">
        <v>71</v>
      </c>
      <c r="N9" s="22" t="s">
        <v>198</v>
      </c>
      <c r="O9" s="22" t="s">
        <v>72</v>
      </c>
      <c r="P9" s="22" t="s">
        <v>73</v>
      </c>
      <c r="Q9" s="22" t="s">
        <v>74</v>
      </c>
      <c r="R9" s="22" t="s">
        <v>75</v>
      </c>
      <c r="S9" s="22" t="s">
        <v>76</v>
      </c>
      <c r="T9" s="20" t="s">
        <v>77</v>
      </c>
    </row>
    <row r="10" spans="2:20">
      <c r="B10" s="5">
        <f>B9+1</f>
        <v>8</v>
      </c>
      <c r="C10" s="2" t="s">
        <v>78</v>
      </c>
      <c r="D10" s="3" t="s">
        <v>18</v>
      </c>
      <c r="E10" s="3" t="s">
        <v>79</v>
      </c>
      <c r="F10" s="3" t="s">
        <v>29</v>
      </c>
      <c r="H10" s="23"/>
      <c r="I10" s="23"/>
      <c r="J10" s="23"/>
      <c r="K10" s="73" t="s">
        <v>80</v>
      </c>
      <c r="L10" s="73"/>
      <c r="M10" s="73"/>
      <c r="N10" s="73" t="s">
        <v>81</v>
      </c>
      <c r="O10" s="73"/>
      <c r="P10" s="73"/>
      <c r="Q10" s="73" t="s">
        <v>82</v>
      </c>
      <c r="R10" s="73"/>
      <c r="S10" s="73"/>
      <c r="T10" s="12"/>
    </row>
    <row r="11" spans="2:20" ht="17.149999999999999" customHeight="1">
      <c r="B11" s="5">
        <f t="shared" si="0"/>
        <v>9</v>
      </c>
      <c r="C11" s="2" t="s">
        <v>83</v>
      </c>
      <c r="D11" s="3" t="s">
        <v>18</v>
      </c>
      <c r="E11" s="3" t="s">
        <v>84</v>
      </c>
      <c r="F11" s="3" t="s">
        <v>29</v>
      </c>
      <c r="H11" s="23"/>
      <c r="I11" s="23"/>
      <c r="J11" s="23"/>
      <c r="K11" s="73" t="s">
        <v>85</v>
      </c>
      <c r="L11" s="73"/>
      <c r="M11" s="73"/>
      <c r="N11" s="73" t="s">
        <v>86</v>
      </c>
      <c r="O11" s="73"/>
      <c r="P11" s="73"/>
      <c r="Q11" s="73" t="s">
        <v>87</v>
      </c>
      <c r="R11" s="73"/>
      <c r="S11" s="73"/>
      <c r="T11" s="12"/>
    </row>
    <row r="12" spans="2:20">
      <c r="B12" s="5">
        <f t="shared" si="0"/>
        <v>10</v>
      </c>
      <c r="C12" s="21" t="s">
        <v>88</v>
      </c>
      <c r="D12" s="3" t="s">
        <v>89</v>
      </c>
      <c r="E12" s="3" t="s">
        <v>90</v>
      </c>
      <c r="F12" s="3" t="s">
        <v>91</v>
      </c>
      <c r="H12" s="10"/>
      <c r="I12" s="10"/>
      <c r="J12" s="10"/>
      <c r="K12" s="10"/>
      <c r="L12" s="10"/>
      <c r="M12" s="10"/>
      <c r="N12" s="10"/>
      <c r="O12" s="10" t="s">
        <v>92</v>
      </c>
      <c r="P12" s="10" t="s">
        <v>93</v>
      </c>
      <c r="Q12" s="10" t="s">
        <v>94</v>
      </c>
      <c r="R12" s="10" t="s">
        <v>95</v>
      </c>
      <c r="S12" s="10" t="s">
        <v>96</v>
      </c>
      <c r="T12" s="20" t="s">
        <v>97</v>
      </c>
    </row>
    <row r="13" spans="2:20">
      <c r="B13" s="5"/>
      <c r="C13" s="21" t="s">
        <v>98</v>
      </c>
      <c r="D13" s="3" t="s">
        <v>89</v>
      </c>
      <c r="E13" s="3" t="s">
        <v>99</v>
      </c>
      <c r="F13" s="3" t="s">
        <v>91</v>
      </c>
      <c r="H13" s="22" t="s">
        <v>407</v>
      </c>
      <c r="I13" s="22" t="s">
        <v>408</v>
      </c>
      <c r="J13" s="22" t="s">
        <v>101</v>
      </c>
      <c r="K13" s="22" t="s">
        <v>102</v>
      </c>
      <c r="L13" s="22" t="s">
        <v>100</v>
      </c>
      <c r="M13" s="22" t="s">
        <v>409</v>
      </c>
      <c r="N13" s="22" t="s">
        <v>410</v>
      </c>
      <c r="O13" s="22" t="s">
        <v>411</v>
      </c>
      <c r="P13" s="22" t="s">
        <v>412</v>
      </c>
      <c r="Q13" s="22" t="s">
        <v>108</v>
      </c>
      <c r="R13" s="22" t="s">
        <v>109</v>
      </c>
      <c r="S13" s="22" t="s">
        <v>110</v>
      </c>
      <c r="T13" s="20"/>
    </row>
    <row r="14" spans="2:20">
      <c r="B14" s="5"/>
      <c r="C14" s="21" t="s">
        <v>111</v>
      </c>
      <c r="D14" s="3" t="s">
        <v>89</v>
      </c>
      <c r="E14" s="3" t="s">
        <v>112</v>
      </c>
      <c r="F14" s="3" t="s">
        <v>91</v>
      </c>
      <c r="H14" s="10" t="s">
        <v>113</v>
      </c>
      <c r="I14" s="10" t="s">
        <v>114</v>
      </c>
      <c r="J14" s="10" t="s">
        <v>115</v>
      </c>
      <c r="K14" s="10" t="s">
        <v>116</v>
      </c>
      <c r="L14" s="10" t="s">
        <v>117</v>
      </c>
      <c r="M14" s="10" t="s">
        <v>118</v>
      </c>
      <c r="N14" s="10" t="s">
        <v>119</v>
      </c>
      <c r="O14" s="10" t="s">
        <v>120</v>
      </c>
      <c r="P14" s="10" t="s">
        <v>121</v>
      </c>
      <c r="Q14" s="10" t="s">
        <v>122</v>
      </c>
      <c r="R14" s="10" t="s">
        <v>123</v>
      </c>
      <c r="S14" s="10" t="s">
        <v>124</v>
      </c>
      <c r="T14" s="20"/>
    </row>
    <row r="15" spans="2:20">
      <c r="B15" s="5"/>
      <c r="C15" s="21" t="s">
        <v>125</v>
      </c>
      <c r="D15" s="3" t="s">
        <v>89</v>
      </c>
      <c r="E15" s="3" t="s">
        <v>126</v>
      </c>
      <c r="F15" s="3" t="s">
        <v>91</v>
      </c>
      <c r="H15" s="10" t="s">
        <v>127</v>
      </c>
      <c r="I15" s="10" t="s">
        <v>128</v>
      </c>
      <c r="J15" s="10" t="s">
        <v>129</v>
      </c>
      <c r="K15" s="10" t="s">
        <v>130</v>
      </c>
      <c r="L15" s="10" t="s">
        <v>131</v>
      </c>
      <c r="M15" s="10" t="s">
        <v>132</v>
      </c>
      <c r="N15" s="10" t="s">
        <v>133</v>
      </c>
      <c r="O15" s="10" t="s">
        <v>134</v>
      </c>
      <c r="P15" s="10" t="s">
        <v>135</v>
      </c>
      <c r="Q15" s="10" t="s">
        <v>136</v>
      </c>
      <c r="R15" s="10" t="s">
        <v>137</v>
      </c>
      <c r="S15" s="10" t="s">
        <v>138</v>
      </c>
      <c r="T15" s="20"/>
    </row>
    <row r="16" spans="2:20" ht="17.149999999999999" customHeight="1">
      <c r="B16" s="5">
        <f>B12+1</f>
        <v>11</v>
      </c>
      <c r="C16" s="2" t="s">
        <v>139</v>
      </c>
      <c r="D16" s="3" t="s">
        <v>18</v>
      </c>
      <c r="E16" s="3" t="s">
        <v>140</v>
      </c>
      <c r="F16" s="3" t="s">
        <v>91</v>
      </c>
      <c r="H16" s="70" t="s">
        <v>141</v>
      </c>
      <c r="I16" s="70"/>
      <c r="J16" s="70"/>
      <c r="K16" s="70"/>
      <c r="L16" s="70" t="s">
        <v>142</v>
      </c>
      <c r="M16" s="70"/>
      <c r="N16" s="70"/>
      <c r="O16" s="70"/>
      <c r="P16" s="70" t="s">
        <v>143</v>
      </c>
      <c r="Q16" s="70"/>
      <c r="R16" s="70"/>
      <c r="S16" s="70"/>
      <c r="T16" s="12" t="s">
        <v>144</v>
      </c>
    </row>
    <row r="17" spans="2:20">
      <c r="B17" s="5">
        <f t="shared" si="0"/>
        <v>12</v>
      </c>
      <c r="C17" s="2" t="s">
        <v>145</v>
      </c>
      <c r="D17" s="3" t="s">
        <v>18</v>
      </c>
      <c r="E17" s="3" t="s">
        <v>146</v>
      </c>
      <c r="F17" s="3" t="s">
        <v>91</v>
      </c>
      <c r="H17" s="63" t="s">
        <v>147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18" t="s">
        <v>148</v>
      </c>
    </row>
    <row r="18" spans="2:20">
      <c r="B18" s="5">
        <f t="shared" si="0"/>
        <v>13</v>
      </c>
      <c r="C18" s="2" t="s">
        <v>149</v>
      </c>
      <c r="D18" s="3" t="s">
        <v>18</v>
      </c>
      <c r="E18" s="3" t="s">
        <v>150</v>
      </c>
      <c r="F18" s="3" t="s">
        <v>91</v>
      </c>
      <c r="H18" s="63" t="s">
        <v>151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18" t="s">
        <v>148</v>
      </c>
    </row>
    <row r="19" spans="2:20">
      <c r="B19" s="5">
        <f t="shared" si="0"/>
        <v>14</v>
      </c>
      <c r="C19" s="2" t="s">
        <v>152</v>
      </c>
      <c r="D19" s="3" t="s">
        <v>18</v>
      </c>
      <c r="E19" s="3" t="s">
        <v>153</v>
      </c>
      <c r="F19" s="3" t="s">
        <v>91</v>
      </c>
      <c r="H19" s="63" t="s">
        <v>154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18" t="s">
        <v>148</v>
      </c>
    </row>
    <row r="20" spans="2:20" ht="34">
      <c r="B20" s="5">
        <f t="shared" si="0"/>
        <v>15</v>
      </c>
      <c r="C20" s="2" t="s">
        <v>155</v>
      </c>
      <c r="D20" s="3" t="s">
        <v>18</v>
      </c>
      <c r="E20" s="3" t="s">
        <v>156</v>
      </c>
      <c r="F20" s="3" t="s">
        <v>91</v>
      </c>
      <c r="H20" s="19" t="s">
        <v>157</v>
      </c>
      <c r="I20" s="19" t="s">
        <v>158</v>
      </c>
      <c r="J20" s="19" t="s">
        <v>159</v>
      </c>
      <c r="K20" s="19" t="s">
        <v>160</v>
      </c>
      <c r="L20" s="19" t="s">
        <v>161</v>
      </c>
      <c r="M20" s="19" t="s">
        <v>162</v>
      </c>
      <c r="N20" s="19" t="s">
        <v>163</v>
      </c>
      <c r="O20" s="19" t="s">
        <v>164</v>
      </c>
      <c r="P20" s="19" t="s">
        <v>165</v>
      </c>
      <c r="Q20" s="19" t="s">
        <v>166</v>
      </c>
      <c r="R20" s="19" t="s">
        <v>167</v>
      </c>
      <c r="S20" s="19" t="s">
        <v>168</v>
      </c>
      <c r="T20" s="24" t="s">
        <v>169</v>
      </c>
    </row>
    <row r="21" spans="2:20">
      <c r="B21" s="5">
        <f>B20+1</f>
        <v>16</v>
      </c>
      <c r="C21" s="2" t="s">
        <v>170</v>
      </c>
      <c r="D21" s="3" t="s">
        <v>18</v>
      </c>
      <c r="E21" s="3" t="s">
        <v>171</v>
      </c>
      <c r="F21" s="3" t="s">
        <v>91</v>
      </c>
      <c r="H21" s="25"/>
      <c r="I21" s="23"/>
      <c r="J21" s="69" t="s">
        <v>172</v>
      </c>
      <c r="K21" s="69"/>
      <c r="L21" s="69"/>
      <c r="M21" s="69"/>
      <c r="N21" s="69"/>
      <c r="O21" s="69" t="s">
        <v>173</v>
      </c>
      <c r="P21" s="69"/>
      <c r="Q21" s="69"/>
      <c r="R21" s="69"/>
      <c r="S21" s="69"/>
      <c r="T21" s="26" t="s">
        <v>174</v>
      </c>
    </row>
    <row r="22" spans="2:20">
      <c r="B22" s="5">
        <f t="shared" si="0"/>
        <v>17</v>
      </c>
      <c r="C22" s="2" t="s">
        <v>175</v>
      </c>
      <c r="D22" s="3" t="s">
        <v>18</v>
      </c>
      <c r="E22" s="3" t="s">
        <v>176</v>
      </c>
      <c r="F22" s="3" t="s">
        <v>91</v>
      </c>
      <c r="H22" s="25"/>
      <c r="I22" s="25"/>
      <c r="J22" s="69" t="s">
        <v>177</v>
      </c>
      <c r="K22" s="69"/>
      <c r="L22" s="69"/>
      <c r="M22" s="69"/>
      <c r="N22" s="69"/>
      <c r="O22" s="69" t="s">
        <v>178</v>
      </c>
      <c r="P22" s="69"/>
      <c r="Q22" s="69"/>
      <c r="R22" s="69"/>
      <c r="S22" s="69"/>
      <c r="T22" s="27"/>
    </row>
    <row r="23" spans="2:20">
      <c r="B23" s="5">
        <f t="shared" si="0"/>
        <v>18</v>
      </c>
      <c r="C23" s="2" t="s">
        <v>179</v>
      </c>
      <c r="D23" s="3" t="s">
        <v>18</v>
      </c>
      <c r="E23" s="3" t="s">
        <v>180</v>
      </c>
      <c r="F23" s="3" t="s">
        <v>91</v>
      </c>
      <c r="H23" s="25"/>
      <c r="I23" s="25"/>
      <c r="J23" s="69" t="s">
        <v>181</v>
      </c>
      <c r="K23" s="69"/>
      <c r="L23" s="69"/>
      <c r="M23" s="69"/>
      <c r="N23" s="69"/>
      <c r="O23" s="69" t="s">
        <v>182</v>
      </c>
      <c r="P23" s="69"/>
      <c r="Q23" s="69"/>
      <c r="R23" s="69"/>
      <c r="S23" s="69"/>
      <c r="T23" s="27"/>
    </row>
    <row r="24" spans="2:20">
      <c r="B24" s="5">
        <f t="shared" si="0"/>
        <v>19</v>
      </c>
      <c r="C24" s="2" t="s">
        <v>183</v>
      </c>
      <c r="D24" s="3" t="s">
        <v>18</v>
      </c>
      <c r="E24" s="3" t="s">
        <v>184</v>
      </c>
      <c r="F24" s="3" t="s">
        <v>91</v>
      </c>
      <c r="H24" s="25"/>
      <c r="I24" s="25"/>
      <c r="J24" s="69" t="s">
        <v>185</v>
      </c>
      <c r="K24" s="69"/>
      <c r="L24" s="69"/>
      <c r="M24" s="69"/>
      <c r="N24" s="69"/>
      <c r="O24" s="69" t="s">
        <v>186</v>
      </c>
      <c r="P24" s="69"/>
      <c r="Q24" s="69"/>
      <c r="R24" s="69"/>
      <c r="S24" s="69"/>
      <c r="T24" s="12"/>
    </row>
    <row r="25" spans="2:20">
      <c r="B25" s="5">
        <f t="shared" si="0"/>
        <v>20</v>
      </c>
      <c r="C25" s="2" t="s">
        <v>187</v>
      </c>
      <c r="D25" s="3" t="s">
        <v>18</v>
      </c>
      <c r="E25" s="3" t="s">
        <v>188</v>
      </c>
      <c r="F25" s="3" t="s">
        <v>91</v>
      </c>
      <c r="H25" s="25"/>
      <c r="I25" s="25"/>
      <c r="J25" s="69" t="s">
        <v>189</v>
      </c>
      <c r="K25" s="69"/>
      <c r="L25" s="69"/>
      <c r="M25" s="69"/>
      <c r="N25" s="69"/>
      <c r="O25" s="69" t="s">
        <v>190</v>
      </c>
      <c r="P25" s="69"/>
      <c r="Q25" s="69"/>
      <c r="R25" s="69"/>
      <c r="S25" s="69"/>
      <c r="T25" s="12"/>
    </row>
    <row r="26" spans="2:20">
      <c r="B26" s="5">
        <f t="shared" si="0"/>
        <v>21</v>
      </c>
      <c r="C26" s="2" t="s">
        <v>191</v>
      </c>
      <c r="D26" s="3" t="s">
        <v>18</v>
      </c>
      <c r="E26" s="3" t="s">
        <v>192</v>
      </c>
      <c r="F26" s="3" t="s">
        <v>91</v>
      </c>
      <c r="H26" s="25"/>
      <c r="I26" s="25"/>
      <c r="J26" s="69" t="s">
        <v>193</v>
      </c>
      <c r="K26" s="69"/>
      <c r="L26" s="69"/>
      <c r="M26" s="69"/>
      <c r="N26" s="69"/>
      <c r="O26" s="69" t="s">
        <v>194</v>
      </c>
      <c r="P26" s="69"/>
      <c r="Q26" s="69"/>
      <c r="R26" s="69"/>
      <c r="S26" s="69"/>
      <c r="T26" s="12"/>
    </row>
    <row r="27" spans="2:20">
      <c r="B27" s="5"/>
      <c r="C27" s="21" t="s">
        <v>195</v>
      </c>
      <c r="D27" s="3" t="s">
        <v>18</v>
      </c>
      <c r="E27" s="3" t="s">
        <v>196</v>
      </c>
      <c r="F27" s="3" t="s">
        <v>413</v>
      </c>
      <c r="H27" s="22" t="s">
        <v>414</v>
      </c>
      <c r="I27" s="22" t="s">
        <v>201</v>
      </c>
      <c r="J27" s="94" t="s">
        <v>200</v>
      </c>
      <c r="K27" s="95"/>
      <c r="L27" s="28" t="s">
        <v>199</v>
      </c>
      <c r="M27" s="22" t="s">
        <v>207</v>
      </c>
      <c r="N27" s="22" t="s">
        <v>206</v>
      </c>
      <c r="O27" s="22" t="s">
        <v>208</v>
      </c>
      <c r="P27" s="22" t="s">
        <v>415</v>
      </c>
      <c r="Q27" s="22" t="s">
        <v>416</v>
      </c>
      <c r="R27" s="22" t="s">
        <v>417</v>
      </c>
      <c r="S27" s="22" t="s">
        <v>203</v>
      </c>
      <c r="T27" s="12"/>
    </row>
    <row r="28" spans="2:20">
      <c r="B28" s="5"/>
      <c r="C28" s="21" t="s">
        <v>209</v>
      </c>
      <c r="D28" s="3" t="s">
        <v>210</v>
      </c>
      <c r="E28" s="3" t="s">
        <v>211</v>
      </c>
      <c r="F28" s="3" t="s">
        <v>29</v>
      </c>
      <c r="H28" s="22" t="s">
        <v>212</v>
      </c>
      <c r="I28" s="25"/>
      <c r="J28" s="11"/>
      <c r="K28" s="11"/>
      <c r="L28" s="11"/>
      <c r="M28" s="11"/>
      <c r="N28" s="11"/>
      <c r="O28" s="11"/>
      <c r="P28" s="11"/>
      <c r="Q28" s="22" t="s">
        <v>214</v>
      </c>
      <c r="R28" s="22" t="s">
        <v>215</v>
      </c>
      <c r="S28" s="22" t="s">
        <v>216</v>
      </c>
      <c r="T28" s="12"/>
    </row>
    <row r="29" spans="2:20">
      <c r="B29" s="5"/>
      <c r="C29" s="21" t="s">
        <v>217</v>
      </c>
      <c r="D29" s="3" t="s">
        <v>18</v>
      </c>
      <c r="E29" s="3" t="s">
        <v>218</v>
      </c>
      <c r="F29" s="3" t="s">
        <v>29</v>
      </c>
      <c r="H29" s="25"/>
      <c r="I29" s="25"/>
      <c r="J29" s="97" t="s">
        <v>419</v>
      </c>
      <c r="K29" s="98"/>
      <c r="L29" s="98"/>
      <c r="M29" s="98"/>
      <c r="N29" s="98"/>
      <c r="O29" s="98" t="s">
        <v>420</v>
      </c>
      <c r="P29" s="98"/>
      <c r="Q29" s="98"/>
      <c r="R29" s="98"/>
      <c r="S29" s="99"/>
      <c r="T29" s="12"/>
    </row>
    <row r="30" spans="2:20">
      <c r="B30" s="5"/>
      <c r="C30" s="21" t="s">
        <v>221</v>
      </c>
      <c r="D30" s="3" t="s">
        <v>18</v>
      </c>
      <c r="E30" s="3" t="s">
        <v>222</v>
      </c>
      <c r="F30" s="3" t="s">
        <v>29</v>
      </c>
      <c r="H30" s="25"/>
      <c r="I30" s="25"/>
      <c r="J30" s="11"/>
      <c r="K30" s="11"/>
      <c r="L30" s="11"/>
      <c r="M30" s="11"/>
      <c r="N30" s="11"/>
      <c r="O30" s="11"/>
      <c r="P30" s="11"/>
      <c r="Q30" s="11"/>
      <c r="R30" s="11"/>
      <c r="S30" s="22" t="s">
        <v>421</v>
      </c>
      <c r="T30" s="12"/>
    </row>
    <row r="31" spans="2:20">
      <c r="B31" s="5">
        <f>B26+1</f>
        <v>22</v>
      </c>
      <c r="C31" s="2" t="s">
        <v>231</v>
      </c>
      <c r="D31" s="3" t="s">
        <v>18</v>
      </c>
      <c r="E31" s="3" t="s">
        <v>232</v>
      </c>
      <c r="F31" s="3" t="s">
        <v>233</v>
      </c>
      <c r="H31" s="69" t="s">
        <v>234</v>
      </c>
      <c r="I31" s="69"/>
      <c r="J31" s="69"/>
      <c r="K31" s="69"/>
      <c r="L31" s="69"/>
      <c r="M31" s="69"/>
      <c r="N31" s="69" t="s">
        <v>235</v>
      </c>
      <c r="O31" s="69"/>
      <c r="P31" s="69"/>
      <c r="Q31" s="69"/>
      <c r="R31" s="69"/>
      <c r="S31" s="69"/>
      <c r="T31" s="12" t="s">
        <v>236</v>
      </c>
    </row>
    <row r="32" spans="2:20">
      <c r="B32" s="5">
        <f t="shared" si="0"/>
        <v>23</v>
      </c>
      <c r="C32" s="2" t="s">
        <v>237</v>
      </c>
      <c r="D32" s="3" t="s">
        <v>18</v>
      </c>
      <c r="E32" s="3" t="s">
        <v>238</v>
      </c>
      <c r="F32" s="3" t="s">
        <v>239</v>
      </c>
      <c r="H32" s="11"/>
      <c r="I32" s="11"/>
      <c r="J32" s="11"/>
      <c r="K32" s="69" t="s">
        <v>240</v>
      </c>
      <c r="L32" s="69"/>
      <c r="M32" s="69"/>
      <c r="N32" s="69"/>
      <c r="O32" s="69"/>
      <c r="P32" s="69"/>
      <c r="Q32" s="69"/>
      <c r="R32" s="69"/>
      <c r="S32" s="69"/>
      <c r="T32" s="12" t="s">
        <v>241</v>
      </c>
    </row>
    <row r="33" spans="2:20" ht="34">
      <c r="B33" s="5">
        <f t="shared" si="0"/>
        <v>24</v>
      </c>
      <c r="C33" s="2" t="s">
        <v>242</v>
      </c>
      <c r="D33" s="3" t="s">
        <v>18</v>
      </c>
      <c r="E33" s="3" t="s">
        <v>243</v>
      </c>
      <c r="F33" s="3" t="s">
        <v>29</v>
      </c>
      <c r="H33" s="11"/>
      <c r="I33" s="11"/>
      <c r="J33" s="69" t="s">
        <v>244</v>
      </c>
      <c r="K33" s="69"/>
      <c r="L33" s="69"/>
      <c r="M33" s="69"/>
      <c r="N33" s="69"/>
      <c r="O33" s="69"/>
      <c r="P33" s="69"/>
      <c r="Q33" s="69"/>
      <c r="R33" s="69"/>
      <c r="S33" s="69"/>
      <c r="T33" s="12" t="s">
        <v>245</v>
      </c>
    </row>
    <row r="34" spans="2:20" ht="34">
      <c r="B34" s="5">
        <f t="shared" si="0"/>
        <v>25</v>
      </c>
      <c r="C34" s="2" t="s">
        <v>246</v>
      </c>
      <c r="D34" s="3" t="s">
        <v>18</v>
      </c>
      <c r="E34" s="3" t="s">
        <v>247</v>
      </c>
      <c r="F34" s="3" t="s">
        <v>29</v>
      </c>
      <c r="H34" s="10" t="s">
        <v>248</v>
      </c>
      <c r="I34" s="11"/>
      <c r="J34" s="69" t="s">
        <v>249</v>
      </c>
      <c r="K34" s="69"/>
      <c r="L34" s="69"/>
      <c r="M34" s="69"/>
      <c r="N34" s="69"/>
      <c r="O34" s="69"/>
      <c r="P34" s="69"/>
      <c r="Q34" s="69"/>
      <c r="R34" s="69"/>
      <c r="S34" s="69"/>
      <c r="T34" s="12" t="s">
        <v>245</v>
      </c>
    </row>
    <row r="35" spans="2:20">
      <c r="B35" s="5">
        <f t="shared" si="0"/>
        <v>26</v>
      </c>
      <c r="C35" s="2" t="s">
        <v>250</v>
      </c>
      <c r="D35" s="3" t="s">
        <v>18</v>
      </c>
      <c r="E35" s="3" t="s">
        <v>251</v>
      </c>
      <c r="F35" s="3" t="s">
        <v>29</v>
      </c>
      <c r="H35" s="25"/>
      <c r="I35" s="25"/>
      <c r="J35" s="69" t="s">
        <v>252</v>
      </c>
      <c r="K35" s="69"/>
      <c r="L35" s="69"/>
      <c r="M35" s="69"/>
      <c r="N35" s="69"/>
      <c r="O35" s="69"/>
      <c r="P35" s="69"/>
      <c r="Q35" s="69"/>
      <c r="R35" s="69"/>
      <c r="S35" s="69"/>
      <c r="T35" s="12" t="s">
        <v>253</v>
      </c>
    </row>
    <row r="36" spans="2:20">
      <c r="B36" s="5">
        <f t="shared" si="0"/>
        <v>27</v>
      </c>
      <c r="C36" s="2" t="s">
        <v>254</v>
      </c>
      <c r="D36" s="3" t="s">
        <v>18</v>
      </c>
      <c r="E36" s="3" t="s">
        <v>255</v>
      </c>
      <c r="F36" s="3" t="s">
        <v>256</v>
      </c>
      <c r="H36" s="25"/>
      <c r="I36" s="69" t="s">
        <v>257</v>
      </c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12" t="s">
        <v>258</v>
      </c>
    </row>
    <row r="37" spans="2:20">
      <c r="B37" s="5">
        <f t="shared" si="0"/>
        <v>28</v>
      </c>
      <c r="C37" s="2" t="s">
        <v>259</v>
      </c>
      <c r="D37" s="3" t="s">
        <v>18</v>
      </c>
      <c r="E37" s="3" t="s">
        <v>260</v>
      </c>
      <c r="F37" s="3" t="s">
        <v>29</v>
      </c>
      <c r="H37" s="69" t="s">
        <v>261</v>
      </c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12" t="s">
        <v>241</v>
      </c>
    </row>
    <row r="38" spans="2:20" ht="34">
      <c r="B38" s="5">
        <f t="shared" si="0"/>
        <v>29</v>
      </c>
      <c r="C38" s="2" t="s">
        <v>262</v>
      </c>
      <c r="D38" s="3" t="s">
        <v>18</v>
      </c>
      <c r="E38" s="3" t="s">
        <v>263</v>
      </c>
      <c r="F38" s="3" t="s">
        <v>264</v>
      </c>
      <c r="H38" s="10" t="s">
        <v>265</v>
      </c>
      <c r="I38" s="69" t="s">
        <v>266</v>
      </c>
      <c r="J38" s="69"/>
      <c r="K38" s="11"/>
      <c r="L38" s="69" t="s">
        <v>267</v>
      </c>
      <c r="M38" s="69"/>
      <c r="N38" s="69"/>
      <c r="O38" s="69"/>
      <c r="P38" s="69"/>
      <c r="Q38" s="69"/>
      <c r="R38" s="69"/>
      <c r="S38" s="69"/>
      <c r="T38" s="12" t="s">
        <v>268</v>
      </c>
    </row>
    <row r="39" spans="2:20">
      <c r="B39" s="5"/>
      <c r="H39" s="30"/>
      <c r="T39" s="12"/>
    </row>
    <row r="40" spans="2:20" ht="85">
      <c r="B40" s="5">
        <f>B38+1</f>
        <v>30</v>
      </c>
      <c r="C40" s="2" t="s">
        <v>269</v>
      </c>
      <c r="D40" s="3" t="s">
        <v>18</v>
      </c>
      <c r="E40" s="3" t="s">
        <v>270</v>
      </c>
      <c r="F40" s="3" t="s">
        <v>271</v>
      </c>
      <c r="H40" s="71" t="s">
        <v>272</v>
      </c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12" t="s">
        <v>418</v>
      </c>
    </row>
    <row r="41" spans="2:20" ht="85">
      <c r="B41" s="5">
        <f t="shared" si="0"/>
        <v>31</v>
      </c>
      <c r="C41" s="2" t="s">
        <v>274</v>
      </c>
      <c r="D41" s="3" t="s">
        <v>18</v>
      </c>
      <c r="E41" s="3" t="s">
        <v>275</v>
      </c>
      <c r="F41" s="3" t="s">
        <v>29</v>
      </c>
      <c r="H41" s="69" t="s">
        <v>276</v>
      </c>
      <c r="I41" s="69"/>
      <c r="J41" s="69"/>
      <c r="K41" s="69"/>
      <c r="L41" s="69"/>
      <c r="M41" s="69"/>
      <c r="N41" s="14" t="s">
        <v>277</v>
      </c>
      <c r="O41" s="19" t="s">
        <v>278</v>
      </c>
      <c r="P41" s="19" t="s">
        <v>279</v>
      </c>
      <c r="Q41" s="10" t="s">
        <v>280</v>
      </c>
      <c r="R41" s="10" t="s">
        <v>281</v>
      </c>
      <c r="S41" s="10" t="s">
        <v>282</v>
      </c>
      <c r="T41" s="12" t="s">
        <v>283</v>
      </c>
    </row>
    <row r="42" spans="2:20">
      <c r="B42" s="5"/>
      <c r="C42" s="31"/>
      <c r="D42" s="31"/>
      <c r="E42" s="1"/>
      <c r="F42" s="31"/>
      <c r="G42" s="3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7"/>
    </row>
    <row r="43" spans="2:20">
      <c r="B43" s="5">
        <f>B41+1</f>
        <v>32</v>
      </c>
      <c r="C43" s="2" t="s">
        <v>284</v>
      </c>
      <c r="D43" s="3" t="s">
        <v>18</v>
      </c>
      <c r="E43" s="3" t="s">
        <v>285</v>
      </c>
      <c r="F43" s="3" t="s">
        <v>29</v>
      </c>
      <c r="H43" s="11"/>
      <c r="I43" s="11"/>
      <c r="J43" s="11"/>
      <c r="K43" s="11"/>
      <c r="L43" s="11"/>
      <c r="M43" s="11"/>
      <c r="N43" s="10" t="s">
        <v>284</v>
      </c>
      <c r="O43" s="10" t="s">
        <v>286</v>
      </c>
      <c r="P43" s="10" t="s">
        <v>287</v>
      </c>
      <c r="Q43" s="10" t="s">
        <v>288</v>
      </c>
      <c r="R43" s="10" t="s">
        <v>289</v>
      </c>
      <c r="S43" s="10" t="s">
        <v>290</v>
      </c>
      <c r="T43" s="12"/>
    </row>
    <row r="44" spans="2:20">
      <c r="B44" s="5">
        <f>B43+1</f>
        <v>33</v>
      </c>
      <c r="C44" s="2" t="s">
        <v>291</v>
      </c>
      <c r="D44" s="3" t="s">
        <v>18</v>
      </c>
      <c r="E44" s="3" t="s">
        <v>292</v>
      </c>
      <c r="F44" s="3" t="s">
        <v>293</v>
      </c>
      <c r="H44" s="69" t="s">
        <v>294</v>
      </c>
      <c r="I44" s="69"/>
      <c r="J44" s="69"/>
      <c r="K44" s="69"/>
      <c r="L44" s="14" t="s">
        <v>295</v>
      </c>
      <c r="M44" s="10" t="s">
        <v>296</v>
      </c>
      <c r="N44" s="69" t="s">
        <v>297</v>
      </c>
      <c r="O44" s="69"/>
      <c r="P44" s="71" t="s">
        <v>298</v>
      </c>
      <c r="Q44" s="71"/>
      <c r="R44" s="69" t="s">
        <v>299</v>
      </c>
      <c r="S44" s="69"/>
      <c r="T44" s="12"/>
    </row>
    <row r="45" spans="2:20">
      <c r="B45" s="5">
        <f t="shared" ref="B45:B48" si="1">B44+1</f>
        <v>34</v>
      </c>
      <c r="C45" s="2" t="s">
        <v>300</v>
      </c>
      <c r="D45" s="3" t="s">
        <v>18</v>
      </c>
      <c r="E45" s="3" t="s">
        <v>301</v>
      </c>
      <c r="F45" s="3" t="s">
        <v>29</v>
      </c>
      <c r="H45" s="69" t="s">
        <v>302</v>
      </c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12"/>
    </row>
    <row r="46" spans="2:20">
      <c r="B46" s="5">
        <f t="shared" si="1"/>
        <v>35</v>
      </c>
      <c r="C46" s="2" t="s">
        <v>303</v>
      </c>
      <c r="D46" s="3" t="s">
        <v>18</v>
      </c>
      <c r="E46" s="3" t="s">
        <v>304</v>
      </c>
      <c r="F46" s="3" t="s">
        <v>305</v>
      </c>
      <c r="H46" s="10" t="s">
        <v>306</v>
      </c>
      <c r="I46" s="11"/>
      <c r="J46" s="11"/>
      <c r="K46" s="11"/>
      <c r="L46" s="11"/>
      <c r="M46" s="11"/>
      <c r="N46" s="79" t="s">
        <v>307</v>
      </c>
      <c r="O46" s="79"/>
      <c r="P46" s="69" t="s">
        <v>308</v>
      </c>
      <c r="Q46" s="69"/>
      <c r="R46" s="69"/>
      <c r="S46" s="69"/>
      <c r="T46" s="12"/>
    </row>
    <row r="47" spans="2:20">
      <c r="B47" s="5">
        <f t="shared" si="1"/>
        <v>36</v>
      </c>
      <c r="C47" s="2" t="s">
        <v>309</v>
      </c>
      <c r="D47" s="3" t="s">
        <v>18</v>
      </c>
      <c r="E47" s="3" t="s">
        <v>310</v>
      </c>
      <c r="F47" s="3" t="s">
        <v>29</v>
      </c>
      <c r="G47" s="33"/>
      <c r="H47" s="15" t="s">
        <v>311</v>
      </c>
      <c r="I47" s="16"/>
      <c r="J47" s="16"/>
      <c r="K47" s="16"/>
      <c r="L47" s="16"/>
      <c r="M47" s="79" t="s">
        <v>312</v>
      </c>
      <c r="N47" s="79"/>
      <c r="O47" s="79"/>
      <c r="P47" s="16"/>
      <c r="Q47" s="79" t="s">
        <v>313</v>
      </c>
      <c r="R47" s="79"/>
      <c r="S47" s="79"/>
      <c r="T47" s="17"/>
    </row>
    <row r="48" spans="2:20">
      <c r="B48" s="5">
        <f t="shared" si="1"/>
        <v>37</v>
      </c>
      <c r="C48" s="2" t="s">
        <v>314</v>
      </c>
      <c r="D48" s="3" t="s">
        <v>18</v>
      </c>
      <c r="E48" s="3" t="s">
        <v>315</v>
      </c>
      <c r="F48" s="3" t="s">
        <v>316</v>
      </c>
      <c r="G48" s="9"/>
      <c r="H48" s="34"/>
      <c r="I48" s="34"/>
      <c r="J48" s="34"/>
      <c r="K48" s="34"/>
      <c r="L48" s="35"/>
      <c r="M48" s="34"/>
      <c r="N48" s="35"/>
      <c r="O48" s="15" t="s">
        <v>317</v>
      </c>
      <c r="P48" s="36" t="s">
        <v>318</v>
      </c>
      <c r="Q48" s="15" t="s">
        <v>319</v>
      </c>
      <c r="R48" s="15" t="s">
        <v>320</v>
      </c>
      <c r="S48" s="15" t="s">
        <v>321</v>
      </c>
      <c r="T48" s="12" t="s">
        <v>322</v>
      </c>
    </row>
    <row r="49" spans="2:20">
      <c r="B49" s="5"/>
      <c r="T49" s="37"/>
    </row>
    <row r="50" spans="2:20">
      <c r="B50" s="5"/>
      <c r="C50" s="38" t="s">
        <v>323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37"/>
    </row>
    <row r="51" spans="2:20">
      <c r="B51" s="5"/>
    </row>
    <row r="52" spans="2:20" ht="153.5">
      <c r="B52" s="5">
        <v>1</v>
      </c>
      <c r="C52" s="2" t="s">
        <v>324</v>
      </c>
      <c r="D52" s="3" t="s">
        <v>18</v>
      </c>
      <c r="E52" s="39" t="s">
        <v>325</v>
      </c>
      <c r="F52" s="3" t="s">
        <v>29</v>
      </c>
      <c r="H52" s="10" t="s">
        <v>326</v>
      </c>
      <c r="I52" s="79" t="s">
        <v>327</v>
      </c>
      <c r="J52" s="79"/>
      <c r="K52" s="79"/>
      <c r="L52" s="71" t="s">
        <v>328</v>
      </c>
      <c r="M52" s="69"/>
      <c r="N52" s="10" t="s">
        <v>329</v>
      </c>
      <c r="O52" s="10" t="s">
        <v>330</v>
      </c>
      <c r="P52" s="14" t="s">
        <v>331</v>
      </c>
      <c r="Q52" s="14" t="s">
        <v>332</v>
      </c>
      <c r="R52" s="10" t="s">
        <v>333</v>
      </c>
      <c r="S52" s="10" t="s">
        <v>334</v>
      </c>
      <c r="T52" s="12" t="s">
        <v>335</v>
      </c>
    </row>
    <row r="53" spans="2:20">
      <c r="B53" s="5">
        <f>B52+1</f>
        <v>2</v>
      </c>
      <c r="C53" s="2" t="s">
        <v>336</v>
      </c>
      <c r="D53" s="3" t="s">
        <v>18</v>
      </c>
      <c r="E53" s="39" t="s">
        <v>337</v>
      </c>
      <c r="F53" s="3" t="s">
        <v>29</v>
      </c>
      <c r="H53" s="11"/>
      <c r="I53" s="11"/>
      <c r="J53" s="11"/>
      <c r="K53" s="11"/>
      <c r="L53" s="11"/>
      <c r="M53" s="11"/>
      <c r="N53" s="11"/>
      <c r="O53" s="11"/>
      <c r="P53" s="69" t="s">
        <v>338</v>
      </c>
      <c r="Q53" s="69"/>
      <c r="R53" s="69"/>
      <c r="S53" s="69"/>
      <c r="T53" s="40" t="s">
        <v>339</v>
      </c>
    </row>
    <row r="54" spans="2:20">
      <c r="B54" s="5">
        <f t="shared" ref="B54:B57" si="2">B53+1</f>
        <v>3</v>
      </c>
      <c r="C54" s="2" t="s">
        <v>340</v>
      </c>
      <c r="D54" s="3" t="s">
        <v>18</v>
      </c>
      <c r="E54" s="39" t="s">
        <v>341</v>
      </c>
      <c r="F54" s="3" t="s">
        <v>256</v>
      </c>
      <c r="H54" s="69" t="s">
        <v>342</v>
      </c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40" t="s">
        <v>339</v>
      </c>
    </row>
    <row r="55" spans="2:20">
      <c r="B55" s="5">
        <f t="shared" si="2"/>
        <v>4</v>
      </c>
      <c r="C55" s="2" t="s">
        <v>343</v>
      </c>
      <c r="D55" s="3" t="s">
        <v>18</v>
      </c>
      <c r="E55" s="39" t="s">
        <v>344</v>
      </c>
      <c r="F55" s="3" t="s">
        <v>345</v>
      </c>
      <c r="H55" s="11"/>
      <c r="I55" s="11"/>
      <c r="J55" s="11"/>
      <c r="K55" s="11"/>
      <c r="L55" s="11"/>
      <c r="M55" s="11"/>
      <c r="N55" s="69" t="s">
        <v>346</v>
      </c>
      <c r="O55" s="69"/>
      <c r="P55" s="69" t="s">
        <v>347</v>
      </c>
      <c r="Q55" s="69"/>
      <c r="R55" s="69"/>
      <c r="S55" s="69"/>
      <c r="T55" s="40" t="s">
        <v>339</v>
      </c>
    </row>
    <row r="56" spans="2:20">
      <c r="B56" s="5">
        <f t="shared" si="2"/>
        <v>5</v>
      </c>
      <c r="C56" s="2" t="s">
        <v>348</v>
      </c>
      <c r="D56" s="3" t="s">
        <v>18</v>
      </c>
      <c r="E56" s="39" t="s">
        <v>349</v>
      </c>
      <c r="F56" s="3" t="s">
        <v>29</v>
      </c>
      <c r="H56" s="41" t="s">
        <v>350</v>
      </c>
      <c r="I56" s="11"/>
      <c r="J56" s="11"/>
      <c r="K56" s="11"/>
      <c r="L56" s="11"/>
      <c r="M56" s="11"/>
      <c r="N56" s="11"/>
      <c r="O56" s="11"/>
      <c r="P56" s="11"/>
      <c r="Q56" s="11"/>
      <c r="R56" s="10" t="s">
        <v>351</v>
      </c>
      <c r="S56" s="10" t="s">
        <v>352</v>
      </c>
      <c r="T56" s="40">
        <v>1</v>
      </c>
    </row>
    <row r="57" spans="2:20">
      <c r="B57" s="5">
        <f t="shared" si="2"/>
        <v>6</v>
      </c>
      <c r="C57" s="2" t="s">
        <v>353</v>
      </c>
      <c r="D57" s="3" t="s">
        <v>18</v>
      </c>
      <c r="E57" s="39" t="s">
        <v>354</v>
      </c>
      <c r="F57" s="3" t="s">
        <v>355</v>
      </c>
      <c r="H57" s="69" t="s">
        <v>356</v>
      </c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42"/>
    </row>
    <row r="58" spans="2:20">
      <c r="B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42"/>
    </row>
    <row r="59" spans="2:20">
      <c r="B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42"/>
    </row>
    <row r="60" spans="2:20">
      <c r="B60" s="5"/>
      <c r="C60" s="38" t="s">
        <v>357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26"/>
    </row>
    <row r="61" spans="2:20"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6"/>
    </row>
    <row r="62" spans="2:20">
      <c r="B62" s="5">
        <v>1</v>
      </c>
      <c r="D62" s="3" t="s">
        <v>18</v>
      </c>
      <c r="E62" s="3" t="s">
        <v>19</v>
      </c>
      <c r="F62" s="3" t="s">
        <v>29</v>
      </c>
      <c r="H62" s="16"/>
      <c r="I62" s="16"/>
      <c r="J62" s="16"/>
      <c r="K62" s="16"/>
      <c r="L62" s="82" t="s">
        <v>358</v>
      </c>
      <c r="M62" s="82"/>
      <c r="N62" s="82"/>
      <c r="O62" s="82"/>
      <c r="P62" s="82"/>
      <c r="Q62" s="82"/>
      <c r="R62" s="82"/>
      <c r="S62" s="82"/>
      <c r="T62" s="26">
        <v>8</v>
      </c>
    </row>
    <row r="63" spans="2:20">
      <c r="B63" s="5">
        <f>B62+1</f>
        <v>2</v>
      </c>
      <c r="D63" s="3" t="s">
        <v>18</v>
      </c>
      <c r="E63" s="3" t="s">
        <v>28</v>
      </c>
      <c r="F63" s="3" t="s">
        <v>359</v>
      </c>
      <c r="H63" s="43"/>
      <c r="I63" s="43"/>
      <c r="J63" s="82" t="s">
        <v>360</v>
      </c>
      <c r="K63" s="83"/>
      <c r="L63" s="83"/>
      <c r="M63" s="83"/>
      <c r="N63" s="83"/>
      <c r="O63" s="82" t="s">
        <v>361</v>
      </c>
      <c r="P63" s="83"/>
      <c r="Q63" s="83"/>
      <c r="R63" s="83"/>
      <c r="S63" s="83"/>
      <c r="T63" s="26">
        <v>10</v>
      </c>
    </row>
    <row r="64" spans="2:20" s="44" customFormat="1">
      <c r="B64" s="5">
        <f t="shared" ref="B64:B91" si="3">B63+1</f>
        <v>3</v>
      </c>
      <c r="C64" s="2"/>
      <c r="D64" s="3" t="s">
        <v>18</v>
      </c>
      <c r="E64" s="3" t="s">
        <v>39</v>
      </c>
      <c r="F64" s="3" t="s">
        <v>362</v>
      </c>
      <c r="G64" s="3"/>
      <c r="H64" s="86" t="s">
        <v>363</v>
      </c>
      <c r="I64" s="87"/>
      <c r="J64" s="87"/>
      <c r="K64" s="87"/>
      <c r="L64" s="88"/>
      <c r="M64" s="16"/>
      <c r="N64" s="16"/>
      <c r="O64" s="86" t="s">
        <v>364</v>
      </c>
      <c r="P64" s="87"/>
      <c r="Q64" s="87"/>
      <c r="R64" s="87"/>
      <c r="S64" s="88"/>
      <c r="T64" s="26">
        <v>10</v>
      </c>
    </row>
    <row r="65" spans="2:20" s="44" customFormat="1">
      <c r="B65" s="5">
        <f t="shared" si="3"/>
        <v>4</v>
      </c>
      <c r="C65" s="2"/>
      <c r="D65" s="3" t="s">
        <v>18</v>
      </c>
      <c r="E65" s="3" t="s">
        <v>43</v>
      </c>
      <c r="F65" s="3" t="s">
        <v>239</v>
      </c>
      <c r="G65" s="3"/>
      <c r="H65" s="16"/>
      <c r="I65" s="16"/>
      <c r="J65" s="16"/>
      <c r="K65" s="16"/>
      <c r="L65" s="82" t="s">
        <v>365</v>
      </c>
      <c r="M65" s="82"/>
      <c r="N65" s="82"/>
      <c r="O65" s="82"/>
      <c r="P65" s="82" t="s">
        <v>366</v>
      </c>
      <c r="Q65" s="82"/>
      <c r="R65" s="82"/>
      <c r="S65" s="82"/>
      <c r="T65" s="26">
        <v>8</v>
      </c>
    </row>
    <row r="66" spans="2:20" s="44" customFormat="1">
      <c r="B66" s="5">
        <f t="shared" si="3"/>
        <v>5</v>
      </c>
      <c r="C66" s="2"/>
      <c r="D66" s="3" t="s">
        <v>18</v>
      </c>
      <c r="E66" s="3" t="s">
        <v>48</v>
      </c>
      <c r="F66" s="3" t="s">
        <v>29</v>
      </c>
      <c r="G66" s="3"/>
      <c r="H66" s="16"/>
      <c r="I66" s="16"/>
      <c r="J66" s="16"/>
      <c r="K66" s="86" t="s">
        <v>367</v>
      </c>
      <c r="L66" s="87"/>
      <c r="M66" s="87"/>
      <c r="N66" s="87"/>
      <c r="O66" s="87"/>
      <c r="P66" s="87"/>
      <c r="Q66" s="87"/>
      <c r="R66" s="87"/>
      <c r="S66" s="88"/>
      <c r="T66" s="26">
        <v>9</v>
      </c>
    </row>
    <row r="67" spans="2:20" s="44" customFormat="1">
      <c r="B67" s="5">
        <f t="shared" si="3"/>
        <v>6</v>
      </c>
      <c r="C67" s="2"/>
      <c r="D67" s="3" t="s">
        <v>18</v>
      </c>
      <c r="E67" s="3" t="s">
        <v>53</v>
      </c>
      <c r="F67" s="3" t="s">
        <v>29</v>
      </c>
      <c r="G67" s="3"/>
      <c r="H67" s="16"/>
      <c r="I67" s="16"/>
      <c r="J67" s="16"/>
      <c r="K67" s="86" t="s">
        <v>368</v>
      </c>
      <c r="L67" s="87"/>
      <c r="M67" s="87"/>
      <c r="N67" s="87"/>
      <c r="O67" s="87"/>
      <c r="P67" s="87"/>
      <c r="Q67" s="87"/>
      <c r="R67" s="87"/>
      <c r="S67" s="88"/>
      <c r="T67" s="26">
        <v>9</v>
      </c>
    </row>
    <row r="68" spans="2:20" s="44" customFormat="1">
      <c r="B68" s="5">
        <f t="shared" si="3"/>
        <v>7</v>
      </c>
      <c r="C68" s="2"/>
      <c r="D68" s="3" t="s">
        <v>18</v>
      </c>
      <c r="E68" s="3" t="s">
        <v>67</v>
      </c>
      <c r="F68" s="3" t="s">
        <v>29</v>
      </c>
      <c r="G68" s="3"/>
      <c r="H68" s="16"/>
      <c r="I68" s="16"/>
      <c r="J68" s="16"/>
      <c r="K68" s="86" t="s">
        <v>369</v>
      </c>
      <c r="L68" s="87"/>
      <c r="M68" s="87"/>
      <c r="N68" s="87"/>
      <c r="O68" s="87"/>
      <c r="P68" s="87"/>
      <c r="Q68" s="87"/>
      <c r="R68" s="87"/>
      <c r="S68" s="88"/>
      <c r="T68" s="26">
        <v>9</v>
      </c>
    </row>
    <row r="69" spans="2:20" s="44" customFormat="1">
      <c r="B69" s="5">
        <f t="shared" si="3"/>
        <v>8</v>
      </c>
      <c r="C69" s="2"/>
      <c r="D69" s="3" t="s">
        <v>18</v>
      </c>
      <c r="E69" s="3" t="s">
        <v>370</v>
      </c>
      <c r="F69" s="3" t="s">
        <v>29</v>
      </c>
      <c r="G69" s="3"/>
      <c r="H69" s="16"/>
      <c r="I69" s="16"/>
      <c r="J69" s="16"/>
      <c r="K69" s="86" t="s">
        <v>371</v>
      </c>
      <c r="L69" s="87"/>
      <c r="M69" s="87"/>
      <c r="N69" s="87"/>
      <c r="O69" s="87"/>
      <c r="P69" s="87"/>
      <c r="Q69" s="87"/>
      <c r="R69" s="87"/>
      <c r="S69" s="88"/>
      <c r="T69" s="26">
        <v>9</v>
      </c>
    </row>
    <row r="70" spans="2:20" s="44" customFormat="1">
      <c r="B70" s="5">
        <f t="shared" si="3"/>
        <v>9</v>
      </c>
      <c r="C70" s="2"/>
      <c r="D70" s="3" t="s">
        <v>18</v>
      </c>
      <c r="E70" s="3" t="s">
        <v>372</v>
      </c>
      <c r="F70" s="3" t="s">
        <v>29</v>
      </c>
      <c r="G70" s="3"/>
      <c r="H70" s="16"/>
      <c r="I70" s="16"/>
      <c r="J70" s="16"/>
      <c r="K70" s="86" t="s">
        <v>373</v>
      </c>
      <c r="L70" s="87"/>
      <c r="M70" s="87"/>
      <c r="N70" s="87"/>
      <c r="O70" s="87"/>
      <c r="P70" s="87"/>
      <c r="Q70" s="87"/>
      <c r="R70" s="87"/>
      <c r="S70" s="88"/>
      <c r="T70" s="26">
        <v>9</v>
      </c>
    </row>
    <row r="71" spans="2:20" s="44" customFormat="1">
      <c r="B71" s="5">
        <f t="shared" si="3"/>
        <v>10</v>
      </c>
      <c r="C71" s="2"/>
      <c r="D71" s="3" t="s">
        <v>18</v>
      </c>
      <c r="E71" s="3" t="s">
        <v>374</v>
      </c>
      <c r="F71" s="3" t="s">
        <v>29</v>
      </c>
      <c r="G71" s="3"/>
      <c r="H71" s="16"/>
      <c r="I71" s="16"/>
      <c r="J71" s="16"/>
      <c r="K71" s="86" t="s">
        <v>375</v>
      </c>
      <c r="L71" s="87"/>
      <c r="M71" s="87"/>
      <c r="N71" s="87"/>
      <c r="O71" s="87"/>
      <c r="P71" s="87"/>
      <c r="Q71" s="87"/>
      <c r="R71" s="87"/>
      <c r="S71" s="88"/>
      <c r="T71" s="26">
        <v>9</v>
      </c>
    </row>
    <row r="72" spans="2:20" s="44" customFormat="1">
      <c r="B72" s="5">
        <f t="shared" si="3"/>
        <v>11</v>
      </c>
      <c r="C72" s="2"/>
      <c r="D72" s="3" t="s">
        <v>18</v>
      </c>
      <c r="E72" s="3" t="s">
        <v>99</v>
      </c>
      <c r="F72" s="3" t="s">
        <v>29</v>
      </c>
      <c r="G72" s="3"/>
      <c r="H72" s="16"/>
      <c r="I72" s="16"/>
      <c r="J72" s="16"/>
      <c r="K72" s="86" t="s">
        <v>376</v>
      </c>
      <c r="L72" s="87"/>
      <c r="M72" s="87"/>
      <c r="N72" s="87"/>
      <c r="O72" s="87"/>
      <c r="P72" s="87"/>
      <c r="Q72" s="87"/>
      <c r="R72" s="87"/>
      <c r="S72" s="88"/>
      <c r="T72" s="26">
        <v>9</v>
      </c>
    </row>
    <row r="73" spans="2:20" s="44" customFormat="1">
      <c r="B73" s="5">
        <f t="shared" si="3"/>
        <v>12</v>
      </c>
      <c r="C73" s="2"/>
      <c r="D73" s="3" t="s">
        <v>18</v>
      </c>
      <c r="E73" s="3" t="s">
        <v>112</v>
      </c>
      <c r="F73" s="3" t="s">
        <v>29</v>
      </c>
      <c r="G73" s="3"/>
      <c r="H73" s="16"/>
      <c r="I73" s="16"/>
      <c r="J73" s="16"/>
      <c r="K73" s="86" t="s">
        <v>377</v>
      </c>
      <c r="L73" s="87"/>
      <c r="M73" s="87"/>
      <c r="N73" s="87"/>
      <c r="O73" s="87"/>
      <c r="P73" s="87"/>
      <c r="Q73" s="87"/>
      <c r="R73" s="87"/>
      <c r="S73" s="88"/>
      <c r="T73" s="26">
        <v>9</v>
      </c>
    </row>
    <row r="74" spans="2:20" s="44" customFormat="1">
      <c r="B74" s="5">
        <f t="shared" si="3"/>
        <v>13</v>
      </c>
      <c r="C74" s="2"/>
      <c r="D74" s="3" t="s">
        <v>18</v>
      </c>
      <c r="E74" s="3" t="s">
        <v>126</v>
      </c>
      <c r="F74" s="3" t="s">
        <v>29</v>
      </c>
      <c r="G74" s="3"/>
      <c r="H74" s="16"/>
      <c r="I74" s="16"/>
      <c r="J74" s="16"/>
      <c r="K74" s="86" t="s">
        <v>378</v>
      </c>
      <c r="L74" s="87"/>
      <c r="M74" s="87"/>
      <c r="N74" s="87"/>
      <c r="O74" s="87"/>
      <c r="P74" s="87"/>
      <c r="Q74" s="87"/>
      <c r="R74" s="87"/>
      <c r="S74" s="88"/>
      <c r="T74" s="26">
        <v>9</v>
      </c>
    </row>
    <row r="75" spans="2:20" s="44" customFormat="1">
      <c r="B75" s="5">
        <f t="shared" si="3"/>
        <v>14</v>
      </c>
      <c r="C75" s="2"/>
      <c r="D75" s="3" t="s">
        <v>18</v>
      </c>
      <c r="E75" s="3" t="s">
        <v>140</v>
      </c>
      <c r="F75" s="3" t="s">
        <v>29</v>
      </c>
      <c r="G75" s="3"/>
      <c r="H75" s="16"/>
      <c r="I75" s="16"/>
      <c r="J75" s="16"/>
      <c r="K75" s="86" t="s">
        <v>379</v>
      </c>
      <c r="L75" s="87"/>
      <c r="M75" s="87"/>
      <c r="N75" s="87"/>
      <c r="O75" s="87"/>
      <c r="P75" s="87"/>
      <c r="Q75" s="87"/>
      <c r="R75" s="87"/>
      <c r="S75" s="88"/>
      <c r="T75" s="26">
        <v>9</v>
      </c>
    </row>
    <row r="76" spans="2:20" s="44" customFormat="1">
      <c r="B76" s="5">
        <f t="shared" si="3"/>
        <v>15</v>
      </c>
      <c r="C76" s="2"/>
      <c r="D76" s="3" t="s">
        <v>18</v>
      </c>
      <c r="E76" s="3" t="s">
        <v>146</v>
      </c>
      <c r="F76" s="3" t="s">
        <v>29</v>
      </c>
      <c r="G76" s="2"/>
      <c r="H76" s="16"/>
      <c r="I76" s="16"/>
      <c r="J76" s="16"/>
      <c r="K76" s="86" t="s">
        <v>380</v>
      </c>
      <c r="L76" s="87"/>
      <c r="M76" s="87"/>
      <c r="N76" s="87"/>
      <c r="O76" s="87"/>
      <c r="P76" s="87"/>
      <c r="Q76" s="87"/>
      <c r="R76" s="87"/>
      <c r="S76" s="88"/>
      <c r="T76" s="26">
        <v>9</v>
      </c>
    </row>
    <row r="77" spans="2:20" s="44" customFormat="1">
      <c r="B77" s="5">
        <f t="shared" si="3"/>
        <v>16</v>
      </c>
      <c r="C77" s="2"/>
      <c r="D77" s="3" t="s">
        <v>18</v>
      </c>
      <c r="E77" s="3" t="s">
        <v>150</v>
      </c>
      <c r="F77" s="3" t="s">
        <v>29</v>
      </c>
      <c r="G77" s="3"/>
      <c r="H77" s="16"/>
      <c r="I77" s="16"/>
      <c r="J77" s="16"/>
      <c r="K77" s="86" t="s">
        <v>381</v>
      </c>
      <c r="L77" s="87"/>
      <c r="M77" s="87"/>
      <c r="N77" s="87"/>
      <c r="O77" s="87"/>
      <c r="P77" s="87"/>
      <c r="Q77" s="87"/>
      <c r="R77" s="87"/>
      <c r="S77" s="88"/>
      <c r="T77" s="26">
        <v>9</v>
      </c>
    </row>
    <row r="78" spans="2:20" s="44" customFormat="1">
      <c r="B78" s="5">
        <f t="shared" si="3"/>
        <v>17</v>
      </c>
      <c r="C78" s="2"/>
      <c r="D78" s="3" t="s">
        <v>18</v>
      </c>
      <c r="E78" s="3" t="s">
        <v>153</v>
      </c>
      <c r="F78" s="3" t="s">
        <v>382</v>
      </c>
      <c r="G78" s="3"/>
      <c r="H78" s="16"/>
      <c r="I78" s="16"/>
      <c r="J78" s="16"/>
      <c r="K78" s="16"/>
      <c r="L78" s="16"/>
      <c r="M78" s="86" t="s">
        <v>383</v>
      </c>
      <c r="N78" s="87"/>
      <c r="O78" s="87"/>
      <c r="P78" s="87"/>
      <c r="Q78" s="87"/>
      <c r="R78" s="87"/>
      <c r="S78" s="88"/>
      <c r="T78" s="26">
        <v>7</v>
      </c>
    </row>
    <row r="79" spans="2:20" s="44" customFormat="1">
      <c r="B79" s="5">
        <f t="shared" si="3"/>
        <v>18</v>
      </c>
      <c r="C79" s="2"/>
      <c r="D79" s="3" t="s">
        <v>18</v>
      </c>
      <c r="E79" s="3" t="s">
        <v>384</v>
      </c>
      <c r="F79" s="3" t="s">
        <v>382</v>
      </c>
      <c r="G79" s="3"/>
      <c r="H79" s="16"/>
      <c r="I79" s="16"/>
      <c r="J79" s="16"/>
      <c r="K79" s="16"/>
      <c r="L79" s="16"/>
      <c r="M79" s="86" t="s">
        <v>385</v>
      </c>
      <c r="N79" s="87"/>
      <c r="O79" s="87"/>
      <c r="P79" s="87"/>
      <c r="Q79" s="87"/>
      <c r="R79" s="87"/>
      <c r="S79" s="88"/>
      <c r="T79" s="26">
        <v>7</v>
      </c>
    </row>
    <row r="80" spans="2:20" s="44" customFormat="1">
      <c r="B80" s="5">
        <f t="shared" si="3"/>
        <v>19</v>
      </c>
      <c r="C80" s="2"/>
      <c r="D80" s="3" t="s">
        <v>18</v>
      </c>
      <c r="E80" s="3" t="s">
        <v>386</v>
      </c>
      <c r="F80" s="3" t="s">
        <v>387</v>
      </c>
      <c r="G80" s="3"/>
      <c r="H80" s="16"/>
      <c r="I80" s="16"/>
      <c r="J80" s="16"/>
      <c r="K80" s="16"/>
      <c r="L80" s="16"/>
      <c r="M80" s="86" t="s">
        <v>388</v>
      </c>
      <c r="N80" s="87"/>
      <c r="O80" s="87"/>
      <c r="P80" s="87"/>
      <c r="Q80" s="87"/>
      <c r="R80" s="87"/>
      <c r="S80" s="88"/>
      <c r="T80" s="26">
        <v>7</v>
      </c>
    </row>
    <row r="81" spans="1:21" s="44" customFormat="1">
      <c r="B81" s="5">
        <f t="shared" si="3"/>
        <v>20</v>
      </c>
      <c r="C81" s="2"/>
      <c r="D81" s="3" t="s">
        <v>18</v>
      </c>
      <c r="E81" s="3" t="s">
        <v>389</v>
      </c>
      <c r="F81" s="3" t="s">
        <v>387</v>
      </c>
      <c r="G81" s="3"/>
      <c r="H81" s="16"/>
      <c r="I81" s="16"/>
      <c r="J81" s="16"/>
      <c r="K81" s="16"/>
      <c r="L81" s="16"/>
      <c r="M81" s="86" t="s">
        <v>390</v>
      </c>
      <c r="N81" s="87"/>
      <c r="O81" s="87"/>
      <c r="P81" s="87"/>
      <c r="Q81" s="87"/>
      <c r="R81" s="87"/>
      <c r="S81" s="88"/>
      <c r="T81" s="26">
        <v>7</v>
      </c>
    </row>
    <row r="82" spans="1:21" s="44" customFormat="1">
      <c r="A82" s="44" t="s">
        <v>391</v>
      </c>
      <c r="B82" s="5">
        <f t="shared" si="3"/>
        <v>21</v>
      </c>
      <c r="C82" s="2"/>
      <c r="D82" s="3" t="s">
        <v>18</v>
      </c>
      <c r="E82" s="3" t="s">
        <v>392</v>
      </c>
      <c r="F82" s="3" t="s">
        <v>387</v>
      </c>
      <c r="G82" s="3"/>
      <c r="H82" s="16"/>
      <c r="I82" s="16"/>
      <c r="J82" s="16"/>
      <c r="K82" s="16"/>
      <c r="L82" s="16"/>
      <c r="M82" s="86" t="s">
        <v>393</v>
      </c>
      <c r="N82" s="87"/>
      <c r="O82" s="87"/>
      <c r="P82" s="87"/>
      <c r="Q82" s="87"/>
      <c r="R82" s="87"/>
      <c r="S82" s="88"/>
      <c r="T82" s="26">
        <v>7</v>
      </c>
    </row>
    <row r="83" spans="1:21" s="44" customFormat="1">
      <c r="B83" s="5">
        <f t="shared" si="3"/>
        <v>22</v>
      </c>
      <c r="C83" s="2"/>
      <c r="D83" s="3" t="s">
        <v>18</v>
      </c>
      <c r="E83" s="3" t="s">
        <v>394</v>
      </c>
      <c r="F83" s="3" t="s">
        <v>387</v>
      </c>
      <c r="G83" s="3"/>
      <c r="H83" s="16"/>
      <c r="I83" s="16"/>
      <c r="J83" s="16"/>
      <c r="K83" s="16"/>
      <c r="L83" s="16"/>
      <c r="M83" s="86" t="s">
        <v>395</v>
      </c>
      <c r="N83" s="87"/>
      <c r="O83" s="87"/>
      <c r="P83" s="87"/>
      <c r="Q83" s="87"/>
      <c r="R83" s="87"/>
      <c r="S83" s="88"/>
      <c r="T83" s="26">
        <v>7</v>
      </c>
    </row>
    <row r="84" spans="1:21" s="44" customFormat="1">
      <c r="B84" s="5">
        <f t="shared" si="3"/>
        <v>23</v>
      </c>
      <c r="C84" s="2"/>
      <c r="D84" s="3" t="s">
        <v>18</v>
      </c>
      <c r="E84" s="3" t="s">
        <v>396</v>
      </c>
      <c r="F84" s="3" t="s">
        <v>387</v>
      </c>
      <c r="G84" s="3"/>
      <c r="H84" s="16"/>
      <c r="I84" s="16"/>
      <c r="J84" s="16"/>
      <c r="K84" s="16"/>
      <c r="L84" s="16"/>
      <c r="M84" s="86" t="s">
        <v>397</v>
      </c>
      <c r="N84" s="87"/>
      <c r="O84" s="87"/>
      <c r="P84" s="87"/>
      <c r="Q84" s="87"/>
      <c r="R84" s="87"/>
      <c r="S84" s="88"/>
      <c r="T84" s="26">
        <v>7</v>
      </c>
    </row>
    <row r="85" spans="1:21" s="44" customFormat="1">
      <c r="B85" s="5">
        <f t="shared" si="3"/>
        <v>24</v>
      </c>
      <c r="C85" s="2"/>
      <c r="D85" s="3" t="s">
        <v>18</v>
      </c>
      <c r="E85" s="3" t="s">
        <v>398</v>
      </c>
      <c r="F85" s="3" t="s">
        <v>387</v>
      </c>
      <c r="G85" s="3"/>
      <c r="H85" s="16"/>
      <c r="I85" s="16"/>
      <c r="J85" s="16"/>
      <c r="K85" s="16"/>
      <c r="L85" s="16"/>
      <c r="M85" s="86" t="s">
        <v>399</v>
      </c>
      <c r="N85" s="87"/>
      <c r="O85" s="87"/>
      <c r="P85" s="87"/>
      <c r="Q85" s="87"/>
      <c r="R85" s="87"/>
      <c r="S85" s="88"/>
      <c r="T85" s="26">
        <v>7</v>
      </c>
    </row>
    <row r="86" spans="1:21">
      <c r="B86" s="5">
        <f t="shared" si="3"/>
        <v>25</v>
      </c>
      <c r="D86" s="3" t="s">
        <v>18</v>
      </c>
      <c r="E86" s="3" t="s">
        <v>196</v>
      </c>
      <c r="F86" s="3" t="s">
        <v>387</v>
      </c>
      <c r="H86" s="16"/>
      <c r="I86" s="16"/>
      <c r="J86" s="16"/>
      <c r="K86" s="16"/>
      <c r="L86" s="16"/>
      <c r="M86" s="86" t="s">
        <v>400</v>
      </c>
      <c r="N86" s="87"/>
      <c r="O86" s="87"/>
      <c r="P86" s="87"/>
      <c r="Q86" s="87"/>
      <c r="R86" s="87"/>
      <c r="S86" s="88"/>
      <c r="T86" s="26">
        <v>7</v>
      </c>
    </row>
    <row r="87" spans="1:21">
      <c r="B87" s="5">
        <f t="shared" si="3"/>
        <v>26</v>
      </c>
      <c r="D87" s="3" t="s">
        <v>18</v>
      </c>
      <c r="E87" s="3" t="s">
        <v>211</v>
      </c>
      <c r="F87" s="3" t="s">
        <v>387</v>
      </c>
      <c r="H87" s="16"/>
      <c r="I87" s="16"/>
      <c r="J87" s="16"/>
      <c r="K87" s="16"/>
      <c r="L87" s="16"/>
      <c r="M87" s="86" t="s">
        <v>401</v>
      </c>
      <c r="N87" s="87"/>
      <c r="O87" s="87"/>
      <c r="P87" s="87"/>
      <c r="Q87" s="87"/>
      <c r="R87" s="87"/>
      <c r="S87" s="88"/>
      <c r="T87" s="26">
        <v>7</v>
      </c>
    </row>
    <row r="88" spans="1:21">
      <c r="B88" s="5">
        <f t="shared" si="3"/>
        <v>27</v>
      </c>
      <c r="D88" s="3" t="s">
        <v>18</v>
      </c>
      <c r="E88" s="3" t="s">
        <v>218</v>
      </c>
      <c r="F88" s="3" t="s">
        <v>387</v>
      </c>
      <c r="H88" s="16"/>
      <c r="I88" s="16"/>
      <c r="J88" s="16"/>
      <c r="K88" s="16"/>
      <c r="L88" s="16"/>
      <c r="M88" s="86" t="s">
        <v>402</v>
      </c>
      <c r="N88" s="87"/>
      <c r="O88" s="87"/>
      <c r="P88" s="87"/>
      <c r="Q88" s="87"/>
      <c r="R88" s="87"/>
      <c r="S88" s="88"/>
      <c r="T88" s="26">
        <v>7</v>
      </c>
      <c r="U88" s="3"/>
    </row>
    <row r="89" spans="1:21">
      <c r="B89" s="5">
        <f t="shared" si="3"/>
        <v>28</v>
      </c>
      <c r="D89" s="3" t="s">
        <v>18</v>
      </c>
      <c r="E89" s="3" t="s">
        <v>222</v>
      </c>
      <c r="F89" s="3" t="s">
        <v>387</v>
      </c>
      <c r="H89" s="16"/>
      <c r="I89" s="16"/>
      <c r="J89" s="16"/>
      <c r="K89" s="16"/>
      <c r="L89" s="16"/>
      <c r="M89" s="86" t="s">
        <v>403</v>
      </c>
      <c r="N89" s="87"/>
      <c r="O89" s="87"/>
      <c r="P89" s="87"/>
      <c r="Q89" s="87"/>
      <c r="R89" s="87"/>
      <c r="S89" s="88"/>
      <c r="T89" s="26">
        <v>7</v>
      </c>
      <c r="U89" s="3"/>
    </row>
    <row r="90" spans="1:21">
      <c r="B90" s="5">
        <f t="shared" si="3"/>
        <v>29</v>
      </c>
      <c r="D90" s="3" t="s">
        <v>18</v>
      </c>
      <c r="E90" s="3" t="s">
        <v>232</v>
      </c>
      <c r="F90" s="3" t="s">
        <v>29</v>
      </c>
      <c r="H90" s="82" t="s">
        <v>404</v>
      </c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26">
        <v>12</v>
      </c>
    </row>
    <row r="91" spans="1:21" s="4" customFormat="1">
      <c r="A91" s="1"/>
      <c r="B91" s="5">
        <f t="shared" si="3"/>
        <v>30</v>
      </c>
      <c r="C91" s="2"/>
      <c r="D91" s="3" t="s">
        <v>18</v>
      </c>
      <c r="E91" s="3" t="s">
        <v>238</v>
      </c>
      <c r="F91" s="3" t="s">
        <v>29</v>
      </c>
      <c r="G91" s="3"/>
      <c r="H91" s="90" t="s">
        <v>405</v>
      </c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26">
        <v>12</v>
      </c>
      <c r="U91" s="1"/>
    </row>
    <row r="92" spans="1:21">
      <c r="T92" s="26">
        <f>SUM(T62:T91)</f>
        <v>252</v>
      </c>
    </row>
  </sheetData>
  <mergeCells count="97">
    <mergeCell ref="H7:O7"/>
    <mergeCell ref="P7:S7"/>
    <mergeCell ref="O3:S3"/>
    <mergeCell ref="H4:M4"/>
    <mergeCell ref="N5:S5"/>
    <mergeCell ref="H6:K6"/>
    <mergeCell ref="L6:S6"/>
    <mergeCell ref="H19:S19"/>
    <mergeCell ref="I9:J9"/>
    <mergeCell ref="K9:L9"/>
    <mergeCell ref="K10:M10"/>
    <mergeCell ref="N10:P10"/>
    <mergeCell ref="Q10:S10"/>
    <mergeCell ref="K11:M11"/>
    <mergeCell ref="N11:P11"/>
    <mergeCell ref="Q11:S11"/>
    <mergeCell ref="H16:K16"/>
    <mergeCell ref="L16:O16"/>
    <mergeCell ref="P16:S16"/>
    <mergeCell ref="H17:S17"/>
    <mergeCell ref="H18:S18"/>
    <mergeCell ref="J21:N21"/>
    <mergeCell ref="O21:S21"/>
    <mergeCell ref="J22:N22"/>
    <mergeCell ref="O22:S22"/>
    <mergeCell ref="J23:N23"/>
    <mergeCell ref="O23:S23"/>
    <mergeCell ref="J24:N24"/>
    <mergeCell ref="O24:S24"/>
    <mergeCell ref="J25:N25"/>
    <mergeCell ref="O25:S25"/>
    <mergeCell ref="J26:N26"/>
    <mergeCell ref="O26:S26"/>
    <mergeCell ref="I38:J38"/>
    <mergeCell ref="L38:S38"/>
    <mergeCell ref="J27:K27"/>
    <mergeCell ref="J29:N29"/>
    <mergeCell ref="O29:S29"/>
    <mergeCell ref="H31:M31"/>
    <mergeCell ref="N31:S31"/>
    <mergeCell ref="K32:S32"/>
    <mergeCell ref="J33:S33"/>
    <mergeCell ref="J34:S34"/>
    <mergeCell ref="J35:S35"/>
    <mergeCell ref="I36:S36"/>
    <mergeCell ref="H37:S37"/>
    <mergeCell ref="H40:S40"/>
    <mergeCell ref="H41:M41"/>
    <mergeCell ref="H44:K44"/>
    <mergeCell ref="N44:O44"/>
    <mergeCell ref="P44:Q44"/>
    <mergeCell ref="R44:S44"/>
    <mergeCell ref="L62:S62"/>
    <mergeCell ref="H45:S45"/>
    <mergeCell ref="N46:O46"/>
    <mergeCell ref="P46:S46"/>
    <mergeCell ref="M47:O47"/>
    <mergeCell ref="Q47:S47"/>
    <mergeCell ref="I52:K52"/>
    <mergeCell ref="L52:M52"/>
    <mergeCell ref="P53:S53"/>
    <mergeCell ref="H54:S54"/>
    <mergeCell ref="N55:O55"/>
    <mergeCell ref="P55:S55"/>
    <mergeCell ref="H57:S57"/>
    <mergeCell ref="K71:S71"/>
    <mergeCell ref="J63:N63"/>
    <mergeCell ref="O63:S63"/>
    <mergeCell ref="H64:L64"/>
    <mergeCell ref="O64:S64"/>
    <mergeCell ref="L65:O65"/>
    <mergeCell ref="P65:S65"/>
    <mergeCell ref="K66:S66"/>
    <mergeCell ref="K67:S67"/>
    <mergeCell ref="K68:S68"/>
    <mergeCell ref="K69:S69"/>
    <mergeCell ref="K70:S70"/>
    <mergeCell ref="M83:S83"/>
    <mergeCell ref="K72:S72"/>
    <mergeCell ref="K73:S73"/>
    <mergeCell ref="K74:S74"/>
    <mergeCell ref="K75:S75"/>
    <mergeCell ref="K76:S76"/>
    <mergeCell ref="K77:S77"/>
    <mergeCell ref="M78:S78"/>
    <mergeCell ref="M79:S79"/>
    <mergeCell ref="M80:S80"/>
    <mergeCell ref="M81:S81"/>
    <mergeCell ref="M82:S82"/>
    <mergeCell ref="H90:S90"/>
    <mergeCell ref="H91:S91"/>
    <mergeCell ref="M84:S84"/>
    <mergeCell ref="M85:S85"/>
    <mergeCell ref="M86:S86"/>
    <mergeCell ref="M87:S87"/>
    <mergeCell ref="M88:S88"/>
    <mergeCell ref="M89:S89"/>
  </mergeCells>
  <phoneticPr fontId="2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현정재( HYUN Jeongjae ) 전원구동반도체팀 / 1628630@mobis.com / 본 문서는 현대모비스의 대외비 정보자산이므로 무단 전재 및 복제할 수 없으며, 위반 시 당사 사규 및 관련 법규에 의해 제재될 수 있습니다. 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0A17-C9D1-4E39-9C8A-3D0FBA008094}">
  <sheetPr>
    <tabColor rgb="FF0000FF"/>
  </sheetPr>
  <dimension ref="A1:U92"/>
  <sheetViews>
    <sheetView showGridLines="0" topLeftCell="A47" zoomScale="55" zoomScaleNormal="55" workbookViewId="0">
      <selection activeCell="M96" sqref="M96"/>
    </sheetView>
  </sheetViews>
  <sheetFormatPr defaultColWidth="8.58203125" defaultRowHeight="17"/>
  <cols>
    <col min="1" max="1" width="8.58203125" style="1" customWidth="1"/>
    <col min="2" max="2" width="3.08203125" style="1" bestFit="1" customWidth="1"/>
    <col min="3" max="3" width="19.9140625" style="2" bestFit="1" customWidth="1"/>
    <col min="4" max="4" width="6.4140625" style="3" bestFit="1" customWidth="1"/>
    <col min="5" max="5" width="10.08203125" style="3" bestFit="1" customWidth="1"/>
    <col min="6" max="6" width="6.9140625" style="3" bestFit="1" customWidth="1"/>
    <col min="7" max="7" width="1.58203125" style="3" customWidth="1"/>
    <col min="8" max="8" width="16.4140625" style="3" bestFit="1" customWidth="1"/>
    <col min="9" max="9" width="19" style="3" customWidth="1"/>
    <col min="10" max="10" width="13.58203125" style="3" bestFit="1" customWidth="1"/>
    <col min="11" max="11" width="12.58203125" style="3" bestFit="1" customWidth="1"/>
    <col min="12" max="12" width="21" style="3" customWidth="1"/>
    <col min="13" max="13" width="21.9140625" style="3" customWidth="1"/>
    <col min="14" max="14" width="19.9140625" style="3" customWidth="1"/>
    <col min="15" max="15" width="21.58203125" style="3" customWidth="1"/>
    <col min="16" max="16" width="22.1640625" style="3" customWidth="1"/>
    <col min="17" max="17" width="22.08203125" style="3" customWidth="1"/>
    <col min="18" max="18" width="21.58203125" style="3" customWidth="1"/>
    <col min="19" max="19" width="22.58203125" style="3" customWidth="1"/>
    <col min="20" max="20" width="83.1640625" style="4" bestFit="1" customWidth="1"/>
    <col min="21" max="21" width="8.58203125" style="1" customWidth="1"/>
    <col min="22" max="16384" width="8.58203125" style="1"/>
  </cols>
  <sheetData>
    <row r="1" spans="2:20">
      <c r="D1" s="2"/>
      <c r="E1" s="2"/>
      <c r="F1" s="2"/>
    </row>
    <row r="2" spans="2:20">
      <c r="B2" s="5"/>
      <c r="C2" s="6" t="s">
        <v>0</v>
      </c>
      <c r="D2" s="7" t="s">
        <v>1</v>
      </c>
      <c r="E2" s="7" t="s">
        <v>2</v>
      </c>
      <c r="F2" s="7" t="s">
        <v>3</v>
      </c>
      <c r="G2" s="7"/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8" t="s">
        <v>16</v>
      </c>
    </row>
    <row r="3" spans="2:20" ht="85">
      <c r="B3" s="5">
        <v>1</v>
      </c>
      <c r="C3" s="2" t="s">
        <v>17</v>
      </c>
      <c r="D3" s="3" t="s">
        <v>18</v>
      </c>
      <c r="E3" s="3" t="s">
        <v>19</v>
      </c>
      <c r="F3" s="9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1"/>
      <c r="M3" s="11"/>
      <c r="N3" s="11"/>
      <c r="O3" s="63" t="s">
        <v>25</v>
      </c>
      <c r="P3" s="63"/>
      <c r="Q3" s="63"/>
      <c r="R3" s="63"/>
      <c r="S3" s="63"/>
      <c r="T3" s="12" t="s">
        <v>26</v>
      </c>
    </row>
    <row r="4" spans="2:20" ht="101.4" customHeight="1">
      <c r="B4" s="5">
        <f>B3+1</f>
        <v>2</v>
      </c>
      <c r="C4" s="2" t="s">
        <v>27</v>
      </c>
      <c r="D4" s="3" t="s">
        <v>18</v>
      </c>
      <c r="E4" s="3" t="s">
        <v>28</v>
      </c>
      <c r="F4" s="3" t="s">
        <v>29</v>
      </c>
      <c r="H4" s="64" t="s">
        <v>30</v>
      </c>
      <c r="I4" s="65"/>
      <c r="J4" s="65"/>
      <c r="K4" s="65"/>
      <c r="L4" s="65"/>
      <c r="M4" s="65"/>
      <c r="N4" s="13" t="s">
        <v>31</v>
      </c>
      <c r="O4" s="14" t="s">
        <v>32</v>
      </c>
      <c r="P4" s="13" t="s">
        <v>33</v>
      </c>
      <c r="Q4" s="15" t="s">
        <v>34</v>
      </c>
      <c r="R4" s="15" t="s">
        <v>35</v>
      </c>
      <c r="S4" s="13" t="s">
        <v>36</v>
      </c>
      <c r="T4" s="12" t="s">
        <v>37</v>
      </c>
    </row>
    <row r="5" spans="2:20">
      <c r="B5" s="5">
        <f t="shared" ref="B5:B41" si="0">B4+1</f>
        <v>3</v>
      </c>
      <c r="C5" s="2" t="s">
        <v>38</v>
      </c>
      <c r="D5" s="3" t="s">
        <v>18</v>
      </c>
      <c r="E5" s="3" t="s">
        <v>39</v>
      </c>
      <c r="F5" s="3" t="s">
        <v>29</v>
      </c>
      <c r="H5" s="16"/>
      <c r="I5" s="16"/>
      <c r="J5" s="16"/>
      <c r="K5" s="16"/>
      <c r="L5" s="16"/>
      <c r="M5" s="16"/>
      <c r="N5" s="100" t="s">
        <v>422</v>
      </c>
      <c r="O5" s="101"/>
      <c r="P5" s="101"/>
      <c r="Q5" s="101"/>
      <c r="R5" s="101"/>
      <c r="S5" s="102"/>
      <c r="T5" s="1" t="s">
        <v>41</v>
      </c>
    </row>
    <row r="6" spans="2:20">
      <c r="B6" s="5">
        <f t="shared" si="0"/>
        <v>4</v>
      </c>
      <c r="C6" s="2" t="s">
        <v>42</v>
      </c>
      <c r="D6" s="3" t="s">
        <v>18</v>
      </c>
      <c r="E6" s="3" t="s">
        <v>43</v>
      </c>
      <c r="F6" s="3" t="s">
        <v>29</v>
      </c>
      <c r="H6" s="69" t="s">
        <v>44</v>
      </c>
      <c r="I6" s="69"/>
      <c r="J6" s="69"/>
      <c r="K6" s="69"/>
      <c r="L6" s="69" t="s">
        <v>45</v>
      </c>
      <c r="M6" s="69"/>
      <c r="N6" s="69"/>
      <c r="O6" s="69"/>
      <c r="P6" s="69"/>
      <c r="Q6" s="69"/>
      <c r="R6" s="69"/>
      <c r="S6" s="69"/>
      <c r="T6" s="17" t="s">
        <v>46</v>
      </c>
    </row>
    <row r="7" spans="2:20">
      <c r="B7" s="5">
        <f t="shared" si="0"/>
        <v>5</v>
      </c>
      <c r="C7" s="2" t="s">
        <v>47</v>
      </c>
      <c r="D7" s="3" t="s">
        <v>18</v>
      </c>
      <c r="E7" s="3" t="s">
        <v>48</v>
      </c>
      <c r="F7" s="3" t="s">
        <v>29</v>
      </c>
      <c r="H7" s="69" t="s">
        <v>49</v>
      </c>
      <c r="I7" s="69"/>
      <c r="J7" s="69"/>
      <c r="K7" s="69"/>
      <c r="L7" s="69"/>
      <c r="M7" s="69"/>
      <c r="N7" s="69"/>
      <c r="O7" s="69"/>
      <c r="P7" s="69" t="s">
        <v>50</v>
      </c>
      <c r="Q7" s="69"/>
      <c r="R7" s="69"/>
      <c r="S7" s="69"/>
      <c r="T7" s="18" t="s">
        <v>51</v>
      </c>
    </row>
    <row r="8" spans="2:20">
      <c r="B8" s="5">
        <f t="shared" si="0"/>
        <v>6</v>
      </c>
      <c r="C8" s="2" t="s">
        <v>52</v>
      </c>
      <c r="D8" s="3" t="s">
        <v>18</v>
      </c>
      <c r="E8" s="3" t="s">
        <v>53</v>
      </c>
      <c r="F8" s="3" t="s">
        <v>29</v>
      </c>
      <c r="H8" s="19" t="s">
        <v>54</v>
      </c>
      <c r="I8" s="19" t="s">
        <v>55</v>
      </c>
      <c r="J8" s="19" t="s">
        <v>56</v>
      </c>
      <c r="K8" s="19" t="s">
        <v>57</v>
      </c>
      <c r="L8" s="19" t="s">
        <v>58</v>
      </c>
      <c r="M8" s="19" t="s">
        <v>59</v>
      </c>
      <c r="N8" s="19" t="s">
        <v>60</v>
      </c>
      <c r="O8" s="19" t="s">
        <v>61</v>
      </c>
      <c r="P8" s="19" t="s">
        <v>62</v>
      </c>
      <c r="Q8" s="19" t="s">
        <v>63</v>
      </c>
      <c r="R8" s="19" t="s">
        <v>64</v>
      </c>
      <c r="S8" s="19" t="s">
        <v>65</v>
      </c>
      <c r="T8" s="20"/>
    </row>
    <row r="9" spans="2:20" ht="68">
      <c r="B9" s="5">
        <f t="shared" si="0"/>
        <v>7</v>
      </c>
      <c r="C9" s="21" t="s">
        <v>66</v>
      </c>
      <c r="D9" s="3" t="s">
        <v>18</v>
      </c>
      <c r="E9" s="3" t="s">
        <v>67</v>
      </c>
      <c r="F9" s="3" t="s">
        <v>406</v>
      </c>
      <c r="H9" s="22"/>
      <c r="I9" s="96" t="s">
        <v>69</v>
      </c>
      <c r="J9" s="96"/>
      <c r="K9" s="97" t="s">
        <v>70</v>
      </c>
      <c r="L9" s="95"/>
      <c r="M9" s="22" t="s">
        <v>71</v>
      </c>
      <c r="N9" s="22" t="s">
        <v>198</v>
      </c>
      <c r="O9" s="22" t="s">
        <v>72</v>
      </c>
      <c r="P9" s="22" t="s">
        <v>73</v>
      </c>
      <c r="Q9" s="22" t="s">
        <v>74</v>
      </c>
      <c r="R9" s="22" t="s">
        <v>75</v>
      </c>
      <c r="S9" s="22" t="s">
        <v>76</v>
      </c>
      <c r="T9" s="20" t="s">
        <v>77</v>
      </c>
    </row>
    <row r="10" spans="2:20">
      <c r="B10" s="5">
        <f>B9+1</f>
        <v>8</v>
      </c>
      <c r="C10" s="2" t="s">
        <v>78</v>
      </c>
      <c r="D10" s="3" t="s">
        <v>18</v>
      </c>
      <c r="E10" s="3" t="s">
        <v>79</v>
      </c>
      <c r="F10" s="3" t="s">
        <v>29</v>
      </c>
      <c r="H10" s="23"/>
      <c r="I10" s="23"/>
      <c r="J10" s="23"/>
      <c r="K10" s="73" t="s">
        <v>80</v>
      </c>
      <c r="L10" s="73"/>
      <c r="M10" s="73"/>
      <c r="N10" s="73" t="s">
        <v>81</v>
      </c>
      <c r="O10" s="73"/>
      <c r="P10" s="73"/>
      <c r="Q10" s="73" t="s">
        <v>82</v>
      </c>
      <c r="R10" s="73"/>
      <c r="S10" s="73"/>
      <c r="T10" s="12"/>
    </row>
    <row r="11" spans="2:20" ht="17.149999999999999" customHeight="1">
      <c r="B11" s="5">
        <f t="shared" si="0"/>
        <v>9</v>
      </c>
      <c r="C11" s="2" t="s">
        <v>83</v>
      </c>
      <c r="D11" s="3" t="s">
        <v>18</v>
      </c>
      <c r="E11" s="3" t="s">
        <v>84</v>
      </c>
      <c r="F11" s="3" t="s">
        <v>29</v>
      </c>
      <c r="H11" s="23"/>
      <c r="I11" s="23"/>
      <c r="J11" s="23"/>
      <c r="K11" s="73" t="s">
        <v>85</v>
      </c>
      <c r="L11" s="73"/>
      <c r="M11" s="73"/>
      <c r="N11" s="73" t="s">
        <v>86</v>
      </c>
      <c r="O11" s="73"/>
      <c r="P11" s="73"/>
      <c r="Q11" s="73" t="s">
        <v>87</v>
      </c>
      <c r="R11" s="73"/>
      <c r="S11" s="73"/>
      <c r="T11" s="12"/>
    </row>
    <row r="12" spans="2:20">
      <c r="B12" s="5">
        <f t="shared" si="0"/>
        <v>10</v>
      </c>
      <c r="C12" s="21" t="s">
        <v>88</v>
      </c>
      <c r="D12" s="3" t="s">
        <v>89</v>
      </c>
      <c r="E12" s="3" t="s">
        <v>90</v>
      </c>
      <c r="F12" s="3" t="s">
        <v>91</v>
      </c>
      <c r="H12" s="10"/>
      <c r="I12" s="10"/>
      <c r="J12" s="10"/>
      <c r="K12" s="10"/>
      <c r="L12" s="10"/>
      <c r="M12" s="10"/>
      <c r="N12" s="10"/>
      <c r="O12" s="10" t="s">
        <v>92</v>
      </c>
      <c r="P12" s="10" t="s">
        <v>93</v>
      </c>
      <c r="Q12" s="10" t="s">
        <v>94</v>
      </c>
      <c r="R12" s="10" t="s">
        <v>95</v>
      </c>
      <c r="S12" s="10" t="s">
        <v>96</v>
      </c>
      <c r="T12" s="20" t="s">
        <v>97</v>
      </c>
    </row>
    <row r="13" spans="2:20">
      <c r="B13" s="5"/>
      <c r="C13" s="21" t="s">
        <v>98</v>
      </c>
      <c r="D13" s="3" t="s">
        <v>89</v>
      </c>
      <c r="E13" s="3" t="s">
        <v>99</v>
      </c>
      <c r="F13" s="3" t="s">
        <v>91</v>
      </c>
      <c r="H13" s="22" t="s">
        <v>407</v>
      </c>
      <c r="I13" s="22" t="s">
        <v>408</v>
      </c>
      <c r="J13" s="22" t="s">
        <v>101</v>
      </c>
      <c r="K13" s="22" t="s">
        <v>102</v>
      </c>
      <c r="L13" s="22" t="s">
        <v>100</v>
      </c>
      <c r="M13" s="22" t="s">
        <v>409</v>
      </c>
      <c r="N13" s="22" t="s">
        <v>410</v>
      </c>
      <c r="O13" s="22" t="s">
        <v>411</v>
      </c>
      <c r="P13" s="22" t="s">
        <v>412</v>
      </c>
      <c r="Q13" s="22" t="s">
        <v>108</v>
      </c>
      <c r="R13" s="22" t="s">
        <v>109</v>
      </c>
      <c r="S13" s="22" t="s">
        <v>110</v>
      </c>
      <c r="T13" s="20"/>
    </row>
    <row r="14" spans="2:20">
      <c r="B14" s="5"/>
      <c r="C14" s="21" t="s">
        <v>111</v>
      </c>
      <c r="D14" s="3" t="s">
        <v>89</v>
      </c>
      <c r="E14" s="3" t="s">
        <v>112</v>
      </c>
      <c r="F14" s="3" t="s">
        <v>91</v>
      </c>
      <c r="H14" s="10" t="s">
        <v>113</v>
      </c>
      <c r="I14" s="10" t="s">
        <v>114</v>
      </c>
      <c r="J14" s="10" t="s">
        <v>115</v>
      </c>
      <c r="K14" s="10" t="s">
        <v>116</v>
      </c>
      <c r="L14" s="10" t="s">
        <v>117</v>
      </c>
      <c r="M14" s="10" t="s">
        <v>118</v>
      </c>
      <c r="N14" s="10" t="s">
        <v>119</v>
      </c>
      <c r="O14" s="10" t="s">
        <v>120</v>
      </c>
      <c r="P14" s="10" t="s">
        <v>121</v>
      </c>
      <c r="Q14" s="10" t="s">
        <v>122</v>
      </c>
      <c r="R14" s="10" t="s">
        <v>123</v>
      </c>
      <c r="S14" s="10" t="s">
        <v>124</v>
      </c>
      <c r="T14" s="20"/>
    </row>
    <row r="15" spans="2:20">
      <c r="B15" s="5"/>
      <c r="C15" s="21" t="s">
        <v>125</v>
      </c>
      <c r="D15" s="3" t="s">
        <v>89</v>
      </c>
      <c r="E15" s="3" t="s">
        <v>126</v>
      </c>
      <c r="F15" s="3" t="s">
        <v>91</v>
      </c>
      <c r="H15" s="10" t="s">
        <v>127</v>
      </c>
      <c r="I15" s="10" t="s">
        <v>128</v>
      </c>
      <c r="J15" s="10" t="s">
        <v>129</v>
      </c>
      <c r="K15" s="10" t="s">
        <v>130</v>
      </c>
      <c r="L15" s="10" t="s">
        <v>131</v>
      </c>
      <c r="M15" s="10" t="s">
        <v>132</v>
      </c>
      <c r="N15" s="10" t="s">
        <v>133</v>
      </c>
      <c r="O15" s="10" t="s">
        <v>134</v>
      </c>
      <c r="P15" s="10" t="s">
        <v>135</v>
      </c>
      <c r="Q15" s="10" t="s">
        <v>136</v>
      </c>
      <c r="R15" s="10" t="s">
        <v>137</v>
      </c>
      <c r="S15" s="10" t="s">
        <v>138</v>
      </c>
      <c r="T15" s="20"/>
    </row>
    <row r="16" spans="2:20" ht="17.149999999999999" customHeight="1">
      <c r="B16" s="5">
        <f>B12+1</f>
        <v>11</v>
      </c>
      <c r="C16" s="2" t="s">
        <v>139</v>
      </c>
      <c r="D16" s="3" t="s">
        <v>18</v>
      </c>
      <c r="E16" s="3" t="s">
        <v>140</v>
      </c>
      <c r="F16" s="3" t="s">
        <v>91</v>
      </c>
      <c r="H16" s="70" t="s">
        <v>141</v>
      </c>
      <c r="I16" s="70"/>
      <c r="J16" s="70"/>
      <c r="K16" s="70"/>
      <c r="L16" s="70" t="s">
        <v>142</v>
      </c>
      <c r="M16" s="70"/>
      <c r="N16" s="70"/>
      <c r="O16" s="70"/>
      <c r="P16" s="70" t="s">
        <v>143</v>
      </c>
      <c r="Q16" s="70"/>
      <c r="R16" s="70"/>
      <c r="S16" s="70"/>
      <c r="T16" s="12" t="s">
        <v>144</v>
      </c>
    </row>
    <row r="17" spans="2:20">
      <c r="B17" s="5">
        <f t="shared" si="0"/>
        <v>12</v>
      </c>
      <c r="C17" s="2" t="s">
        <v>145</v>
      </c>
      <c r="D17" s="3" t="s">
        <v>18</v>
      </c>
      <c r="E17" s="3" t="s">
        <v>146</v>
      </c>
      <c r="F17" s="3" t="s">
        <v>91</v>
      </c>
      <c r="H17" s="63" t="s">
        <v>147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18" t="s">
        <v>148</v>
      </c>
    </row>
    <row r="18" spans="2:20">
      <c r="B18" s="5">
        <f t="shared" si="0"/>
        <v>13</v>
      </c>
      <c r="C18" s="2" t="s">
        <v>149</v>
      </c>
      <c r="D18" s="3" t="s">
        <v>18</v>
      </c>
      <c r="E18" s="3" t="s">
        <v>150</v>
      </c>
      <c r="F18" s="3" t="s">
        <v>91</v>
      </c>
      <c r="H18" s="63" t="s">
        <v>151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18" t="s">
        <v>148</v>
      </c>
    </row>
    <row r="19" spans="2:20">
      <c r="B19" s="5">
        <f t="shared" si="0"/>
        <v>14</v>
      </c>
      <c r="C19" s="2" t="s">
        <v>152</v>
      </c>
      <c r="D19" s="3" t="s">
        <v>18</v>
      </c>
      <c r="E19" s="3" t="s">
        <v>153</v>
      </c>
      <c r="F19" s="3" t="s">
        <v>91</v>
      </c>
      <c r="H19" s="63" t="s">
        <v>154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18" t="s">
        <v>148</v>
      </c>
    </row>
    <row r="20" spans="2:20" ht="34">
      <c r="B20" s="5">
        <f t="shared" si="0"/>
        <v>15</v>
      </c>
      <c r="C20" s="2" t="s">
        <v>155</v>
      </c>
      <c r="D20" s="3" t="s">
        <v>18</v>
      </c>
      <c r="E20" s="3" t="s">
        <v>156</v>
      </c>
      <c r="F20" s="3" t="s">
        <v>91</v>
      </c>
      <c r="H20" s="19" t="s">
        <v>157</v>
      </c>
      <c r="I20" s="19" t="s">
        <v>158</v>
      </c>
      <c r="J20" s="19" t="s">
        <v>159</v>
      </c>
      <c r="K20" s="19" t="s">
        <v>160</v>
      </c>
      <c r="L20" s="19" t="s">
        <v>161</v>
      </c>
      <c r="M20" s="19" t="s">
        <v>162</v>
      </c>
      <c r="N20" s="19" t="s">
        <v>163</v>
      </c>
      <c r="O20" s="19" t="s">
        <v>164</v>
      </c>
      <c r="P20" s="19" t="s">
        <v>165</v>
      </c>
      <c r="Q20" s="19" t="s">
        <v>166</v>
      </c>
      <c r="R20" s="19" t="s">
        <v>167</v>
      </c>
      <c r="S20" s="19" t="s">
        <v>168</v>
      </c>
      <c r="T20" s="24" t="s">
        <v>169</v>
      </c>
    </row>
    <row r="21" spans="2:20">
      <c r="B21" s="5">
        <f>B20+1</f>
        <v>16</v>
      </c>
      <c r="C21" s="2" t="s">
        <v>170</v>
      </c>
      <c r="D21" s="3" t="s">
        <v>18</v>
      </c>
      <c r="E21" s="3" t="s">
        <v>171</v>
      </c>
      <c r="F21" s="3" t="s">
        <v>91</v>
      </c>
      <c r="H21" s="25"/>
      <c r="I21" s="23"/>
      <c r="J21" s="69" t="s">
        <v>172</v>
      </c>
      <c r="K21" s="69"/>
      <c r="L21" s="69"/>
      <c r="M21" s="69"/>
      <c r="N21" s="69"/>
      <c r="O21" s="69" t="s">
        <v>173</v>
      </c>
      <c r="P21" s="69"/>
      <c r="Q21" s="69"/>
      <c r="R21" s="69"/>
      <c r="S21" s="69"/>
      <c r="T21" s="26" t="s">
        <v>174</v>
      </c>
    </row>
    <row r="22" spans="2:20">
      <c r="B22" s="5">
        <f t="shared" si="0"/>
        <v>17</v>
      </c>
      <c r="C22" s="2" t="s">
        <v>175</v>
      </c>
      <c r="D22" s="3" t="s">
        <v>18</v>
      </c>
      <c r="E22" s="3" t="s">
        <v>176</v>
      </c>
      <c r="F22" s="3" t="s">
        <v>91</v>
      </c>
      <c r="H22" s="25"/>
      <c r="I22" s="25"/>
      <c r="J22" s="69" t="s">
        <v>177</v>
      </c>
      <c r="K22" s="69"/>
      <c r="L22" s="69"/>
      <c r="M22" s="69"/>
      <c r="N22" s="69"/>
      <c r="O22" s="69" t="s">
        <v>178</v>
      </c>
      <c r="P22" s="69"/>
      <c r="Q22" s="69"/>
      <c r="R22" s="69"/>
      <c r="S22" s="69"/>
      <c r="T22" s="27"/>
    </row>
    <row r="23" spans="2:20">
      <c r="B23" s="5">
        <f t="shared" si="0"/>
        <v>18</v>
      </c>
      <c r="C23" s="2" t="s">
        <v>179</v>
      </c>
      <c r="D23" s="3" t="s">
        <v>18</v>
      </c>
      <c r="E23" s="3" t="s">
        <v>180</v>
      </c>
      <c r="F23" s="3" t="s">
        <v>91</v>
      </c>
      <c r="H23" s="25"/>
      <c r="I23" s="25"/>
      <c r="J23" s="69" t="s">
        <v>181</v>
      </c>
      <c r="K23" s="69"/>
      <c r="L23" s="69"/>
      <c r="M23" s="69"/>
      <c r="N23" s="69"/>
      <c r="O23" s="69" t="s">
        <v>182</v>
      </c>
      <c r="P23" s="69"/>
      <c r="Q23" s="69"/>
      <c r="R23" s="69"/>
      <c r="S23" s="69"/>
      <c r="T23" s="27"/>
    </row>
    <row r="24" spans="2:20">
      <c r="B24" s="5">
        <f t="shared" si="0"/>
        <v>19</v>
      </c>
      <c r="C24" s="2" t="s">
        <v>183</v>
      </c>
      <c r="D24" s="3" t="s">
        <v>18</v>
      </c>
      <c r="E24" s="3" t="s">
        <v>184</v>
      </c>
      <c r="F24" s="3" t="s">
        <v>91</v>
      </c>
      <c r="H24" s="25"/>
      <c r="I24" s="25"/>
      <c r="J24" s="69" t="s">
        <v>185</v>
      </c>
      <c r="K24" s="69"/>
      <c r="L24" s="69"/>
      <c r="M24" s="69"/>
      <c r="N24" s="69"/>
      <c r="O24" s="69" t="s">
        <v>186</v>
      </c>
      <c r="P24" s="69"/>
      <c r="Q24" s="69"/>
      <c r="R24" s="69"/>
      <c r="S24" s="69"/>
      <c r="T24" s="12"/>
    </row>
    <row r="25" spans="2:20">
      <c r="B25" s="5">
        <f t="shared" si="0"/>
        <v>20</v>
      </c>
      <c r="C25" s="2" t="s">
        <v>187</v>
      </c>
      <c r="D25" s="3" t="s">
        <v>18</v>
      </c>
      <c r="E25" s="3" t="s">
        <v>188</v>
      </c>
      <c r="F25" s="3" t="s">
        <v>91</v>
      </c>
      <c r="H25" s="25"/>
      <c r="I25" s="25"/>
      <c r="J25" s="69" t="s">
        <v>189</v>
      </c>
      <c r="K25" s="69"/>
      <c r="L25" s="69"/>
      <c r="M25" s="69"/>
      <c r="N25" s="69"/>
      <c r="O25" s="69" t="s">
        <v>190</v>
      </c>
      <c r="P25" s="69"/>
      <c r="Q25" s="69"/>
      <c r="R25" s="69"/>
      <c r="S25" s="69"/>
      <c r="T25" s="12"/>
    </row>
    <row r="26" spans="2:20">
      <c r="B26" s="5">
        <f t="shared" si="0"/>
        <v>21</v>
      </c>
      <c r="C26" s="2" t="s">
        <v>191</v>
      </c>
      <c r="D26" s="3" t="s">
        <v>18</v>
      </c>
      <c r="E26" s="3" t="s">
        <v>192</v>
      </c>
      <c r="F26" s="3" t="s">
        <v>91</v>
      </c>
      <c r="H26" s="25"/>
      <c r="I26" s="25"/>
      <c r="J26" s="69" t="s">
        <v>193</v>
      </c>
      <c r="K26" s="69"/>
      <c r="L26" s="69"/>
      <c r="M26" s="69"/>
      <c r="N26" s="69"/>
      <c r="O26" s="69" t="s">
        <v>194</v>
      </c>
      <c r="P26" s="69"/>
      <c r="Q26" s="69"/>
      <c r="R26" s="69"/>
      <c r="S26" s="69"/>
      <c r="T26" s="12"/>
    </row>
    <row r="27" spans="2:20">
      <c r="B27" s="5"/>
      <c r="C27" s="21" t="s">
        <v>195</v>
      </c>
      <c r="D27" s="3" t="s">
        <v>18</v>
      </c>
      <c r="E27" s="3" t="s">
        <v>196</v>
      </c>
      <c r="F27" s="3" t="s">
        <v>413</v>
      </c>
      <c r="H27" s="22" t="s">
        <v>414</v>
      </c>
      <c r="I27" s="22" t="s">
        <v>201</v>
      </c>
      <c r="J27" s="94" t="s">
        <v>200</v>
      </c>
      <c r="K27" s="95"/>
      <c r="L27" s="28" t="s">
        <v>199</v>
      </c>
      <c r="M27" s="22" t="s">
        <v>207</v>
      </c>
      <c r="N27" s="22" t="s">
        <v>206</v>
      </c>
      <c r="O27" s="22" t="s">
        <v>208</v>
      </c>
      <c r="P27" s="22" t="s">
        <v>415</v>
      </c>
      <c r="Q27" s="22" t="s">
        <v>416</v>
      </c>
      <c r="R27" s="22" t="s">
        <v>417</v>
      </c>
      <c r="S27" s="22" t="s">
        <v>203</v>
      </c>
      <c r="T27" s="12"/>
    </row>
    <row r="28" spans="2:20">
      <c r="B28" s="5"/>
      <c r="C28" s="21" t="s">
        <v>209</v>
      </c>
      <c r="D28" s="3" t="s">
        <v>210</v>
      </c>
      <c r="E28" s="3" t="s">
        <v>211</v>
      </c>
      <c r="F28" s="3" t="s">
        <v>29</v>
      </c>
      <c r="H28" s="22" t="s">
        <v>212</v>
      </c>
      <c r="I28" s="25"/>
      <c r="J28" s="11"/>
      <c r="K28" s="11"/>
      <c r="L28" s="11"/>
      <c r="M28" s="11"/>
      <c r="N28" s="11"/>
      <c r="O28" s="11"/>
      <c r="P28" s="11"/>
      <c r="Q28" s="22" t="s">
        <v>214</v>
      </c>
      <c r="R28" s="22" t="s">
        <v>215</v>
      </c>
      <c r="S28" s="22" t="s">
        <v>216</v>
      </c>
      <c r="T28" s="12"/>
    </row>
    <row r="29" spans="2:20" ht="51">
      <c r="B29" s="5"/>
      <c r="C29" s="21" t="s">
        <v>217</v>
      </c>
      <c r="D29" s="3" t="s">
        <v>18</v>
      </c>
      <c r="E29" s="45" t="s">
        <v>423</v>
      </c>
      <c r="F29" s="3" t="s">
        <v>29</v>
      </c>
      <c r="H29" s="25"/>
      <c r="I29" s="25"/>
      <c r="J29" s="97" t="s">
        <v>419</v>
      </c>
      <c r="K29" s="98"/>
      <c r="L29" s="98"/>
      <c r="M29" s="98"/>
      <c r="N29" s="98"/>
      <c r="O29" s="98" t="s">
        <v>420</v>
      </c>
      <c r="P29" s="98"/>
      <c r="Q29" s="98"/>
      <c r="R29" s="98"/>
      <c r="S29" s="99"/>
      <c r="T29" s="12"/>
    </row>
    <row r="30" spans="2:20" ht="51">
      <c r="B30" s="5"/>
      <c r="C30" s="21" t="s">
        <v>221</v>
      </c>
      <c r="D30" s="3" t="s">
        <v>18</v>
      </c>
      <c r="E30" s="45" t="s">
        <v>424</v>
      </c>
      <c r="F30" s="3" t="s">
        <v>29</v>
      </c>
      <c r="H30" s="25"/>
      <c r="I30" s="25"/>
      <c r="J30" s="11"/>
      <c r="K30" s="11"/>
      <c r="L30" s="11"/>
      <c r="M30" s="11"/>
      <c r="N30" s="11"/>
      <c r="O30" s="11"/>
      <c r="P30" s="11"/>
      <c r="Q30" s="11"/>
      <c r="R30" s="11"/>
      <c r="S30" s="22" t="s">
        <v>421</v>
      </c>
      <c r="T30" s="12"/>
    </row>
    <row r="31" spans="2:20">
      <c r="B31" s="5">
        <f>B26+1</f>
        <v>22</v>
      </c>
      <c r="C31" s="2" t="s">
        <v>231</v>
      </c>
      <c r="D31" s="3" t="s">
        <v>18</v>
      </c>
      <c r="E31" s="3" t="s">
        <v>232</v>
      </c>
      <c r="F31" s="3" t="s">
        <v>233</v>
      </c>
      <c r="H31" s="69" t="s">
        <v>234</v>
      </c>
      <c r="I31" s="69"/>
      <c r="J31" s="69"/>
      <c r="K31" s="69"/>
      <c r="L31" s="69"/>
      <c r="M31" s="69"/>
      <c r="N31" s="69" t="s">
        <v>235</v>
      </c>
      <c r="O31" s="69"/>
      <c r="P31" s="69"/>
      <c r="Q31" s="69"/>
      <c r="R31" s="69"/>
      <c r="S31" s="69"/>
      <c r="T31" s="12" t="s">
        <v>236</v>
      </c>
    </row>
    <row r="32" spans="2:20">
      <c r="B32" s="5">
        <f t="shared" si="0"/>
        <v>23</v>
      </c>
      <c r="C32" s="2" t="s">
        <v>237</v>
      </c>
      <c r="D32" s="3" t="s">
        <v>18</v>
      </c>
      <c r="E32" s="3" t="s">
        <v>238</v>
      </c>
      <c r="F32" s="3" t="s">
        <v>239</v>
      </c>
      <c r="H32" s="11"/>
      <c r="I32" s="11"/>
      <c r="J32" s="11"/>
      <c r="K32" s="69" t="s">
        <v>240</v>
      </c>
      <c r="L32" s="69"/>
      <c r="M32" s="69"/>
      <c r="N32" s="69"/>
      <c r="O32" s="69"/>
      <c r="P32" s="69"/>
      <c r="Q32" s="69"/>
      <c r="R32" s="69"/>
      <c r="S32" s="69"/>
      <c r="T32" s="12" t="s">
        <v>241</v>
      </c>
    </row>
    <row r="33" spans="2:20" ht="34">
      <c r="B33" s="5">
        <f t="shared" si="0"/>
        <v>24</v>
      </c>
      <c r="C33" s="2" t="s">
        <v>242</v>
      </c>
      <c r="D33" s="3" t="s">
        <v>18</v>
      </c>
      <c r="E33" s="3" t="s">
        <v>243</v>
      </c>
      <c r="F33" s="3" t="s">
        <v>29</v>
      </c>
      <c r="H33" s="11"/>
      <c r="I33" s="11"/>
      <c r="J33" s="69" t="s">
        <v>244</v>
      </c>
      <c r="K33" s="69"/>
      <c r="L33" s="69"/>
      <c r="M33" s="69"/>
      <c r="N33" s="69"/>
      <c r="O33" s="69"/>
      <c r="P33" s="69"/>
      <c r="Q33" s="69"/>
      <c r="R33" s="69"/>
      <c r="S33" s="69"/>
      <c r="T33" s="12" t="s">
        <v>245</v>
      </c>
    </row>
    <row r="34" spans="2:20" ht="34">
      <c r="B34" s="5">
        <f t="shared" si="0"/>
        <v>25</v>
      </c>
      <c r="C34" s="2" t="s">
        <v>246</v>
      </c>
      <c r="D34" s="3" t="s">
        <v>18</v>
      </c>
      <c r="E34" s="3" t="s">
        <v>247</v>
      </c>
      <c r="F34" s="3" t="s">
        <v>29</v>
      </c>
      <c r="H34" s="10" t="s">
        <v>248</v>
      </c>
      <c r="I34" s="11"/>
      <c r="J34" s="69" t="s">
        <v>249</v>
      </c>
      <c r="K34" s="69"/>
      <c r="L34" s="69"/>
      <c r="M34" s="69"/>
      <c r="N34" s="69"/>
      <c r="O34" s="69"/>
      <c r="P34" s="69"/>
      <c r="Q34" s="69"/>
      <c r="R34" s="69"/>
      <c r="S34" s="69"/>
      <c r="T34" s="12" t="s">
        <v>245</v>
      </c>
    </row>
    <row r="35" spans="2:20">
      <c r="B35" s="5">
        <f t="shared" si="0"/>
        <v>26</v>
      </c>
      <c r="C35" s="2" t="s">
        <v>250</v>
      </c>
      <c r="D35" s="3" t="s">
        <v>18</v>
      </c>
      <c r="E35" s="3" t="s">
        <v>251</v>
      </c>
      <c r="F35" s="3" t="s">
        <v>29</v>
      </c>
      <c r="H35" s="25"/>
      <c r="I35" s="25"/>
      <c r="J35" s="69" t="s">
        <v>252</v>
      </c>
      <c r="K35" s="69"/>
      <c r="L35" s="69"/>
      <c r="M35" s="69"/>
      <c r="N35" s="69"/>
      <c r="O35" s="69"/>
      <c r="P35" s="69"/>
      <c r="Q35" s="69"/>
      <c r="R35" s="69"/>
      <c r="S35" s="69"/>
      <c r="T35" s="12" t="s">
        <v>253</v>
      </c>
    </row>
    <row r="36" spans="2:20">
      <c r="B36" s="5">
        <f t="shared" si="0"/>
        <v>27</v>
      </c>
      <c r="C36" s="2" t="s">
        <v>254</v>
      </c>
      <c r="D36" s="3" t="s">
        <v>18</v>
      </c>
      <c r="E36" s="3" t="s">
        <v>255</v>
      </c>
      <c r="F36" s="3" t="s">
        <v>256</v>
      </c>
      <c r="H36" s="25"/>
      <c r="I36" s="69" t="s">
        <v>257</v>
      </c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12" t="s">
        <v>258</v>
      </c>
    </row>
    <row r="37" spans="2:20">
      <c r="B37" s="5">
        <f t="shared" si="0"/>
        <v>28</v>
      </c>
      <c r="C37" s="2" t="s">
        <v>259</v>
      </c>
      <c r="D37" s="3" t="s">
        <v>18</v>
      </c>
      <c r="E37" s="3" t="s">
        <v>260</v>
      </c>
      <c r="F37" s="3" t="s">
        <v>29</v>
      </c>
      <c r="H37" s="69" t="s">
        <v>261</v>
      </c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12" t="s">
        <v>241</v>
      </c>
    </row>
    <row r="38" spans="2:20" ht="34">
      <c r="B38" s="5">
        <f t="shared" si="0"/>
        <v>29</v>
      </c>
      <c r="C38" s="2" t="s">
        <v>262</v>
      </c>
      <c r="D38" s="3" t="s">
        <v>18</v>
      </c>
      <c r="E38" s="3" t="s">
        <v>263</v>
      </c>
      <c r="F38" s="3" t="s">
        <v>264</v>
      </c>
      <c r="H38" s="10" t="s">
        <v>265</v>
      </c>
      <c r="I38" s="69" t="s">
        <v>266</v>
      </c>
      <c r="J38" s="69"/>
      <c r="K38" s="11"/>
      <c r="L38" s="69" t="s">
        <v>267</v>
      </c>
      <c r="M38" s="69"/>
      <c r="N38" s="69"/>
      <c r="O38" s="69"/>
      <c r="P38" s="69"/>
      <c r="Q38" s="69"/>
      <c r="R38" s="69"/>
      <c r="S38" s="69"/>
      <c r="T38" s="12" t="s">
        <v>268</v>
      </c>
    </row>
    <row r="39" spans="2:20">
      <c r="B39" s="5"/>
      <c r="H39" s="30"/>
      <c r="T39" s="12"/>
    </row>
    <row r="40" spans="2:20" ht="102">
      <c r="B40" s="5">
        <f>B38+1</f>
        <v>30</v>
      </c>
      <c r="C40" s="2" t="s">
        <v>269</v>
      </c>
      <c r="D40" s="3" t="s">
        <v>18</v>
      </c>
      <c r="E40" s="3" t="s">
        <v>270</v>
      </c>
      <c r="F40" s="3" t="s">
        <v>271</v>
      </c>
      <c r="H40" s="103" t="s">
        <v>272</v>
      </c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46" t="s">
        <v>425</v>
      </c>
    </row>
    <row r="41" spans="2:20" ht="85">
      <c r="B41" s="5">
        <f t="shared" si="0"/>
        <v>31</v>
      </c>
      <c r="C41" s="2" t="s">
        <v>274</v>
      </c>
      <c r="D41" s="3" t="s">
        <v>18</v>
      </c>
      <c r="E41" s="3" t="s">
        <v>275</v>
      </c>
      <c r="F41" s="3" t="s">
        <v>29</v>
      </c>
      <c r="H41" s="69" t="s">
        <v>276</v>
      </c>
      <c r="I41" s="69"/>
      <c r="J41" s="69"/>
      <c r="K41" s="69"/>
      <c r="L41" s="69"/>
      <c r="M41" s="69"/>
      <c r="N41" s="14" t="s">
        <v>277</v>
      </c>
      <c r="O41" s="19" t="s">
        <v>278</v>
      </c>
      <c r="P41" s="19" t="s">
        <v>279</v>
      </c>
      <c r="Q41" s="10" t="s">
        <v>280</v>
      </c>
      <c r="R41" s="10" t="s">
        <v>281</v>
      </c>
      <c r="S41" s="10" t="s">
        <v>282</v>
      </c>
      <c r="T41" s="12" t="s">
        <v>283</v>
      </c>
    </row>
    <row r="42" spans="2:20">
      <c r="B42" s="5"/>
      <c r="C42" s="31"/>
      <c r="D42" s="31"/>
      <c r="E42" s="1"/>
      <c r="F42" s="31"/>
      <c r="G42" s="3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7"/>
    </row>
    <row r="43" spans="2:20">
      <c r="B43" s="5">
        <f>B41+1</f>
        <v>32</v>
      </c>
      <c r="C43" s="2" t="s">
        <v>284</v>
      </c>
      <c r="D43" s="3" t="s">
        <v>18</v>
      </c>
      <c r="E43" s="3" t="s">
        <v>285</v>
      </c>
      <c r="F43" s="3" t="s">
        <v>29</v>
      </c>
      <c r="H43" s="11"/>
      <c r="I43" s="11"/>
      <c r="J43" s="11"/>
      <c r="K43" s="11"/>
      <c r="L43" s="11"/>
      <c r="M43" s="11"/>
      <c r="N43" s="10" t="s">
        <v>284</v>
      </c>
      <c r="O43" s="10" t="s">
        <v>286</v>
      </c>
      <c r="P43" s="10" t="s">
        <v>287</v>
      </c>
      <c r="Q43" s="10" t="s">
        <v>288</v>
      </c>
      <c r="R43" s="10" t="s">
        <v>289</v>
      </c>
      <c r="S43" s="10" t="s">
        <v>290</v>
      </c>
      <c r="T43" s="12"/>
    </row>
    <row r="44" spans="2:20">
      <c r="B44" s="5">
        <f>B43+1</f>
        <v>33</v>
      </c>
      <c r="C44" s="2" t="s">
        <v>291</v>
      </c>
      <c r="D44" s="3" t="s">
        <v>18</v>
      </c>
      <c r="E44" s="3" t="s">
        <v>292</v>
      </c>
      <c r="F44" s="3" t="s">
        <v>293</v>
      </c>
      <c r="H44" s="69" t="s">
        <v>294</v>
      </c>
      <c r="I44" s="69"/>
      <c r="J44" s="69"/>
      <c r="K44" s="69"/>
      <c r="L44" s="14" t="s">
        <v>295</v>
      </c>
      <c r="M44" s="10" t="s">
        <v>296</v>
      </c>
      <c r="N44" s="69" t="s">
        <v>297</v>
      </c>
      <c r="O44" s="69"/>
      <c r="P44" s="71" t="s">
        <v>298</v>
      </c>
      <c r="Q44" s="71"/>
      <c r="R44" s="69" t="s">
        <v>299</v>
      </c>
      <c r="S44" s="69"/>
      <c r="T44" s="12"/>
    </row>
    <row r="45" spans="2:20">
      <c r="B45" s="5">
        <f t="shared" ref="B45:B48" si="1">B44+1</f>
        <v>34</v>
      </c>
      <c r="C45" s="2" t="s">
        <v>300</v>
      </c>
      <c r="D45" s="3" t="s">
        <v>18</v>
      </c>
      <c r="E45" s="3" t="s">
        <v>301</v>
      </c>
      <c r="F45" s="3" t="s">
        <v>29</v>
      </c>
      <c r="H45" s="69" t="s">
        <v>302</v>
      </c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12"/>
    </row>
    <row r="46" spans="2:20">
      <c r="B46" s="5">
        <f t="shared" si="1"/>
        <v>35</v>
      </c>
      <c r="C46" s="2" t="s">
        <v>303</v>
      </c>
      <c r="D46" s="3" t="s">
        <v>18</v>
      </c>
      <c r="E46" s="3" t="s">
        <v>304</v>
      </c>
      <c r="F46" s="3" t="s">
        <v>305</v>
      </c>
      <c r="H46" s="10" t="s">
        <v>306</v>
      </c>
      <c r="I46" s="11"/>
      <c r="J46" s="11"/>
      <c r="K46" s="11"/>
      <c r="L46" s="11"/>
      <c r="M46" s="11"/>
      <c r="N46" s="79" t="s">
        <v>307</v>
      </c>
      <c r="O46" s="79"/>
      <c r="P46" s="69" t="s">
        <v>308</v>
      </c>
      <c r="Q46" s="69"/>
      <c r="R46" s="69"/>
      <c r="S46" s="69"/>
      <c r="T46" s="12"/>
    </row>
    <row r="47" spans="2:20">
      <c r="B47" s="5">
        <f t="shared" si="1"/>
        <v>36</v>
      </c>
      <c r="C47" s="2" t="s">
        <v>309</v>
      </c>
      <c r="D47" s="3" t="s">
        <v>18</v>
      </c>
      <c r="E47" s="3" t="s">
        <v>310</v>
      </c>
      <c r="F47" s="3" t="s">
        <v>29</v>
      </c>
      <c r="G47" s="33"/>
      <c r="H47" s="15" t="s">
        <v>311</v>
      </c>
      <c r="I47" s="16"/>
      <c r="J47" s="16"/>
      <c r="K47" s="16"/>
      <c r="L47" s="16"/>
      <c r="M47" s="79" t="s">
        <v>312</v>
      </c>
      <c r="N47" s="79"/>
      <c r="O47" s="79"/>
      <c r="P47" s="16"/>
      <c r="Q47" s="79" t="s">
        <v>313</v>
      </c>
      <c r="R47" s="79"/>
      <c r="S47" s="79"/>
      <c r="T47" s="17"/>
    </row>
    <row r="48" spans="2:20" ht="34">
      <c r="B48" s="5">
        <f t="shared" si="1"/>
        <v>37</v>
      </c>
      <c r="C48" s="2" t="s">
        <v>314</v>
      </c>
      <c r="D48" s="3" t="s">
        <v>18</v>
      </c>
      <c r="E48" s="3" t="s">
        <v>315</v>
      </c>
      <c r="F48" s="47" t="s">
        <v>426</v>
      </c>
      <c r="G48" s="9"/>
      <c r="H48" s="34"/>
      <c r="I48" s="34"/>
      <c r="J48" s="34"/>
      <c r="K48" s="34"/>
      <c r="L48" s="35"/>
      <c r="M48" s="34"/>
      <c r="N48" s="35"/>
      <c r="O48" s="15" t="s">
        <v>317</v>
      </c>
      <c r="P48" s="36" t="s">
        <v>318</v>
      </c>
      <c r="Q48" s="15" t="s">
        <v>319</v>
      </c>
      <c r="R48" s="15" t="s">
        <v>320</v>
      </c>
      <c r="S48" s="15" t="s">
        <v>321</v>
      </c>
      <c r="T48" s="12" t="s">
        <v>322</v>
      </c>
    </row>
    <row r="49" spans="2:20">
      <c r="B49" s="5"/>
      <c r="T49" s="37"/>
    </row>
    <row r="50" spans="2:20">
      <c r="B50" s="5"/>
      <c r="C50" s="48" t="s">
        <v>427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37"/>
    </row>
    <row r="51" spans="2:20">
      <c r="B51" s="5"/>
    </row>
    <row r="52" spans="2:20" ht="153.5">
      <c r="B52" s="5">
        <v>1</v>
      </c>
      <c r="C52" s="2" t="s">
        <v>324</v>
      </c>
      <c r="D52" s="3" t="s">
        <v>18</v>
      </c>
      <c r="E52" s="49" t="s">
        <v>325</v>
      </c>
      <c r="F52" s="3" t="s">
        <v>29</v>
      </c>
      <c r="H52" s="10" t="s">
        <v>326</v>
      </c>
      <c r="I52" s="79" t="s">
        <v>327</v>
      </c>
      <c r="J52" s="79"/>
      <c r="K52" s="79"/>
      <c r="L52" s="71" t="s">
        <v>328</v>
      </c>
      <c r="M52" s="69"/>
      <c r="N52" s="10" t="s">
        <v>329</v>
      </c>
      <c r="O52" s="10" t="s">
        <v>330</v>
      </c>
      <c r="P52" s="14" t="s">
        <v>331</v>
      </c>
      <c r="Q52" s="14" t="s">
        <v>332</v>
      </c>
      <c r="R52" s="10" t="s">
        <v>333</v>
      </c>
      <c r="S52" s="10" t="s">
        <v>334</v>
      </c>
      <c r="T52" s="12" t="s">
        <v>335</v>
      </c>
    </row>
    <row r="53" spans="2:20">
      <c r="B53" s="5">
        <f>B52+1</f>
        <v>2</v>
      </c>
      <c r="C53" s="2" t="s">
        <v>336</v>
      </c>
      <c r="D53" s="3" t="s">
        <v>18</v>
      </c>
      <c r="E53" s="49" t="s">
        <v>337</v>
      </c>
      <c r="F53" s="3" t="s">
        <v>29</v>
      </c>
      <c r="H53" s="11"/>
      <c r="I53" s="11"/>
      <c r="J53" s="11"/>
      <c r="K53" s="11"/>
      <c r="L53" s="11"/>
      <c r="M53" s="11"/>
      <c r="N53" s="11"/>
      <c r="O53" s="11"/>
      <c r="P53" s="69" t="s">
        <v>338</v>
      </c>
      <c r="Q53" s="69"/>
      <c r="R53" s="69"/>
      <c r="S53" s="69"/>
      <c r="T53" s="40" t="s">
        <v>339</v>
      </c>
    </row>
    <row r="54" spans="2:20">
      <c r="B54" s="5">
        <f t="shared" ref="B54:B57" si="2">B53+1</f>
        <v>3</v>
      </c>
      <c r="C54" s="2" t="s">
        <v>340</v>
      </c>
      <c r="D54" s="3" t="s">
        <v>18</v>
      </c>
      <c r="E54" s="49" t="s">
        <v>341</v>
      </c>
      <c r="F54" s="3" t="s">
        <v>256</v>
      </c>
      <c r="H54" s="69" t="s">
        <v>342</v>
      </c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40" t="s">
        <v>339</v>
      </c>
    </row>
    <row r="55" spans="2:20">
      <c r="B55" s="5">
        <f t="shared" si="2"/>
        <v>4</v>
      </c>
      <c r="C55" s="2" t="s">
        <v>343</v>
      </c>
      <c r="D55" s="3" t="s">
        <v>18</v>
      </c>
      <c r="E55" s="49" t="s">
        <v>344</v>
      </c>
      <c r="F55" s="3" t="s">
        <v>345</v>
      </c>
      <c r="H55" s="11"/>
      <c r="I55" s="11"/>
      <c r="J55" s="11"/>
      <c r="K55" s="11"/>
      <c r="L55" s="11"/>
      <c r="M55" s="11"/>
      <c r="N55" s="69" t="s">
        <v>346</v>
      </c>
      <c r="O55" s="69"/>
      <c r="P55" s="69" t="s">
        <v>347</v>
      </c>
      <c r="Q55" s="69"/>
      <c r="R55" s="69"/>
      <c r="S55" s="69"/>
      <c r="T55" s="40" t="s">
        <v>339</v>
      </c>
    </row>
    <row r="56" spans="2:20">
      <c r="B56" s="5">
        <f t="shared" si="2"/>
        <v>5</v>
      </c>
      <c r="C56" s="2" t="s">
        <v>348</v>
      </c>
      <c r="D56" s="3" t="s">
        <v>18</v>
      </c>
      <c r="E56" s="49" t="s">
        <v>349</v>
      </c>
      <c r="F56" s="3" t="s">
        <v>29</v>
      </c>
      <c r="H56" s="41" t="s">
        <v>350</v>
      </c>
      <c r="I56" s="11"/>
      <c r="J56" s="11"/>
      <c r="K56" s="11"/>
      <c r="L56" s="11"/>
      <c r="M56" s="11"/>
      <c r="N56" s="11"/>
      <c r="O56" s="11"/>
      <c r="P56" s="11"/>
      <c r="Q56" s="11"/>
      <c r="R56" s="10" t="s">
        <v>351</v>
      </c>
      <c r="S56" s="10" t="s">
        <v>352</v>
      </c>
      <c r="T56" s="40">
        <v>1</v>
      </c>
    </row>
    <row r="57" spans="2:20">
      <c r="B57" s="5">
        <f t="shared" si="2"/>
        <v>6</v>
      </c>
      <c r="C57" s="2" t="s">
        <v>353</v>
      </c>
      <c r="D57" s="3" t="s">
        <v>18</v>
      </c>
      <c r="E57" s="49" t="s">
        <v>354</v>
      </c>
      <c r="F57" s="3" t="s">
        <v>355</v>
      </c>
      <c r="H57" s="69" t="s">
        <v>356</v>
      </c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42"/>
    </row>
    <row r="58" spans="2:20">
      <c r="B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42"/>
    </row>
    <row r="59" spans="2:20">
      <c r="B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42"/>
    </row>
    <row r="60" spans="2:20">
      <c r="B60" s="5"/>
      <c r="C60" s="48" t="s">
        <v>428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26"/>
    </row>
    <row r="61" spans="2:20"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6"/>
    </row>
    <row r="62" spans="2:20">
      <c r="B62" s="5">
        <v>1</v>
      </c>
      <c r="D62" s="3" t="s">
        <v>18</v>
      </c>
      <c r="E62" s="3" t="s">
        <v>19</v>
      </c>
      <c r="F62" s="3" t="s">
        <v>29</v>
      </c>
      <c r="H62" s="16"/>
      <c r="I62" s="16"/>
      <c r="J62" s="16"/>
      <c r="K62" s="16"/>
      <c r="L62" s="82" t="s">
        <v>358</v>
      </c>
      <c r="M62" s="82"/>
      <c r="N62" s="82"/>
      <c r="O62" s="82"/>
      <c r="P62" s="82"/>
      <c r="Q62" s="82"/>
      <c r="R62" s="82"/>
      <c r="S62" s="82"/>
      <c r="T62" s="26">
        <v>8</v>
      </c>
    </row>
    <row r="63" spans="2:20">
      <c r="B63" s="5">
        <f>B62+1</f>
        <v>2</v>
      </c>
      <c r="D63" s="3" t="s">
        <v>18</v>
      </c>
      <c r="E63" s="3" t="s">
        <v>28</v>
      </c>
      <c r="F63" s="3" t="s">
        <v>359</v>
      </c>
      <c r="H63" s="43"/>
      <c r="I63" s="43"/>
      <c r="J63" s="82" t="s">
        <v>360</v>
      </c>
      <c r="K63" s="83"/>
      <c r="L63" s="83"/>
      <c r="M63" s="83"/>
      <c r="N63" s="83"/>
      <c r="O63" s="82" t="s">
        <v>361</v>
      </c>
      <c r="P63" s="83"/>
      <c r="Q63" s="83"/>
      <c r="R63" s="83"/>
      <c r="S63" s="83"/>
      <c r="T63" s="26">
        <v>10</v>
      </c>
    </row>
    <row r="64" spans="2:20" s="44" customFormat="1">
      <c r="B64" s="5">
        <f>B63+1</f>
        <v>3</v>
      </c>
      <c r="C64" s="2"/>
      <c r="D64" s="3" t="s">
        <v>18</v>
      </c>
      <c r="E64" s="3" t="s">
        <v>429</v>
      </c>
      <c r="F64" s="3" t="s">
        <v>362</v>
      </c>
      <c r="G64" s="3"/>
      <c r="H64" s="86" t="s">
        <v>363</v>
      </c>
      <c r="I64" s="87"/>
      <c r="J64" s="87"/>
      <c r="K64" s="87"/>
      <c r="L64" s="88"/>
      <c r="M64" s="16"/>
      <c r="N64" s="16"/>
      <c r="O64" s="86" t="s">
        <v>364</v>
      </c>
      <c r="P64" s="87"/>
      <c r="Q64" s="87"/>
      <c r="R64" s="87"/>
      <c r="S64" s="88"/>
      <c r="T64" s="26">
        <v>10</v>
      </c>
    </row>
    <row r="65" spans="2:20" s="44" customFormat="1">
      <c r="B65" s="5">
        <f t="shared" ref="B65:B91" si="3">B64+1</f>
        <v>4</v>
      </c>
      <c r="C65" s="2"/>
      <c r="D65" s="3" t="s">
        <v>18</v>
      </c>
      <c r="E65" s="3" t="s">
        <v>430</v>
      </c>
      <c r="F65" s="3" t="s">
        <v>239</v>
      </c>
      <c r="G65" s="3"/>
      <c r="H65" s="16"/>
      <c r="I65" s="16"/>
      <c r="J65" s="16"/>
      <c r="K65" s="16"/>
      <c r="L65" s="82" t="s">
        <v>365</v>
      </c>
      <c r="M65" s="82"/>
      <c r="N65" s="82"/>
      <c r="O65" s="82"/>
      <c r="P65" s="82" t="s">
        <v>366</v>
      </c>
      <c r="Q65" s="82"/>
      <c r="R65" s="82"/>
      <c r="S65" s="82"/>
      <c r="T65" s="26">
        <v>8</v>
      </c>
    </row>
    <row r="66" spans="2:20" s="44" customFormat="1">
      <c r="B66" s="5">
        <f t="shared" si="3"/>
        <v>5</v>
      </c>
      <c r="C66" s="2"/>
      <c r="D66" s="3" t="s">
        <v>18</v>
      </c>
      <c r="E66" s="3" t="s">
        <v>48</v>
      </c>
      <c r="F66" s="3" t="s">
        <v>29</v>
      </c>
      <c r="G66" s="3"/>
      <c r="H66" s="16"/>
      <c r="I66" s="16"/>
      <c r="J66" s="16"/>
      <c r="K66" s="86" t="s">
        <v>367</v>
      </c>
      <c r="L66" s="87"/>
      <c r="M66" s="87"/>
      <c r="N66" s="87"/>
      <c r="O66" s="87"/>
      <c r="P66" s="87"/>
      <c r="Q66" s="87"/>
      <c r="R66" s="87"/>
      <c r="S66" s="88"/>
      <c r="T66" s="26">
        <v>9</v>
      </c>
    </row>
    <row r="67" spans="2:20" s="44" customFormat="1">
      <c r="B67" s="5">
        <f t="shared" si="3"/>
        <v>6</v>
      </c>
      <c r="C67" s="2"/>
      <c r="D67" s="3" t="s">
        <v>18</v>
      </c>
      <c r="E67" s="3" t="s">
        <v>53</v>
      </c>
      <c r="F67" s="3" t="s">
        <v>29</v>
      </c>
      <c r="G67" s="3"/>
      <c r="H67" s="16"/>
      <c r="I67" s="16"/>
      <c r="J67" s="16"/>
      <c r="K67" s="86" t="s">
        <v>368</v>
      </c>
      <c r="L67" s="87"/>
      <c r="M67" s="87"/>
      <c r="N67" s="87"/>
      <c r="O67" s="87"/>
      <c r="P67" s="87"/>
      <c r="Q67" s="87"/>
      <c r="R67" s="87"/>
      <c r="S67" s="88"/>
      <c r="T67" s="26">
        <v>9</v>
      </c>
    </row>
    <row r="68" spans="2:20" s="44" customFormat="1">
      <c r="B68" s="5">
        <f t="shared" si="3"/>
        <v>7</v>
      </c>
      <c r="C68" s="2"/>
      <c r="D68" s="3" t="s">
        <v>18</v>
      </c>
      <c r="E68" s="3" t="s">
        <v>67</v>
      </c>
      <c r="F68" s="3" t="s">
        <v>29</v>
      </c>
      <c r="G68" s="3"/>
      <c r="H68" s="16"/>
      <c r="I68" s="16"/>
      <c r="J68" s="16"/>
      <c r="K68" s="86" t="s">
        <v>369</v>
      </c>
      <c r="L68" s="87"/>
      <c r="M68" s="87"/>
      <c r="N68" s="87"/>
      <c r="O68" s="87"/>
      <c r="P68" s="87"/>
      <c r="Q68" s="87"/>
      <c r="R68" s="87"/>
      <c r="S68" s="88"/>
      <c r="T68" s="26">
        <v>9</v>
      </c>
    </row>
    <row r="69" spans="2:20" s="44" customFormat="1">
      <c r="B69" s="5">
        <f t="shared" si="3"/>
        <v>8</v>
      </c>
      <c r="C69" s="2"/>
      <c r="D69" s="3" t="s">
        <v>18</v>
      </c>
      <c r="E69" s="3" t="s">
        <v>370</v>
      </c>
      <c r="F69" s="3" t="s">
        <v>29</v>
      </c>
      <c r="G69" s="3"/>
      <c r="H69" s="16"/>
      <c r="I69" s="16"/>
      <c r="J69" s="16"/>
      <c r="K69" s="86" t="s">
        <v>371</v>
      </c>
      <c r="L69" s="87"/>
      <c r="M69" s="87"/>
      <c r="N69" s="87"/>
      <c r="O69" s="87"/>
      <c r="P69" s="87"/>
      <c r="Q69" s="87"/>
      <c r="R69" s="87"/>
      <c r="S69" s="88"/>
      <c r="T69" s="26">
        <v>9</v>
      </c>
    </row>
    <row r="70" spans="2:20" s="44" customFormat="1">
      <c r="B70" s="5">
        <f t="shared" si="3"/>
        <v>9</v>
      </c>
      <c r="C70" s="2"/>
      <c r="D70" s="3" t="s">
        <v>18</v>
      </c>
      <c r="E70" s="3" t="s">
        <v>372</v>
      </c>
      <c r="F70" s="3" t="s">
        <v>29</v>
      </c>
      <c r="G70" s="3"/>
      <c r="H70" s="16"/>
      <c r="I70" s="16"/>
      <c r="J70" s="16"/>
      <c r="K70" s="86" t="s">
        <v>373</v>
      </c>
      <c r="L70" s="87"/>
      <c r="M70" s="87"/>
      <c r="N70" s="87"/>
      <c r="O70" s="87"/>
      <c r="P70" s="87"/>
      <c r="Q70" s="87"/>
      <c r="R70" s="87"/>
      <c r="S70" s="88"/>
      <c r="T70" s="26">
        <v>9</v>
      </c>
    </row>
    <row r="71" spans="2:20" s="44" customFormat="1">
      <c r="B71" s="5">
        <f t="shared" si="3"/>
        <v>10</v>
      </c>
      <c r="C71" s="2"/>
      <c r="D71" s="3" t="s">
        <v>18</v>
      </c>
      <c r="E71" s="3" t="s">
        <v>374</v>
      </c>
      <c r="F71" s="3" t="s">
        <v>29</v>
      </c>
      <c r="G71" s="3"/>
      <c r="H71" s="16"/>
      <c r="I71" s="16"/>
      <c r="J71" s="16"/>
      <c r="K71" s="86" t="s">
        <v>375</v>
      </c>
      <c r="L71" s="87"/>
      <c r="M71" s="87"/>
      <c r="N71" s="87"/>
      <c r="O71" s="87"/>
      <c r="P71" s="87"/>
      <c r="Q71" s="87"/>
      <c r="R71" s="87"/>
      <c r="S71" s="88"/>
      <c r="T71" s="26">
        <v>9</v>
      </c>
    </row>
    <row r="72" spans="2:20" s="44" customFormat="1">
      <c r="B72" s="5">
        <f t="shared" si="3"/>
        <v>11</v>
      </c>
      <c r="C72" s="2"/>
      <c r="D72" s="3" t="s">
        <v>18</v>
      </c>
      <c r="E72" s="3" t="s">
        <v>99</v>
      </c>
      <c r="F72" s="3" t="s">
        <v>29</v>
      </c>
      <c r="G72" s="3"/>
      <c r="H72" s="16"/>
      <c r="I72" s="16"/>
      <c r="J72" s="16"/>
      <c r="K72" s="86" t="s">
        <v>376</v>
      </c>
      <c r="L72" s="87"/>
      <c r="M72" s="87"/>
      <c r="N72" s="87"/>
      <c r="O72" s="87"/>
      <c r="P72" s="87"/>
      <c r="Q72" s="87"/>
      <c r="R72" s="87"/>
      <c r="S72" s="88"/>
      <c r="T72" s="26">
        <v>9</v>
      </c>
    </row>
    <row r="73" spans="2:20" s="44" customFormat="1">
      <c r="B73" s="5">
        <f t="shared" si="3"/>
        <v>12</v>
      </c>
      <c r="C73" s="2"/>
      <c r="D73" s="3" t="s">
        <v>18</v>
      </c>
      <c r="E73" s="3" t="s">
        <v>112</v>
      </c>
      <c r="F73" s="3" t="s">
        <v>29</v>
      </c>
      <c r="G73" s="3"/>
      <c r="H73" s="16"/>
      <c r="I73" s="16"/>
      <c r="J73" s="16"/>
      <c r="K73" s="86" t="s">
        <v>377</v>
      </c>
      <c r="L73" s="87"/>
      <c r="M73" s="87"/>
      <c r="N73" s="87"/>
      <c r="O73" s="87"/>
      <c r="P73" s="87"/>
      <c r="Q73" s="87"/>
      <c r="R73" s="87"/>
      <c r="S73" s="88"/>
      <c r="T73" s="26">
        <v>9</v>
      </c>
    </row>
    <row r="74" spans="2:20" s="44" customFormat="1">
      <c r="B74" s="5">
        <f t="shared" si="3"/>
        <v>13</v>
      </c>
      <c r="C74" s="2"/>
      <c r="D74" s="3" t="s">
        <v>18</v>
      </c>
      <c r="E74" s="3" t="s">
        <v>126</v>
      </c>
      <c r="F74" s="3" t="s">
        <v>29</v>
      </c>
      <c r="G74" s="3"/>
      <c r="H74" s="16"/>
      <c r="I74" s="16"/>
      <c r="J74" s="16"/>
      <c r="K74" s="86" t="s">
        <v>378</v>
      </c>
      <c r="L74" s="87"/>
      <c r="M74" s="87"/>
      <c r="N74" s="87"/>
      <c r="O74" s="87"/>
      <c r="P74" s="87"/>
      <c r="Q74" s="87"/>
      <c r="R74" s="87"/>
      <c r="S74" s="88"/>
      <c r="T74" s="26">
        <v>9</v>
      </c>
    </row>
    <row r="75" spans="2:20" s="44" customFormat="1">
      <c r="B75" s="5">
        <f t="shared" si="3"/>
        <v>14</v>
      </c>
      <c r="C75" s="2"/>
      <c r="D75" s="3" t="s">
        <v>18</v>
      </c>
      <c r="E75" s="3" t="s">
        <v>140</v>
      </c>
      <c r="F75" s="3" t="s">
        <v>29</v>
      </c>
      <c r="G75" s="3"/>
      <c r="H75" s="16"/>
      <c r="I75" s="16"/>
      <c r="J75" s="16"/>
      <c r="K75" s="86" t="s">
        <v>379</v>
      </c>
      <c r="L75" s="87"/>
      <c r="M75" s="87"/>
      <c r="N75" s="87"/>
      <c r="O75" s="87"/>
      <c r="P75" s="87"/>
      <c r="Q75" s="87"/>
      <c r="R75" s="87"/>
      <c r="S75" s="88"/>
      <c r="T75" s="26">
        <v>9</v>
      </c>
    </row>
    <row r="76" spans="2:20" s="44" customFormat="1">
      <c r="B76" s="5">
        <f t="shared" si="3"/>
        <v>15</v>
      </c>
      <c r="C76" s="2"/>
      <c r="D76" s="3" t="s">
        <v>18</v>
      </c>
      <c r="E76" s="3" t="s">
        <v>146</v>
      </c>
      <c r="F76" s="3" t="s">
        <v>29</v>
      </c>
      <c r="G76" s="2"/>
      <c r="H76" s="16"/>
      <c r="I76" s="16"/>
      <c r="J76" s="16"/>
      <c r="K76" s="86" t="s">
        <v>380</v>
      </c>
      <c r="L76" s="87"/>
      <c r="M76" s="87"/>
      <c r="N76" s="87"/>
      <c r="O76" s="87"/>
      <c r="P76" s="87"/>
      <c r="Q76" s="87"/>
      <c r="R76" s="87"/>
      <c r="S76" s="88"/>
      <c r="T76" s="26">
        <v>9</v>
      </c>
    </row>
    <row r="77" spans="2:20" s="44" customFormat="1">
      <c r="B77" s="5">
        <f t="shared" si="3"/>
        <v>16</v>
      </c>
      <c r="C77" s="2"/>
      <c r="D77" s="3" t="s">
        <v>18</v>
      </c>
      <c r="E77" s="3" t="s">
        <v>150</v>
      </c>
      <c r="F77" s="3" t="s">
        <v>29</v>
      </c>
      <c r="G77" s="3"/>
      <c r="H77" s="16"/>
      <c r="I77" s="16"/>
      <c r="J77" s="16"/>
      <c r="K77" s="86" t="s">
        <v>381</v>
      </c>
      <c r="L77" s="87"/>
      <c r="M77" s="87"/>
      <c r="N77" s="87"/>
      <c r="O77" s="87"/>
      <c r="P77" s="87"/>
      <c r="Q77" s="87"/>
      <c r="R77" s="87"/>
      <c r="S77" s="88"/>
      <c r="T77" s="26">
        <v>9</v>
      </c>
    </row>
    <row r="78" spans="2:20" s="44" customFormat="1">
      <c r="B78" s="5">
        <f t="shared" si="3"/>
        <v>17</v>
      </c>
      <c r="C78" s="2"/>
      <c r="D78" s="3" t="s">
        <v>18</v>
      </c>
      <c r="E78" s="3" t="s">
        <v>153</v>
      </c>
      <c r="F78" s="3" t="s">
        <v>382</v>
      </c>
      <c r="G78" s="3"/>
      <c r="H78" s="16"/>
      <c r="I78" s="16"/>
      <c r="J78" s="16"/>
      <c r="K78" s="16"/>
      <c r="L78" s="16"/>
      <c r="M78" s="86" t="s">
        <v>383</v>
      </c>
      <c r="N78" s="87"/>
      <c r="O78" s="87"/>
      <c r="P78" s="87"/>
      <c r="Q78" s="87"/>
      <c r="R78" s="87"/>
      <c r="S78" s="88"/>
      <c r="T78" s="26">
        <v>7</v>
      </c>
    </row>
    <row r="79" spans="2:20" s="44" customFormat="1">
      <c r="B79" s="5">
        <f t="shared" si="3"/>
        <v>18</v>
      </c>
      <c r="C79" s="2"/>
      <c r="D79" s="3" t="s">
        <v>18</v>
      </c>
      <c r="E79" s="3" t="s">
        <v>384</v>
      </c>
      <c r="F79" s="3" t="s">
        <v>382</v>
      </c>
      <c r="G79" s="3"/>
      <c r="H79" s="16"/>
      <c r="I79" s="16"/>
      <c r="J79" s="16"/>
      <c r="K79" s="16"/>
      <c r="L79" s="16"/>
      <c r="M79" s="86" t="s">
        <v>385</v>
      </c>
      <c r="N79" s="87"/>
      <c r="O79" s="87"/>
      <c r="P79" s="87"/>
      <c r="Q79" s="87"/>
      <c r="R79" s="87"/>
      <c r="S79" s="88"/>
      <c r="T79" s="26">
        <v>7</v>
      </c>
    </row>
    <row r="80" spans="2:20" s="44" customFormat="1">
      <c r="B80" s="5">
        <f t="shared" si="3"/>
        <v>19</v>
      </c>
      <c r="C80" s="2"/>
      <c r="D80" s="3" t="s">
        <v>18</v>
      </c>
      <c r="E80" s="3" t="s">
        <v>386</v>
      </c>
      <c r="F80" s="3" t="s">
        <v>387</v>
      </c>
      <c r="G80" s="3"/>
      <c r="H80" s="16"/>
      <c r="I80" s="16"/>
      <c r="J80" s="16"/>
      <c r="K80" s="16"/>
      <c r="L80" s="16"/>
      <c r="M80" s="86" t="s">
        <v>388</v>
      </c>
      <c r="N80" s="87"/>
      <c r="O80" s="87"/>
      <c r="P80" s="87"/>
      <c r="Q80" s="87"/>
      <c r="R80" s="87"/>
      <c r="S80" s="88"/>
      <c r="T80" s="26">
        <v>7</v>
      </c>
    </row>
    <row r="81" spans="1:21" s="44" customFormat="1">
      <c r="B81" s="5">
        <f t="shared" si="3"/>
        <v>20</v>
      </c>
      <c r="C81" s="2"/>
      <c r="D81" s="3" t="s">
        <v>18</v>
      </c>
      <c r="E81" s="3" t="s">
        <v>389</v>
      </c>
      <c r="F81" s="3" t="s">
        <v>387</v>
      </c>
      <c r="G81" s="3"/>
      <c r="H81" s="16"/>
      <c r="I81" s="16"/>
      <c r="J81" s="16"/>
      <c r="K81" s="16"/>
      <c r="L81" s="16"/>
      <c r="M81" s="86" t="s">
        <v>390</v>
      </c>
      <c r="N81" s="87"/>
      <c r="O81" s="87"/>
      <c r="P81" s="87"/>
      <c r="Q81" s="87"/>
      <c r="R81" s="87"/>
      <c r="S81" s="88"/>
      <c r="T81" s="26">
        <v>7</v>
      </c>
    </row>
    <row r="82" spans="1:21" s="44" customFormat="1">
      <c r="A82" s="44" t="s">
        <v>391</v>
      </c>
      <c r="B82" s="5">
        <f t="shared" si="3"/>
        <v>21</v>
      </c>
      <c r="C82" s="2"/>
      <c r="D82" s="3" t="s">
        <v>18</v>
      </c>
      <c r="E82" s="3" t="s">
        <v>392</v>
      </c>
      <c r="F82" s="3" t="s">
        <v>387</v>
      </c>
      <c r="G82" s="3"/>
      <c r="H82" s="16"/>
      <c r="I82" s="16"/>
      <c r="J82" s="16"/>
      <c r="K82" s="16"/>
      <c r="L82" s="16"/>
      <c r="M82" s="86" t="s">
        <v>393</v>
      </c>
      <c r="N82" s="87"/>
      <c r="O82" s="87"/>
      <c r="P82" s="87"/>
      <c r="Q82" s="87"/>
      <c r="R82" s="87"/>
      <c r="S82" s="88"/>
      <c r="T82" s="26">
        <v>7</v>
      </c>
    </row>
    <row r="83" spans="1:21" s="44" customFormat="1">
      <c r="B83" s="5">
        <f t="shared" si="3"/>
        <v>22</v>
      </c>
      <c r="C83" s="2"/>
      <c r="D83" s="3" t="s">
        <v>18</v>
      </c>
      <c r="E83" s="3" t="s">
        <v>394</v>
      </c>
      <c r="F83" s="3" t="s">
        <v>387</v>
      </c>
      <c r="G83" s="3"/>
      <c r="H83" s="16"/>
      <c r="I83" s="16"/>
      <c r="J83" s="16"/>
      <c r="K83" s="16"/>
      <c r="L83" s="16"/>
      <c r="M83" s="86" t="s">
        <v>395</v>
      </c>
      <c r="N83" s="87"/>
      <c r="O83" s="87"/>
      <c r="P83" s="87"/>
      <c r="Q83" s="87"/>
      <c r="R83" s="87"/>
      <c r="S83" s="88"/>
      <c r="T83" s="26">
        <v>7</v>
      </c>
    </row>
    <row r="84" spans="1:21" s="44" customFormat="1">
      <c r="B84" s="5">
        <f t="shared" si="3"/>
        <v>23</v>
      </c>
      <c r="C84" s="2"/>
      <c r="D84" s="3" t="s">
        <v>18</v>
      </c>
      <c r="E84" s="3" t="s">
        <v>396</v>
      </c>
      <c r="F84" s="3" t="s">
        <v>387</v>
      </c>
      <c r="G84" s="3"/>
      <c r="H84" s="16"/>
      <c r="I84" s="16"/>
      <c r="J84" s="16"/>
      <c r="K84" s="16"/>
      <c r="L84" s="16"/>
      <c r="M84" s="86" t="s">
        <v>397</v>
      </c>
      <c r="N84" s="87"/>
      <c r="O84" s="87"/>
      <c r="P84" s="87"/>
      <c r="Q84" s="87"/>
      <c r="R84" s="87"/>
      <c r="S84" s="88"/>
      <c r="T84" s="26">
        <v>7</v>
      </c>
    </row>
    <row r="85" spans="1:21" s="44" customFormat="1">
      <c r="B85" s="5">
        <f t="shared" si="3"/>
        <v>24</v>
      </c>
      <c r="C85" s="2"/>
      <c r="D85" s="3" t="s">
        <v>18</v>
      </c>
      <c r="E85" s="3" t="s">
        <v>398</v>
      </c>
      <c r="F85" s="3" t="s">
        <v>387</v>
      </c>
      <c r="G85" s="3"/>
      <c r="H85" s="16"/>
      <c r="I85" s="16"/>
      <c r="J85" s="16"/>
      <c r="K85" s="16"/>
      <c r="L85" s="16"/>
      <c r="M85" s="86" t="s">
        <v>399</v>
      </c>
      <c r="N85" s="87"/>
      <c r="O85" s="87"/>
      <c r="P85" s="87"/>
      <c r="Q85" s="87"/>
      <c r="R85" s="87"/>
      <c r="S85" s="88"/>
      <c r="T85" s="26">
        <v>7</v>
      </c>
    </row>
    <row r="86" spans="1:21">
      <c r="B86" s="5">
        <f t="shared" si="3"/>
        <v>25</v>
      </c>
      <c r="D86" s="3" t="s">
        <v>18</v>
      </c>
      <c r="E86" s="3" t="s">
        <v>196</v>
      </c>
      <c r="F86" s="3" t="s">
        <v>387</v>
      </c>
      <c r="H86" s="16"/>
      <c r="I86" s="16"/>
      <c r="J86" s="16"/>
      <c r="K86" s="16"/>
      <c r="L86" s="16"/>
      <c r="M86" s="86" t="s">
        <v>400</v>
      </c>
      <c r="N86" s="87"/>
      <c r="O86" s="87"/>
      <c r="P86" s="87"/>
      <c r="Q86" s="87"/>
      <c r="R86" s="87"/>
      <c r="S86" s="88"/>
      <c r="T86" s="26">
        <v>7</v>
      </c>
    </row>
    <row r="87" spans="1:21">
      <c r="B87" s="5">
        <f t="shared" si="3"/>
        <v>26</v>
      </c>
      <c r="D87" s="3" t="s">
        <v>18</v>
      </c>
      <c r="E87" s="3" t="s">
        <v>211</v>
      </c>
      <c r="F87" s="3" t="s">
        <v>387</v>
      </c>
      <c r="H87" s="16"/>
      <c r="I87" s="16"/>
      <c r="J87" s="16"/>
      <c r="K87" s="16"/>
      <c r="L87" s="16"/>
      <c r="M87" s="86" t="s">
        <v>401</v>
      </c>
      <c r="N87" s="87"/>
      <c r="O87" s="87"/>
      <c r="P87" s="87"/>
      <c r="Q87" s="87"/>
      <c r="R87" s="87"/>
      <c r="S87" s="88"/>
      <c r="T87" s="26">
        <v>7</v>
      </c>
    </row>
    <row r="88" spans="1:21">
      <c r="B88" s="5">
        <f t="shared" si="3"/>
        <v>27</v>
      </c>
      <c r="D88" s="3" t="s">
        <v>18</v>
      </c>
      <c r="E88" s="3" t="s">
        <v>218</v>
      </c>
      <c r="F88" s="3" t="s">
        <v>387</v>
      </c>
      <c r="H88" s="16"/>
      <c r="I88" s="16"/>
      <c r="J88" s="16"/>
      <c r="K88" s="16"/>
      <c r="L88" s="16"/>
      <c r="M88" s="86" t="s">
        <v>402</v>
      </c>
      <c r="N88" s="87"/>
      <c r="O88" s="87"/>
      <c r="P88" s="87"/>
      <c r="Q88" s="87"/>
      <c r="R88" s="87"/>
      <c r="S88" s="88"/>
      <c r="T88" s="26">
        <v>7</v>
      </c>
      <c r="U88" s="3"/>
    </row>
    <row r="89" spans="1:21">
      <c r="B89" s="5">
        <f t="shared" si="3"/>
        <v>28</v>
      </c>
      <c r="D89" s="3" t="s">
        <v>18</v>
      </c>
      <c r="E89" s="3" t="s">
        <v>222</v>
      </c>
      <c r="F89" s="3" t="s">
        <v>387</v>
      </c>
      <c r="H89" s="16"/>
      <c r="I89" s="16"/>
      <c r="J89" s="16"/>
      <c r="K89" s="16"/>
      <c r="L89" s="16"/>
      <c r="M89" s="86" t="s">
        <v>403</v>
      </c>
      <c r="N89" s="87"/>
      <c r="O89" s="87"/>
      <c r="P89" s="87"/>
      <c r="Q89" s="87"/>
      <c r="R89" s="87"/>
      <c r="S89" s="88"/>
      <c r="T89" s="26">
        <v>7</v>
      </c>
      <c r="U89" s="3"/>
    </row>
    <row r="90" spans="1:21">
      <c r="B90" s="5">
        <f t="shared" si="3"/>
        <v>29</v>
      </c>
      <c r="D90" s="3" t="s">
        <v>18</v>
      </c>
      <c r="E90" s="3" t="s">
        <v>232</v>
      </c>
      <c r="F90" s="3" t="s">
        <v>29</v>
      </c>
      <c r="H90" s="82" t="s">
        <v>404</v>
      </c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26">
        <v>12</v>
      </c>
    </row>
    <row r="91" spans="1:21" s="4" customFormat="1">
      <c r="A91" s="1"/>
      <c r="B91" s="5">
        <f t="shared" si="3"/>
        <v>30</v>
      </c>
      <c r="C91" s="2"/>
      <c r="D91" s="3" t="s">
        <v>18</v>
      </c>
      <c r="E91" s="3" t="s">
        <v>238</v>
      </c>
      <c r="F91" s="3" t="s">
        <v>29</v>
      </c>
      <c r="G91" s="3"/>
      <c r="H91" s="90" t="s">
        <v>405</v>
      </c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26">
        <v>12</v>
      </c>
      <c r="U91" s="1"/>
    </row>
    <row r="92" spans="1:21">
      <c r="T92" s="26">
        <f>SUM(T62:T91)</f>
        <v>252</v>
      </c>
    </row>
  </sheetData>
  <mergeCells count="97">
    <mergeCell ref="H90:S90"/>
    <mergeCell ref="H91:S91"/>
    <mergeCell ref="M84:S84"/>
    <mergeCell ref="M85:S85"/>
    <mergeCell ref="M86:S86"/>
    <mergeCell ref="M87:S87"/>
    <mergeCell ref="M88:S88"/>
    <mergeCell ref="M89:S89"/>
    <mergeCell ref="M83:S83"/>
    <mergeCell ref="K72:S72"/>
    <mergeCell ref="K73:S73"/>
    <mergeCell ref="K74:S74"/>
    <mergeCell ref="K75:S75"/>
    <mergeCell ref="K76:S76"/>
    <mergeCell ref="K77:S77"/>
    <mergeCell ref="M78:S78"/>
    <mergeCell ref="M79:S79"/>
    <mergeCell ref="M80:S80"/>
    <mergeCell ref="M81:S81"/>
    <mergeCell ref="M82:S82"/>
    <mergeCell ref="K71:S71"/>
    <mergeCell ref="J63:N63"/>
    <mergeCell ref="O63:S63"/>
    <mergeCell ref="H64:L64"/>
    <mergeCell ref="O64:S64"/>
    <mergeCell ref="L65:O65"/>
    <mergeCell ref="P65:S65"/>
    <mergeCell ref="K66:S66"/>
    <mergeCell ref="K67:S67"/>
    <mergeCell ref="K68:S68"/>
    <mergeCell ref="K69:S69"/>
    <mergeCell ref="K70:S70"/>
    <mergeCell ref="L62:S62"/>
    <mergeCell ref="H45:S45"/>
    <mergeCell ref="N46:O46"/>
    <mergeCell ref="P46:S46"/>
    <mergeCell ref="M47:O47"/>
    <mergeCell ref="Q47:S47"/>
    <mergeCell ref="I52:K52"/>
    <mergeCell ref="L52:M52"/>
    <mergeCell ref="P53:S53"/>
    <mergeCell ref="H54:S54"/>
    <mergeCell ref="N55:O55"/>
    <mergeCell ref="P55:S55"/>
    <mergeCell ref="H57:S57"/>
    <mergeCell ref="H40:S40"/>
    <mergeCell ref="H41:M41"/>
    <mergeCell ref="H44:K44"/>
    <mergeCell ref="N44:O44"/>
    <mergeCell ref="P44:Q44"/>
    <mergeCell ref="R44:S44"/>
    <mergeCell ref="I38:J38"/>
    <mergeCell ref="L38:S38"/>
    <mergeCell ref="J27:K27"/>
    <mergeCell ref="J29:N29"/>
    <mergeCell ref="O29:S29"/>
    <mergeCell ref="H31:M31"/>
    <mergeCell ref="N31:S31"/>
    <mergeCell ref="K32:S32"/>
    <mergeCell ref="J33:S33"/>
    <mergeCell ref="J34:S34"/>
    <mergeCell ref="J35:S35"/>
    <mergeCell ref="I36:S36"/>
    <mergeCell ref="H37:S37"/>
    <mergeCell ref="J24:N24"/>
    <mergeCell ref="O24:S24"/>
    <mergeCell ref="J25:N25"/>
    <mergeCell ref="O25:S25"/>
    <mergeCell ref="J26:N26"/>
    <mergeCell ref="O26:S26"/>
    <mergeCell ref="J21:N21"/>
    <mergeCell ref="O21:S21"/>
    <mergeCell ref="J22:N22"/>
    <mergeCell ref="O22:S22"/>
    <mergeCell ref="J23:N23"/>
    <mergeCell ref="O23:S23"/>
    <mergeCell ref="H19:S19"/>
    <mergeCell ref="I9:J9"/>
    <mergeCell ref="K9:L9"/>
    <mergeCell ref="K10:M10"/>
    <mergeCell ref="N10:P10"/>
    <mergeCell ref="Q10:S10"/>
    <mergeCell ref="K11:M11"/>
    <mergeCell ref="N11:P11"/>
    <mergeCell ref="Q11:S11"/>
    <mergeCell ref="H16:K16"/>
    <mergeCell ref="L16:O16"/>
    <mergeCell ref="P16:S16"/>
    <mergeCell ref="H17:S17"/>
    <mergeCell ref="H18:S18"/>
    <mergeCell ref="H7:O7"/>
    <mergeCell ref="P7:S7"/>
    <mergeCell ref="O3:S3"/>
    <mergeCell ref="H4:M4"/>
    <mergeCell ref="N5:S5"/>
    <mergeCell ref="H6:K6"/>
    <mergeCell ref="L6:S6"/>
  </mergeCells>
  <phoneticPr fontId="2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현정재( HYUN Jeongjae ) 전원구동반도체팀 / 1628630@mobis.com / 본 문서는 현대모비스의 대외비 정보자산이므로 무단 전재 및 복제할 수 없으며, 위반 시 당사 사규 및 관련 법규에 의해 제재될 수 있습니다. 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C530-F38D-4185-8C32-AA166C86DEFD}">
  <sheetPr>
    <tabColor rgb="FF0000FF"/>
  </sheetPr>
  <dimension ref="A1:U95"/>
  <sheetViews>
    <sheetView showGridLines="0" topLeftCell="A6" zoomScale="55" zoomScaleNormal="55" workbookViewId="0">
      <selection activeCell="T64" sqref="T64"/>
    </sheetView>
  </sheetViews>
  <sheetFormatPr defaultColWidth="8.58203125" defaultRowHeight="17"/>
  <cols>
    <col min="1" max="1" width="8.58203125" style="1" customWidth="1"/>
    <col min="2" max="2" width="3.08203125" style="1" bestFit="1" customWidth="1"/>
    <col min="3" max="3" width="19.9140625" style="2" bestFit="1" customWidth="1"/>
    <col min="4" max="4" width="6.4140625" style="3" bestFit="1" customWidth="1"/>
    <col min="5" max="5" width="10.08203125" style="3" bestFit="1" customWidth="1"/>
    <col min="6" max="6" width="6.9140625" style="3" bestFit="1" customWidth="1"/>
    <col min="7" max="7" width="1.58203125" style="3" customWidth="1"/>
    <col min="8" max="8" width="16.4140625" style="3" bestFit="1" customWidth="1"/>
    <col min="9" max="9" width="19" style="3" customWidth="1"/>
    <col min="10" max="10" width="13.58203125" style="3" bestFit="1" customWidth="1"/>
    <col min="11" max="11" width="12.58203125" style="3" bestFit="1" customWidth="1"/>
    <col min="12" max="12" width="21" style="3" customWidth="1"/>
    <col min="13" max="13" width="21.9140625" style="3" customWidth="1"/>
    <col min="14" max="14" width="19.9140625" style="3" customWidth="1"/>
    <col min="15" max="15" width="21.58203125" style="3" customWidth="1"/>
    <col min="16" max="16" width="22.1640625" style="3" customWidth="1"/>
    <col min="17" max="17" width="22.08203125" style="3" customWidth="1"/>
    <col min="18" max="18" width="21.58203125" style="3" customWidth="1"/>
    <col min="19" max="19" width="22.58203125" style="3" customWidth="1"/>
    <col min="20" max="20" width="83.1640625" style="4" bestFit="1" customWidth="1"/>
    <col min="21" max="21" width="8.58203125" style="1" customWidth="1"/>
    <col min="22" max="16384" width="8.58203125" style="1"/>
  </cols>
  <sheetData>
    <row r="1" spans="2:20">
      <c r="D1" s="2"/>
      <c r="E1" s="2"/>
      <c r="F1" s="2"/>
    </row>
    <row r="2" spans="2:20">
      <c r="B2" s="5"/>
      <c r="C2" s="6" t="s">
        <v>0</v>
      </c>
      <c r="D2" s="7" t="s">
        <v>1</v>
      </c>
      <c r="E2" s="7" t="s">
        <v>2</v>
      </c>
      <c r="F2" s="7" t="s">
        <v>3</v>
      </c>
      <c r="G2" s="7"/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8" t="s">
        <v>16</v>
      </c>
    </row>
    <row r="3" spans="2:20" ht="85">
      <c r="B3" s="5">
        <v>1</v>
      </c>
      <c r="C3" s="2" t="s">
        <v>17</v>
      </c>
      <c r="D3" s="3" t="s">
        <v>18</v>
      </c>
      <c r="E3" s="3" t="s">
        <v>19</v>
      </c>
      <c r="F3" s="9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1"/>
      <c r="M3" s="11"/>
      <c r="N3" s="11"/>
      <c r="O3" s="63" t="s">
        <v>25</v>
      </c>
      <c r="P3" s="63"/>
      <c r="Q3" s="63"/>
      <c r="R3" s="63"/>
      <c r="S3" s="63"/>
      <c r="T3" s="12" t="s">
        <v>26</v>
      </c>
    </row>
    <row r="4" spans="2:20" ht="101.4" customHeight="1">
      <c r="B4" s="5">
        <f>B3+1</f>
        <v>2</v>
      </c>
      <c r="C4" s="2" t="s">
        <v>27</v>
      </c>
      <c r="D4" s="3" t="s">
        <v>18</v>
      </c>
      <c r="E4" s="3" t="s">
        <v>28</v>
      </c>
      <c r="F4" s="3" t="s">
        <v>29</v>
      </c>
      <c r="H4" s="64" t="s">
        <v>30</v>
      </c>
      <c r="I4" s="65"/>
      <c r="J4" s="65"/>
      <c r="K4" s="65"/>
      <c r="L4" s="65"/>
      <c r="M4" s="65"/>
      <c r="N4" s="13" t="s">
        <v>31</v>
      </c>
      <c r="O4" s="14" t="s">
        <v>32</v>
      </c>
      <c r="P4" s="13" t="s">
        <v>33</v>
      </c>
      <c r="Q4" s="15" t="s">
        <v>34</v>
      </c>
      <c r="R4" s="15" t="s">
        <v>35</v>
      </c>
      <c r="S4" s="13" t="s">
        <v>36</v>
      </c>
      <c r="T4" s="12" t="s">
        <v>37</v>
      </c>
    </row>
    <row r="5" spans="2:20">
      <c r="B5" s="5">
        <f t="shared" ref="B5:B41" si="0">B4+1</f>
        <v>3</v>
      </c>
      <c r="C5" s="2" t="s">
        <v>38</v>
      </c>
      <c r="D5" s="3" t="s">
        <v>18</v>
      </c>
      <c r="E5" s="3" t="s">
        <v>39</v>
      </c>
      <c r="F5" s="3" t="s">
        <v>29</v>
      </c>
      <c r="H5" s="16"/>
      <c r="I5" s="16"/>
      <c r="J5" s="16"/>
      <c r="K5" s="16"/>
      <c r="L5" s="16"/>
      <c r="M5" s="16"/>
      <c r="N5" s="100" t="s">
        <v>422</v>
      </c>
      <c r="O5" s="101"/>
      <c r="P5" s="101"/>
      <c r="Q5" s="101"/>
      <c r="R5" s="101"/>
      <c r="S5" s="102"/>
      <c r="T5" s="1" t="s">
        <v>41</v>
      </c>
    </row>
    <row r="6" spans="2:20">
      <c r="B6" s="5">
        <f t="shared" si="0"/>
        <v>4</v>
      </c>
      <c r="C6" s="2" t="s">
        <v>42</v>
      </c>
      <c r="D6" s="3" t="s">
        <v>18</v>
      </c>
      <c r="E6" s="3" t="s">
        <v>43</v>
      </c>
      <c r="F6" s="3" t="s">
        <v>29</v>
      </c>
      <c r="H6" s="69" t="s">
        <v>44</v>
      </c>
      <c r="I6" s="69"/>
      <c r="J6" s="69"/>
      <c r="K6" s="69"/>
      <c r="L6" s="69" t="s">
        <v>45</v>
      </c>
      <c r="M6" s="69"/>
      <c r="N6" s="69"/>
      <c r="O6" s="69"/>
      <c r="P6" s="69"/>
      <c r="Q6" s="69"/>
      <c r="R6" s="69"/>
      <c r="S6" s="69"/>
      <c r="T6" s="17" t="s">
        <v>46</v>
      </c>
    </row>
    <row r="7" spans="2:20">
      <c r="B7" s="5">
        <f t="shared" si="0"/>
        <v>5</v>
      </c>
      <c r="C7" s="2" t="s">
        <v>47</v>
      </c>
      <c r="D7" s="3" t="s">
        <v>18</v>
      </c>
      <c r="E7" s="3" t="s">
        <v>48</v>
      </c>
      <c r="F7" s="3" t="s">
        <v>29</v>
      </c>
      <c r="H7" s="69" t="s">
        <v>49</v>
      </c>
      <c r="I7" s="69"/>
      <c r="J7" s="69"/>
      <c r="K7" s="69"/>
      <c r="L7" s="69"/>
      <c r="M7" s="69"/>
      <c r="N7" s="69"/>
      <c r="O7" s="69"/>
      <c r="P7" s="69" t="s">
        <v>50</v>
      </c>
      <c r="Q7" s="69"/>
      <c r="R7" s="69"/>
      <c r="S7" s="69"/>
      <c r="T7" s="18" t="s">
        <v>51</v>
      </c>
    </row>
    <row r="8" spans="2:20">
      <c r="B8" s="5">
        <f t="shared" si="0"/>
        <v>6</v>
      </c>
      <c r="C8" s="2" t="s">
        <v>52</v>
      </c>
      <c r="D8" s="3" t="s">
        <v>18</v>
      </c>
      <c r="E8" s="3" t="s">
        <v>53</v>
      </c>
      <c r="F8" s="3" t="s">
        <v>29</v>
      </c>
      <c r="H8" s="19" t="s">
        <v>54</v>
      </c>
      <c r="I8" s="19" t="s">
        <v>55</v>
      </c>
      <c r="J8" s="19" t="s">
        <v>56</v>
      </c>
      <c r="K8" s="19" t="s">
        <v>57</v>
      </c>
      <c r="L8" s="19" t="s">
        <v>58</v>
      </c>
      <c r="M8" s="19" t="s">
        <v>59</v>
      </c>
      <c r="N8" s="19" t="s">
        <v>60</v>
      </c>
      <c r="O8" s="19" t="s">
        <v>61</v>
      </c>
      <c r="P8" s="19" t="s">
        <v>62</v>
      </c>
      <c r="Q8" s="19" t="s">
        <v>63</v>
      </c>
      <c r="R8" s="19" t="s">
        <v>64</v>
      </c>
      <c r="S8" s="19" t="s">
        <v>65</v>
      </c>
      <c r="T8" s="20"/>
    </row>
    <row r="9" spans="2:20" ht="68">
      <c r="B9" s="5">
        <f t="shared" si="0"/>
        <v>7</v>
      </c>
      <c r="C9" s="21" t="s">
        <v>66</v>
      </c>
      <c r="D9" s="3" t="s">
        <v>18</v>
      </c>
      <c r="E9" s="3" t="s">
        <v>67</v>
      </c>
      <c r="F9" s="3" t="s">
        <v>406</v>
      </c>
      <c r="H9" s="22"/>
      <c r="I9" s="96" t="s">
        <v>69</v>
      </c>
      <c r="J9" s="96"/>
      <c r="K9" s="97" t="s">
        <v>70</v>
      </c>
      <c r="L9" s="95"/>
      <c r="M9" s="22" t="s">
        <v>71</v>
      </c>
      <c r="N9" s="22" t="s">
        <v>198</v>
      </c>
      <c r="O9" s="22" t="s">
        <v>72</v>
      </c>
      <c r="P9" s="22" t="s">
        <v>73</v>
      </c>
      <c r="Q9" s="22" t="s">
        <v>74</v>
      </c>
      <c r="R9" s="22" t="s">
        <v>75</v>
      </c>
      <c r="S9" s="22" t="s">
        <v>76</v>
      </c>
      <c r="T9" s="20" t="s">
        <v>77</v>
      </c>
    </row>
    <row r="10" spans="2:20">
      <c r="B10" s="5">
        <f>B9+1</f>
        <v>8</v>
      </c>
      <c r="C10" s="2" t="s">
        <v>78</v>
      </c>
      <c r="D10" s="3" t="s">
        <v>18</v>
      </c>
      <c r="E10" s="3" t="s">
        <v>79</v>
      </c>
      <c r="F10" s="3" t="s">
        <v>29</v>
      </c>
      <c r="H10" s="23"/>
      <c r="I10" s="23"/>
      <c r="J10" s="23"/>
      <c r="K10" s="73" t="s">
        <v>80</v>
      </c>
      <c r="L10" s="73"/>
      <c r="M10" s="73"/>
      <c r="N10" s="73" t="s">
        <v>81</v>
      </c>
      <c r="O10" s="73"/>
      <c r="P10" s="73"/>
      <c r="Q10" s="73" t="s">
        <v>82</v>
      </c>
      <c r="R10" s="73"/>
      <c r="S10" s="73"/>
      <c r="T10" s="12"/>
    </row>
    <row r="11" spans="2:20" ht="17.149999999999999" customHeight="1">
      <c r="B11" s="5">
        <f t="shared" si="0"/>
        <v>9</v>
      </c>
      <c r="C11" s="2" t="s">
        <v>83</v>
      </c>
      <c r="D11" s="3" t="s">
        <v>18</v>
      </c>
      <c r="E11" s="3" t="s">
        <v>84</v>
      </c>
      <c r="F11" s="3" t="s">
        <v>29</v>
      </c>
      <c r="H11" s="23"/>
      <c r="I11" s="23"/>
      <c r="J11" s="23"/>
      <c r="K11" s="73" t="s">
        <v>85</v>
      </c>
      <c r="L11" s="73"/>
      <c r="M11" s="73"/>
      <c r="N11" s="73" t="s">
        <v>86</v>
      </c>
      <c r="O11" s="73"/>
      <c r="P11" s="73"/>
      <c r="Q11" s="73" t="s">
        <v>87</v>
      </c>
      <c r="R11" s="73"/>
      <c r="S11" s="73"/>
      <c r="T11" s="12"/>
    </row>
    <row r="12" spans="2:20">
      <c r="B12" s="5">
        <f t="shared" si="0"/>
        <v>10</v>
      </c>
      <c r="C12" s="21" t="s">
        <v>88</v>
      </c>
      <c r="D12" s="3" t="s">
        <v>89</v>
      </c>
      <c r="E12" s="3" t="s">
        <v>90</v>
      </c>
      <c r="F12" s="3" t="s">
        <v>91</v>
      </c>
      <c r="H12" s="10"/>
      <c r="I12" s="10"/>
      <c r="J12" s="10"/>
      <c r="K12" s="10"/>
      <c r="L12" s="10"/>
      <c r="M12" s="10"/>
      <c r="N12" s="10"/>
      <c r="O12" s="10" t="s">
        <v>92</v>
      </c>
      <c r="P12" s="10" t="s">
        <v>93</v>
      </c>
      <c r="Q12" s="10" t="s">
        <v>94</v>
      </c>
      <c r="R12" s="10" t="s">
        <v>95</v>
      </c>
      <c r="S12" s="10" t="s">
        <v>96</v>
      </c>
      <c r="T12" s="20" t="s">
        <v>97</v>
      </c>
    </row>
    <row r="13" spans="2:20">
      <c r="B13" s="5"/>
      <c r="C13" s="21" t="s">
        <v>98</v>
      </c>
      <c r="D13" s="3" t="s">
        <v>89</v>
      </c>
      <c r="E13" s="3" t="s">
        <v>99</v>
      </c>
      <c r="F13" s="3" t="s">
        <v>91</v>
      </c>
      <c r="H13" s="22" t="s">
        <v>407</v>
      </c>
      <c r="I13" s="22" t="s">
        <v>408</v>
      </c>
      <c r="J13" s="22" t="s">
        <v>101</v>
      </c>
      <c r="K13" s="22" t="s">
        <v>102</v>
      </c>
      <c r="L13" s="22" t="s">
        <v>100</v>
      </c>
      <c r="M13" s="22" t="s">
        <v>409</v>
      </c>
      <c r="N13" s="22" t="s">
        <v>410</v>
      </c>
      <c r="O13" s="22" t="s">
        <v>411</v>
      </c>
      <c r="P13" s="22" t="s">
        <v>412</v>
      </c>
      <c r="Q13" s="22" t="s">
        <v>108</v>
      </c>
      <c r="R13" s="22" t="s">
        <v>109</v>
      </c>
      <c r="S13" s="22" t="s">
        <v>110</v>
      </c>
      <c r="T13" s="20"/>
    </row>
    <row r="14" spans="2:20">
      <c r="B14" s="5"/>
      <c r="C14" s="21" t="s">
        <v>111</v>
      </c>
      <c r="D14" s="3" t="s">
        <v>89</v>
      </c>
      <c r="E14" s="3" t="s">
        <v>112</v>
      </c>
      <c r="F14" s="3" t="s">
        <v>91</v>
      </c>
      <c r="H14" s="10" t="s">
        <v>113</v>
      </c>
      <c r="I14" s="10" t="s">
        <v>114</v>
      </c>
      <c r="J14" s="10" t="s">
        <v>115</v>
      </c>
      <c r="K14" s="10" t="s">
        <v>116</v>
      </c>
      <c r="L14" s="10" t="s">
        <v>117</v>
      </c>
      <c r="M14" s="10" t="s">
        <v>118</v>
      </c>
      <c r="N14" s="10" t="s">
        <v>119</v>
      </c>
      <c r="O14" s="10" t="s">
        <v>120</v>
      </c>
      <c r="P14" s="10" t="s">
        <v>121</v>
      </c>
      <c r="Q14" s="10" t="s">
        <v>122</v>
      </c>
      <c r="R14" s="10" t="s">
        <v>123</v>
      </c>
      <c r="S14" s="10" t="s">
        <v>124</v>
      </c>
      <c r="T14" s="20"/>
    </row>
    <row r="15" spans="2:20">
      <c r="B15" s="5"/>
      <c r="C15" s="21" t="s">
        <v>125</v>
      </c>
      <c r="D15" s="3" t="s">
        <v>89</v>
      </c>
      <c r="E15" s="3" t="s">
        <v>126</v>
      </c>
      <c r="F15" s="3" t="s">
        <v>91</v>
      </c>
      <c r="H15" s="10" t="s">
        <v>127</v>
      </c>
      <c r="I15" s="10" t="s">
        <v>128</v>
      </c>
      <c r="J15" s="10" t="s">
        <v>129</v>
      </c>
      <c r="K15" s="10" t="s">
        <v>130</v>
      </c>
      <c r="L15" s="10" t="s">
        <v>131</v>
      </c>
      <c r="M15" s="10" t="s">
        <v>132</v>
      </c>
      <c r="N15" s="10" t="s">
        <v>133</v>
      </c>
      <c r="O15" s="10" t="s">
        <v>134</v>
      </c>
      <c r="P15" s="10" t="s">
        <v>135</v>
      </c>
      <c r="Q15" s="10" t="s">
        <v>136</v>
      </c>
      <c r="R15" s="10" t="s">
        <v>137</v>
      </c>
      <c r="S15" s="10" t="s">
        <v>138</v>
      </c>
      <c r="T15" s="20"/>
    </row>
    <row r="16" spans="2:20" ht="17.149999999999999" customHeight="1">
      <c r="B16" s="5">
        <f>B12+1</f>
        <v>11</v>
      </c>
      <c r="C16" s="2" t="s">
        <v>139</v>
      </c>
      <c r="D16" s="3" t="s">
        <v>18</v>
      </c>
      <c r="E16" s="3" t="s">
        <v>140</v>
      </c>
      <c r="F16" s="3" t="s">
        <v>91</v>
      </c>
      <c r="H16" s="70" t="s">
        <v>141</v>
      </c>
      <c r="I16" s="70"/>
      <c r="J16" s="70"/>
      <c r="K16" s="70"/>
      <c r="L16" s="70" t="s">
        <v>142</v>
      </c>
      <c r="M16" s="70"/>
      <c r="N16" s="70"/>
      <c r="O16" s="70"/>
      <c r="P16" s="70" t="s">
        <v>143</v>
      </c>
      <c r="Q16" s="70"/>
      <c r="R16" s="70"/>
      <c r="S16" s="70"/>
      <c r="T16" s="12" t="s">
        <v>144</v>
      </c>
    </row>
    <row r="17" spans="2:20">
      <c r="B17" s="5">
        <f t="shared" si="0"/>
        <v>12</v>
      </c>
      <c r="C17" s="2" t="s">
        <v>145</v>
      </c>
      <c r="D17" s="3" t="s">
        <v>18</v>
      </c>
      <c r="E17" s="3" t="s">
        <v>146</v>
      </c>
      <c r="F17" s="3" t="s">
        <v>91</v>
      </c>
      <c r="H17" s="63" t="s">
        <v>147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18" t="s">
        <v>148</v>
      </c>
    </row>
    <row r="18" spans="2:20">
      <c r="B18" s="5">
        <f t="shared" si="0"/>
        <v>13</v>
      </c>
      <c r="C18" s="2" t="s">
        <v>149</v>
      </c>
      <c r="D18" s="3" t="s">
        <v>18</v>
      </c>
      <c r="E18" s="3" t="s">
        <v>150</v>
      </c>
      <c r="F18" s="3" t="s">
        <v>91</v>
      </c>
      <c r="H18" s="63" t="s">
        <v>151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18" t="s">
        <v>148</v>
      </c>
    </row>
    <row r="19" spans="2:20">
      <c r="B19" s="5">
        <f t="shared" si="0"/>
        <v>14</v>
      </c>
      <c r="C19" s="2" t="s">
        <v>152</v>
      </c>
      <c r="D19" s="3" t="s">
        <v>18</v>
      </c>
      <c r="E19" s="3" t="s">
        <v>153</v>
      </c>
      <c r="F19" s="3" t="s">
        <v>91</v>
      </c>
      <c r="H19" s="63" t="s">
        <v>154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18" t="s">
        <v>148</v>
      </c>
    </row>
    <row r="20" spans="2:20" ht="34">
      <c r="B20" s="5">
        <f t="shared" si="0"/>
        <v>15</v>
      </c>
      <c r="C20" s="2" t="s">
        <v>155</v>
      </c>
      <c r="D20" s="3" t="s">
        <v>18</v>
      </c>
      <c r="E20" s="3" t="s">
        <v>156</v>
      </c>
      <c r="F20" s="3" t="s">
        <v>91</v>
      </c>
      <c r="H20" s="19" t="s">
        <v>157</v>
      </c>
      <c r="I20" s="19" t="s">
        <v>158</v>
      </c>
      <c r="J20" s="19" t="s">
        <v>159</v>
      </c>
      <c r="K20" s="19" t="s">
        <v>160</v>
      </c>
      <c r="L20" s="19" t="s">
        <v>161</v>
      </c>
      <c r="M20" s="19" t="s">
        <v>162</v>
      </c>
      <c r="N20" s="19" t="s">
        <v>163</v>
      </c>
      <c r="O20" s="19" t="s">
        <v>164</v>
      </c>
      <c r="P20" s="19" t="s">
        <v>165</v>
      </c>
      <c r="Q20" s="19" t="s">
        <v>166</v>
      </c>
      <c r="R20" s="19" t="s">
        <v>167</v>
      </c>
      <c r="S20" s="19" t="s">
        <v>168</v>
      </c>
      <c r="T20" s="24" t="s">
        <v>169</v>
      </c>
    </row>
    <row r="21" spans="2:20">
      <c r="B21" s="5">
        <f>B20+1</f>
        <v>16</v>
      </c>
      <c r="C21" s="2" t="s">
        <v>170</v>
      </c>
      <c r="D21" s="3" t="s">
        <v>18</v>
      </c>
      <c r="E21" s="3" t="s">
        <v>171</v>
      </c>
      <c r="F21" s="3" t="s">
        <v>91</v>
      </c>
      <c r="H21" s="25"/>
      <c r="I21" s="23"/>
      <c r="J21" s="69" t="s">
        <v>172</v>
      </c>
      <c r="K21" s="69"/>
      <c r="L21" s="69"/>
      <c r="M21" s="69"/>
      <c r="N21" s="69"/>
      <c r="O21" s="69" t="s">
        <v>173</v>
      </c>
      <c r="P21" s="69"/>
      <c r="Q21" s="69"/>
      <c r="R21" s="69"/>
      <c r="S21" s="69"/>
      <c r="T21" s="26" t="s">
        <v>174</v>
      </c>
    </row>
    <row r="22" spans="2:20">
      <c r="B22" s="5">
        <f t="shared" si="0"/>
        <v>17</v>
      </c>
      <c r="C22" s="2" t="s">
        <v>175</v>
      </c>
      <c r="D22" s="3" t="s">
        <v>18</v>
      </c>
      <c r="E22" s="3" t="s">
        <v>176</v>
      </c>
      <c r="F22" s="3" t="s">
        <v>91</v>
      </c>
      <c r="H22" s="25"/>
      <c r="I22" s="25"/>
      <c r="J22" s="69" t="s">
        <v>177</v>
      </c>
      <c r="K22" s="69"/>
      <c r="L22" s="69"/>
      <c r="M22" s="69"/>
      <c r="N22" s="69"/>
      <c r="O22" s="69" t="s">
        <v>178</v>
      </c>
      <c r="P22" s="69"/>
      <c r="Q22" s="69"/>
      <c r="R22" s="69"/>
      <c r="S22" s="69"/>
      <c r="T22" s="27"/>
    </row>
    <row r="23" spans="2:20">
      <c r="B23" s="5">
        <f t="shared" si="0"/>
        <v>18</v>
      </c>
      <c r="C23" s="2" t="s">
        <v>179</v>
      </c>
      <c r="D23" s="3" t="s">
        <v>18</v>
      </c>
      <c r="E23" s="3" t="s">
        <v>180</v>
      </c>
      <c r="F23" s="3" t="s">
        <v>91</v>
      </c>
      <c r="H23" s="25"/>
      <c r="I23" s="25"/>
      <c r="J23" s="69" t="s">
        <v>181</v>
      </c>
      <c r="K23" s="69"/>
      <c r="L23" s="69"/>
      <c r="M23" s="69"/>
      <c r="N23" s="69"/>
      <c r="O23" s="69" t="s">
        <v>182</v>
      </c>
      <c r="P23" s="69"/>
      <c r="Q23" s="69"/>
      <c r="R23" s="69"/>
      <c r="S23" s="69"/>
      <c r="T23" s="27"/>
    </row>
    <row r="24" spans="2:20">
      <c r="B24" s="5">
        <f t="shared" si="0"/>
        <v>19</v>
      </c>
      <c r="C24" s="2" t="s">
        <v>183</v>
      </c>
      <c r="D24" s="3" t="s">
        <v>18</v>
      </c>
      <c r="E24" s="3" t="s">
        <v>184</v>
      </c>
      <c r="F24" s="3" t="s">
        <v>91</v>
      </c>
      <c r="H24" s="25"/>
      <c r="I24" s="25"/>
      <c r="J24" s="69" t="s">
        <v>185</v>
      </c>
      <c r="K24" s="69"/>
      <c r="L24" s="69"/>
      <c r="M24" s="69"/>
      <c r="N24" s="69"/>
      <c r="O24" s="69" t="s">
        <v>186</v>
      </c>
      <c r="P24" s="69"/>
      <c r="Q24" s="69"/>
      <c r="R24" s="69"/>
      <c r="S24" s="69"/>
      <c r="T24" s="12"/>
    </row>
    <row r="25" spans="2:20">
      <c r="B25" s="5">
        <f t="shared" si="0"/>
        <v>20</v>
      </c>
      <c r="C25" s="2" t="s">
        <v>187</v>
      </c>
      <c r="D25" s="3" t="s">
        <v>18</v>
      </c>
      <c r="E25" s="3" t="s">
        <v>188</v>
      </c>
      <c r="F25" s="3" t="s">
        <v>91</v>
      </c>
      <c r="H25" s="25"/>
      <c r="I25" s="25"/>
      <c r="J25" s="69" t="s">
        <v>189</v>
      </c>
      <c r="K25" s="69"/>
      <c r="L25" s="69"/>
      <c r="M25" s="69"/>
      <c r="N25" s="69"/>
      <c r="O25" s="69" t="s">
        <v>190</v>
      </c>
      <c r="P25" s="69"/>
      <c r="Q25" s="69"/>
      <c r="R25" s="69"/>
      <c r="S25" s="69"/>
      <c r="T25" s="12"/>
    </row>
    <row r="26" spans="2:20">
      <c r="B26" s="5">
        <f t="shared" si="0"/>
        <v>21</v>
      </c>
      <c r="C26" s="2" t="s">
        <v>191</v>
      </c>
      <c r="D26" s="3" t="s">
        <v>18</v>
      </c>
      <c r="E26" s="3" t="s">
        <v>192</v>
      </c>
      <c r="F26" s="3" t="s">
        <v>91</v>
      </c>
      <c r="H26" s="25"/>
      <c r="I26" s="25"/>
      <c r="J26" s="69" t="s">
        <v>193</v>
      </c>
      <c r="K26" s="69"/>
      <c r="L26" s="69"/>
      <c r="M26" s="69"/>
      <c r="N26" s="69"/>
      <c r="O26" s="69" t="s">
        <v>194</v>
      </c>
      <c r="P26" s="69"/>
      <c r="Q26" s="69"/>
      <c r="R26" s="69"/>
      <c r="S26" s="69"/>
      <c r="T26" s="12"/>
    </row>
    <row r="27" spans="2:20">
      <c r="B27" s="5"/>
      <c r="C27" s="21" t="s">
        <v>195</v>
      </c>
      <c r="D27" s="3" t="s">
        <v>18</v>
      </c>
      <c r="E27" s="3" t="s">
        <v>196</v>
      </c>
      <c r="F27" s="3" t="s">
        <v>413</v>
      </c>
      <c r="H27" s="22" t="s">
        <v>414</v>
      </c>
      <c r="I27" s="22" t="s">
        <v>201</v>
      </c>
      <c r="J27" s="94" t="s">
        <v>200</v>
      </c>
      <c r="K27" s="95"/>
      <c r="L27" s="28" t="s">
        <v>199</v>
      </c>
      <c r="M27" s="22" t="s">
        <v>207</v>
      </c>
      <c r="N27" s="22" t="s">
        <v>206</v>
      </c>
      <c r="O27" s="22" t="s">
        <v>208</v>
      </c>
      <c r="P27" s="22" t="s">
        <v>415</v>
      </c>
      <c r="Q27" s="22" t="s">
        <v>416</v>
      </c>
      <c r="R27" s="22" t="s">
        <v>417</v>
      </c>
      <c r="S27" s="22" t="s">
        <v>203</v>
      </c>
      <c r="T27" s="12"/>
    </row>
    <row r="28" spans="2:20">
      <c r="B28" s="5"/>
      <c r="C28" s="21" t="s">
        <v>209</v>
      </c>
      <c r="D28" s="3" t="s">
        <v>210</v>
      </c>
      <c r="E28" s="3" t="s">
        <v>211</v>
      </c>
      <c r="F28" s="3" t="s">
        <v>29</v>
      </c>
      <c r="H28" s="22" t="s">
        <v>212</v>
      </c>
      <c r="I28" s="25"/>
      <c r="J28" s="11"/>
      <c r="K28" s="11"/>
      <c r="L28" s="11"/>
      <c r="M28" s="11"/>
      <c r="N28" s="11"/>
      <c r="O28" s="11"/>
      <c r="P28" s="11"/>
      <c r="Q28" s="22" t="s">
        <v>214</v>
      </c>
      <c r="R28" s="22" t="s">
        <v>215</v>
      </c>
      <c r="S28" s="22" t="s">
        <v>216</v>
      </c>
      <c r="T28" s="12"/>
    </row>
    <row r="29" spans="2:20" ht="51">
      <c r="B29" s="5"/>
      <c r="C29" s="21" t="s">
        <v>217</v>
      </c>
      <c r="D29" s="3" t="s">
        <v>18</v>
      </c>
      <c r="E29" s="45" t="s">
        <v>423</v>
      </c>
      <c r="F29" s="3" t="s">
        <v>29</v>
      </c>
      <c r="H29" s="25"/>
      <c r="I29" s="25"/>
      <c r="J29" s="97" t="s">
        <v>419</v>
      </c>
      <c r="K29" s="98"/>
      <c r="L29" s="98"/>
      <c r="M29" s="98"/>
      <c r="N29" s="98"/>
      <c r="O29" s="98" t="s">
        <v>420</v>
      </c>
      <c r="P29" s="98"/>
      <c r="Q29" s="98"/>
      <c r="R29" s="98"/>
      <c r="S29" s="99"/>
      <c r="T29" s="12"/>
    </row>
    <row r="30" spans="2:20" ht="51">
      <c r="B30" s="5"/>
      <c r="C30" s="21" t="s">
        <v>221</v>
      </c>
      <c r="D30" s="3" t="s">
        <v>18</v>
      </c>
      <c r="E30" s="45" t="s">
        <v>424</v>
      </c>
      <c r="F30" s="3" t="s">
        <v>29</v>
      </c>
      <c r="H30" s="25"/>
      <c r="I30" s="25"/>
      <c r="J30" s="11"/>
      <c r="K30" s="11"/>
      <c r="L30" s="11"/>
      <c r="M30" s="11"/>
      <c r="N30" s="11"/>
      <c r="O30" s="11"/>
      <c r="P30" s="11"/>
      <c r="Q30" s="11"/>
      <c r="R30" s="11"/>
      <c r="S30" s="22" t="s">
        <v>421</v>
      </c>
      <c r="T30" s="12"/>
    </row>
    <row r="31" spans="2:20">
      <c r="B31" s="5">
        <f>B26+1</f>
        <v>22</v>
      </c>
      <c r="C31" s="2" t="s">
        <v>231</v>
      </c>
      <c r="D31" s="3" t="s">
        <v>18</v>
      </c>
      <c r="E31" s="3" t="s">
        <v>232</v>
      </c>
      <c r="F31" s="3" t="s">
        <v>233</v>
      </c>
      <c r="H31" s="69" t="s">
        <v>234</v>
      </c>
      <c r="I31" s="69"/>
      <c r="J31" s="69"/>
      <c r="K31" s="69"/>
      <c r="L31" s="69"/>
      <c r="M31" s="69"/>
      <c r="N31" s="69" t="s">
        <v>235</v>
      </c>
      <c r="O31" s="69"/>
      <c r="P31" s="69"/>
      <c r="Q31" s="69"/>
      <c r="R31" s="69"/>
      <c r="S31" s="69"/>
      <c r="T31" s="12" t="s">
        <v>236</v>
      </c>
    </row>
    <row r="32" spans="2:20">
      <c r="B32" s="5">
        <f t="shared" si="0"/>
        <v>23</v>
      </c>
      <c r="C32" s="2" t="s">
        <v>237</v>
      </c>
      <c r="D32" s="3" t="s">
        <v>18</v>
      </c>
      <c r="E32" s="3" t="s">
        <v>238</v>
      </c>
      <c r="F32" s="3" t="s">
        <v>239</v>
      </c>
      <c r="H32" s="11"/>
      <c r="I32" s="11"/>
      <c r="J32" s="11"/>
      <c r="K32" s="69" t="s">
        <v>240</v>
      </c>
      <c r="L32" s="69"/>
      <c r="M32" s="69"/>
      <c r="N32" s="69"/>
      <c r="O32" s="69"/>
      <c r="P32" s="69"/>
      <c r="Q32" s="69"/>
      <c r="R32" s="69"/>
      <c r="S32" s="69"/>
      <c r="T32" s="12" t="s">
        <v>241</v>
      </c>
    </row>
    <row r="33" spans="2:20" ht="34">
      <c r="B33" s="5">
        <f t="shared" si="0"/>
        <v>24</v>
      </c>
      <c r="C33" s="2" t="s">
        <v>242</v>
      </c>
      <c r="D33" s="3" t="s">
        <v>18</v>
      </c>
      <c r="E33" s="3" t="s">
        <v>243</v>
      </c>
      <c r="F33" s="3" t="s">
        <v>29</v>
      </c>
      <c r="H33" s="11"/>
      <c r="I33" s="11"/>
      <c r="J33" s="69" t="s">
        <v>244</v>
      </c>
      <c r="K33" s="69"/>
      <c r="L33" s="69"/>
      <c r="M33" s="69"/>
      <c r="N33" s="69"/>
      <c r="O33" s="69"/>
      <c r="P33" s="69"/>
      <c r="Q33" s="69"/>
      <c r="R33" s="69"/>
      <c r="S33" s="69"/>
      <c r="T33" s="12" t="s">
        <v>245</v>
      </c>
    </row>
    <row r="34" spans="2:20" ht="34">
      <c r="B34" s="5">
        <f t="shared" si="0"/>
        <v>25</v>
      </c>
      <c r="C34" s="2" t="s">
        <v>246</v>
      </c>
      <c r="D34" s="3" t="s">
        <v>18</v>
      </c>
      <c r="E34" s="3" t="s">
        <v>247</v>
      </c>
      <c r="F34" s="3" t="s">
        <v>29</v>
      </c>
      <c r="H34" s="10" t="s">
        <v>248</v>
      </c>
      <c r="I34" s="11"/>
      <c r="J34" s="69" t="s">
        <v>249</v>
      </c>
      <c r="K34" s="69"/>
      <c r="L34" s="69"/>
      <c r="M34" s="69"/>
      <c r="N34" s="69"/>
      <c r="O34" s="69"/>
      <c r="P34" s="69"/>
      <c r="Q34" s="69"/>
      <c r="R34" s="69"/>
      <c r="S34" s="69"/>
      <c r="T34" s="12" t="s">
        <v>245</v>
      </c>
    </row>
    <row r="35" spans="2:20">
      <c r="B35" s="5">
        <f t="shared" si="0"/>
        <v>26</v>
      </c>
      <c r="C35" s="2" t="s">
        <v>250</v>
      </c>
      <c r="D35" s="3" t="s">
        <v>18</v>
      </c>
      <c r="E35" s="3" t="s">
        <v>251</v>
      </c>
      <c r="F35" s="3" t="s">
        <v>29</v>
      </c>
      <c r="H35" s="25"/>
      <c r="I35" s="25"/>
      <c r="J35" s="69" t="s">
        <v>252</v>
      </c>
      <c r="K35" s="69"/>
      <c r="L35" s="69"/>
      <c r="M35" s="69"/>
      <c r="N35" s="69"/>
      <c r="O35" s="69"/>
      <c r="P35" s="69"/>
      <c r="Q35" s="69"/>
      <c r="R35" s="69"/>
      <c r="S35" s="69"/>
      <c r="T35" s="12" t="s">
        <v>253</v>
      </c>
    </row>
    <row r="36" spans="2:20">
      <c r="B36" s="5">
        <f t="shared" si="0"/>
        <v>27</v>
      </c>
      <c r="C36" s="2" t="s">
        <v>254</v>
      </c>
      <c r="D36" s="3" t="s">
        <v>18</v>
      </c>
      <c r="E36" s="3" t="s">
        <v>255</v>
      </c>
      <c r="F36" s="3" t="s">
        <v>256</v>
      </c>
      <c r="H36" s="25"/>
      <c r="I36" s="69" t="s">
        <v>257</v>
      </c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12" t="s">
        <v>258</v>
      </c>
    </row>
    <row r="37" spans="2:20">
      <c r="B37" s="5">
        <f t="shared" si="0"/>
        <v>28</v>
      </c>
      <c r="C37" s="2" t="s">
        <v>259</v>
      </c>
      <c r="D37" s="3" t="s">
        <v>18</v>
      </c>
      <c r="E37" s="3" t="s">
        <v>260</v>
      </c>
      <c r="F37" s="3" t="s">
        <v>29</v>
      </c>
      <c r="H37" s="69" t="s">
        <v>261</v>
      </c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12" t="s">
        <v>241</v>
      </c>
    </row>
    <row r="38" spans="2:20" ht="34">
      <c r="B38" s="5">
        <f t="shared" si="0"/>
        <v>29</v>
      </c>
      <c r="C38" s="2" t="s">
        <v>262</v>
      </c>
      <c r="D38" s="3" t="s">
        <v>18</v>
      </c>
      <c r="E38" s="3" t="s">
        <v>263</v>
      </c>
      <c r="F38" s="3" t="s">
        <v>264</v>
      </c>
      <c r="H38" s="10" t="s">
        <v>265</v>
      </c>
      <c r="I38" s="69" t="s">
        <v>266</v>
      </c>
      <c r="J38" s="69"/>
      <c r="K38" s="11"/>
      <c r="L38" s="69" t="s">
        <v>267</v>
      </c>
      <c r="M38" s="69"/>
      <c r="N38" s="69"/>
      <c r="O38" s="69"/>
      <c r="P38" s="69"/>
      <c r="Q38" s="69"/>
      <c r="R38" s="69"/>
      <c r="S38" s="69"/>
      <c r="T38" s="12" t="s">
        <v>268</v>
      </c>
    </row>
    <row r="39" spans="2:20">
      <c r="B39" s="5"/>
      <c r="H39" s="30"/>
      <c r="T39" s="12"/>
    </row>
    <row r="40" spans="2:20" ht="102">
      <c r="B40" s="5">
        <f>B38+1</f>
        <v>30</v>
      </c>
      <c r="C40" s="2" t="s">
        <v>269</v>
      </c>
      <c r="D40" s="3" t="s">
        <v>18</v>
      </c>
      <c r="E40" s="3" t="s">
        <v>270</v>
      </c>
      <c r="F40" s="3" t="s">
        <v>271</v>
      </c>
      <c r="H40" s="103" t="s">
        <v>272</v>
      </c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46" t="s">
        <v>425</v>
      </c>
    </row>
    <row r="41" spans="2:20" ht="85">
      <c r="B41" s="5">
        <f t="shared" si="0"/>
        <v>31</v>
      </c>
      <c r="C41" s="2" t="s">
        <v>274</v>
      </c>
      <c r="D41" s="3" t="s">
        <v>18</v>
      </c>
      <c r="E41" s="3" t="s">
        <v>275</v>
      </c>
      <c r="F41" s="3" t="s">
        <v>29</v>
      </c>
      <c r="H41" s="69" t="s">
        <v>276</v>
      </c>
      <c r="I41" s="69"/>
      <c r="J41" s="69"/>
      <c r="K41" s="69"/>
      <c r="L41" s="69"/>
      <c r="M41" s="69"/>
      <c r="N41" s="14" t="s">
        <v>277</v>
      </c>
      <c r="O41" s="19" t="s">
        <v>278</v>
      </c>
      <c r="P41" s="19" t="s">
        <v>279</v>
      </c>
      <c r="Q41" s="10" t="s">
        <v>280</v>
      </c>
      <c r="R41" s="10" t="s">
        <v>281</v>
      </c>
      <c r="S41" s="10" t="s">
        <v>282</v>
      </c>
      <c r="T41" s="12" t="s">
        <v>283</v>
      </c>
    </row>
    <row r="42" spans="2:20">
      <c r="B42" s="5"/>
      <c r="C42" s="31"/>
      <c r="D42" s="31"/>
      <c r="E42" s="1"/>
      <c r="F42" s="31"/>
      <c r="G42" s="3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7"/>
    </row>
    <row r="43" spans="2:20">
      <c r="B43" s="5">
        <f>B41+1</f>
        <v>32</v>
      </c>
      <c r="C43" s="2" t="s">
        <v>284</v>
      </c>
      <c r="D43" s="3" t="s">
        <v>18</v>
      </c>
      <c r="E43" s="3" t="s">
        <v>285</v>
      </c>
      <c r="F43" s="3" t="s">
        <v>29</v>
      </c>
      <c r="H43" s="11"/>
      <c r="I43" s="11"/>
      <c r="J43" s="11"/>
      <c r="K43" s="11"/>
      <c r="L43" s="11"/>
      <c r="M43" s="11"/>
      <c r="N43" s="10" t="s">
        <v>284</v>
      </c>
      <c r="O43" s="10" t="s">
        <v>286</v>
      </c>
      <c r="P43" s="10" t="s">
        <v>287</v>
      </c>
      <c r="Q43" s="10" t="s">
        <v>288</v>
      </c>
      <c r="R43" s="10" t="s">
        <v>289</v>
      </c>
      <c r="S43" s="10" t="s">
        <v>290</v>
      </c>
      <c r="T43" s="12"/>
    </row>
    <row r="44" spans="2:20">
      <c r="B44" s="5">
        <f>B43+1</f>
        <v>33</v>
      </c>
      <c r="C44" s="2" t="s">
        <v>291</v>
      </c>
      <c r="D44" s="3" t="s">
        <v>18</v>
      </c>
      <c r="E44" s="3" t="s">
        <v>292</v>
      </c>
      <c r="F44" s="3" t="s">
        <v>293</v>
      </c>
      <c r="H44" s="80" t="s">
        <v>294</v>
      </c>
      <c r="I44" s="81"/>
      <c r="J44" s="81"/>
      <c r="K44" s="81"/>
      <c r="L44" s="14" t="s">
        <v>295</v>
      </c>
      <c r="M44" s="10" t="s">
        <v>296</v>
      </c>
      <c r="N44" s="69" t="s">
        <v>297</v>
      </c>
      <c r="O44" s="69"/>
      <c r="P44" s="71" t="s">
        <v>298</v>
      </c>
      <c r="Q44" s="71"/>
      <c r="R44" s="69" t="s">
        <v>299</v>
      </c>
      <c r="S44" s="69"/>
      <c r="T44" s="53" t="s">
        <v>431</v>
      </c>
    </row>
    <row r="45" spans="2:20">
      <c r="B45" s="5">
        <f t="shared" ref="B45:B48" si="1">B44+1</f>
        <v>34</v>
      </c>
      <c r="C45" s="2" t="s">
        <v>300</v>
      </c>
      <c r="D45" s="3" t="s">
        <v>18</v>
      </c>
      <c r="E45" s="3" t="s">
        <v>301</v>
      </c>
      <c r="F45" s="3" t="s">
        <v>29</v>
      </c>
      <c r="H45" s="69" t="s">
        <v>302</v>
      </c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12"/>
    </row>
    <row r="46" spans="2:20">
      <c r="B46" s="5">
        <f t="shared" si="1"/>
        <v>35</v>
      </c>
      <c r="C46" s="2" t="s">
        <v>303</v>
      </c>
      <c r="D46" s="3" t="s">
        <v>18</v>
      </c>
      <c r="E46" s="3" t="s">
        <v>304</v>
      </c>
      <c r="F46" s="3" t="s">
        <v>305</v>
      </c>
      <c r="H46" s="10" t="s">
        <v>306</v>
      </c>
      <c r="I46" s="11"/>
      <c r="J46" s="11"/>
      <c r="K46" s="11"/>
      <c r="L46" s="11"/>
      <c r="M46" s="11"/>
      <c r="N46" s="79" t="s">
        <v>307</v>
      </c>
      <c r="O46" s="79"/>
      <c r="P46" s="69" t="s">
        <v>308</v>
      </c>
      <c r="Q46" s="69"/>
      <c r="R46" s="69"/>
      <c r="S46" s="69"/>
      <c r="T46" s="12"/>
    </row>
    <row r="47" spans="2:20">
      <c r="B47" s="5">
        <f t="shared" si="1"/>
        <v>36</v>
      </c>
      <c r="C47" s="2" t="s">
        <v>309</v>
      </c>
      <c r="D47" s="3" t="s">
        <v>18</v>
      </c>
      <c r="E47" s="3" t="s">
        <v>310</v>
      </c>
      <c r="F47" s="3" t="s">
        <v>29</v>
      </c>
      <c r="G47" s="33"/>
      <c r="H47" s="15" t="s">
        <v>311</v>
      </c>
      <c r="I47" s="16"/>
      <c r="J47" s="16"/>
      <c r="K47" s="16"/>
      <c r="L47" s="16"/>
      <c r="M47" s="79" t="s">
        <v>312</v>
      </c>
      <c r="N47" s="79"/>
      <c r="O47" s="79"/>
      <c r="P47" s="16"/>
      <c r="Q47" s="79" t="s">
        <v>313</v>
      </c>
      <c r="R47" s="79"/>
      <c r="S47" s="79"/>
      <c r="T47" s="17"/>
    </row>
    <row r="48" spans="2:20" ht="34">
      <c r="B48" s="5">
        <f t="shared" si="1"/>
        <v>37</v>
      </c>
      <c r="C48" s="2" t="s">
        <v>314</v>
      </c>
      <c r="D48" s="3" t="s">
        <v>18</v>
      </c>
      <c r="E48" s="3" t="s">
        <v>315</v>
      </c>
      <c r="F48" s="47" t="s">
        <v>426</v>
      </c>
      <c r="G48" s="9"/>
      <c r="H48" s="34"/>
      <c r="I48" s="34"/>
      <c r="J48" s="34"/>
      <c r="K48" s="34"/>
      <c r="L48" s="35"/>
      <c r="M48" s="34"/>
      <c r="N48" s="35"/>
      <c r="O48" s="15" t="s">
        <v>317</v>
      </c>
      <c r="P48" s="36" t="s">
        <v>318</v>
      </c>
      <c r="Q48" s="15" t="s">
        <v>319</v>
      </c>
      <c r="R48" s="15" t="s">
        <v>320</v>
      </c>
      <c r="S48" s="15" t="s">
        <v>321</v>
      </c>
      <c r="T48" s="12" t="s">
        <v>322</v>
      </c>
    </row>
    <row r="49" spans="2:20">
      <c r="B49" s="5"/>
      <c r="T49" s="37"/>
    </row>
    <row r="50" spans="2:20">
      <c r="B50" s="5"/>
      <c r="C50" s="48" t="s">
        <v>427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37"/>
    </row>
    <row r="51" spans="2:20">
      <c r="B51" s="5"/>
    </row>
    <row r="52" spans="2:20" ht="153.5">
      <c r="B52" s="5">
        <v>1</v>
      </c>
      <c r="C52" s="2" t="s">
        <v>324</v>
      </c>
      <c r="D52" s="3" t="s">
        <v>18</v>
      </c>
      <c r="E52" s="49" t="s">
        <v>325</v>
      </c>
      <c r="F52" s="3" t="s">
        <v>29</v>
      </c>
      <c r="H52" s="10" t="s">
        <v>326</v>
      </c>
      <c r="I52" s="84" t="s">
        <v>327</v>
      </c>
      <c r="J52" s="85"/>
      <c r="K52" s="85"/>
      <c r="L52" s="71" t="s">
        <v>328</v>
      </c>
      <c r="M52" s="69"/>
      <c r="N52" s="10" t="s">
        <v>329</v>
      </c>
      <c r="O52" s="10" t="s">
        <v>330</v>
      </c>
      <c r="P52" s="14" t="s">
        <v>331</v>
      </c>
      <c r="Q52" s="14" t="s">
        <v>332</v>
      </c>
      <c r="R52" s="10" t="s">
        <v>333</v>
      </c>
      <c r="S52" s="10" t="s">
        <v>334</v>
      </c>
      <c r="T52" s="12" t="s">
        <v>335</v>
      </c>
    </row>
    <row r="53" spans="2:20">
      <c r="B53" s="5"/>
      <c r="C53" s="54" t="s">
        <v>432</v>
      </c>
      <c r="D53" s="3" t="s">
        <v>18</v>
      </c>
      <c r="E53" s="49" t="s">
        <v>433</v>
      </c>
      <c r="F53" s="3" t="s">
        <v>29</v>
      </c>
      <c r="H53" s="11"/>
      <c r="I53" s="50"/>
      <c r="J53" s="16"/>
      <c r="K53" s="16"/>
      <c r="L53" s="51"/>
      <c r="M53" s="11"/>
      <c r="N53" s="11"/>
      <c r="O53" s="109" t="s">
        <v>434</v>
      </c>
      <c r="P53" s="110"/>
      <c r="Q53" s="110"/>
      <c r="R53" s="110"/>
      <c r="S53" s="111"/>
      <c r="T53" s="53" t="s">
        <v>435</v>
      </c>
    </row>
    <row r="54" spans="2:20">
      <c r="B54" s="5">
        <f>B52+1</f>
        <v>2</v>
      </c>
      <c r="C54" s="2" t="s">
        <v>336</v>
      </c>
      <c r="D54" s="3" t="s">
        <v>18</v>
      </c>
      <c r="E54" s="49" t="s">
        <v>337</v>
      </c>
      <c r="F54" s="3" t="s">
        <v>29</v>
      </c>
      <c r="H54" s="11"/>
      <c r="I54" s="11"/>
      <c r="J54" s="11"/>
      <c r="K54" s="11"/>
      <c r="L54" s="11"/>
      <c r="M54" s="11"/>
      <c r="N54" s="11"/>
      <c r="O54" s="11"/>
      <c r="P54" s="69" t="s">
        <v>338</v>
      </c>
      <c r="Q54" s="69"/>
      <c r="R54" s="69"/>
      <c r="S54" s="69"/>
      <c r="T54" s="40" t="s">
        <v>339</v>
      </c>
    </row>
    <row r="55" spans="2:20">
      <c r="B55" s="5">
        <f t="shared" ref="B55:B58" si="2">B54+1</f>
        <v>3</v>
      </c>
      <c r="C55" s="2" t="s">
        <v>340</v>
      </c>
      <c r="D55" s="3" t="s">
        <v>18</v>
      </c>
      <c r="E55" s="49" t="s">
        <v>341</v>
      </c>
      <c r="F55" s="3" t="s">
        <v>256</v>
      </c>
      <c r="H55" s="69" t="s">
        <v>342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40" t="s">
        <v>339</v>
      </c>
    </row>
    <row r="56" spans="2:20">
      <c r="B56" s="5">
        <f t="shared" si="2"/>
        <v>4</v>
      </c>
      <c r="C56" s="2" t="s">
        <v>343</v>
      </c>
      <c r="D56" s="3" t="s">
        <v>18</v>
      </c>
      <c r="E56" s="49" t="s">
        <v>344</v>
      </c>
      <c r="F56" s="3" t="s">
        <v>345</v>
      </c>
      <c r="H56" s="11"/>
      <c r="I56" s="11"/>
      <c r="J56" s="11"/>
      <c r="K56" s="11"/>
      <c r="L56" s="11"/>
      <c r="M56" s="11"/>
      <c r="N56" s="69" t="s">
        <v>346</v>
      </c>
      <c r="O56" s="69"/>
      <c r="P56" s="69" t="s">
        <v>347</v>
      </c>
      <c r="Q56" s="69"/>
      <c r="R56" s="69"/>
      <c r="S56" s="69"/>
      <c r="T56" s="40" t="s">
        <v>339</v>
      </c>
    </row>
    <row r="57" spans="2:20">
      <c r="B57" s="5">
        <f t="shared" si="2"/>
        <v>5</v>
      </c>
      <c r="C57" s="2" t="s">
        <v>348</v>
      </c>
      <c r="D57" s="3" t="s">
        <v>18</v>
      </c>
      <c r="E57" s="49" t="s">
        <v>349</v>
      </c>
      <c r="F57" s="3" t="s">
        <v>29</v>
      </c>
      <c r="H57" s="41" t="s">
        <v>350</v>
      </c>
      <c r="I57" s="11"/>
      <c r="J57" s="11"/>
      <c r="K57" s="11"/>
      <c r="L57" s="11"/>
      <c r="M57" s="11"/>
      <c r="N57" s="11"/>
      <c r="O57" s="11"/>
      <c r="P57" s="11"/>
      <c r="Q57" s="11"/>
      <c r="R57" s="10" t="s">
        <v>351</v>
      </c>
      <c r="S57" s="10" t="s">
        <v>352</v>
      </c>
      <c r="T57" s="40">
        <v>1</v>
      </c>
    </row>
    <row r="58" spans="2:20">
      <c r="B58" s="5">
        <f t="shared" si="2"/>
        <v>6</v>
      </c>
      <c r="C58" s="2" t="s">
        <v>353</v>
      </c>
      <c r="D58" s="3" t="s">
        <v>18</v>
      </c>
      <c r="E58" s="49" t="s">
        <v>354</v>
      </c>
      <c r="F58" s="3" t="s">
        <v>355</v>
      </c>
      <c r="H58" s="69" t="s">
        <v>356</v>
      </c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42"/>
    </row>
    <row r="59" spans="2:20">
      <c r="B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42"/>
    </row>
    <row r="60" spans="2:20">
      <c r="B60" s="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42"/>
    </row>
    <row r="61" spans="2:20">
      <c r="B61" s="5"/>
      <c r="C61" s="48" t="s">
        <v>428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26"/>
    </row>
    <row r="62" spans="2:20"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6"/>
    </row>
    <row r="63" spans="2:20">
      <c r="B63" s="5">
        <v>1</v>
      </c>
      <c r="D63" s="3" t="s">
        <v>436</v>
      </c>
      <c r="E63" s="3" t="s">
        <v>19</v>
      </c>
      <c r="F63" s="3" t="s">
        <v>29</v>
      </c>
      <c r="H63" s="16"/>
      <c r="I63" s="16"/>
      <c r="J63" s="16"/>
      <c r="K63" s="16"/>
      <c r="L63" s="82" t="s">
        <v>358</v>
      </c>
      <c r="M63" s="82"/>
      <c r="N63" s="82"/>
      <c r="O63" s="82"/>
      <c r="P63" s="82"/>
      <c r="Q63" s="82"/>
      <c r="R63" s="82"/>
      <c r="S63" s="82"/>
      <c r="T63" s="26">
        <v>8</v>
      </c>
    </row>
    <row r="64" spans="2:20">
      <c r="B64" s="5">
        <f>B63+1</f>
        <v>2</v>
      </c>
      <c r="D64" s="3" t="s">
        <v>18</v>
      </c>
      <c r="E64" s="3" t="s">
        <v>28</v>
      </c>
      <c r="F64" s="3" t="s">
        <v>359</v>
      </c>
      <c r="H64" s="43"/>
      <c r="I64" s="43"/>
      <c r="J64" s="82" t="s">
        <v>360</v>
      </c>
      <c r="K64" s="83"/>
      <c r="L64" s="83"/>
      <c r="M64" s="83"/>
      <c r="N64" s="83"/>
      <c r="O64" s="82" t="s">
        <v>361</v>
      </c>
      <c r="P64" s="83"/>
      <c r="Q64" s="83"/>
      <c r="R64" s="83"/>
      <c r="S64" s="83"/>
      <c r="T64" s="26">
        <v>10</v>
      </c>
    </row>
    <row r="65" spans="2:20">
      <c r="B65" s="5"/>
      <c r="C65" s="54" t="s">
        <v>437</v>
      </c>
      <c r="D65" s="3" t="s">
        <v>18</v>
      </c>
      <c r="E65" s="3" t="s">
        <v>39</v>
      </c>
      <c r="F65" s="3" t="s">
        <v>359</v>
      </c>
      <c r="H65" s="43"/>
      <c r="I65" s="43"/>
      <c r="J65" s="108" t="s">
        <v>438</v>
      </c>
      <c r="K65" s="108"/>
      <c r="L65" s="108"/>
      <c r="M65" s="108"/>
      <c r="N65" s="108"/>
      <c r="O65" s="108" t="s">
        <v>439</v>
      </c>
      <c r="P65" s="108"/>
      <c r="Q65" s="108"/>
      <c r="R65" s="108"/>
      <c r="S65" s="108"/>
      <c r="T65" s="26">
        <v>10</v>
      </c>
    </row>
    <row r="66" spans="2:20">
      <c r="B66" s="5"/>
      <c r="C66" s="54" t="s">
        <v>437</v>
      </c>
      <c r="D66" s="3" t="s">
        <v>18</v>
      </c>
      <c r="E66" s="3" t="s">
        <v>43</v>
      </c>
      <c r="F66" s="3" t="s">
        <v>440</v>
      </c>
      <c r="H66" s="105" t="s">
        <v>294</v>
      </c>
      <c r="I66" s="106"/>
      <c r="J66" s="106"/>
      <c r="K66" s="107"/>
      <c r="L66" s="43"/>
      <c r="M66" s="43"/>
      <c r="N66" s="43"/>
      <c r="O66" s="108" t="s">
        <v>441</v>
      </c>
      <c r="P66" s="108"/>
      <c r="Q66" s="108"/>
      <c r="R66" s="108"/>
      <c r="S66" s="108"/>
      <c r="T66" s="26">
        <v>9</v>
      </c>
    </row>
    <row r="67" spans="2:20" s="44" customFormat="1">
      <c r="B67" s="5">
        <f>B64+1</f>
        <v>3</v>
      </c>
      <c r="C67" s="2"/>
      <c r="D67" s="3" t="s">
        <v>18</v>
      </c>
      <c r="E67" s="3" t="s">
        <v>48</v>
      </c>
      <c r="F67" s="3" t="s">
        <v>362</v>
      </c>
      <c r="G67" s="3"/>
      <c r="H67" s="86" t="s">
        <v>363</v>
      </c>
      <c r="I67" s="87"/>
      <c r="J67" s="87"/>
      <c r="K67" s="87"/>
      <c r="L67" s="88"/>
      <c r="M67" s="16"/>
      <c r="N67" s="16"/>
      <c r="O67" s="86" t="s">
        <v>364</v>
      </c>
      <c r="P67" s="87"/>
      <c r="Q67" s="87"/>
      <c r="R67" s="87"/>
      <c r="S67" s="88"/>
      <c r="T67" s="26">
        <v>10</v>
      </c>
    </row>
    <row r="68" spans="2:20" s="44" customFormat="1">
      <c r="B68" s="5">
        <f t="shared" ref="B68:B94" si="3">B67+1</f>
        <v>4</v>
      </c>
      <c r="C68" s="2"/>
      <c r="D68" s="3" t="s">
        <v>18</v>
      </c>
      <c r="E68" s="3" t="s">
        <v>53</v>
      </c>
      <c r="F68" s="3" t="s">
        <v>239</v>
      </c>
      <c r="G68" s="3"/>
      <c r="H68" s="16"/>
      <c r="I68" s="16"/>
      <c r="J68" s="16"/>
      <c r="K68" s="16"/>
      <c r="L68" s="82" t="s">
        <v>365</v>
      </c>
      <c r="M68" s="82"/>
      <c r="N68" s="82"/>
      <c r="O68" s="82"/>
      <c r="P68" s="82" t="s">
        <v>366</v>
      </c>
      <c r="Q68" s="82"/>
      <c r="R68" s="82"/>
      <c r="S68" s="82"/>
      <c r="T68" s="26">
        <v>8</v>
      </c>
    </row>
    <row r="69" spans="2:20" s="44" customFormat="1">
      <c r="B69" s="5">
        <f t="shared" si="3"/>
        <v>5</v>
      </c>
      <c r="C69" s="2"/>
      <c r="D69" s="3" t="s">
        <v>18</v>
      </c>
      <c r="E69" s="3" t="s">
        <v>67</v>
      </c>
      <c r="F69" s="3" t="s">
        <v>29</v>
      </c>
      <c r="G69" s="3"/>
      <c r="H69" s="16"/>
      <c r="I69" s="16"/>
      <c r="J69" s="16"/>
      <c r="K69" s="86" t="s">
        <v>367</v>
      </c>
      <c r="L69" s="87"/>
      <c r="M69" s="87"/>
      <c r="N69" s="87"/>
      <c r="O69" s="87"/>
      <c r="P69" s="87"/>
      <c r="Q69" s="87"/>
      <c r="R69" s="87"/>
      <c r="S69" s="88"/>
      <c r="T69" s="26">
        <v>9</v>
      </c>
    </row>
    <row r="70" spans="2:20" s="44" customFormat="1">
      <c r="B70" s="5">
        <f t="shared" si="3"/>
        <v>6</v>
      </c>
      <c r="C70" s="2"/>
      <c r="D70" s="3" t="s">
        <v>18</v>
      </c>
      <c r="E70" s="3" t="s">
        <v>370</v>
      </c>
      <c r="F70" s="3" t="s">
        <v>29</v>
      </c>
      <c r="G70" s="3"/>
      <c r="H70" s="16"/>
      <c r="I70" s="16"/>
      <c r="J70" s="16"/>
      <c r="K70" s="86" t="s">
        <v>368</v>
      </c>
      <c r="L70" s="87"/>
      <c r="M70" s="87"/>
      <c r="N70" s="87"/>
      <c r="O70" s="87"/>
      <c r="P70" s="87"/>
      <c r="Q70" s="87"/>
      <c r="R70" s="87"/>
      <c r="S70" s="88"/>
      <c r="T70" s="26">
        <v>9</v>
      </c>
    </row>
    <row r="71" spans="2:20" s="44" customFormat="1">
      <c r="B71" s="5">
        <f t="shared" si="3"/>
        <v>7</v>
      </c>
      <c r="C71" s="2"/>
      <c r="D71" s="3" t="s">
        <v>18</v>
      </c>
      <c r="E71" s="3" t="s">
        <v>372</v>
      </c>
      <c r="F71" s="3" t="s">
        <v>29</v>
      </c>
      <c r="G71" s="3"/>
      <c r="H71" s="16"/>
      <c r="I71" s="16"/>
      <c r="J71" s="16"/>
      <c r="K71" s="86" t="s">
        <v>369</v>
      </c>
      <c r="L71" s="87"/>
      <c r="M71" s="87"/>
      <c r="N71" s="87"/>
      <c r="O71" s="87"/>
      <c r="P71" s="87"/>
      <c r="Q71" s="87"/>
      <c r="R71" s="87"/>
      <c r="S71" s="88"/>
      <c r="T71" s="26">
        <v>9</v>
      </c>
    </row>
    <row r="72" spans="2:20" s="44" customFormat="1">
      <c r="B72" s="5">
        <f t="shared" si="3"/>
        <v>8</v>
      </c>
      <c r="C72" s="2"/>
      <c r="D72" s="3" t="s">
        <v>18</v>
      </c>
      <c r="E72" s="3" t="s">
        <v>374</v>
      </c>
      <c r="F72" s="3" t="s">
        <v>29</v>
      </c>
      <c r="G72" s="3"/>
      <c r="H72" s="16"/>
      <c r="I72" s="16"/>
      <c r="J72" s="16"/>
      <c r="K72" s="86" t="s">
        <v>371</v>
      </c>
      <c r="L72" s="87"/>
      <c r="M72" s="87"/>
      <c r="N72" s="87"/>
      <c r="O72" s="87"/>
      <c r="P72" s="87"/>
      <c r="Q72" s="87"/>
      <c r="R72" s="87"/>
      <c r="S72" s="88"/>
      <c r="T72" s="26">
        <v>9</v>
      </c>
    </row>
    <row r="73" spans="2:20" s="44" customFormat="1">
      <c r="B73" s="5">
        <f t="shared" si="3"/>
        <v>9</v>
      </c>
      <c r="C73" s="2"/>
      <c r="D73" s="3" t="s">
        <v>18</v>
      </c>
      <c r="E73" s="3" t="s">
        <v>99</v>
      </c>
      <c r="F73" s="3" t="s">
        <v>29</v>
      </c>
      <c r="G73" s="3"/>
      <c r="H73" s="16"/>
      <c r="I73" s="16"/>
      <c r="J73" s="16"/>
      <c r="K73" s="86" t="s">
        <v>373</v>
      </c>
      <c r="L73" s="87"/>
      <c r="M73" s="87"/>
      <c r="N73" s="87"/>
      <c r="O73" s="87"/>
      <c r="P73" s="87"/>
      <c r="Q73" s="87"/>
      <c r="R73" s="87"/>
      <c r="S73" s="88"/>
      <c r="T73" s="26">
        <v>9</v>
      </c>
    </row>
    <row r="74" spans="2:20" s="44" customFormat="1">
      <c r="B74" s="5">
        <f t="shared" si="3"/>
        <v>10</v>
      </c>
      <c r="C74" s="2"/>
      <c r="D74" s="3" t="s">
        <v>18</v>
      </c>
      <c r="E74" s="3" t="s">
        <v>112</v>
      </c>
      <c r="F74" s="3" t="s">
        <v>29</v>
      </c>
      <c r="G74" s="3"/>
      <c r="H74" s="16"/>
      <c r="I74" s="16"/>
      <c r="J74" s="16"/>
      <c r="K74" s="86" t="s">
        <v>375</v>
      </c>
      <c r="L74" s="87"/>
      <c r="M74" s="87"/>
      <c r="N74" s="87"/>
      <c r="O74" s="87"/>
      <c r="P74" s="87"/>
      <c r="Q74" s="87"/>
      <c r="R74" s="87"/>
      <c r="S74" s="88"/>
      <c r="T74" s="26">
        <v>9</v>
      </c>
    </row>
    <row r="75" spans="2:20" s="44" customFormat="1">
      <c r="B75" s="5">
        <f t="shared" si="3"/>
        <v>11</v>
      </c>
      <c r="C75" s="2"/>
      <c r="D75" s="3" t="s">
        <v>18</v>
      </c>
      <c r="E75" s="3" t="s">
        <v>126</v>
      </c>
      <c r="F75" s="3" t="s">
        <v>29</v>
      </c>
      <c r="G75" s="3"/>
      <c r="H75" s="16"/>
      <c r="I75" s="16"/>
      <c r="J75" s="16"/>
      <c r="K75" s="86" t="s">
        <v>376</v>
      </c>
      <c r="L75" s="87"/>
      <c r="M75" s="87"/>
      <c r="N75" s="87"/>
      <c r="O75" s="87"/>
      <c r="P75" s="87"/>
      <c r="Q75" s="87"/>
      <c r="R75" s="87"/>
      <c r="S75" s="88"/>
      <c r="T75" s="26">
        <v>9</v>
      </c>
    </row>
    <row r="76" spans="2:20" s="44" customFormat="1">
      <c r="B76" s="5">
        <f t="shared" si="3"/>
        <v>12</v>
      </c>
      <c r="C76" s="2"/>
      <c r="D76" s="3" t="s">
        <v>18</v>
      </c>
      <c r="E76" s="3" t="s">
        <v>140</v>
      </c>
      <c r="F76" s="3" t="s">
        <v>29</v>
      </c>
      <c r="G76" s="3"/>
      <c r="H76" s="16"/>
      <c r="I76" s="16"/>
      <c r="J76" s="16"/>
      <c r="K76" s="86" t="s">
        <v>377</v>
      </c>
      <c r="L76" s="87"/>
      <c r="M76" s="87"/>
      <c r="N76" s="87"/>
      <c r="O76" s="87"/>
      <c r="P76" s="87"/>
      <c r="Q76" s="87"/>
      <c r="R76" s="87"/>
      <c r="S76" s="88"/>
      <c r="T76" s="26">
        <v>9</v>
      </c>
    </row>
    <row r="77" spans="2:20" s="44" customFormat="1">
      <c r="B77" s="5">
        <f t="shared" si="3"/>
        <v>13</v>
      </c>
      <c r="C77" s="2"/>
      <c r="D77" s="3" t="s">
        <v>18</v>
      </c>
      <c r="E77" s="3" t="s">
        <v>146</v>
      </c>
      <c r="F77" s="3" t="s">
        <v>29</v>
      </c>
      <c r="G77" s="3"/>
      <c r="H77" s="16"/>
      <c r="I77" s="16"/>
      <c r="J77" s="16"/>
      <c r="K77" s="86" t="s">
        <v>378</v>
      </c>
      <c r="L77" s="87"/>
      <c r="M77" s="87"/>
      <c r="N77" s="87"/>
      <c r="O77" s="87"/>
      <c r="P77" s="87"/>
      <c r="Q77" s="87"/>
      <c r="R77" s="87"/>
      <c r="S77" s="88"/>
      <c r="T77" s="26">
        <v>9</v>
      </c>
    </row>
    <row r="78" spans="2:20" s="44" customFormat="1">
      <c r="B78" s="5">
        <f t="shared" si="3"/>
        <v>14</v>
      </c>
      <c r="C78" s="2"/>
      <c r="D78" s="3" t="s">
        <v>18</v>
      </c>
      <c r="E78" s="3" t="s">
        <v>150</v>
      </c>
      <c r="F78" s="3" t="s">
        <v>29</v>
      </c>
      <c r="G78" s="3"/>
      <c r="H78" s="16"/>
      <c r="I78" s="16"/>
      <c r="J78" s="16"/>
      <c r="K78" s="86" t="s">
        <v>379</v>
      </c>
      <c r="L78" s="87"/>
      <c r="M78" s="87"/>
      <c r="N78" s="87"/>
      <c r="O78" s="87"/>
      <c r="P78" s="87"/>
      <c r="Q78" s="87"/>
      <c r="R78" s="87"/>
      <c r="S78" s="88"/>
      <c r="T78" s="26">
        <v>9</v>
      </c>
    </row>
    <row r="79" spans="2:20" s="44" customFormat="1">
      <c r="B79" s="5">
        <f t="shared" si="3"/>
        <v>15</v>
      </c>
      <c r="C79" s="2"/>
      <c r="D79" s="3" t="s">
        <v>18</v>
      </c>
      <c r="E79" s="3" t="s">
        <v>153</v>
      </c>
      <c r="F79" s="3" t="s">
        <v>29</v>
      </c>
      <c r="G79" s="2"/>
      <c r="H79" s="16"/>
      <c r="I79" s="16"/>
      <c r="J79" s="16"/>
      <c r="K79" s="86" t="s">
        <v>380</v>
      </c>
      <c r="L79" s="87"/>
      <c r="M79" s="87"/>
      <c r="N79" s="87"/>
      <c r="O79" s="87"/>
      <c r="P79" s="87"/>
      <c r="Q79" s="87"/>
      <c r="R79" s="87"/>
      <c r="S79" s="88"/>
      <c r="T79" s="26">
        <v>9</v>
      </c>
    </row>
    <row r="80" spans="2:20" s="44" customFormat="1">
      <c r="B80" s="5">
        <f t="shared" si="3"/>
        <v>16</v>
      </c>
      <c r="C80" s="2"/>
      <c r="D80" s="3" t="s">
        <v>18</v>
      </c>
      <c r="E80" s="3" t="s">
        <v>384</v>
      </c>
      <c r="F80" s="3" t="s">
        <v>29</v>
      </c>
      <c r="G80" s="3"/>
      <c r="H80" s="16"/>
      <c r="I80" s="16"/>
      <c r="J80" s="16"/>
      <c r="K80" s="86" t="s">
        <v>381</v>
      </c>
      <c r="L80" s="87"/>
      <c r="M80" s="87"/>
      <c r="N80" s="87"/>
      <c r="O80" s="87"/>
      <c r="P80" s="87"/>
      <c r="Q80" s="87"/>
      <c r="R80" s="87"/>
      <c r="S80" s="88"/>
      <c r="T80" s="26">
        <v>9</v>
      </c>
    </row>
    <row r="81" spans="1:21" s="44" customFormat="1">
      <c r="B81" s="5">
        <f t="shared" si="3"/>
        <v>17</v>
      </c>
      <c r="C81" s="2"/>
      <c r="D81" s="3" t="s">
        <v>18</v>
      </c>
      <c r="E81" s="3" t="s">
        <v>386</v>
      </c>
      <c r="F81" s="3" t="s">
        <v>382</v>
      </c>
      <c r="G81" s="3"/>
      <c r="H81" s="16"/>
      <c r="I81" s="16"/>
      <c r="J81" s="16"/>
      <c r="K81" s="16"/>
      <c r="L81" s="16"/>
      <c r="M81" s="86" t="s">
        <v>383</v>
      </c>
      <c r="N81" s="87"/>
      <c r="O81" s="87"/>
      <c r="P81" s="87"/>
      <c r="Q81" s="87"/>
      <c r="R81" s="87"/>
      <c r="S81" s="88"/>
      <c r="T81" s="26">
        <v>7</v>
      </c>
    </row>
    <row r="82" spans="1:21" s="44" customFormat="1">
      <c r="B82" s="5">
        <f t="shared" si="3"/>
        <v>18</v>
      </c>
      <c r="C82" s="2"/>
      <c r="D82" s="3" t="s">
        <v>18</v>
      </c>
      <c r="E82" s="3" t="s">
        <v>389</v>
      </c>
      <c r="F82" s="3" t="s">
        <v>382</v>
      </c>
      <c r="G82" s="3"/>
      <c r="H82" s="16"/>
      <c r="I82" s="16"/>
      <c r="J82" s="16"/>
      <c r="K82" s="16"/>
      <c r="L82" s="16"/>
      <c r="M82" s="86" t="s">
        <v>385</v>
      </c>
      <c r="N82" s="87"/>
      <c r="O82" s="87"/>
      <c r="P82" s="87"/>
      <c r="Q82" s="87"/>
      <c r="R82" s="87"/>
      <c r="S82" s="88"/>
      <c r="T82" s="26">
        <v>7</v>
      </c>
    </row>
    <row r="83" spans="1:21" s="44" customFormat="1">
      <c r="B83" s="5">
        <f t="shared" si="3"/>
        <v>19</v>
      </c>
      <c r="C83" s="2"/>
      <c r="D83" s="3" t="s">
        <v>18</v>
      </c>
      <c r="E83" s="3" t="s">
        <v>392</v>
      </c>
      <c r="F83" s="3" t="s">
        <v>387</v>
      </c>
      <c r="G83" s="3"/>
      <c r="H83" s="16"/>
      <c r="I83" s="16"/>
      <c r="J83" s="16"/>
      <c r="K83" s="16"/>
      <c r="L83" s="16"/>
      <c r="M83" s="86" t="s">
        <v>388</v>
      </c>
      <c r="N83" s="87"/>
      <c r="O83" s="87"/>
      <c r="P83" s="87"/>
      <c r="Q83" s="87"/>
      <c r="R83" s="87"/>
      <c r="S83" s="88"/>
      <c r="T83" s="26">
        <v>7</v>
      </c>
    </row>
    <row r="84" spans="1:21" s="44" customFormat="1">
      <c r="B84" s="5">
        <f t="shared" si="3"/>
        <v>20</v>
      </c>
      <c r="C84" s="2"/>
      <c r="D84" s="3" t="s">
        <v>18</v>
      </c>
      <c r="E84" s="3" t="s">
        <v>394</v>
      </c>
      <c r="F84" s="3" t="s">
        <v>387</v>
      </c>
      <c r="G84" s="3"/>
      <c r="H84" s="16"/>
      <c r="I84" s="16"/>
      <c r="J84" s="16"/>
      <c r="K84" s="16"/>
      <c r="L84" s="16"/>
      <c r="M84" s="86" t="s">
        <v>390</v>
      </c>
      <c r="N84" s="87"/>
      <c r="O84" s="87"/>
      <c r="P84" s="87"/>
      <c r="Q84" s="87"/>
      <c r="R84" s="87"/>
      <c r="S84" s="88"/>
      <c r="T84" s="26">
        <v>7</v>
      </c>
    </row>
    <row r="85" spans="1:21" s="44" customFormat="1">
      <c r="A85" s="44" t="s">
        <v>391</v>
      </c>
      <c r="B85" s="5">
        <f t="shared" si="3"/>
        <v>21</v>
      </c>
      <c r="C85" s="2"/>
      <c r="D85" s="3" t="s">
        <v>18</v>
      </c>
      <c r="E85" s="3" t="s">
        <v>396</v>
      </c>
      <c r="F85" s="3" t="s">
        <v>387</v>
      </c>
      <c r="G85" s="3"/>
      <c r="H85" s="16"/>
      <c r="I85" s="16"/>
      <c r="J85" s="16"/>
      <c r="K85" s="16"/>
      <c r="L85" s="16"/>
      <c r="M85" s="86" t="s">
        <v>393</v>
      </c>
      <c r="N85" s="87"/>
      <c r="O85" s="87"/>
      <c r="P85" s="87"/>
      <c r="Q85" s="87"/>
      <c r="R85" s="87"/>
      <c r="S85" s="88"/>
      <c r="T85" s="26">
        <v>7</v>
      </c>
    </row>
    <row r="86" spans="1:21" s="44" customFormat="1">
      <c r="B86" s="5">
        <f t="shared" si="3"/>
        <v>22</v>
      </c>
      <c r="C86" s="2"/>
      <c r="D86" s="3" t="s">
        <v>18</v>
      </c>
      <c r="E86" s="3" t="s">
        <v>398</v>
      </c>
      <c r="F86" s="3" t="s">
        <v>387</v>
      </c>
      <c r="G86" s="3"/>
      <c r="H86" s="16"/>
      <c r="I86" s="16"/>
      <c r="J86" s="16"/>
      <c r="K86" s="16"/>
      <c r="L86" s="16"/>
      <c r="M86" s="86" t="s">
        <v>395</v>
      </c>
      <c r="N86" s="87"/>
      <c r="O86" s="87"/>
      <c r="P86" s="87"/>
      <c r="Q86" s="87"/>
      <c r="R86" s="87"/>
      <c r="S86" s="88"/>
      <c r="T86" s="26">
        <v>7</v>
      </c>
    </row>
    <row r="87" spans="1:21" s="44" customFormat="1">
      <c r="B87" s="5">
        <f t="shared" si="3"/>
        <v>23</v>
      </c>
      <c r="C87" s="2"/>
      <c r="D87" s="3" t="s">
        <v>18</v>
      </c>
      <c r="E87" s="3" t="s">
        <v>196</v>
      </c>
      <c r="F87" s="3" t="s">
        <v>387</v>
      </c>
      <c r="G87" s="3"/>
      <c r="H87" s="16"/>
      <c r="I87" s="16"/>
      <c r="J87" s="16"/>
      <c r="K87" s="16"/>
      <c r="L87" s="16"/>
      <c r="M87" s="86" t="s">
        <v>397</v>
      </c>
      <c r="N87" s="87"/>
      <c r="O87" s="87"/>
      <c r="P87" s="87"/>
      <c r="Q87" s="87"/>
      <c r="R87" s="87"/>
      <c r="S87" s="88"/>
      <c r="T87" s="26">
        <v>7</v>
      </c>
    </row>
    <row r="88" spans="1:21" s="44" customFormat="1">
      <c r="B88" s="5">
        <f t="shared" si="3"/>
        <v>24</v>
      </c>
      <c r="C88" s="2"/>
      <c r="D88" s="3" t="s">
        <v>18</v>
      </c>
      <c r="E88" s="3" t="s">
        <v>211</v>
      </c>
      <c r="F88" s="3" t="s">
        <v>387</v>
      </c>
      <c r="G88" s="3"/>
      <c r="H88" s="16"/>
      <c r="I88" s="16"/>
      <c r="J88" s="16"/>
      <c r="K88" s="16"/>
      <c r="L88" s="16"/>
      <c r="M88" s="86" t="s">
        <v>399</v>
      </c>
      <c r="N88" s="87"/>
      <c r="O88" s="87"/>
      <c r="P88" s="87"/>
      <c r="Q88" s="87"/>
      <c r="R88" s="87"/>
      <c r="S88" s="88"/>
      <c r="T88" s="26">
        <v>7</v>
      </c>
    </row>
    <row r="89" spans="1:21">
      <c r="B89" s="5">
        <f t="shared" si="3"/>
        <v>25</v>
      </c>
      <c r="D89" s="3" t="s">
        <v>18</v>
      </c>
      <c r="E89" s="3" t="s">
        <v>218</v>
      </c>
      <c r="F89" s="3" t="s">
        <v>387</v>
      </c>
      <c r="H89" s="16"/>
      <c r="I89" s="16"/>
      <c r="J89" s="16"/>
      <c r="K89" s="16"/>
      <c r="L89" s="16"/>
      <c r="M89" s="86" t="s">
        <v>400</v>
      </c>
      <c r="N89" s="87"/>
      <c r="O89" s="87"/>
      <c r="P89" s="87"/>
      <c r="Q89" s="87"/>
      <c r="R89" s="87"/>
      <c r="S89" s="88"/>
      <c r="T89" s="26">
        <v>7</v>
      </c>
    </row>
    <row r="90" spans="1:21">
      <c r="B90" s="5">
        <f t="shared" si="3"/>
        <v>26</v>
      </c>
      <c r="D90" s="3" t="s">
        <v>18</v>
      </c>
      <c r="E90" s="3" t="s">
        <v>222</v>
      </c>
      <c r="F90" s="3" t="s">
        <v>387</v>
      </c>
      <c r="H90" s="16"/>
      <c r="I90" s="16"/>
      <c r="J90" s="16"/>
      <c r="K90" s="16"/>
      <c r="L90" s="16"/>
      <c r="M90" s="86" t="s">
        <v>401</v>
      </c>
      <c r="N90" s="87"/>
      <c r="O90" s="87"/>
      <c r="P90" s="87"/>
      <c r="Q90" s="87"/>
      <c r="R90" s="87"/>
      <c r="S90" s="88"/>
      <c r="T90" s="26">
        <v>7</v>
      </c>
    </row>
    <row r="91" spans="1:21">
      <c r="B91" s="5">
        <f t="shared" si="3"/>
        <v>27</v>
      </c>
      <c r="D91" s="3" t="s">
        <v>18</v>
      </c>
      <c r="E91" s="3" t="s">
        <v>232</v>
      </c>
      <c r="F91" s="3" t="s">
        <v>387</v>
      </c>
      <c r="H91" s="16"/>
      <c r="I91" s="16"/>
      <c r="J91" s="16"/>
      <c r="K91" s="16"/>
      <c r="L91" s="16"/>
      <c r="M91" s="86" t="s">
        <v>402</v>
      </c>
      <c r="N91" s="87"/>
      <c r="O91" s="87"/>
      <c r="P91" s="87"/>
      <c r="Q91" s="87"/>
      <c r="R91" s="87"/>
      <c r="S91" s="88"/>
      <c r="T91" s="26">
        <v>7</v>
      </c>
      <c r="U91" s="3"/>
    </row>
    <row r="92" spans="1:21">
      <c r="B92" s="5">
        <f t="shared" si="3"/>
        <v>28</v>
      </c>
      <c r="D92" s="3" t="s">
        <v>18</v>
      </c>
      <c r="E92" s="3" t="s">
        <v>238</v>
      </c>
      <c r="F92" s="3" t="s">
        <v>387</v>
      </c>
      <c r="H92" s="16"/>
      <c r="I92" s="16"/>
      <c r="J92" s="16"/>
      <c r="K92" s="16"/>
      <c r="L92" s="16"/>
      <c r="M92" s="86" t="s">
        <v>403</v>
      </c>
      <c r="N92" s="87"/>
      <c r="O92" s="87"/>
      <c r="P92" s="87"/>
      <c r="Q92" s="87"/>
      <c r="R92" s="87"/>
      <c r="S92" s="88"/>
      <c r="T92" s="26">
        <v>7</v>
      </c>
      <c r="U92" s="3"/>
    </row>
    <row r="93" spans="1:21">
      <c r="B93" s="5">
        <f t="shared" si="3"/>
        <v>29</v>
      </c>
      <c r="C93" s="54" t="s">
        <v>442</v>
      </c>
      <c r="D93" s="3" t="s">
        <v>18</v>
      </c>
      <c r="E93" s="3" t="s">
        <v>243</v>
      </c>
      <c r="F93" s="3" t="s">
        <v>29</v>
      </c>
      <c r="H93" s="16"/>
      <c r="I93" s="16"/>
      <c r="J93" s="16"/>
      <c r="K93" s="16"/>
      <c r="L93" s="105" t="s">
        <v>443</v>
      </c>
      <c r="M93" s="106"/>
      <c r="N93" s="106"/>
      <c r="O93" s="106"/>
      <c r="P93" s="106"/>
      <c r="Q93" s="106"/>
      <c r="R93" s="106"/>
      <c r="S93" s="107"/>
      <c r="T93" s="26">
        <v>8</v>
      </c>
    </row>
    <row r="94" spans="1:21" s="4" customFormat="1">
      <c r="A94" s="1"/>
      <c r="B94" s="5">
        <f t="shared" si="3"/>
        <v>30</v>
      </c>
      <c r="C94" s="54" t="s">
        <v>444</v>
      </c>
      <c r="D94" s="52" t="s">
        <v>18</v>
      </c>
      <c r="E94" s="52" t="s">
        <v>247</v>
      </c>
      <c r="F94" s="52" t="s">
        <v>29</v>
      </c>
      <c r="G94" s="52"/>
      <c r="H94" s="89" t="s">
        <v>405</v>
      </c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26"/>
      <c r="U94" s="1"/>
    </row>
    <row r="95" spans="1:21">
      <c r="T95" s="26">
        <f>SUM(T63:T94)</f>
        <v>255</v>
      </c>
    </row>
  </sheetData>
  <mergeCells count="102">
    <mergeCell ref="I9:J9"/>
    <mergeCell ref="K9:L9"/>
    <mergeCell ref="K10:M10"/>
    <mergeCell ref="N10:P10"/>
    <mergeCell ref="Q10:S10"/>
    <mergeCell ref="K11:M11"/>
    <mergeCell ref="N11:P11"/>
    <mergeCell ref="Q11:S11"/>
    <mergeCell ref="O3:S3"/>
    <mergeCell ref="H4:M4"/>
    <mergeCell ref="N5:S5"/>
    <mergeCell ref="H6:K6"/>
    <mergeCell ref="L6:S6"/>
    <mergeCell ref="H7:O7"/>
    <mergeCell ref="P7:S7"/>
    <mergeCell ref="J21:N21"/>
    <mergeCell ref="O21:S21"/>
    <mergeCell ref="J22:N22"/>
    <mergeCell ref="O22:S22"/>
    <mergeCell ref="J23:N23"/>
    <mergeCell ref="O23:S23"/>
    <mergeCell ref="H16:K16"/>
    <mergeCell ref="L16:O16"/>
    <mergeCell ref="P16:S16"/>
    <mergeCell ref="H17:S17"/>
    <mergeCell ref="H18:S18"/>
    <mergeCell ref="H19:S19"/>
    <mergeCell ref="J27:K27"/>
    <mergeCell ref="J29:N29"/>
    <mergeCell ref="O29:S29"/>
    <mergeCell ref="H31:M31"/>
    <mergeCell ref="N31:S31"/>
    <mergeCell ref="K32:S32"/>
    <mergeCell ref="J24:N24"/>
    <mergeCell ref="O24:S24"/>
    <mergeCell ref="J25:N25"/>
    <mergeCell ref="O25:S25"/>
    <mergeCell ref="J26:N26"/>
    <mergeCell ref="O26:S26"/>
    <mergeCell ref="H40:S40"/>
    <mergeCell ref="H41:M41"/>
    <mergeCell ref="H44:K44"/>
    <mergeCell ref="N44:O44"/>
    <mergeCell ref="P44:Q44"/>
    <mergeCell ref="R44:S44"/>
    <mergeCell ref="J33:S33"/>
    <mergeCell ref="J34:S34"/>
    <mergeCell ref="J35:S35"/>
    <mergeCell ref="I36:S36"/>
    <mergeCell ref="H37:S37"/>
    <mergeCell ref="I38:J38"/>
    <mergeCell ref="L38:S38"/>
    <mergeCell ref="O53:S53"/>
    <mergeCell ref="P54:S54"/>
    <mergeCell ref="H55:S55"/>
    <mergeCell ref="N56:O56"/>
    <mergeCell ref="P56:S56"/>
    <mergeCell ref="H58:S58"/>
    <mergeCell ref="H45:S45"/>
    <mergeCell ref="N46:O46"/>
    <mergeCell ref="P46:S46"/>
    <mergeCell ref="M47:O47"/>
    <mergeCell ref="Q47:S47"/>
    <mergeCell ref="I52:K52"/>
    <mergeCell ref="L52:M52"/>
    <mergeCell ref="H67:L67"/>
    <mergeCell ref="O67:S67"/>
    <mergeCell ref="L68:O68"/>
    <mergeCell ref="P68:S68"/>
    <mergeCell ref="K69:S69"/>
    <mergeCell ref="K70:S70"/>
    <mergeCell ref="L63:S63"/>
    <mergeCell ref="J64:N64"/>
    <mergeCell ref="O64:S64"/>
    <mergeCell ref="J65:N65"/>
    <mergeCell ref="O65:S65"/>
    <mergeCell ref="O66:S66"/>
    <mergeCell ref="H66:K66"/>
    <mergeCell ref="K77:S77"/>
    <mergeCell ref="K78:S78"/>
    <mergeCell ref="K79:S79"/>
    <mergeCell ref="K80:S80"/>
    <mergeCell ref="M81:S81"/>
    <mergeCell ref="M82:S82"/>
    <mergeCell ref="K71:S71"/>
    <mergeCell ref="K72:S72"/>
    <mergeCell ref="K73:S73"/>
    <mergeCell ref="K74:S74"/>
    <mergeCell ref="K75:S75"/>
    <mergeCell ref="K76:S76"/>
    <mergeCell ref="M89:S89"/>
    <mergeCell ref="M90:S90"/>
    <mergeCell ref="M91:S91"/>
    <mergeCell ref="M92:S92"/>
    <mergeCell ref="H94:S94"/>
    <mergeCell ref="L93:S93"/>
    <mergeCell ref="M83:S83"/>
    <mergeCell ref="M84:S84"/>
    <mergeCell ref="M85:S85"/>
    <mergeCell ref="M86:S86"/>
    <mergeCell ref="M87:S87"/>
    <mergeCell ref="M88:S88"/>
  </mergeCells>
  <phoneticPr fontId="2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현정재( HYUN Jeongjae ) 전원구동반도체팀 / 1628630@mobis.com / 본 문서는 현대모비스의 대외비 정보자산이므로 무단 전재 및 복제할 수 없으며, 위반 시 당사 사규 및 관련 법규에 의해 제재될 수 있습니다. </oddFoot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7BA9-2B84-4D95-A9AE-137077040BC8}">
  <sheetPr>
    <tabColor rgb="FF0000FF"/>
  </sheetPr>
  <dimension ref="A1:U98"/>
  <sheetViews>
    <sheetView showGridLines="0" zoomScale="55" zoomScaleNormal="55" workbookViewId="0">
      <selection activeCell="Q4" sqref="Q4"/>
    </sheetView>
  </sheetViews>
  <sheetFormatPr defaultColWidth="8.58203125" defaultRowHeight="26"/>
  <cols>
    <col min="1" max="1" width="8.58203125" style="1" customWidth="1"/>
    <col min="2" max="2" width="3.08203125" style="1" bestFit="1" customWidth="1"/>
    <col min="3" max="3" width="19.9140625" style="2" bestFit="1" customWidth="1"/>
    <col min="4" max="4" width="6.4140625" style="3" bestFit="1" customWidth="1"/>
    <col min="5" max="5" width="10.08203125" style="3" bestFit="1" customWidth="1"/>
    <col min="6" max="6" width="6.9140625" style="3" bestFit="1" customWidth="1"/>
    <col min="7" max="7" width="1.58203125" style="3" customWidth="1"/>
    <col min="8" max="8" width="16.4140625" style="3" bestFit="1" customWidth="1"/>
    <col min="9" max="9" width="19" style="3" customWidth="1"/>
    <col min="10" max="10" width="13.58203125" style="3" bestFit="1" customWidth="1"/>
    <col min="11" max="11" width="12.58203125" style="3" bestFit="1" customWidth="1"/>
    <col min="12" max="12" width="21" style="3" customWidth="1"/>
    <col min="13" max="13" width="21.9140625" style="3" customWidth="1"/>
    <col min="14" max="14" width="19.9140625" style="3" customWidth="1"/>
    <col min="15" max="15" width="21.58203125" style="3" customWidth="1"/>
    <col min="16" max="16" width="22.1640625" style="3" customWidth="1"/>
    <col min="17" max="17" width="22.08203125" style="3" customWidth="1"/>
    <col min="18" max="18" width="21.58203125" style="3" customWidth="1"/>
    <col min="19" max="19" width="22.58203125" style="3" customWidth="1"/>
    <col min="20" max="20" width="83.25" style="4" bestFit="1" customWidth="1"/>
    <col min="21" max="21" width="45.58203125" style="58" customWidth="1"/>
    <col min="22" max="16384" width="8.58203125" style="1"/>
  </cols>
  <sheetData>
    <row r="1" spans="2:21">
      <c r="D1" s="2"/>
      <c r="E1" s="2"/>
      <c r="F1" s="2"/>
    </row>
    <row r="2" spans="2:21" ht="40.5" customHeight="1">
      <c r="B2" s="5"/>
      <c r="C2" s="6" t="s">
        <v>0</v>
      </c>
      <c r="D2" s="7" t="s">
        <v>1</v>
      </c>
      <c r="E2" s="7" t="s">
        <v>2</v>
      </c>
      <c r="F2" s="7" t="s">
        <v>3</v>
      </c>
      <c r="G2" s="7"/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8" t="s">
        <v>16</v>
      </c>
      <c r="U2" s="59" t="s">
        <v>460</v>
      </c>
    </row>
    <row r="3" spans="2:21" ht="85">
      <c r="B3" s="5">
        <v>1</v>
      </c>
      <c r="C3" s="2" t="s">
        <v>17</v>
      </c>
      <c r="D3" s="3" t="s">
        <v>18</v>
      </c>
      <c r="E3" s="3" t="s">
        <v>19</v>
      </c>
      <c r="F3" s="9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1"/>
      <c r="M3" s="11"/>
      <c r="N3" s="11"/>
      <c r="O3" s="63" t="s">
        <v>25</v>
      </c>
      <c r="P3" s="63"/>
      <c r="Q3" s="63"/>
      <c r="R3" s="63"/>
      <c r="S3" s="63"/>
      <c r="T3" s="12" t="s">
        <v>26</v>
      </c>
      <c r="U3" s="61" t="s">
        <v>461</v>
      </c>
    </row>
    <row r="4" spans="2:21" ht="168" customHeight="1">
      <c r="B4" s="5">
        <f>B3+1</f>
        <v>2</v>
      </c>
      <c r="C4" s="2" t="s">
        <v>27</v>
      </c>
      <c r="D4" s="3" t="s">
        <v>18</v>
      </c>
      <c r="E4" s="3" t="s">
        <v>28</v>
      </c>
      <c r="F4" s="3" t="s">
        <v>29</v>
      </c>
      <c r="H4" s="64" t="s">
        <v>30</v>
      </c>
      <c r="I4" s="65"/>
      <c r="J4" s="65"/>
      <c r="K4" s="65"/>
      <c r="L4" s="65"/>
      <c r="M4" s="65"/>
      <c r="N4" s="13" t="s">
        <v>31</v>
      </c>
      <c r="O4" s="14" t="s">
        <v>32</v>
      </c>
      <c r="P4" s="13" t="s">
        <v>33</v>
      </c>
      <c r="Q4" s="15" t="s">
        <v>34</v>
      </c>
      <c r="R4" s="15" t="s">
        <v>35</v>
      </c>
      <c r="S4" s="13" t="s">
        <v>36</v>
      </c>
      <c r="T4" s="12" t="s">
        <v>37</v>
      </c>
      <c r="U4" s="61" t="s">
        <v>462</v>
      </c>
    </row>
    <row r="5" spans="2:21">
      <c r="B5" s="5">
        <f t="shared" ref="B5:B41" si="0">B4+1</f>
        <v>3</v>
      </c>
      <c r="C5" s="2" t="s">
        <v>38</v>
      </c>
      <c r="D5" s="3" t="s">
        <v>18</v>
      </c>
      <c r="E5" s="3" t="s">
        <v>39</v>
      </c>
      <c r="F5" s="3" t="s">
        <v>29</v>
      </c>
      <c r="H5" s="16"/>
      <c r="I5" s="16"/>
      <c r="J5" s="16"/>
      <c r="K5" s="16"/>
      <c r="L5" s="16"/>
      <c r="M5" s="16"/>
      <c r="N5" s="66" t="s">
        <v>422</v>
      </c>
      <c r="O5" s="67"/>
      <c r="P5" s="67"/>
      <c r="Q5" s="67"/>
      <c r="R5" s="67"/>
      <c r="S5" s="68"/>
      <c r="T5" s="1" t="s">
        <v>41</v>
      </c>
      <c r="U5" s="61" t="s">
        <v>463</v>
      </c>
    </row>
    <row r="6" spans="2:21">
      <c r="B6" s="5">
        <f t="shared" si="0"/>
        <v>4</v>
      </c>
      <c r="C6" s="2" t="s">
        <v>42</v>
      </c>
      <c r="D6" s="3" t="s">
        <v>18</v>
      </c>
      <c r="E6" s="3" t="s">
        <v>43</v>
      </c>
      <c r="F6" s="3" t="s">
        <v>29</v>
      </c>
      <c r="H6" s="69" t="s">
        <v>44</v>
      </c>
      <c r="I6" s="69"/>
      <c r="J6" s="69"/>
      <c r="K6" s="69"/>
      <c r="L6" s="69" t="s">
        <v>45</v>
      </c>
      <c r="M6" s="69"/>
      <c r="N6" s="69"/>
      <c r="O6" s="69"/>
      <c r="P6" s="69"/>
      <c r="Q6" s="69"/>
      <c r="R6" s="69"/>
      <c r="S6" s="69"/>
      <c r="T6" s="17" t="s">
        <v>46</v>
      </c>
      <c r="U6" s="62" t="s">
        <v>471</v>
      </c>
    </row>
    <row r="7" spans="2:21">
      <c r="B7" s="5">
        <f t="shared" si="0"/>
        <v>5</v>
      </c>
      <c r="C7" s="2" t="s">
        <v>47</v>
      </c>
      <c r="D7" s="3" t="s">
        <v>18</v>
      </c>
      <c r="E7" s="3" t="s">
        <v>48</v>
      </c>
      <c r="F7" s="3" t="s">
        <v>29</v>
      </c>
      <c r="H7" s="69" t="s">
        <v>49</v>
      </c>
      <c r="I7" s="69"/>
      <c r="J7" s="69"/>
      <c r="K7" s="69"/>
      <c r="L7" s="69"/>
      <c r="M7" s="69"/>
      <c r="N7" s="69"/>
      <c r="O7" s="69"/>
      <c r="P7" s="69" t="s">
        <v>50</v>
      </c>
      <c r="Q7" s="69"/>
      <c r="R7" s="69"/>
      <c r="S7" s="69"/>
      <c r="T7" s="18" t="s">
        <v>51</v>
      </c>
      <c r="U7" s="62" t="s">
        <v>239</v>
      </c>
    </row>
    <row r="8" spans="2:21">
      <c r="B8" s="5">
        <f t="shared" si="0"/>
        <v>6</v>
      </c>
      <c r="C8" s="2" t="s">
        <v>52</v>
      </c>
      <c r="D8" s="3" t="s">
        <v>18</v>
      </c>
      <c r="E8" s="3" t="s">
        <v>53</v>
      </c>
      <c r="F8" s="3" t="s">
        <v>29</v>
      </c>
      <c r="H8" s="19" t="s">
        <v>54</v>
      </c>
      <c r="I8" s="19" t="s">
        <v>55</v>
      </c>
      <c r="J8" s="19" t="s">
        <v>56</v>
      </c>
      <c r="K8" s="19" t="s">
        <v>57</v>
      </c>
      <c r="L8" s="19" t="s">
        <v>58</v>
      </c>
      <c r="M8" s="19" t="s">
        <v>59</v>
      </c>
      <c r="N8" s="19" t="s">
        <v>60</v>
      </c>
      <c r="O8" s="19" t="s">
        <v>61</v>
      </c>
      <c r="P8" s="19" t="s">
        <v>62</v>
      </c>
      <c r="Q8" s="19" t="s">
        <v>63</v>
      </c>
      <c r="R8" s="19" t="s">
        <v>64</v>
      </c>
      <c r="S8" s="19" t="s">
        <v>65</v>
      </c>
      <c r="T8" s="20"/>
      <c r="U8" s="61" t="s">
        <v>464</v>
      </c>
    </row>
    <row r="9" spans="2:21" ht="68">
      <c r="B9" s="5">
        <f t="shared" si="0"/>
        <v>7</v>
      </c>
      <c r="C9" s="2" t="s">
        <v>66</v>
      </c>
      <c r="D9" s="3" t="s">
        <v>18</v>
      </c>
      <c r="E9" s="3" t="s">
        <v>67</v>
      </c>
      <c r="F9" s="3" t="s">
        <v>406</v>
      </c>
      <c r="H9" s="11"/>
      <c r="I9" s="71" t="s">
        <v>69</v>
      </c>
      <c r="J9" s="71"/>
      <c r="K9" s="64" t="s">
        <v>70</v>
      </c>
      <c r="L9" s="72"/>
      <c r="M9" s="10" t="s">
        <v>71</v>
      </c>
      <c r="N9" s="10" t="s">
        <v>198</v>
      </c>
      <c r="O9" s="10" t="s">
        <v>72</v>
      </c>
      <c r="P9" s="10" t="s">
        <v>73</v>
      </c>
      <c r="Q9" s="10" t="s">
        <v>74</v>
      </c>
      <c r="R9" s="10" t="s">
        <v>75</v>
      </c>
      <c r="S9" s="10" t="s">
        <v>76</v>
      </c>
      <c r="T9" s="20" t="s">
        <v>77</v>
      </c>
      <c r="U9" s="61" t="s">
        <v>465</v>
      </c>
    </row>
    <row r="10" spans="2:21">
      <c r="B10" s="5">
        <f>B9+1</f>
        <v>8</v>
      </c>
      <c r="C10" s="2" t="s">
        <v>78</v>
      </c>
      <c r="D10" s="3" t="s">
        <v>18</v>
      </c>
      <c r="E10" s="3" t="s">
        <v>79</v>
      </c>
      <c r="F10" s="3" t="s">
        <v>29</v>
      </c>
      <c r="H10" s="23"/>
      <c r="I10" s="23"/>
      <c r="J10" s="23"/>
      <c r="K10" s="73" t="s">
        <v>80</v>
      </c>
      <c r="L10" s="73"/>
      <c r="M10" s="73"/>
      <c r="N10" s="73" t="s">
        <v>81</v>
      </c>
      <c r="O10" s="73"/>
      <c r="P10" s="73"/>
      <c r="Q10" s="73" t="s">
        <v>82</v>
      </c>
      <c r="R10" s="73"/>
      <c r="S10" s="73"/>
      <c r="T10" s="12"/>
      <c r="U10" s="61" t="s">
        <v>29</v>
      </c>
    </row>
    <row r="11" spans="2:21" ht="17.149999999999999" customHeight="1">
      <c r="B11" s="5">
        <f t="shared" si="0"/>
        <v>9</v>
      </c>
      <c r="C11" s="2" t="s">
        <v>83</v>
      </c>
      <c r="D11" s="3" t="s">
        <v>18</v>
      </c>
      <c r="E11" s="3" t="s">
        <v>84</v>
      </c>
      <c r="F11" s="3" t="s">
        <v>29</v>
      </c>
      <c r="H11" s="23"/>
      <c r="I11" s="23"/>
      <c r="J11" s="23"/>
      <c r="K11" s="73" t="s">
        <v>85</v>
      </c>
      <c r="L11" s="73"/>
      <c r="M11" s="73"/>
      <c r="N11" s="73" t="s">
        <v>86</v>
      </c>
      <c r="O11" s="73"/>
      <c r="P11" s="73"/>
      <c r="Q11" s="73" t="s">
        <v>87</v>
      </c>
      <c r="R11" s="73"/>
      <c r="S11" s="73"/>
      <c r="T11" s="12"/>
      <c r="U11" s="61" t="s">
        <v>466</v>
      </c>
    </row>
    <row r="12" spans="2:21">
      <c r="B12" s="5">
        <f t="shared" si="0"/>
        <v>10</v>
      </c>
      <c r="C12" s="2" t="s">
        <v>88</v>
      </c>
      <c r="D12" s="3" t="s">
        <v>89</v>
      </c>
      <c r="E12" s="3" t="s">
        <v>90</v>
      </c>
      <c r="F12" s="3" t="s">
        <v>91</v>
      </c>
      <c r="H12" s="10"/>
      <c r="I12" s="10"/>
      <c r="J12" s="10"/>
      <c r="K12" s="10"/>
      <c r="L12" s="10"/>
      <c r="M12" s="10"/>
      <c r="N12" s="10"/>
      <c r="O12" s="10" t="s">
        <v>92</v>
      </c>
      <c r="P12" s="10" t="s">
        <v>93</v>
      </c>
      <c r="Q12" s="10" t="s">
        <v>94</v>
      </c>
      <c r="R12" s="10" t="s">
        <v>95</v>
      </c>
      <c r="S12" s="10" t="s">
        <v>96</v>
      </c>
      <c r="T12" s="20" t="s">
        <v>97</v>
      </c>
      <c r="U12" s="61"/>
    </row>
    <row r="13" spans="2:21">
      <c r="B13" s="5"/>
      <c r="C13" s="2" t="s">
        <v>98</v>
      </c>
      <c r="D13" s="3" t="s">
        <v>89</v>
      </c>
      <c r="E13" s="3" t="s">
        <v>99</v>
      </c>
      <c r="F13" s="3" t="s">
        <v>91</v>
      </c>
      <c r="H13" s="10" t="s">
        <v>407</v>
      </c>
      <c r="I13" s="10" t="s">
        <v>408</v>
      </c>
      <c r="J13" s="10" t="s">
        <v>101</v>
      </c>
      <c r="K13" s="10" t="s">
        <v>102</v>
      </c>
      <c r="L13" s="10" t="s">
        <v>100</v>
      </c>
      <c r="M13" s="10" t="s">
        <v>409</v>
      </c>
      <c r="N13" s="10" t="s">
        <v>410</v>
      </c>
      <c r="O13" s="10" t="s">
        <v>411</v>
      </c>
      <c r="P13" s="10" t="s">
        <v>412</v>
      </c>
      <c r="Q13" s="10" t="s">
        <v>108</v>
      </c>
      <c r="R13" s="10" t="s">
        <v>109</v>
      </c>
      <c r="S13" s="10" t="s">
        <v>110</v>
      </c>
      <c r="T13" s="20"/>
      <c r="U13" s="61"/>
    </row>
    <row r="14" spans="2:21">
      <c r="B14" s="5"/>
      <c r="C14" s="2" t="s">
        <v>111</v>
      </c>
      <c r="D14" s="3" t="s">
        <v>89</v>
      </c>
      <c r="E14" s="3" t="s">
        <v>112</v>
      </c>
      <c r="F14" s="3" t="s">
        <v>91</v>
      </c>
      <c r="H14" s="10" t="s">
        <v>113</v>
      </c>
      <c r="I14" s="10" t="s">
        <v>114</v>
      </c>
      <c r="J14" s="10" t="s">
        <v>115</v>
      </c>
      <c r="K14" s="10" t="s">
        <v>116</v>
      </c>
      <c r="L14" s="10" t="s">
        <v>117</v>
      </c>
      <c r="M14" s="10" t="s">
        <v>118</v>
      </c>
      <c r="N14" s="10" t="s">
        <v>119</v>
      </c>
      <c r="O14" s="10" t="s">
        <v>120</v>
      </c>
      <c r="P14" s="10" t="s">
        <v>121</v>
      </c>
      <c r="Q14" s="10" t="s">
        <v>122</v>
      </c>
      <c r="R14" s="10" t="s">
        <v>123</v>
      </c>
      <c r="S14" s="10" t="s">
        <v>124</v>
      </c>
      <c r="T14" s="20"/>
      <c r="U14" s="61"/>
    </row>
    <row r="15" spans="2:21">
      <c r="B15" s="5"/>
      <c r="C15" s="2" t="s">
        <v>125</v>
      </c>
      <c r="D15" s="3" t="s">
        <v>89</v>
      </c>
      <c r="E15" s="3" t="s">
        <v>126</v>
      </c>
      <c r="F15" s="3" t="s">
        <v>91</v>
      </c>
      <c r="H15" s="10" t="s">
        <v>127</v>
      </c>
      <c r="I15" s="10" t="s">
        <v>128</v>
      </c>
      <c r="J15" s="10" t="s">
        <v>129</v>
      </c>
      <c r="K15" s="10" t="s">
        <v>130</v>
      </c>
      <c r="L15" s="10" t="s">
        <v>131</v>
      </c>
      <c r="M15" s="10" t="s">
        <v>132</v>
      </c>
      <c r="N15" s="10" t="s">
        <v>133</v>
      </c>
      <c r="O15" s="10" t="s">
        <v>134</v>
      </c>
      <c r="P15" s="10" t="s">
        <v>135</v>
      </c>
      <c r="Q15" s="10" t="s">
        <v>136</v>
      </c>
      <c r="R15" s="10" t="s">
        <v>137</v>
      </c>
      <c r="S15" s="10" t="s">
        <v>138</v>
      </c>
      <c r="T15" s="20"/>
      <c r="U15" s="61"/>
    </row>
    <row r="16" spans="2:21" ht="17.149999999999999" customHeight="1">
      <c r="B16" s="5">
        <f>B12+1</f>
        <v>11</v>
      </c>
      <c r="C16" s="2" t="s">
        <v>139</v>
      </c>
      <c r="D16" s="3" t="s">
        <v>18</v>
      </c>
      <c r="E16" s="3" t="s">
        <v>140</v>
      </c>
      <c r="F16" s="3" t="s">
        <v>91</v>
      </c>
      <c r="H16" s="70" t="s">
        <v>141</v>
      </c>
      <c r="I16" s="70"/>
      <c r="J16" s="70"/>
      <c r="K16" s="70"/>
      <c r="L16" s="70" t="s">
        <v>142</v>
      </c>
      <c r="M16" s="70"/>
      <c r="N16" s="70"/>
      <c r="O16" s="70"/>
      <c r="P16" s="70" t="s">
        <v>143</v>
      </c>
      <c r="Q16" s="70"/>
      <c r="R16" s="70"/>
      <c r="S16" s="70"/>
      <c r="T16" s="12" t="s">
        <v>144</v>
      </c>
      <c r="U16" s="61" t="s">
        <v>271</v>
      </c>
    </row>
    <row r="17" spans="2:21">
      <c r="B17" s="5">
        <f t="shared" si="0"/>
        <v>12</v>
      </c>
      <c r="C17" s="2" t="s">
        <v>145</v>
      </c>
      <c r="D17" s="3" t="s">
        <v>18</v>
      </c>
      <c r="E17" s="3" t="s">
        <v>146</v>
      </c>
      <c r="F17" s="3" t="s">
        <v>91</v>
      </c>
      <c r="H17" s="63" t="s">
        <v>147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18" t="s">
        <v>148</v>
      </c>
      <c r="U17" s="61" t="s">
        <v>464</v>
      </c>
    </row>
    <row r="18" spans="2:21">
      <c r="B18" s="5">
        <f t="shared" si="0"/>
        <v>13</v>
      </c>
      <c r="C18" s="2" t="s">
        <v>149</v>
      </c>
      <c r="D18" s="3" t="s">
        <v>18</v>
      </c>
      <c r="E18" s="3" t="s">
        <v>150</v>
      </c>
      <c r="F18" s="3" t="s">
        <v>91</v>
      </c>
      <c r="H18" s="63" t="s">
        <v>151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18" t="s">
        <v>148</v>
      </c>
      <c r="U18" s="61" t="s">
        <v>464</v>
      </c>
    </row>
    <row r="19" spans="2:21">
      <c r="B19" s="5">
        <f t="shared" si="0"/>
        <v>14</v>
      </c>
      <c r="C19" s="2" t="s">
        <v>152</v>
      </c>
      <c r="D19" s="3" t="s">
        <v>18</v>
      </c>
      <c r="E19" s="3" t="s">
        <v>153</v>
      </c>
      <c r="F19" s="3" t="s">
        <v>91</v>
      </c>
      <c r="H19" s="63" t="s">
        <v>154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18" t="s">
        <v>148</v>
      </c>
      <c r="U19" s="61" t="s">
        <v>464</v>
      </c>
    </row>
    <row r="20" spans="2:21" ht="34">
      <c r="B20" s="5">
        <f t="shared" si="0"/>
        <v>15</v>
      </c>
      <c r="C20" s="2" t="s">
        <v>155</v>
      </c>
      <c r="D20" s="3" t="s">
        <v>18</v>
      </c>
      <c r="E20" s="3" t="s">
        <v>156</v>
      </c>
      <c r="F20" s="3" t="s">
        <v>91</v>
      </c>
      <c r="H20" s="19" t="s">
        <v>157</v>
      </c>
      <c r="I20" s="19" t="s">
        <v>158</v>
      </c>
      <c r="J20" s="19" t="s">
        <v>159</v>
      </c>
      <c r="K20" s="19" t="s">
        <v>160</v>
      </c>
      <c r="L20" s="19" t="s">
        <v>161</v>
      </c>
      <c r="M20" s="19" t="s">
        <v>162</v>
      </c>
      <c r="N20" s="19" t="s">
        <v>163</v>
      </c>
      <c r="O20" s="19" t="s">
        <v>164</v>
      </c>
      <c r="P20" s="19" t="s">
        <v>165</v>
      </c>
      <c r="Q20" s="19" t="s">
        <v>166</v>
      </c>
      <c r="R20" s="19" t="s">
        <v>167</v>
      </c>
      <c r="S20" s="19" t="s">
        <v>168</v>
      </c>
      <c r="T20" s="24" t="s">
        <v>169</v>
      </c>
      <c r="U20" s="61" t="s">
        <v>29</v>
      </c>
    </row>
    <row r="21" spans="2:21">
      <c r="B21" s="5">
        <f>B20+1</f>
        <v>16</v>
      </c>
      <c r="C21" s="2" t="s">
        <v>170</v>
      </c>
      <c r="D21" s="3" t="s">
        <v>18</v>
      </c>
      <c r="E21" s="3" t="s">
        <v>171</v>
      </c>
      <c r="F21" s="3" t="s">
        <v>91</v>
      </c>
      <c r="H21" s="25"/>
      <c r="I21" s="23"/>
      <c r="J21" s="69" t="s">
        <v>172</v>
      </c>
      <c r="K21" s="69"/>
      <c r="L21" s="69"/>
      <c r="M21" s="69"/>
      <c r="N21" s="69"/>
      <c r="O21" s="69" t="s">
        <v>173</v>
      </c>
      <c r="P21" s="69"/>
      <c r="Q21" s="69"/>
      <c r="R21" s="69"/>
      <c r="S21" s="69"/>
      <c r="T21" s="26" t="s">
        <v>174</v>
      </c>
      <c r="U21" s="61" t="s">
        <v>29</v>
      </c>
    </row>
    <row r="22" spans="2:21">
      <c r="B22" s="5">
        <f t="shared" si="0"/>
        <v>17</v>
      </c>
      <c r="C22" s="2" t="s">
        <v>175</v>
      </c>
      <c r="D22" s="3" t="s">
        <v>18</v>
      </c>
      <c r="E22" s="3" t="s">
        <v>176</v>
      </c>
      <c r="F22" s="3" t="s">
        <v>91</v>
      </c>
      <c r="H22" s="25"/>
      <c r="I22" s="25"/>
      <c r="J22" s="69" t="s">
        <v>177</v>
      </c>
      <c r="K22" s="69"/>
      <c r="L22" s="69"/>
      <c r="M22" s="69"/>
      <c r="N22" s="69"/>
      <c r="O22" s="69" t="s">
        <v>178</v>
      </c>
      <c r="P22" s="69"/>
      <c r="Q22" s="69"/>
      <c r="R22" s="69"/>
      <c r="S22" s="69"/>
      <c r="T22" s="27"/>
      <c r="U22" s="61" t="s">
        <v>29</v>
      </c>
    </row>
    <row r="23" spans="2:21">
      <c r="B23" s="5">
        <f t="shared" si="0"/>
        <v>18</v>
      </c>
      <c r="C23" s="2" t="s">
        <v>179</v>
      </c>
      <c r="D23" s="3" t="s">
        <v>18</v>
      </c>
      <c r="E23" s="3" t="s">
        <v>180</v>
      </c>
      <c r="F23" s="3" t="s">
        <v>91</v>
      </c>
      <c r="H23" s="25"/>
      <c r="I23" s="25"/>
      <c r="J23" s="69" t="s">
        <v>181</v>
      </c>
      <c r="K23" s="69"/>
      <c r="L23" s="69"/>
      <c r="M23" s="69"/>
      <c r="N23" s="69"/>
      <c r="O23" s="69" t="s">
        <v>182</v>
      </c>
      <c r="P23" s="69"/>
      <c r="Q23" s="69"/>
      <c r="R23" s="69"/>
      <c r="S23" s="69"/>
      <c r="T23" s="27"/>
      <c r="U23" s="61" t="s">
        <v>91</v>
      </c>
    </row>
    <row r="24" spans="2:21">
      <c r="B24" s="5">
        <f t="shared" si="0"/>
        <v>19</v>
      </c>
      <c r="C24" s="2" t="s">
        <v>183</v>
      </c>
      <c r="D24" s="3" t="s">
        <v>18</v>
      </c>
      <c r="E24" s="3" t="s">
        <v>184</v>
      </c>
      <c r="F24" s="3" t="s">
        <v>91</v>
      </c>
      <c r="H24" s="25"/>
      <c r="I24" s="25"/>
      <c r="J24" s="69" t="s">
        <v>185</v>
      </c>
      <c r="K24" s="69"/>
      <c r="L24" s="69"/>
      <c r="M24" s="69"/>
      <c r="N24" s="69"/>
      <c r="O24" s="69" t="s">
        <v>186</v>
      </c>
      <c r="P24" s="69"/>
      <c r="Q24" s="69"/>
      <c r="R24" s="69"/>
      <c r="S24" s="69"/>
      <c r="T24" s="12"/>
      <c r="U24" s="61" t="s">
        <v>91</v>
      </c>
    </row>
    <row r="25" spans="2:21">
      <c r="B25" s="5">
        <f t="shared" si="0"/>
        <v>20</v>
      </c>
      <c r="C25" s="2" t="s">
        <v>187</v>
      </c>
      <c r="D25" s="3" t="s">
        <v>18</v>
      </c>
      <c r="E25" s="3" t="s">
        <v>188</v>
      </c>
      <c r="F25" s="3" t="s">
        <v>91</v>
      </c>
      <c r="H25" s="25"/>
      <c r="I25" s="25"/>
      <c r="J25" s="69" t="s">
        <v>189</v>
      </c>
      <c r="K25" s="69"/>
      <c r="L25" s="69"/>
      <c r="M25" s="69"/>
      <c r="N25" s="69"/>
      <c r="O25" s="69" t="s">
        <v>190</v>
      </c>
      <c r="P25" s="69"/>
      <c r="Q25" s="69"/>
      <c r="R25" s="69"/>
      <c r="S25" s="69"/>
      <c r="T25" s="12"/>
      <c r="U25" s="61" t="s">
        <v>91</v>
      </c>
    </row>
    <row r="26" spans="2:21">
      <c r="B26" s="5">
        <f t="shared" si="0"/>
        <v>21</v>
      </c>
      <c r="C26" s="2" t="s">
        <v>191</v>
      </c>
      <c r="D26" s="3" t="s">
        <v>18</v>
      </c>
      <c r="E26" s="3" t="s">
        <v>192</v>
      </c>
      <c r="F26" s="3" t="s">
        <v>91</v>
      </c>
      <c r="H26" s="25"/>
      <c r="I26" s="25"/>
      <c r="J26" s="69" t="s">
        <v>193</v>
      </c>
      <c r="K26" s="69"/>
      <c r="L26" s="69"/>
      <c r="M26" s="69"/>
      <c r="N26" s="69"/>
      <c r="O26" s="69" t="s">
        <v>194</v>
      </c>
      <c r="P26" s="69"/>
      <c r="Q26" s="69"/>
      <c r="R26" s="69"/>
      <c r="S26" s="69"/>
      <c r="T26" s="12"/>
      <c r="U26" s="61" t="s">
        <v>91</v>
      </c>
    </row>
    <row r="27" spans="2:21">
      <c r="B27" s="5"/>
      <c r="C27" s="2" t="s">
        <v>195</v>
      </c>
      <c r="D27" s="3" t="s">
        <v>18</v>
      </c>
      <c r="E27" s="3" t="s">
        <v>196</v>
      </c>
      <c r="F27" s="3" t="s">
        <v>413</v>
      </c>
      <c r="H27" s="10" t="s">
        <v>414</v>
      </c>
      <c r="I27" s="10" t="s">
        <v>201</v>
      </c>
      <c r="J27" s="74" t="s">
        <v>200</v>
      </c>
      <c r="K27" s="72"/>
      <c r="L27" s="13" t="s">
        <v>199</v>
      </c>
      <c r="M27" s="10" t="s">
        <v>207</v>
      </c>
      <c r="N27" s="10" t="s">
        <v>206</v>
      </c>
      <c r="O27" s="10" t="s">
        <v>208</v>
      </c>
      <c r="P27" s="10" t="s">
        <v>415</v>
      </c>
      <c r="Q27" s="10" t="s">
        <v>416</v>
      </c>
      <c r="R27" s="10" t="s">
        <v>417</v>
      </c>
      <c r="S27" s="10" t="s">
        <v>203</v>
      </c>
      <c r="T27" s="12"/>
      <c r="U27" s="61" t="s">
        <v>29</v>
      </c>
    </row>
    <row r="28" spans="2:21">
      <c r="B28" s="5"/>
      <c r="C28" s="2" t="s">
        <v>209</v>
      </c>
      <c r="D28" s="3" t="s">
        <v>210</v>
      </c>
      <c r="E28" s="3" t="s">
        <v>211</v>
      </c>
      <c r="F28" s="3" t="s">
        <v>29</v>
      </c>
      <c r="H28" s="10" t="s">
        <v>212</v>
      </c>
      <c r="I28" s="25"/>
      <c r="J28" s="11"/>
      <c r="K28" s="11"/>
      <c r="L28" s="11"/>
      <c r="M28" s="11"/>
      <c r="N28" s="11"/>
      <c r="O28" s="11"/>
      <c r="P28" s="11"/>
      <c r="Q28" s="10" t="s">
        <v>214</v>
      </c>
      <c r="R28" s="10" t="s">
        <v>215</v>
      </c>
      <c r="S28" s="10" t="s">
        <v>216</v>
      </c>
      <c r="T28" s="12"/>
      <c r="U28" s="61"/>
    </row>
    <row r="29" spans="2:21" ht="51">
      <c r="B29" s="5"/>
      <c r="C29" s="56" t="s">
        <v>217</v>
      </c>
      <c r="D29" s="3" t="s">
        <v>18</v>
      </c>
      <c r="E29" s="55" t="s">
        <v>423</v>
      </c>
      <c r="F29" s="3" t="s">
        <v>29</v>
      </c>
      <c r="H29" s="25"/>
      <c r="I29" s="25"/>
      <c r="J29" s="75" t="s">
        <v>419</v>
      </c>
      <c r="K29" s="76"/>
      <c r="L29" s="76"/>
      <c r="M29" s="76"/>
      <c r="N29" s="76"/>
      <c r="O29" s="77" t="s">
        <v>420</v>
      </c>
      <c r="P29" s="77"/>
      <c r="Q29" s="77"/>
      <c r="R29" s="77"/>
      <c r="S29" s="78"/>
      <c r="T29" s="12"/>
      <c r="U29" s="61" t="s">
        <v>29</v>
      </c>
    </row>
    <row r="30" spans="2:21" ht="51">
      <c r="B30" s="5"/>
      <c r="C30" s="2" t="s">
        <v>221</v>
      </c>
      <c r="D30" s="3" t="s">
        <v>18</v>
      </c>
      <c r="E30" s="55" t="s">
        <v>424</v>
      </c>
      <c r="F30" s="3" t="s">
        <v>29</v>
      </c>
      <c r="H30" s="10" t="s">
        <v>445</v>
      </c>
      <c r="I30" s="25"/>
      <c r="J30" s="11"/>
      <c r="K30" s="11"/>
      <c r="L30" s="11"/>
      <c r="M30" s="11"/>
      <c r="N30" s="11"/>
      <c r="O30" s="11"/>
      <c r="P30" s="11"/>
      <c r="Q30" s="11"/>
      <c r="R30" s="11"/>
      <c r="S30" s="10" t="s">
        <v>421</v>
      </c>
      <c r="T30" s="12" t="s">
        <v>446</v>
      </c>
      <c r="U30" s="61" t="s">
        <v>29</v>
      </c>
    </row>
    <row r="31" spans="2:21">
      <c r="B31" s="5">
        <f>B26+1</f>
        <v>22</v>
      </c>
      <c r="C31" s="2" t="s">
        <v>231</v>
      </c>
      <c r="D31" s="3" t="s">
        <v>18</v>
      </c>
      <c r="E31" s="3" t="s">
        <v>232</v>
      </c>
      <c r="F31" s="3" t="s">
        <v>233</v>
      </c>
      <c r="H31" s="69" t="s">
        <v>234</v>
      </c>
      <c r="I31" s="69"/>
      <c r="J31" s="69"/>
      <c r="K31" s="69"/>
      <c r="L31" s="69"/>
      <c r="M31" s="69"/>
      <c r="N31" s="69" t="s">
        <v>235</v>
      </c>
      <c r="O31" s="69"/>
      <c r="P31" s="69"/>
      <c r="Q31" s="69"/>
      <c r="R31" s="69"/>
      <c r="S31" s="69"/>
      <c r="T31" s="12" t="s">
        <v>236</v>
      </c>
      <c r="U31" s="61" t="s">
        <v>233</v>
      </c>
    </row>
    <row r="32" spans="2:21">
      <c r="B32" s="5">
        <f t="shared" si="0"/>
        <v>23</v>
      </c>
      <c r="C32" s="2" t="s">
        <v>237</v>
      </c>
      <c r="D32" s="3" t="s">
        <v>18</v>
      </c>
      <c r="E32" s="3" t="s">
        <v>238</v>
      </c>
      <c r="F32" s="3" t="s">
        <v>239</v>
      </c>
      <c r="H32" s="11"/>
      <c r="I32" s="11"/>
      <c r="J32" s="11"/>
      <c r="K32" s="69" t="s">
        <v>240</v>
      </c>
      <c r="L32" s="69"/>
      <c r="M32" s="69"/>
      <c r="N32" s="69"/>
      <c r="O32" s="69"/>
      <c r="P32" s="69"/>
      <c r="Q32" s="69"/>
      <c r="R32" s="69"/>
      <c r="S32" s="69"/>
      <c r="T32" s="12" t="s">
        <v>241</v>
      </c>
      <c r="U32" s="61" t="s">
        <v>239</v>
      </c>
    </row>
    <row r="33" spans="2:21" ht="34">
      <c r="B33" s="5">
        <f t="shared" si="0"/>
        <v>24</v>
      </c>
      <c r="C33" s="2" t="s">
        <v>242</v>
      </c>
      <c r="D33" s="3" t="s">
        <v>18</v>
      </c>
      <c r="E33" s="3" t="s">
        <v>243</v>
      </c>
      <c r="F33" s="3" t="s">
        <v>29</v>
      </c>
      <c r="H33" s="11"/>
      <c r="I33" s="11"/>
      <c r="J33" s="69" t="s">
        <v>244</v>
      </c>
      <c r="K33" s="69"/>
      <c r="L33" s="69"/>
      <c r="M33" s="69"/>
      <c r="N33" s="69"/>
      <c r="O33" s="69"/>
      <c r="P33" s="69"/>
      <c r="Q33" s="69"/>
      <c r="R33" s="69"/>
      <c r="S33" s="69"/>
      <c r="T33" s="12" t="s">
        <v>245</v>
      </c>
      <c r="U33" s="61" t="s">
        <v>29</v>
      </c>
    </row>
    <row r="34" spans="2:21" ht="34">
      <c r="B34" s="5">
        <f t="shared" si="0"/>
        <v>25</v>
      </c>
      <c r="C34" s="2" t="s">
        <v>246</v>
      </c>
      <c r="D34" s="3" t="s">
        <v>18</v>
      </c>
      <c r="E34" s="3" t="s">
        <v>247</v>
      </c>
      <c r="F34" s="3" t="s">
        <v>29</v>
      </c>
      <c r="H34" s="10" t="s">
        <v>248</v>
      </c>
      <c r="I34" s="11"/>
      <c r="J34" s="69" t="s">
        <v>249</v>
      </c>
      <c r="K34" s="69"/>
      <c r="L34" s="69"/>
      <c r="M34" s="69"/>
      <c r="N34" s="69"/>
      <c r="O34" s="69"/>
      <c r="P34" s="69"/>
      <c r="Q34" s="69"/>
      <c r="R34" s="69"/>
      <c r="S34" s="69"/>
      <c r="T34" s="12" t="s">
        <v>245</v>
      </c>
      <c r="U34" s="61" t="s">
        <v>29</v>
      </c>
    </row>
    <row r="35" spans="2:21">
      <c r="B35" s="5">
        <f t="shared" si="0"/>
        <v>26</v>
      </c>
      <c r="C35" s="2" t="s">
        <v>250</v>
      </c>
      <c r="D35" s="3" t="s">
        <v>18</v>
      </c>
      <c r="E35" s="3" t="s">
        <v>251</v>
      </c>
      <c r="F35" s="3" t="s">
        <v>29</v>
      </c>
      <c r="H35" s="25"/>
      <c r="I35" s="25"/>
      <c r="J35" s="69" t="s">
        <v>252</v>
      </c>
      <c r="K35" s="69"/>
      <c r="L35" s="69"/>
      <c r="M35" s="69"/>
      <c r="N35" s="69"/>
      <c r="O35" s="69"/>
      <c r="P35" s="69"/>
      <c r="Q35" s="69"/>
      <c r="R35" s="69"/>
      <c r="S35" s="69"/>
      <c r="T35" s="12" t="s">
        <v>253</v>
      </c>
      <c r="U35" s="61" t="s">
        <v>29</v>
      </c>
    </row>
    <row r="36" spans="2:21">
      <c r="B36" s="5">
        <f t="shared" si="0"/>
        <v>27</v>
      </c>
      <c r="C36" s="2" t="s">
        <v>254</v>
      </c>
      <c r="D36" s="3" t="s">
        <v>18</v>
      </c>
      <c r="E36" s="3" t="s">
        <v>255</v>
      </c>
      <c r="F36" s="3" t="s">
        <v>256</v>
      </c>
      <c r="H36" s="25"/>
      <c r="I36" s="69" t="s">
        <v>257</v>
      </c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12" t="s">
        <v>258</v>
      </c>
      <c r="U36" s="61" t="s">
        <v>256</v>
      </c>
    </row>
    <row r="37" spans="2:21">
      <c r="B37" s="5">
        <f t="shared" si="0"/>
        <v>28</v>
      </c>
      <c r="C37" s="2" t="s">
        <v>259</v>
      </c>
      <c r="D37" s="3" t="s">
        <v>18</v>
      </c>
      <c r="E37" s="3" t="s">
        <v>260</v>
      </c>
      <c r="F37" s="3" t="s">
        <v>29</v>
      </c>
      <c r="H37" s="69" t="s">
        <v>261</v>
      </c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12" t="s">
        <v>241</v>
      </c>
      <c r="U37" s="61" t="s">
        <v>469</v>
      </c>
    </row>
    <row r="38" spans="2:21" ht="34">
      <c r="B38" s="5">
        <f t="shared" si="0"/>
        <v>29</v>
      </c>
      <c r="C38" s="2" t="s">
        <v>262</v>
      </c>
      <c r="D38" s="3" t="s">
        <v>18</v>
      </c>
      <c r="E38" s="3" t="s">
        <v>263</v>
      </c>
      <c r="F38" s="3" t="s">
        <v>264</v>
      </c>
      <c r="H38" s="10" t="s">
        <v>265</v>
      </c>
      <c r="I38" s="69" t="s">
        <v>266</v>
      </c>
      <c r="J38" s="69"/>
      <c r="K38" s="11"/>
      <c r="L38" s="69" t="s">
        <v>267</v>
      </c>
      <c r="M38" s="69"/>
      <c r="N38" s="69"/>
      <c r="O38" s="69"/>
      <c r="P38" s="69"/>
      <c r="Q38" s="69"/>
      <c r="R38" s="69"/>
      <c r="S38" s="69"/>
      <c r="T38" s="12" t="s">
        <v>268</v>
      </c>
      <c r="U38" s="61" t="s">
        <v>470</v>
      </c>
    </row>
    <row r="39" spans="2:21">
      <c r="B39" s="5"/>
      <c r="H39" s="30"/>
      <c r="T39" s="12"/>
      <c r="U39" s="61"/>
    </row>
    <row r="40" spans="2:21" ht="102">
      <c r="B40" s="5">
        <f>B38+1</f>
        <v>30</v>
      </c>
      <c r="C40" s="2" t="s">
        <v>269</v>
      </c>
      <c r="D40" s="3" t="s">
        <v>18</v>
      </c>
      <c r="E40" s="3" t="s">
        <v>270</v>
      </c>
      <c r="F40" s="3" t="s">
        <v>271</v>
      </c>
      <c r="H40" s="71" t="s">
        <v>272</v>
      </c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12" t="s">
        <v>447</v>
      </c>
      <c r="U40" s="61" t="s">
        <v>271</v>
      </c>
    </row>
    <row r="41" spans="2:21" ht="85">
      <c r="B41" s="5">
        <f t="shared" si="0"/>
        <v>31</v>
      </c>
      <c r="C41" s="2" t="s">
        <v>274</v>
      </c>
      <c r="D41" s="3" t="s">
        <v>18</v>
      </c>
      <c r="E41" s="3" t="s">
        <v>275</v>
      </c>
      <c r="F41" s="3" t="s">
        <v>29</v>
      </c>
      <c r="H41" s="69" t="s">
        <v>276</v>
      </c>
      <c r="I41" s="69"/>
      <c r="J41" s="69"/>
      <c r="K41" s="69"/>
      <c r="L41" s="69"/>
      <c r="M41" s="69"/>
      <c r="N41" s="14" t="s">
        <v>277</v>
      </c>
      <c r="O41" s="19" t="s">
        <v>278</v>
      </c>
      <c r="P41" s="19" t="s">
        <v>279</v>
      </c>
      <c r="Q41" s="10" t="s">
        <v>280</v>
      </c>
      <c r="R41" s="10" t="s">
        <v>281</v>
      </c>
      <c r="S41" s="10" t="s">
        <v>282</v>
      </c>
      <c r="T41" s="12" t="s">
        <v>283</v>
      </c>
      <c r="U41" s="61" t="s">
        <v>29</v>
      </c>
    </row>
    <row r="42" spans="2:21">
      <c r="B42" s="5"/>
      <c r="C42" s="31"/>
      <c r="D42" s="31"/>
      <c r="E42" s="1"/>
      <c r="F42" s="31"/>
      <c r="G42" s="3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7"/>
      <c r="U42" s="61"/>
    </row>
    <row r="43" spans="2:21">
      <c r="B43" s="5">
        <f>B41+1</f>
        <v>32</v>
      </c>
      <c r="C43" s="56" t="s">
        <v>284</v>
      </c>
      <c r="D43" s="3" t="s">
        <v>18</v>
      </c>
      <c r="E43" s="3" t="s">
        <v>285</v>
      </c>
      <c r="F43" s="3" t="s">
        <v>29</v>
      </c>
      <c r="H43" s="57" t="s">
        <v>458</v>
      </c>
      <c r="I43" s="11"/>
      <c r="J43" s="11"/>
      <c r="K43" s="11"/>
      <c r="L43" s="11"/>
      <c r="M43" s="11"/>
      <c r="N43" s="10" t="s">
        <v>284</v>
      </c>
      <c r="O43" s="10" t="s">
        <v>286</v>
      </c>
      <c r="P43" s="10" t="s">
        <v>287</v>
      </c>
      <c r="Q43" s="10" t="s">
        <v>288</v>
      </c>
      <c r="R43" s="10" t="s">
        <v>289</v>
      </c>
      <c r="S43" s="10" t="s">
        <v>290</v>
      </c>
      <c r="T43" s="12"/>
      <c r="U43" s="61" t="s">
        <v>406</v>
      </c>
    </row>
    <row r="44" spans="2:21">
      <c r="B44" s="5">
        <f>B43+1</f>
        <v>33</v>
      </c>
      <c r="C44" s="2" t="s">
        <v>291</v>
      </c>
      <c r="D44" s="3" t="s">
        <v>18</v>
      </c>
      <c r="E44" s="3" t="s">
        <v>292</v>
      </c>
      <c r="F44" s="3" t="s">
        <v>448</v>
      </c>
      <c r="H44" s="80" t="s">
        <v>294</v>
      </c>
      <c r="I44" s="81"/>
      <c r="J44" s="81"/>
      <c r="K44" s="81"/>
      <c r="L44" s="14" t="s">
        <v>295</v>
      </c>
      <c r="M44" s="10" t="s">
        <v>296</v>
      </c>
      <c r="N44" s="69" t="s">
        <v>297</v>
      </c>
      <c r="O44" s="69"/>
      <c r="P44" s="71" t="s">
        <v>298</v>
      </c>
      <c r="Q44" s="71"/>
      <c r="R44" s="69" t="s">
        <v>299</v>
      </c>
      <c r="S44" s="69"/>
      <c r="T44" s="12" t="s">
        <v>431</v>
      </c>
      <c r="U44" s="61" t="s">
        <v>448</v>
      </c>
    </row>
    <row r="45" spans="2:21">
      <c r="B45" s="5">
        <f t="shared" ref="B45:B51" si="1">B44+1</f>
        <v>34</v>
      </c>
      <c r="C45" s="2" t="s">
        <v>300</v>
      </c>
      <c r="D45" s="3" t="s">
        <v>18</v>
      </c>
      <c r="E45" s="3" t="s">
        <v>301</v>
      </c>
      <c r="F45" s="3" t="s">
        <v>29</v>
      </c>
      <c r="H45" s="69" t="s">
        <v>302</v>
      </c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12"/>
      <c r="U45" s="61" t="s">
        <v>29</v>
      </c>
    </row>
    <row r="46" spans="2:21">
      <c r="B46" s="5">
        <f t="shared" si="1"/>
        <v>35</v>
      </c>
      <c r="C46" s="2" t="s">
        <v>303</v>
      </c>
      <c r="D46" s="3" t="s">
        <v>18</v>
      </c>
      <c r="E46" s="3" t="s">
        <v>304</v>
      </c>
      <c r="F46" s="3" t="s">
        <v>305</v>
      </c>
      <c r="H46" s="10" t="s">
        <v>306</v>
      </c>
      <c r="I46" s="11"/>
      <c r="J46" s="11"/>
      <c r="K46" s="11"/>
      <c r="L46" s="11"/>
      <c r="M46" s="11"/>
      <c r="N46" s="79" t="s">
        <v>307</v>
      </c>
      <c r="O46" s="79"/>
      <c r="P46" s="69" t="s">
        <v>308</v>
      </c>
      <c r="Q46" s="69"/>
      <c r="R46" s="69"/>
      <c r="S46" s="69"/>
      <c r="T46" s="12"/>
      <c r="U46" s="61" t="s">
        <v>305</v>
      </c>
    </row>
    <row r="47" spans="2:21">
      <c r="B47" s="5">
        <f t="shared" si="1"/>
        <v>36</v>
      </c>
      <c r="C47" s="2" t="s">
        <v>309</v>
      </c>
      <c r="D47" s="3" t="s">
        <v>18</v>
      </c>
      <c r="E47" s="3" t="s">
        <v>310</v>
      </c>
      <c r="F47" s="3" t="s">
        <v>29</v>
      </c>
      <c r="G47" s="33"/>
      <c r="H47" s="15" t="s">
        <v>311</v>
      </c>
      <c r="I47" s="16"/>
      <c r="J47" s="16"/>
      <c r="K47" s="16"/>
      <c r="L47" s="16"/>
      <c r="M47" s="79" t="s">
        <v>312</v>
      </c>
      <c r="N47" s="79"/>
      <c r="O47" s="79"/>
      <c r="P47" s="16"/>
      <c r="Q47" s="79" t="s">
        <v>313</v>
      </c>
      <c r="R47" s="79"/>
      <c r="S47" s="79"/>
      <c r="T47" s="17"/>
      <c r="U47" s="61" t="s">
        <v>29</v>
      </c>
    </row>
    <row r="48" spans="2:21">
      <c r="B48" s="5">
        <f t="shared" si="1"/>
        <v>37</v>
      </c>
      <c r="C48" s="2" t="s">
        <v>314</v>
      </c>
      <c r="D48" s="3" t="s">
        <v>18</v>
      </c>
      <c r="E48" s="3" t="s">
        <v>315</v>
      </c>
      <c r="F48" s="55" t="s">
        <v>459</v>
      </c>
      <c r="G48" s="9"/>
      <c r="H48" s="34"/>
      <c r="I48" s="34"/>
      <c r="J48" s="34"/>
      <c r="K48" s="34"/>
      <c r="L48" s="35"/>
      <c r="M48" s="34"/>
      <c r="N48" s="35"/>
      <c r="O48" s="15" t="s">
        <v>317</v>
      </c>
      <c r="P48" s="36" t="s">
        <v>318</v>
      </c>
      <c r="Q48" s="15" t="s">
        <v>319</v>
      </c>
      <c r="R48" s="15" t="s">
        <v>320</v>
      </c>
      <c r="S48" s="15" t="s">
        <v>321</v>
      </c>
      <c r="T48" s="12" t="s">
        <v>322</v>
      </c>
      <c r="U48" s="61" t="s">
        <v>459</v>
      </c>
    </row>
    <row r="49" spans="2:21">
      <c r="B49" s="5">
        <f t="shared" si="1"/>
        <v>38</v>
      </c>
      <c r="C49" s="2" t="s">
        <v>449</v>
      </c>
      <c r="D49" s="3" t="s">
        <v>18</v>
      </c>
      <c r="E49" s="3" t="s">
        <v>450</v>
      </c>
      <c r="F49" s="3" t="s">
        <v>91</v>
      </c>
      <c r="H49" s="63" t="s">
        <v>451</v>
      </c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18" t="s">
        <v>148</v>
      </c>
      <c r="U49" s="61" t="s">
        <v>29</v>
      </c>
    </row>
    <row r="50" spans="2:21">
      <c r="B50" s="5">
        <f t="shared" si="1"/>
        <v>39</v>
      </c>
      <c r="C50" s="2" t="s">
        <v>452</v>
      </c>
      <c r="D50" s="3" t="s">
        <v>18</v>
      </c>
      <c r="E50" s="3" t="s">
        <v>453</v>
      </c>
      <c r="F50" s="3" t="s">
        <v>91</v>
      </c>
      <c r="H50" s="63" t="s">
        <v>454</v>
      </c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18" t="s">
        <v>148</v>
      </c>
      <c r="U50" s="61" t="s">
        <v>467</v>
      </c>
    </row>
    <row r="51" spans="2:21">
      <c r="B51" s="5">
        <f t="shared" si="1"/>
        <v>40</v>
      </c>
      <c r="C51" s="2" t="s">
        <v>455</v>
      </c>
      <c r="D51" s="3" t="s">
        <v>18</v>
      </c>
      <c r="E51" s="3" t="s">
        <v>456</v>
      </c>
      <c r="F51" s="3" t="s">
        <v>91</v>
      </c>
      <c r="H51" s="63" t="s">
        <v>457</v>
      </c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18" t="s">
        <v>148</v>
      </c>
      <c r="U51" s="61" t="s">
        <v>468</v>
      </c>
    </row>
    <row r="52" spans="2:21">
      <c r="B52" s="5"/>
      <c r="T52" s="37"/>
    </row>
    <row r="53" spans="2:21">
      <c r="B53" s="5"/>
      <c r="C53" s="38" t="s">
        <v>427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37"/>
    </row>
    <row r="54" spans="2:21">
      <c r="B54" s="5"/>
    </row>
    <row r="55" spans="2:21" ht="153.5">
      <c r="B55" s="5">
        <v>1</v>
      </c>
      <c r="C55" s="2" t="s">
        <v>324</v>
      </c>
      <c r="D55" s="3" t="s">
        <v>18</v>
      </c>
      <c r="E55" s="49" t="s">
        <v>325</v>
      </c>
      <c r="F55" s="3" t="s">
        <v>345</v>
      </c>
      <c r="H55" s="10" t="s">
        <v>326</v>
      </c>
      <c r="I55" s="84" t="s">
        <v>327</v>
      </c>
      <c r="J55" s="85"/>
      <c r="K55" s="85"/>
      <c r="L55" s="71" t="s">
        <v>328</v>
      </c>
      <c r="M55" s="69"/>
      <c r="N55" s="10" t="s">
        <v>329</v>
      </c>
      <c r="O55" s="10" t="s">
        <v>330</v>
      </c>
      <c r="P55" s="14" t="s">
        <v>331</v>
      </c>
      <c r="Q55" s="14" t="s">
        <v>332</v>
      </c>
      <c r="R55" s="10" t="s">
        <v>333</v>
      </c>
      <c r="S55" s="10" t="s">
        <v>334</v>
      </c>
      <c r="T55" s="12" t="s">
        <v>335</v>
      </c>
    </row>
    <row r="56" spans="2:21">
      <c r="B56" s="5"/>
      <c r="C56" s="2" t="s">
        <v>432</v>
      </c>
      <c r="D56" s="3" t="s">
        <v>18</v>
      </c>
      <c r="E56" s="49" t="s">
        <v>433</v>
      </c>
      <c r="F56" s="3" t="s">
        <v>29</v>
      </c>
      <c r="H56" s="11"/>
      <c r="I56" s="50"/>
      <c r="J56" s="16"/>
      <c r="K56" s="16"/>
      <c r="L56" s="51"/>
      <c r="M56" s="11"/>
      <c r="N56" s="11"/>
      <c r="O56" s="64" t="s">
        <v>434</v>
      </c>
      <c r="P56" s="77"/>
      <c r="Q56" s="77"/>
      <c r="R56" s="77"/>
      <c r="S56" s="78"/>
      <c r="T56" s="12" t="s">
        <v>435</v>
      </c>
    </row>
    <row r="57" spans="2:21">
      <c r="B57" s="5">
        <f>B55+1</f>
        <v>2</v>
      </c>
      <c r="C57" s="2" t="s">
        <v>336</v>
      </c>
      <c r="D57" s="3" t="s">
        <v>18</v>
      </c>
      <c r="E57" s="49" t="s">
        <v>337</v>
      </c>
      <c r="F57" s="3" t="s">
        <v>29</v>
      </c>
      <c r="H57" s="11"/>
      <c r="I57" s="11"/>
      <c r="J57" s="11"/>
      <c r="K57" s="11"/>
      <c r="L57" s="11"/>
      <c r="M57" s="11"/>
      <c r="N57" s="11"/>
      <c r="O57" s="11"/>
      <c r="P57" s="69" t="s">
        <v>338</v>
      </c>
      <c r="Q57" s="69"/>
      <c r="R57" s="69"/>
      <c r="S57" s="69"/>
      <c r="T57" s="40" t="s">
        <v>339</v>
      </c>
    </row>
    <row r="58" spans="2:21">
      <c r="B58" s="5">
        <f t="shared" ref="B58:B61" si="2">B57+1</f>
        <v>3</v>
      </c>
      <c r="C58" s="2" t="s">
        <v>340</v>
      </c>
      <c r="D58" s="3" t="s">
        <v>18</v>
      </c>
      <c r="E58" s="49" t="s">
        <v>341</v>
      </c>
      <c r="F58" s="3" t="s">
        <v>256</v>
      </c>
      <c r="H58" s="69" t="s">
        <v>342</v>
      </c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40" t="s">
        <v>339</v>
      </c>
    </row>
    <row r="59" spans="2:21">
      <c r="B59" s="5">
        <f t="shared" si="2"/>
        <v>4</v>
      </c>
      <c r="C59" s="2" t="s">
        <v>343</v>
      </c>
      <c r="D59" s="3" t="s">
        <v>18</v>
      </c>
      <c r="E59" s="49" t="s">
        <v>344</v>
      </c>
      <c r="F59" s="3" t="s">
        <v>345</v>
      </c>
      <c r="H59" s="11"/>
      <c r="I59" s="11"/>
      <c r="J59" s="11"/>
      <c r="K59" s="11"/>
      <c r="L59" s="11"/>
      <c r="M59" s="11"/>
      <c r="N59" s="69" t="s">
        <v>346</v>
      </c>
      <c r="O59" s="69"/>
      <c r="P59" s="69" t="s">
        <v>347</v>
      </c>
      <c r="Q59" s="69"/>
      <c r="R59" s="69"/>
      <c r="S59" s="69"/>
      <c r="T59" s="40" t="s">
        <v>339</v>
      </c>
    </row>
    <row r="60" spans="2:21">
      <c r="B60" s="5">
        <f t="shared" si="2"/>
        <v>5</v>
      </c>
      <c r="C60" s="2" t="s">
        <v>348</v>
      </c>
      <c r="D60" s="3" t="s">
        <v>18</v>
      </c>
      <c r="E60" s="49" t="s">
        <v>349</v>
      </c>
      <c r="F60" s="3" t="s">
        <v>29</v>
      </c>
      <c r="H60" s="41" t="s">
        <v>350</v>
      </c>
      <c r="I60" s="11"/>
      <c r="J60" s="11"/>
      <c r="K60" s="11"/>
      <c r="L60" s="11"/>
      <c r="M60" s="11"/>
      <c r="N60" s="11"/>
      <c r="O60" s="11"/>
      <c r="P60" s="11"/>
      <c r="Q60" s="11"/>
      <c r="R60" s="10" t="s">
        <v>351</v>
      </c>
      <c r="S60" s="10" t="s">
        <v>352</v>
      </c>
      <c r="T60" s="40">
        <v>1</v>
      </c>
    </row>
    <row r="61" spans="2:21">
      <c r="B61" s="5">
        <f t="shared" si="2"/>
        <v>6</v>
      </c>
      <c r="C61" s="2" t="s">
        <v>353</v>
      </c>
      <c r="D61" s="3" t="s">
        <v>18</v>
      </c>
      <c r="E61" s="49" t="s">
        <v>354</v>
      </c>
      <c r="F61" s="3" t="s">
        <v>355</v>
      </c>
      <c r="H61" s="69" t="s">
        <v>356</v>
      </c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42"/>
    </row>
    <row r="62" spans="2:21">
      <c r="B62" s="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42"/>
    </row>
    <row r="63" spans="2:21">
      <c r="B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42"/>
    </row>
    <row r="64" spans="2:21">
      <c r="B64" s="5"/>
      <c r="C64" s="38" t="s">
        <v>428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26"/>
    </row>
    <row r="65" spans="2:21"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6"/>
    </row>
    <row r="66" spans="2:21">
      <c r="B66" s="5">
        <v>1</v>
      </c>
      <c r="D66" s="3" t="s">
        <v>436</v>
      </c>
      <c r="E66" s="3" t="s">
        <v>19</v>
      </c>
      <c r="F66" s="3" t="s">
        <v>29</v>
      </c>
      <c r="H66" s="16"/>
      <c r="I66" s="16"/>
      <c r="J66" s="16"/>
      <c r="K66" s="16"/>
      <c r="L66" s="82" t="s">
        <v>358</v>
      </c>
      <c r="M66" s="82"/>
      <c r="N66" s="82"/>
      <c r="O66" s="82"/>
      <c r="P66" s="82"/>
      <c r="Q66" s="82"/>
      <c r="R66" s="82"/>
      <c r="S66" s="82"/>
      <c r="T66" s="26">
        <v>8</v>
      </c>
    </row>
    <row r="67" spans="2:21">
      <c r="B67" s="5">
        <f>B66+1</f>
        <v>2</v>
      </c>
      <c r="D67" s="3" t="s">
        <v>18</v>
      </c>
      <c r="E67" s="3" t="s">
        <v>28</v>
      </c>
      <c r="F67" s="3" t="s">
        <v>359</v>
      </c>
      <c r="H67" s="43"/>
      <c r="I67" s="43"/>
      <c r="J67" s="82" t="s">
        <v>360</v>
      </c>
      <c r="K67" s="83"/>
      <c r="L67" s="83"/>
      <c r="M67" s="83"/>
      <c r="N67" s="83"/>
      <c r="O67" s="82" t="s">
        <v>361</v>
      </c>
      <c r="P67" s="83"/>
      <c r="Q67" s="83"/>
      <c r="R67" s="83"/>
      <c r="S67" s="83"/>
      <c r="T67" s="26">
        <v>10</v>
      </c>
    </row>
    <row r="68" spans="2:21">
      <c r="B68" s="5"/>
      <c r="C68" s="2" t="s">
        <v>437</v>
      </c>
      <c r="D68" s="3" t="s">
        <v>18</v>
      </c>
      <c r="E68" s="3" t="s">
        <v>39</v>
      </c>
      <c r="F68" s="3" t="s">
        <v>359</v>
      </c>
      <c r="H68" s="43"/>
      <c r="I68" s="43"/>
      <c r="J68" s="82" t="s">
        <v>438</v>
      </c>
      <c r="K68" s="82"/>
      <c r="L68" s="82"/>
      <c r="M68" s="82"/>
      <c r="N68" s="82"/>
      <c r="O68" s="82" t="s">
        <v>439</v>
      </c>
      <c r="P68" s="82"/>
      <c r="Q68" s="82"/>
      <c r="R68" s="82"/>
      <c r="S68" s="82"/>
      <c r="T68" s="26">
        <v>10</v>
      </c>
    </row>
    <row r="69" spans="2:21">
      <c r="B69" s="5"/>
      <c r="C69" s="2" t="s">
        <v>437</v>
      </c>
      <c r="D69" s="3" t="s">
        <v>18</v>
      </c>
      <c r="E69" s="3" t="s">
        <v>430</v>
      </c>
      <c r="F69" s="55" t="s">
        <v>362</v>
      </c>
      <c r="H69" s="86" t="s">
        <v>294</v>
      </c>
      <c r="I69" s="87"/>
      <c r="J69" s="87"/>
      <c r="K69" s="88"/>
      <c r="L69" s="43"/>
      <c r="M69" s="43"/>
      <c r="N69" s="43"/>
      <c r="O69" s="82" t="s">
        <v>441</v>
      </c>
      <c r="P69" s="82"/>
      <c r="Q69" s="82"/>
      <c r="R69" s="82"/>
      <c r="S69" s="82"/>
      <c r="T69" s="26">
        <v>9</v>
      </c>
    </row>
    <row r="70" spans="2:21" s="44" customFormat="1">
      <c r="B70" s="5">
        <f>B67+1</f>
        <v>3</v>
      </c>
      <c r="C70" s="2"/>
      <c r="D70" s="3" t="s">
        <v>18</v>
      </c>
      <c r="E70" s="3" t="s">
        <v>48</v>
      </c>
      <c r="F70" s="3" t="s">
        <v>362</v>
      </c>
      <c r="G70" s="3"/>
      <c r="H70" s="86" t="s">
        <v>363</v>
      </c>
      <c r="I70" s="87"/>
      <c r="J70" s="87"/>
      <c r="K70" s="87"/>
      <c r="L70" s="88"/>
      <c r="M70" s="16"/>
      <c r="N70" s="16"/>
      <c r="O70" s="86" t="s">
        <v>364</v>
      </c>
      <c r="P70" s="87"/>
      <c r="Q70" s="87"/>
      <c r="R70" s="87"/>
      <c r="S70" s="88"/>
      <c r="T70" s="26">
        <v>10</v>
      </c>
      <c r="U70" s="60"/>
    </row>
    <row r="71" spans="2:21" s="44" customFormat="1">
      <c r="B71" s="5">
        <f t="shared" ref="B71:B97" si="3">B70+1</f>
        <v>4</v>
      </c>
      <c r="C71" s="2"/>
      <c r="D71" s="3" t="s">
        <v>18</v>
      </c>
      <c r="E71" s="3" t="s">
        <v>53</v>
      </c>
      <c r="F71" s="3" t="s">
        <v>239</v>
      </c>
      <c r="G71" s="3"/>
      <c r="H71" s="16"/>
      <c r="I71" s="16"/>
      <c r="J71" s="16"/>
      <c r="K71" s="16"/>
      <c r="L71" s="82" t="s">
        <v>365</v>
      </c>
      <c r="M71" s="82"/>
      <c r="N71" s="82"/>
      <c r="O71" s="82"/>
      <c r="P71" s="82" t="s">
        <v>366</v>
      </c>
      <c r="Q71" s="82"/>
      <c r="R71" s="82"/>
      <c r="S71" s="82"/>
      <c r="T71" s="26">
        <v>8</v>
      </c>
      <c r="U71" s="60"/>
    </row>
    <row r="72" spans="2:21" s="44" customFormat="1">
      <c r="B72" s="5">
        <f t="shared" si="3"/>
        <v>5</v>
      </c>
      <c r="C72" s="2"/>
      <c r="D72" s="3" t="s">
        <v>18</v>
      </c>
      <c r="E72" s="3" t="s">
        <v>67</v>
      </c>
      <c r="F72" s="3" t="s">
        <v>29</v>
      </c>
      <c r="G72" s="3"/>
      <c r="H72" s="16"/>
      <c r="I72" s="16"/>
      <c r="J72" s="16"/>
      <c r="K72" s="86" t="s">
        <v>367</v>
      </c>
      <c r="L72" s="87"/>
      <c r="M72" s="87"/>
      <c r="N72" s="87"/>
      <c r="O72" s="87"/>
      <c r="P72" s="87"/>
      <c r="Q72" s="87"/>
      <c r="R72" s="87"/>
      <c r="S72" s="88"/>
      <c r="T72" s="26">
        <v>9</v>
      </c>
      <c r="U72" s="60"/>
    </row>
    <row r="73" spans="2:21" s="44" customFormat="1">
      <c r="B73" s="5">
        <f t="shared" si="3"/>
        <v>6</v>
      </c>
      <c r="C73" s="2"/>
      <c r="D73" s="3" t="s">
        <v>18</v>
      </c>
      <c r="E73" s="3" t="s">
        <v>370</v>
      </c>
      <c r="F73" s="3" t="s">
        <v>29</v>
      </c>
      <c r="G73" s="3"/>
      <c r="H73" s="16"/>
      <c r="I73" s="16"/>
      <c r="J73" s="16"/>
      <c r="K73" s="86" t="s">
        <v>368</v>
      </c>
      <c r="L73" s="87"/>
      <c r="M73" s="87"/>
      <c r="N73" s="87"/>
      <c r="O73" s="87"/>
      <c r="P73" s="87"/>
      <c r="Q73" s="87"/>
      <c r="R73" s="87"/>
      <c r="S73" s="88"/>
      <c r="T73" s="26">
        <v>9</v>
      </c>
      <c r="U73" s="60"/>
    </row>
    <row r="74" spans="2:21" s="44" customFormat="1">
      <c r="B74" s="5">
        <f t="shared" si="3"/>
        <v>7</v>
      </c>
      <c r="C74" s="2"/>
      <c r="D74" s="3" t="s">
        <v>18</v>
      </c>
      <c r="E74" s="3" t="s">
        <v>372</v>
      </c>
      <c r="F74" s="3" t="s">
        <v>29</v>
      </c>
      <c r="G74" s="3"/>
      <c r="H74" s="16"/>
      <c r="I74" s="16"/>
      <c r="J74" s="16"/>
      <c r="K74" s="86" t="s">
        <v>369</v>
      </c>
      <c r="L74" s="87"/>
      <c r="M74" s="87"/>
      <c r="N74" s="87"/>
      <c r="O74" s="87"/>
      <c r="P74" s="87"/>
      <c r="Q74" s="87"/>
      <c r="R74" s="87"/>
      <c r="S74" s="88"/>
      <c r="T74" s="26">
        <v>9</v>
      </c>
      <c r="U74" s="60"/>
    </row>
    <row r="75" spans="2:21" s="44" customFormat="1">
      <c r="B75" s="5">
        <f t="shared" si="3"/>
        <v>8</v>
      </c>
      <c r="C75" s="2"/>
      <c r="D75" s="3" t="s">
        <v>18</v>
      </c>
      <c r="E75" s="3" t="s">
        <v>374</v>
      </c>
      <c r="F75" s="3" t="s">
        <v>29</v>
      </c>
      <c r="G75" s="3"/>
      <c r="H75" s="16"/>
      <c r="I75" s="16"/>
      <c r="J75" s="16"/>
      <c r="K75" s="86" t="s">
        <v>371</v>
      </c>
      <c r="L75" s="87"/>
      <c r="M75" s="87"/>
      <c r="N75" s="87"/>
      <c r="O75" s="87"/>
      <c r="P75" s="87"/>
      <c r="Q75" s="87"/>
      <c r="R75" s="87"/>
      <c r="S75" s="88"/>
      <c r="T75" s="26">
        <v>9</v>
      </c>
      <c r="U75" s="60"/>
    </row>
    <row r="76" spans="2:21" s="44" customFormat="1">
      <c r="B76" s="5">
        <f t="shared" si="3"/>
        <v>9</v>
      </c>
      <c r="C76" s="2"/>
      <c r="D76" s="3" t="s">
        <v>18</v>
      </c>
      <c r="E76" s="3" t="s">
        <v>99</v>
      </c>
      <c r="F76" s="3" t="s">
        <v>29</v>
      </c>
      <c r="G76" s="3"/>
      <c r="H76" s="16"/>
      <c r="I76" s="16"/>
      <c r="J76" s="16"/>
      <c r="K76" s="86" t="s">
        <v>373</v>
      </c>
      <c r="L76" s="87"/>
      <c r="M76" s="87"/>
      <c r="N76" s="87"/>
      <c r="O76" s="87"/>
      <c r="P76" s="87"/>
      <c r="Q76" s="87"/>
      <c r="R76" s="87"/>
      <c r="S76" s="88"/>
      <c r="T76" s="26">
        <v>9</v>
      </c>
      <c r="U76" s="60"/>
    </row>
    <row r="77" spans="2:21" s="44" customFormat="1">
      <c r="B77" s="5">
        <f t="shared" si="3"/>
        <v>10</v>
      </c>
      <c r="C77" s="2"/>
      <c r="D77" s="3" t="s">
        <v>18</v>
      </c>
      <c r="E77" s="3" t="s">
        <v>112</v>
      </c>
      <c r="F77" s="3" t="s">
        <v>29</v>
      </c>
      <c r="G77" s="3"/>
      <c r="H77" s="16"/>
      <c r="I77" s="16"/>
      <c r="J77" s="16"/>
      <c r="K77" s="86" t="s">
        <v>375</v>
      </c>
      <c r="L77" s="87"/>
      <c r="M77" s="87"/>
      <c r="N77" s="87"/>
      <c r="O77" s="87"/>
      <c r="P77" s="87"/>
      <c r="Q77" s="87"/>
      <c r="R77" s="87"/>
      <c r="S77" s="88"/>
      <c r="T77" s="26">
        <v>9</v>
      </c>
      <c r="U77" s="60"/>
    </row>
    <row r="78" spans="2:21" s="44" customFormat="1">
      <c r="B78" s="5">
        <f t="shared" si="3"/>
        <v>11</v>
      </c>
      <c r="C78" s="2"/>
      <c r="D78" s="3" t="s">
        <v>18</v>
      </c>
      <c r="E78" s="3" t="s">
        <v>126</v>
      </c>
      <c r="F78" s="3" t="s">
        <v>29</v>
      </c>
      <c r="G78" s="3"/>
      <c r="H78" s="16"/>
      <c r="I78" s="16"/>
      <c r="J78" s="16"/>
      <c r="K78" s="86" t="s">
        <v>376</v>
      </c>
      <c r="L78" s="87"/>
      <c r="M78" s="87"/>
      <c r="N78" s="87"/>
      <c r="O78" s="87"/>
      <c r="P78" s="87"/>
      <c r="Q78" s="87"/>
      <c r="R78" s="87"/>
      <c r="S78" s="88"/>
      <c r="T78" s="26">
        <v>9</v>
      </c>
      <c r="U78" s="60"/>
    </row>
    <row r="79" spans="2:21" s="44" customFormat="1">
      <c r="B79" s="5">
        <f t="shared" si="3"/>
        <v>12</v>
      </c>
      <c r="C79" s="2"/>
      <c r="D79" s="3" t="s">
        <v>18</v>
      </c>
      <c r="E79" s="3" t="s">
        <v>140</v>
      </c>
      <c r="F79" s="3" t="s">
        <v>29</v>
      </c>
      <c r="G79" s="3"/>
      <c r="H79" s="16"/>
      <c r="I79" s="16"/>
      <c r="J79" s="16"/>
      <c r="K79" s="86" t="s">
        <v>377</v>
      </c>
      <c r="L79" s="87"/>
      <c r="M79" s="87"/>
      <c r="N79" s="87"/>
      <c r="O79" s="87"/>
      <c r="P79" s="87"/>
      <c r="Q79" s="87"/>
      <c r="R79" s="87"/>
      <c r="S79" s="88"/>
      <c r="T79" s="26">
        <v>9</v>
      </c>
      <c r="U79" s="60"/>
    </row>
    <row r="80" spans="2:21" s="44" customFormat="1">
      <c r="B80" s="5">
        <f t="shared" si="3"/>
        <v>13</v>
      </c>
      <c r="C80" s="2"/>
      <c r="D80" s="3" t="s">
        <v>18</v>
      </c>
      <c r="E80" s="3" t="s">
        <v>146</v>
      </c>
      <c r="F80" s="3" t="s">
        <v>29</v>
      </c>
      <c r="G80" s="3"/>
      <c r="H80" s="16"/>
      <c r="I80" s="16"/>
      <c r="J80" s="16"/>
      <c r="K80" s="86" t="s">
        <v>378</v>
      </c>
      <c r="L80" s="87"/>
      <c r="M80" s="87"/>
      <c r="N80" s="87"/>
      <c r="O80" s="87"/>
      <c r="P80" s="87"/>
      <c r="Q80" s="87"/>
      <c r="R80" s="87"/>
      <c r="S80" s="88"/>
      <c r="T80" s="26">
        <v>9</v>
      </c>
      <c r="U80" s="60"/>
    </row>
    <row r="81" spans="1:21" s="44" customFormat="1">
      <c r="B81" s="5">
        <f t="shared" si="3"/>
        <v>14</v>
      </c>
      <c r="C81" s="2"/>
      <c r="D81" s="3" t="s">
        <v>18</v>
      </c>
      <c r="E81" s="3" t="s">
        <v>150</v>
      </c>
      <c r="F81" s="3" t="s">
        <v>29</v>
      </c>
      <c r="G81" s="3"/>
      <c r="H81" s="16"/>
      <c r="I81" s="16"/>
      <c r="J81" s="16"/>
      <c r="K81" s="86" t="s">
        <v>379</v>
      </c>
      <c r="L81" s="87"/>
      <c r="M81" s="87"/>
      <c r="N81" s="87"/>
      <c r="O81" s="87"/>
      <c r="P81" s="87"/>
      <c r="Q81" s="87"/>
      <c r="R81" s="87"/>
      <c r="S81" s="88"/>
      <c r="T81" s="26">
        <v>9</v>
      </c>
      <c r="U81" s="60"/>
    </row>
    <row r="82" spans="1:21" s="44" customFormat="1">
      <c r="B82" s="5">
        <f t="shared" si="3"/>
        <v>15</v>
      </c>
      <c r="C82" s="2"/>
      <c r="D82" s="3" t="s">
        <v>18</v>
      </c>
      <c r="E82" s="3" t="s">
        <v>153</v>
      </c>
      <c r="F82" s="3" t="s">
        <v>29</v>
      </c>
      <c r="G82" s="2"/>
      <c r="H82" s="16"/>
      <c r="I82" s="16"/>
      <c r="J82" s="16"/>
      <c r="K82" s="86" t="s">
        <v>380</v>
      </c>
      <c r="L82" s="87"/>
      <c r="M82" s="87"/>
      <c r="N82" s="87"/>
      <c r="O82" s="87"/>
      <c r="P82" s="87"/>
      <c r="Q82" s="87"/>
      <c r="R82" s="87"/>
      <c r="S82" s="88"/>
      <c r="T82" s="26">
        <v>9</v>
      </c>
      <c r="U82" s="60"/>
    </row>
    <row r="83" spans="1:21" s="44" customFormat="1">
      <c r="B83" s="5">
        <f t="shared" si="3"/>
        <v>16</v>
      </c>
      <c r="C83" s="2"/>
      <c r="D83" s="3" t="s">
        <v>18</v>
      </c>
      <c r="E83" s="3" t="s">
        <v>384</v>
      </c>
      <c r="F83" s="3" t="s">
        <v>29</v>
      </c>
      <c r="G83" s="3"/>
      <c r="H83" s="16"/>
      <c r="I83" s="16"/>
      <c r="J83" s="16"/>
      <c r="K83" s="86" t="s">
        <v>381</v>
      </c>
      <c r="L83" s="87"/>
      <c r="M83" s="87"/>
      <c r="N83" s="87"/>
      <c r="O83" s="87"/>
      <c r="P83" s="87"/>
      <c r="Q83" s="87"/>
      <c r="R83" s="87"/>
      <c r="S83" s="88"/>
      <c r="T83" s="26">
        <v>9</v>
      </c>
      <c r="U83" s="60"/>
    </row>
    <row r="84" spans="1:21" s="44" customFormat="1">
      <c r="B84" s="5">
        <f t="shared" si="3"/>
        <v>17</v>
      </c>
      <c r="C84" s="2"/>
      <c r="D84" s="3" t="s">
        <v>18</v>
      </c>
      <c r="E84" s="3" t="s">
        <v>386</v>
      </c>
      <c r="F84" s="3" t="s">
        <v>382</v>
      </c>
      <c r="G84" s="3"/>
      <c r="H84" s="16"/>
      <c r="I84" s="16"/>
      <c r="J84" s="16"/>
      <c r="K84" s="16"/>
      <c r="L84" s="16"/>
      <c r="M84" s="86" t="s">
        <v>383</v>
      </c>
      <c r="N84" s="87"/>
      <c r="O84" s="87"/>
      <c r="P84" s="87"/>
      <c r="Q84" s="87"/>
      <c r="R84" s="87"/>
      <c r="S84" s="88"/>
      <c r="T84" s="26">
        <v>7</v>
      </c>
      <c r="U84" s="60"/>
    </row>
    <row r="85" spans="1:21" s="44" customFormat="1">
      <c r="B85" s="5">
        <f t="shared" si="3"/>
        <v>18</v>
      </c>
      <c r="C85" s="2"/>
      <c r="D85" s="3" t="s">
        <v>18</v>
      </c>
      <c r="E85" s="3" t="s">
        <v>389</v>
      </c>
      <c r="F85" s="3" t="s">
        <v>382</v>
      </c>
      <c r="G85" s="3"/>
      <c r="H85" s="16"/>
      <c r="I85" s="16"/>
      <c r="J85" s="16"/>
      <c r="K85" s="16"/>
      <c r="L85" s="16"/>
      <c r="M85" s="86" t="s">
        <v>385</v>
      </c>
      <c r="N85" s="87"/>
      <c r="O85" s="87"/>
      <c r="P85" s="87"/>
      <c r="Q85" s="87"/>
      <c r="R85" s="87"/>
      <c r="S85" s="88"/>
      <c r="T85" s="26">
        <v>7</v>
      </c>
      <c r="U85" s="60"/>
    </row>
    <row r="86" spans="1:21" s="44" customFormat="1">
      <c r="B86" s="5">
        <f t="shared" si="3"/>
        <v>19</v>
      </c>
      <c r="C86" s="2"/>
      <c r="D86" s="3" t="s">
        <v>18</v>
      </c>
      <c r="E86" s="3" t="s">
        <v>392</v>
      </c>
      <c r="F86" s="3" t="s">
        <v>387</v>
      </c>
      <c r="G86" s="3"/>
      <c r="H86" s="16"/>
      <c r="I86" s="16"/>
      <c r="J86" s="16"/>
      <c r="K86" s="16"/>
      <c r="L86" s="16"/>
      <c r="M86" s="86" t="s">
        <v>388</v>
      </c>
      <c r="N86" s="87"/>
      <c r="O86" s="87"/>
      <c r="P86" s="87"/>
      <c r="Q86" s="87"/>
      <c r="R86" s="87"/>
      <c r="S86" s="88"/>
      <c r="T86" s="26">
        <v>7</v>
      </c>
      <c r="U86" s="60"/>
    </row>
    <row r="87" spans="1:21" s="44" customFormat="1">
      <c r="B87" s="5">
        <f t="shared" si="3"/>
        <v>20</v>
      </c>
      <c r="C87" s="2"/>
      <c r="D87" s="3" t="s">
        <v>18</v>
      </c>
      <c r="E87" s="3" t="s">
        <v>394</v>
      </c>
      <c r="F87" s="3" t="s">
        <v>387</v>
      </c>
      <c r="G87" s="3"/>
      <c r="H87" s="16"/>
      <c r="I87" s="16"/>
      <c r="J87" s="16"/>
      <c r="K87" s="16"/>
      <c r="L87" s="16"/>
      <c r="M87" s="86" t="s">
        <v>390</v>
      </c>
      <c r="N87" s="87"/>
      <c r="O87" s="87"/>
      <c r="P87" s="87"/>
      <c r="Q87" s="87"/>
      <c r="R87" s="87"/>
      <c r="S87" s="88"/>
      <c r="T87" s="26">
        <v>7</v>
      </c>
      <c r="U87" s="60"/>
    </row>
    <row r="88" spans="1:21" s="44" customFormat="1">
      <c r="A88" s="44" t="s">
        <v>391</v>
      </c>
      <c r="B88" s="5">
        <f t="shared" si="3"/>
        <v>21</v>
      </c>
      <c r="C88" s="2"/>
      <c r="D88" s="3" t="s">
        <v>18</v>
      </c>
      <c r="E88" s="3" t="s">
        <v>396</v>
      </c>
      <c r="F88" s="3" t="s">
        <v>387</v>
      </c>
      <c r="G88" s="3"/>
      <c r="H88" s="16"/>
      <c r="I88" s="16"/>
      <c r="J88" s="16"/>
      <c r="K88" s="16"/>
      <c r="L88" s="16"/>
      <c r="M88" s="86" t="s">
        <v>393</v>
      </c>
      <c r="N88" s="87"/>
      <c r="O88" s="87"/>
      <c r="P88" s="87"/>
      <c r="Q88" s="87"/>
      <c r="R88" s="87"/>
      <c r="S88" s="88"/>
      <c r="T88" s="26">
        <v>7</v>
      </c>
      <c r="U88" s="60"/>
    </row>
    <row r="89" spans="1:21" s="44" customFormat="1">
      <c r="B89" s="5">
        <f t="shared" si="3"/>
        <v>22</v>
      </c>
      <c r="C89" s="2"/>
      <c r="D89" s="3" t="s">
        <v>18</v>
      </c>
      <c r="E89" s="3" t="s">
        <v>398</v>
      </c>
      <c r="F89" s="3" t="s">
        <v>387</v>
      </c>
      <c r="G89" s="3"/>
      <c r="H89" s="16"/>
      <c r="I89" s="16"/>
      <c r="J89" s="16"/>
      <c r="K89" s="16"/>
      <c r="L89" s="16"/>
      <c r="M89" s="86" t="s">
        <v>395</v>
      </c>
      <c r="N89" s="87"/>
      <c r="O89" s="87"/>
      <c r="P89" s="87"/>
      <c r="Q89" s="87"/>
      <c r="R89" s="87"/>
      <c r="S89" s="88"/>
      <c r="T89" s="26">
        <v>7</v>
      </c>
      <c r="U89" s="60"/>
    </row>
    <row r="90" spans="1:21" s="44" customFormat="1">
      <c r="B90" s="5">
        <f t="shared" si="3"/>
        <v>23</v>
      </c>
      <c r="C90" s="2"/>
      <c r="D90" s="3" t="s">
        <v>18</v>
      </c>
      <c r="E90" s="3" t="s">
        <v>196</v>
      </c>
      <c r="F90" s="3" t="s">
        <v>387</v>
      </c>
      <c r="G90" s="3"/>
      <c r="H90" s="16"/>
      <c r="I90" s="16"/>
      <c r="J90" s="16"/>
      <c r="K90" s="16"/>
      <c r="L90" s="16"/>
      <c r="M90" s="86" t="s">
        <v>397</v>
      </c>
      <c r="N90" s="87"/>
      <c r="O90" s="87"/>
      <c r="P90" s="87"/>
      <c r="Q90" s="87"/>
      <c r="R90" s="87"/>
      <c r="S90" s="88"/>
      <c r="T90" s="26">
        <v>7</v>
      </c>
      <c r="U90" s="60"/>
    </row>
    <row r="91" spans="1:21" s="44" customFormat="1">
      <c r="B91" s="5">
        <f t="shared" si="3"/>
        <v>24</v>
      </c>
      <c r="C91" s="2"/>
      <c r="D91" s="3" t="s">
        <v>18</v>
      </c>
      <c r="E91" s="3" t="s">
        <v>211</v>
      </c>
      <c r="F91" s="3" t="s">
        <v>387</v>
      </c>
      <c r="G91" s="3"/>
      <c r="H91" s="16"/>
      <c r="I91" s="16"/>
      <c r="J91" s="16"/>
      <c r="K91" s="16"/>
      <c r="L91" s="16"/>
      <c r="M91" s="86" t="s">
        <v>399</v>
      </c>
      <c r="N91" s="87"/>
      <c r="O91" s="87"/>
      <c r="P91" s="87"/>
      <c r="Q91" s="87"/>
      <c r="R91" s="87"/>
      <c r="S91" s="88"/>
      <c r="T91" s="26">
        <v>7</v>
      </c>
      <c r="U91" s="60"/>
    </row>
    <row r="92" spans="1:21">
      <c r="B92" s="5">
        <f t="shared" si="3"/>
        <v>25</v>
      </c>
      <c r="D92" s="3" t="s">
        <v>18</v>
      </c>
      <c r="E92" s="3" t="s">
        <v>218</v>
      </c>
      <c r="F92" s="3" t="s">
        <v>387</v>
      </c>
      <c r="H92" s="16"/>
      <c r="I92" s="16"/>
      <c r="J92" s="16"/>
      <c r="K92" s="16"/>
      <c r="L92" s="16"/>
      <c r="M92" s="86" t="s">
        <v>400</v>
      </c>
      <c r="N92" s="87"/>
      <c r="O92" s="87"/>
      <c r="P92" s="87"/>
      <c r="Q92" s="87"/>
      <c r="R92" s="87"/>
      <c r="S92" s="88"/>
      <c r="T92" s="26">
        <v>7</v>
      </c>
    </row>
    <row r="93" spans="1:21">
      <c r="B93" s="5">
        <f t="shared" si="3"/>
        <v>26</v>
      </c>
      <c r="D93" s="3" t="s">
        <v>18</v>
      </c>
      <c r="E93" s="3" t="s">
        <v>222</v>
      </c>
      <c r="F93" s="3" t="s">
        <v>387</v>
      </c>
      <c r="H93" s="16"/>
      <c r="I93" s="16"/>
      <c r="J93" s="16"/>
      <c r="K93" s="16"/>
      <c r="L93" s="16"/>
      <c r="M93" s="86" t="s">
        <v>401</v>
      </c>
      <c r="N93" s="87"/>
      <c r="O93" s="87"/>
      <c r="P93" s="87"/>
      <c r="Q93" s="87"/>
      <c r="R93" s="87"/>
      <c r="S93" s="88"/>
      <c r="T93" s="26">
        <v>7</v>
      </c>
    </row>
    <row r="94" spans="1:21">
      <c r="B94" s="5">
        <f t="shared" si="3"/>
        <v>27</v>
      </c>
      <c r="D94" s="3" t="s">
        <v>18</v>
      </c>
      <c r="E94" s="3" t="s">
        <v>232</v>
      </c>
      <c r="F94" s="3" t="s">
        <v>387</v>
      </c>
      <c r="H94" s="16"/>
      <c r="I94" s="16"/>
      <c r="J94" s="16"/>
      <c r="K94" s="16"/>
      <c r="L94" s="16"/>
      <c r="M94" s="86" t="s">
        <v>402</v>
      </c>
      <c r="N94" s="87"/>
      <c r="O94" s="87"/>
      <c r="P94" s="87"/>
      <c r="Q94" s="87"/>
      <c r="R94" s="87"/>
      <c r="S94" s="88"/>
      <c r="T94" s="26">
        <v>7</v>
      </c>
      <c r="U94" s="61"/>
    </row>
    <row r="95" spans="1:21">
      <c r="B95" s="5">
        <f t="shared" si="3"/>
        <v>28</v>
      </c>
      <c r="D95" s="3" t="s">
        <v>18</v>
      </c>
      <c r="E95" s="3" t="s">
        <v>238</v>
      </c>
      <c r="F95" s="3" t="s">
        <v>387</v>
      </c>
      <c r="H95" s="16"/>
      <c r="I95" s="16"/>
      <c r="J95" s="16"/>
      <c r="K95" s="16"/>
      <c r="L95" s="16"/>
      <c r="M95" s="86" t="s">
        <v>403</v>
      </c>
      <c r="N95" s="87"/>
      <c r="O95" s="87"/>
      <c r="P95" s="87"/>
      <c r="Q95" s="87"/>
      <c r="R95" s="87"/>
      <c r="S95" s="88"/>
      <c r="T95" s="26">
        <v>7</v>
      </c>
      <c r="U95" s="61"/>
    </row>
    <row r="96" spans="1:21">
      <c r="B96" s="5">
        <f t="shared" si="3"/>
        <v>29</v>
      </c>
      <c r="C96" s="2" t="s">
        <v>442</v>
      </c>
      <c r="D96" s="3" t="s">
        <v>18</v>
      </c>
      <c r="E96" s="3" t="s">
        <v>243</v>
      </c>
      <c r="F96" s="3" t="s">
        <v>29</v>
      </c>
      <c r="H96" s="16"/>
      <c r="I96" s="16"/>
      <c r="J96" s="16"/>
      <c r="K96" s="16"/>
      <c r="L96" s="86" t="s">
        <v>443</v>
      </c>
      <c r="M96" s="87"/>
      <c r="N96" s="87"/>
      <c r="O96" s="87"/>
      <c r="P96" s="87"/>
      <c r="Q96" s="87"/>
      <c r="R96" s="87"/>
      <c r="S96" s="88"/>
      <c r="T96" s="26">
        <v>8</v>
      </c>
    </row>
    <row r="97" spans="1:21" s="4" customFormat="1">
      <c r="A97" s="1"/>
      <c r="B97" s="5">
        <f t="shared" si="3"/>
        <v>30</v>
      </c>
      <c r="C97" s="2" t="s">
        <v>444</v>
      </c>
      <c r="D97" s="52" t="s">
        <v>18</v>
      </c>
      <c r="E97" s="52" t="s">
        <v>247</v>
      </c>
      <c r="F97" s="52" t="s">
        <v>29</v>
      </c>
      <c r="G97" s="52"/>
      <c r="H97" s="89" t="s">
        <v>405</v>
      </c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26"/>
      <c r="U97" s="58"/>
    </row>
    <row r="98" spans="1:21">
      <c r="T98" s="26">
        <f>SUM(T66:T97)</f>
        <v>255</v>
      </c>
    </row>
  </sheetData>
  <mergeCells count="105">
    <mergeCell ref="M94:S94"/>
    <mergeCell ref="M95:S95"/>
    <mergeCell ref="L96:S96"/>
    <mergeCell ref="H97:S97"/>
    <mergeCell ref="M88:S88"/>
    <mergeCell ref="M89:S89"/>
    <mergeCell ref="M90:S90"/>
    <mergeCell ref="M91:S91"/>
    <mergeCell ref="M92:S92"/>
    <mergeCell ref="M93:S93"/>
    <mergeCell ref="K82:S82"/>
    <mergeCell ref="K83:S83"/>
    <mergeCell ref="M84:S84"/>
    <mergeCell ref="M85:S85"/>
    <mergeCell ref="M86:S86"/>
    <mergeCell ref="M87:S87"/>
    <mergeCell ref="K76:S76"/>
    <mergeCell ref="K77:S77"/>
    <mergeCell ref="K78:S78"/>
    <mergeCell ref="K79:S79"/>
    <mergeCell ref="K80:S80"/>
    <mergeCell ref="K81:S81"/>
    <mergeCell ref="L71:O71"/>
    <mergeCell ref="P71:S71"/>
    <mergeCell ref="K72:S72"/>
    <mergeCell ref="K73:S73"/>
    <mergeCell ref="K74:S74"/>
    <mergeCell ref="K75:S75"/>
    <mergeCell ref="J68:N68"/>
    <mergeCell ref="O68:S68"/>
    <mergeCell ref="H69:K69"/>
    <mergeCell ref="O69:S69"/>
    <mergeCell ref="H70:L70"/>
    <mergeCell ref="O70:S70"/>
    <mergeCell ref="H58:S58"/>
    <mergeCell ref="N59:O59"/>
    <mergeCell ref="P59:S59"/>
    <mergeCell ref="H61:S61"/>
    <mergeCell ref="L66:S66"/>
    <mergeCell ref="J67:N67"/>
    <mergeCell ref="O67:S67"/>
    <mergeCell ref="H50:S50"/>
    <mergeCell ref="H51:S51"/>
    <mergeCell ref="I55:K55"/>
    <mergeCell ref="L55:M55"/>
    <mergeCell ref="O56:S56"/>
    <mergeCell ref="P57:S57"/>
    <mergeCell ref="H45:S45"/>
    <mergeCell ref="N46:O46"/>
    <mergeCell ref="P46:S46"/>
    <mergeCell ref="M47:O47"/>
    <mergeCell ref="Q47:S47"/>
    <mergeCell ref="H49:S49"/>
    <mergeCell ref="H40:S40"/>
    <mergeCell ref="H41:M41"/>
    <mergeCell ref="H44:K44"/>
    <mergeCell ref="N44:O44"/>
    <mergeCell ref="P44:Q44"/>
    <mergeCell ref="R44:S44"/>
    <mergeCell ref="J33:S33"/>
    <mergeCell ref="J34:S34"/>
    <mergeCell ref="J35:S35"/>
    <mergeCell ref="I36:S36"/>
    <mergeCell ref="H37:S37"/>
    <mergeCell ref="I38:J38"/>
    <mergeCell ref="L38:S38"/>
    <mergeCell ref="J27:K27"/>
    <mergeCell ref="J29:N29"/>
    <mergeCell ref="O29:S29"/>
    <mergeCell ref="H31:M31"/>
    <mergeCell ref="N31:S31"/>
    <mergeCell ref="K32:S32"/>
    <mergeCell ref="J24:N24"/>
    <mergeCell ref="O24:S24"/>
    <mergeCell ref="J25:N25"/>
    <mergeCell ref="O25:S25"/>
    <mergeCell ref="J26:N26"/>
    <mergeCell ref="O26:S26"/>
    <mergeCell ref="J21:N21"/>
    <mergeCell ref="O21:S21"/>
    <mergeCell ref="J22:N22"/>
    <mergeCell ref="O22:S22"/>
    <mergeCell ref="J23:N23"/>
    <mergeCell ref="O23:S23"/>
    <mergeCell ref="H17:S17"/>
    <mergeCell ref="H18:S18"/>
    <mergeCell ref="H19:S19"/>
    <mergeCell ref="I9:J9"/>
    <mergeCell ref="K9:L9"/>
    <mergeCell ref="K10:M10"/>
    <mergeCell ref="N10:P10"/>
    <mergeCell ref="Q10:S10"/>
    <mergeCell ref="K11:M11"/>
    <mergeCell ref="N11:P11"/>
    <mergeCell ref="Q11:S11"/>
    <mergeCell ref="O3:S3"/>
    <mergeCell ref="H4:M4"/>
    <mergeCell ref="N5:S5"/>
    <mergeCell ref="H6:K6"/>
    <mergeCell ref="L6:S6"/>
    <mergeCell ref="H7:O7"/>
    <mergeCell ref="P7:S7"/>
    <mergeCell ref="H16:K16"/>
    <mergeCell ref="L16:O16"/>
    <mergeCell ref="P16:S16"/>
  </mergeCells>
  <phoneticPr fontId="2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현정재( HYUN Jeongjae ) 전원구동반도체팀 / 1628630@mobis.com / 본 문서는 현대모비스의 대외비 정보자산이므로 무단 전재 및 복제할 수 없으며, 위반 시 당사 사규 및 관련 법규에 의해 제재될 수 있습니다. </oddFooter>
  </headerFooter>
  <legacy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1B4B-C727-4004-A942-980078EF79C8}">
  <dimension ref="B2:F10"/>
  <sheetViews>
    <sheetView tabSelected="1" workbookViewId="0"/>
  </sheetViews>
  <sheetFormatPr defaultRowHeight="17"/>
  <sheetData>
    <row r="2" spans="2:6">
      <c r="B2" t="s">
        <v>472</v>
      </c>
      <c r="C2">
        <v>60</v>
      </c>
      <c r="D2" t="s">
        <v>473</v>
      </c>
    </row>
    <row r="3" spans="2:6">
      <c r="B3" t="s">
        <v>474</v>
      </c>
      <c r="C3">
        <v>32</v>
      </c>
      <c r="D3" t="s">
        <v>475</v>
      </c>
    </row>
    <row r="4" spans="2:6">
      <c r="B4" t="s">
        <v>480</v>
      </c>
      <c r="C4">
        <f>1000000/C2/C3</f>
        <v>520.83333333333337</v>
      </c>
    </row>
    <row r="7" spans="2:6">
      <c r="B7" t="s">
        <v>476</v>
      </c>
      <c r="C7">
        <f>10+245.41</f>
        <v>255.41</v>
      </c>
      <c r="D7" t="s">
        <v>477</v>
      </c>
      <c r="E7">
        <f>1000000/C7</f>
        <v>3915.2734818527074</v>
      </c>
      <c r="F7" t="s">
        <v>473</v>
      </c>
    </row>
    <row r="8" spans="2:6">
      <c r="B8" t="s">
        <v>478</v>
      </c>
      <c r="C8">
        <f>10+152.15</f>
        <v>162.15</v>
      </c>
      <c r="D8" t="s">
        <v>477</v>
      </c>
      <c r="E8">
        <f t="shared" ref="E8:E9" si="0">1000000/C8</f>
        <v>6167.1292013567681</v>
      </c>
      <c r="F8" t="s">
        <v>473</v>
      </c>
    </row>
    <row r="9" spans="2:6">
      <c r="B9" t="s">
        <v>479</v>
      </c>
      <c r="C9">
        <f>10+93.25</f>
        <v>103.25</v>
      </c>
      <c r="D9" t="s">
        <v>477</v>
      </c>
      <c r="E9">
        <f t="shared" si="0"/>
        <v>9685.230024213075</v>
      </c>
      <c r="F9" t="s">
        <v>473</v>
      </c>
    </row>
    <row r="10" spans="2:6">
      <c r="C10">
        <f>SUM(C7:C9)</f>
        <v>520.80999999999995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b0edd0-9f28-4056-b7a7-128691df75fa">
      <Terms xmlns="http://schemas.microsoft.com/office/infopath/2007/PartnerControls"/>
    </lcf76f155ced4ddcb4097134ff3c332f>
    <TaxCatchAll xmlns="3fdc42ba-1aa3-4966-a9b1-c4c8f01b5ff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DBF66C731B6F34ABEFE5E14910FE0A4" ma:contentTypeVersion="11" ma:contentTypeDescription="새 문서를 만듭니다." ma:contentTypeScope="" ma:versionID="814ccbb4168541b44c3e07025c0fce35">
  <xsd:schema xmlns:xsd="http://www.w3.org/2001/XMLSchema" xmlns:xs="http://www.w3.org/2001/XMLSchema" xmlns:p="http://schemas.microsoft.com/office/2006/metadata/properties" xmlns:ns2="43b0edd0-9f28-4056-b7a7-128691df75fa" xmlns:ns3="3fdc42ba-1aa3-4966-a9b1-c4c8f01b5ffd" targetNamespace="http://schemas.microsoft.com/office/2006/metadata/properties" ma:root="true" ma:fieldsID="67620d9df9833cb4a6a86fb646ff4edb" ns2:_="" ns3:_="">
    <xsd:import namespace="43b0edd0-9f28-4056-b7a7-128691df75fa"/>
    <xsd:import namespace="3fdc42ba-1aa3-4966-a9b1-c4c8f01b5f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0edd0-9f28-4056-b7a7-128691df75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98b4ddb5-9792-4103-acad-6387fb66c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dc42ba-1aa3-4966-a9b1-c4c8f01b5ff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4498261-f2b2-4ff5-8936-55be04d01e9f}" ma:internalName="TaxCatchAll" ma:showField="CatchAllData" ma:web="3fdc42ba-1aa3-4966-a9b1-c4c8f01b5f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73FFE-0CE8-4E4A-B0AA-3D610D426E5A}">
  <ds:schemaRefs>
    <ds:schemaRef ds:uri="http://schemas.microsoft.com/office/2006/metadata/properties"/>
    <ds:schemaRef ds:uri="http://schemas.microsoft.com/office/infopath/2007/PartnerControls"/>
    <ds:schemaRef ds:uri="43b0edd0-9f28-4056-b7a7-128691df75fa"/>
    <ds:schemaRef ds:uri="3fdc42ba-1aa3-4966-a9b1-c4c8f01b5ffd"/>
  </ds:schemaRefs>
</ds:datastoreItem>
</file>

<file path=customXml/itemProps2.xml><?xml version="1.0" encoding="utf-8"?>
<ds:datastoreItem xmlns:ds="http://schemas.openxmlformats.org/officeDocument/2006/customXml" ds:itemID="{077FC734-06DA-4173-8B08-A0D028C8C6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b0edd0-9f28-4056-b7a7-128691df75fa"/>
    <ds:schemaRef ds:uri="3fdc42ba-1aa3-4966-a9b1-c4c8f01b5f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368274-DF6F-4B55-801C-1C1CF120E94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6d9a7a2-a2c9-479c-a560-d79de4b6971b}" enabled="1" method="Privileged" siteId="{7cf932c0-bced-4490-b11f-48d23b1fe0d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xd12r_reg_mp1</vt:lpstr>
      <vt:lpstr>xd12r_reg_mp1_0424</vt:lpstr>
      <vt:lpstr>ID601_regmap_0512</vt:lpstr>
      <vt:lpstr>ID601_regmap_0602</vt:lpstr>
      <vt:lpstr>ID601_regmap_0609</vt:lpstr>
      <vt:lpstr>ID601_regmap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현정재( HYUN Jeongjae ) 전원구동반도체팀</dc:creator>
  <cp:keywords/>
  <dc:description/>
  <cp:lastModifiedBy>이 준영</cp:lastModifiedBy>
  <cp:revision/>
  <dcterms:created xsi:type="dcterms:W3CDTF">2026-04-24T07:50:08Z</dcterms:created>
  <dcterms:modified xsi:type="dcterms:W3CDTF">2026-10-27T06:32:40Z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0x010100FDBF66C731B6F34ABEFE5E14910FE0A4</vt:lpwstr>
  </property>
  <property fmtid="{D5CDD505-2E9C-101B-9397-08002B2CF9AE}" pid="3" name="MediaServiceImageTags">
    <vt:lpwstr/>
  </property>
</Properties>
</file>