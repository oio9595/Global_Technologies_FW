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송현일1\Documents\PROJECT\BLU_XDXC\ID601\DATA_SHEET\"/>
    </mc:Choice>
  </mc:AlternateContent>
  <xr:revisionPtr revIDLastSave="0" documentId="13_ncr:1_{CD265D1D-E743-4122-9E70-EC1144D68622}" xr6:coauthVersionLast="47" xr6:coauthVersionMax="47" xr10:uidLastSave="{00000000-0000-0000-0000-000000000000}"/>
  <bookViews>
    <workbookView xWindow="1940" yWindow="2080" windowWidth="32080" windowHeight="18520" activeTab="3" xr2:uid="{00000000-000D-0000-FFFF-FFFF00000000}"/>
  </bookViews>
  <sheets>
    <sheet name="Register_Table" sheetId="2" r:id="rId1"/>
    <sheet name="Register_(mode)" sheetId="3" r:id="rId2"/>
    <sheet name="Test Mux Table" sheetId="5" r:id="rId3"/>
    <sheet name="Sim_Data" sheetId="7" r:id="rId4"/>
    <sheet name="Board" sheetId="6" r:id="rId5"/>
    <sheet name="Freq_calculator" sheetId="8" r:id="rId6"/>
  </sheets>
  <definedNames>
    <definedName name="__DemandLoad">TRUE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csDesignMode">1</definedName>
    <definedName name="Folgeseiten">#REF!</definedName>
    <definedName name="GAMMA시스템">#REF!</definedName>
    <definedName name="PostPBA">#REF!</definedName>
    <definedName name="SMD10대표준화">#REF!</definedName>
    <definedName name="SMDPROCESS점검">#REF!</definedName>
    <definedName name="VIP지시사항">#REF!</definedName>
    <definedName name="미세관리20선">#REF!</definedName>
    <definedName name="미세관리20선2">#REF!</definedName>
    <definedName name="어스링">#REF!</definedName>
    <definedName name="어스링1">#REF!</definedName>
    <definedName name="전사BP사례">#REF!</definedName>
    <definedName name="접지저항">#REF!</definedName>
    <definedName name="정전기관리일반">#REF!</definedName>
    <definedName name="제전복">#REF!</definedName>
    <definedName name="환경관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8" l="1"/>
  <c r="F29" i="8" s="1"/>
  <c r="C28" i="8"/>
  <c r="C30" i="8" s="1"/>
  <c r="C18" i="8"/>
  <c r="C20" i="8" s="1"/>
  <c r="C8" i="8"/>
  <c r="C10" i="8" s="1"/>
  <c r="P29" i="3" a="1"/>
  <c r="P29" i="3" s="1"/>
  <c r="Q29" i="3" s="1"/>
  <c r="P16" i="3" a="1"/>
  <c r="P16" i="3" s="1"/>
  <c r="Q16" i="3" s="1"/>
  <c r="F11" i="8" l="1"/>
  <c r="F10" i="8"/>
  <c r="F21" i="8"/>
  <c r="F20" i="8"/>
  <c r="F31" i="8"/>
  <c r="F30" i="8"/>
  <c r="C9" i="8"/>
  <c r="F9" i="8" s="1"/>
  <c r="C19" i="8"/>
  <c r="F19" i="8" s="1"/>
  <c r="AF13" i="7"/>
  <c r="AE13" i="7"/>
  <c r="AD13" i="7"/>
  <c r="AC13" i="7"/>
  <c r="P38" i="3" a="1"/>
  <c r="P38" i="3" s="1"/>
  <c r="Q38" i="3" s="1"/>
  <c r="P36" i="3" a="1"/>
  <c r="P36" i="3" s="1"/>
  <c r="Q36" i="3" s="1"/>
  <c r="P34" i="3" a="1"/>
  <c r="P34" i="3" s="1"/>
  <c r="Q34" i="3" s="1"/>
  <c r="P27" i="3" a="1"/>
  <c r="P27" i="3" s="1"/>
  <c r="Q27" i="3" s="1"/>
  <c r="P4" i="3" a="1"/>
  <c r="P4" i="3" s="1"/>
  <c r="Q4" i="3" s="1"/>
  <c r="P6" i="3" a="1"/>
  <c r="P6" i="3" s="1"/>
  <c r="Q6" i="3" s="1"/>
  <c r="P8" i="3" a="1"/>
  <c r="P8" i="3" s="1"/>
  <c r="Q8" i="3" s="1"/>
  <c r="P10" i="3" a="1"/>
  <c r="P10" i="3" s="1"/>
  <c r="Q10" i="3" s="1"/>
  <c r="P12" i="3" a="1"/>
  <c r="P12" i="3"/>
  <c r="Q12" i="3" s="1"/>
  <c r="P14" i="3" a="1"/>
  <c r="P14" i="3" s="1"/>
  <c r="Q14" i="3" s="1"/>
  <c r="P21" i="3" a="1"/>
  <c r="P21" i="3" s="1"/>
  <c r="Q21" i="3" s="1"/>
  <c r="P23" i="3" a="1"/>
  <c r="P23" i="3" s="1"/>
  <c r="Q23" i="3" s="1"/>
  <c r="P25" i="3" a="1"/>
  <c r="P25" i="3" s="1"/>
  <c r="Q25" i="3" s="1"/>
  <c r="P3" i="2" a="1"/>
  <c r="P3" i="2"/>
  <c r="Q3" i="2"/>
  <c r="P5" i="2" a="1"/>
  <c r="P5" i="2"/>
  <c r="Q5" i="2"/>
  <c r="P7" i="2" a="1"/>
  <c r="P7" i="2"/>
  <c r="Q7" i="2"/>
  <c r="P9" i="2" a="1"/>
  <c r="P9" i="2"/>
  <c r="Q9" i="2" s="1"/>
  <c r="P11" i="2" a="1"/>
  <c r="P11" i="2" s="1"/>
  <c r="Q11" i="2" s="1"/>
  <c r="P13" i="2" a="1"/>
  <c r="P13" i="2"/>
  <c r="Q13" i="2" s="1"/>
  <c r="P15" i="2" a="1"/>
  <c r="P15" i="2" s="1"/>
  <c r="Q15" i="2" s="1"/>
  <c r="P17" i="2" a="1"/>
  <c r="P17" i="2"/>
  <c r="Q17" i="2"/>
  <c r="P19" i="2" a="1"/>
  <c r="P19" i="2"/>
  <c r="Q19" i="2"/>
  <c r="P21" i="2" a="1"/>
  <c r="P21" i="2"/>
  <c r="Q21" i="2"/>
  <c r="P23" i="2" a="1"/>
  <c r="P23" i="2"/>
  <c r="Q23" i="2"/>
  <c r="P25" i="2" a="1"/>
  <c r="P25" i="2"/>
  <c r="Q25" i="2" s="1"/>
  <c r="P27" i="2" a="1"/>
  <c r="P27" i="2" s="1"/>
  <c r="Q27" i="2" s="1"/>
  <c r="P29" i="2" a="1"/>
  <c r="P29" i="2"/>
  <c r="Q29" i="2"/>
  <c r="P31" i="2" a="1"/>
  <c r="P31" i="2"/>
  <c r="Q31" i="2"/>
  <c r="P33" i="2" a="1"/>
  <c r="P33" i="2"/>
  <c r="Q33" i="2"/>
  <c r="P35" i="2" a="1"/>
  <c r="P35" i="2"/>
  <c r="Q35" i="2"/>
  <c r="P37" i="2" a="1"/>
  <c r="P37" i="2"/>
  <c r="Q37" i="2" s="1"/>
  <c r="P39" i="2" a="1"/>
  <c r="P39" i="2" s="1"/>
  <c r="Q39" i="2" s="1"/>
  <c r="P41" i="2" a="1"/>
  <c r="P41" i="2" s="1"/>
  <c r="Q41" i="2" s="1"/>
  <c r="P43" i="2" a="1"/>
  <c r="P43" i="2"/>
  <c r="Q43" i="2"/>
  <c r="P45" i="2" a="1"/>
  <c r="P45" i="2"/>
  <c r="Q45" i="2"/>
  <c r="P47" i="2" a="1"/>
  <c r="P47" i="2"/>
  <c r="Q47" i="2"/>
  <c r="P49" i="2" a="1"/>
  <c r="P49" i="2"/>
  <c r="Q49" i="2"/>
  <c r="P51" i="2" a="1"/>
  <c r="P51" i="2" s="1"/>
  <c r="Q51" i="2" s="1"/>
  <c r="P53" i="2" a="1"/>
  <c r="P53" i="2"/>
  <c r="Q53" i="2" s="1"/>
  <c r="P55" i="2" a="1"/>
  <c r="P55" i="2" s="1"/>
  <c r="Q55" i="2" s="1"/>
  <c r="P57" i="2" a="1"/>
  <c r="P57" i="2"/>
  <c r="Q57" i="2"/>
  <c r="P59" i="2" a="1"/>
  <c r="P59" i="2"/>
  <c r="Q59" i="2"/>
  <c r="P61" i="2" a="1"/>
  <c r="P61" i="2"/>
  <c r="Q61" i="2"/>
  <c r="P63" i="2" a="1"/>
  <c r="P63" i="2"/>
  <c r="Q63" i="2"/>
  <c r="P65" i="2" a="1"/>
  <c r="P65" i="2"/>
  <c r="Q65" i="2" s="1"/>
  <c r="P67" i="2" a="1"/>
  <c r="P67" i="2" s="1"/>
  <c r="Q67" i="2" s="1"/>
  <c r="P69" i="2" a="1"/>
  <c r="P69" i="2"/>
  <c r="Q69" i="2"/>
  <c r="P71" i="2" a="1"/>
  <c r="P71" i="2"/>
  <c r="Q71" i="2"/>
  <c r="P73" i="2" a="1"/>
  <c r="P73" i="2"/>
  <c r="Q73" i="2"/>
  <c r="P75" i="2" a="1"/>
  <c r="P75" i="2"/>
  <c r="Q75" i="2"/>
  <c r="P77" i="2" a="1"/>
  <c r="P77" i="2"/>
  <c r="Q77" i="2" s="1"/>
  <c r="P79" i="2" a="1"/>
  <c r="P79" i="2" s="1"/>
  <c r="Q79" i="2" s="1"/>
  <c r="P81" i="2" a="1"/>
  <c r="P81" i="2" s="1"/>
  <c r="Q81" i="2" s="1"/>
  <c r="P83" i="2" a="1"/>
  <c r="P83" i="2"/>
  <c r="Q83" i="2"/>
  <c r="P85" i="2" a="1"/>
  <c r="P85" i="2"/>
  <c r="Q85" i="2"/>
  <c r="P87" i="2" a="1"/>
  <c r="P87" i="2"/>
  <c r="Q87" i="2"/>
  <c r="P89" i="2" a="1"/>
  <c r="P89" i="2"/>
  <c r="Q89" i="2" s="1"/>
  <c r="P91" i="2" a="1"/>
  <c r="P91" i="2" s="1"/>
  <c r="Q91" i="2" s="1"/>
  <c r="P93" i="2" a="1"/>
  <c r="P93" i="2"/>
  <c r="Q93" i="2" s="1"/>
  <c r="P95" i="2" a="1"/>
  <c r="P95" i="2" s="1"/>
  <c r="Q95" i="2" s="1"/>
  <c r="P98" i="2" a="1"/>
  <c r="P98" i="2" s="1"/>
  <c r="Q98" i="2" s="1"/>
  <c r="P100" i="2" a="1"/>
  <c r="P100" i="2"/>
  <c r="Q100" i="2"/>
  <c r="P102" i="2" a="1"/>
  <c r="P102" i="2"/>
  <c r="Q102" i="2"/>
  <c r="P104" i="2" a="1"/>
  <c r="P104" i="2"/>
  <c r="Q104" i="2"/>
  <c r="P106" i="2" a="1"/>
  <c r="P106" i="2"/>
  <c r="Q106" i="2" s="1"/>
  <c r="P108" i="2" a="1"/>
  <c r="P108" i="2" s="1"/>
  <c r="Q108" i="2" s="1"/>
  <c r="P110" i="2" a="1"/>
  <c r="P110" i="2" s="1"/>
  <c r="Q110" i="2" s="1"/>
  <c r="P113" i="2" a="1"/>
  <c r="P113" i="2"/>
  <c r="Q113" i="2"/>
  <c r="P115" i="2" a="1"/>
  <c r="P115" i="2"/>
  <c r="Q115" i="2"/>
  <c r="P117" i="2" a="1"/>
  <c r="P117" i="2"/>
  <c r="Q117" i="2"/>
  <c r="P119" i="2" a="1"/>
  <c r="P119" i="2"/>
  <c r="Q119" i="2" s="1"/>
  <c r="P121" i="2" a="1"/>
  <c r="P121" i="2" s="1"/>
  <c r="Q121" i="2" s="1"/>
  <c r="P123" i="2" a="1"/>
  <c r="P123" i="2" s="1"/>
  <c r="Q123" i="2" s="1"/>
  <c r="P125" i="2" a="1"/>
  <c r="P125" i="2"/>
  <c r="Q125" i="2"/>
  <c r="P127" i="2" a="1"/>
  <c r="P127" i="2"/>
  <c r="Q127" i="2"/>
  <c r="P129" i="2" a="1"/>
  <c r="P129" i="2"/>
  <c r="Q129" i="2"/>
  <c r="P131" i="2" a="1"/>
  <c r="P131" i="2"/>
  <c r="Q131" i="2"/>
  <c r="P133" i="2" a="1"/>
  <c r="P133" i="2" s="1"/>
  <c r="Q133" i="2" s="1"/>
  <c r="P135" i="2" a="1"/>
  <c r="P135" i="2"/>
  <c r="Q135" i="2" s="1"/>
  <c r="P137" i="2" a="1"/>
  <c r="P137" i="2" s="1"/>
  <c r="Q137" i="2" s="1"/>
  <c r="P139" i="2" a="1"/>
  <c r="P139" i="2"/>
  <c r="Q139" i="2"/>
  <c r="P141" i="2" a="1"/>
  <c r="P141" i="2"/>
  <c r="Q141" i="2"/>
  <c r="P143" i="2" a="1"/>
  <c r="P143" i="2"/>
  <c r="Q143" i="2"/>
  <c r="P145" i="2" a="1"/>
  <c r="P145" i="2"/>
  <c r="Q145" i="2"/>
  <c r="P147" i="2" a="1"/>
  <c r="P147" i="2"/>
  <c r="Q147" i="2" s="1"/>
  <c r="P149" i="2" a="1"/>
  <c r="P149" i="2" s="1"/>
  <c r="Q149" i="2" s="1"/>
  <c r="P151" i="2" a="1"/>
  <c r="P151" i="2"/>
  <c r="Q151" i="2"/>
  <c r="P153" i="2" a="1"/>
  <c r="P153" i="2"/>
  <c r="Q153" i="2"/>
  <c r="P155" i="2" a="1"/>
  <c r="P155" i="2"/>
  <c r="Q155" i="2"/>
  <c r="P157" i="2" a="1"/>
  <c r="P157" i="2"/>
  <c r="Q157" i="2"/>
  <c r="P159" i="2" a="1"/>
  <c r="P159" i="2"/>
  <c r="Q159" i="2" s="1"/>
  <c r="P161" i="2" a="1"/>
  <c r="P161" i="2" s="1"/>
  <c r="Q161" i="2" s="1"/>
  <c r="P163" i="2" a="1"/>
  <c r="P163" i="2" s="1"/>
  <c r="Q163" i="2" s="1"/>
  <c r="P165" i="2" a="1"/>
  <c r="P165" i="2"/>
  <c r="Q165" i="2"/>
  <c r="P167" i="2" a="1"/>
  <c r="P167" i="2"/>
  <c r="Q167" i="2"/>
  <c r="P169" i="2" a="1"/>
  <c r="P169" i="2"/>
  <c r="Q169" i="2"/>
  <c r="P171" i="2" a="1"/>
  <c r="P171" i="2"/>
  <c r="Q17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tc={BCDE67D4-6E4B-4E4E-97C2-0DA889103730}</author>
    <author>tc={9884FD60-13A3-4488-83EC-B1D53F74D588}</author>
    <author>tc={631C2C6D-3128-49D8-A0D7-75AB7E42B908}</author>
    <author>tc={0B386130-2AF5-4F7B-95B6-4D0EDC0E6880}</author>
  </authors>
  <commentList>
    <comment ref="G4" authorId="0" shapeId="0" xr:uid="{BCDE67D4-6E4B-4E4E-97C2-0DA88910373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실제 하드웨어 에서는 해당 기능 삭제됨
(의미없는 Bit)</t>
      </text>
    </comment>
    <comment ref="D86" authorId="1" shapeId="0" xr:uid="{9884FD60-13A3-4488-83EC-B1D53F74D58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 : FLL Operation @ FLL_EN = 1
1 : Fixed Frequency @ FLL_EN = 1</t>
      </text>
    </comment>
    <comment ref="I99" authorId="2" shapeId="0" xr:uid="{631C2C6D-3128-49D8-A0D7-75AB7E42B90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TEST_EN:1 시에
LD_TYPE을 무시하고 12채널에
VREF, FB , SHORT 데이터를 입력
01 : R
10 : G
11 : B</t>
      </text>
    </comment>
    <comment ref="M99" authorId="3" shapeId="0" xr:uid="{0B386130-2AF5-4F7B-95B6-4D0EDC0E688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READ 동작 가능하려면 = 1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<sst xmlns="http://schemas.openxmlformats.org/spreadsheetml/2006/main" count="1134" uniqueCount="529">
  <si>
    <t>VERSION0 [7:0]</t>
    <phoneticPr fontId="6" type="noConversion"/>
  </si>
  <si>
    <t>x</t>
    <phoneticPr fontId="6" type="noConversion"/>
  </si>
  <si>
    <t>0x000</t>
    <phoneticPr fontId="6" type="noConversion"/>
  </si>
  <si>
    <t>0x1E</t>
    <phoneticPr fontId="6" type="noConversion"/>
  </si>
  <si>
    <t>GAIN_CH12 [6:0]</t>
    <phoneticPr fontId="6" type="noConversion"/>
  </si>
  <si>
    <t>0x040</t>
    <phoneticPr fontId="6" type="noConversion"/>
  </si>
  <si>
    <t>0x1D</t>
    <phoneticPr fontId="6" type="noConversion"/>
  </si>
  <si>
    <t>GAIN_CH11 [6:0]</t>
    <phoneticPr fontId="6" type="noConversion"/>
  </si>
  <si>
    <t>0x1C</t>
    <phoneticPr fontId="6" type="noConversion"/>
  </si>
  <si>
    <t>GAIN_CH10 [6:0]</t>
    <phoneticPr fontId="6" type="noConversion"/>
  </si>
  <si>
    <t>0x1B</t>
    <phoneticPr fontId="6" type="noConversion"/>
  </si>
  <si>
    <t>GAIN_CH9 [6:0]</t>
    <phoneticPr fontId="6" type="noConversion"/>
  </si>
  <si>
    <t>0x1A</t>
    <phoneticPr fontId="6" type="noConversion"/>
  </si>
  <si>
    <t>GAIN_CH8 [6:0]</t>
    <phoneticPr fontId="6" type="noConversion"/>
  </si>
  <si>
    <t>0x19</t>
    <phoneticPr fontId="6" type="noConversion"/>
  </si>
  <si>
    <t>GAIN_CH7 [6:0]</t>
    <phoneticPr fontId="6" type="noConversion"/>
  </si>
  <si>
    <t>0x18</t>
    <phoneticPr fontId="6" type="noConversion"/>
  </si>
  <si>
    <t>GAIN_CH6 [6:0]</t>
    <phoneticPr fontId="6" type="noConversion"/>
  </si>
  <si>
    <t>0x17</t>
    <phoneticPr fontId="6" type="noConversion"/>
  </si>
  <si>
    <t>GAIN_CH5 [6:0]</t>
    <phoneticPr fontId="6" type="noConversion"/>
  </si>
  <si>
    <t>0x16</t>
    <phoneticPr fontId="6" type="noConversion"/>
  </si>
  <si>
    <t>GAIN_CH4 [6:0]</t>
    <phoneticPr fontId="6" type="noConversion"/>
  </si>
  <si>
    <t>0x15</t>
    <phoneticPr fontId="6" type="noConversion"/>
  </si>
  <si>
    <t>GAIN_CH3 [6:0]</t>
    <phoneticPr fontId="6" type="noConversion"/>
  </si>
  <si>
    <t>0x14</t>
    <phoneticPr fontId="6" type="noConversion"/>
  </si>
  <si>
    <t>GAIN_CH2 [6:0]</t>
    <phoneticPr fontId="6" type="noConversion"/>
  </si>
  <si>
    <t>0x13</t>
    <phoneticPr fontId="6" type="noConversion"/>
  </si>
  <si>
    <t>GAIN_CH1 [6:0]</t>
    <phoneticPr fontId="6" type="noConversion"/>
  </si>
  <si>
    <t>0x12</t>
    <phoneticPr fontId="6" type="noConversion"/>
  </si>
  <si>
    <t>OFS_CH12 [8:0]</t>
    <phoneticPr fontId="6" type="noConversion"/>
  </si>
  <si>
    <t>0x11</t>
    <phoneticPr fontId="6" type="noConversion"/>
  </si>
  <si>
    <t>OFS_CH11 [8:0]</t>
    <phoneticPr fontId="6" type="noConversion"/>
  </si>
  <si>
    <t>0x10</t>
    <phoneticPr fontId="6" type="noConversion"/>
  </si>
  <si>
    <t>OFS_CH10 [8:0]</t>
    <phoneticPr fontId="6" type="noConversion"/>
  </si>
  <si>
    <t>0x0F</t>
    <phoneticPr fontId="6" type="noConversion"/>
  </si>
  <si>
    <t>OFS_CH9 [8:0]</t>
    <phoneticPr fontId="6" type="noConversion"/>
  </si>
  <si>
    <t>0x0E</t>
    <phoneticPr fontId="6" type="noConversion"/>
  </si>
  <si>
    <t>OFS_CH8 [8:0]</t>
    <phoneticPr fontId="6" type="noConversion"/>
  </si>
  <si>
    <t>0x0D</t>
    <phoneticPr fontId="6" type="noConversion"/>
  </si>
  <si>
    <t>OFS_CH7 [8:0]</t>
    <phoneticPr fontId="6" type="noConversion"/>
  </si>
  <si>
    <t>0x0C</t>
    <phoneticPr fontId="6" type="noConversion"/>
  </si>
  <si>
    <t>OFS_CH6 [8:0]</t>
    <phoneticPr fontId="6" type="noConversion"/>
  </si>
  <si>
    <t>0x0B</t>
    <phoneticPr fontId="6" type="noConversion"/>
  </si>
  <si>
    <t>OFS_CH5 [8:0]</t>
    <phoneticPr fontId="6" type="noConversion"/>
  </si>
  <si>
    <t>0x0A</t>
    <phoneticPr fontId="6" type="noConversion"/>
  </si>
  <si>
    <t>OFS_CH4 [8:0]</t>
    <phoneticPr fontId="6" type="noConversion"/>
  </si>
  <si>
    <t>0x09</t>
    <phoneticPr fontId="6" type="noConversion"/>
  </si>
  <si>
    <t>OFS_CH3 [8:0]</t>
    <phoneticPr fontId="6" type="noConversion"/>
  </si>
  <si>
    <t>0x08</t>
    <phoneticPr fontId="6" type="noConversion"/>
  </si>
  <si>
    <t>OFS_CH2 [8:0]</t>
    <phoneticPr fontId="6" type="noConversion"/>
  </si>
  <si>
    <t>0x07</t>
    <phoneticPr fontId="6" type="noConversion"/>
  </si>
  <si>
    <t>OFS_CH1 [8:0]</t>
    <phoneticPr fontId="6" type="noConversion"/>
  </si>
  <si>
    <t>0x06</t>
    <phoneticPr fontId="6" type="noConversion"/>
  </si>
  <si>
    <t>LDO_CTL [3:0]</t>
    <phoneticPr fontId="6" type="noConversion"/>
  </si>
  <si>
    <t>LDO_OSC_CTL [3:0]</t>
    <phoneticPr fontId="6" type="noConversion"/>
  </si>
  <si>
    <t>0x05</t>
    <phoneticPr fontId="6" type="noConversion"/>
  </si>
  <si>
    <t>OSC_RCTL [4:0]</t>
    <phoneticPr fontId="6" type="noConversion"/>
  </si>
  <si>
    <t>LDO_DAC_CTL [4:0]</t>
    <phoneticPr fontId="6" type="noConversion"/>
  </si>
  <si>
    <t>0x810</t>
    <phoneticPr fontId="6" type="noConversion"/>
  </si>
  <si>
    <t>0x04</t>
    <phoneticPr fontId="6" type="noConversion"/>
  </si>
  <si>
    <t>LDO_BGR2_CTL [4:0]</t>
    <phoneticPr fontId="6" type="noConversion"/>
  </si>
  <si>
    <t>OFS_TEMP [3:0]</t>
    <phoneticPr fontId="6" type="noConversion"/>
  </si>
  <si>
    <t>0x03</t>
    <phoneticPr fontId="6" type="noConversion"/>
  </si>
  <si>
    <t>BGR2_TC [4:0]</t>
    <phoneticPr fontId="6" type="noConversion"/>
  </si>
  <si>
    <t>IREF2_CTL [4:0]</t>
    <phoneticPr fontId="6" type="noConversion"/>
  </si>
  <si>
    <t>0x210</t>
    <phoneticPr fontId="6" type="noConversion"/>
  </si>
  <si>
    <t>0x02</t>
    <phoneticPr fontId="6" type="noConversion"/>
  </si>
  <si>
    <t>BGR_TC [4:0]</t>
    <phoneticPr fontId="6" type="noConversion"/>
  </si>
  <si>
    <t>IREF_CTL [4:0]</t>
    <phoneticPr fontId="6" type="noConversion"/>
  </si>
  <si>
    <t>0x01</t>
  </si>
  <si>
    <t>OTP_CRC_CHECKSUM [7:0]</t>
    <phoneticPr fontId="6" type="noConversion"/>
  </si>
  <si>
    <t>0x00</t>
    <phoneticPr fontId="6" type="noConversion"/>
  </si>
  <si>
    <t>OTP MIRROR</t>
    <phoneticPr fontId="6" type="noConversion"/>
  </si>
  <si>
    <t>PROTECT_EN</t>
    <phoneticPr fontId="6" type="noConversion"/>
  </si>
  <si>
    <t>0x555</t>
    <phoneticPr fontId="6" type="noConversion"/>
  </si>
  <si>
    <t>0x3E</t>
    <phoneticPr fontId="6" type="noConversion"/>
  </si>
  <si>
    <t>OTP PROTECT</t>
    <phoneticPr fontId="6" type="noConversion"/>
  </si>
  <si>
    <t>OTP_PG_S</t>
    <phoneticPr fontId="6" type="noConversion"/>
  </si>
  <si>
    <t>OTP_RD_S</t>
    <phoneticPr fontId="6" type="noConversion"/>
  </si>
  <si>
    <t>OTP_PG_DONE</t>
    <phoneticPr fontId="6" type="noConversion"/>
  </si>
  <si>
    <t>0x3D</t>
    <phoneticPr fontId="6" type="noConversion"/>
  </si>
  <si>
    <t>OTP RD/PROG</t>
    <phoneticPr fontId="6" type="noConversion"/>
  </si>
  <si>
    <t>OTP_WSEL [3:0]</t>
    <phoneticPr fontId="6" type="noConversion"/>
  </si>
  <si>
    <t>OTP_RD [1:0]</t>
    <phoneticPr fontId="6" type="noConversion"/>
  </si>
  <si>
    <t>0x004</t>
    <phoneticPr fontId="6" type="noConversion"/>
  </si>
  <si>
    <t>0x3C</t>
    <phoneticPr fontId="6" type="noConversion"/>
  </si>
  <si>
    <t>OTP WRITE</t>
    <phoneticPr fontId="6" type="noConversion"/>
  </si>
  <si>
    <t>OTP_PG_ACC_CYCLE [11:0]</t>
    <phoneticPr fontId="6" type="noConversion"/>
  </si>
  <si>
    <t>0x3FF</t>
    <phoneticPr fontId="6" type="noConversion"/>
  </si>
  <si>
    <t>0x3B</t>
    <phoneticPr fontId="6" type="noConversion"/>
  </si>
  <si>
    <t>OTP_ACCESS2</t>
    <phoneticPr fontId="6" type="noConversion"/>
  </si>
  <si>
    <t>OTP_PG_ACC_CYCLE[15:12]</t>
    <phoneticPr fontId="6" type="noConversion"/>
  </si>
  <si>
    <t>0x3A</t>
    <phoneticPr fontId="6" type="noConversion"/>
  </si>
  <si>
    <t>OTP_ACCESS1</t>
    <phoneticPr fontId="6" type="noConversion"/>
  </si>
  <si>
    <t>TEST_ANA_EN[4:0]</t>
    <phoneticPr fontId="6" type="noConversion"/>
  </si>
  <si>
    <t>0x39</t>
    <phoneticPr fontId="6" type="noConversion"/>
  </si>
  <si>
    <t>TEST_ANA_EN</t>
    <phoneticPr fontId="6" type="noConversion"/>
  </si>
  <si>
    <t>ADDR_EXT</t>
    <phoneticPr fontId="6" type="noConversion"/>
  </si>
  <si>
    <t>EXT_CLKIN</t>
    <phoneticPr fontId="6" type="noConversion"/>
  </si>
  <si>
    <t>RD_EN</t>
    <phoneticPr fontId="6" type="noConversion"/>
  </si>
  <si>
    <t>DTEST_MUX
_EN</t>
    <phoneticPr fontId="6" type="noConversion"/>
  </si>
  <si>
    <t>MCLK64_O</t>
    <phoneticPr fontId="6" type="noConversion"/>
  </si>
  <si>
    <t>PWMOUT_FULL</t>
    <phoneticPr fontId="6" type="noConversion"/>
  </si>
  <si>
    <t>SW_SEL[1:0]</t>
    <phoneticPr fontId="6" type="noConversion"/>
  </si>
  <si>
    <t>TEST_EN</t>
    <phoneticPr fontId="6" type="noConversion"/>
  </si>
  <si>
    <t>0x3F</t>
    <phoneticPr fontId="6" type="noConversion"/>
  </si>
  <si>
    <t>OP MODE</t>
    <phoneticPr fontId="6" type="noConversion"/>
  </si>
  <si>
    <t>OTP CONTROL</t>
    <phoneticPr fontId="6" type="noConversion"/>
  </si>
  <si>
    <t>VREF_FIX3 [11:0]</t>
    <phoneticPr fontId="6" type="noConversion"/>
  </si>
  <si>
    <t>0x2E</t>
    <phoneticPr fontId="6" type="noConversion"/>
  </si>
  <si>
    <t>VREF_FIX3</t>
    <phoneticPr fontId="6" type="noConversion"/>
  </si>
  <si>
    <t>VREF_FIX2 [11:0]</t>
    <phoneticPr fontId="6" type="noConversion"/>
  </si>
  <si>
    <t>0x2D</t>
    <phoneticPr fontId="6" type="noConversion"/>
  </si>
  <si>
    <t>VREF_FIX2</t>
    <phoneticPr fontId="6" type="noConversion"/>
  </si>
  <si>
    <t>VREF_FIX1 [11:0]</t>
    <phoneticPr fontId="6" type="noConversion"/>
  </si>
  <si>
    <t>0x2C</t>
    <phoneticPr fontId="6" type="noConversion"/>
  </si>
  <si>
    <t>VREF_FIX1</t>
    <phoneticPr fontId="6" type="noConversion"/>
  </si>
  <si>
    <t>DC_MCLK_EN</t>
    <phoneticPr fontId="6" type="noConversion"/>
  </si>
  <si>
    <t>FR1_MCLK_EN</t>
    <phoneticPr fontId="6" type="noConversion"/>
  </si>
  <si>
    <t>FR2_MCLK_EN</t>
    <phoneticPr fontId="6" type="noConversion"/>
  </si>
  <si>
    <t>OTP_MCLK_EN</t>
    <phoneticPr fontId="6" type="noConversion"/>
  </si>
  <si>
    <t>0x017</t>
    <phoneticPr fontId="6" type="noConversion"/>
  </si>
  <si>
    <t>0x2B</t>
    <phoneticPr fontId="6" type="noConversion"/>
  </si>
  <si>
    <t>CLOCK GATE EN</t>
    <phoneticPr fontId="6" type="noConversion"/>
  </si>
  <si>
    <t>SPRD_GAIN[2:0]</t>
    <phoneticPr fontId="6" type="noConversion"/>
  </si>
  <si>
    <t>SPRD_SPD[2:0]</t>
    <phoneticPr fontId="6" type="noConversion"/>
  </si>
  <si>
    <t>SPRD_EN</t>
    <phoneticPr fontId="6" type="noConversion"/>
  </si>
  <si>
    <t>0x2A</t>
    <phoneticPr fontId="6" type="noConversion"/>
  </si>
  <si>
    <t>OSC SPREAD</t>
    <phoneticPr fontId="6" type="noConversion"/>
  </si>
  <si>
    <t>OSC_FLL_MAN[15:12]</t>
    <phoneticPr fontId="6" type="noConversion"/>
  </si>
  <si>
    <t>OSC_FLL_ERR_RANGE[1:0]</t>
    <phoneticPr fontId="6" type="noConversion"/>
  </si>
  <si>
    <t>OSC_MAN
_EN</t>
    <phoneticPr fontId="6" type="noConversion"/>
  </si>
  <si>
    <t>0x29</t>
    <phoneticPr fontId="6" type="noConversion"/>
  </si>
  <si>
    <t>OSC_FLL_MAN2</t>
    <phoneticPr fontId="6" type="noConversion"/>
  </si>
  <si>
    <t>OSC_FLL_MAN [11:0]</t>
    <phoneticPr fontId="6" type="noConversion"/>
  </si>
  <si>
    <t>0x28</t>
    <phoneticPr fontId="6" type="noConversion"/>
  </si>
  <si>
    <t>OSC_FLL_MAN1</t>
    <phoneticPr fontId="6" type="noConversion"/>
  </si>
  <si>
    <t>FLT_GAIN [1:0]</t>
    <phoneticPr fontId="6" type="noConversion"/>
  </si>
  <si>
    <t>O_SLEW[1:0]</t>
    <phoneticPr fontId="6" type="noConversion"/>
  </si>
  <si>
    <t>FLT_CTL [1:0]</t>
    <phoneticPr fontId="6" type="noConversion"/>
  </si>
  <si>
    <t>DAC_RNG</t>
    <phoneticPr fontId="6" type="noConversion"/>
  </si>
  <si>
    <t>OV_SWAP_EN</t>
    <phoneticPr fontId="6" type="noConversion"/>
  </si>
  <si>
    <t>0x029</t>
    <phoneticPr fontId="6" type="noConversion"/>
  </si>
  <si>
    <t>0x27</t>
    <phoneticPr fontId="6" type="noConversion"/>
  </si>
  <si>
    <t>TEMP</t>
    <phoneticPr fontId="6" type="noConversion"/>
  </si>
  <si>
    <t>CHOP_BGR
_EN</t>
    <phoneticPr fontId="6" type="noConversion"/>
  </si>
  <si>
    <t>CHOP_DAC
_EN</t>
    <phoneticPr fontId="6" type="noConversion"/>
  </si>
  <si>
    <t>CHOP_OSC
_EN</t>
    <phoneticPr fontId="6" type="noConversion"/>
  </si>
  <si>
    <t>CHOP_OSC
LDO_EN</t>
    <phoneticPr fontId="6" type="noConversion"/>
  </si>
  <si>
    <t>CHOP_DRV
_EN</t>
    <phoneticPr fontId="6" type="noConversion"/>
  </si>
  <si>
    <t>CHOP_EN</t>
    <phoneticPr fontId="6" type="noConversion"/>
  </si>
  <si>
    <t>OPEN_MASK_OPT</t>
    <phoneticPr fontId="6" type="noConversion"/>
  </si>
  <si>
    <t>0x26</t>
    <phoneticPr fontId="6" type="noConversion"/>
  </si>
  <si>
    <t>DGRJT_EN1</t>
    <phoneticPr fontId="6" type="noConversion"/>
  </si>
  <si>
    <t>DGRJT_EN2</t>
    <phoneticPr fontId="6" type="noConversion"/>
  </si>
  <si>
    <t>BBKN_EN</t>
    <phoneticPr fontId="6" type="noConversion"/>
  </si>
  <si>
    <t>SGRJT_EN1</t>
    <phoneticPr fontId="6" type="noConversion"/>
  </si>
  <si>
    <t>SGRJT_EN2</t>
    <phoneticPr fontId="6" type="noConversion"/>
  </si>
  <si>
    <t>O_EMI_REJ_EN</t>
    <phoneticPr fontId="6" type="noConversion"/>
  </si>
  <si>
    <t>BBKN_TH [5:0]</t>
    <phoneticPr fontId="6" type="noConversion"/>
  </si>
  <si>
    <t>0x25</t>
    <phoneticPr fontId="6" type="noConversion"/>
  </si>
  <si>
    <t>NF_CONTROL</t>
    <phoneticPr fontId="6" type="noConversion"/>
  </si>
  <si>
    <t>WR_PROTECT[11:0]</t>
    <phoneticPr fontId="6" type="noConversion"/>
  </si>
  <si>
    <t>0x24</t>
    <phoneticPr fontId="6" type="noConversion"/>
  </si>
  <si>
    <t>WR_PROTECT</t>
    <phoneticPr fontId="6" type="noConversion"/>
  </si>
  <si>
    <t>FLLCNT[19:12]</t>
    <phoneticPr fontId="6" type="noConversion"/>
  </si>
  <si>
    <t>FLL_RANGE[1:0]</t>
    <phoneticPr fontId="6" type="noConversion"/>
  </si>
  <si>
    <t>FLL_EN</t>
    <phoneticPr fontId="6" type="noConversion"/>
  </si>
  <si>
    <t>0xC32</t>
    <phoneticPr fontId="6" type="noConversion"/>
  </si>
  <si>
    <t>0x23</t>
    <phoneticPr fontId="6" type="noConversion"/>
  </si>
  <si>
    <t>FLLCNT2</t>
    <phoneticPr fontId="6" type="noConversion"/>
  </si>
  <si>
    <t>FLLCNT[11:0]</t>
    <phoneticPr fontId="6" type="noConversion"/>
  </si>
  <si>
    <t>0x22</t>
    <phoneticPr fontId="6" type="noConversion"/>
  </si>
  <si>
    <t>FLLCNT1</t>
    <phoneticPr fontId="6" type="noConversion"/>
  </si>
  <si>
    <t>TIMEOUT[10:0]</t>
    <phoneticPr fontId="6" type="noConversion"/>
  </si>
  <si>
    <t>0x21</t>
    <phoneticPr fontId="6" type="noConversion"/>
  </si>
  <si>
    <t>TIMEOUT</t>
    <phoneticPr fontId="6" type="noConversion"/>
  </si>
  <si>
    <t>RSTCNT [9:0]</t>
    <phoneticPr fontId="6" type="noConversion"/>
  </si>
  <si>
    <t>0x20</t>
    <phoneticPr fontId="6" type="noConversion"/>
  </si>
  <si>
    <t>RSTCNT</t>
    <phoneticPr fontId="6" type="noConversion"/>
  </si>
  <si>
    <t>SV_MASK [9:0]</t>
    <phoneticPr fontId="6" type="noConversion"/>
  </si>
  <si>
    <t>SV_MASK_EN</t>
    <phoneticPr fontId="6" type="noConversion"/>
  </si>
  <si>
    <t>0x1F</t>
    <phoneticPr fontId="6" type="noConversion"/>
  </si>
  <si>
    <t>SV_MASK</t>
    <phoneticPr fontId="6" type="noConversion"/>
  </si>
  <si>
    <t>V_MASK [9:0]</t>
    <phoneticPr fontId="6" type="noConversion"/>
  </si>
  <si>
    <t>V_MASK</t>
    <phoneticPr fontId="6" type="noConversion"/>
  </si>
  <si>
    <t>SERIAL_LATENCY [8:0]</t>
    <phoneticPr fontId="6" type="noConversion"/>
  </si>
  <si>
    <t>0x080</t>
    <phoneticPr fontId="6" type="noConversion"/>
  </si>
  <si>
    <t>SERIAL_LATENCY</t>
    <phoneticPr fontId="6" type="noConversion"/>
  </si>
  <si>
    <t>SERIAL_CLK_HIGH [5:0]</t>
    <phoneticPr fontId="6" type="noConversion"/>
  </si>
  <si>
    <t>SERIAL_CLK_LOW [5:0]</t>
    <phoneticPr fontId="6" type="noConversion"/>
  </si>
  <si>
    <t>0x318</t>
    <phoneticPr fontId="6" type="noConversion"/>
  </si>
  <si>
    <t>SERIAL_CLK_GEN</t>
    <phoneticPr fontId="6" type="noConversion"/>
  </si>
  <si>
    <t>TM_CH_CTRL_INPUT_FLIP</t>
    <phoneticPr fontId="6" type="noConversion"/>
  </si>
  <si>
    <t>TESTMODE</t>
    <phoneticPr fontId="6" type="noConversion"/>
  </si>
  <si>
    <t>TEST MODE1</t>
    <phoneticPr fontId="6" type="noConversion"/>
  </si>
  <si>
    <t>DMUX_SEL[4:0]</t>
    <phoneticPr fontId="6" type="noConversion"/>
  </si>
  <si>
    <t>TEST MODE0</t>
    <phoneticPr fontId="6" type="noConversion"/>
  </si>
  <si>
    <t>BIST_ERR
(R/O)</t>
    <phoneticPr fontId="6" type="noConversion"/>
  </si>
  <si>
    <t>BIST_DONE
(R/O)</t>
    <phoneticPr fontId="6" type="noConversion"/>
  </si>
  <si>
    <t>BIST_BUSY
(R/O)</t>
    <phoneticPr fontId="6" type="noConversion"/>
  </si>
  <si>
    <t>BIST_START</t>
    <phoneticPr fontId="6" type="noConversion"/>
  </si>
  <si>
    <t>BIST</t>
    <phoneticPr fontId="6" type="noConversion"/>
  </si>
  <si>
    <t>LDO
_OVUV_EN</t>
    <phoneticPr fontId="6" type="noConversion"/>
  </si>
  <si>
    <t>OSC_LDO
_OVUV_EN</t>
    <phoneticPr fontId="6" type="noConversion"/>
  </si>
  <si>
    <t>VREF_OVUV
_EN</t>
    <phoneticPr fontId="6" type="noConversion"/>
  </si>
  <si>
    <t>VREF_OVUV
OFF_EN</t>
    <phoneticPr fontId="6" type="noConversion"/>
  </si>
  <si>
    <t>CH_CTRL
_MISMATCH
_EN</t>
    <phoneticPr fontId="6" type="noConversion"/>
  </si>
  <si>
    <t>VS_MISS_EN</t>
    <phoneticPr fontId="6" type="noConversion"/>
  </si>
  <si>
    <t>VS_MISS
_DIMM_EN</t>
    <phoneticPr fontId="6" type="noConversion"/>
  </si>
  <si>
    <t>WD_EN</t>
    <phoneticPr fontId="6" type="noConversion"/>
  </si>
  <si>
    <t>WD_TIMECFG[1:0]</t>
    <phoneticPr fontId="6" type="noConversion"/>
  </si>
  <si>
    <t>WD_DIMM_EN</t>
    <phoneticPr fontId="6" type="noConversion"/>
  </si>
  <si>
    <t>CRC_EN</t>
    <phoneticPr fontId="6" type="noConversion"/>
  </si>
  <si>
    <t>0x31F</t>
    <phoneticPr fontId="6" type="noConversion"/>
  </si>
  <si>
    <t>FAULT CONFIGURATION</t>
    <phoneticPr fontId="6" type="noConversion"/>
  </si>
  <si>
    <t>DELAY_CH11 [4:0]</t>
    <phoneticPr fontId="6" type="noConversion"/>
  </si>
  <si>
    <t>DELAY_CH12 [4:0]</t>
    <phoneticPr fontId="6" type="noConversion"/>
  </si>
  <si>
    <t>DELAY_CH11/12</t>
    <phoneticPr fontId="6" type="noConversion"/>
  </si>
  <si>
    <t>DELAY_CH9 [4:0]</t>
    <phoneticPr fontId="6" type="noConversion"/>
  </si>
  <si>
    <t>DELAY_CH10 [4:0]</t>
    <phoneticPr fontId="6" type="noConversion"/>
  </si>
  <si>
    <t>DELAY_CH9/10</t>
    <phoneticPr fontId="6" type="noConversion"/>
  </si>
  <si>
    <t>DELAY_CH7 [4:0]</t>
    <phoneticPr fontId="6" type="noConversion"/>
  </si>
  <si>
    <t>DELAY_CH8 [4:0]</t>
    <phoneticPr fontId="6" type="noConversion"/>
  </si>
  <si>
    <t>DELAY_CH7/8</t>
    <phoneticPr fontId="6" type="noConversion"/>
  </si>
  <si>
    <t>DELAY_CH5 [4:0]</t>
    <phoneticPr fontId="6" type="noConversion"/>
  </si>
  <si>
    <t>DELAY_CH6 [4:0]</t>
    <phoneticPr fontId="6" type="noConversion"/>
  </si>
  <si>
    <t>DELAY_CH5/6</t>
    <phoneticPr fontId="6" type="noConversion"/>
  </si>
  <si>
    <t>DELAY_CH3 [4:0]</t>
    <phoneticPr fontId="6" type="noConversion"/>
  </si>
  <si>
    <t>DELAY_CH4 [4:0]</t>
    <phoneticPr fontId="6" type="noConversion"/>
  </si>
  <si>
    <t>DELAY_CH3/4</t>
    <phoneticPr fontId="6" type="noConversion"/>
  </si>
  <si>
    <t>DELAY_CH1 [4:0]</t>
    <phoneticPr fontId="6" type="noConversion"/>
  </si>
  <si>
    <t>DELAY_CH2 [4:0]</t>
    <phoneticPr fontId="6" type="noConversion"/>
  </si>
  <si>
    <t>DELAY_CH1/2</t>
    <phoneticPr fontId="6" type="noConversion"/>
  </si>
  <si>
    <t>CH1_LD_TYPE</t>
    <phoneticPr fontId="6" type="noConversion"/>
  </si>
  <si>
    <t>CH2_LD_TYPE</t>
    <phoneticPr fontId="6" type="noConversion"/>
  </si>
  <si>
    <t>CH3_LD_TYPE</t>
    <phoneticPr fontId="6" type="noConversion"/>
  </si>
  <si>
    <t>CH4_LD_TYPE</t>
    <phoneticPr fontId="6" type="noConversion"/>
  </si>
  <si>
    <t>CH5_LD_TYPE</t>
    <phoneticPr fontId="6" type="noConversion"/>
  </si>
  <si>
    <t>CH6_LD_TYPE</t>
    <phoneticPr fontId="6" type="noConversion"/>
  </si>
  <si>
    <t>CH7_LD_TYPE</t>
    <phoneticPr fontId="6" type="noConversion"/>
  </si>
  <si>
    <t>CH8_LD_TYPE</t>
    <phoneticPr fontId="6" type="noConversion"/>
  </si>
  <si>
    <t>CH9_LD_TYPE</t>
    <phoneticPr fontId="6" type="noConversion"/>
  </si>
  <si>
    <t>CH10_LD_TYPE</t>
    <phoneticPr fontId="6" type="noConversion"/>
  </si>
  <si>
    <t>CH11_LD_TYPE</t>
    <phoneticPr fontId="6" type="noConversion"/>
  </si>
  <si>
    <t>CH12_LD_TYPE</t>
    <phoneticPr fontId="6" type="noConversion"/>
  </si>
  <si>
    <t>CHx_LD_TYPE</t>
    <phoneticPr fontId="6" type="noConversion"/>
  </si>
  <si>
    <t>MAX_CURR_VREF3[11:0]</t>
    <phoneticPr fontId="6" type="noConversion"/>
  </si>
  <si>
    <t>MAX_CURR_VREF3</t>
    <phoneticPr fontId="6" type="noConversion"/>
  </si>
  <si>
    <t>MAX_CURR_VREF2[11:0]</t>
    <phoneticPr fontId="6" type="noConversion"/>
  </si>
  <si>
    <t>MAX_CURR_VREF2</t>
    <phoneticPr fontId="6" type="noConversion"/>
  </si>
  <si>
    <t>MAX_CURR_VREF1[11:0]</t>
    <phoneticPr fontId="6" type="noConversion"/>
  </si>
  <si>
    <t>MAX_CURR_VREF1</t>
    <phoneticPr fontId="6" type="noConversion"/>
  </si>
  <si>
    <t>0 : 4mA ~ 15 : 64mA   ( 4mA step)</t>
    <phoneticPr fontId="6" type="noConversion"/>
  </si>
  <si>
    <t>MAX_CURR_LEVEL1 [3:0]</t>
    <phoneticPr fontId="6" type="noConversion"/>
  </si>
  <si>
    <t>MAX_CURR_LEVEL2 [3:0]</t>
    <phoneticPr fontId="6" type="noConversion"/>
  </si>
  <si>
    <t>MAX_CURR_LEVEL3 [3:0]</t>
    <phoneticPr fontId="6" type="noConversion"/>
  </si>
  <si>
    <t>MAX CURRENT LEVEL</t>
    <phoneticPr fontId="6" type="noConversion"/>
  </si>
  <si>
    <t>SHORT_CH1</t>
    <phoneticPr fontId="6" type="noConversion"/>
  </si>
  <si>
    <t>SHORT_CH2</t>
    <phoneticPr fontId="6" type="noConversion"/>
  </si>
  <si>
    <t>SHORT_CH3</t>
    <phoneticPr fontId="6" type="noConversion"/>
  </si>
  <si>
    <t>SHORT_CH4</t>
    <phoneticPr fontId="6" type="noConversion"/>
  </si>
  <si>
    <t>SHORT_CH5</t>
    <phoneticPr fontId="6" type="noConversion"/>
  </si>
  <si>
    <t>SHORT_CH6</t>
    <phoneticPr fontId="6" type="noConversion"/>
  </si>
  <si>
    <t>SHORT_CH7</t>
    <phoneticPr fontId="6" type="noConversion"/>
  </si>
  <si>
    <t>SHORT_CH8</t>
    <phoneticPr fontId="6" type="noConversion"/>
  </si>
  <si>
    <t>SHORT_CH9</t>
    <phoneticPr fontId="6" type="noConversion"/>
  </si>
  <si>
    <t>SHORT_CH10</t>
    <phoneticPr fontId="6" type="noConversion"/>
  </si>
  <si>
    <t>SHORT_CH11</t>
    <phoneticPr fontId="6" type="noConversion"/>
  </si>
  <si>
    <t>SHORT_CH12</t>
    <phoneticPr fontId="6" type="noConversion"/>
  </si>
  <si>
    <t>FAULT STATUS3</t>
    <phoneticPr fontId="6" type="noConversion"/>
  </si>
  <si>
    <t>OPEN_CH1</t>
    <phoneticPr fontId="6" type="noConversion"/>
  </si>
  <si>
    <t>OPEN_CH2</t>
    <phoneticPr fontId="6" type="noConversion"/>
  </si>
  <si>
    <t>OPEN_CH3</t>
    <phoneticPr fontId="6" type="noConversion"/>
  </si>
  <si>
    <t>OPEN_CH4</t>
    <phoneticPr fontId="6" type="noConversion"/>
  </si>
  <si>
    <t>OPEN_CH5</t>
    <phoneticPr fontId="6" type="noConversion"/>
  </si>
  <si>
    <t>OPEN_CH6</t>
    <phoneticPr fontId="6" type="noConversion"/>
  </si>
  <si>
    <t>OPEN_CH7</t>
    <phoneticPr fontId="6" type="noConversion"/>
  </si>
  <si>
    <t>OPEN_CH8</t>
    <phoneticPr fontId="6" type="noConversion"/>
  </si>
  <si>
    <t>OPEN_CH9</t>
    <phoneticPr fontId="6" type="noConversion"/>
  </si>
  <si>
    <t>OPEN_CH10</t>
    <phoneticPr fontId="6" type="noConversion"/>
  </si>
  <si>
    <t>OPEN_CH11</t>
    <phoneticPr fontId="6" type="noConversion"/>
  </si>
  <si>
    <t>OPEN_CH12</t>
    <phoneticPr fontId="6" type="noConversion"/>
  </si>
  <si>
    <t>FAULT STATUS2</t>
    <phoneticPr fontId="6" type="noConversion"/>
  </si>
  <si>
    <t>THERMAL</t>
    <phoneticPr fontId="6" type="noConversion"/>
  </si>
  <si>
    <t>LDO_UV</t>
    <phoneticPr fontId="6" type="noConversion"/>
  </si>
  <si>
    <t>LDO_OV</t>
    <phoneticPr fontId="6" type="noConversion"/>
  </si>
  <si>
    <t>OSC_LDO_UV</t>
    <phoneticPr fontId="6" type="noConversion"/>
  </si>
  <si>
    <t>OSC_LDO_OV</t>
    <phoneticPr fontId="6" type="noConversion"/>
  </si>
  <si>
    <t>VREF_UV</t>
    <phoneticPr fontId="6" type="noConversion"/>
  </si>
  <si>
    <t>VREF_OV</t>
    <phoneticPr fontId="6" type="noConversion"/>
  </si>
  <si>
    <t>CH_CTRL
_MISMATCH</t>
    <phoneticPr fontId="6" type="noConversion"/>
  </si>
  <si>
    <t>VS_MISS</t>
    <phoneticPr fontId="6" type="noConversion"/>
  </si>
  <si>
    <t>WD_TIMEOUT</t>
    <phoneticPr fontId="6" type="noConversion"/>
  </si>
  <si>
    <t>CMD_ERR</t>
    <phoneticPr fontId="6" type="noConversion"/>
  </si>
  <si>
    <t>RESP_ERR</t>
    <phoneticPr fontId="6" type="noConversion"/>
  </si>
  <si>
    <t>FAULT STATUS1</t>
    <phoneticPr fontId="6" type="noConversion"/>
  </si>
  <si>
    <t>FB1</t>
    <phoneticPr fontId="6" type="noConversion"/>
  </si>
  <si>
    <t>FB2</t>
    <phoneticPr fontId="6" type="noConversion"/>
  </si>
  <si>
    <t>FB3</t>
    <phoneticPr fontId="6" type="noConversion"/>
  </si>
  <si>
    <t>OPEN</t>
    <phoneticPr fontId="6" type="noConversion"/>
  </si>
  <si>
    <t>SHORT</t>
    <phoneticPr fontId="6" type="noConversion"/>
  </si>
  <si>
    <t>FAULT STATUS0</t>
    <phoneticPr fontId="6" type="noConversion"/>
  </si>
  <si>
    <t>SHORT1_LEVEL [2:0]</t>
    <phoneticPr fontId="6" type="noConversion"/>
  </si>
  <si>
    <t>SHORT2_LEVEL [2:0]</t>
    <phoneticPr fontId="6" type="noConversion"/>
  </si>
  <si>
    <t>SHORT3_LEVEL [2:0]</t>
    <phoneticPr fontId="6" type="noConversion"/>
  </si>
  <si>
    <t>SHORT LEVEL</t>
    <phoneticPr fontId="6" type="noConversion"/>
  </si>
  <si>
    <t>FB1_LEVEL [2:0]</t>
    <phoneticPr fontId="6" type="noConversion"/>
  </si>
  <si>
    <t>FB2_LEVEL [2:0]</t>
    <phoneticPr fontId="6" type="noConversion"/>
  </si>
  <si>
    <t>FB3_LEVEL [2:0]</t>
    <phoneticPr fontId="6" type="noConversion"/>
  </si>
  <si>
    <t>FB LEVEL</t>
    <phoneticPr fontId="6" type="noConversion"/>
  </si>
  <si>
    <t>O_OFF_E</t>
    <phoneticPr fontId="6" type="noConversion"/>
  </si>
  <si>
    <t>S_OFF_E</t>
    <phoneticPr fontId="6" type="noConversion"/>
  </si>
  <si>
    <t>T_OFF_E</t>
    <phoneticPr fontId="6" type="noConversion"/>
  </si>
  <si>
    <t>O_DET_E</t>
    <phoneticPr fontId="6" type="noConversion"/>
  </si>
  <si>
    <t>S_DET_E</t>
    <phoneticPr fontId="6" type="noConversion"/>
  </si>
  <si>
    <t>T_DET_E</t>
    <phoneticPr fontId="6" type="noConversion"/>
  </si>
  <si>
    <t>O_FB_E</t>
    <phoneticPr fontId="6" type="noConversion"/>
  </si>
  <si>
    <t>FB_MODE[1:0]</t>
    <phoneticPr fontId="6" type="noConversion"/>
  </si>
  <si>
    <t>FT_MODE[1:0]</t>
    <phoneticPr fontId="6" type="noConversion"/>
  </si>
  <si>
    <t>0x03F</t>
    <phoneticPr fontId="6" type="noConversion"/>
  </si>
  <si>
    <t>FAULT CONTROL0</t>
    <phoneticPr fontId="6" type="noConversion"/>
  </si>
  <si>
    <t>CH1_EN</t>
    <phoneticPr fontId="6" type="noConversion"/>
  </si>
  <si>
    <t>CH2_EN</t>
    <phoneticPr fontId="6" type="noConversion"/>
  </si>
  <si>
    <t>CH3_EN</t>
    <phoneticPr fontId="6" type="noConversion"/>
  </si>
  <si>
    <t>CH4_EN</t>
    <phoneticPr fontId="6" type="noConversion"/>
  </si>
  <si>
    <t>CH5_EN</t>
    <phoneticPr fontId="6" type="noConversion"/>
  </si>
  <si>
    <t>CH6_EN</t>
    <phoneticPr fontId="6" type="noConversion"/>
  </si>
  <si>
    <t>CH7_EN</t>
    <phoneticPr fontId="6" type="noConversion"/>
  </si>
  <si>
    <t>CH8_EN</t>
    <phoneticPr fontId="6" type="noConversion"/>
  </si>
  <si>
    <t>CH9_EN</t>
    <phoneticPr fontId="6" type="noConversion"/>
  </si>
  <si>
    <t>CH10_EN</t>
    <phoneticPr fontId="6" type="noConversion"/>
  </si>
  <si>
    <t>CH11_EN</t>
    <phoneticPr fontId="6" type="noConversion"/>
  </si>
  <si>
    <t>CH12_EN</t>
    <phoneticPr fontId="6" type="noConversion"/>
  </si>
  <si>
    <t>CHANNEL ENABLE</t>
    <phoneticPr fontId="6" type="noConversion"/>
  </si>
  <si>
    <t>FPWM_DIV3[7:0]</t>
    <phoneticPr fontId="6" type="noConversion"/>
  </si>
  <si>
    <t>PWMCLK_DIV2/3</t>
    <phoneticPr fontId="6" type="noConversion"/>
  </si>
  <si>
    <t>FPWM_DIV3[3:0]</t>
    <phoneticPr fontId="6" type="noConversion"/>
  </si>
  <si>
    <t>PWMCLK_DIV1/2</t>
    <phoneticPr fontId="6" type="noConversion"/>
  </si>
  <si>
    <t>LD_SIZE[5:0]</t>
    <phoneticPr fontId="6" type="noConversion"/>
  </si>
  <si>
    <t>LD SIZE</t>
    <phoneticPr fontId="6" type="noConversion"/>
  </si>
  <si>
    <t>LD_MODE</t>
    <phoneticPr fontId="6" type="noConversion"/>
  </si>
  <si>
    <t>LD_DIR</t>
    <phoneticPr fontId="6" type="noConversion"/>
  </si>
  <si>
    <t>PWM_RES</t>
    <phoneticPr fontId="6" type="noConversion"/>
  </si>
  <si>
    <t>SYNCMODE</t>
    <phoneticPr fontId="6" type="noConversion"/>
  </si>
  <si>
    <t>DELAY_CH_EN</t>
    <phoneticPr fontId="6" type="noConversion"/>
  </si>
  <si>
    <t>LD_TYPE</t>
    <phoneticPr fontId="6" type="noConversion"/>
  </si>
  <si>
    <t>SV_NO[5:0]</t>
    <phoneticPr fontId="6" type="noConversion"/>
  </si>
  <si>
    <t>0x01</t>
    <phoneticPr fontId="6" type="noConversion"/>
  </si>
  <si>
    <t>LD CONTROL</t>
    <phoneticPr fontId="6" type="noConversion"/>
  </si>
  <si>
    <t>ID[4:0]</t>
    <phoneticPr fontId="6" type="noConversion"/>
  </si>
  <si>
    <t>LKG_E</t>
    <phoneticPr fontId="6" type="noConversion"/>
  </si>
  <si>
    <t>E_RST</t>
    <phoneticPr fontId="6" type="noConversion"/>
  </si>
  <si>
    <t>VS_RST</t>
    <phoneticPr fontId="6" type="noConversion"/>
  </si>
  <si>
    <t>RST</t>
    <phoneticPr fontId="6" type="noConversion"/>
  </si>
  <si>
    <t>0x100</t>
    <phoneticPr fontId="6" type="noConversion"/>
  </si>
  <si>
    <t>RESET &amp; ID</t>
    <phoneticPr fontId="6" type="noConversion"/>
  </si>
  <si>
    <t>Note</t>
    <phoneticPr fontId="6" type="noConversion"/>
  </si>
  <si>
    <t>Hex</t>
    <phoneticPr fontId="6" type="noConversion"/>
  </si>
  <si>
    <t>Dec</t>
    <phoneticPr fontId="6" type="noConversion"/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</si>
  <si>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</si>
  <si>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</si>
  <si>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</si>
  <si>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</si>
  <si>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</si>
  <si>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</si>
  <si>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</si>
  <si>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</si>
  <si>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</si>
  <si>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</si>
  <si>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</si>
  <si>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  <phoneticPr fontId="6" type="noConversion"/>
  </si>
  <si>
    <t>Default</t>
    <phoneticPr fontId="6" type="noConversion"/>
  </si>
  <si>
    <t>Address</t>
    <phoneticPr fontId="6" type="noConversion"/>
  </si>
  <si>
    <t>Name</t>
    <phoneticPr fontId="6" type="noConversion"/>
  </si>
  <si>
    <t>VS_MISS_DIMM_EN</t>
    <phoneticPr fontId="6" type="noConversion"/>
  </si>
  <si>
    <t>Analog Test mode   (Trimming , Fault , Verify)</t>
    <phoneticPr fontId="6" type="noConversion"/>
  </si>
  <si>
    <t>1’b1</t>
  </si>
  <si>
    <t>VSS</t>
    <phoneticPr fontId="4" type="noConversion"/>
  </si>
  <si>
    <t>0x01F</t>
    <phoneticPr fontId="4" type="noConversion"/>
  </si>
  <si>
    <t>0x01E</t>
    <phoneticPr fontId="4" type="noConversion"/>
  </si>
  <si>
    <t>0x01D</t>
    <phoneticPr fontId="4" type="noConversion"/>
  </si>
  <si>
    <t>VREF2_SHORT3</t>
  </si>
  <si>
    <t>0x01C</t>
    <phoneticPr fontId="4" type="noConversion"/>
  </si>
  <si>
    <t>VREF2_SHORT2</t>
  </si>
  <si>
    <t>0x01B</t>
    <phoneticPr fontId="4" type="noConversion"/>
  </si>
  <si>
    <t>VREF2_SHORT1</t>
  </si>
  <si>
    <t>0x01A</t>
    <phoneticPr fontId="4" type="noConversion"/>
  </si>
  <si>
    <t>VREF2_OPEN</t>
  </si>
  <si>
    <t>0x019</t>
  </si>
  <si>
    <t>VREF_FB3</t>
  </si>
  <si>
    <t>0x018</t>
  </si>
  <si>
    <t>I_FR_CRC_ERR_SENT</t>
  </si>
  <si>
    <t>VREF_FB2</t>
  </si>
  <si>
    <t>0x017</t>
  </si>
  <si>
    <t>I_INVALID_RD_OP</t>
  </si>
  <si>
    <t>VREF_FB1</t>
  </si>
  <si>
    <t>0x016</t>
  </si>
  <si>
    <t>I_TIMEOUT_EXPIRED_FLAG</t>
  </si>
  <si>
    <t>VSS</t>
  </si>
  <si>
    <t>0x015</t>
  </si>
  <si>
    <t>I_LD_INVALID_END</t>
  </si>
  <si>
    <t>0x014</t>
  </si>
  <si>
    <t>I_INVALID_BIT_END</t>
  </si>
  <si>
    <t>0x013</t>
  </si>
  <si>
    <t>I_CHECKSUM_ERR</t>
  </si>
  <si>
    <t>0x012</t>
  </si>
  <si>
    <t>I_RST_CMD</t>
  </si>
  <si>
    <t>0x011</t>
    <phoneticPr fontId="4" type="noConversion"/>
  </si>
  <si>
    <t>I_DIN_BIT_DATA</t>
  </si>
  <si>
    <t>0x010</t>
    <phoneticPr fontId="4" type="noConversion"/>
  </si>
  <si>
    <t>1P5_OSC_UVOV_TEST</t>
    <phoneticPr fontId="4" type="noConversion"/>
  </si>
  <si>
    <t>0x00F</t>
    <phoneticPr fontId="4" type="noConversion"/>
  </si>
  <si>
    <t>I_VREF_UV</t>
  </si>
  <si>
    <t>1P5_DAC_UVOV_TEST</t>
    <phoneticPr fontId="4" type="noConversion"/>
  </si>
  <si>
    <t>0x00E</t>
    <phoneticPr fontId="4" type="noConversion"/>
  </si>
  <si>
    <t>I_VREF_OV</t>
  </si>
  <si>
    <t>1P5_UVOV_TEST</t>
    <phoneticPr fontId="4" type="noConversion"/>
  </si>
  <si>
    <t>0x00D</t>
    <phoneticPr fontId="4" type="noConversion"/>
  </si>
  <si>
    <t>I_OSC_LDO_UV</t>
  </si>
  <si>
    <t>0x00C</t>
    <phoneticPr fontId="4" type="noConversion"/>
  </si>
  <si>
    <t>I_OSC_LDO_OV</t>
  </si>
  <si>
    <t>0x00B</t>
    <phoneticPr fontId="4" type="noConversion"/>
  </si>
  <si>
    <t>I_LDO_UV</t>
  </si>
  <si>
    <t>VDD_UV</t>
    <phoneticPr fontId="4" type="noConversion"/>
  </si>
  <si>
    <t>0x00A</t>
    <phoneticPr fontId="4" type="noConversion"/>
  </si>
  <si>
    <t>I_LDO_OV</t>
  </si>
  <si>
    <t>TEST_VREF2_ZTC</t>
    <phoneticPr fontId="4" type="noConversion"/>
  </si>
  <si>
    <t>0x009</t>
  </si>
  <si>
    <t>I_FAULT_ALL</t>
  </si>
  <si>
    <t>0x008</t>
  </si>
  <si>
    <t>I_OPEN_ALL</t>
  </si>
  <si>
    <t>VREF2_TEST</t>
    <phoneticPr fontId="4" type="noConversion"/>
  </si>
  <si>
    <t>0x007</t>
  </si>
  <si>
    <t>I_SHORT_ALL</t>
  </si>
  <si>
    <t>VREF_TEST</t>
    <phoneticPr fontId="4" type="noConversion"/>
  </si>
  <si>
    <t>0x006</t>
  </si>
  <si>
    <t>I_FB_ALL</t>
  </si>
  <si>
    <t>VDD1P5_FLL_RES</t>
    <phoneticPr fontId="4" type="noConversion"/>
  </si>
  <si>
    <t>0x005</t>
  </si>
  <si>
    <t>I_THERMAL</t>
  </si>
  <si>
    <t>VDD1P5_DAC_RES</t>
    <phoneticPr fontId="4" type="noConversion"/>
  </si>
  <si>
    <t>0x004</t>
    <phoneticPr fontId="4" type="noConversion"/>
  </si>
  <si>
    <t>I_E_RST</t>
  </si>
  <si>
    <t>VDD1P5_DIG_RES</t>
    <phoneticPr fontId="4" type="noConversion"/>
  </si>
  <si>
    <t>0x003</t>
  </si>
  <si>
    <t>O_VSYNC_DIV2</t>
  </si>
  <si>
    <t>VREF1P5_BGR2_RES</t>
    <phoneticPr fontId="4" type="noConversion"/>
  </si>
  <si>
    <t>0x002</t>
  </si>
  <si>
    <t>I_SVSYNC_FAL_MNT</t>
  </si>
  <si>
    <t>IREF2_TEST</t>
    <phoneticPr fontId="4" type="noConversion"/>
  </si>
  <si>
    <t>0x001</t>
    <phoneticPr fontId="4" type="noConversion"/>
  </si>
  <si>
    <t>I_FAULT_TEST</t>
  </si>
  <si>
    <t>IREF_TEST</t>
    <phoneticPr fontId="4" type="noConversion"/>
  </si>
  <si>
    <t>0x000</t>
    <phoneticPr fontId="4" type="noConversion"/>
  </si>
  <si>
    <t>O_SVSYNC</t>
    <phoneticPr fontId="4" type="noConversion"/>
  </si>
  <si>
    <t>TEST</t>
    <phoneticPr fontId="4" type="noConversion"/>
  </si>
  <si>
    <t>0x39</t>
    <phoneticPr fontId="4" type="noConversion"/>
  </si>
  <si>
    <t>Normal mode (Actual operational scenario)</t>
    <phoneticPr fontId="6" type="noConversion"/>
  </si>
  <si>
    <t>FLL Test mode ( With 120Hz Pattern input DIN pin)</t>
    <phoneticPr fontId="6" type="noConversion"/>
  </si>
  <si>
    <t>singed</t>
    <phoneticPr fontId="4" type="noConversion"/>
  </si>
  <si>
    <t>Trim</t>
    <phoneticPr fontId="4" type="noConversion"/>
  </si>
  <si>
    <t>BGR1_TC[4:0]</t>
    <phoneticPr fontId="4" type="noConversion"/>
  </si>
  <si>
    <t>BGR2_TC[4:0]</t>
    <phoneticPr fontId="4" type="noConversion"/>
  </si>
  <si>
    <t>IREF1_CTL[4:0]</t>
    <phoneticPr fontId="4" type="noConversion"/>
  </si>
  <si>
    <t>IREF2_CTL[4:0]</t>
    <phoneticPr fontId="4" type="noConversion"/>
  </si>
  <si>
    <t>LDO_DAC_CTL[4:0]</t>
    <phoneticPr fontId="4" type="noConversion"/>
  </si>
  <si>
    <t>LDO_CTL[3:0]</t>
    <phoneticPr fontId="4" type="noConversion"/>
  </si>
  <si>
    <t>LDO_BGR2_CTL[4:0]</t>
    <phoneticPr fontId="4" type="noConversion"/>
  </si>
  <si>
    <t>LDO_OSC_CTL[3:0]</t>
    <phoneticPr fontId="4" type="noConversion"/>
  </si>
  <si>
    <t>OSC_RCTL[4:0]</t>
    <phoneticPr fontId="4" type="noConversion"/>
  </si>
  <si>
    <t>OSC_FCTL[31:0]</t>
    <phoneticPr fontId="4" type="noConversion"/>
  </si>
  <si>
    <t>OFS_TEMP[3:0]</t>
    <phoneticPr fontId="4" type="noConversion"/>
  </si>
  <si>
    <t>GAIN_CH(N)[6:0]</t>
    <phoneticPr fontId="4" type="noConversion"/>
  </si>
  <si>
    <t>MAX_DRV[3:0]</t>
    <phoneticPr fontId="4" type="noConversion"/>
  </si>
  <si>
    <t>FB_LEVEL[2:0]</t>
    <phoneticPr fontId="4" type="noConversion"/>
  </si>
  <si>
    <t>SHORT_LEVEL[2:0]</t>
    <phoneticPr fontId="4" type="noConversion"/>
  </si>
  <si>
    <t>ICC(uA)</t>
    <phoneticPr fontId="4" type="noConversion"/>
  </si>
  <si>
    <t>Bit</t>
    <phoneticPr fontId="4" type="noConversion"/>
  </si>
  <si>
    <t>BLOCK</t>
    <phoneticPr fontId="4" type="noConversion"/>
  </si>
  <si>
    <t>STANDBY</t>
    <phoneticPr fontId="4" type="noConversion"/>
  </si>
  <si>
    <t xml:space="preserve">ACTIVE </t>
    <phoneticPr fontId="4" type="noConversion"/>
  </si>
  <si>
    <r>
      <t>ACTIVE (150</t>
    </r>
    <r>
      <rPr>
        <b/>
        <sz val="12"/>
        <color theme="1"/>
        <rFont val="Segoe UI Symbol"/>
        <family val="2"/>
      </rPr>
      <t>℃</t>
    </r>
    <r>
      <rPr>
        <b/>
        <sz val="12"/>
        <color theme="1"/>
        <rFont val="맑은 고딕"/>
        <family val="2"/>
        <charset val="129"/>
      </rPr>
      <t>)</t>
    </r>
    <phoneticPr fontId="4" type="noConversion"/>
  </si>
  <si>
    <t>IDDQ(SCAN)</t>
    <phoneticPr fontId="4" type="noConversion"/>
  </si>
  <si>
    <t>*TEST_ANA*</t>
    <phoneticPr fontId="4" type="noConversion"/>
  </si>
  <si>
    <t>ABS</t>
    <phoneticPr fontId="4" type="noConversion"/>
  </si>
  <si>
    <t>BGR1</t>
    <phoneticPr fontId="4" type="noConversion"/>
  </si>
  <si>
    <t>CODE</t>
    <phoneticPr fontId="4" type="noConversion"/>
  </si>
  <si>
    <t>@ M40 / Voltage</t>
    <phoneticPr fontId="4" type="noConversion"/>
  </si>
  <si>
    <t>@ 30 / Voltage</t>
    <phoneticPr fontId="4" type="noConversion"/>
  </si>
  <si>
    <t>@ 100 / Voltage</t>
    <phoneticPr fontId="4" type="noConversion"/>
  </si>
  <si>
    <t>@ 120 / Voltage</t>
    <phoneticPr fontId="4" type="noConversion"/>
  </si>
  <si>
    <t>@ 150 / Voltage</t>
    <phoneticPr fontId="4" type="noConversion"/>
  </si>
  <si>
    <t>IREF1 TEST CUR : [uA]</t>
    <phoneticPr fontId="4" type="noConversion"/>
  </si>
  <si>
    <t>IREF2 TEST CUR : [uA]</t>
    <phoneticPr fontId="4" type="noConversion"/>
  </si>
  <si>
    <t>@Decimal</t>
    <phoneticPr fontId="4" type="noConversion"/>
  </si>
  <si>
    <t>@16mA</t>
    <phoneticPr fontId="4" type="noConversion"/>
  </si>
  <si>
    <t>Hys : 25mV</t>
    <phoneticPr fontId="4" type="noConversion"/>
  </si>
  <si>
    <t>BGR2</t>
    <phoneticPr fontId="4" type="noConversion"/>
  </si>
  <si>
    <t>POR</t>
    <phoneticPr fontId="4" type="noConversion"/>
  </si>
  <si>
    <t>UVOV</t>
    <phoneticPr fontId="4" type="noConversion"/>
  </si>
  <si>
    <t>LDO_1P5</t>
    <phoneticPr fontId="4" type="noConversion"/>
  </si>
  <si>
    <t>LDO_DAC</t>
    <phoneticPr fontId="4" type="noConversion"/>
  </si>
  <si>
    <t>IDAC_6CH_TOP(x2)</t>
    <phoneticPr fontId="4" type="noConversion"/>
  </si>
  <si>
    <t>FLL</t>
    <phoneticPr fontId="4" type="noConversion"/>
  </si>
  <si>
    <t>TOTAL</t>
    <phoneticPr fontId="4" type="noConversion"/>
  </si>
  <si>
    <t>0x5A5</t>
    <phoneticPr fontId="6" type="noConversion"/>
  </si>
  <si>
    <t>FLL_RANGE</t>
    <phoneticPr fontId="6" type="noConversion"/>
  </si>
  <si>
    <t>Case 1) MCLK = 40MHz</t>
    <phoneticPr fontId="6" type="noConversion"/>
  </si>
  <si>
    <t>Vsync</t>
    <phoneticPr fontId="6" type="noConversion"/>
  </si>
  <si>
    <t>Hz</t>
    <phoneticPr fontId="6" type="noConversion"/>
  </si>
  <si>
    <t>XD_MCLK</t>
    <phoneticPr fontId="6" type="noConversion"/>
  </si>
  <si>
    <t>MHz</t>
    <phoneticPr fontId="6" type="noConversion"/>
  </si>
  <si>
    <t>MCLK_LOCK_CNT [20:0]</t>
    <phoneticPr fontId="6" type="noConversion"/>
  </si>
  <si>
    <t>EA</t>
    <phoneticPr fontId="6" type="noConversion"/>
  </si>
  <si>
    <t>전체 21bit, 계산 후 반올림</t>
    <phoneticPr fontId="6" type="noConversion"/>
  </si>
  <si>
    <t>MCLK_LOCK_CNT [11:0]</t>
    <phoneticPr fontId="6" type="noConversion"/>
  </si>
  <si>
    <t>하위 12bit</t>
    <phoneticPr fontId="6" type="noConversion"/>
  </si>
  <si>
    <t>MCLK_LOCK_CNT [20:12]</t>
    <phoneticPr fontId="6" type="noConversion"/>
  </si>
  <si>
    <t>상위 9bit</t>
    <phoneticPr fontId="6" type="noConversion"/>
  </si>
  <si>
    <t>FLL_EN, FLL_RANGE 통합 (23번지)</t>
    <phoneticPr fontId="6" type="noConversion"/>
  </si>
  <si>
    <t>Case 2) MCLK = 50MHz</t>
    <phoneticPr fontId="6" type="noConversion"/>
  </si>
  <si>
    <t>Case 3) MCLK = 60MHz</t>
    <phoneticPr fontId="6" type="noConversion"/>
  </si>
  <si>
    <t>x</t>
    <phoneticPr fontId="4" type="noConversion"/>
  </si>
  <si>
    <t>FPWM_DIV1[7:0]</t>
    <phoneticPr fontId="6" type="noConversion"/>
  </si>
  <si>
    <t>FPWM_DIV2[7:4]</t>
  </si>
  <si>
    <t>OFFSET[8:0]</t>
    <phoneticPr fontId="4" type="noConversion"/>
  </si>
  <si>
    <t xml:space="preserve">DAC : 250 </t>
    <phoneticPr fontId="4" type="noConversion"/>
  </si>
  <si>
    <t>@8mA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</si>
</sst>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0.000%"/>
    <numFmt numFmtId="178" formatCode="0.000_);[Red]\(0.000\)"/>
    <numFmt numFmtId="179" formatCode="0.00_);[Red]\(0.00\)"/>
    <numFmt numFmtId="180" formatCode="&quot;0x&quot;0"/>
  </numFmts>
  <fonts count="3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Calibri"/>
      <family val="2"/>
    </font>
    <font>
      <sz val="8"/>
      <name val="맑은 고딕"/>
      <family val="2"/>
      <charset val="129"/>
      <scheme val="minor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rgb="FFFF0000"/>
      <name val="Calibri"/>
      <family val="2"/>
    </font>
    <font>
      <sz val="11"/>
      <color theme="2" tint="-0.249977111117893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1"/>
      <name val="Segoe UI Symbol"/>
      <family val="2"/>
    </font>
    <font>
      <b/>
      <sz val="12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color theme="2" tint="-0.249977111117893"/>
      <name val="Calibri"/>
      <family val="2"/>
    </font>
    <font>
      <b/>
      <sz val="12"/>
      <color theme="1"/>
      <name val="맑은 고딕"/>
      <family val="3"/>
      <charset val="129"/>
      <scheme val="minor"/>
    </font>
    <font>
      <b/>
      <sz val="12"/>
      <color theme="2" tint="-0.249977111117893"/>
      <name val="Calibri"/>
      <family val="2"/>
    </font>
    <font>
      <sz val="12"/>
      <color theme="2" tint="-9.9978637043366805E-2"/>
      <name val="Calibri"/>
      <family val="2"/>
    </font>
    <font>
      <b/>
      <sz val="12"/>
      <color theme="2" tint="-9.9978637043366805E-2"/>
      <name val="Calibri"/>
      <family val="2"/>
    </font>
    <font>
      <sz val="10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77">
    <xf numFmtId="0" fontId="0" fillId="0" borderId="0" xfId="0"/>
    <xf numFmtId="0" fontId="3" fillId="0" borderId="0" xfId="1" applyFont="1">
      <alignment vertical="center"/>
    </xf>
    <xf numFmtId="0" fontId="3" fillId="0" borderId="1" xfId="1" applyFont="1" applyBorder="1">
      <alignment vertical="center"/>
    </xf>
    <xf numFmtId="0" fontId="5" fillId="0" borderId="2" xfId="1" applyFont="1" applyBorder="1">
      <alignment vertical="center"/>
    </xf>
    <xf numFmtId="0" fontId="5" fillId="0" borderId="3" xfId="1" applyFont="1" applyBorder="1">
      <alignment vertical="center"/>
    </xf>
    <xf numFmtId="0" fontId="5" fillId="3" borderId="3" xfId="1" applyFont="1" applyFill="1" applyBorder="1" applyAlignment="1">
      <alignment horizontal="center" vertical="center" shrinkToFit="1"/>
    </xf>
    <xf numFmtId="0" fontId="5" fillId="3" borderId="6" xfId="1" applyFont="1" applyFill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8" xfId="1" applyFont="1" applyBorder="1">
      <alignment vertical="center"/>
    </xf>
    <xf numFmtId="0" fontId="5" fillId="2" borderId="11" xfId="1" applyFont="1" applyFill="1" applyBorder="1" applyAlignment="1">
      <alignment horizontal="center" vertical="center" shrinkToFit="1"/>
    </xf>
    <xf numFmtId="0" fontId="5" fillId="3" borderId="11" xfId="1" applyFont="1" applyFill="1" applyBorder="1" applyAlignment="1">
      <alignment horizontal="center" vertical="center" shrinkToFit="1"/>
    </xf>
    <xf numFmtId="0" fontId="5" fillId="3" borderId="12" xfId="1" applyFont="1" applyFill="1" applyBorder="1" applyAlignment="1">
      <alignment horizontal="center" vertical="center" shrinkToFit="1"/>
    </xf>
    <xf numFmtId="0" fontId="5" fillId="0" borderId="15" xfId="1" applyFont="1" applyBorder="1">
      <alignment vertical="center"/>
    </xf>
    <xf numFmtId="0" fontId="5" fillId="3" borderId="22" xfId="1" applyFont="1" applyFill="1" applyBorder="1" applyAlignment="1">
      <alignment horizontal="center" vertical="center" shrinkToFit="1"/>
    </xf>
    <xf numFmtId="0" fontId="5" fillId="3" borderId="23" xfId="1" applyFont="1" applyFill="1" applyBorder="1" applyAlignment="1">
      <alignment horizontal="center" vertical="center" shrinkToFit="1"/>
    </xf>
    <xf numFmtId="0" fontId="5" fillId="2" borderId="29" xfId="1" applyFont="1" applyFill="1" applyBorder="1" applyAlignment="1">
      <alignment horizontal="center" vertical="center" shrinkToFit="1"/>
    </xf>
    <xf numFmtId="0" fontId="5" fillId="3" borderId="29" xfId="1" applyFont="1" applyFill="1" applyBorder="1" applyAlignment="1">
      <alignment horizontal="center" vertical="center" shrinkToFit="1"/>
    </xf>
    <xf numFmtId="0" fontId="5" fillId="0" borderId="16" xfId="1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42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vertical="center" wrapText="1"/>
    </xf>
    <xf numFmtId="0" fontId="5" fillId="2" borderId="41" xfId="1" applyFont="1" applyFill="1" applyBorder="1" applyAlignment="1">
      <alignment horizontal="center" vertical="center"/>
    </xf>
    <xf numFmtId="0" fontId="5" fillId="3" borderId="4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/>
    </xf>
    <xf numFmtId="0" fontId="5" fillId="2" borderId="50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5" fillId="2" borderId="51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 wrapText="1"/>
    </xf>
    <xf numFmtId="0" fontId="7" fillId="2" borderId="51" xfId="1" applyFont="1" applyFill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5" fillId="3" borderId="34" xfId="1" applyFont="1" applyFill="1" applyBorder="1" applyAlignment="1">
      <alignment horizontal="center" vertical="center"/>
    </xf>
    <xf numFmtId="0" fontId="5" fillId="3" borderId="48" xfId="1" applyFont="1" applyFill="1" applyBorder="1" applyAlignment="1">
      <alignment horizontal="center" vertical="center"/>
    </xf>
    <xf numFmtId="0" fontId="5" fillId="2" borderId="53" xfId="1" applyFont="1" applyFill="1" applyBorder="1" applyAlignment="1">
      <alignment horizontal="center" vertical="center"/>
    </xf>
    <xf numFmtId="0" fontId="5" fillId="2" borderId="54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 wrapText="1"/>
    </xf>
    <xf numFmtId="0" fontId="7" fillId="3" borderId="12" xfId="1" applyFont="1" applyFill="1" applyBorder="1" applyAlignment="1">
      <alignment horizontal="center" vertical="center"/>
    </xf>
    <xf numFmtId="0" fontId="7" fillId="3" borderId="23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51" xfId="1" applyFont="1" applyFill="1" applyBorder="1" applyAlignment="1">
      <alignment horizontal="center" vertical="center"/>
    </xf>
    <xf numFmtId="0" fontId="5" fillId="2" borderId="55" xfId="1" applyFont="1" applyFill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 wrapText="1"/>
    </xf>
    <xf numFmtId="0" fontId="5" fillId="5" borderId="41" xfId="1" applyFont="1" applyFill="1" applyBorder="1" applyAlignment="1">
      <alignment horizontal="center" vertical="center"/>
    </xf>
    <xf numFmtId="0" fontId="5" fillId="5" borderId="11" xfId="1" applyFont="1" applyFill="1" applyBorder="1" applyAlignment="1">
      <alignment horizontal="center" vertical="center"/>
    </xf>
    <xf numFmtId="0" fontId="5" fillId="5" borderId="50" xfId="1" applyFont="1" applyFill="1" applyBorder="1" applyAlignment="1">
      <alignment horizontal="center" vertical="center"/>
    </xf>
    <xf numFmtId="0" fontId="5" fillId="5" borderId="29" xfId="1" applyFont="1" applyFill="1" applyBorder="1" applyAlignment="1">
      <alignment horizontal="center" vertical="center"/>
    </xf>
    <xf numFmtId="0" fontId="5" fillId="5" borderId="51" xfId="1" applyFont="1" applyFill="1" applyBorder="1" applyAlignment="1">
      <alignment horizontal="center" vertical="center"/>
    </xf>
    <xf numFmtId="0" fontId="5" fillId="5" borderId="54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/>
    </xf>
    <xf numFmtId="0" fontId="8" fillId="0" borderId="5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1" fillId="0" borderId="0" xfId="2">
      <alignment vertical="center"/>
    </xf>
    <xf numFmtId="0" fontId="11" fillId="0" borderId="58" xfId="3" applyFont="1" applyBorder="1" applyAlignment="1">
      <alignment horizontal="center" vertical="center" wrapText="1" readingOrder="1"/>
    </xf>
    <xf numFmtId="0" fontId="12" fillId="6" borderId="30" xfId="2" applyFont="1" applyFill="1" applyBorder="1" applyAlignment="1">
      <alignment horizontal="center" vertical="center"/>
    </xf>
    <xf numFmtId="0" fontId="13" fillId="0" borderId="0" xfId="2" applyFont="1">
      <alignment vertical="center"/>
    </xf>
    <xf numFmtId="0" fontId="12" fillId="7" borderId="30" xfId="2" applyFont="1" applyFill="1" applyBorder="1" applyAlignment="1">
      <alignment horizontal="center" vertical="center"/>
    </xf>
    <xf numFmtId="0" fontId="14" fillId="0" borderId="58" xfId="3" applyFont="1" applyBorder="1" applyAlignment="1">
      <alignment horizontal="center" vertical="center" wrapText="1" readingOrder="1"/>
    </xf>
    <xf numFmtId="0" fontId="10" fillId="0" borderId="58" xfId="3" applyFont="1" applyBorder="1" applyAlignment="1">
      <alignment horizontal="center" vertical="center" wrapText="1" readingOrder="1"/>
    </xf>
    <xf numFmtId="0" fontId="5" fillId="8" borderId="29" xfId="1" applyFont="1" applyFill="1" applyBorder="1" applyAlignment="1">
      <alignment horizontal="center" vertical="center"/>
    </xf>
    <xf numFmtId="0" fontId="5" fillId="8" borderId="50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41" xfId="1" applyFont="1" applyFill="1" applyBorder="1" applyAlignment="1">
      <alignment horizontal="center" vertical="center"/>
    </xf>
    <xf numFmtId="0" fontId="5" fillId="8" borderId="12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 shrinkToFit="1"/>
    </xf>
    <xf numFmtId="0" fontId="5" fillId="8" borderId="29" xfId="1" applyFont="1" applyFill="1" applyBorder="1" applyAlignment="1">
      <alignment horizontal="center" vertical="center" shrinkToFit="1"/>
    </xf>
    <xf numFmtId="0" fontId="15" fillId="0" borderId="0" xfId="0" applyFont="1"/>
    <xf numFmtId="0" fontId="16" fillId="0" borderId="0" xfId="0" applyFont="1"/>
    <xf numFmtId="0" fontId="16" fillId="4" borderId="29" xfId="0" applyFont="1" applyFill="1" applyBorder="1" applyAlignment="1">
      <alignment horizontal="center"/>
    </xf>
    <xf numFmtId="176" fontId="16" fillId="0" borderId="0" xfId="0" applyNumberFormat="1" applyFont="1"/>
    <xf numFmtId="176" fontId="0" fillId="0" borderId="0" xfId="0" applyNumberFormat="1"/>
    <xf numFmtId="0" fontId="17" fillId="9" borderId="30" xfId="0" applyFont="1" applyFill="1" applyBorder="1" applyAlignment="1">
      <alignment horizontal="center"/>
    </xf>
    <xf numFmtId="0" fontId="18" fillId="9" borderId="30" xfId="0" applyFont="1" applyFill="1" applyBorder="1" applyAlignment="1">
      <alignment horizontal="center"/>
    </xf>
    <xf numFmtId="11" fontId="0" fillId="0" borderId="0" xfId="0" applyNumberFormat="1"/>
    <xf numFmtId="177" fontId="0" fillId="0" borderId="0" xfId="4" applyNumberFormat="1" applyFont="1" applyAlignment="1"/>
    <xf numFmtId="0" fontId="18" fillId="8" borderId="30" xfId="0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20" fillId="8" borderId="30" xfId="0" quotePrefix="1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/>
    </xf>
    <xf numFmtId="0" fontId="24" fillId="0" borderId="30" xfId="0" applyFont="1" applyBorder="1" applyAlignment="1">
      <alignment horizontal="center"/>
    </xf>
    <xf numFmtId="0" fontId="18" fillId="9" borderId="29" xfId="0" quotePrefix="1" applyFont="1" applyFill="1" applyBorder="1"/>
    <xf numFmtId="0" fontId="18" fillId="9" borderId="30" xfId="0" quotePrefix="1" applyFont="1" applyFill="1" applyBorder="1" applyAlignment="1">
      <alignment horizontal="center"/>
    </xf>
    <xf numFmtId="0" fontId="25" fillId="9" borderId="30" xfId="0" applyFont="1" applyFill="1" applyBorder="1" applyAlignment="1">
      <alignment horizontal="center"/>
    </xf>
    <xf numFmtId="0" fontId="17" fillId="9" borderId="33" xfId="0" applyFont="1" applyFill="1" applyBorder="1" applyAlignment="1">
      <alignment horizontal="center" vertical="center"/>
    </xf>
    <xf numFmtId="0" fontId="26" fillId="3" borderId="23" xfId="4" applyNumberFormat="1" applyFont="1" applyFill="1" applyBorder="1" applyAlignment="1">
      <alignment horizontal="center"/>
    </xf>
    <xf numFmtId="0" fontId="26" fillId="8" borderId="22" xfId="4" applyNumberFormat="1" applyFont="1" applyFill="1" applyBorder="1" applyAlignment="1">
      <alignment horizontal="center"/>
    </xf>
    <xf numFmtId="0" fontId="26" fillId="8" borderId="47" xfId="4" applyNumberFormat="1" applyFont="1" applyFill="1" applyBorder="1" applyAlignment="1">
      <alignment horizontal="center"/>
    </xf>
    <xf numFmtId="0" fontId="25" fillId="8" borderId="23" xfId="4" applyNumberFormat="1" applyFont="1" applyFill="1" applyBorder="1" applyAlignment="1">
      <alignment horizontal="center"/>
    </xf>
    <xf numFmtId="0" fontId="25" fillId="8" borderId="22" xfId="4" applyNumberFormat="1" applyFont="1" applyFill="1" applyBorder="1" applyAlignment="1">
      <alignment horizontal="center"/>
    </xf>
    <xf numFmtId="0" fontId="25" fillId="8" borderId="47" xfId="4" applyNumberFormat="1" applyFont="1" applyFill="1" applyBorder="1" applyAlignment="1">
      <alignment horizontal="center"/>
    </xf>
    <xf numFmtId="0" fontId="25" fillId="8" borderId="30" xfId="0" applyFont="1" applyFill="1" applyBorder="1" applyAlignment="1">
      <alignment horizontal="center"/>
    </xf>
    <xf numFmtId="178" fontId="25" fillId="8" borderId="30" xfId="0" applyNumberFormat="1" applyFont="1" applyFill="1" applyBorder="1" applyAlignment="1">
      <alignment horizontal="center"/>
    </xf>
    <xf numFmtId="178" fontId="25" fillId="10" borderId="30" xfId="0" applyNumberFormat="1" applyFont="1" applyFill="1" applyBorder="1" applyAlignment="1">
      <alignment horizontal="center"/>
    </xf>
    <xf numFmtId="2" fontId="24" fillId="8" borderId="30" xfId="0" applyNumberFormat="1" applyFont="1" applyFill="1" applyBorder="1" applyAlignment="1">
      <alignment horizontal="center"/>
    </xf>
    <xf numFmtId="176" fontId="25" fillId="8" borderId="30" xfId="0" applyNumberFormat="1" applyFont="1" applyFill="1" applyBorder="1" applyAlignment="1">
      <alignment horizontal="center"/>
    </xf>
    <xf numFmtId="179" fontId="25" fillId="8" borderId="30" xfId="0" applyNumberFormat="1" applyFont="1" applyFill="1" applyBorder="1" applyAlignment="1">
      <alignment horizontal="center"/>
    </xf>
    <xf numFmtId="176" fontId="18" fillId="8" borderId="30" xfId="0" applyNumberFormat="1" applyFont="1" applyFill="1" applyBorder="1" applyAlignment="1">
      <alignment horizontal="center"/>
    </xf>
    <xf numFmtId="179" fontId="25" fillId="3" borderId="30" xfId="0" applyNumberFormat="1" applyFont="1" applyFill="1" applyBorder="1" applyAlignment="1">
      <alignment horizontal="center"/>
    </xf>
    <xf numFmtId="0" fontId="26" fillId="3" borderId="59" xfId="4" applyNumberFormat="1" applyFont="1" applyFill="1" applyBorder="1" applyAlignment="1">
      <alignment horizontal="center"/>
    </xf>
    <xf numFmtId="0" fontId="26" fillId="8" borderId="30" xfId="4" applyNumberFormat="1" applyFont="1" applyFill="1" applyBorder="1" applyAlignment="1">
      <alignment horizontal="center"/>
    </xf>
    <xf numFmtId="0" fontId="26" fillId="8" borderId="60" xfId="4" applyNumberFormat="1" applyFont="1" applyFill="1" applyBorder="1" applyAlignment="1">
      <alignment horizontal="center"/>
    </xf>
    <xf numFmtId="0" fontId="25" fillId="8" borderId="59" xfId="4" applyNumberFormat="1" applyFont="1" applyFill="1" applyBorder="1" applyAlignment="1">
      <alignment horizontal="center"/>
    </xf>
    <xf numFmtId="0" fontId="25" fillId="8" borderId="30" xfId="4" applyNumberFormat="1" applyFont="1" applyFill="1" applyBorder="1" applyAlignment="1">
      <alignment horizontal="center"/>
    </xf>
    <xf numFmtId="0" fontId="25" fillId="8" borderId="60" xfId="4" applyNumberFormat="1" applyFont="1" applyFill="1" applyBorder="1" applyAlignment="1">
      <alignment horizontal="center"/>
    </xf>
    <xf numFmtId="2" fontId="24" fillId="0" borderId="30" xfId="0" applyNumberFormat="1" applyFont="1" applyBorder="1" applyAlignment="1">
      <alignment horizontal="center"/>
    </xf>
    <xf numFmtId="0" fontId="24" fillId="0" borderId="30" xfId="0" quotePrefix="1" applyFont="1" applyBorder="1" applyAlignment="1">
      <alignment horizontal="center"/>
    </xf>
    <xf numFmtId="179" fontId="25" fillId="3" borderId="33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176" fontId="25" fillId="10" borderId="30" xfId="0" applyNumberFormat="1" applyFont="1" applyFill="1" applyBorder="1" applyAlignment="1">
      <alignment horizontal="center"/>
    </xf>
    <xf numFmtId="178" fontId="27" fillId="3" borderId="33" xfId="0" applyNumberFormat="1" applyFont="1" applyFill="1" applyBorder="1" applyAlignment="1">
      <alignment horizontal="center"/>
    </xf>
    <xf numFmtId="178" fontId="27" fillId="3" borderId="30" xfId="0" applyNumberFormat="1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7" fillId="3" borderId="30" xfId="0" applyFont="1" applyFill="1" applyBorder="1"/>
    <xf numFmtId="0" fontId="26" fillId="10" borderId="59" xfId="4" applyNumberFormat="1" applyFont="1" applyFill="1" applyBorder="1" applyAlignment="1">
      <alignment horizontal="center"/>
    </xf>
    <xf numFmtId="0" fontId="26" fillId="10" borderId="30" xfId="4" applyNumberFormat="1" applyFont="1" applyFill="1" applyBorder="1" applyAlignment="1">
      <alignment horizontal="center"/>
    </xf>
    <xf numFmtId="0" fontId="26" fillId="10" borderId="60" xfId="4" applyNumberFormat="1" applyFont="1" applyFill="1" applyBorder="1" applyAlignment="1">
      <alignment horizontal="center"/>
    </xf>
    <xf numFmtId="0" fontId="25" fillId="10" borderId="59" xfId="4" applyNumberFormat="1" applyFont="1" applyFill="1" applyBorder="1" applyAlignment="1">
      <alignment horizontal="center"/>
    </xf>
    <xf numFmtId="0" fontId="25" fillId="10" borderId="30" xfId="4" applyNumberFormat="1" applyFont="1" applyFill="1" applyBorder="1" applyAlignment="1">
      <alignment horizontal="center"/>
    </xf>
    <xf numFmtId="0" fontId="25" fillId="10" borderId="60" xfId="4" applyNumberFormat="1" applyFont="1" applyFill="1" applyBorder="1" applyAlignment="1">
      <alignment horizontal="center"/>
    </xf>
    <xf numFmtId="0" fontId="25" fillId="10" borderId="30" xfId="0" applyFont="1" applyFill="1" applyBorder="1" applyAlignment="1">
      <alignment horizontal="center"/>
    </xf>
    <xf numFmtId="176" fontId="29" fillId="3" borderId="30" xfId="0" applyNumberFormat="1" applyFont="1" applyFill="1" applyBorder="1"/>
    <xf numFmtId="0" fontId="29" fillId="3" borderId="30" xfId="0" applyFont="1" applyFill="1" applyBorder="1"/>
    <xf numFmtId="2" fontId="24" fillId="10" borderId="30" xfId="0" applyNumberFormat="1" applyFont="1" applyFill="1" applyBorder="1" applyAlignment="1">
      <alignment horizontal="center"/>
    </xf>
    <xf numFmtId="176" fontId="27" fillId="3" borderId="30" xfId="0" applyNumberFormat="1" applyFont="1" applyFill="1" applyBorder="1" applyAlignment="1">
      <alignment horizontal="center"/>
    </xf>
    <xf numFmtId="0" fontId="26" fillId="3" borderId="12" xfId="4" applyNumberFormat="1" applyFont="1" applyFill="1" applyBorder="1" applyAlignment="1">
      <alignment horizontal="center"/>
    </xf>
    <xf numFmtId="0" fontId="26" fillId="8" borderId="29" xfId="4" applyNumberFormat="1" applyFont="1" applyFill="1" applyBorder="1" applyAlignment="1">
      <alignment horizontal="center"/>
    </xf>
    <xf numFmtId="0" fontId="26" fillId="8" borderId="50" xfId="4" applyNumberFormat="1" applyFont="1" applyFill="1" applyBorder="1" applyAlignment="1">
      <alignment horizontal="center"/>
    </xf>
    <xf numFmtId="0" fontId="25" fillId="8" borderId="51" xfId="4" applyNumberFormat="1" applyFont="1" applyFill="1" applyBorder="1" applyAlignment="1">
      <alignment horizontal="center"/>
    </xf>
    <xf numFmtId="0" fontId="25" fillId="8" borderId="29" xfId="4" applyNumberFormat="1" applyFont="1" applyFill="1" applyBorder="1" applyAlignment="1">
      <alignment horizontal="center"/>
    </xf>
    <xf numFmtId="0" fontId="25" fillId="8" borderId="11" xfId="4" applyNumberFormat="1" applyFont="1" applyFill="1" applyBorder="1" applyAlignment="1">
      <alignment horizontal="center"/>
    </xf>
    <xf numFmtId="0" fontId="25" fillId="8" borderId="41" xfId="4" applyNumberFormat="1" applyFont="1" applyFill="1" applyBorder="1" applyAlignment="1">
      <alignment horizontal="center"/>
    </xf>
    <xf numFmtId="0" fontId="17" fillId="9" borderId="30" xfId="0" applyFont="1" applyFill="1" applyBorder="1" applyAlignment="1">
      <alignment horizontal="center" vertical="center"/>
    </xf>
    <xf numFmtId="0" fontId="30" fillId="3" borderId="34" xfId="0" applyFont="1" applyFill="1" applyBorder="1"/>
    <xf numFmtId="0" fontId="30" fillId="3" borderId="30" xfId="0" applyFont="1" applyFill="1" applyBorder="1"/>
    <xf numFmtId="0" fontId="31" fillId="3" borderId="30" xfId="0" applyFont="1" applyFill="1" applyBorder="1"/>
    <xf numFmtId="176" fontId="31" fillId="3" borderId="30" xfId="0" applyNumberFormat="1" applyFont="1" applyFill="1" applyBorder="1"/>
    <xf numFmtId="176" fontId="30" fillId="3" borderId="30" xfId="0" applyNumberFormat="1" applyFont="1" applyFill="1" applyBorder="1"/>
    <xf numFmtId="179" fontId="25" fillId="10" borderId="30" xfId="0" applyNumberFormat="1" applyFont="1" applyFill="1" applyBorder="1" applyAlignment="1">
      <alignment horizontal="center"/>
    </xf>
    <xf numFmtId="0" fontId="27" fillId="0" borderId="30" xfId="0" applyFont="1" applyBorder="1"/>
    <xf numFmtId="0" fontId="3" fillId="0" borderId="30" xfId="5" applyBorder="1">
      <alignment vertical="center"/>
    </xf>
    <xf numFmtId="0" fontId="3" fillId="4" borderId="30" xfId="5" applyFill="1" applyBorder="1">
      <alignment vertical="center"/>
    </xf>
    <xf numFmtId="0" fontId="3" fillId="0" borderId="0" xfId="5">
      <alignment vertical="center"/>
    </xf>
    <xf numFmtId="0" fontId="32" fillId="11" borderId="30" xfId="5" applyFont="1" applyFill="1" applyBorder="1">
      <alignment vertical="center"/>
    </xf>
    <xf numFmtId="0" fontId="32" fillId="0" borderId="30" xfId="5" applyFont="1" applyBorder="1">
      <alignment vertical="center"/>
    </xf>
    <xf numFmtId="180" fontId="32" fillId="0" borderId="30" xfId="5" applyNumberFormat="1" applyFont="1" applyBorder="1">
      <alignment vertical="center"/>
    </xf>
    <xf numFmtId="0" fontId="5" fillId="5" borderId="17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5" fillId="2" borderId="46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2" borderId="45" xfId="1" applyFont="1" applyFill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5" borderId="24" xfId="1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/>
    </xf>
    <xf numFmtId="0" fontId="5" fillId="0" borderId="49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55" xfId="1" applyFont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8" fillId="4" borderId="39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8" xfId="1" applyFont="1" applyFill="1" applyBorder="1" applyAlignment="1">
      <alignment horizontal="center" vertical="center"/>
    </xf>
    <xf numFmtId="0" fontId="5" fillId="0" borderId="56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8" borderId="24" xfId="1" applyFont="1" applyFill="1" applyBorder="1" applyAlignment="1">
      <alignment horizontal="center" vertical="center"/>
    </xf>
    <xf numFmtId="0" fontId="5" fillId="8" borderId="13" xfId="1" applyFont="1" applyFill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4" borderId="39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38" xfId="1" applyFont="1" applyFill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5" fillId="3" borderId="17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8" borderId="17" xfId="1" applyFont="1" applyFill="1" applyBorder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5" fillId="2" borderId="60" xfId="1" applyFont="1" applyFill="1" applyBorder="1" applyAlignment="1">
      <alignment horizontal="center" vertical="center"/>
    </xf>
    <xf numFmtId="0" fontId="5" fillId="2" borderId="59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52" xfId="1" applyFont="1" applyFill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8" borderId="24" xfId="1" applyFont="1" applyFill="1" applyBorder="1" applyAlignment="1">
      <alignment horizontal="center" vertical="center"/>
    </xf>
    <xf numFmtId="0" fontId="7" fillId="8" borderId="13" xfId="1" applyFont="1" applyFill="1" applyBorder="1" applyAlignment="1">
      <alignment horizontal="center" vertical="center"/>
    </xf>
    <xf numFmtId="0" fontId="7" fillId="2" borderId="21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shrinkToFit="1"/>
    </xf>
    <xf numFmtId="0" fontId="5" fillId="2" borderId="20" xfId="1" applyFont="1" applyFill="1" applyBorder="1" applyAlignment="1">
      <alignment horizontal="center" vertical="center" shrinkToFit="1"/>
    </xf>
    <xf numFmtId="0" fontId="5" fillId="2" borderId="19" xfId="1" applyFont="1" applyFill="1" applyBorder="1" applyAlignment="1">
      <alignment horizontal="center" vertical="center" shrinkToFit="1"/>
    </xf>
    <xf numFmtId="0" fontId="5" fillId="0" borderId="25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2" borderId="34" xfId="1" applyFont="1" applyFill="1" applyBorder="1" applyAlignment="1">
      <alignment horizontal="center" vertical="center" shrinkToFit="1"/>
    </xf>
    <xf numFmtId="0" fontId="5" fillId="2" borderId="33" xfId="1" applyFont="1" applyFill="1" applyBorder="1" applyAlignment="1">
      <alignment horizontal="center" vertical="center" shrinkToFit="1"/>
    </xf>
    <xf numFmtId="0" fontId="5" fillId="2" borderId="32" xfId="1" applyFont="1" applyFill="1" applyBorder="1" applyAlignment="1">
      <alignment horizontal="center" vertical="center" shrinkToFit="1"/>
    </xf>
    <xf numFmtId="0" fontId="5" fillId="2" borderId="31" xfId="1" applyFont="1" applyFill="1" applyBorder="1" applyAlignment="1">
      <alignment horizontal="center" vertical="center" shrinkToFit="1"/>
    </xf>
    <xf numFmtId="0" fontId="5" fillId="0" borderId="26" xfId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shrinkToFit="1"/>
    </xf>
    <xf numFmtId="0" fontId="5" fillId="2" borderId="5" xfId="1" applyFont="1" applyFill="1" applyBorder="1" applyAlignment="1">
      <alignment horizontal="center" vertical="center" shrinkToFit="1"/>
    </xf>
    <xf numFmtId="0" fontId="5" fillId="2" borderId="4" xfId="1" applyFont="1" applyFill="1" applyBorder="1" applyAlignment="1">
      <alignment horizontal="center" vertical="center" shrinkToFit="1"/>
    </xf>
    <xf numFmtId="0" fontId="5" fillId="0" borderId="28" xfId="1" applyFont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5" fillId="8" borderId="27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 shrinkToFit="1"/>
    </xf>
    <xf numFmtId="0" fontId="5" fillId="2" borderId="37" xfId="1" applyFont="1" applyFill="1" applyBorder="1" applyAlignment="1">
      <alignment horizontal="center" vertical="center" shrinkToFit="1"/>
    </xf>
    <xf numFmtId="0" fontId="5" fillId="2" borderId="36" xfId="1" applyFont="1" applyFill="1" applyBorder="1" applyAlignment="1">
      <alignment horizontal="center" vertical="center" shrinkToFit="1"/>
    </xf>
    <xf numFmtId="0" fontId="5" fillId="2" borderId="35" xfId="1" applyFont="1" applyFill="1" applyBorder="1" applyAlignment="1">
      <alignment horizontal="center" vertical="center" shrinkToFit="1"/>
    </xf>
    <xf numFmtId="0" fontId="5" fillId="2" borderId="30" xfId="1" applyFont="1" applyFill="1" applyBorder="1" applyAlignment="1">
      <alignment horizontal="center" vertical="center" shrinkToFit="1"/>
    </xf>
    <xf numFmtId="0" fontId="18" fillId="9" borderId="30" xfId="0" applyFont="1" applyFill="1" applyBorder="1" applyAlignment="1">
      <alignment horizontal="center"/>
    </xf>
    <xf numFmtId="0" fontId="32" fillId="0" borderId="29" xfId="5" applyFont="1" applyBorder="1" applyAlignment="1">
      <alignment horizontal="center" vertical="center"/>
    </xf>
    <xf numFmtId="0" fontId="32" fillId="0" borderId="61" xfId="5" applyFont="1" applyBorder="1" applyAlignment="1">
      <alignment horizontal="center" vertical="center"/>
    </xf>
    <xf numFmtId="0" fontId="32" fillId="0" borderId="34" xfId="5" applyFont="1" applyBorder="1" applyAlignment="1">
      <alignment horizontal="center" vertical="center"/>
    </xf>
    <xf numFmtId="0" fontId="3" fillId="11" borderId="30" xfId="5" applyFill="1" applyBorder="1" applyAlignment="1">
      <alignment horizontal="left" vertical="center"/>
    </xf>
    <xf numFmtId="0" fontId="0" fillId="0" borderId="30" xfId="0" applyFont="1" applyBorder="1" applyAlignment="1">
      <alignment horizontal="center"/>
    </xf>
    <xf numFmtId="0" fontId="15" fillId="0" borderId="30" xfId="0" applyFont="1" applyBorder="1"/>
    <xf numFmtId="0" fontId="0" fillId="9" borderId="30" xfId="0" applyFont="1" applyFill="1" applyBorder="1" applyAlignment="1">
      <alignment horizontal="center"/>
    </xf>
    <xf numFmtId="178" fontId="25" fillId="12" borderId="30" xfId="0" applyNumberFormat="1" applyFont="1" applyFill="1" applyBorder="1" applyAlignment="1">
      <alignment horizontal="center"/>
    </xf>
    <xf numFmtId="178" fontId="33" fillId="12" borderId="30" xfId="0" applyNumberFormat="1" applyFont="1" applyFill="1" applyBorder="1" applyAlignment="1">
      <alignment horizontal="center"/>
    </xf>
    <xf numFmtId="178" fontId="33" fillId="8" borderId="30" xfId="0" applyNumberFormat="1" applyFont="1" applyFill="1" applyBorder="1" applyAlignment="1">
      <alignment horizontal="center"/>
    </xf>
  </cellXfs>
  <cellStyles count="6">
    <cellStyle name="백분율" xfId="4" builtinId="5"/>
    <cellStyle name="표준" xfId="0" builtinId="0"/>
    <cellStyle name="표준 2" xfId="1" xr:uid="{3C4CB365-5F3C-43A0-91B9-6FFB97B0D617}"/>
    <cellStyle name="표준 2 2" xfId="3" xr:uid="{D19E6D23-64BB-4600-8E2E-DEACE5989A87}"/>
    <cellStyle name="표준 2 3" xfId="5" xr:uid="{245F27E7-431D-4032-847F-F41B9F3F1F8D}"/>
    <cellStyle name="표준 3" xfId="2" xr:uid="{8550D0AC-ACBE-40F9-81AA-5B86E379C5D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1</xdr:row>
      <xdr:rowOff>133350</xdr:rowOff>
    </xdr:from>
    <xdr:to>
      <xdr:col>20</xdr:col>
      <xdr:colOff>476250</xdr:colOff>
      <xdr:row>36</xdr:row>
      <xdr:rowOff>114300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5996909-0156-8E39-D396-62EC2166456C}"/>
            </a:ext>
          </a:extLst>
        </xdr:cNvPr>
        <xdr:cNvGrpSpPr/>
      </xdr:nvGrpSpPr>
      <xdr:grpSpPr>
        <a:xfrm>
          <a:off x="1193800" y="349250"/>
          <a:ext cx="12490450" cy="7537450"/>
          <a:chOff x="1141722" y="225023"/>
          <a:chExt cx="10747095" cy="6351090"/>
        </a:xfrm>
      </xdr:grpSpPr>
      <xdr:cxnSp macro="">
        <xdr:nvCxnSpPr>
          <xdr:cNvPr id="3" name="직선 연결선 2">
            <a:extLst>
              <a:ext uri="{FF2B5EF4-FFF2-40B4-BE49-F238E27FC236}">
                <a16:creationId xmlns:a16="http://schemas.microsoft.com/office/drawing/2014/main" id="{09F7CB1A-8ECB-1044-B19A-27787A7DC5EF}"/>
              </a:ext>
            </a:extLst>
          </xdr:cNvPr>
          <xdr:cNvCxnSpPr>
            <a:cxnSpLocks/>
          </xdr:cNvCxnSpPr>
        </xdr:nvCxnSpPr>
        <xdr:spPr>
          <a:xfrm flipV="1">
            <a:off x="34510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A028092B-D113-3AB5-2801-5975F05140B7}"/>
              </a:ext>
            </a:extLst>
          </xdr:cNvPr>
          <xdr:cNvSpPr/>
        </xdr:nvSpPr>
        <xdr:spPr>
          <a:xfrm>
            <a:off x="32192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AE1C29A6-E4EB-D847-0E92-D083E363CE6F}"/>
              </a:ext>
            </a:extLst>
          </xdr:cNvPr>
          <xdr:cNvCxnSpPr>
            <a:cxnSpLocks/>
          </xdr:cNvCxnSpPr>
        </xdr:nvCxnSpPr>
        <xdr:spPr>
          <a:xfrm flipV="1">
            <a:off x="40606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AA8F802-4F1F-9896-3B59-069BA9B57EAF}"/>
              </a:ext>
            </a:extLst>
          </xdr:cNvPr>
          <xdr:cNvSpPr/>
        </xdr:nvSpPr>
        <xdr:spPr>
          <a:xfrm>
            <a:off x="38288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FA9E1576-F8DA-BAA8-C37B-3AC256F3BB50}"/>
              </a:ext>
            </a:extLst>
          </xdr:cNvPr>
          <xdr:cNvCxnSpPr>
            <a:cxnSpLocks/>
          </xdr:cNvCxnSpPr>
        </xdr:nvCxnSpPr>
        <xdr:spPr>
          <a:xfrm flipV="1">
            <a:off x="46702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20D58091-5697-408E-1C76-611D57DF415C}"/>
              </a:ext>
            </a:extLst>
          </xdr:cNvPr>
          <xdr:cNvSpPr/>
        </xdr:nvSpPr>
        <xdr:spPr>
          <a:xfrm>
            <a:off x="44384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FA8702BF-7678-B0E5-D9B9-43A9E86AF14E}"/>
              </a:ext>
            </a:extLst>
          </xdr:cNvPr>
          <xdr:cNvCxnSpPr>
            <a:cxnSpLocks/>
          </xdr:cNvCxnSpPr>
        </xdr:nvCxnSpPr>
        <xdr:spPr>
          <a:xfrm flipV="1">
            <a:off x="52798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1809F586-C6CF-345A-6375-EF91D50FC00B}"/>
              </a:ext>
            </a:extLst>
          </xdr:cNvPr>
          <xdr:cNvSpPr/>
        </xdr:nvSpPr>
        <xdr:spPr>
          <a:xfrm>
            <a:off x="50480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B30F6F27-883A-FD05-DD41-E08A188BB6E7}"/>
              </a:ext>
            </a:extLst>
          </xdr:cNvPr>
          <xdr:cNvCxnSpPr>
            <a:cxnSpLocks/>
          </xdr:cNvCxnSpPr>
        </xdr:nvCxnSpPr>
        <xdr:spPr>
          <a:xfrm flipV="1">
            <a:off x="5874856" y="97875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6ECB7BDB-76AA-F1E9-7B7B-0ED00D1AFED7}"/>
              </a:ext>
            </a:extLst>
          </xdr:cNvPr>
          <xdr:cNvSpPr/>
        </xdr:nvSpPr>
        <xdr:spPr>
          <a:xfrm>
            <a:off x="5643080" y="42503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5B9275CA-86F0-5702-3D54-992E7F57C582}"/>
              </a:ext>
            </a:extLst>
          </xdr:cNvPr>
          <xdr:cNvCxnSpPr>
            <a:cxnSpLocks/>
          </xdr:cNvCxnSpPr>
        </xdr:nvCxnSpPr>
        <xdr:spPr>
          <a:xfrm flipV="1">
            <a:off x="6484456" y="97875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A6012450-68C7-CF5B-BFC7-1CAC166DA607}"/>
              </a:ext>
            </a:extLst>
          </xdr:cNvPr>
          <xdr:cNvSpPr/>
        </xdr:nvSpPr>
        <xdr:spPr>
          <a:xfrm>
            <a:off x="6252680" y="42503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47716BA7-491F-9145-12A7-79F9D2C4BFDF}"/>
              </a:ext>
            </a:extLst>
          </xdr:cNvPr>
          <xdr:cNvCxnSpPr>
            <a:cxnSpLocks/>
          </xdr:cNvCxnSpPr>
        </xdr:nvCxnSpPr>
        <xdr:spPr>
          <a:xfrm flipV="1">
            <a:off x="3444708" y="542419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36A5BC90-D978-890C-C04F-43FC3F90A451}"/>
              </a:ext>
            </a:extLst>
          </xdr:cNvPr>
          <xdr:cNvSpPr/>
        </xdr:nvSpPr>
        <xdr:spPr>
          <a:xfrm>
            <a:off x="3205630" y="573519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FCF2FAB3-961D-812F-D00F-7EF8CF5300EF}"/>
              </a:ext>
            </a:extLst>
          </xdr:cNvPr>
          <xdr:cNvCxnSpPr>
            <a:cxnSpLocks/>
          </xdr:cNvCxnSpPr>
        </xdr:nvCxnSpPr>
        <xdr:spPr>
          <a:xfrm flipV="1">
            <a:off x="4060658" y="541784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DD5ABC89-6FCB-24EA-2B45-90D8E20CE632}"/>
              </a:ext>
            </a:extLst>
          </xdr:cNvPr>
          <xdr:cNvSpPr/>
        </xdr:nvSpPr>
        <xdr:spPr>
          <a:xfrm>
            <a:off x="3821580" y="572884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4C7E726E-4D6A-6BE2-BFC1-FAE5F04E877B}"/>
              </a:ext>
            </a:extLst>
          </xdr:cNvPr>
          <xdr:cNvCxnSpPr>
            <a:cxnSpLocks/>
          </xdr:cNvCxnSpPr>
        </xdr:nvCxnSpPr>
        <xdr:spPr>
          <a:xfrm flipV="1">
            <a:off x="4670258" y="541784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CD239C1-2B83-B82D-ACF6-B9D60960AB4A}"/>
              </a:ext>
            </a:extLst>
          </xdr:cNvPr>
          <xdr:cNvSpPr/>
        </xdr:nvSpPr>
        <xdr:spPr>
          <a:xfrm>
            <a:off x="4431180" y="572884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4F22FB4E-2803-BD8F-CFF5-86C50221C1F3}"/>
              </a:ext>
            </a:extLst>
          </xdr:cNvPr>
          <xdr:cNvCxnSpPr>
            <a:cxnSpLocks/>
          </xdr:cNvCxnSpPr>
        </xdr:nvCxnSpPr>
        <xdr:spPr>
          <a:xfrm flipV="1">
            <a:off x="5273508" y="541784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9E94AEF-CFA7-D7E8-56E9-2FC3CA189290}"/>
              </a:ext>
            </a:extLst>
          </xdr:cNvPr>
          <xdr:cNvSpPr/>
        </xdr:nvSpPr>
        <xdr:spPr>
          <a:xfrm>
            <a:off x="5034430" y="572884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7E8A0498-40AD-A666-9CC2-A94476C23A7B}"/>
              </a:ext>
            </a:extLst>
          </xdr:cNvPr>
          <xdr:cNvCxnSpPr>
            <a:cxnSpLocks/>
          </xdr:cNvCxnSpPr>
        </xdr:nvCxnSpPr>
        <xdr:spPr>
          <a:xfrm flipV="1">
            <a:off x="5868506" y="542404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62D12144-DB0A-9B52-CD40-1011C2FD056B}"/>
              </a:ext>
            </a:extLst>
          </xdr:cNvPr>
          <xdr:cNvSpPr/>
        </xdr:nvSpPr>
        <xdr:spPr>
          <a:xfrm>
            <a:off x="5629428" y="573505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8A933A47-4728-395A-2D7A-E95EC5D5A8FF}"/>
              </a:ext>
            </a:extLst>
          </xdr:cNvPr>
          <xdr:cNvCxnSpPr>
            <a:cxnSpLocks/>
          </xdr:cNvCxnSpPr>
        </xdr:nvCxnSpPr>
        <xdr:spPr>
          <a:xfrm flipV="1">
            <a:off x="6478106" y="542404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DB02345-289C-3C48-32BB-4A197E2DDC58}"/>
              </a:ext>
            </a:extLst>
          </xdr:cNvPr>
          <xdr:cNvSpPr/>
        </xdr:nvSpPr>
        <xdr:spPr>
          <a:xfrm>
            <a:off x="6239028" y="573505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E0BB2E9-9EA3-6126-05F4-64FCDB2D7915}"/>
              </a:ext>
            </a:extLst>
          </xdr:cNvPr>
          <xdr:cNvSpPr/>
        </xdr:nvSpPr>
        <xdr:spPr>
          <a:xfrm>
            <a:off x="7578877" y="4543084"/>
            <a:ext cx="1642214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 / </a:t>
            </a:r>
            <a:r>
              <a:rPr lang="en-US" altLang="ko-KR" sz="600">
                <a:solidFill>
                  <a:srgbClr val="FF0000"/>
                </a:solidFill>
              </a:rPr>
              <a:t>3.3V Frequency ( ~ 10MHz)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09843A17-A875-7E32-650E-696643F5BECD}"/>
              </a:ext>
            </a:extLst>
          </xdr:cNvPr>
          <xdr:cNvCxnSpPr>
            <a:cxnSpLocks/>
          </xdr:cNvCxnSpPr>
        </xdr:nvCxnSpPr>
        <xdr:spPr>
          <a:xfrm>
            <a:off x="7236617" y="4741204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108AB37-0BA2-57D0-3ED4-AF1508B94E9B}"/>
              </a:ext>
            </a:extLst>
          </xdr:cNvPr>
          <xdr:cNvSpPr/>
        </xdr:nvSpPr>
        <xdr:spPr>
          <a:xfrm>
            <a:off x="7578878" y="399444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25AA077D-1A3A-C624-EF8A-0CE36C976C5A}"/>
              </a:ext>
            </a:extLst>
          </xdr:cNvPr>
          <xdr:cNvCxnSpPr>
            <a:cxnSpLocks/>
          </xdr:cNvCxnSpPr>
        </xdr:nvCxnSpPr>
        <xdr:spPr>
          <a:xfrm>
            <a:off x="7236617" y="4192564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5C25B615-81BD-43CB-6BEF-893A4F5D0466}"/>
              </a:ext>
            </a:extLst>
          </xdr:cNvPr>
          <xdr:cNvSpPr/>
        </xdr:nvSpPr>
        <xdr:spPr>
          <a:xfrm>
            <a:off x="1141722" y="453673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19712607-075D-B59B-0D5F-8C092E0D8FAD}"/>
              </a:ext>
            </a:extLst>
          </xdr:cNvPr>
          <xdr:cNvSpPr/>
        </xdr:nvSpPr>
        <xdr:spPr>
          <a:xfrm>
            <a:off x="1141722" y="398809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200EF638-9E86-6E1C-AED2-BB54DBA39FE3}"/>
              </a:ext>
            </a:extLst>
          </xdr:cNvPr>
          <xdr:cNvCxnSpPr>
            <a:cxnSpLocks/>
          </xdr:cNvCxnSpPr>
        </xdr:nvCxnSpPr>
        <xdr:spPr>
          <a:xfrm>
            <a:off x="2337742" y="4734146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A917A7FB-E367-0075-15EE-4D321E285180}"/>
              </a:ext>
            </a:extLst>
          </xdr:cNvPr>
          <xdr:cNvCxnSpPr>
            <a:cxnSpLocks/>
          </xdr:cNvCxnSpPr>
        </xdr:nvCxnSpPr>
        <xdr:spPr>
          <a:xfrm>
            <a:off x="2337742" y="4185506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직사각형 34">
            <a:extLst>
              <a:ext uri="{FF2B5EF4-FFF2-40B4-BE49-F238E27FC236}">
                <a16:creationId xmlns:a16="http://schemas.microsoft.com/office/drawing/2014/main" id="{C699BFE1-43B2-E6E7-AE47-A8ADF46ED4C9}"/>
              </a:ext>
            </a:extLst>
          </xdr:cNvPr>
          <xdr:cNvSpPr/>
        </xdr:nvSpPr>
        <xdr:spPr>
          <a:xfrm>
            <a:off x="1141722" y="178972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0 ~ 5.5V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0 ~ 100mA 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B4DB3599-C36F-AFA6-14B7-02F7A144A847}"/>
              </a:ext>
            </a:extLst>
          </xdr:cNvPr>
          <xdr:cNvCxnSpPr>
            <a:cxnSpLocks/>
          </xdr:cNvCxnSpPr>
        </xdr:nvCxnSpPr>
        <xdr:spPr>
          <a:xfrm>
            <a:off x="2337742" y="1987136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82C0A274-9C50-4918-12C0-A2792E81A7B8}"/>
              </a:ext>
            </a:extLst>
          </xdr:cNvPr>
          <xdr:cNvSpPr/>
        </xdr:nvSpPr>
        <xdr:spPr>
          <a:xfrm>
            <a:off x="7578878" y="2322771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0 ~ 5.5V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0 ~ 5.5V / 0 ~ 1mA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8" name="직선 연결선 37">
            <a:extLst>
              <a:ext uri="{FF2B5EF4-FFF2-40B4-BE49-F238E27FC236}">
                <a16:creationId xmlns:a16="http://schemas.microsoft.com/office/drawing/2014/main" id="{D7087D77-7AAF-40BE-E350-A1116F18A41D}"/>
              </a:ext>
            </a:extLst>
          </xdr:cNvPr>
          <xdr:cNvCxnSpPr>
            <a:cxnSpLocks/>
          </xdr:cNvCxnSpPr>
        </xdr:nvCxnSpPr>
        <xdr:spPr>
          <a:xfrm>
            <a:off x="7236617" y="2520891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9A8C40C7-F757-4363-8B35-F4EAF2BF57E3}"/>
              </a:ext>
            </a:extLst>
          </xdr:cNvPr>
          <xdr:cNvCxnSpPr>
            <a:cxnSpLocks/>
          </xdr:cNvCxnSpPr>
        </xdr:nvCxnSpPr>
        <xdr:spPr>
          <a:xfrm>
            <a:off x="1836332" y="990584"/>
            <a:ext cx="0" cy="24525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8903E4DF-9C68-3614-6347-DEEEFF6DA6F5}"/>
              </a:ext>
            </a:extLst>
          </xdr:cNvPr>
          <xdr:cNvCxnSpPr>
            <a:cxnSpLocks/>
          </xdr:cNvCxnSpPr>
        </xdr:nvCxnSpPr>
        <xdr:spPr>
          <a:xfrm>
            <a:off x="1755898" y="1235840"/>
            <a:ext cx="160867" cy="0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ED189935-07CB-925C-4DFD-13088BB8FF94}"/>
              </a:ext>
            </a:extLst>
          </xdr:cNvPr>
          <xdr:cNvCxnSpPr>
            <a:cxnSpLocks/>
          </xdr:cNvCxnSpPr>
        </xdr:nvCxnSpPr>
        <xdr:spPr>
          <a:xfrm>
            <a:off x="1755898" y="1280290"/>
            <a:ext cx="160867" cy="0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3C2DC24E-101D-B9C0-46A8-A22D99646C43}"/>
              </a:ext>
            </a:extLst>
          </xdr:cNvPr>
          <xdr:cNvCxnSpPr>
            <a:cxnSpLocks/>
          </xdr:cNvCxnSpPr>
        </xdr:nvCxnSpPr>
        <xdr:spPr>
          <a:xfrm>
            <a:off x="1836332" y="1280290"/>
            <a:ext cx="0" cy="15197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3315BDBC-6889-3D9C-0953-1C67E18B3608}"/>
              </a:ext>
            </a:extLst>
          </xdr:cNvPr>
          <xdr:cNvSpPr/>
        </xdr:nvSpPr>
        <xdr:spPr>
          <a:xfrm rot="10800000">
            <a:off x="1803548" y="1432267"/>
            <a:ext cx="65566" cy="64553"/>
          </a:xfrm>
          <a:prstGeom prst="triangl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" name="TextBox 66">
            <a:extLst>
              <a:ext uri="{FF2B5EF4-FFF2-40B4-BE49-F238E27FC236}">
                <a16:creationId xmlns:a16="http://schemas.microsoft.com/office/drawing/2014/main" id="{9AE757C5-8B7D-D2B4-4973-969C9C766CB6}"/>
              </a:ext>
            </a:extLst>
          </xdr:cNvPr>
          <xdr:cNvSpPr txBox="1"/>
        </xdr:nvSpPr>
        <xdr:spPr>
          <a:xfrm>
            <a:off x="1487070" y="1254556"/>
            <a:ext cx="407721" cy="18466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600"/>
              <a:t>100nF</a:t>
            </a:r>
            <a:endParaRPr lang="ko-KR" altLang="en-US" sz="600"/>
          </a:p>
        </xdr:txBody>
      </xdr: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1833C3C4-29D8-B3B9-3333-85958D6AA02A}"/>
              </a:ext>
            </a:extLst>
          </xdr:cNvPr>
          <xdr:cNvCxnSpPr>
            <a:cxnSpLocks/>
          </xdr:cNvCxnSpPr>
        </xdr:nvCxnSpPr>
        <xdr:spPr>
          <a:xfrm>
            <a:off x="1771777" y="990016"/>
            <a:ext cx="144988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68">
            <a:extLst>
              <a:ext uri="{FF2B5EF4-FFF2-40B4-BE49-F238E27FC236}">
                <a16:creationId xmlns:a16="http://schemas.microsoft.com/office/drawing/2014/main" id="{DEAFBBBC-D890-3B90-4E24-32B3C8FE6C84}"/>
              </a:ext>
            </a:extLst>
          </xdr:cNvPr>
          <xdr:cNvSpPr txBox="1"/>
        </xdr:nvSpPr>
        <xdr:spPr>
          <a:xfrm>
            <a:off x="1692134" y="851124"/>
            <a:ext cx="449262" cy="1692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500"/>
              <a:t>VDD</a:t>
            </a:r>
            <a:endParaRPr lang="ko-KR" altLang="en-US" sz="500"/>
          </a:p>
        </xdr:txBody>
      </xdr: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63364EE7-CA34-649F-F4DE-8AFA6531C355}"/>
              </a:ext>
            </a:extLst>
          </xdr:cNvPr>
          <xdr:cNvCxnSpPr>
            <a:cxnSpLocks/>
          </xdr:cNvCxnSpPr>
        </xdr:nvCxnSpPr>
        <xdr:spPr>
          <a:xfrm>
            <a:off x="2396319" y="3068928"/>
            <a:ext cx="28368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이등변 삼각형 47">
            <a:extLst>
              <a:ext uri="{FF2B5EF4-FFF2-40B4-BE49-F238E27FC236}">
                <a16:creationId xmlns:a16="http://schemas.microsoft.com/office/drawing/2014/main" id="{C0625EC8-4B59-D5E6-B68F-1A92B6530128}"/>
              </a:ext>
            </a:extLst>
          </xdr:cNvPr>
          <xdr:cNvSpPr/>
        </xdr:nvSpPr>
        <xdr:spPr>
          <a:xfrm rot="16200000">
            <a:off x="2293721" y="3022842"/>
            <a:ext cx="107282" cy="92172"/>
          </a:xfrm>
          <a:prstGeom prst="triangl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F0E36B03-7DF7-7944-B2B8-87E379820566}"/>
              </a:ext>
            </a:extLst>
          </xdr:cNvPr>
          <xdr:cNvSpPr/>
        </xdr:nvSpPr>
        <xdr:spPr>
          <a:xfrm>
            <a:off x="9472475" y="762521"/>
            <a:ext cx="831545" cy="419539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75D4AADF-753C-A15C-AAC2-47036F28C66D}"/>
              </a:ext>
            </a:extLst>
          </xdr:cNvPr>
          <xdr:cNvCxnSpPr>
            <a:cxnSpLocks/>
          </xdr:cNvCxnSpPr>
        </xdr:nvCxnSpPr>
        <xdr:spPr>
          <a:xfrm>
            <a:off x="10304020" y="960642"/>
            <a:ext cx="28368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833E6540-105D-1ECA-D70F-78432EAF49EA}"/>
              </a:ext>
            </a:extLst>
          </xdr:cNvPr>
          <xdr:cNvSpPr/>
        </xdr:nvSpPr>
        <xdr:spPr>
          <a:xfrm>
            <a:off x="10587704" y="762523"/>
            <a:ext cx="756350" cy="419538"/>
          </a:xfrm>
          <a:prstGeom prst="rect">
            <a:avLst/>
          </a:prstGeom>
          <a:solidFill>
            <a:srgbClr val="FFFF00"/>
          </a:solidFill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SRSTN</a:t>
            </a:r>
          </a:p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STEST</a:t>
            </a:r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217485D5-8454-EEEE-F532-D509A37C8406}"/>
              </a:ext>
            </a:extLst>
          </xdr:cNvPr>
          <xdr:cNvSpPr/>
        </xdr:nvSpPr>
        <xdr:spPr>
          <a:xfrm>
            <a:off x="9472475" y="1519088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0 ~ 5.5V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0 ~ 100mA 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53" name="직선 연결선 52">
            <a:extLst>
              <a:ext uri="{FF2B5EF4-FFF2-40B4-BE49-F238E27FC236}">
                <a16:creationId xmlns:a16="http://schemas.microsoft.com/office/drawing/2014/main" id="{89296CB0-F587-8484-9F80-6AE031FCE5C2}"/>
              </a:ext>
            </a:extLst>
          </xdr:cNvPr>
          <xdr:cNvCxnSpPr>
            <a:cxnSpLocks/>
          </xdr:cNvCxnSpPr>
        </xdr:nvCxnSpPr>
        <xdr:spPr>
          <a:xfrm>
            <a:off x="10682195" y="1693909"/>
            <a:ext cx="28368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4E5177A2-F0D5-4D59-AFA0-A790B4CAFDAA}"/>
              </a:ext>
            </a:extLst>
          </xdr:cNvPr>
          <xdr:cNvSpPr/>
        </xdr:nvSpPr>
        <xdr:spPr>
          <a:xfrm>
            <a:off x="10965879" y="1495790"/>
            <a:ext cx="756350" cy="419538"/>
          </a:xfrm>
          <a:prstGeom prst="rect">
            <a:avLst/>
          </a:prstGeom>
          <a:solidFill>
            <a:srgbClr val="FFFF00"/>
          </a:solidFill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VDD1P5</a:t>
            </a:r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1EA8B997-102A-9551-21B9-1580D298F3B3}"/>
              </a:ext>
            </a:extLst>
          </xdr:cNvPr>
          <xdr:cNvSpPr/>
        </xdr:nvSpPr>
        <xdr:spPr>
          <a:xfrm>
            <a:off x="9311608" y="225023"/>
            <a:ext cx="2577209" cy="2129478"/>
          </a:xfrm>
          <a:prstGeom prst="rect">
            <a:avLst/>
          </a:prstGeom>
          <a:noFill/>
          <a:ln w="12700"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6" name="TextBox 41">
            <a:extLst>
              <a:ext uri="{FF2B5EF4-FFF2-40B4-BE49-F238E27FC236}">
                <a16:creationId xmlns:a16="http://schemas.microsoft.com/office/drawing/2014/main" id="{3CD2914F-D7D6-6D5A-F02F-3137A8B9D7D3}"/>
              </a:ext>
            </a:extLst>
          </xdr:cNvPr>
          <xdr:cNvSpPr txBox="1"/>
        </xdr:nvSpPr>
        <xdr:spPr>
          <a:xfrm>
            <a:off x="9422174" y="281887"/>
            <a:ext cx="159007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00" b="1"/>
              <a:t>Wafer Test (PT) Only</a:t>
            </a:r>
            <a:endParaRPr lang="ko-KR" altLang="en-US" sz="1000" b="1"/>
          </a:p>
        </xdr:txBody>
      </xdr:sp>
      <xdr:pic>
        <xdr:nvPicPr>
          <xdr:cNvPr id="57" name="그림 56">
            <a:extLst>
              <a:ext uri="{FF2B5EF4-FFF2-40B4-BE49-F238E27FC236}">
                <a16:creationId xmlns:a16="http://schemas.microsoft.com/office/drawing/2014/main" id="{EC0F1D98-41AB-A1AF-8EDB-B65EF21089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84483" y="1280289"/>
            <a:ext cx="4556564" cy="4155885"/>
          </a:xfrm>
          <a:prstGeom prst="rect">
            <a:avLst/>
          </a:prstGeom>
        </xdr:spPr>
      </xdr:pic>
      <xdr:pic>
        <xdr:nvPicPr>
          <xdr:cNvPr id="58" name="그림 57">
            <a:extLst>
              <a:ext uri="{FF2B5EF4-FFF2-40B4-BE49-F238E27FC236}">
                <a16:creationId xmlns:a16="http://schemas.microsoft.com/office/drawing/2014/main" id="{18F78401-2BF8-7998-77B8-DA2D835654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955832" y="2635486"/>
            <a:ext cx="1573858" cy="3621916"/>
          </a:xfrm>
          <a:prstGeom prst="rect">
            <a:avLst/>
          </a:prstGeom>
        </xdr:spPr>
      </xdr:pic>
      <xdr:sp macro="" textlink="">
        <xdr:nvSpPr>
          <xdr:cNvPr id="59" name="TextBox 33">
            <a:extLst>
              <a:ext uri="{FF2B5EF4-FFF2-40B4-BE49-F238E27FC236}">
                <a16:creationId xmlns:a16="http://schemas.microsoft.com/office/drawing/2014/main" id="{54144E77-84C7-AF6D-102A-09DD1CEDC766}"/>
              </a:ext>
            </a:extLst>
          </xdr:cNvPr>
          <xdr:cNvSpPr txBox="1"/>
        </xdr:nvSpPr>
        <xdr:spPr>
          <a:xfrm>
            <a:off x="10076838" y="6237559"/>
            <a:ext cx="1359245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6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ID601(TSSOP)</a:t>
            </a:r>
            <a:endParaRPr lang="ko-KR" altLang="en-US" sz="1600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904875</xdr:colOff>
      <xdr:row>8</xdr:row>
      <xdr:rowOff>104775</xdr:rowOff>
    </xdr:from>
    <xdr:to>
      <xdr:col>4</xdr:col>
      <xdr:colOff>1895475</xdr:colOff>
      <xdr:row>8</xdr:row>
      <xdr:rowOff>104775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2F373A38-6A20-44E2-AF92-AFB93A390D59}"/>
            </a:ext>
          </a:extLst>
        </xdr:cNvPr>
        <xdr:cNvCxnSpPr/>
      </xdr:nvCxnSpPr>
      <xdr:spPr>
        <a:xfrm>
          <a:off x="3590925" y="173037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9</xdr:row>
      <xdr:rowOff>82550</xdr:rowOff>
    </xdr:from>
    <xdr:to>
      <xdr:col>4</xdr:col>
      <xdr:colOff>1892300</xdr:colOff>
      <xdr:row>9</xdr:row>
      <xdr:rowOff>82550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2C895156-F8D6-49F0-BA29-F72D02ACC430}"/>
            </a:ext>
          </a:extLst>
        </xdr:cNvPr>
        <xdr:cNvCxnSpPr/>
      </xdr:nvCxnSpPr>
      <xdr:spPr>
        <a:xfrm>
          <a:off x="3587750" y="191135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18</xdr:row>
      <xdr:rowOff>101600</xdr:rowOff>
    </xdr:from>
    <xdr:to>
      <xdr:col>4</xdr:col>
      <xdr:colOff>1892300</xdr:colOff>
      <xdr:row>18</xdr:row>
      <xdr:rowOff>101600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3245DA76-C53B-42B9-900D-AAE6C37F0824}"/>
            </a:ext>
          </a:extLst>
        </xdr:cNvPr>
        <xdr:cNvCxnSpPr/>
      </xdr:nvCxnSpPr>
      <xdr:spPr>
        <a:xfrm>
          <a:off x="3587750" y="375920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19</xdr:row>
      <xdr:rowOff>85725</xdr:rowOff>
    </xdr:from>
    <xdr:to>
      <xdr:col>4</xdr:col>
      <xdr:colOff>1895475</xdr:colOff>
      <xdr:row>19</xdr:row>
      <xdr:rowOff>85725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62672253-C3A4-4F06-96BD-9833E155E1BE}"/>
            </a:ext>
          </a:extLst>
        </xdr:cNvPr>
        <xdr:cNvCxnSpPr/>
      </xdr:nvCxnSpPr>
      <xdr:spPr>
        <a:xfrm>
          <a:off x="3590925" y="394652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28</xdr:row>
      <xdr:rowOff>101600</xdr:rowOff>
    </xdr:from>
    <xdr:to>
      <xdr:col>4</xdr:col>
      <xdr:colOff>1892300</xdr:colOff>
      <xdr:row>28</xdr:row>
      <xdr:rowOff>101600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3E6FB905-67FA-4AAD-BF76-B7E71130D827}"/>
            </a:ext>
          </a:extLst>
        </xdr:cNvPr>
        <xdr:cNvCxnSpPr/>
      </xdr:nvCxnSpPr>
      <xdr:spPr>
        <a:xfrm>
          <a:off x="3587750" y="579120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29</xdr:row>
      <xdr:rowOff>85725</xdr:rowOff>
    </xdr:from>
    <xdr:to>
      <xdr:col>4</xdr:col>
      <xdr:colOff>1895475</xdr:colOff>
      <xdr:row>29</xdr:row>
      <xdr:rowOff>85725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65CA1833-1A00-4C1D-AF45-38A43D4CFC93}"/>
            </a:ext>
          </a:extLst>
        </xdr:cNvPr>
        <xdr:cNvCxnSpPr/>
      </xdr:nvCxnSpPr>
      <xdr:spPr>
        <a:xfrm>
          <a:off x="3590925" y="597852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6350</xdr:colOff>
      <xdr:row>33</xdr:row>
      <xdr:rowOff>12700</xdr:rowOff>
    </xdr:from>
    <xdr:to>
      <xdr:col>20</xdr:col>
      <xdr:colOff>102331</xdr:colOff>
      <xdr:row>36</xdr:row>
      <xdr:rowOff>152439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CA33490-DB54-51F2-BDBC-FF38342AB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718300"/>
          <a:ext cx="14218381" cy="7493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김 영훈" id="{F065B05B-CA85-4840-87FF-78FF21AE852E}" userId="S::yhkim@solutionkorea.onmicrosoft.com::46bb9006-9f41-4d9d-9f9a-475cd2c881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9-08T04:50:17.09" personId="{F065B05B-CA85-4840-87FF-78FF21AE852E}" id="{BCDE67D4-6E4B-4E4E-97C2-0DA889103730}">
    <text>실제 하드웨어 에서는 해당 기능 삭제됨
(의미없는 Bit)</text>
  </threadedComment>
  <threadedComment ref="D86" dT="2026-09-18T01:45:22.74" personId="{F065B05B-CA85-4840-87FF-78FF21AE852E}" id="{9884FD60-13A3-4488-83EC-B1D53F74D588}">
    <text>0 : FLL Operation @ FLL_EN = 1
1 : Fixed Frequency @ FLL_EN = 1</text>
  </threadedComment>
  <threadedComment ref="I99" dT="2026-09-08T04:41:34.67" personId="{F065B05B-CA85-4840-87FF-78FF21AE852E}" id="{631C2C6D-3128-49D8-A0D7-75AB7E42B908}">
    <text>TEST_EN:1 시에
LD_TYPE을 무시하고 12채널에
VREF, FB , SHORT 데이터를 입력
01 : R
10 : G
11 : B</text>
  </threadedComment>
  <threadedComment ref="M99" dT="2026-09-08T04:46:18.00" personId="{F065B05B-CA85-4840-87FF-78FF21AE852E}" id="{0B386130-2AF5-4F7B-95B6-4D0EDC0E6880}">
    <text>READ 동작 가능하려면 =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D722-D190-4E87-8866-4C2F1A334060}">
  <sheetPr codeName="Sheet7"/>
  <dimension ref="A1:R173"/>
  <sheetViews>
    <sheetView showGridLines="0" zoomScale="85" zoomScaleNormal="85" workbookViewId="0">
      <pane ySplit="2" topLeftCell="A70" activePane="bottomLeft" state="frozen"/>
      <selection pane="bottomLeft" activeCell="V152" sqref="V152"/>
    </sheetView>
  </sheetViews>
  <sheetFormatPr defaultColWidth="8.83203125" defaultRowHeight="16" x14ac:dyDescent="0.45"/>
  <cols>
    <col min="1" max="1" width="28.08203125" style="1" customWidth="1"/>
    <col min="2" max="3" width="7.6640625" style="1" customWidth="1"/>
    <col min="4" max="15" width="11.58203125" style="1" customWidth="1"/>
    <col min="16" max="17" width="7.6640625" style="1" customWidth="1"/>
    <col min="18" max="18" width="28.1640625" style="1" customWidth="1"/>
    <col min="19" max="16384" width="8.83203125" style="1"/>
  </cols>
  <sheetData>
    <row r="1" spans="1:18" ht="16.5" thickBot="1" x14ac:dyDescent="0.5"/>
    <row r="2" spans="1:18" ht="16.5" thickBot="1" x14ac:dyDescent="0.5">
      <c r="A2" s="67" t="s">
        <v>374</v>
      </c>
      <c r="B2" s="63" t="s">
        <v>373</v>
      </c>
      <c r="C2" s="66" t="s">
        <v>372</v>
      </c>
      <c r="D2" s="65" t="s">
        <v>371</v>
      </c>
      <c r="E2" s="64" t="s">
        <v>370</v>
      </c>
      <c r="F2" s="64" t="s">
        <v>369</v>
      </c>
      <c r="G2" s="64" t="s">
        <v>368</v>
      </c>
      <c r="H2" s="64" t="s">
        <v>367</v>
      </c>
      <c r="I2" s="64" t="s">
        <v>366</v>
      </c>
      <c r="J2" s="64" t="s">
        <v>365</v>
      </c>
      <c r="K2" s="64" t="s">
        <v>364</v>
      </c>
      <c r="L2" s="64" t="s">
        <v>363</v>
      </c>
      <c r="M2" s="64" t="s">
        <v>362</v>
      </c>
      <c r="N2" s="64" t="s">
        <v>361</v>
      </c>
      <c r="O2" s="62" t="s">
        <v>360</v>
      </c>
      <c r="P2" s="63" t="s">
        <v>359</v>
      </c>
      <c r="Q2" s="62" t="s">
        <v>358</v>
      </c>
      <c r="R2" s="61" t="s">
        <v>357</v>
      </c>
    </row>
    <row r="3" spans="1:18" ht="17.5" customHeight="1" x14ac:dyDescent="0.45">
      <c r="A3" s="182" t="s">
        <v>356</v>
      </c>
      <c r="B3" s="184" t="s">
        <v>71</v>
      </c>
      <c r="C3" s="210" t="s">
        <v>355</v>
      </c>
      <c r="D3" s="38" t="s">
        <v>354</v>
      </c>
      <c r="E3" s="32" t="s">
        <v>353</v>
      </c>
      <c r="F3" s="32" t="s">
        <v>352</v>
      </c>
      <c r="G3" s="32" t="s">
        <v>351</v>
      </c>
      <c r="H3" s="26" t="s">
        <v>1</v>
      </c>
      <c r="I3" s="26" t="s">
        <v>1</v>
      </c>
      <c r="J3" s="26" t="s">
        <v>1</v>
      </c>
      <c r="K3" s="211" t="s">
        <v>350</v>
      </c>
      <c r="L3" s="211"/>
      <c r="M3" s="211"/>
      <c r="N3" s="211"/>
      <c r="O3" s="199"/>
      <c r="P3" s="191" cm="1">
        <f t="array" ref="P3">SUMPRODUCT($D4:$O4, 2^(COLUMN($O4)-COLUMN($D4:$O4)))</f>
        <v>256</v>
      </c>
      <c r="Q3" s="221" t="str">
        <f>"0x"&amp;DEC2HEX($P3, 3)</f>
        <v>0x100</v>
      </c>
      <c r="R3" s="180"/>
    </row>
    <row r="4" spans="1:18" ht="17" customHeight="1" thickBot="1" x14ac:dyDescent="0.5">
      <c r="A4" s="209"/>
      <c r="B4" s="185"/>
      <c r="C4" s="187"/>
      <c r="D4" s="54">
        <v>0</v>
      </c>
      <c r="E4" s="43">
        <v>0</v>
      </c>
      <c r="F4" s="43">
        <v>0</v>
      </c>
      <c r="G4" s="89">
        <v>1</v>
      </c>
      <c r="H4" s="44">
        <v>0</v>
      </c>
      <c r="I4" s="44">
        <v>0</v>
      </c>
      <c r="J4" s="44">
        <v>0</v>
      </c>
      <c r="K4" s="43">
        <v>0</v>
      </c>
      <c r="L4" s="43">
        <v>0</v>
      </c>
      <c r="M4" s="43">
        <v>0</v>
      </c>
      <c r="N4" s="43">
        <v>0</v>
      </c>
      <c r="O4" s="53">
        <v>0</v>
      </c>
      <c r="P4" s="192"/>
      <c r="Q4" s="222"/>
      <c r="R4" s="181"/>
    </row>
    <row r="5" spans="1:18" ht="17" customHeight="1" x14ac:dyDescent="0.45">
      <c r="A5" s="182" t="s">
        <v>349</v>
      </c>
      <c r="B5" s="184" t="s">
        <v>348</v>
      </c>
      <c r="C5" s="186" t="s">
        <v>2</v>
      </c>
      <c r="D5" s="200" t="s">
        <v>347</v>
      </c>
      <c r="E5" s="211"/>
      <c r="F5" s="211"/>
      <c r="G5" s="211"/>
      <c r="H5" s="211"/>
      <c r="I5" s="211"/>
      <c r="J5" s="32" t="s">
        <v>346</v>
      </c>
      <c r="K5" s="32" t="s">
        <v>345</v>
      </c>
      <c r="L5" s="32" t="s">
        <v>344</v>
      </c>
      <c r="M5" s="32" t="s">
        <v>343</v>
      </c>
      <c r="N5" s="32" t="s">
        <v>342</v>
      </c>
      <c r="O5" s="31" t="s">
        <v>341</v>
      </c>
      <c r="P5" s="191" cm="1">
        <f t="array" ref="P5">SUMPRODUCT($D6:$O6, 2^(COLUMN($O6)-COLUMN($D6:$O6)))</f>
        <v>0</v>
      </c>
      <c r="Q5" s="219" t="str">
        <f>"0x"&amp;DEC2HEX($P5, 3)</f>
        <v>0x000</v>
      </c>
      <c r="R5" s="180"/>
    </row>
    <row r="6" spans="1:18" ht="16.5" thickBot="1" x14ac:dyDescent="0.5">
      <c r="A6" s="183"/>
      <c r="B6" s="185"/>
      <c r="C6" s="187"/>
      <c r="D6" s="20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60">
        <v>0</v>
      </c>
      <c r="P6" s="192"/>
      <c r="Q6" s="220"/>
      <c r="R6" s="181"/>
    </row>
    <row r="7" spans="1:18" ht="17" customHeight="1" x14ac:dyDescent="0.45">
      <c r="A7" s="182" t="s">
        <v>340</v>
      </c>
      <c r="B7" s="184" t="s">
        <v>66</v>
      </c>
      <c r="C7" s="186" t="s">
        <v>2</v>
      </c>
      <c r="D7" s="34" t="s">
        <v>1</v>
      </c>
      <c r="E7" s="26" t="s">
        <v>1</v>
      </c>
      <c r="F7" s="26" t="s">
        <v>1</v>
      </c>
      <c r="G7" s="26" t="s">
        <v>1</v>
      </c>
      <c r="H7" s="26" t="s">
        <v>1</v>
      </c>
      <c r="I7" s="26" t="s">
        <v>1</v>
      </c>
      <c r="J7" s="199" t="s">
        <v>339</v>
      </c>
      <c r="K7" s="189"/>
      <c r="L7" s="189"/>
      <c r="M7" s="189"/>
      <c r="N7" s="189"/>
      <c r="O7" s="190"/>
      <c r="P7" s="191" cm="1">
        <f t="array" ref="P7">SUMPRODUCT($D8:$O8, 2^(COLUMN($O8)-COLUMN($D8:$O8)))</f>
        <v>0</v>
      </c>
      <c r="Q7" s="219" t="str">
        <f>"0x"&amp;DEC2HEX($P7, 3)</f>
        <v>0x000</v>
      </c>
      <c r="R7" s="180"/>
    </row>
    <row r="8" spans="1:18" ht="16.5" thickBot="1" x14ac:dyDescent="0.5">
      <c r="A8" s="183"/>
      <c r="B8" s="185"/>
      <c r="C8" s="187"/>
      <c r="D8" s="30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60">
        <v>0</v>
      </c>
      <c r="P8" s="192"/>
      <c r="Q8" s="220"/>
      <c r="R8" s="181"/>
    </row>
    <row r="9" spans="1:18" ht="17" customHeight="1" x14ac:dyDescent="0.45">
      <c r="A9" s="214" t="s">
        <v>338</v>
      </c>
      <c r="B9" s="184" t="s">
        <v>62</v>
      </c>
      <c r="C9" s="227" t="s">
        <v>2</v>
      </c>
      <c r="D9" s="188" t="s">
        <v>337</v>
      </c>
      <c r="E9" s="189"/>
      <c r="F9" s="189"/>
      <c r="G9" s="200"/>
      <c r="H9" s="199" t="s">
        <v>524</v>
      </c>
      <c r="I9" s="189"/>
      <c r="J9" s="189"/>
      <c r="K9" s="189"/>
      <c r="L9" s="189"/>
      <c r="M9" s="189"/>
      <c r="N9" s="189"/>
      <c r="O9" s="190"/>
      <c r="P9" s="201" cm="1">
        <f t="array" ref="P9">SUMPRODUCT($D10:$O10, 2^(COLUMN($O10)-COLUMN($D10:$O10)))</f>
        <v>0</v>
      </c>
      <c r="Q9" s="219" t="str">
        <f>"0x"&amp;DEC2HEX($P9, 3)</f>
        <v>0x000</v>
      </c>
      <c r="R9" s="180"/>
    </row>
    <row r="10" spans="1:18" ht="17.5" customHeight="1" thickBot="1" x14ac:dyDescent="0.5">
      <c r="A10" s="204"/>
      <c r="B10" s="185"/>
      <c r="C10" s="228"/>
      <c r="D10" s="45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2">
        <v>0</v>
      </c>
      <c r="P10" s="202"/>
      <c r="Q10" s="220"/>
      <c r="R10" s="181"/>
    </row>
    <row r="11" spans="1:18" ht="17" customHeight="1" x14ac:dyDescent="0.45">
      <c r="A11" s="203" t="s">
        <v>336</v>
      </c>
      <c r="B11" s="184" t="s">
        <v>59</v>
      </c>
      <c r="C11" s="227" t="s">
        <v>2</v>
      </c>
      <c r="D11" s="231" t="s">
        <v>335</v>
      </c>
      <c r="E11" s="229"/>
      <c r="F11" s="229"/>
      <c r="G11" s="229"/>
      <c r="H11" s="229"/>
      <c r="I11" s="229"/>
      <c r="J11" s="229"/>
      <c r="K11" s="229"/>
      <c r="L11" s="229" t="s">
        <v>525</v>
      </c>
      <c r="M11" s="229"/>
      <c r="N11" s="229"/>
      <c r="O11" s="230"/>
      <c r="P11" s="201" cm="1">
        <f t="array" ref="P11">SUMPRODUCT($D12:$O12, 2^(COLUMN($O12)-COLUMN($D12:$O12)))</f>
        <v>0</v>
      </c>
      <c r="Q11" s="219" t="str">
        <f>"0x"&amp;DEC2HEX($P11, 3)</f>
        <v>0x000</v>
      </c>
      <c r="R11" s="180"/>
    </row>
    <row r="12" spans="1:18" ht="17.5" customHeight="1" thickBot="1" x14ac:dyDescent="0.5">
      <c r="A12" s="204"/>
      <c r="B12" s="185"/>
      <c r="C12" s="228"/>
      <c r="D12" s="45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2">
        <v>0</v>
      </c>
      <c r="P12" s="202"/>
      <c r="Q12" s="220"/>
      <c r="R12" s="181"/>
    </row>
    <row r="13" spans="1:18" x14ac:dyDescent="0.45">
      <c r="A13" s="182" t="s">
        <v>334</v>
      </c>
      <c r="B13" s="184" t="s">
        <v>55</v>
      </c>
      <c r="C13" s="227" t="s">
        <v>2</v>
      </c>
      <c r="D13" s="39" t="s">
        <v>333</v>
      </c>
      <c r="E13" s="32" t="s">
        <v>332</v>
      </c>
      <c r="F13" s="32" t="s">
        <v>331</v>
      </c>
      <c r="G13" s="32" t="s">
        <v>330</v>
      </c>
      <c r="H13" s="32" t="s">
        <v>329</v>
      </c>
      <c r="I13" s="32" t="s">
        <v>328</v>
      </c>
      <c r="J13" s="32" t="s">
        <v>327</v>
      </c>
      <c r="K13" s="32" t="s">
        <v>326</v>
      </c>
      <c r="L13" s="32" t="s">
        <v>325</v>
      </c>
      <c r="M13" s="32" t="s">
        <v>324</v>
      </c>
      <c r="N13" s="32" t="s">
        <v>323</v>
      </c>
      <c r="O13" s="35" t="s">
        <v>322</v>
      </c>
      <c r="P13" s="201" cm="1">
        <f t="array" ref="P13">SUMPRODUCT($D14:$O14, 2^(COLUMN($O14)-COLUMN($D14:$O14)))</f>
        <v>0</v>
      </c>
      <c r="Q13" s="219" t="str">
        <f>"0x"&amp;DEC2HEX($P13, 3)</f>
        <v>0x000</v>
      </c>
      <c r="R13" s="180"/>
    </row>
    <row r="14" spans="1:18" ht="16.5" thickBot="1" x14ac:dyDescent="0.5">
      <c r="A14" s="183"/>
      <c r="B14" s="185"/>
      <c r="C14" s="228"/>
      <c r="D14" s="36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29">
        <v>0</v>
      </c>
      <c r="P14" s="202"/>
      <c r="Q14" s="220"/>
      <c r="R14" s="181"/>
    </row>
    <row r="15" spans="1:18" ht="17" customHeight="1" x14ac:dyDescent="0.45">
      <c r="A15" s="182" t="s">
        <v>321</v>
      </c>
      <c r="B15" s="184" t="s">
        <v>52</v>
      </c>
      <c r="C15" s="227" t="s">
        <v>320</v>
      </c>
      <c r="D15" s="41" t="s">
        <v>1</v>
      </c>
      <c r="E15" s="199" t="s">
        <v>319</v>
      </c>
      <c r="F15" s="200"/>
      <c r="G15" s="199" t="s">
        <v>318</v>
      </c>
      <c r="H15" s="200"/>
      <c r="I15" s="32" t="s">
        <v>317</v>
      </c>
      <c r="J15" s="32" t="s">
        <v>316</v>
      </c>
      <c r="K15" s="32" t="s">
        <v>315</v>
      </c>
      <c r="L15" s="32" t="s">
        <v>314</v>
      </c>
      <c r="M15" s="32" t="s">
        <v>313</v>
      </c>
      <c r="N15" s="32" t="s">
        <v>312</v>
      </c>
      <c r="O15" s="35" t="s">
        <v>311</v>
      </c>
      <c r="P15" s="201" cm="1">
        <f t="array" ref="P15">SUMPRODUCT($D16:$O16, 2^(COLUMN($O16)-COLUMN($D16:$O16)))</f>
        <v>60</v>
      </c>
      <c r="Q15" s="221" t="str">
        <f>"0x"&amp;DEC2HEX($P15, 3)</f>
        <v>0x03C</v>
      </c>
      <c r="R15" s="180"/>
    </row>
    <row r="16" spans="1:18" ht="16.5" thickBot="1" x14ac:dyDescent="0.5">
      <c r="A16" s="183"/>
      <c r="B16" s="185"/>
      <c r="C16" s="228"/>
      <c r="D16" s="59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89">
        <v>1</v>
      </c>
      <c r="K16" s="89">
        <v>1</v>
      </c>
      <c r="L16" s="89">
        <v>1</v>
      </c>
      <c r="M16" s="89">
        <v>1</v>
      </c>
      <c r="N16" s="89">
        <v>0</v>
      </c>
      <c r="O16" s="90">
        <v>0</v>
      </c>
      <c r="P16" s="202"/>
      <c r="Q16" s="222"/>
      <c r="R16" s="181"/>
    </row>
    <row r="17" spans="1:18" ht="17" customHeight="1" x14ac:dyDescent="0.45">
      <c r="A17" s="214" t="s">
        <v>310</v>
      </c>
      <c r="B17" s="184" t="s">
        <v>50</v>
      </c>
      <c r="C17" s="227" t="s">
        <v>2</v>
      </c>
      <c r="D17" s="41" t="s">
        <v>1</v>
      </c>
      <c r="E17" s="26" t="s">
        <v>1</v>
      </c>
      <c r="F17" s="26" t="s">
        <v>1</v>
      </c>
      <c r="G17" s="211" t="s">
        <v>309</v>
      </c>
      <c r="H17" s="211"/>
      <c r="I17" s="211"/>
      <c r="J17" s="211" t="s">
        <v>308</v>
      </c>
      <c r="K17" s="211"/>
      <c r="L17" s="211"/>
      <c r="M17" s="211" t="s">
        <v>307</v>
      </c>
      <c r="N17" s="211"/>
      <c r="O17" s="226"/>
      <c r="P17" s="201" cm="1">
        <f t="array" ref="P17">SUMPRODUCT($D18:$O18, 2^(COLUMN($O18)-COLUMN($D18:$O18)))</f>
        <v>0</v>
      </c>
      <c r="Q17" s="219" t="str">
        <f>"0x"&amp;DEC2HEX($P17, 3)</f>
        <v>0x000</v>
      </c>
      <c r="R17" s="180"/>
    </row>
    <row r="18" spans="1:18" ht="17.5" customHeight="1" thickBot="1" x14ac:dyDescent="0.5">
      <c r="A18" s="204"/>
      <c r="B18" s="185"/>
      <c r="C18" s="228"/>
      <c r="D18" s="40">
        <v>0</v>
      </c>
      <c r="E18" s="23">
        <v>0</v>
      </c>
      <c r="F18" s="23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29">
        <v>0</v>
      </c>
      <c r="P18" s="202"/>
      <c r="Q18" s="220"/>
      <c r="R18" s="181"/>
    </row>
    <row r="19" spans="1:18" ht="17" customHeight="1" x14ac:dyDescent="0.45">
      <c r="A19" s="203" t="s">
        <v>306</v>
      </c>
      <c r="B19" s="184" t="s">
        <v>48</v>
      </c>
      <c r="C19" s="227" t="s">
        <v>2</v>
      </c>
      <c r="D19" s="41" t="s">
        <v>1</v>
      </c>
      <c r="E19" s="26" t="s">
        <v>1</v>
      </c>
      <c r="F19" s="26" t="s">
        <v>1</v>
      </c>
      <c r="G19" s="211" t="s">
        <v>305</v>
      </c>
      <c r="H19" s="211"/>
      <c r="I19" s="211"/>
      <c r="J19" s="211" t="s">
        <v>304</v>
      </c>
      <c r="K19" s="211"/>
      <c r="L19" s="211"/>
      <c r="M19" s="211" t="s">
        <v>303</v>
      </c>
      <c r="N19" s="211"/>
      <c r="O19" s="226"/>
      <c r="P19" s="201" cm="1">
        <f t="array" ref="P19">SUMPRODUCT($D20:$O20, 2^(COLUMN($O20)-COLUMN($D20:$O20)))</f>
        <v>0</v>
      </c>
      <c r="Q19" s="219" t="str">
        <f>"0x"&amp;DEC2HEX($P19, 3)</f>
        <v>0x000</v>
      </c>
      <c r="R19" s="180"/>
    </row>
    <row r="20" spans="1:18" ht="17.5" customHeight="1" thickBot="1" x14ac:dyDescent="0.5">
      <c r="A20" s="204"/>
      <c r="B20" s="185"/>
      <c r="C20" s="228"/>
      <c r="D20" s="59">
        <v>0</v>
      </c>
      <c r="E20" s="44">
        <v>0</v>
      </c>
      <c r="F20" s="44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2">
        <v>0</v>
      </c>
      <c r="P20" s="202"/>
      <c r="Q20" s="220"/>
      <c r="R20" s="181"/>
    </row>
    <row r="21" spans="1:18" x14ac:dyDescent="0.45">
      <c r="A21" s="182" t="s">
        <v>302</v>
      </c>
      <c r="B21" s="184" t="s">
        <v>46</v>
      </c>
      <c r="C21" s="227" t="s">
        <v>2</v>
      </c>
      <c r="D21" s="41" t="s">
        <v>1</v>
      </c>
      <c r="E21" s="58" t="s">
        <v>1</v>
      </c>
      <c r="F21" s="26" t="s">
        <v>1</v>
      </c>
      <c r="G21" s="58" t="s">
        <v>1</v>
      </c>
      <c r="H21" s="34" t="s">
        <v>1</v>
      </c>
      <c r="I21" s="26" t="s">
        <v>1</v>
      </c>
      <c r="J21" s="26" t="s">
        <v>1</v>
      </c>
      <c r="K21" s="32" t="s">
        <v>301</v>
      </c>
      <c r="L21" s="32" t="s">
        <v>300</v>
      </c>
      <c r="M21" s="32" t="s">
        <v>299</v>
      </c>
      <c r="N21" s="32" t="s">
        <v>298</v>
      </c>
      <c r="O21" s="35" t="s">
        <v>297</v>
      </c>
      <c r="P21" s="201" cm="1">
        <f t="array" ref="P21">SUMPRODUCT($D22:$O22, 2^(COLUMN($O22)-COLUMN($D22:$O22)))</f>
        <v>0</v>
      </c>
      <c r="Q21" s="219" t="str">
        <f>"0x"&amp;DEC2HEX($P21, 3)</f>
        <v>0x000</v>
      </c>
      <c r="R21" s="180"/>
    </row>
    <row r="22" spans="1:18" ht="16.5" thickBot="1" x14ac:dyDescent="0.5">
      <c r="A22" s="183"/>
      <c r="B22" s="185"/>
      <c r="C22" s="228"/>
      <c r="D22" s="40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19">
        <v>0</v>
      </c>
      <c r="L22" s="19">
        <v>0</v>
      </c>
      <c r="M22" s="19">
        <v>0</v>
      </c>
      <c r="N22" s="19">
        <v>0</v>
      </c>
      <c r="O22" s="29">
        <v>0</v>
      </c>
      <c r="P22" s="202"/>
      <c r="Q22" s="220"/>
      <c r="R22" s="181"/>
    </row>
    <row r="23" spans="1:18" ht="26" x14ac:dyDescent="0.45">
      <c r="A23" s="182" t="s">
        <v>296</v>
      </c>
      <c r="B23" s="184" t="s">
        <v>44</v>
      </c>
      <c r="C23" s="227" t="s">
        <v>2</v>
      </c>
      <c r="D23" s="39" t="s">
        <v>295</v>
      </c>
      <c r="E23" s="32" t="s">
        <v>294</v>
      </c>
      <c r="F23" s="32" t="s">
        <v>293</v>
      </c>
      <c r="G23" s="32" t="s">
        <v>292</v>
      </c>
      <c r="H23" s="37" t="s">
        <v>291</v>
      </c>
      <c r="I23" s="32" t="s">
        <v>290</v>
      </c>
      <c r="J23" s="32" t="s">
        <v>289</v>
      </c>
      <c r="K23" s="32" t="s">
        <v>288</v>
      </c>
      <c r="L23" s="32" t="s">
        <v>287</v>
      </c>
      <c r="M23" s="32" t="s">
        <v>286</v>
      </c>
      <c r="N23" s="32" t="s">
        <v>285</v>
      </c>
      <c r="O23" s="35" t="s">
        <v>284</v>
      </c>
      <c r="P23" s="201" cm="1">
        <f t="array" ref="P23">SUMPRODUCT($D24:$O24, 2^(COLUMN($O24)-COLUMN($D24:$O24)))</f>
        <v>0</v>
      </c>
      <c r="Q23" s="219" t="str">
        <f>"0x"&amp;DEC2HEX($P23, 3)</f>
        <v>0x000</v>
      </c>
      <c r="R23" s="180"/>
    </row>
    <row r="24" spans="1:18" ht="16.5" thickBot="1" x14ac:dyDescent="0.5">
      <c r="A24" s="183"/>
      <c r="B24" s="185"/>
      <c r="C24" s="228"/>
      <c r="D24" s="45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2">
        <v>0</v>
      </c>
      <c r="P24" s="202"/>
      <c r="Q24" s="220"/>
      <c r="R24" s="181"/>
    </row>
    <row r="25" spans="1:18" x14ac:dyDescent="0.45">
      <c r="A25" s="182" t="s">
        <v>283</v>
      </c>
      <c r="B25" s="184" t="s">
        <v>42</v>
      </c>
      <c r="C25" s="227" t="s">
        <v>2</v>
      </c>
      <c r="D25" s="39" t="s">
        <v>282</v>
      </c>
      <c r="E25" s="32" t="s">
        <v>281</v>
      </c>
      <c r="F25" s="32" t="s">
        <v>280</v>
      </c>
      <c r="G25" s="32" t="s">
        <v>279</v>
      </c>
      <c r="H25" s="32" t="s">
        <v>278</v>
      </c>
      <c r="I25" s="32" t="s">
        <v>277</v>
      </c>
      <c r="J25" s="32" t="s">
        <v>276</v>
      </c>
      <c r="K25" s="32" t="s">
        <v>275</v>
      </c>
      <c r="L25" s="32" t="s">
        <v>274</v>
      </c>
      <c r="M25" s="32" t="s">
        <v>273</v>
      </c>
      <c r="N25" s="32" t="s">
        <v>272</v>
      </c>
      <c r="O25" s="35" t="s">
        <v>271</v>
      </c>
      <c r="P25" s="201" cm="1">
        <f t="array" ref="P25">SUMPRODUCT($D26:$O26, 2^(COLUMN($O26)-COLUMN($D26:$O26)))</f>
        <v>0</v>
      </c>
      <c r="Q25" s="219" t="str">
        <f>"0x"&amp;DEC2HEX($P25, 3)</f>
        <v>0x000</v>
      </c>
      <c r="R25" s="180"/>
    </row>
    <row r="26" spans="1:18" ht="16.5" thickBot="1" x14ac:dyDescent="0.5">
      <c r="A26" s="183"/>
      <c r="B26" s="185"/>
      <c r="C26" s="228"/>
      <c r="D26" s="45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2">
        <v>0</v>
      </c>
      <c r="P26" s="202"/>
      <c r="Q26" s="220"/>
      <c r="R26" s="181"/>
    </row>
    <row r="27" spans="1:18" x14ac:dyDescent="0.45">
      <c r="A27" s="182" t="s">
        <v>270</v>
      </c>
      <c r="B27" s="184" t="s">
        <v>40</v>
      </c>
      <c r="C27" s="227" t="s">
        <v>2</v>
      </c>
      <c r="D27" s="39" t="s">
        <v>269</v>
      </c>
      <c r="E27" s="32" t="s">
        <v>268</v>
      </c>
      <c r="F27" s="32" t="s">
        <v>267</v>
      </c>
      <c r="G27" s="32" t="s">
        <v>266</v>
      </c>
      <c r="H27" s="32" t="s">
        <v>265</v>
      </c>
      <c r="I27" s="32" t="s">
        <v>264</v>
      </c>
      <c r="J27" s="32" t="s">
        <v>263</v>
      </c>
      <c r="K27" s="32" t="s">
        <v>262</v>
      </c>
      <c r="L27" s="32" t="s">
        <v>261</v>
      </c>
      <c r="M27" s="32" t="s">
        <v>260</v>
      </c>
      <c r="N27" s="32" t="s">
        <v>259</v>
      </c>
      <c r="O27" s="35" t="s">
        <v>258</v>
      </c>
      <c r="P27" s="201" cm="1">
        <f t="array" ref="P27">SUMPRODUCT($D28:$O28, 2^(COLUMN($O28)-COLUMN($D28:$O28)))</f>
        <v>0</v>
      </c>
      <c r="Q27" s="219" t="str">
        <f>"0x"&amp;DEC2HEX($P27, 3)</f>
        <v>0x000</v>
      </c>
      <c r="R27" s="180"/>
    </row>
    <row r="28" spans="1:18" ht="16.5" thickBot="1" x14ac:dyDescent="0.5">
      <c r="A28" s="183"/>
      <c r="B28" s="185"/>
      <c r="C28" s="228"/>
      <c r="D28" s="36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29">
        <v>0</v>
      </c>
      <c r="P28" s="202"/>
      <c r="Q28" s="220"/>
      <c r="R28" s="181"/>
    </row>
    <row r="29" spans="1:18" ht="17" customHeight="1" x14ac:dyDescent="0.45">
      <c r="A29" s="182" t="s">
        <v>257</v>
      </c>
      <c r="B29" s="184" t="s">
        <v>38</v>
      </c>
      <c r="C29" s="227" t="s">
        <v>2</v>
      </c>
      <c r="D29" s="188" t="s">
        <v>256</v>
      </c>
      <c r="E29" s="189"/>
      <c r="F29" s="189"/>
      <c r="G29" s="200"/>
      <c r="H29" s="199" t="s">
        <v>255</v>
      </c>
      <c r="I29" s="189"/>
      <c r="J29" s="189"/>
      <c r="K29" s="200"/>
      <c r="L29" s="199" t="s">
        <v>254</v>
      </c>
      <c r="M29" s="189"/>
      <c r="N29" s="189"/>
      <c r="O29" s="190"/>
      <c r="P29" s="201" cm="1">
        <f t="array" ref="P29">SUMPRODUCT($D30:$O30, 2^(COLUMN($O30)-COLUMN($D30:$O30)))</f>
        <v>0</v>
      </c>
      <c r="Q29" s="219" t="str">
        <f>"0x"&amp;DEC2HEX($P29, 3)</f>
        <v>0x000</v>
      </c>
      <c r="R29" s="214" t="s">
        <v>253</v>
      </c>
    </row>
    <row r="30" spans="1:18" ht="16.5" thickBot="1" x14ac:dyDescent="0.5">
      <c r="A30" s="183"/>
      <c r="B30" s="185"/>
      <c r="C30" s="228"/>
      <c r="D30" s="36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29">
        <v>0</v>
      </c>
      <c r="P30" s="202"/>
      <c r="Q30" s="220"/>
      <c r="R30" s="204"/>
    </row>
    <row r="31" spans="1:18" ht="17" customHeight="1" x14ac:dyDescent="0.45">
      <c r="A31" s="214" t="s">
        <v>252</v>
      </c>
      <c r="B31" s="184" t="s">
        <v>36</v>
      </c>
      <c r="C31" s="227" t="s">
        <v>2</v>
      </c>
      <c r="D31" s="188" t="s">
        <v>251</v>
      </c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90"/>
      <c r="P31" s="201" cm="1">
        <f t="array" ref="P31">SUMPRODUCT($D32:$O32, 2^(COLUMN($O32)-COLUMN($D32:$O32)))</f>
        <v>0</v>
      </c>
      <c r="Q31" s="219" t="str">
        <f>"0x"&amp;DEC2HEX($P31, 3)</f>
        <v>0x000</v>
      </c>
      <c r="R31" s="180"/>
    </row>
    <row r="32" spans="1:18" ht="17.5" customHeight="1" thickBot="1" x14ac:dyDescent="0.5">
      <c r="A32" s="204"/>
      <c r="B32" s="185"/>
      <c r="C32" s="228"/>
      <c r="D32" s="36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29">
        <v>0</v>
      </c>
      <c r="P32" s="202"/>
      <c r="Q32" s="220"/>
      <c r="R32" s="181"/>
    </row>
    <row r="33" spans="1:18" ht="17" customHeight="1" x14ac:dyDescent="0.45">
      <c r="A33" s="214" t="s">
        <v>250</v>
      </c>
      <c r="B33" s="184" t="s">
        <v>34</v>
      </c>
      <c r="C33" s="227" t="s">
        <v>2</v>
      </c>
      <c r="D33" s="188" t="s">
        <v>249</v>
      </c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90"/>
      <c r="P33" s="201" cm="1">
        <f t="array" ref="P33">SUMPRODUCT($D34:$O34, 2^(COLUMN($O34)-COLUMN($D34:$O34)))</f>
        <v>0</v>
      </c>
      <c r="Q33" s="219" t="str">
        <f>"0x"&amp;DEC2HEX($P33, 3)</f>
        <v>0x000</v>
      </c>
      <c r="R33" s="180"/>
    </row>
    <row r="34" spans="1:18" ht="17.5" customHeight="1" thickBot="1" x14ac:dyDescent="0.5">
      <c r="A34" s="204"/>
      <c r="B34" s="185"/>
      <c r="C34" s="228"/>
      <c r="D34" s="36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29">
        <v>0</v>
      </c>
      <c r="P34" s="202"/>
      <c r="Q34" s="220"/>
      <c r="R34" s="181"/>
    </row>
    <row r="35" spans="1:18" ht="17" customHeight="1" x14ac:dyDescent="0.45">
      <c r="A35" s="203" t="s">
        <v>248</v>
      </c>
      <c r="B35" s="184" t="s">
        <v>32</v>
      </c>
      <c r="C35" s="227" t="s">
        <v>2</v>
      </c>
      <c r="D35" s="188" t="s">
        <v>247</v>
      </c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90"/>
      <c r="P35" s="201" cm="1">
        <f t="array" ref="P35">SUMPRODUCT($D36:$O36, 2^(COLUMN($O36)-COLUMN($D36:$O36)))</f>
        <v>0</v>
      </c>
      <c r="Q35" s="219" t="str">
        <f>"0x"&amp;DEC2HEX($P35, 3)</f>
        <v>0x000</v>
      </c>
      <c r="R35" s="180"/>
    </row>
    <row r="36" spans="1:18" ht="17.5" customHeight="1" thickBot="1" x14ac:dyDescent="0.5">
      <c r="A36" s="204"/>
      <c r="B36" s="185"/>
      <c r="C36" s="228"/>
      <c r="D36" s="45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2">
        <v>0</v>
      </c>
      <c r="P36" s="202"/>
      <c r="Q36" s="220"/>
      <c r="R36" s="181"/>
    </row>
    <row r="37" spans="1:18" x14ac:dyDescent="0.45">
      <c r="A37" s="182" t="s">
        <v>246</v>
      </c>
      <c r="B37" s="184" t="s">
        <v>30</v>
      </c>
      <c r="C37" s="227" t="s">
        <v>2</v>
      </c>
      <c r="D37" s="39" t="s">
        <v>245</v>
      </c>
      <c r="E37" s="32" t="s">
        <v>244</v>
      </c>
      <c r="F37" s="32" t="s">
        <v>243</v>
      </c>
      <c r="G37" s="32" t="s">
        <v>242</v>
      </c>
      <c r="H37" s="32" t="s">
        <v>241</v>
      </c>
      <c r="I37" s="32" t="s">
        <v>240</v>
      </c>
      <c r="J37" s="32" t="s">
        <v>239</v>
      </c>
      <c r="K37" s="32" t="s">
        <v>238</v>
      </c>
      <c r="L37" s="32" t="s">
        <v>237</v>
      </c>
      <c r="M37" s="32" t="s">
        <v>236</v>
      </c>
      <c r="N37" s="32" t="s">
        <v>235</v>
      </c>
      <c r="O37" s="35" t="s">
        <v>234</v>
      </c>
      <c r="P37" s="201" cm="1">
        <f t="array" ref="P37">SUMPRODUCT($D38:$O38, 2^(COLUMN($O38)-COLUMN($D38:$O38)))</f>
        <v>0</v>
      </c>
      <c r="Q37" s="219" t="str">
        <f>"0x"&amp;DEC2HEX($P37, 3)</f>
        <v>0x000</v>
      </c>
      <c r="R37" s="180"/>
    </row>
    <row r="38" spans="1:18" ht="16.5" thickBot="1" x14ac:dyDescent="0.5">
      <c r="A38" s="183"/>
      <c r="B38" s="185"/>
      <c r="C38" s="228"/>
      <c r="D38" s="36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29">
        <v>0</v>
      </c>
      <c r="P38" s="202"/>
      <c r="Q38" s="220"/>
      <c r="R38" s="181"/>
    </row>
    <row r="39" spans="1:18" ht="17" customHeight="1" x14ac:dyDescent="0.45">
      <c r="A39" s="214" t="s">
        <v>233</v>
      </c>
      <c r="B39" s="184" t="s">
        <v>28</v>
      </c>
      <c r="C39" s="227" t="s">
        <v>2</v>
      </c>
      <c r="D39" s="41" t="s">
        <v>1</v>
      </c>
      <c r="E39" s="26" t="s">
        <v>1</v>
      </c>
      <c r="F39" s="199" t="s">
        <v>232</v>
      </c>
      <c r="G39" s="189"/>
      <c r="H39" s="189"/>
      <c r="I39" s="189"/>
      <c r="J39" s="200"/>
      <c r="K39" s="211" t="s">
        <v>231</v>
      </c>
      <c r="L39" s="211"/>
      <c r="M39" s="211"/>
      <c r="N39" s="211"/>
      <c r="O39" s="226"/>
      <c r="P39" s="201" cm="1">
        <f t="array" ref="P39">SUMPRODUCT($D40:$O40, 2^(COLUMN($O40)-COLUMN($D40:$O40)))</f>
        <v>0</v>
      </c>
      <c r="Q39" s="219" t="str">
        <f>"0x"&amp;DEC2HEX($P39, 3)</f>
        <v>0x000</v>
      </c>
      <c r="R39" s="180"/>
    </row>
    <row r="40" spans="1:18" ht="17.5" customHeight="1" thickBot="1" x14ac:dyDescent="0.5">
      <c r="A40" s="204"/>
      <c r="B40" s="185"/>
      <c r="C40" s="228"/>
      <c r="D40" s="40">
        <v>0</v>
      </c>
      <c r="E40" s="23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29">
        <v>0</v>
      </c>
      <c r="P40" s="202"/>
      <c r="Q40" s="220"/>
      <c r="R40" s="181"/>
    </row>
    <row r="41" spans="1:18" ht="17" customHeight="1" x14ac:dyDescent="0.45">
      <c r="A41" s="214" t="s">
        <v>230</v>
      </c>
      <c r="B41" s="184" t="s">
        <v>26</v>
      </c>
      <c r="C41" s="227" t="s">
        <v>2</v>
      </c>
      <c r="D41" s="41" t="s">
        <v>1</v>
      </c>
      <c r="E41" s="26" t="s">
        <v>1</v>
      </c>
      <c r="F41" s="199" t="s">
        <v>229</v>
      </c>
      <c r="G41" s="189"/>
      <c r="H41" s="189"/>
      <c r="I41" s="189"/>
      <c r="J41" s="200"/>
      <c r="K41" s="211" t="s">
        <v>228</v>
      </c>
      <c r="L41" s="211"/>
      <c r="M41" s="211"/>
      <c r="N41" s="211"/>
      <c r="O41" s="226"/>
      <c r="P41" s="201" cm="1">
        <f t="array" ref="P41">SUMPRODUCT($D42:$O42, 2^(COLUMN($O42)-COLUMN($D42:$O42)))</f>
        <v>0</v>
      </c>
      <c r="Q41" s="219" t="str">
        <f>"0x"&amp;DEC2HEX($P41, 3)</f>
        <v>0x000</v>
      </c>
      <c r="R41" s="180"/>
    </row>
    <row r="42" spans="1:18" ht="17.5" customHeight="1" thickBot="1" x14ac:dyDescent="0.5">
      <c r="A42" s="204"/>
      <c r="B42" s="185"/>
      <c r="C42" s="228"/>
      <c r="D42" s="40">
        <v>0</v>
      </c>
      <c r="E42" s="23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29">
        <v>0</v>
      </c>
      <c r="P42" s="202"/>
      <c r="Q42" s="220"/>
      <c r="R42" s="181"/>
    </row>
    <row r="43" spans="1:18" ht="17" customHeight="1" x14ac:dyDescent="0.45">
      <c r="A43" s="214" t="s">
        <v>227</v>
      </c>
      <c r="B43" s="184" t="s">
        <v>24</v>
      </c>
      <c r="C43" s="227" t="s">
        <v>2</v>
      </c>
      <c r="D43" s="41" t="s">
        <v>1</v>
      </c>
      <c r="E43" s="26" t="s">
        <v>1</v>
      </c>
      <c r="F43" s="199" t="s">
        <v>226</v>
      </c>
      <c r="G43" s="189"/>
      <c r="H43" s="189"/>
      <c r="I43" s="189"/>
      <c r="J43" s="200"/>
      <c r="K43" s="211" t="s">
        <v>225</v>
      </c>
      <c r="L43" s="211"/>
      <c r="M43" s="211"/>
      <c r="N43" s="211"/>
      <c r="O43" s="226"/>
      <c r="P43" s="201" cm="1">
        <f t="array" ref="P43">SUMPRODUCT($D44:$O44, 2^(COLUMN($O44)-COLUMN($D44:$O44)))</f>
        <v>0</v>
      </c>
      <c r="Q43" s="219" t="str">
        <f>"0x"&amp;DEC2HEX($P43, 3)</f>
        <v>0x000</v>
      </c>
      <c r="R43" s="180"/>
    </row>
    <row r="44" spans="1:18" ht="17.5" customHeight="1" thickBot="1" x14ac:dyDescent="0.5">
      <c r="A44" s="204"/>
      <c r="B44" s="185"/>
      <c r="C44" s="228"/>
      <c r="D44" s="40">
        <v>0</v>
      </c>
      <c r="E44" s="23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29">
        <v>0</v>
      </c>
      <c r="P44" s="202"/>
      <c r="Q44" s="220"/>
      <c r="R44" s="181"/>
    </row>
    <row r="45" spans="1:18" ht="17" customHeight="1" x14ac:dyDescent="0.45">
      <c r="A45" s="214" t="s">
        <v>224</v>
      </c>
      <c r="B45" s="184" t="s">
        <v>22</v>
      </c>
      <c r="C45" s="227" t="s">
        <v>2</v>
      </c>
      <c r="D45" s="41" t="s">
        <v>1</v>
      </c>
      <c r="E45" s="26" t="s">
        <v>1</v>
      </c>
      <c r="F45" s="199" t="s">
        <v>223</v>
      </c>
      <c r="G45" s="189"/>
      <c r="H45" s="189"/>
      <c r="I45" s="189"/>
      <c r="J45" s="200"/>
      <c r="K45" s="211" t="s">
        <v>222</v>
      </c>
      <c r="L45" s="211"/>
      <c r="M45" s="211"/>
      <c r="N45" s="211"/>
      <c r="O45" s="226"/>
      <c r="P45" s="201" cm="1">
        <f t="array" ref="P45">SUMPRODUCT($D46:$O46, 2^(COLUMN($O46)-COLUMN($D46:$O46)))</f>
        <v>0</v>
      </c>
      <c r="Q45" s="219" t="str">
        <f>"0x"&amp;DEC2HEX($P45, 3)</f>
        <v>0x000</v>
      </c>
      <c r="R45" s="180"/>
    </row>
    <row r="46" spans="1:18" ht="17.5" customHeight="1" thickBot="1" x14ac:dyDescent="0.5">
      <c r="A46" s="204"/>
      <c r="B46" s="185"/>
      <c r="C46" s="228"/>
      <c r="D46" s="40">
        <v>0</v>
      </c>
      <c r="E46" s="23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29">
        <v>0</v>
      </c>
      <c r="P46" s="202"/>
      <c r="Q46" s="220"/>
      <c r="R46" s="181"/>
    </row>
    <row r="47" spans="1:18" ht="17" customHeight="1" x14ac:dyDescent="0.45">
      <c r="A47" s="214" t="s">
        <v>221</v>
      </c>
      <c r="B47" s="184" t="s">
        <v>20</v>
      </c>
      <c r="C47" s="227" t="s">
        <v>2</v>
      </c>
      <c r="D47" s="41" t="s">
        <v>1</v>
      </c>
      <c r="E47" s="26" t="s">
        <v>1</v>
      </c>
      <c r="F47" s="199" t="s">
        <v>220</v>
      </c>
      <c r="G47" s="189"/>
      <c r="H47" s="189"/>
      <c r="I47" s="189"/>
      <c r="J47" s="200"/>
      <c r="K47" s="211" t="s">
        <v>219</v>
      </c>
      <c r="L47" s="211"/>
      <c r="M47" s="211"/>
      <c r="N47" s="211"/>
      <c r="O47" s="226"/>
      <c r="P47" s="201" cm="1">
        <f t="array" ref="P47">SUMPRODUCT($D48:$O48, 2^(COLUMN($O48)-COLUMN($D48:$O48)))</f>
        <v>0</v>
      </c>
      <c r="Q47" s="219" t="str">
        <f>"0x"&amp;DEC2HEX($P47, 3)</f>
        <v>0x000</v>
      </c>
      <c r="R47" s="180"/>
    </row>
    <row r="48" spans="1:18" ht="17.5" customHeight="1" thickBot="1" x14ac:dyDescent="0.5">
      <c r="A48" s="204"/>
      <c r="B48" s="185"/>
      <c r="C48" s="228"/>
      <c r="D48" s="40">
        <v>0</v>
      </c>
      <c r="E48" s="23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29">
        <v>0</v>
      </c>
      <c r="P48" s="202"/>
      <c r="Q48" s="220"/>
      <c r="R48" s="181"/>
    </row>
    <row r="49" spans="1:18" ht="17" customHeight="1" x14ac:dyDescent="0.45">
      <c r="A49" s="203" t="s">
        <v>218</v>
      </c>
      <c r="B49" s="184" t="s">
        <v>18</v>
      </c>
      <c r="C49" s="227" t="s">
        <v>2</v>
      </c>
      <c r="D49" s="41" t="s">
        <v>1</v>
      </c>
      <c r="E49" s="26" t="s">
        <v>1</v>
      </c>
      <c r="F49" s="199" t="s">
        <v>217</v>
      </c>
      <c r="G49" s="189"/>
      <c r="H49" s="189"/>
      <c r="I49" s="189"/>
      <c r="J49" s="200"/>
      <c r="K49" s="211" t="s">
        <v>216</v>
      </c>
      <c r="L49" s="211"/>
      <c r="M49" s="211"/>
      <c r="N49" s="211"/>
      <c r="O49" s="226"/>
      <c r="P49" s="201" cm="1">
        <f t="array" ref="P49">SUMPRODUCT($D50:$O50, 2^(COLUMN($O50)-COLUMN($D50:$O50)))</f>
        <v>0</v>
      </c>
      <c r="Q49" s="219" t="str">
        <f>"0x"&amp;DEC2HEX($P49, 3)</f>
        <v>0x000</v>
      </c>
      <c r="R49" s="180"/>
    </row>
    <row r="50" spans="1:18" ht="17.5" customHeight="1" thickBot="1" x14ac:dyDescent="0.5">
      <c r="A50" s="204"/>
      <c r="B50" s="185"/>
      <c r="C50" s="228"/>
      <c r="D50" s="40">
        <v>0</v>
      </c>
      <c r="E50" s="23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29">
        <v>0</v>
      </c>
      <c r="P50" s="202"/>
      <c r="Q50" s="220"/>
      <c r="R50" s="181"/>
    </row>
    <row r="51" spans="1:18" ht="39" x14ac:dyDescent="0.45">
      <c r="A51" s="182" t="s">
        <v>215</v>
      </c>
      <c r="B51" s="184" t="s">
        <v>16</v>
      </c>
      <c r="C51" s="227" t="s">
        <v>214</v>
      </c>
      <c r="D51" s="39" t="s">
        <v>213</v>
      </c>
      <c r="E51" s="32" t="s">
        <v>212</v>
      </c>
      <c r="F51" s="199" t="s">
        <v>211</v>
      </c>
      <c r="G51" s="200"/>
      <c r="H51" s="32" t="s">
        <v>210</v>
      </c>
      <c r="I51" s="37" t="s">
        <v>209</v>
      </c>
      <c r="J51" s="37" t="s">
        <v>208</v>
      </c>
      <c r="K51" s="37" t="s">
        <v>207</v>
      </c>
      <c r="L51" s="37" t="s">
        <v>206</v>
      </c>
      <c r="M51" s="37" t="s">
        <v>205</v>
      </c>
      <c r="N51" s="37" t="s">
        <v>204</v>
      </c>
      <c r="O51" s="48" t="s">
        <v>203</v>
      </c>
      <c r="P51" s="201" cm="1">
        <f t="array" ref="P51">SUMPRODUCT($D52:$O52, 2^(COLUMN($O52)-COLUMN($D52:$O52)))</f>
        <v>799</v>
      </c>
      <c r="Q51" s="221" t="str">
        <f>"0x"&amp;DEC2HEX($P51, 3)</f>
        <v>0x31F</v>
      </c>
      <c r="R51" s="180"/>
    </row>
    <row r="52" spans="1:18" ht="16.5" thickBot="1" x14ac:dyDescent="0.5">
      <c r="A52" s="183"/>
      <c r="B52" s="185"/>
      <c r="C52" s="228"/>
      <c r="D52" s="36">
        <v>0</v>
      </c>
      <c r="E52" s="19">
        <v>0</v>
      </c>
      <c r="F52" s="91">
        <v>1</v>
      </c>
      <c r="G52" s="91">
        <v>1</v>
      </c>
      <c r="H52" s="19">
        <v>0</v>
      </c>
      <c r="I52" s="19">
        <v>0</v>
      </c>
      <c r="J52" s="19">
        <v>0</v>
      </c>
      <c r="K52" s="91">
        <v>1</v>
      </c>
      <c r="L52" s="91">
        <v>1</v>
      </c>
      <c r="M52" s="91">
        <v>1</v>
      </c>
      <c r="N52" s="91">
        <v>1</v>
      </c>
      <c r="O52" s="92">
        <v>1</v>
      </c>
      <c r="P52" s="202"/>
      <c r="Q52" s="222"/>
      <c r="R52" s="181"/>
    </row>
    <row r="53" spans="1:18" ht="26" x14ac:dyDescent="0.45">
      <c r="A53" s="182" t="s">
        <v>202</v>
      </c>
      <c r="B53" s="184" t="s">
        <v>14</v>
      </c>
      <c r="C53" s="227" t="s">
        <v>2</v>
      </c>
      <c r="D53" s="39" t="s">
        <v>201</v>
      </c>
      <c r="E53" s="26" t="s">
        <v>1</v>
      </c>
      <c r="F53" s="26" t="s">
        <v>1</v>
      </c>
      <c r="G53" s="26" t="s">
        <v>1</v>
      </c>
      <c r="H53" s="26" t="s">
        <v>1</v>
      </c>
      <c r="I53" s="26" t="s">
        <v>1</v>
      </c>
      <c r="J53" s="26" t="s">
        <v>1</v>
      </c>
      <c r="K53" s="26" t="s">
        <v>1</v>
      </c>
      <c r="L53" s="26" t="s">
        <v>1</v>
      </c>
      <c r="M53" s="37" t="s">
        <v>200</v>
      </c>
      <c r="N53" s="37" t="s">
        <v>199</v>
      </c>
      <c r="O53" s="48" t="s">
        <v>198</v>
      </c>
      <c r="P53" s="201" cm="1">
        <f t="array" ref="P53">SUMPRODUCT($D54:$O54, 2^(COLUMN($O54)-COLUMN($D54:$O54)))</f>
        <v>0</v>
      </c>
      <c r="Q53" s="219" t="str">
        <f>"0x"&amp;DEC2HEX($P53, 3)</f>
        <v>0x000</v>
      </c>
      <c r="R53" s="180"/>
    </row>
    <row r="54" spans="1:18" ht="16.5" thickBot="1" x14ac:dyDescent="0.5">
      <c r="A54" s="183"/>
      <c r="B54" s="185"/>
      <c r="C54" s="228"/>
      <c r="D54" s="36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19">
        <v>0</v>
      </c>
      <c r="N54" s="19">
        <v>0</v>
      </c>
      <c r="O54" s="29">
        <v>0</v>
      </c>
      <c r="P54" s="202"/>
      <c r="Q54" s="220"/>
      <c r="R54" s="181"/>
    </row>
    <row r="55" spans="1:18" x14ac:dyDescent="0.45">
      <c r="A55" s="182" t="s">
        <v>197</v>
      </c>
      <c r="B55" s="184" t="s">
        <v>12</v>
      </c>
      <c r="C55" s="227" t="s">
        <v>2</v>
      </c>
      <c r="D55" s="57" t="s">
        <v>1</v>
      </c>
      <c r="E55" s="27" t="s">
        <v>1</v>
      </c>
      <c r="F55" s="27" t="s">
        <v>1</v>
      </c>
      <c r="G55" s="27" t="s">
        <v>1</v>
      </c>
      <c r="H55" s="27" t="s">
        <v>1</v>
      </c>
      <c r="I55" s="27" t="s">
        <v>1</v>
      </c>
      <c r="J55" s="27" t="s">
        <v>1</v>
      </c>
      <c r="K55" s="241" t="s">
        <v>196</v>
      </c>
      <c r="L55" s="243"/>
      <c r="M55" s="243"/>
      <c r="N55" s="243"/>
      <c r="O55" s="244"/>
      <c r="P55" s="201" cm="1">
        <f t="array" ref="P55">SUMPRODUCT($D56:$O56, 2^(COLUMN($O56)-COLUMN($D56:$O56)))</f>
        <v>0</v>
      </c>
      <c r="Q55" s="219" t="str">
        <f>"0x"&amp;DEC2HEX($P55, 3)</f>
        <v>0x000</v>
      </c>
      <c r="R55" s="180"/>
    </row>
    <row r="56" spans="1:18" ht="16.5" thickBot="1" x14ac:dyDescent="0.5">
      <c r="A56" s="183"/>
      <c r="B56" s="185"/>
      <c r="C56" s="228"/>
      <c r="D56" s="56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2">
        <v>0</v>
      </c>
      <c r="L56" s="22">
        <v>0</v>
      </c>
      <c r="M56" s="22">
        <v>0</v>
      </c>
      <c r="N56" s="22">
        <v>0</v>
      </c>
      <c r="O56" s="21">
        <v>0</v>
      </c>
      <c r="P56" s="202"/>
      <c r="Q56" s="220"/>
      <c r="R56" s="181"/>
    </row>
    <row r="57" spans="1:18" ht="26" x14ac:dyDescent="0.45">
      <c r="A57" s="182" t="s">
        <v>195</v>
      </c>
      <c r="B57" s="184" t="s">
        <v>10</v>
      </c>
      <c r="C57" s="227" t="s">
        <v>2</v>
      </c>
      <c r="D57" s="50" t="s">
        <v>194</v>
      </c>
      <c r="E57" s="27" t="s">
        <v>1</v>
      </c>
      <c r="F57" s="27" t="s">
        <v>1</v>
      </c>
      <c r="G57" s="27" t="s">
        <v>1</v>
      </c>
      <c r="H57" s="27" t="s">
        <v>1</v>
      </c>
      <c r="I57" s="27" t="s">
        <v>1</v>
      </c>
      <c r="J57" s="27" t="s">
        <v>1</v>
      </c>
      <c r="K57" s="27" t="s">
        <v>1</v>
      </c>
      <c r="L57" s="27" t="s">
        <v>1</v>
      </c>
      <c r="M57" s="27" t="s">
        <v>1</v>
      </c>
      <c r="N57" s="27" t="s">
        <v>1</v>
      </c>
      <c r="O57" s="55" t="s">
        <v>193</v>
      </c>
      <c r="P57" s="201" cm="1">
        <f t="array" ref="P57">SUMPRODUCT($D58:$O58, 2^(COLUMN($O58)-COLUMN($D58:$O58)))</f>
        <v>0</v>
      </c>
      <c r="Q57" s="219" t="str">
        <f>"0x"&amp;DEC2HEX($P57, 3)</f>
        <v>0x000</v>
      </c>
      <c r="R57" s="180"/>
    </row>
    <row r="58" spans="1:18" ht="16.5" thickBot="1" x14ac:dyDescent="0.5">
      <c r="A58" s="183"/>
      <c r="B58" s="185"/>
      <c r="C58" s="228"/>
      <c r="D58" s="49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1">
        <v>0</v>
      </c>
      <c r="P58" s="202"/>
      <c r="Q58" s="220"/>
      <c r="R58" s="181"/>
    </row>
    <row r="59" spans="1:18" ht="17" customHeight="1" x14ac:dyDescent="0.45">
      <c r="A59" s="182" t="s">
        <v>192</v>
      </c>
      <c r="B59" s="184" t="s">
        <v>8</v>
      </c>
      <c r="C59" s="186" t="s">
        <v>191</v>
      </c>
      <c r="D59" s="188" t="s">
        <v>190</v>
      </c>
      <c r="E59" s="189"/>
      <c r="F59" s="189"/>
      <c r="G59" s="189"/>
      <c r="H59" s="189"/>
      <c r="I59" s="200"/>
      <c r="J59" s="199" t="s">
        <v>189</v>
      </c>
      <c r="K59" s="189"/>
      <c r="L59" s="189"/>
      <c r="M59" s="189"/>
      <c r="N59" s="189"/>
      <c r="O59" s="190"/>
      <c r="P59" s="191" cm="1">
        <f t="array" ref="P59">SUMPRODUCT($D60:$O60, 2^(COLUMN($O60)-COLUMN($D60:$O60)))</f>
        <v>792</v>
      </c>
      <c r="Q59" s="221" t="str">
        <f>"0x"&amp;DEC2HEX($P59, 3)</f>
        <v>0x318</v>
      </c>
      <c r="R59" s="180"/>
    </row>
    <row r="60" spans="1:18" ht="16.5" thickBot="1" x14ac:dyDescent="0.5">
      <c r="A60" s="183"/>
      <c r="B60" s="185"/>
      <c r="C60" s="187"/>
      <c r="D60" s="54">
        <v>0</v>
      </c>
      <c r="E60" s="43">
        <v>0</v>
      </c>
      <c r="F60" s="89">
        <v>1</v>
      </c>
      <c r="G60" s="89">
        <v>1</v>
      </c>
      <c r="H60" s="43">
        <v>0</v>
      </c>
      <c r="I60" s="43">
        <v>0</v>
      </c>
      <c r="J60" s="43">
        <v>0</v>
      </c>
      <c r="K60" s="89">
        <v>1</v>
      </c>
      <c r="L60" s="89">
        <v>1</v>
      </c>
      <c r="M60" s="43">
        <v>0</v>
      </c>
      <c r="N60" s="43">
        <v>0</v>
      </c>
      <c r="O60" s="53">
        <v>0</v>
      </c>
      <c r="P60" s="192"/>
      <c r="Q60" s="222"/>
      <c r="R60" s="181"/>
    </row>
    <row r="61" spans="1:18" ht="17" customHeight="1" x14ac:dyDescent="0.45">
      <c r="A61" s="214" t="s">
        <v>188</v>
      </c>
      <c r="B61" s="191" t="s">
        <v>6</v>
      </c>
      <c r="C61" s="186" t="s">
        <v>187</v>
      </c>
      <c r="D61" s="41" t="s">
        <v>1</v>
      </c>
      <c r="E61" s="26" t="s">
        <v>1</v>
      </c>
      <c r="F61" s="26" t="s">
        <v>1</v>
      </c>
      <c r="G61" s="199" t="s">
        <v>186</v>
      </c>
      <c r="H61" s="189"/>
      <c r="I61" s="189"/>
      <c r="J61" s="189"/>
      <c r="K61" s="189"/>
      <c r="L61" s="189"/>
      <c r="M61" s="189"/>
      <c r="N61" s="189"/>
      <c r="O61" s="190"/>
      <c r="P61" s="191" cm="1">
        <f t="array" ref="P61">SUMPRODUCT($D62:$O62, 2^(COLUMN($O62)-COLUMN($D62:$O62)))</f>
        <v>128</v>
      </c>
      <c r="Q61" s="221" t="str">
        <f>"0x"&amp;DEC2HEX($P61, 3)</f>
        <v>0x080</v>
      </c>
      <c r="R61" s="180"/>
    </row>
    <row r="62" spans="1:18" ht="16.5" thickBot="1" x14ac:dyDescent="0.5">
      <c r="A62" s="204"/>
      <c r="B62" s="192"/>
      <c r="C62" s="187"/>
      <c r="D62" s="40">
        <v>0</v>
      </c>
      <c r="E62" s="23">
        <v>0</v>
      </c>
      <c r="F62" s="23">
        <v>0</v>
      </c>
      <c r="G62" s="19">
        <v>0</v>
      </c>
      <c r="H62" s="91">
        <v>1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29">
        <v>0</v>
      </c>
      <c r="P62" s="192"/>
      <c r="Q62" s="222"/>
      <c r="R62" s="181"/>
    </row>
    <row r="63" spans="1:18" ht="17" customHeight="1" x14ac:dyDescent="0.45">
      <c r="A63" s="182" t="s">
        <v>185</v>
      </c>
      <c r="B63" s="184" t="s">
        <v>3</v>
      </c>
      <c r="C63" s="186" t="s">
        <v>2</v>
      </c>
      <c r="D63" s="52" t="s">
        <v>1</v>
      </c>
      <c r="E63" s="51" t="s">
        <v>1</v>
      </c>
      <c r="F63" s="232" t="s">
        <v>184</v>
      </c>
      <c r="G63" s="233"/>
      <c r="H63" s="233"/>
      <c r="I63" s="233"/>
      <c r="J63" s="233"/>
      <c r="K63" s="233"/>
      <c r="L63" s="233"/>
      <c r="M63" s="233"/>
      <c r="N63" s="233"/>
      <c r="O63" s="234"/>
      <c r="P63" s="201" cm="1">
        <f t="array" ref="P63">SUMPRODUCT($D64:$O64, 2^(COLUMN($O64)-COLUMN($D64:$O64)))</f>
        <v>0</v>
      </c>
      <c r="Q63" s="219" t="str">
        <f>"0x"&amp;DEC2HEX($P63, 3)</f>
        <v>0x000</v>
      </c>
      <c r="R63" s="180"/>
    </row>
    <row r="64" spans="1:18" ht="16.5" thickBot="1" x14ac:dyDescent="0.5">
      <c r="A64" s="183"/>
      <c r="B64" s="185"/>
      <c r="C64" s="187"/>
      <c r="D64" s="40">
        <v>0</v>
      </c>
      <c r="E64" s="23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9">
        <v>0</v>
      </c>
      <c r="P64" s="202"/>
      <c r="Q64" s="220"/>
      <c r="R64" s="181"/>
    </row>
    <row r="65" spans="1:18" x14ac:dyDescent="0.45">
      <c r="A65" s="182" t="s">
        <v>183</v>
      </c>
      <c r="B65" s="184" t="s">
        <v>182</v>
      </c>
      <c r="C65" s="186" t="s">
        <v>2</v>
      </c>
      <c r="D65" s="50" t="s">
        <v>181</v>
      </c>
      <c r="E65" s="26" t="s">
        <v>1</v>
      </c>
      <c r="F65" s="199" t="s">
        <v>180</v>
      </c>
      <c r="G65" s="189"/>
      <c r="H65" s="189"/>
      <c r="I65" s="189"/>
      <c r="J65" s="189"/>
      <c r="K65" s="189"/>
      <c r="L65" s="189"/>
      <c r="M65" s="189"/>
      <c r="N65" s="189"/>
      <c r="O65" s="190"/>
      <c r="P65" s="201" cm="1">
        <f t="array" ref="P65">SUMPRODUCT($D66:$O66, 2^(COLUMN($O66)-COLUMN($D66:$O66)))</f>
        <v>0</v>
      </c>
      <c r="Q65" s="235" t="str">
        <f>"0x"&amp;DEC2HEX($P65, 3)</f>
        <v>0x000</v>
      </c>
      <c r="R65" s="180"/>
    </row>
    <row r="66" spans="1:18" ht="16.5" thickBot="1" x14ac:dyDescent="0.5">
      <c r="A66" s="183"/>
      <c r="B66" s="185"/>
      <c r="C66" s="187"/>
      <c r="D66" s="49">
        <v>0</v>
      </c>
      <c r="E66" s="23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9">
        <v>0</v>
      </c>
      <c r="P66" s="202"/>
      <c r="Q66" s="236"/>
      <c r="R66" s="181"/>
    </row>
    <row r="67" spans="1:18" x14ac:dyDescent="0.45">
      <c r="A67" s="182" t="s">
        <v>179</v>
      </c>
      <c r="B67" s="184" t="s">
        <v>178</v>
      </c>
      <c r="C67" s="186" t="s">
        <v>2</v>
      </c>
      <c r="D67" s="41" t="s">
        <v>1</v>
      </c>
      <c r="E67" s="26" t="s">
        <v>1</v>
      </c>
      <c r="F67" s="199" t="s">
        <v>177</v>
      </c>
      <c r="G67" s="189"/>
      <c r="H67" s="189"/>
      <c r="I67" s="189"/>
      <c r="J67" s="189"/>
      <c r="K67" s="189"/>
      <c r="L67" s="189"/>
      <c r="M67" s="189"/>
      <c r="N67" s="189"/>
      <c r="O67" s="190"/>
      <c r="P67" s="201" cm="1">
        <f t="array" ref="P67">SUMPRODUCT($D68:$O68, 2^(COLUMN($O68)-COLUMN($D68:$O68)))</f>
        <v>0</v>
      </c>
      <c r="Q67" s="219" t="str">
        <f>"0x"&amp;DEC2HEX($P67, 3)</f>
        <v>0x000</v>
      </c>
      <c r="R67" s="180"/>
    </row>
    <row r="68" spans="1:18" ht="16.5" thickBot="1" x14ac:dyDescent="0.5">
      <c r="A68" s="183"/>
      <c r="B68" s="185"/>
      <c r="C68" s="187"/>
      <c r="D68" s="40">
        <v>0</v>
      </c>
      <c r="E68" s="23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29">
        <v>0</v>
      </c>
      <c r="P68" s="202"/>
      <c r="Q68" s="220"/>
      <c r="R68" s="181"/>
    </row>
    <row r="69" spans="1:18" ht="17" customHeight="1" x14ac:dyDescent="0.45">
      <c r="A69" s="182" t="s">
        <v>176</v>
      </c>
      <c r="B69" s="184" t="s">
        <v>175</v>
      </c>
      <c r="C69" s="186" t="s">
        <v>88</v>
      </c>
      <c r="D69" s="41" t="s">
        <v>1</v>
      </c>
      <c r="E69" s="199" t="s">
        <v>174</v>
      </c>
      <c r="F69" s="189"/>
      <c r="G69" s="189"/>
      <c r="H69" s="189"/>
      <c r="I69" s="189"/>
      <c r="J69" s="189"/>
      <c r="K69" s="189"/>
      <c r="L69" s="189"/>
      <c r="M69" s="189"/>
      <c r="N69" s="189"/>
      <c r="O69" s="190"/>
      <c r="P69" s="201" cm="1">
        <f t="array" ref="P69">SUMPRODUCT($D70:$O70, 2^(COLUMN($O70)-COLUMN($D70:$O70)))</f>
        <v>1023</v>
      </c>
      <c r="Q69" s="221" t="str">
        <f>"0x"&amp;DEC2HEX($P69, 3)</f>
        <v>0x3FF</v>
      </c>
      <c r="R69" s="180"/>
    </row>
    <row r="70" spans="1:18" ht="16.5" thickBot="1" x14ac:dyDescent="0.5">
      <c r="A70" s="183"/>
      <c r="B70" s="185"/>
      <c r="C70" s="187"/>
      <c r="D70" s="40">
        <v>0</v>
      </c>
      <c r="E70" s="19">
        <v>0</v>
      </c>
      <c r="F70" s="91">
        <v>1</v>
      </c>
      <c r="G70" s="91">
        <v>1</v>
      </c>
      <c r="H70" s="91">
        <v>1</v>
      </c>
      <c r="I70" s="91">
        <v>1</v>
      </c>
      <c r="J70" s="91">
        <v>1</v>
      </c>
      <c r="K70" s="91">
        <v>1</v>
      </c>
      <c r="L70" s="91">
        <v>1</v>
      </c>
      <c r="M70" s="91">
        <v>1</v>
      </c>
      <c r="N70" s="91">
        <v>1</v>
      </c>
      <c r="O70" s="92">
        <v>1</v>
      </c>
      <c r="P70" s="202"/>
      <c r="Q70" s="222"/>
      <c r="R70" s="181"/>
    </row>
    <row r="71" spans="1:18" ht="17" customHeight="1" x14ac:dyDescent="0.45">
      <c r="A71" s="214" t="s">
        <v>173</v>
      </c>
      <c r="B71" s="184" t="s">
        <v>172</v>
      </c>
      <c r="C71" s="186" t="s">
        <v>2</v>
      </c>
      <c r="D71" s="188" t="s">
        <v>171</v>
      </c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90"/>
      <c r="P71" s="201" cm="1">
        <f t="array" ref="P71">SUMPRODUCT($D72:$O72, 2^(COLUMN($O72)-COLUMN($D72:$O72)))</f>
        <v>0</v>
      </c>
      <c r="Q71" s="219" t="str">
        <f>"0x"&amp;DEC2HEX($P71, 3)</f>
        <v>0x000</v>
      </c>
      <c r="R71" s="180"/>
    </row>
    <row r="72" spans="1:18" ht="17.5" customHeight="1" thickBot="1" x14ac:dyDescent="0.5">
      <c r="A72" s="204"/>
      <c r="B72" s="185"/>
      <c r="C72" s="187"/>
      <c r="D72" s="45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2">
        <v>0</v>
      </c>
      <c r="P72" s="202"/>
      <c r="Q72" s="220"/>
      <c r="R72" s="181"/>
    </row>
    <row r="73" spans="1:18" ht="17" customHeight="1" x14ac:dyDescent="0.45">
      <c r="A73" s="203" t="s">
        <v>170</v>
      </c>
      <c r="B73" s="184" t="s">
        <v>169</v>
      </c>
      <c r="C73" s="186" t="s">
        <v>168</v>
      </c>
      <c r="D73" s="39" t="s">
        <v>167</v>
      </c>
      <c r="E73" s="211" t="s">
        <v>166</v>
      </c>
      <c r="F73" s="211"/>
      <c r="G73" s="26" t="s">
        <v>1</v>
      </c>
      <c r="H73" s="211" t="s">
        <v>165</v>
      </c>
      <c r="I73" s="211"/>
      <c r="J73" s="211"/>
      <c r="K73" s="211"/>
      <c r="L73" s="211"/>
      <c r="M73" s="211"/>
      <c r="N73" s="211"/>
      <c r="O73" s="226"/>
      <c r="P73" s="201" cm="1">
        <f t="array" ref="P73">SUMPRODUCT($D74:$O74, 2^(COLUMN($O74)-COLUMN($D74:$O74)))</f>
        <v>3122</v>
      </c>
      <c r="Q73" s="221" t="str">
        <f>"0x"&amp;DEC2HEX($P73, 3)</f>
        <v>0xC32</v>
      </c>
      <c r="R73" s="180"/>
    </row>
    <row r="74" spans="1:18" ht="17.5" customHeight="1" thickBot="1" x14ac:dyDescent="0.5">
      <c r="A74" s="204"/>
      <c r="B74" s="185"/>
      <c r="C74" s="187"/>
      <c r="D74" s="93">
        <v>1</v>
      </c>
      <c r="E74" s="91">
        <v>1</v>
      </c>
      <c r="F74" s="19">
        <v>0</v>
      </c>
      <c r="G74" s="23">
        <v>0</v>
      </c>
      <c r="H74" s="19">
        <v>0</v>
      </c>
      <c r="I74" s="19">
        <v>0</v>
      </c>
      <c r="J74" s="91">
        <v>1</v>
      </c>
      <c r="K74" s="91">
        <v>1</v>
      </c>
      <c r="L74" s="19">
        <v>0</v>
      </c>
      <c r="M74" s="19">
        <v>0</v>
      </c>
      <c r="N74" s="91">
        <v>1</v>
      </c>
      <c r="O74" s="29">
        <v>0</v>
      </c>
      <c r="P74" s="202"/>
      <c r="Q74" s="222"/>
      <c r="R74" s="181"/>
    </row>
    <row r="75" spans="1:18" ht="17" customHeight="1" x14ac:dyDescent="0.45">
      <c r="A75" s="182" t="s">
        <v>164</v>
      </c>
      <c r="B75" s="184" t="s">
        <v>163</v>
      </c>
      <c r="C75" s="186" t="s">
        <v>74</v>
      </c>
      <c r="D75" s="188" t="s">
        <v>162</v>
      </c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90"/>
      <c r="P75" s="201" cm="1">
        <f t="array" ref="P75">SUMPRODUCT($D76:$O76, 2^(COLUMN($O76)-COLUMN($D76:$O76)))</f>
        <v>1365</v>
      </c>
      <c r="Q75" s="221" t="str">
        <f>"0x"&amp;DEC2HEX($P75, 3)</f>
        <v>0x555</v>
      </c>
      <c r="R75" s="180"/>
    </row>
    <row r="76" spans="1:18" ht="16.5" thickBot="1" x14ac:dyDescent="0.5">
      <c r="A76" s="183"/>
      <c r="B76" s="185"/>
      <c r="C76" s="187"/>
      <c r="D76" s="36">
        <v>0</v>
      </c>
      <c r="E76" s="91">
        <v>1</v>
      </c>
      <c r="F76" s="19">
        <v>0</v>
      </c>
      <c r="G76" s="91">
        <v>1</v>
      </c>
      <c r="H76" s="19">
        <v>0</v>
      </c>
      <c r="I76" s="91">
        <v>1</v>
      </c>
      <c r="J76" s="19">
        <v>0</v>
      </c>
      <c r="K76" s="91">
        <v>1</v>
      </c>
      <c r="L76" s="19">
        <v>0</v>
      </c>
      <c r="M76" s="91">
        <v>1</v>
      </c>
      <c r="N76" s="19">
        <v>0</v>
      </c>
      <c r="O76" s="92">
        <v>1</v>
      </c>
      <c r="P76" s="202"/>
      <c r="Q76" s="222"/>
      <c r="R76" s="181"/>
    </row>
    <row r="77" spans="1:18" ht="17" customHeight="1" x14ac:dyDescent="0.45">
      <c r="A77" s="182" t="s">
        <v>161</v>
      </c>
      <c r="B77" s="184" t="s">
        <v>160</v>
      </c>
      <c r="C77" s="186" t="s">
        <v>2</v>
      </c>
      <c r="D77" s="188" t="s">
        <v>159</v>
      </c>
      <c r="E77" s="189"/>
      <c r="F77" s="189"/>
      <c r="G77" s="189"/>
      <c r="H77" s="189"/>
      <c r="I77" s="200"/>
      <c r="J77" s="32" t="s">
        <v>158</v>
      </c>
      <c r="K77" s="32" t="s">
        <v>157</v>
      </c>
      <c r="L77" s="32" t="s">
        <v>156</v>
      </c>
      <c r="M77" s="32" t="s">
        <v>155</v>
      </c>
      <c r="N77" s="32" t="s">
        <v>154</v>
      </c>
      <c r="O77" s="35" t="s">
        <v>153</v>
      </c>
      <c r="P77" s="201" cm="1">
        <f t="array" ref="P77">SUMPRODUCT($D78:$O78, 2^(COLUMN($O78)-COLUMN($D78:$O78)))</f>
        <v>0</v>
      </c>
      <c r="Q77" s="219" t="str">
        <f>"0x"&amp;DEC2HEX($P77, 3)</f>
        <v>0x000</v>
      </c>
      <c r="R77" s="180"/>
    </row>
    <row r="78" spans="1:18" ht="16.5" thickBot="1" x14ac:dyDescent="0.5">
      <c r="A78" s="183"/>
      <c r="B78" s="185"/>
      <c r="C78" s="187"/>
      <c r="D78" s="36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29">
        <v>0</v>
      </c>
      <c r="P78" s="202"/>
      <c r="Q78" s="220"/>
      <c r="R78" s="181"/>
    </row>
    <row r="79" spans="1:18" ht="26" x14ac:dyDescent="0.45">
      <c r="A79" s="182" t="s">
        <v>150</v>
      </c>
      <c r="B79" s="184" t="s">
        <v>152</v>
      </c>
      <c r="C79" s="186" t="s">
        <v>2</v>
      </c>
      <c r="D79" s="46" t="s">
        <v>151</v>
      </c>
      <c r="E79" s="26" t="s">
        <v>1</v>
      </c>
      <c r="F79" s="26" t="s">
        <v>1</v>
      </c>
      <c r="G79" s="26" t="s">
        <v>1</v>
      </c>
      <c r="H79" s="26" t="s">
        <v>1</v>
      </c>
      <c r="I79" s="26" t="s">
        <v>1</v>
      </c>
      <c r="J79" s="37" t="s">
        <v>150</v>
      </c>
      <c r="K79" s="37" t="s">
        <v>149</v>
      </c>
      <c r="L79" s="37" t="s">
        <v>148</v>
      </c>
      <c r="M79" s="37" t="s">
        <v>147</v>
      </c>
      <c r="N79" s="37" t="s">
        <v>146</v>
      </c>
      <c r="O79" s="48" t="s">
        <v>145</v>
      </c>
      <c r="P79" s="201" cm="1">
        <f t="array" ref="P79">SUMPRODUCT($D80:$O80, 2^(COLUMN($O80)-COLUMN($D80:$O80)))</f>
        <v>0</v>
      </c>
      <c r="Q79" s="235" t="str">
        <f>"0x"&amp;DEC2HEX($P79, 3)</f>
        <v>0x000</v>
      </c>
      <c r="R79" s="180"/>
    </row>
    <row r="80" spans="1:18" ht="16.5" thickBot="1" x14ac:dyDescent="0.5">
      <c r="A80" s="183"/>
      <c r="B80" s="185"/>
      <c r="C80" s="187"/>
      <c r="D80" s="47">
        <v>0</v>
      </c>
      <c r="E80" s="44">
        <v>0</v>
      </c>
      <c r="F80" s="44">
        <v>0</v>
      </c>
      <c r="G80" s="44">
        <v>0</v>
      </c>
      <c r="H80" s="44">
        <v>0</v>
      </c>
      <c r="I80" s="44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2">
        <v>0</v>
      </c>
      <c r="P80" s="202"/>
      <c r="Q80" s="236"/>
      <c r="R80" s="181"/>
    </row>
    <row r="81" spans="1:18" ht="17" customHeight="1" x14ac:dyDescent="0.45">
      <c r="A81" s="182" t="s">
        <v>144</v>
      </c>
      <c r="B81" s="184" t="s">
        <v>143</v>
      </c>
      <c r="C81" s="186" t="s">
        <v>142</v>
      </c>
      <c r="D81" s="41" t="s">
        <v>1</v>
      </c>
      <c r="E81" s="26" t="s">
        <v>1</v>
      </c>
      <c r="F81" s="26" t="s">
        <v>1</v>
      </c>
      <c r="G81" s="26" t="s">
        <v>1</v>
      </c>
      <c r="H81" s="32" t="s">
        <v>141</v>
      </c>
      <c r="I81" s="32" t="s">
        <v>140</v>
      </c>
      <c r="J81" s="199" t="s">
        <v>139</v>
      </c>
      <c r="K81" s="200"/>
      <c r="L81" s="199" t="s">
        <v>138</v>
      </c>
      <c r="M81" s="200"/>
      <c r="N81" s="199" t="s">
        <v>137</v>
      </c>
      <c r="O81" s="190"/>
      <c r="P81" s="201" cm="1">
        <f t="array" ref="P81">SUMPRODUCT($D82:$O82, 2^(COLUMN($O82)-COLUMN($D82:$O82)))</f>
        <v>41</v>
      </c>
      <c r="Q81" s="221" t="str">
        <f>"0x"&amp;DEC2HEX($P81, 3)</f>
        <v>0x029</v>
      </c>
      <c r="R81" s="180"/>
    </row>
    <row r="82" spans="1:18" ht="16.5" thickBot="1" x14ac:dyDescent="0.5">
      <c r="A82" s="183"/>
      <c r="B82" s="185"/>
      <c r="C82" s="187"/>
      <c r="D82" s="40">
        <v>0</v>
      </c>
      <c r="E82" s="23">
        <v>0</v>
      </c>
      <c r="F82" s="23">
        <v>0</v>
      </c>
      <c r="G82" s="23">
        <v>0</v>
      </c>
      <c r="H82" s="19">
        <v>0</v>
      </c>
      <c r="I82" s="19">
        <v>0</v>
      </c>
      <c r="J82" s="91">
        <v>1</v>
      </c>
      <c r="K82" s="19">
        <v>0</v>
      </c>
      <c r="L82" s="91">
        <v>1</v>
      </c>
      <c r="M82" s="19">
        <v>0</v>
      </c>
      <c r="N82" s="19">
        <v>0</v>
      </c>
      <c r="O82" s="92">
        <v>1</v>
      </c>
      <c r="P82" s="202"/>
      <c r="Q82" s="222"/>
      <c r="R82" s="181"/>
    </row>
    <row r="83" spans="1:18" x14ac:dyDescent="0.45">
      <c r="A83" s="214" t="s">
        <v>136</v>
      </c>
      <c r="B83" s="184" t="s">
        <v>135</v>
      </c>
      <c r="C83" s="186" t="s">
        <v>2</v>
      </c>
      <c r="D83" s="188" t="s">
        <v>134</v>
      </c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90"/>
      <c r="P83" s="201" cm="1">
        <f t="array" ref="P83">SUMPRODUCT($D84:$O84, 2^(COLUMN($O84)-COLUMN($D84:$O84)))</f>
        <v>0</v>
      </c>
      <c r="Q83" s="219" t="str">
        <f>"0x"&amp;DEC2HEX($P83, 3)</f>
        <v>0x000</v>
      </c>
      <c r="R83" s="180"/>
    </row>
    <row r="84" spans="1:18" ht="16.5" thickBot="1" x14ac:dyDescent="0.5">
      <c r="A84" s="204"/>
      <c r="B84" s="185"/>
      <c r="C84" s="187"/>
      <c r="D84" s="45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2">
        <v>0</v>
      </c>
      <c r="P84" s="202"/>
      <c r="Q84" s="220"/>
      <c r="R84" s="181"/>
    </row>
    <row r="85" spans="1:18" ht="26" x14ac:dyDescent="0.45">
      <c r="A85" s="203" t="s">
        <v>133</v>
      </c>
      <c r="B85" s="184" t="s">
        <v>132</v>
      </c>
      <c r="C85" s="186" t="s">
        <v>2</v>
      </c>
      <c r="D85" s="46" t="s">
        <v>131</v>
      </c>
      <c r="E85" s="27" t="s">
        <v>1</v>
      </c>
      <c r="F85" s="27" t="s">
        <v>1</v>
      </c>
      <c r="G85" s="27" t="s">
        <v>1</v>
      </c>
      <c r="H85" s="27" t="s">
        <v>1</v>
      </c>
      <c r="I85" s="27" t="s">
        <v>1</v>
      </c>
      <c r="J85" s="241" t="s">
        <v>130</v>
      </c>
      <c r="K85" s="242"/>
      <c r="L85" s="241" t="s">
        <v>129</v>
      </c>
      <c r="M85" s="243"/>
      <c r="N85" s="243"/>
      <c r="O85" s="244"/>
      <c r="P85" s="237" cm="1">
        <f t="array" ref="P85">SUMPRODUCT($D86:$O86, 2^(COLUMN($O86)-COLUMN($D86:$O86)))</f>
        <v>2056</v>
      </c>
      <c r="Q85" s="239" t="str">
        <f>"0x"&amp;DEC2HEX($P85, 3)</f>
        <v>0x808</v>
      </c>
      <c r="R85" s="218"/>
    </row>
    <row r="86" spans="1:18" ht="17.5" customHeight="1" thickBot="1" x14ac:dyDescent="0.5">
      <c r="A86" s="204"/>
      <c r="B86" s="185"/>
      <c r="C86" s="187"/>
      <c r="D86" s="95">
        <v>1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2">
        <v>0</v>
      </c>
      <c r="K86" s="22">
        <v>0</v>
      </c>
      <c r="L86" s="94">
        <v>1</v>
      </c>
      <c r="M86" s="22">
        <v>0</v>
      </c>
      <c r="N86" s="22">
        <v>0</v>
      </c>
      <c r="O86" s="21">
        <v>0</v>
      </c>
      <c r="P86" s="238"/>
      <c r="Q86" s="240"/>
      <c r="R86" s="204"/>
    </row>
    <row r="87" spans="1:18" ht="17" customHeight="1" x14ac:dyDescent="0.45">
      <c r="A87" s="182" t="s">
        <v>128</v>
      </c>
      <c r="B87" s="184" t="s">
        <v>127</v>
      </c>
      <c r="C87" s="186" t="s">
        <v>2</v>
      </c>
      <c r="D87" s="39" t="s">
        <v>126</v>
      </c>
      <c r="E87" s="26" t="s">
        <v>1</v>
      </c>
      <c r="F87" s="26" t="s">
        <v>1</v>
      </c>
      <c r="G87" s="26" t="s">
        <v>1</v>
      </c>
      <c r="H87" s="26" t="s">
        <v>1</v>
      </c>
      <c r="I87" s="199" t="s">
        <v>125</v>
      </c>
      <c r="J87" s="189"/>
      <c r="K87" s="200"/>
      <c r="L87" s="26" t="s">
        <v>1</v>
      </c>
      <c r="M87" s="199" t="s">
        <v>124</v>
      </c>
      <c r="N87" s="189"/>
      <c r="O87" s="190"/>
      <c r="P87" s="201" cm="1">
        <f t="array" ref="P87">SUMPRODUCT($D88:$O88, 2^(COLUMN($O88)-COLUMN($D88:$O88)))</f>
        <v>0</v>
      </c>
      <c r="Q87" s="219" t="str">
        <f>"0x"&amp;DEC2HEX($P87, 3)</f>
        <v>0x000</v>
      </c>
      <c r="R87" s="180"/>
    </row>
    <row r="88" spans="1:18" ht="16.5" thickBot="1" x14ac:dyDescent="0.5">
      <c r="A88" s="183"/>
      <c r="B88" s="185"/>
      <c r="C88" s="187"/>
      <c r="D88" s="45">
        <v>0</v>
      </c>
      <c r="E88" s="44">
        <v>0</v>
      </c>
      <c r="F88" s="44">
        <v>0</v>
      </c>
      <c r="G88" s="44">
        <v>0</v>
      </c>
      <c r="H88" s="44">
        <v>0</v>
      </c>
      <c r="I88" s="43">
        <v>0</v>
      </c>
      <c r="J88" s="43">
        <v>0</v>
      </c>
      <c r="K88" s="43">
        <v>0</v>
      </c>
      <c r="L88" s="44">
        <v>0</v>
      </c>
      <c r="M88" s="43">
        <v>0</v>
      </c>
      <c r="N88" s="43">
        <v>0</v>
      </c>
      <c r="O88" s="42">
        <v>0</v>
      </c>
      <c r="P88" s="202"/>
      <c r="Q88" s="220"/>
      <c r="R88" s="181"/>
    </row>
    <row r="89" spans="1:18" x14ac:dyDescent="0.45">
      <c r="A89" s="182" t="s">
        <v>123</v>
      </c>
      <c r="B89" s="184" t="s">
        <v>122</v>
      </c>
      <c r="C89" s="186" t="s">
        <v>121</v>
      </c>
      <c r="D89" s="41" t="s">
        <v>1</v>
      </c>
      <c r="E89" s="26" t="s">
        <v>1</v>
      </c>
      <c r="F89" s="26" t="s">
        <v>1</v>
      </c>
      <c r="G89" s="26" t="s">
        <v>1</v>
      </c>
      <c r="H89" s="26" t="s">
        <v>1</v>
      </c>
      <c r="I89" s="26" t="s">
        <v>1</v>
      </c>
      <c r="J89" s="26" t="s">
        <v>1</v>
      </c>
      <c r="K89" s="32" t="s">
        <v>120</v>
      </c>
      <c r="L89" s="26" t="s">
        <v>1</v>
      </c>
      <c r="M89" s="32" t="s">
        <v>119</v>
      </c>
      <c r="N89" s="32" t="s">
        <v>118</v>
      </c>
      <c r="O89" s="35" t="s">
        <v>117</v>
      </c>
      <c r="P89" s="201" cm="1">
        <f t="array" ref="P89">SUMPRODUCT($D90:$O90, 2^(COLUMN($O90)-COLUMN($D90:$O90)))</f>
        <v>23</v>
      </c>
      <c r="Q89" s="221" t="str">
        <f>"0x"&amp;DEC2HEX($P89, 3)</f>
        <v>0x017</v>
      </c>
      <c r="R89" s="180"/>
    </row>
    <row r="90" spans="1:18" ht="16.5" thickBot="1" x14ac:dyDescent="0.5">
      <c r="A90" s="183"/>
      <c r="B90" s="185"/>
      <c r="C90" s="187"/>
      <c r="D90" s="40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91">
        <v>1</v>
      </c>
      <c r="L90" s="23">
        <v>0</v>
      </c>
      <c r="M90" s="91">
        <v>1</v>
      </c>
      <c r="N90" s="91">
        <v>1</v>
      </c>
      <c r="O90" s="92">
        <v>1</v>
      </c>
      <c r="P90" s="202"/>
      <c r="Q90" s="222"/>
      <c r="R90" s="181"/>
    </row>
    <row r="91" spans="1:18" ht="17" customHeight="1" x14ac:dyDescent="0.45">
      <c r="A91" s="182" t="s">
        <v>116</v>
      </c>
      <c r="B91" s="184" t="s">
        <v>115</v>
      </c>
      <c r="C91" s="186" t="s">
        <v>2</v>
      </c>
      <c r="D91" s="188" t="s">
        <v>114</v>
      </c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90"/>
      <c r="P91" s="201" cm="1">
        <f t="array" ref="P91">SUMPRODUCT($D92:$O92, 2^(COLUMN($O92)-COLUMN($D92:$O92)))</f>
        <v>0</v>
      </c>
      <c r="Q91" s="219" t="str">
        <f>"0x"&amp;DEC2HEX($P91, 3)</f>
        <v>0x000</v>
      </c>
      <c r="R91" s="180"/>
    </row>
    <row r="92" spans="1:18" ht="16.5" thickBot="1" x14ac:dyDescent="0.5">
      <c r="A92" s="183"/>
      <c r="B92" s="185"/>
      <c r="C92" s="187"/>
      <c r="D92" s="36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29">
        <v>0</v>
      </c>
      <c r="P92" s="202"/>
      <c r="Q92" s="220"/>
      <c r="R92" s="181"/>
    </row>
    <row r="93" spans="1:18" x14ac:dyDescent="0.45">
      <c r="A93" s="182" t="s">
        <v>113</v>
      </c>
      <c r="B93" s="184" t="s">
        <v>112</v>
      </c>
      <c r="C93" s="186" t="s">
        <v>2</v>
      </c>
      <c r="D93" s="188" t="s">
        <v>111</v>
      </c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90"/>
      <c r="P93" s="201" cm="1">
        <f t="array" ref="P93">SUMPRODUCT($D94:$O94, 2^(COLUMN($O94)-COLUMN($D94:$O94)))</f>
        <v>0</v>
      </c>
      <c r="Q93" s="219" t="str">
        <f>"0x"&amp;DEC2HEX($P93, 3)</f>
        <v>0x000</v>
      </c>
      <c r="R93" s="180"/>
    </row>
    <row r="94" spans="1:18" ht="16.5" thickBot="1" x14ac:dyDescent="0.5">
      <c r="A94" s="183"/>
      <c r="B94" s="185"/>
      <c r="C94" s="187"/>
      <c r="D94" s="36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29">
        <v>0</v>
      </c>
      <c r="P94" s="202"/>
      <c r="Q94" s="220"/>
      <c r="R94" s="181"/>
    </row>
    <row r="95" spans="1:18" x14ac:dyDescent="0.45">
      <c r="A95" s="182" t="s">
        <v>110</v>
      </c>
      <c r="B95" s="184" t="s">
        <v>109</v>
      </c>
      <c r="C95" s="186" t="s">
        <v>2</v>
      </c>
      <c r="D95" s="188" t="s">
        <v>108</v>
      </c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90"/>
      <c r="P95" s="201" cm="1">
        <f t="array" ref="P95">SUMPRODUCT($D96:$O96, 2^(COLUMN($O96)-COLUMN($D96:$O96)))</f>
        <v>0</v>
      </c>
      <c r="Q95" s="219" t="str">
        <f>"0x"&amp;DEC2HEX($P95, 3)</f>
        <v>0x000</v>
      </c>
      <c r="R95" s="180"/>
    </row>
    <row r="96" spans="1:18" ht="16.5" thickBot="1" x14ac:dyDescent="0.5">
      <c r="A96" s="183"/>
      <c r="B96" s="185"/>
      <c r="C96" s="187"/>
      <c r="D96" s="36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29">
        <v>0</v>
      </c>
      <c r="P96" s="202"/>
      <c r="Q96" s="220"/>
      <c r="R96" s="181"/>
    </row>
    <row r="97" spans="1:18" ht="17.5" customHeight="1" thickBot="1" x14ac:dyDescent="0.5">
      <c r="A97" s="223" t="s">
        <v>107</v>
      </c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5"/>
    </row>
    <row r="98" spans="1:18" ht="26" x14ac:dyDescent="0.45">
      <c r="A98" s="195" t="s">
        <v>106</v>
      </c>
      <c r="B98" s="196" t="s">
        <v>105</v>
      </c>
      <c r="C98" s="186" t="s">
        <v>84</v>
      </c>
      <c r="D98" s="39" t="s">
        <v>104</v>
      </c>
      <c r="E98" s="26" t="s">
        <v>1</v>
      </c>
      <c r="F98" s="26" t="s">
        <v>1</v>
      </c>
      <c r="G98" s="26" t="s">
        <v>1</v>
      </c>
      <c r="H98" s="199" t="s">
        <v>103</v>
      </c>
      <c r="I98" s="200"/>
      <c r="J98" s="32" t="s">
        <v>102</v>
      </c>
      <c r="K98" s="32" t="s">
        <v>101</v>
      </c>
      <c r="L98" s="37" t="s">
        <v>100</v>
      </c>
      <c r="M98" s="32" t="s">
        <v>99</v>
      </c>
      <c r="N98" s="32" t="s">
        <v>98</v>
      </c>
      <c r="O98" s="35" t="s">
        <v>97</v>
      </c>
      <c r="P98" s="201" cm="1">
        <f t="array" ref="P98">SUMPRODUCT($D99:$O99, 2^(COLUMN($O99)-COLUMN($D99:$O99)))</f>
        <v>4</v>
      </c>
      <c r="Q98" s="221" t="str">
        <f>"0x"&amp;DEC2HEX($P98, 3)</f>
        <v>0x004</v>
      </c>
      <c r="R98" s="180"/>
    </row>
    <row r="99" spans="1:18" ht="16.5" thickBot="1" x14ac:dyDescent="0.5">
      <c r="A99" s="183"/>
      <c r="B99" s="185"/>
      <c r="C99" s="187"/>
      <c r="D99" s="36">
        <v>0</v>
      </c>
      <c r="E99" s="23">
        <v>0</v>
      </c>
      <c r="F99" s="23">
        <v>0</v>
      </c>
      <c r="G99" s="23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91">
        <v>1</v>
      </c>
      <c r="N99" s="19">
        <v>0</v>
      </c>
      <c r="O99" s="29">
        <v>0</v>
      </c>
      <c r="P99" s="202"/>
      <c r="Q99" s="222"/>
      <c r="R99" s="181"/>
    </row>
    <row r="100" spans="1:18" x14ac:dyDescent="0.45">
      <c r="A100" s="182" t="s">
        <v>96</v>
      </c>
      <c r="B100" s="184" t="s">
        <v>95</v>
      </c>
      <c r="C100" s="186" t="s">
        <v>2</v>
      </c>
      <c r="D100" s="34" t="s">
        <v>1</v>
      </c>
      <c r="E100" s="26" t="s">
        <v>1</v>
      </c>
      <c r="F100" s="26" t="s">
        <v>1</v>
      </c>
      <c r="G100" s="26" t="s">
        <v>1</v>
      </c>
      <c r="H100" s="26" t="s">
        <v>1</v>
      </c>
      <c r="I100" s="26" t="s">
        <v>1</v>
      </c>
      <c r="J100" s="26" t="s">
        <v>1</v>
      </c>
      <c r="K100" s="211" t="s">
        <v>94</v>
      </c>
      <c r="L100" s="211"/>
      <c r="M100" s="211"/>
      <c r="N100" s="211"/>
      <c r="O100" s="226"/>
      <c r="P100" s="191" cm="1">
        <f t="array" ref="P100">SUMPRODUCT($D101:$O101, 2^(COLUMN($O101)-COLUMN($D101:$O101)))</f>
        <v>0</v>
      </c>
      <c r="Q100" s="219" t="str">
        <f>"0x"&amp;DEC2HEX($P100, 3)</f>
        <v>0x000</v>
      </c>
      <c r="R100" s="180"/>
    </row>
    <row r="101" spans="1:18" ht="16.5" thickBot="1" x14ac:dyDescent="0.5">
      <c r="A101" s="183"/>
      <c r="B101" s="185"/>
      <c r="C101" s="187"/>
      <c r="D101" s="30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19">
        <v>0</v>
      </c>
      <c r="L101" s="19">
        <v>0</v>
      </c>
      <c r="M101" s="19">
        <v>0</v>
      </c>
      <c r="N101" s="19">
        <v>0</v>
      </c>
      <c r="O101" s="29">
        <v>0</v>
      </c>
      <c r="P101" s="192"/>
      <c r="Q101" s="220"/>
      <c r="R101" s="181"/>
    </row>
    <row r="102" spans="1:18" ht="17" customHeight="1" x14ac:dyDescent="0.45">
      <c r="A102" s="182" t="s">
        <v>93</v>
      </c>
      <c r="B102" s="184" t="s">
        <v>92</v>
      </c>
      <c r="C102" s="186" t="s">
        <v>2</v>
      </c>
      <c r="D102" s="34" t="s">
        <v>1</v>
      </c>
      <c r="E102" s="26" t="s">
        <v>1</v>
      </c>
      <c r="F102" s="26" t="s">
        <v>1</v>
      </c>
      <c r="G102" s="26" t="s">
        <v>1</v>
      </c>
      <c r="H102" s="26" t="s">
        <v>1</v>
      </c>
      <c r="I102" s="26" t="s">
        <v>1</v>
      </c>
      <c r="J102" s="26" t="s">
        <v>1</v>
      </c>
      <c r="K102" s="26" t="s">
        <v>523</v>
      </c>
      <c r="L102" s="199" t="s">
        <v>91</v>
      </c>
      <c r="M102" s="189"/>
      <c r="N102" s="189"/>
      <c r="O102" s="190"/>
      <c r="P102" s="191" cm="1">
        <f t="array" ref="P102">SUMPRODUCT($D103:$O103, 2^(COLUMN($O103)-COLUMN($D103:$O103)))</f>
        <v>0</v>
      </c>
      <c r="Q102" s="219" t="str">
        <f>"0x"&amp;DEC2HEX($P102, 3)</f>
        <v>0x000</v>
      </c>
      <c r="R102" s="180"/>
    </row>
    <row r="103" spans="1:18" ht="16.5" thickBot="1" x14ac:dyDescent="0.5">
      <c r="A103" s="183"/>
      <c r="B103" s="185"/>
      <c r="C103" s="187"/>
      <c r="D103" s="30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19">
        <v>0</v>
      </c>
      <c r="M103" s="19">
        <v>0</v>
      </c>
      <c r="N103" s="19">
        <v>0</v>
      </c>
      <c r="O103" s="29">
        <v>0</v>
      </c>
      <c r="P103" s="192"/>
      <c r="Q103" s="220"/>
      <c r="R103" s="181"/>
    </row>
    <row r="104" spans="1:18" ht="17" customHeight="1" x14ac:dyDescent="0.45">
      <c r="A104" s="182" t="s">
        <v>90</v>
      </c>
      <c r="B104" s="184" t="s">
        <v>89</v>
      </c>
      <c r="C104" s="186" t="s">
        <v>88</v>
      </c>
      <c r="D104" s="188" t="s">
        <v>87</v>
      </c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90"/>
      <c r="P104" s="191" cm="1">
        <f t="array" ref="P104">SUMPRODUCT($D105:$O105, 2^(COLUMN($O105)-COLUMN($D105:$O105)))</f>
        <v>1023</v>
      </c>
      <c r="Q104" s="221" t="str">
        <f>"0x"&amp;DEC2HEX($P104, 3)</f>
        <v>0x3FF</v>
      </c>
      <c r="R104" s="180"/>
    </row>
    <row r="105" spans="1:18" ht="16.5" thickBot="1" x14ac:dyDescent="0.5">
      <c r="A105" s="183"/>
      <c r="B105" s="185"/>
      <c r="C105" s="187"/>
      <c r="D105" s="20">
        <v>0</v>
      </c>
      <c r="E105" s="19">
        <v>0</v>
      </c>
      <c r="F105" s="91">
        <v>1</v>
      </c>
      <c r="G105" s="91">
        <v>1</v>
      </c>
      <c r="H105" s="91">
        <v>1</v>
      </c>
      <c r="I105" s="91">
        <v>1</v>
      </c>
      <c r="J105" s="91">
        <v>1</v>
      </c>
      <c r="K105" s="91">
        <v>1</v>
      </c>
      <c r="L105" s="91">
        <v>1</v>
      </c>
      <c r="M105" s="91">
        <v>1</v>
      </c>
      <c r="N105" s="91">
        <v>1</v>
      </c>
      <c r="O105" s="92">
        <v>1</v>
      </c>
      <c r="P105" s="192"/>
      <c r="Q105" s="222"/>
      <c r="R105" s="181"/>
    </row>
    <row r="106" spans="1:18" x14ac:dyDescent="0.45">
      <c r="A106" s="182" t="s">
        <v>86</v>
      </c>
      <c r="B106" s="184" t="s">
        <v>85</v>
      </c>
      <c r="C106" s="186" t="s">
        <v>84</v>
      </c>
      <c r="D106" s="33" t="s">
        <v>1</v>
      </c>
      <c r="E106" s="33" t="s">
        <v>1</v>
      </c>
      <c r="F106" s="33" t="s">
        <v>1</v>
      </c>
      <c r="G106" s="33" t="s">
        <v>1</v>
      </c>
      <c r="H106" s="33" t="s">
        <v>1</v>
      </c>
      <c r="I106" s="33" t="s">
        <v>1</v>
      </c>
      <c r="J106" s="211" t="s">
        <v>83</v>
      </c>
      <c r="K106" s="211"/>
      <c r="L106" s="199" t="s">
        <v>82</v>
      </c>
      <c r="M106" s="189"/>
      <c r="N106" s="189"/>
      <c r="O106" s="190"/>
      <c r="P106" s="191" cm="1">
        <f t="array" ref="P106">SUMPRODUCT($D107:$O107, 2^(COLUMN($O107)-COLUMN($D107:$O107)))</f>
        <v>4</v>
      </c>
      <c r="Q106" s="221" t="str">
        <f>"0x"&amp;DEC2HEX($P106, 3)</f>
        <v>0x004</v>
      </c>
      <c r="R106" s="180"/>
    </row>
    <row r="107" spans="1:18" ht="16.5" thickBot="1" x14ac:dyDescent="0.5">
      <c r="A107" s="183"/>
      <c r="B107" s="185"/>
      <c r="C107" s="187"/>
      <c r="D107" s="30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19">
        <v>0</v>
      </c>
      <c r="K107" s="19">
        <v>0</v>
      </c>
      <c r="L107" s="19">
        <v>0</v>
      </c>
      <c r="M107" s="91">
        <v>1</v>
      </c>
      <c r="N107" s="19">
        <v>0</v>
      </c>
      <c r="O107" s="29">
        <v>0</v>
      </c>
      <c r="P107" s="192"/>
      <c r="Q107" s="222"/>
      <c r="R107" s="181"/>
    </row>
    <row r="108" spans="1:18" x14ac:dyDescent="0.45">
      <c r="A108" s="182" t="s">
        <v>81</v>
      </c>
      <c r="B108" s="184" t="s">
        <v>80</v>
      </c>
      <c r="C108" s="186" t="s">
        <v>2</v>
      </c>
      <c r="D108" s="28" t="s">
        <v>79</v>
      </c>
      <c r="E108" s="27" t="s">
        <v>1</v>
      </c>
      <c r="F108" s="26" t="s">
        <v>1</v>
      </c>
      <c r="G108" s="26" t="s">
        <v>1</v>
      </c>
      <c r="H108" s="26" t="s">
        <v>1</v>
      </c>
      <c r="I108" s="26" t="s">
        <v>1</v>
      </c>
      <c r="J108" s="26" t="s">
        <v>1</v>
      </c>
      <c r="K108" s="26" t="s">
        <v>1</v>
      </c>
      <c r="L108" s="26" t="s">
        <v>1</v>
      </c>
      <c r="M108" s="26" t="s">
        <v>1</v>
      </c>
      <c r="N108" s="25" t="s">
        <v>78</v>
      </c>
      <c r="O108" s="25" t="s">
        <v>77</v>
      </c>
      <c r="P108" s="191" cm="1">
        <f t="array" ref="P108">SUMPRODUCT($D109:$O109, 2^(COLUMN($O109)-COLUMN($D109:$O109)))</f>
        <v>0</v>
      </c>
      <c r="Q108" s="235" t="str">
        <f>"0x"&amp;DEC2HEX($P108, 3)</f>
        <v>0x000</v>
      </c>
      <c r="R108" s="180"/>
    </row>
    <row r="109" spans="1:18" ht="16.5" thickBot="1" x14ac:dyDescent="0.5">
      <c r="A109" s="183"/>
      <c r="B109" s="185"/>
      <c r="C109" s="187"/>
      <c r="D109" s="20">
        <v>0</v>
      </c>
      <c r="E109" s="24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2">
        <v>0</v>
      </c>
      <c r="O109" s="21">
        <v>0</v>
      </c>
      <c r="P109" s="192"/>
      <c r="Q109" s="236"/>
      <c r="R109" s="181"/>
    </row>
    <row r="110" spans="1:18" x14ac:dyDescent="0.45">
      <c r="A110" s="182" t="s">
        <v>76</v>
      </c>
      <c r="B110" s="184" t="s">
        <v>75</v>
      </c>
      <c r="C110" s="186" t="s">
        <v>506</v>
      </c>
      <c r="D110" s="188" t="s">
        <v>73</v>
      </c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90"/>
      <c r="P110" s="191" cm="1">
        <f t="array" ref="P110">SUMPRODUCT($D111:$O111, 2^(COLUMN($O111)-COLUMN($D111:$O111)))</f>
        <v>1445</v>
      </c>
      <c r="Q110" s="221" t="str">
        <f>"0x"&amp;DEC2HEX($P110, 3)</f>
        <v>0x5A5</v>
      </c>
      <c r="R110" s="180"/>
    </row>
    <row r="111" spans="1:18" ht="16.5" thickBot="1" x14ac:dyDescent="0.5">
      <c r="A111" s="183"/>
      <c r="B111" s="185"/>
      <c r="C111" s="187"/>
      <c r="D111" s="20">
        <v>0</v>
      </c>
      <c r="E111" s="91">
        <v>1</v>
      </c>
      <c r="F111" s="19">
        <v>0</v>
      </c>
      <c r="G111" s="91">
        <v>1</v>
      </c>
      <c r="H111" s="91">
        <v>1</v>
      </c>
      <c r="I111" s="19">
        <v>0</v>
      </c>
      <c r="J111" s="91">
        <v>1</v>
      </c>
      <c r="K111" s="19">
        <v>0</v>
      </c>
      <c r="L111" s="19">
        <v>0</v>
      </c>
      <c r="M111" s="91">
        <v>1</v>
      </c>
      <c r="N111" s="19">
        <v>0</v>
      </c>
      <c r="O111" s="92">
        <v>1</v>
      </c>
      <c r="P111" s="192"/>
      <c r="Q111" s="222"/>
      <c r="R111" s="181"/>
    </row>
    <row r="112" spans="1:18" ht="17.5" customHeight="1" thickBot="1" x14ac:dyDescent="0.5">
      <c r="A112" s="215" t="s">
        <v>72</v>
      </c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7"/>
    </row>
    <row r="113" spans="1:18" ht="17" customHeight="1" x14ac:dyDescent="0.45">
      <c r="A113" s="18"/>
      <c r="B113" s="248" t="s">
        <v>71</v>
      </c>
      <c r="C113" s="186" t="s">
        <v>2</v>
      </c>
      <c r="D113" s="14" t="s">
        <v>1</v>
      </c>
      <c r="E113" s="14" t="s">
        <v>1</v>
      </c>
      <c r="F113" s="14" t="s">
        <v>1</v>
      </c>
      <c r="G113" s="14" t="s">
        <v>1</v>
      </c>
      <c r="H113" s="261" t="s">
        <v>70</v>
      </c>
      <c r="I113" s="261"/>
      <c r="J113" s="261"/>
      <c r="K113" s="261"/>
      <c r="L113" s="261"/>
      <c r="M113" s="261"/>
      <c r="N113" s="261"/>
      <c r="O113" s="261"/>
      <c r="P113" s="201" cm="1">
        <f t="array" ref="P113">SUMPRODUCT($D114:$O114, 2^(COLUMN($O114)-COLUMN($D114:$O114)))</f>
        <v>0</v>
      </c>
      <c r="Q113" s="219" t="str">
        <f>"0x"&amp;DEC2HEX($P113, 3)</f>
        <v>0x000</v>
      </c>
      <c r="R113" s="180"/>
    </row>
    <row r="114" spans="1:18" ht="17.5" customHeight="1" thickBot="1" x14ac:dyDescent="0.5">
      <c r="A114" s="13"/>
      <c r="B114" s="249"/>
      <c r="C114" s="187"/>
      <c r="D114" s="17">
        <v>0</v>
      </c>
      <c r="E114" s="17">
        <v>0</v>
      </c>
      <c r="F114" s="17">
        <v>0</v>
      </c>
      <c r="G114" s="17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258"/>
      <c r="Q114" s="259"/>
      <c r="R114" s="181"/>
    </row>
    <row r="115" spans="1:18" ht="17" customHeight="1" x14ac:dyDescent="0.45">
      <c r="A115" s="13"/>
      <c r="B115" s="248" t="s">
        <v>69</v>
      </c>
      <c r="C115" s="186" t="s">
        <v>65</v>
      </c>
      <c r="D115" s="14" t="s">
        <v>1</v>
      </c>
      <c r="E115" s="14" t="s">
        <v>1</v>
      </c>
      <c r="F115" s="261" t="s">
        <v>68</v>
      </c>
      <c r="G115" s="261"/>
      <c r="H115" s="261"/>
      <c r="I115" s="261"/>
      <c r="J115" s="261"/>
      <c r="K115" s="261" t="s">
        <v>67</v>
      </c>
      <c r="L115" s="261"/>
      <c r="M115" s="261"/>
      <c r="N115" s="261"/>
      <c r="O115" s="261"/>
      <c r="P115" s="201" cm="1">
        <f t="array" ref="P115">SUMPRODUCT($D116:$O116, 2^(COLUMN($O116)-COLUMN($D116:$O116)))</f>
        <v>528</v>
      </c>
      <c r="Q115" s="221" t="str">
        <f>"0x"&amp;DEC2HEX($P115, 3)</f>
        <v>0x210</v>
      </c>
      <c r="R115" s="180"/>
    </row>
    <row r="116" spans="1:18" ht="17.5" customHeight="1" thickBot="1" x14ac:dyDescent="0.5">
      <c r="A116" s="13"/>
      <c r="B116" s="254"/>
      <c r="C116" s="187"/>
      <c r="D116" s="11">
        <v>0</v>
      </c>
      <c r="E116" s="11">
        <v>0</v>
      </c>
      <c r="F116" s="96">
        <v>1</v>
      </c>
      <c r="G116" s="10">
        <v>0</v>
      </c>
      <c r="H116" s="10">
        <v>0</v>
      </c>
      <c r="I116" s="10">
        <v>0</v>
      </c>
      <c r="J116" s="10">
        <v>0</v>
      </c>
      <c r="K116" s="96">
        <v>1</v>
      </c>
      <c r="L116" s="10">
        <v>0</v>
      </c>
      <c r="M116" s="10">
        <v>0</v>
      </c>
      <c r="N116" s="10">
        <v>0</v>
      </c>
      <c r="O116" s="10">
        <v>0</v>
      </c>
      <c r="P116" s="202"/>
      <c r="Q116" s="222"/>
      <c r="R116" s="181"/>
    </row>
    <row r="117" spans="1:18" ht="17" customHeight="1" x14ac:dyDescent="0.45">
      <c r="A117" s="13"/>
      <c r="B117" s="248" t="s">
        <v>66</v>
      </c>
      <c r="C117" s="186" t="s">
        <v>65</v>
      </c>
      <c r="D117" s="14" t="s">
        <v>1</v>
      </c>
      <c r="E117" s="14" t="s">
        <v>1</v>
      </c>
      <c r="F117" s="261" t="s">
        <v>64</v>
      </c>
      <c r="G117" s="261"/>
      <c r="H117" s="261"/>
      <c r="I117" s="261"/>
      <c r="J117" s="261"/>
      <c r="K117" s="261" t="s">
        <v>63</v>
      </c>
      <c r="L117" s="261"/>
      <c r="M117" s="261"/>
      <c r="N117" s="261"/>
      <c r="O117" s="261"/>
      <c r="P117" s="201" cm="1">
        <f t="array" ref="P117">SUMPRODUCT($D118:$O118, 2^(COLUMN($O118)-COLUMN($D118:$O118)))</f>
        <v>528</v>
      </c>
      <c r="Q117" s="221" t="str">
        <f>"0x"&amp;DEC2HEX($P117, 3)</f>
        <v>0x210</v>
      </c>
      <c r="R117" s="180"/>
    </row>
    <row r="118" spans="1:18" ht="17.5" customHeight="1" thickBot="1" x14ac:dyDescent="0.5">
      <c r="A118" s="13"/>
      <c r="B118" s="254"/>
      <c r="C118" s="187"/>
      <c r="D118" s="11">
        <v>0</v>
      </c>
      <c r="E118" s="11">
        <v>0</v>
      </c>
      <c r="F118" s="96">
        <v>1</v>
      </c>
      <c r="G118" s="10">
        <v>0</v>
      </c>
      <c r="H118" s="10">
        <v>0</v>
      </c>
      <c r="I118" s="10">
        <v>0</v>
      </c>
      <c r="J118" s="10">
        <v>0</v>
      </c>
      <c r="K118" s="96">
        <v>1</v>
      </c>
      <c r="L118" s="10">
        <v>0</v>
      </c>
      <c r="M118" s="10">
        <v>0</v>
      </c>
      <c r="N118" s="10">
        <v>0</v>
      </c>
      <c r="O118" s="10">
        <v>0</v>
      </c>
      <c r="P118" s="202"/>
      <c r="Q118" s="222"/>
      <c r="R118" s="181"/>
    </row>
    <row r="119" spans="1:18" ht="17" customHeight="1" x14ac:dyDescent="0.45">
      <c r="A119" s="13"/>
      <c r="B119" s="248" t="s">
        <v>62</v>
      </c>
      <c r="C119" s="186" t="s">
        <v>58</v>
      </c>
      <c r="D119" s="262" t="s">
        <v>61</v>
      </c>
      <c r="E119" s="263"/>
      <c r="F119" s="263"/>
      <c r="G119" s="264"/>
      <c r="H119" s="14" t="s">
        <v>1</v>
      </c>
      <c r="I119" s="14" t="s">
        <v>1</v>
      </c>
      <c r="J119" s="14" t="s">
        <v>1</v>
      </c>
      <c r="K119" s="250" t="s">
        <v>60</v>
      </c>
      <c r="L119" s="250"/>
      <c r="M119" s="250"/>
      <c r="N119" s="250"/>
      <c r="O119" s="250"/>
      <c r="P119" s="258" cm="1">
        <f t="array" ref="P119">SUMPRODUCT($D120:$O120, 2^(COLUMN($O120)-COLUMN($D120:$O120)))</f>
        <v>2064</v>
      </c>
      <c r="Q119" s="260" t="str">
        <f>"0x"&amp;DEC2HEX($P119, 3)</f>
        <v>0x810</v>
      </c>
      <c r="R119" s="180"/>
    </row>
    <row r="120" spans="1:18" ht="17.5" customHeight="1" thickBot="1" x14ac:dyDescent="0.5">
      <c r="A120" s="13"/>
      <c r="B120" s="254"/>
      <c r="C120" s="187"/>
      <c r="D120" s="96">
        <v>1</v>
      </c>
      <c r="E120" s="10">
        <v>0</v>
      </c>
      <c r="F120" s="10">
        <v>0</v>
      </c>
      <c r="G120" s="10">
        <v>0</v>
      </c>
      <c r="H120" s="11">
        <v>0</v>
      </c>
      <c r="I120" s="11">
        <v>0</v>
      </c>
      <c r="J120" s="11">
        <v>0</v>
      </c>
      <c r="K120" s="96">
        <v>1</v>
      </c>
      <c r="L120" s="10">
        <v>0</v>
      </c>
      <c r="M120" s="10">
        <v>0</v>
      </c>
      <c r="N120" s="10">
        <v>0</v>
      </c>
      <c r="O120" s="10">
        <v>0</v>
      </c>
      <c r="P120" s="202"/>
      <c r="Q120" s="222"/>
      <c r="R120" s="181"/>
    </row>
    <row r="121" spans="1:18" ht="17" customHeight="1" x14ac:dyDescent="0.45">
      <c r="A121" s="13"/>
      <c r="B121" s="248" t="s">
        <v>59</v>
      </c>
      <c r="C121" s="186" t="s">
        <v>58</v>
      </c>
      <c r="D121" s="251" t="s">
        <v>57</v>
      </c>
      <c r="E121" s="252"/>
      <c r="F121" s="252"/>
      <c r="G121" s="252"/>
      <c r="H121" s="253"/>
      <c r="I121" s="14" t="s">
        <v>1</v>
      </c>
      <c r="J121" s="14" t="s">
        <v>1</v>
      </c>
      <c r="K121" s="251" t="s">
        <v>56</v>
      </c>
      <c r="L121" s="252"/>
      <c r="M121" s="252"/>
      <c r="N121" s="252"/>
      <c r="O121" s="253"/>
      <c r="P121" s="201" cm="1">
        <f t="array" ref="P121">SUMPRODUCT($D122:$O122, 2^(COLUMN($O122)-COLUMN($D122:$O122)))</f>
        <v>2064</v>
      </c>
      <c r="Q121" s="221" t="str">
        <f>"0x"&amp;DEC2HEX($P121, 3)</f>
        <v>0x810</v>
      </c>
      <c r="R121" s="180"/>
    </row>
    <row r="122" spans="1:18" ht="17.5" customHeight="1" thickBot="1" x14ac:dyDescent="0.5">
      <c r="A122" s="13"/>
      <c r="B122" s="254"/>
      <c r="C122" s="187"/>
      <c r="D122" s="96">
        <v>1</v>
      </c>
      <c r="E122" s="10">
        <v>0</v>
      </c>
      <c r="F122" s="10">
        <v>0</v>
      </c>
      <c r="G122" s="10">
        <v>0</v>
      </c>
      <c r="H122" s="10">
        <v>0</v>
      </c>
      <c r="I122" s="11">
        <v>0</v>
      </c>
      <c r="J122" s="11">
        <v>0</v>
      </c>
      <c r="K122" s="96">
        <v>1</v>
      </c>
      <c r="L122" s="10">
        <v>0</v>
      </c>
      <c r="M122" s="10">
        <v>0</v>
      </c>
      <c r="N122" s="10">
        <v>0</v>
      </c>
      <c r="O122" s="10">
        <v>0</v>
      </c>
      <c r="P122" s="202"/>
      <c r="Q122" s="222"/>
      <c r="R122" s="181"/>
    </row>
    <row r="123" spans="1:18" ht="17" customHeight="1" x14ac:dyDescent="0.45">
      <c r="A123" s="13"/>
      <c r="B123" s="248" t="s">
        <v>55</v>
      </c>
      <c r="C123" s="186" t="s">
        <v>2</v>
      </c>
      <c r="D123" s="14" t="s">
        <v>1</v>
      </c>
      <c r="E123" s="14" t="s">
        <v>1</v>
      </c>
      <c r="F123" s="14" t="s">
        <v>1</v>
      </c>
      <c r="G123" s="14" t="s">
        <v>1</v>
      </c>
      <c r="H123" s="265" t="s">
        <v>54</v>
      </c>
      <c r="I123" s="265"/>
      <c r="J123" s="265"/>
      <c r="K123" s="265"/>
      <c r="L123" s="265" t="s">
        <v>53</v>
      </c>
      <c r="M123" s="265"/>
      <c r="N123" s="265"/>
      <c r="O123" s="265"/>
      <c r="P123" s="201" cm="1">
        <f t="array" ref="P123">SUMPRODUCT($D124:$O124, 2^(COLUMN($O124)-COLUMN($D124:$O124)))</f>
        <v>128</v>
      </c>
      <c r="Q123" s="221" t="str">
        <f>"0x"&amp;DEC2HEX($P123, 3)</f>
        <v>0x080</v>
      </c>
      <c r="R123" s="180"/>
    </row>
    <row r="124" spans="1:18" ht="17.5" customHeight="1" thickBot="1" x14ac:dyDescent="0.5">
      <c r="A124" s="13"/>
      <c r="B124" s="254"/>
      <c r="C124" s="187"/>
      <c r="D124" s="17">
        <v>0</v>
      </c>
      <c r="E124" s="17">
        <v>0</v>
      </c>
      <c r="F124" s="17">
        <v>0</v>
      </c>
      <c r="G124" s="17">
        <v>0</v>
      </c>
      <c r="H124" s="97">
        <v>1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258"/>
      <c r="Q124" s="260"/>
      <c r="R124" s="181"/>
    </row>
    <row r="125" spans="1:18" ht="17" customHeight="1" x14ac:dyDescent="0.45">
      <c r="A125" s="13"/>
      <c r="B125" s="248" t="s">
        <v>52</v>
      </c>
      <c r="C125" s="186" t="s">
        <v>2</v>
      </c>
      <c r="D125" s="15" t="s">
        <v>1</v>
      </c>
      <c r="E125" s="14" t="s">
        <v>1</v>
      </c>
      <c r="F125" s="14" t="s">
        <v>1</v>
      </c>
      <c r="G125" s="245" t="s">
        <v>51</v>
      </c>
      <c r="H125" s="246"/>
      <c r="I125" s="246"/>
      <c r="J125" s="246"/>
      <c r="K125" s="246"/>
      <c r="L125" s="246"/>
      <c r="M125" s="246"/>
      <c r="N125" s="246"/>
      <c r="O125" s="247"/>
      <c r="P125" s="201" cm="1">
        <f t="array" ref="P125">SUMPRODUCT($D126:$O126, 2^(COLUMN($O126)-COLUMN($D126:$O126)))</f>
        <v>0</v>
      </c>
      <c r="Q125" s="219" t="str">
        <f>"0x"&amp;DEC2HEX($P125, 3)</f>
        <v>0x000</v>
      </c>
      <c r="R125" s="180"/>
    </row>
    <row r="126" spans="1:18" ht="17.5" customHeight="1" thickBot="1" x14ac:dyDescent="0.5">
      <c r="A126" s="13"/>
      <c r="B126" s="254"/>
      <c r="C126" s="187"/>
      <c r="D126" s="12">
        <v>0</v>
      </c>
      <c r="E126" s="11">
        <v>0</v>
      </c>
      <c r="F126" s="11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202"/>
      <c r="Q126" s="220"/>
      <c r="R126" s="181"/>
    </row>
    <row r="127" spans="1:18" ht="17" customHeight="1" x14ac:dyDescent="0.45">
      <c r="A127" s="13"/>
      <c r="B127" s="248" t="s">
        <v>50</v>
      </c>
      <c r="C127" s="186" t="s">
        <v>2</v>
      </c>
      <c r="D127" s="15" t="s">
        <v>1</v>
      </c>
      <c r="E127" s="14" t="s">
        <v>1</v>
      </c>
      <c r="F127" s="14" t="s">
        <v>1</v>
      </c>
      <c r="G127" s="245" t="s">
        <v>49</v>
      </c>
      <c r="H127" s="246"/>
      <c r="I127" s="246"/>
      <c r="J127" s="246"/>
      <c r="K127" s="246"/>
      <c r="L127" s="246"/>
      <c r="M127" s="246"/>
      <c r="N127" s="246"/>
      <c r="O127" s="247"/>
      <c r="P127" s="201" cm="1">
        <f t="array" ref="P127">SUMPRODUCT($D128:$O128, 2^(COLUMN($O128)-COLUMN($D128:$O128)))</f>
        <v>0</v>
      </c>
      <c r="Q127" s="219" t="str">
        <f>"0x"&amp;DEC2HEX($P127, 3)</f>
        <v>0x000</v>
      </c>
      <c r="R127" s="180"/>
    </row>
    <row r="128" spans="1:18" ht="17.5" customHeight="1" thickBot="1" x14ac:dyDescent="0.5">
      <c r="A128" s="13"/>
      <c r="B128" s="254"/>
      <c r="C128" s="187"/>
      <c r="D128" s="12">
        <v>0</v>
      </c>
      <c r="E128" s="11">
        <v>0</v>
      </c>
      <c r="F128" s="11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202"/>
      <c r="Q128" s="220"/>
      <c r="R128" s="181"/>
    </row>
    <row r="129" spans="1:18" x14ac:dyDescent="0.45">
      <c r="A129" s="13"/>
      <c r="B129" s="248" t="s">
        <v>48</v>
      </c>
      <c r="C129" s="186" t="s">
        <v>2</v>
      </c>
      <c r="D129" s="15" t="s">
        <v>1</v>
      </c>
      <c r="E129" s="14" t="s">
        <v>1</v>
      </c>
      <c r="F129" s="14" t="s">
        <v>1</v>
      </c>
      <c r="G129" s="245" t="s">
        <v>47</v>
      </c>
      <c r="H129" s="246"/>
      <c r="I129" s="246"/>
      <c r="J129" s="246"/>
      <c r="K129" s="246"/>
      <c r="L129" s="246"/>
      <c r="M129" s="246"/>
      <c r="N129" s="246"/>
      <c r="O129" s="247"/>
      <c r="P129" s="201" cm="1">
        <f t="array" ref="P129">SUMPRODUCT($D130:$O130, 2^(COLUMN($O130)-COLUMN($D130:$O130)))</f>
        <v>0</v>
      </c>
      <c r="Q129" s="219" t="str">
        <f>"0x"&amp;DEC2HEX($P129, 3)</f>
        <v>0x000</v>
      </c>
      <c r="R129" s="180"/>
    </row>
    <row r="130" spans="1:18" ht="16.5" thickBot="1" x14ac:dyDescent="0.5">
      <c r="A130" s="13"/>
      <c r="B130" s="254"/>
      <c r="C130" s="187"/>
      <c r="D130" s="12">
        <v>0</v>
      </c>
      <c r="E130" s="11">
        <v>0</v>
      </c>
      <c r="F130" s="11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202"/>
      <c r="Q130" s="220"/>
      <c r="R130" s="181"/>
    </row>
    <row r="131" spans="1:18" x14ac:dyDescent="0.45">
      <c r="A131" s="13"/>
      <c r="B131" s="248" t="s">
        <v>46</v>
      </c>
      <c r="C131" s="186" t="s">
        <v>2</v>
      </c>
      <c r="D131" s="15" t="s">
        <v>1</v>
      </c>
      <c r="E131" s="14" t="s">
        <v>1</v>
      </c>
      <c r="F131" s="14" t="s">
        <v>1</v>
      </c>
      <c r="G131" s="245" t="s">
        <v>45</v>
      </c>
      <c r="H131" s="246"/>
      <c r="I131" s="246"/>
      <c r="J131" s="246"/>
      <c r="K131" s="246"/>
      <c r="L131" s="246"/>
      <c r="M131" s="246"/>
      <c r="N131" s="246"/>
      <c r="O131" s="247"/>
      <c r="P131" s="201" cm="1">
        <f t="array" ref="P131">SUMPRODUCT($D132:$O132, 2^(COLUMN($O132)-COLUMN($D132:$O132)))</f>
        <v>0</v>
      </c>
      <c r="Q131" s="219" t="str">
        <f>"0x"&amp;DEC2HEX($P131, 3)</f>
        <v>0x000</v>
      </c>
      <c r="R131" s="180"/>
    </row>
    <row r="132" spans="1:18" ht="16.5" thickBot="1" x14ac:dyDescent="0.5">
      <c r="A132" s="13"/>
      <c r="B132" s="254"/>
      <c r="C132" s="187"/>
      <c r="D132" s="12">
        <v>0</v>
      </c>
      <c r="E132" s="11">
        <v>0</v>
      </c>
      <c r="F132" s="11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202"/>
      <c r="Q132" s="220"/>
      <c r="R132" s="181"/>
    </row>
    <row r="133" spans="1:18" x14ac:dyDescent="0.45">
      <c r="A133" s="13"/>
      <c r="B133" s="248" t="s">
        <v>44</v>
      </c>
      <c r="C133" s="186" t="s">
        <v>2</v>
      </c>
      <c r="D133" s="15" t="s">
        <v>1</v>
      </c>
      <c r="E133" s="14" t="s">
        <v>1</v>
      </c>
      <c r="F133" s="14" t="s">
        <v>1</v>
      </c>
      <c r="G133" s="245" t="s">
        <v>43</v>
      </c>
      <c r="H133" s="246"/>
      <c r="I133" s="246"/>
      <c r="J133" s="246"/>
      <c r="K133" s="246"/>
      <c r="L133" s="246"/>
      <c r="M133" s="246"/>
      <c r="N133" s="246"/>
      <c r="O133" s="247"/>
      <c r="P133" s="201" cm="1">
        <f t="array" ref="P133">SUMPRODUCT($D134:$O134, 2^(COLUMN($O134)-COLUMN($D134:$O134)))</f>
        <v>0</v>
      </c>
      <c r="Q133" s="219" t="str">
        <f>"0x"&amp;DEC2HEX($P133, 3)</f>
        <v>0x000</v>
      </c>
      <c r="R133" s="180"/>
    </row>
    <row r="134" spans="1:18" ht="16.5" thickBot="1" x14ac:dyDescent="0.5">
      <c r="A134" s="13"/>
      <c r="B134" s="254"/>
      <c r="C134" s="187"/>
      <c r="D134" s="12">
        <v>0</v>
      </c>
      <c r="E134" s="11">
        <v>0</v>
      </c>
      <c r="F134" s="11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202"/>
      <c r="Q134" s="220"/>
      <c r="R134" s="181"/>
    </row>
    <row r="135" spans="1:18" x14ac:dyDescent="0.45">
      <c r="A135" s="13"/>
      <c r="B135" s="248" t="s">
        <v>42</v>
      </c>
      <c r="C135" s="186" t="s">
        <v>2</v>
      </c>
      <c r="D135" s="15" t="s">
        <v>1</v>
      </c>
      <c r="E135" s="14" t="s">
        <v>1</v>
      </c>
      <c r="F135" s="14" t="s">
        <v>1</v>
      </c>
      <c r="G135" s="245" t="s">
        <v>41</v>
      </c>
      <c r="H135" s="246"/>
      <c r="I135" s="246"/>
      <c r="J135" s="246"/>
      <c r="K135" s="246"/>
      <c r="L135" s="246"/>
      <c r="M135" s="246"/>
      <c r="N135" s="246"/>
      <c r="O135" s="247"/>
      <c r="P135" s="201" cm="1">
        <f t="array" ref="P135">SUMPRODUCT($D136:$O136, 2^(COLUMN($O136)-COLUMN($D136:$O136)))</f>
        <v>0</v>
      </c>
      <c r="Q135" s="219" t="str">
        <f>"0x"&amp;DEC2HEX($P135, 3)</f>
        <v>0x000</v>
      </c>
      <c r="R135" s="180"/>
    </row>
    <row r="136" spans="1:18" ht="16.5" thickBot="1" x14ac:dyDescent="0.5">
      <c r="A136" s="13"/>
      <c r="B136" s="254"/>
      <c r="C136" s="187"/>
      <c r="D136" s="12">
        <v>0</v>
      </c>
      <c r="E136" s="11">
        <v>0</v>
      </c>
      <c r="F136" s="11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202"/>
      <c r="Q136" s="220"/>
      <c r="R136" s="181"/>
    </row>
    <row r="137" spans="1:18" x14ac:dyDescent="0.45">
      <c r="A137" s="13"/>
      <c r="B137" s="248" t="s">
        <v>40</v>
      </c>
      <c r="C137" s="186" t="s">
        <v>2</v>
      </c>
      <c r="D137" s="15" t="s">
        <v>1</v>
      </c>
      <c r="E137" s="14" t="s">
        <v>1</v>
      </c>
      <c r="F137" s="14" t="s">
        <v>1</v>
      </c>
      <c r="G137" s="245" t="s">
        <v>39</v>
      </c>
      <c r="H137" s="246"/>
      <c r="I137" s="246"/>
      <c r="J137" s="246"/>
      <c r="K137" s="246"/>
      <c r="L137" s="246"/>
      <c r="M137" s="246"/>
      <c r="N137" s="246"/>
      <c r="O137" s="247"/>
      <c r="P137" s="201" cm="1">
        <f t="array" ref="P137">SUMPRODUCT($D138:$O138, 2^(COLUMN($O138)-COLUMN($D138:$O138)))</f>
        <v>0</v>
      </c>
      <c r="Q137" s="219" t="str">
        <f>"0x"&amp;DEC2HEX($P137, 3)</f>
        <v>0x000</v>
      </c>
      <c r="R137" s="180"/>
    </row>
    <row r="138" spans="1:18" ht="16.5" thickBot="1" x14ac:dyDescent="0.5">
      <c r="A138" s="13"/>
      <c r="B138" s="254"/>
      <c r="C138" s="187"/>
      <c r="D138" s="12">
        <v>0</v>
      </c>
      <c r="E138" s="11">
        <v>0</v>
      </c>
      <c r="F138" s="11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202"/>
      <c r="Q138" s="220"/>
      <c r="R138" s="181"/>
    </row>
    <row r="139" spans="1:18" x14ac:dyDescent="0.45">
      <c r="A139" s="13"/>
      <c r="B139" s="248" t="s">
        <v>38</v>
      </c>
      <c r="C139" s="186" t="s">
        <v>2</v>
      </c>
      <c r="D139" s="15" t="s">
        <v>1</v>
      </c>
      <c r="E139" s="14" t="s">
        <v>1</v>
      </c>
      <c r="F139" s="14" t="s">
        <v>1</v>
      </c>
      <c r="G139" s="245" t="s">
        <v>37</v>
      </c>
      <c r="H139" s="246"/>
      <c r="I139" s="246"/>
      <c r="J139" s="246"/>
      <c r="K139" s="246"/>
      <c r="L139" s="246"/>
      <c r="M139" s="246"/>
      <c r="N139" s="246"/>
      <c r="O139" s="247"/>
      <c r="P139" s="201" cm="1">
        <f t="array" ref="P139">SUMPRODUCT($D140:$O140, 2^(COLUMN($O140)-COLUMN($D140:$O140)))</f>
        <v>0</v>
      </c>
      <c r="Q139" s="219" t="str">
        <f>"0x"&amp;DEC2HEX($P139, 3)</f>
        <v>0x000</v>
      </c>
      <c r="R139" s="180"/>
    </row>
    <row r="140" spans="1:18" ht="16.5" thickBot="1" x14ac:dyDescent="0.5">
      <c r="A140" s="13"/>
      <c r="B140" s="254"/>
      <c r="C140" s="187"/>
      <c r="D140" s="12">
        <v>0</v>
      </c>
      <c r="E140" s="11">
        <v>0</v>
      </c>
      <c r="F140" s="11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202"/>
      <c r="Q140" s="220"/>
      <c r="R140" s="181"/>
    </row>
    <row r="141" spans="1:18" x14ac:dyDescent="0.45">
      <c r="A141" s="13"/>
      <c r="B141" s="248" t="s">
        <v>36</v>
      </c>
      <c r="C141" s="186" t="s">
        <v>2</v>
      </c>
      <c r="D141" s="15" t="s">
        <v>1</v>
      </c>
      <c r="E141" s="14" t="s">
        <v>1</v>
      </c>
      <c r="F141" s="14" t="s">
        <v>1</v>
      </c>
      <c r="G141" s="245" t="s">
        <v>35</v>
      </c>
      <c r="H141" s="246"/>
      <c r="I141" s="246"/>
      <c r="J141" s="246"/>
      <c r="K141" s="246"/>
      <c r="L141" s="246"/>
      <c r="M141" s="246"/>
      <c r="N141" s="246"/>
      <c r="O141" s="247"/>
      <c r="P141" s="201" cm="1">
        <f t="array" ref="P141">SUMPRODUCT($D142:$O142, 2^(COLUMN($O142)-COLUMN($D142:$O142)))</f>
        <v>0</v>
      </c>
      <c r="Q141" s="219" t="str">
        <f>"0x"&amp;DEC2HEX($P141, 3)</f>
        <v>0x000</v>
      </c>
      <c r="R141" s="180"/>
    </row>
    <row r="142" spans="1:18" ht="16.5" thickBot="1" x14ac:dyDescent="0.5">
      <c r="A142" s="13"/>
      <c r="B142" s="254"/>
      <c r="C142" s="187"/>
      <c r="D142" s="12">
        <v>0</v>
      </c>
      <c r="E142" s="11">
        <v>0</v>
      </c>
      <c r="F142" s="11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202"/>
      <c r="Q142" s="220"/>
      <c r="R142" s="181"/>
    </row>
    <row r="143" spans="1:18" x14ac:dyDescent="0.45">
      <c r="A143" s="13"/>
      <c r="B143" s="248" t="s">
        <v>34</v>
      </c>
      <c r="C143" s="186" t="s">
        <v>2</v>
      </c>
      <c r="D143" s="15" t="s">
        <v>1</v>
      </c>
      <c r="E143" s="14" t="s">
        <v>1</v>
      </c>
      <c r="F143" s="14" t="s">
        <v>1</v>
      </c>
      <c r="G143" s="245" t="s">
        <v>33</v>
      </c>
      <c r="H143" s="246"/>
      <c r="I143" s="246"/>
      <c r="J143" s="246"/>
      <c r="K143" s="246"/>
      <c r="L143" s="246"/>
      <c r="M143" s="246"/>
      <c r="N143" s="246"/>
      <c r="O143" s="247"/>
      <c r="P143" s="201" cm="1">
        <f t="array" ref="P143">SUMPRODUCT($D144:$O144, 2^(COLUMN($O144)-COLUMN($D144:$O144)))</f>
        <v>0</v>
      </c>
      <c r="Q143" s="219" t="str">
        <f>"0x"&amp;DEC2HEX($P143, 3)</f>
        <v>0x000</v>
      </c>
      <c r="R143" s="180"/>
    </row>
    <row r="144" spans="1:18" ht="16.5" thickBot="1" x14ac:dyDescent="0.5">
      <c r="A144" s="13"/>
      <c r="B144" s="254"/>
      <c r="C144" s="187"/>
      <c r="D144" s="12">
        <v>0</v>
      </c>
      <c r="E144" s="11">
        <v>0</v>
      </c>
      <c r="F144" s="11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202"/>
      <c r="Q144" s="220"/>
      <c r="R144" s="181"/>
    </row>
    <row r="145" spans="1:18" x14ac:dyDescent="0.45">
      <c r="A145" s="13"/>
      <c r="B145" s="248" t="s">
        <v>32</v>
      </c>
      <c r="C145" s="186" t="s">
        <v>2</v>
      </c>
      <c r="D145" s="15" t="s">
        <v>1</v>
      </c>
      <c r="E145" s="14" t="s">
        <v>1</v>
      </c>
      <c r="F145" s="14" t="s">
        <v>1</v>
      </c>
      <c r="G145" s="245" t="s">
        <v>31</v>
      </c>
      <c r="H145" s="246"/>
      <c r="I145" s="246"/>
      <c r="J145" s="246"/>
      <c r="K145" s="246"/>
      <c r="L145" s="246"/>
      <c r="M145" s="246"/>
      <c r="N145" s="246"/>
      <c r="O145" s="247"/>
      <c r="P145" s="201" cm="1">
        <f t="array" ref="P145">SUMPRODUCT($D146:$O146, 2^(COLUMN($O146)-COLUMN($D146:$O146)))</f>
        <v>0</v>
      </c>
      <c r="Q145" s="219" t="str">
        <f>"0x"&amp;DEC2HEX($P145, 3)</f>
        <v>0x000</v>
      </c>
      <c r="R145" s="180"/>
    </row>
    <row r="146" spans="1:18" ht="16.5" thickBot="1" x14ac:dyDescent="0.5">
      <c r="A146" s="13"/>
      <c r="B146" s="254"/>
      <c r="C146" s="187"/>
      <c r="D146" s="12">
        <v>0</v>
      </c>
      <c r="E146" s="11">
        <v>0</v>
      </c>
      <c r="F146" s="11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202"/>
      <c r="Q146" s="220"/>
      <c r="R146" s="181"/>
    </row>
    <row r="147" spans="1:18" x14ac:dyDescent="0.45">
      <c r="A147" s="13"/>
      <c r="B147" s="248" t="s">
        <v>30</v>
      </c>
      <c r="C147" s="186" t="s">
        <v>2</v>
      </c>
      <c r="D147" s="15" t="s">
        <v>1</v>
      </c>
      <c r="E147" s="14" t="s">
        <v>1</v>
      </c>
      <c r="F147" s="14" t="s">
        <v>1</v>
      </c>
      <c r="G147" s="245" t="s">
        <v>29</v>
      </c>
      <c r="H147" s="246"/>
      <c r="I147" s="246"/>
      <c r="J147" s="246"/>
      <c r="K147" s="246"/>
      <c r="L147" s="246"/>
      <c r="M147" s="246"/>
      <c r="N147" s="246"/>
      <c r="O147" s="247"/>
      <c r="P147" s="201" cm="1">
        <f t="array" ref="P147">SUMPRODUCT($D148:$O148, 2^(COLUMN($O148)-COLUMN($D148:$O148)))</f>
        <v>0</v>
      </c>
      <c r="Q147" s="219" t="str">
        <f>"0x"&amp;DEC2HEX($P147, 3)</f>
        <v>0x000</v>
      </c>
      <c r="R147" s="180"/>
    </row>
    <row r="148" spans="1:18" ht="16.5" thickBot="1" x14ac:dyDescent="0.5">
      <c r="A148" s="13"/>
      <c r="B148" s="254"/>
      <c r="C148" s="187"/>
      <c r="D148" s="12">
        <v>0</v>
      </c>
      <c r="E148" s="11">
        <v>0</v>
      </c>
      <c r="F148" s="11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202"/>
      <c r="Q148" s="220"/>
      <c r="R148" s="181"/>
    </row>
    <row r="149" spans="1:18" x14ac:dyDescent="0.45">
      <c r="A149" s="13"/>
      <c r="B149" s="248" t="s">
        <v>28</v>
      </c>
      <c r="C149" s="186" t="s">
        <v>5</v>
      </c>
      <c r="D149" s="15" t="s">
        <v>1</v>
      </c>
      <c r="E149" s="14" t="s">
        <v>1</v>
      </c>
      <c r="F149" s="14" t="s">
        <v>1</v>
      </c>
      <c r="G149" s="14" t="s">
        <v>1</v>
      </c>
      <c r="H149" s="14" t="s">
        <v>1</v>
      </c>
      <c r="I149" s="245" t="s">
        <v>27</v>
      </c>
      <c r="J149" s="246"/>
      <c r="K149" s="246"/>
      <c r="L149" s="246"/>
      <c r="M149" s="246"/>
      <c r="N149" s="246"/>
      <c r="O149" s="247"/>
      <c r="P149" s="201" cm="1">
        <f t="array" ref="P149">SUMPRODUCT($D150:$O150, 2^(COLUMN($O150)-COLUMN($D150:$O150)))</f>
        <v>64</v>
      </c>
      <c r="Q149" s="221" t="str">
        <f>"0x"&amp;DEC2HEX($P149, 3)</f>
        <v>0x040</v>
      </c>
      <c r="R149" s="180"/>
    </row>
    <row r="150" spans="1:18" ht="16.5" thickBot="1" x14ac:dyDescent="0.5">
      <c r="A150" s="13"/>
      <c r="B150" s="254"/>
      <c r="C150" s="187"/>
      <c r="D150" s="12">
        <v>0</v>
      </c>
      <c r="E150" s="11">
        <v>0</v>
      </c>
      <c r="F150" s="11">
        <v>0</v>
      </c>
      <c r="G150" s="11">
        <v>0</v>
      </c>
      <c r="H150" s="11">
        <v>0</v>
      </c>
      <c r="I150" s="96">
        <v>1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202"/>
      <c r="Q150" s="222"/>
      <c r="R150" s="181"/>
    </row>
    <row r="151" spans="1:18" x14ac:dyDescent="0.45">
      <c r="A151" s="13"/>
      <c r="B151" s="248" t="s">
        <v>26</v>
      </c>
      <c r="C151" s="186" t="s">
        <v>5</v>
      </c>
      <c r="D151" s="15" t="s">
        <v>1</v>
      </c>
      <c r="E151" s="14" t="s">
        <v>1</v>
      </c>
      <c r="F151" s="14" t="s">
        <v>1</v>
      </c>
      <c r="G151" s="14" t="s">
        <v>1</v>
      </c>
      <c r="H151" s="14" t="s">
        <v>1</v>
      </c>
      <c r="I151" s="245" t="s">
        <v>25</v>
      </c>
      <c r="J151" s="246"/>
      <c r="K151" s="246"/>
      <c r="L151" s="246"/>
      <c r="M151" s="246"/>
      <c r="N151" s="246"/>
      <c r="O151" s="247"/>
      <c r="P151" s="201" cm="1">
        <f t="array" ref="P151">SUMPRODUCT($D152:$O152, 2^(COLUMN($O152)-COLUMN($D152:$O152)))</f>
        <v>64</v>
      </c>
      <c r="Q151" s="221" t="str">
        <f>"0x"&amp;DEC2HEX($P151, 3)</f>
        <v>0x040</v>
      </c>
      <c r="R151" s="180"/>
    </row>
    <row r="152" spans="1:18" ht="16.5" thickBot="1" x14ac:dyDescent="0.5">
      <c r="A152" s="13"/>
      <c r="B152" s="254"/>
      <c r="C152" s="187"/>
      <c r="D152" s="12">
        <v>0</v>
      </c>
      <c r="E152" s="11">
        <v>0</v>
      </c>
      <c r="F152" s="11">
        <v>0</v>
      </c>
      <c r="G152" s="11">
        <v>0</v>
      </c>
      <c r="H152" s="11">
        <v>0</v>
      </c>
      <c r="I152" s="96">
        <v>1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202"/>
      <c r="Q152" s="222"/>
      <c r="R152" s="181"/>
    </row>
    <row r="153" spans="1:18" x14ac:dyDescent="0.45">
      <c r="A153" s="13"/>
      <c r="B153" s="248" t="s">
        <v>24</v>
      </c>
      <c r="C153" s="186" t="s">
        <v>5</v>
      </c>
      <c r="D153" s="15" t="s">
        <v>1</v>
      </c>
      <c r="E153" s="14" t="s">
        <v>1</v>
      </c>
      <c r="F153" s="14" t="s">
        <v>1</v>
      </c>
      <c r="G153" s="14" t="s">
        <v>1</v>
      </c>
      <c r="H153" s="14" t="s">
        <v>1</v>
      </c>
      <c r="I153" s="245" t="s">
        <v>23</v>
      </c>
      <c r="J153" s="246"/>
      <c r="K153" s="246"/>
      <c r="L153" s="246"/>
      <c r="M153" s="246"/>
      <c r="N153" s="246"/>
      <c r="O153" s="247"/>
      <c r="P153" s="201" cm="1">
        <f t="array" ref="P153">SUMPRODUCT($D154:$O154, 2^(COLUMN($O154)-COLUMN($D154:$O154)))</f>
        <v>64</v>
      </c>
      <c r="Q153" s="221" t="str">
        <f>"0x"&amp;DEC2HEX($P153, 3)</f>
        <v>0x040</v>
      </c>
      <c r="R153" s="180"/>
    </row>
    <row r="154" spans="1:18" ht="16.5" thickBot="1" x14ac:dyDescent="0.5">
      <c r="A154" s="13"/>
      <c r="B154" s="254"/>
      <c r="C154" s="187"/>
      <c r="D154" s="12">
        <v>0</v>
      </c>
      <c r="E154" s="11">
        <v>0</v>
      </c>
      <c r="F154" s="11">
        <v>0</v>
      </c>
      <c r="G154" s="11">
        <v>0</v>
      </c>
      <c r="H154" s="11">
        <v>0</v>
      </c>
      <c r="I154" s="96">
        <v>1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202"/>
      <c r="Q154" s="222"/>
      <c r="R154" s="181"/>
    </row>
    <row r="155" spans="1:18" x14ac:dyDescent="0.45">
      <c r="A155" s="13"/>
      <c r="B155" s="248" t="s">
        <v>22</v>
      </c>
      <c r="C155" s="186" t="s">
        <v>5</v>
      </c>
      <c r="D155" s="15" t="s">
        <v>1</v>
      </c>
      <c r="E155" s="14" t="s">
        <v>1</v>
      </c>
      <c r="F155" s="14" t="s">
        <v>1</v>
      </c>
      <c r="G155" s="14" t="s">
        <v>1</v>
      </c>
      <c r="H155" s="14" t="s">
        <v>1</v>
      </c>
      <c r="I155" s="245" t="s">
        <v>21</v>
      </c>
      <c r="J155" s="246"/>
      <c r="K155" s="246"/>
      <c r="L155" s="246"/>
      <c r="M155" s="246"/>
      <c r="N155" s="246"/>
      <c r="O155" s="247"/>
      <c r="P155" s="201" cm="1">
        <f t="array" ref="P155">SUMPRODUCT($D156:$O156, 2^(COLUMN($O156)-COLUMN($D156:$O156)))</f>
        <v>64</v>
      </c>
      <c r="Q155" s="221" t="str">
        <f>"0x"&amp;DEC2HEX($P155, 3)</f>
        <v>0x040</v>
      </c>
      <c r="R155" s="180"/>
    </row>
    <row r="156" spans="1:18" ht="16.5" thickBot="1" x14ac:dyDescent="0.5">
      <c r="A156" s="13"/>
      <c r="B156" s="254"/>
      <c r="C156" s="187"/>
      <c r="D156" s="12">
        <v>0</v>
      </c>
      <c r="E156" s="11">
        <v>0</v>
      </c>
      <c r="F156" s="11">
        <v>0</v>
      </c>
      <c r="G156" s="11">
        <v>0</v>
      </c>
      <c r="H156" s="11">
        <v>0</v>
      </c>
      <c r="I156" s="96">
        <v>1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202"/>
      <c r="Q156" s="222"/>
      <c r="R156" s="181"/>
    </row>
    <row r="157" spans="1:18" x14ac:dyDescent="0.45">
      <c r="A157" s="13"/>
      <c r="B157" s="248" t="s">
        <v>20</v>
      </c>
      <c r="C157" s="186" t="s">
        <v>5</v>
      </c>
      <c r="D157" s="15" t="s">
        <v>1</v>
      </c>
      <c r="E157" s="14" t="s">
        <v>1</v>
      </c>
      <c r="F157" s="14" t="s">
        <v>1</v>
      </c>
      <c r="G157" s="14" t="s">
        <v>1</v>
      </c>
      <c r="H157" s="14" t="s">
        <v>1</v>
      </c>
      <c r="I157" s="245" t="s">
        <v>19</v>
      </c>
      <c r="J157" s="246"/>
      <c r="K157" s="246"/>
      <c r="L157" s="246"/>
      <c r="M157" s="246"/>
      <c r="N157" s="246"/>
      <c r="O157" s="247"/>
      <c r="P157" s="201" cm="1">
        <f t="array" ref="P157">SUMPRODUCT($D158:$O158, 2^(COLUMN($O158)-COLUMN($D158:$O158)))</f>
        <v>64</v>
      </c>
      <c r="Q157" s="221" t="str">
        <f>"0x"&amp;DEC2HEX($P157, 3)</f>
        <v>0x040</v>
      </c>
      <c r="R157" s="180"/>
    </row>
    <row r="158" spans="1:18" ht="16.5" thickBot="1" x14ac:dyDescent="0.5">
      <c r="A158" s="13"/>
      <c r="B158" s="254"/>
      <c r="C158" s="187"/>
      <c r="D158" s="12">
        <v>0</v>
      </c>
      <c r="E158" s="11">
        <v>0</v>
      </c>
      <c r="F158" s="11">
        <v>0</v>
      </c>
      <c r="G158" s="11">
        <v>0</v>
      </c>
      <c r="H158" s="11">
        <v>0</v>
      </c>
      <c r="I158" s="96">
        <v>1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202"/>
      <c r="Q158" s="222"/>
      <c r="R158" s="181"/>
    </row>
    <row r="159" spans="1:18" x14ac:dyDescent="0.45">
      <c r="A159" s="13"/>
      <c r="B159" s="248" t="s">
        <v>18</v>
      </c>
      <c r="C159" s="186" t="s">
        <v>5</v>
      </c>
      <c r="D159" s="15" t="s">
        <v>1</v>
      </c>
      <c r="E159" s="14" t="s">
        <v>1</v>
      </c>
      <c r="F159" s="14" t="s">
        <v>1</v>
      </c>
      <c r="G159" s="14" t="s">
        <v>1</v>
      </c>
      <c r="H159" s="14" t="s">
        <v>1</v>
      </c>
      <c r="I159" s="245" t="s">
        <v>17</v>
      </c>
      <c r="J159" s="246"/>
      <c r="K159" s="246"/>
      <c r="L159" s="246"/>
      <c r="M159" s="246"/>
      <c r="N159" s="246"/>
      <c r="O159" s="247"/>
      <c r="P159" s="201" cm="1">
        <f t="array" ref="P159">SUMPRODUCT($D160:$O160, 2^(COLUMN($O160)-COLUMN($D160:$O160)))</f>
        <v>64</v>
      </c>
      <c r="Q159" s="221" t="str">
        <f>"0x"&amp;DEC2HEX($P159, 3)</f>
        <v>0x040</v>
      </c>
      <c r="R159" s="180"/>
    </row>
    <row r="160" spans="1:18" ht="16.5" thickBot="1" x14ac:dyDescent="0.5">
      <c r="A160" s="13"/>
      <c r="B160" s="254"/>
      <c r="C160" s="187"/>
      <c r="D160" s="12">
        <v>0</v>
      </c>
      <c r="E160" s="11">
        <v>0</v>
      </c>
      <c r="F160" s="11">
        <v>0</v>
      </c>
      <c r="G160" s="11">
        <v>0</v>
      </c>
      <c r="H160" s="11">
        <v>0</v>
      </c>
      <c r="I160" s="96">
        <v>1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202"/>
      <c r="Q160" s="222"/>
      <c r="R160" s="181"/>
    </row>
    <row r="161" spans="1:18" x14ac:dyDescent="0.45">
      <c r="A161" s="13"/>
      <c r="B161" s="248" t="s">
        <v>16</v>
      </c>
      <c r="C161" s="186" t="s">
        <v>5</v>
      </c>
      <c r="D161" s="15" t="s">
        <v>1</v>
      </c>
      <c r="E161" s="14" t="s">
        <v>1</v>
      </c>
      <c r="F161" s="14" t="s">
        <v>1</v>
      </c>
      <c r="G161" s="14" t="s">
        <v>1</v>
      </c>
      <c r="H161" s="14" t="s">
        <v>1</v>
      </c>
      <c r="I161" s="245" t="s">
        <v>15</v>
      </c>
      <c r="J161" s="246"/>
      <c r="K161" s="246"/>
      <c r="L161" s="246"/>
      <c r="M161" s="246"/>
      <c r="N161" s="246"/>
      <c r="O161" s="247"/>
      <c r="P161" s="201" cm="1">
        <f t="array" ref="P161">SUMPRODUCT($D162:$O162, 2^(COLUMN($O162)-COLUMN($D162:$O162)))</f>
        <v>64</v>
      </c>
      <c r="Q161" s="221" t="str">
        <f>"0x"&amp;DEC2HEX($P161, 3)</f>
        <v>0x040</v>
      </c>
      <c r="R161" s="180"/>
    </row>
    <row r="162" spans="1:18" ht="16.5" thickBot="1" x14ac:dyDescent="0.5">
      <c r="A162" s="13"/>
      <c r="B162" s="254"/>
      <c r="C162" s="187"/>
      <c r="D162" s="12">
        <v>0</v>
      </c>
      <c r="E162" s="11">
        <v>0</v>
      </c>
      <c r="F162" s="11">
        <v>0</v>
      </c>
      <c r="G162" s="11">
        <v>0</v>
      </c>
      <c r="H162" s="11">
        <v>0</v>
      </c>
      <c r="I162" s="96">
        <v>1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202"/>
      <c r="Q162" s="222"/>
      <c r="R162" s="181"/>
    </row>
    <row r="163" spans="1:18" x14ac:dyDescent="0.45">
      <c r="A163" s="13"/>
      <c r="B163" s="248" t="s">
        <v>14</v>
      </c>
      <c r="C163" s="186" t="s">
        <v>5</v>
      </c>
      <c r="D163" s="15" t="s">
        <v>1</v>
      </c>
      <c r="E163" s="14" t="s">
        <v>1</v>
      </c>
      <c r="F163" s="14" t="s">
        <v>1</v>
      </c>
      <c r="G163" s="14" t="s">
        <v>1</v>
      </c>
      <c r="H163" s="14" t="s">
        <v>1</v>
      </c>
      <c r="I163" s="245" t="s">
        <v>13</v>
      </c>
      <c r="J163" s="246"/>
      <c r="K163" s="246"/>
      <c r="L163" s="246"/>
      <c r="M163" s="246"/>
      <c r="N163" s="246"/>
      <c r="O163" s="247"/>
      <c r="P163" s="201" cm="1">
        <f t="array" ref="P163">SUMPRODUCT($D164:$O164, 2^(COLUMN($O164)-COLUMN($D164:$O164)))</f>
        <v>64</v>
      </c>
      <c r="Q163" s="221" t="str">
        <f>"0x"&amp;DEC2HEX($P163, 3)</f>
        <v>0x040</v>
      </c>
      <c r="R163" s="180"/>
    </row>
    <row r="164" spans="1:18" ht="16.5" thickBot="1" x14ac:dyDescent="0.5">
      <c r="A164" s="13"/>
      <c r="B164" s="254"/>
      <c r="C164" s="187"/>
      <c r="D164" s="12">
        <v>0</v>
      </c>
      <c r="E164" s="11">
        <v>0</v>
      </c>
      <c r="F164" s="11">
        <v>0</v>
      </c>
      <c r="G164" s="11">
        <v>0</v>
      </c>
      <c r="H164" s="11">
        <v>0</v>
      </c>
      <c r="I164" s="96">
        <v>1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202"/>
      <c r="Q164" s="222"/>
      <c r="R164" s="181"/>
    </row>
    <row r="165" spans="1:18" x14ac:dyDescent="0.45">
      <c r="A165" s="13"/>
      <c r="B165" s="248" t="s">
        <v>12</v>
      </c>
      <c r="C165" s="186" t="s">
        <v>5</v>
      </c>
      <c r="D165" s="15" t="s">
        <v>1</v>
      </c>
      <c r="E165" s="14" t="s">
        <v>1</v>
      </c>
      <c r="F165" s="14" t="s">
        <v>1</v>
      </c>
      <c r="G165" s="14" t="s">
        <v>1</v>
      </c>
      <c r="H165" s="14" t="s">
        <v>1</v>
      </c>
      <c r="I165" s="245" t="s">
        <v>11</v>
      </c>
      <c r="J165" s="246"/>
      <c r="K165" s="246"/>
      <c r="L165" s="246"/>
      <c r="M165" s="246"/>
      <c r="N165" s="246"/>
      <c r="O165" s="247"/>
      <c r="P165" s="201" cm="1">
        <f t="array" ref="P165">SUMPRODUCT($D166:$O166, 2^(COLUMN($O166)-COLUMN($D166:$O166)))</f>
        <v>64</v>
      </c>
      <c r="Q165" s="221" t="str">
        <f>"0x"&amp;DEC2HEX($P165, 3)</f>
        <v>0x040</v>
      </c>
      <c r="R165" s="180"/>
    </row>
    <row r="166" spans="1:18" ht="16.5" thickBot="1" x14ac:dyDescent="0.5">
      <c r="A166" s="13"/>
      <c r="B166" s="254"/>
      <c r="C166" s="187"/>
      <c r="D166" s="12">
        <v>0</v>
      </c>
      <c r="E166" s="11">
        <v>0</v>
      </c>
      <c r="F166" s="11">
        <v>0</v>
      </c>
      <c r="G166" s="11">
        <v>0</v>
      </c>
      <c r="H166" s="11">
        <v>0</v>
      </c>
      <c r="I166" s="96">
        <v>1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202"/>
      <c r="Q166" s="222"/>
      <c r="R166" s="181"/>
    </row>
    <row r="167" spans="1:18" x14ac:dyDescent="0.45">
      <c r="A167" s="13"/>
      <c r="B167" s="248" t="s">
        <v>10</v>
      </c>
      <c r="C167" s="186" t="s">
        <v>5</v>
      </c>
      <c r="D167" s="15" t="s">
        <v>1</v>
      </c>
      <c r="E167" s="14" t="s">
        <v>1</v>
      </c>
      <c r="F167" s="14" t="s">
        <v>1</v>
      </c>
      <c r="G167" s="14" t="s">
        <v>1</v>
      </c>
      <c r="H167" s="14" t="s">
        <v>1</v>
      </c>
      <c r="I167" s="245" t="s">
        <v>9</v>
      </c>
      <c r="J167" s="246"/>
      <c r="K167" s="246"/>
      <c r="L167" s="246"/>
      <c r="M167" s="246"/>
      <c r="N167" s="246"/>
      <c r="O167" s="247"/>
      <c r="P167" s="201" cm="1">
        <f t="array" ref="P167">SUMPRODUCT($D168:$O168, 2^(COLUMN($O168)-COLUMN($D168:$O168)))</f>
        <v>64</v>
      </c>
      <c r="Q167" s="221" t="str">
        <f>"0x"&amp;DEC2HEX($P167, 3)</f>
        <v>0x040</v>
      </c>
      <c r="R167" s="180"/>
    </row>
    <row r="168" spans="1:18" ht="16.5" thickBot="1" x14ac:dyDescent="0.5">
      <c r="A168" s="13"/>
      <c r="B168" s="254"/>
      <c r="C168" s="187"/>
      <c r="D168" s="12">
        <v>0</v>
      </c>
      <c r="E168" s="11">
        <v>0</v>
      </c>
      <c r="F168" s="11">
        <v>0</v>
      </c>
      <c r="G168" s="11">
        <v>0</v>
      </c>
      <c r="H168" s="11">
        <v>0</v>
      </c>
      <c r="I168" s="96">
        <v>1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202"/>
      <c r="Q168" s="222"/>
      <c r="R168" s="181"/>
    </row>
    <row r="169" spans="1:18" x14ac:dyDescent="0.45">
      <c r="A169" s="13"/>
      <c r="B169" s="248" t="s">
        <v>8</v>
      </c>
      <c r="C169" s="186" t="s">
        <v>5</v>
      </c>
      <c r="D169" s="15" t="s">
        <v>1</v>
      </c>
      <c r="E169" s="14" t="s">
        <v>1</v>
      </c>
      <c r="F169" s="14" t="s">
        <v>1</v>
      </c>
      <c r="G169" s="14" t="s">
        <v>1</v>
      </c>
      <c r="H169" s="14" t="s">
        <v>1</v>
      </c>
      <c r="I169" s="245" t="s">
        <v>7</v>
      </c>
      <c r="J169" s="246"/>
      <c r="K169" s="246"/>
      <c r="L169" s="246"/>
      <c r="M169" s="246"/>
      <c r="N169" s="246"/>
      <c r="O169" s="247"/>
      <c r="P169" s="201" cm="1">
        <f t="array" ref="P169">SUMPRODUCT($D170:$O170, 2^(COLUMN($O170)-COLUMN($D170:$O170)))</f>
        <v>64</v>
      </c>
      <c r="Q169" s="221" t="str">
        <f>"0x"&amp;DEC2HEX($P169, 3)</f>
        <v>0x040</v>
      </c>
      <c r="R169" s="180"/>
    </row>
    <row r="170" spans="1:18" ht="16.5" thickBot="1" x14ac:dyDescent="0.5">
      <c r="A170" s="13"/>
      <c r="B170" s="254"/>
      <c r="C170" s="187"/>
      <c r="D170" s="12">
        <v>0</v>
      </c>
      <c r="E170" s="11">
        <v>0</v>
      </c>
      <c r="F170" s="11">
        <v>0</v>
      </c>
      <c r="G170" s="11">
        <v>0</v>
      </c>
      <c r="H170" s="11">
        <v>0</v>
      </c>
      <c r="I170" s="96">
        <v>1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202"/>
      <c r="Q170" s="222"/>
      <c r="R170" s="181"/>
    </row>
    <row r="171" spans="1:18" x14ac:dyDescent="0.45">
      <c r="A171" s="13"/>
      <c r="B171" s="248" t="s">
        <v>6</v>
      </c>
      <c r="C171" s="186" t="s">
        <v>5</v>
      </c>
      <c r="D171" s="15" t="s">
        <v>1</v>
      </c>
      <c r="E171" s="14" t="s">
        <v>1</v>
      </c>
      <c r="F171" s="14" t="s">
        <v>1</v>
      </c>
      <c r="G171" s="14" t="s">
        <v>1</v>
      </c>
      <c r="H171" s="14" t="s">
        <v>1</v>
      </c>
      <c r="I171" s="245" t="s">
        <v>4</v>
      </c>
      <c r="J171" s="246"/>
      <c r="K171" s="246"/>
      <c r="L171" s="246"/>
      <c r="M171" s="246"/>
      <c r="N171" s="246"/>
      <c r="O171" s="247"/>
      <c r="P171" s="201" cm="1">
        <f t="array" ref="P171">SUMPRODUCT($D172:$O172, 2^(COLUMN($O172)-COLUMN($D172:$O172)))</f>
        <v>64</v>
      </c>
      <c r="Q171" s="221" t="str">
        <f>"0x"&amp;DEC2HEX($P171, 3)</f>
        <v>0x040</v>
      </c>
      <c r="R171" s="180"/>
    </row>
    <row r="172" spans="1:18" ht="16.5" thickBot="1" x14ac:dyDescent="0.5">
      <c r="A172" s="13"/>
      <c r="B172" s="249"/>
      <c r="C172" s="187"/>
      <c r="D172" s="12">
        <v>0</v>
      </c>
      <c r="E172" s="11">
        <v>0</v>
      </c>
      <c r="F172" s="11">
        <v>0</v>
      </c>
      <c r="G172" s="11">
        <v>0</v>
      </c>
      <c r="H172" s="11">
        <v>0</v>
      </c>
      <c r="I172" s="96">
        <v>1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202"/>
      <c r="Q172" s="222"/>
      <c r="R172" s="181"/>
    </row>
    <row r="173" spans="1:18" ht="16.5" thickBot="1" x14ac:dyDescent="0.5">
      <c r="A173" s="9"/>
      <c r="B173" s="8" t="s">
        <v>3</v>
      </c>
      <c r="C173" s="7" t="s">
        <v>2</v>
      </c>
      <c r="D173" s="6" t="s">
        <v>1</v>
      </c>
      <c r="E173" s="5" t="s">
        <v>1</v>
      </c>
      <c r="F173" s="5" t="s">
        <v>1</v>
      </c>
      <c r="G173" s="5" t="s">
        <v>1</v>
      </c>
      <c r="H173" s="255" t="s">
        <v>0</v>
      </c>
      <c r="I173" s="256"/>
      <c r="J173" s="256"/>
      <c r="K173" s="256"/>
      <c r="L173" s="256"/>
      <c r="M173" s="256"/>
      <c r="N173" s="256"/>
      <c r="O173" s="257"/>
      <c r="P173" s="4"/>
      <c r="Q173" s="3"/>
      <c r="R173" s="2"/>
    </row>
  </sheetData>
  <mergeCells count="577">
    <mergeCell ref="B153:B154"/>
    <mergeCell ref="C153:C154"/>
    <mergeCell ref="B155:B156"/>
    <mergeCell ref="C155:C156"/>
    <mergeCell ref="B157:B158"/>
    <mergeCell ref="C157:C158"/>
    <mergeCell ref="B159:B160"/>
    <mergeCell ref="C159:C160"/>
    <mergeCell ref="B151:B152"/>
    <mergeCell ref="C151:C152"/>
    <mergeCell ref="B161:B162"/>
    <mergeCell ref="C161:C162"/>
    <mergeCell ref="B163:B164"/>
    <mergeCell ref="C163:C164"/>
    <mergeCell ref="B171:B172"/>
    <mergeCell ref="C171:C172"/>
    <mergeCell ref="B165:B166"/>
    <mergeCell ref="C165:C166"/>
    <mergeCell ref="B167:B168"/>
    <mergeCell ref="C167:C168"/>
    <mergeCell ref="B169:B170"/>
    <mergeCell ref="C169:C170"/>
    <mergeCell ref="B135:B136"/>
    <mergeCell ref="C135:C136"/>
    <mergeCell ref="B137:B138"/>
    <mergeCell ref="C137:C138"/>
    <mergeCell ref="B139:B140"/>
    <mergeCell ref="C139:C140"/>
    <mergeCell ref="B141:B142"/>
    <mergeCell ref="C141:C142"/>
    <mergeCell ref="C149:C150"/>
    <mergeCell ref="B143:B144"/>
    <mergeCell ref="C143:C144"/>
    <mergeCell ref="B145:B146"/>
    <mergeCell ref="C145:C146"/>
    <mergeCell ref="B147:B148"/>
    <mergeCell ref="C147:C148"/>
    <mergeCell ref="B149:B150"/>
    <mergeCell ref="R125:R126"/>
    <mergeCell ref="R127:R128"/>
    <mergeCell ref="R123:R124"/>
    <mergeCell ref="C113:C114"/>
    <mergeCell ref="R113:R114"/>
    <mergeCell ref="C115:C116"/>
    <mergeCell ref="C117:C118"/>
    <mergeCell ref="C119:C120"/>
    <mergeCell ref="C121:C122"/>
    <mergeCell ref="R117:R118"/>
    <mergeCell ref="R119:R120"/>
    <mergeCell ref="R121:R122"/>
    <mergeCell ref="H113:O113"/>
    <mergeCell ref="H123:K123"/>
    <mergeCell ref="B131:B132"/>
    <mergeCell ref="C131:C132"/>
    <mergeCell ref="B133:B134"/>
    <mergeCell ref="C133:C134"/>
    <mergeCell ref="Q167:Q168"/>
    <mergeCell ref="P169:P170"/>
    <mergeCell ref="Q169:Q170"/>
    <mergeCell ref="P171:P172"/>
    <mergeCell ref="Q171:Q172"/>
    <mergeCell ref="Q161:Q162"/>
    <mergeCell ref="P163:P164"/>
    <mergeCell ref="Q163:Q164"/>
    <mergeCell ref="P165:P166"/>
    <mergeCell ref="Q165:Q166"/>
    <mergeCell ref="Q155:Q156"/>
    <mergeCell ref="P157:P158"/>
    <mergeCell ref="Q157:Q158"/>
    <mergeCell ref="P159:P160"/>
    <mergeCell ref="Q159:Q160"/>
    <mergeCell ref="Q149:Q150"/>
    <mergeCell ref="P151:P152"/>
    <mergeCell ref="Q151:Q152"/>
    <mergeCell ref="P153:P154"/>
    <mergeCell ref="Q153:Q154"/>
    <mergeCell ref="P127:P128"/>
    <mergeCell ref="Q127:Q128"/>
    <mergeCell ref="P129:P130"/>
    <mergeCell ref="Q129:Q130"/>
    <mergeCell ref="P141:P142"/>
    <mergeCell ref="Q141:Q142"/>
    <mergeCell ref="B115:B116"/>
    <mergeCell ref="B117:B118"/>
    <mergeCell ref="B119:B120"/>
    <mergeCell ref="B121:B122"/>
    <mergeCell ref="B129:B130"/>
    <mergeCell ref="C123:C124"/>
    <mergeCell ref="C125:C126"/>
    <mergeCell ref="C127:C128"/>
    <mergeCell ref="K121:O121"/>
    <mergeCell ref="F115:J115"/>
    <mergeCell ref="K115:O115"/>
    <mergeCell ref="F117:J117"/>
    <mergeCell ref="K117:O117"/>
    <mergeCell ref="D119:G119"/>
    <mergeCell ref="L123:O123"/>
    <mergeCell ref="G125:O125"/>
    <mergeCell ref="G127:O127"/>
    <mergeCell ref="C129:C130"/>
    <mergeCell ref="H173:O173"/>
    <mergeCell ref="P113:P114"/>
    <mergeCell ref="Q113:Q114"/>
    <mergeCell ref="P115:P116"/>
    <mergeCell ref="Q115:Q116"/>
    <mergeCell ref="P117:P118"/>
    <mergeCell ref="Q117:Q118"/>
    <mergeCell ref="P119:P120"/>
    <mergeCell ref="Q119:Q120"/>
    <mergeCell ref="P121:P122"/>
    <mergeCell ref="G141:O141"/>
    <mergeCell ref="G143:O143"/>
    <mergeCell ref="G145:O145"/>
    <mergeCell ref="G147:O147"/>
    <mergeCell ref="I149:O149"/>
    <mergeCell ref="I171:O171"/>
    <mergeCell ref="P167:P168"/>
    <mergeCell ref="I151:O151"/>
    <mergeCell ref="I153:O153"/>
    <mergeCell ref="I155:O155"/>
    <mergeCell ref="I157:O157"/>
    <mergeCell ref="I159:O159"/>
    <mergeCell ref="I161:O161"/>
    <mergeCell ref="I163:O163"/>
    <mergeCell ref="I169:O169"/>
    <mergeCell ref="P137:P138"/>
    <mergeCell ref="P143:P144"/>
    <mergeCell ref="P149:P150"/>
    <mergeCell ref="P155:P156"/>
    <mergeCell ref="P161:P162"/>
    <mergeCell ref="Q131:Q132"/>
    <mergeCell ref="P133:P134"/>
    <mergeCell ref="Q133:Q134"/>
    <mergeCell ref="P135:P136"/>
    <mergeCell ref="Q135:Q136"/>
    <mergeCell ref="G137:O137"/>
    <mergeCell ref="G139:O139"/>
    <mergeCell ref="G133:O133"/>
    <mergeCell ref="G135:O135"/>
    <mergeCell ref="Q143:Q144"/>
    <mergeCell ref="P145:P146"/>
    <mergeCell ref="Q145:Q146"/>
    <mergeCell ref="P147:P148"/>
    <mergeCell ref="Q147:Q148"/>
    <mergeCell ref="Q137:Q138"/>
    <mergeCell ref="P139:P140"/>
    <mergeCell ref="Q139:Q140"/>
    <mergeCell ref="Q110:Q111"/>
    <mergeCell ref="A110:A111"/>
    <mergeCell ref="B110:B111"/>
    <mergeCell ref="C110:C111"/>
    <mergeCell ref="D110:O110"/>
    <mergeCell ref="P110:P111"/>
    <mergeCell ref="G129:O129"/>
    <mergeCell ref="P131:P132"/>
    <mergeCell ref="B106:B107"/>
    <mergeCell ref="C106:C107"/>
    <mergeCell ref="L106:O106"/>
    <mergeCell ref="P106:P107"/>
    <mergeCell ref="G131:O131"/>
    <mergeCell ref="B113:B114"/>
    <mergeCell ref="K119:O119"/>
    <mergeCell ref="D121:H121"/>
    <mergeCell ref="B123:B124"/>
    <mergeCell ref="B125:B126"/>
    <mergeCell ref="B127:B128"/>
    <mergeCell ref="Q121:Q122"/>
    <mergeCell ref="P123:P124"/>
    <mergeCell ref="Q123:Q124"/>
    <mergeCell ref="P125:P126"/>
    <mergeCell ref="Q125:Q126"/>
    <mergeCell ref="B93:B94"/>
    <mergeCell ref="C93:C94"/>
    <mergeCell ref="C102:C103"/>
    <mergeCell ref="P102:P103"/>
    <mergeCell ref="Q106:Q107"/>
    <mergeCell ref="J106:K106"/>
    <mergeCell ref="A108:A109"/>
    <mergeCell ref="B108:B109"/>
    <mergeCell ref="C108:C109"/>
    <mergeCell ref="P108:P109"/>
    <mergeCell ref="Q108:Q109"/>
    <mergeCell ref="A106:A107"/>
    <mergeCell ref="Q102:Q103"/>
    <mergeCell ref="L102:O102"/>
    <mergeCell ref="A104:A105"/>
    <mergeCell ref="B104:B105"/>
    <mergeCell ref="C104:C105"/>
    <mergeCell ref="P104:P105"/>
    <mergeCell ref="Q104:Q105"/>
    <mergeCell ref="D104:O104"/>
    <mergeCell ref="A102:A103"/>
    <mergeCell ref="B102:B103"/>
    <mergeCell ref="A100:A101"/>
    <mergeCell ref="B100:B101"/>
    <mergeCell ref="B55:B56"/>
    <mergeCell ref="C55:C56"/>
    <mergeCell ref="A89:A90"/>
    <mergeCell ref="B89:B90"/>
    <mergeCell ref="C89:C90"/>
    <mergeCell ref="P89:P90"/>
    <mergeCell ref="K55:O55"/>
    <mergeCell ref="Q91:Q92"/>
    <mergeCell ref="D91:O91"/>
    <mergeCell ref="P55:P56"/>
    <mergeCell ref="Q55:Q56"/>
    <mergeCell ref="A57:A58"/>
    <mergeCell ref="B57:B58"/>
    <mergeCell ref="C57:C58"/>
    <mergeCell ref="P57:P58"/>
    <mergeCell ref="Q57:Q58"/>
    <mergeCell ref="A55:A56"/>
    <mergeCell ref="B83:B84"/>
    <mergeCell ref="C83:C84"/>
    <mergeCell ref="D83:O83"/>
    <mergeCell ref="P83:P84"/>
    <mergeCell ref="A91:A92"/>
    <mergeCell ref="B91:B92"/>
    <mergeCell ref="C91:C92"/>
    <mergeCell ref="A79:A80"/>
    <mergeCell ref="B79:B80"/>
    <mergeCell ref="C79:C80"/>
    <mergeCell ref="P79:P80"/>
    <mergeCell ref="Q79:Q80"/>
    <mergeCell ref="A77:A78"/>
    <mergeCell ref="B77:B78"/>
    <mergeCell ref="C77:C78"/>
    <mergeCell ref="P77:P78"/>
    <mergeCell ref="Q77:Q78"/>
    <mergeCell ref="A83:A84"/>
    <mergeCell ref="A85:A86"/>
    <mergeCell ref="P81:P82"/>
    <mergeCell ref="Q81:Q82"/>
    <mergeCell ref="N81:O81"/>
    <mergeCell ref="L81:M81"/>
    <mergeCell ref="A81:A82"/>
    <mergeCell ref="B81:B82"/>
    <mergeCell ref="C81:C82"/>
    <mergeCell ref="B85:B86"/>
    <mergeCell ref="C85:C86"/>
    <mergeCell ref="P85:P86"/>
    <mergeCell ref="Q85:Q86"/>
    <mergeCell ref="J85:K85"/>
    <mergeCell ref="L85:O85"/>
    <mergeCell ref="J81:K81"/>
    <mergeCell ref="Q83:Q84"/>
    <mergeCell ref="D71:O71"/>
    <mergeCell ref="B69:B70"/>
    <mergeCell ref="C69:C70"/>
    <mergeCell ref="P69:P70"/>
    <mergeCell ref="Q73:Q74"/>
    <mergeCell ref="E73:F73"/>
    <mergeCell ref="H73:O73"/>
    <mergeCell ref="A75:A76"/>
    <mergeCell ref="B75:B76"/>
    <mergeCell ref="C75:C76"/>
    <mergeCell ref="P75:P76"/>
    <mergeCell ref="Q75:Q76"/>
    <mergeCell ref="D75:O75"/>
    <mergeCell ref="F65:O65"/>
    <mergeCell ref="P65:P66"/>
    <mergeCell ref="A71:A72"/>
    <mergeCell ref="A73:A74"/>
    <mergeCell ref="B73:B74"/>
    <mergeCell ref="C73:C74"/>
    <mergeCell ref="P73:P74"/>
    <mergeCell ref="A69:A70"/>
    <mergeCell ref="Q65:Q66"/>
    <mergeCell ref="A67:A68"/>
    <mergeCell ref="B67:B68"/>
    <mergeCell ref="C67:C68"/>
    <mergeCell ref="F67:O67"/>
    <mergeCell ref="P67:P68"/>
    <mergeCell ref="Q67:Q68"/>
    <mergeCell ref="A65:A66"/>
    <mergeCell ref="B65:B66"/>
    <mergeCell ref="C65:C66"/>
    <mergeCell ref="Q69:Q70"/>
    <mergeCell ref="E69:O69"/>
    <mergeCell ref="B71:B72"/>
    <mergeCell ref="C71:C72"/>
    <mergeCell ref="P71:P72"/>
    <mergeCell ref="Q71:Q72"/>
    <mergeCell ref="A63:A64"/>
    <mergeCell ref="B63:B64"/>
    <mergeCell ref="C63:C64"/>
    <mergeCell ref="P63:P64"/>
    <mergeCell ref="Q63:Q64"/>
    <mergeCell ref="F63:O63"/>
    <mergeCell ref="A61:A62"/>
    <mergeCell ref="B61:B62"/>
    <mergeCell ref="Q53:Q54"/>
    <mergeCell ref="A53:A54"/>
    <mergeCell ref="B53:B54"/>
    <mergeCell ref="C53:C54"/>
    <mergeCell ref="P53:P54"/>
    <mergeCell ref="C61:C62"/>
    <mergeCell ref="P61:P62"/>
    <mergeCell ref="Q61:Q62"/>
    <mergeCell ref="G61:O61"/>
    <mergeCell ref="A59:A60"/>
    <mergeCell ref="B59:B60"/>
    <mergeCell ref="C59:C60"/>
    <mergeCell ref="J59:O59"/>
    <mergeCell ref="P59:P60"/>
    <mergeCell ref="Q59:Q60"/>
    <mergeCell ref="D59:I59"/>
    <mergeCell ref="Q45:Q46"/>
    <mergeCell ref="B43:B44"/>
    <mergeCell ref="C43:C44"/>
    <mergeCell ref="F43:J43"/>
    <mergeCell ref="A51:A52"/>
    <mergeCell ref="B51:B52"/>
    <mergeCell ref="C51:C52"/>
    <mergeCell ref="P51:P52"/>
    <mergeCell ref="Q51:Q52"/>
    <mergeCell ref="F51:G51"/>
    <mergeCell ref="C47:C48"/>
    <mergeCell ref="F47:J47"/>
    <mergeCell ref="K47:O47"/>
    <mergeCell ref="P47:P48"/>
    <mergeCell ref="P49:P50"/>
    <mergeCell ref="Q49:Q50"/>
    <mergeCell ref="B47:B48"/>
    <mergeCell ref="A47:A48"/>
    <mergeCell ref="A49:A50"/>
    <mergeCell ref="K43:O43"/>
    <mergeCell ref="P35:P36"/>
    <mergeCell ref="A43:A44"/>
    <mergeCell ref="Q35:Q36"/>
    <mergeCell ref="A37:A38"/>
    <mergeCell ref="B37:B38"/>
    <mergeCell ref="C37:C38"/>
    <mergeCell ref="P37:P38"/>
    <mergeCell ref="Q37:Q38"/>
    <mergeCell ref="A35:A36"/>
    <mergeCell ref="B35:B36"/>
    <mergeCell ref="A39:A40"/>
    <mergeCell ref="B39:B40"/>
    <mergeCell ref="C39:C40"/>
    <mergeCell ref="K39:O39"/>
    <mergeCell ref="P39:P40"/>
    <mergeCell ref="Q39:Q40"/>
    <mergeCell ref="F39:J39"/>
    <mergeCell ref="A41:A42"/>
    <mergeCell ref="B41:B42"/>
    <mergeCell ref="C41:C42"/>
    <mergeCell ref="F41:J41"/>
    <mergeCell ref="K41:O41"/>
    <mergeCell ref="P41:P42"/>
    <mergeCell ref="Q41:Q42"/>
    <mergeCell ref="B49:B50"/>
    <mergeCell ref="C49:C50"/>
    <mergeCell ref="F49:J49"/>
    <mergeCell ref="K49:O49"/>
    <mergeCell ref="B45:B46"/>
    <mergeCell ref="A33:A34"/>
    <mergeCell ref="B33:B34"/>
    <mergeCell ref="C33:C34"/>
    <mergeCell ref="D33:O33"/>
    <mergeCell ref="D35:O35"/>
    <mergeCell ref="C45:C46"/>
    <mergeCell ref="F45:J45"/>
    <mergeCell ref="K45:O45"/>
    <mergeCell ref="C35:C36"/>
    <mergeCell ref="Q43:Q44"/>
    <mergeCell ref="A27:A28"/>
    <mergeCell ref="B27:B28"/>
    <mergeCell ref="C27:C28"/>
    <mergeCell ref="P27:P28"/>
    <mergeCell ref="Q27:Q28"/>
    <mergeCell ref="P31:P32"/>
    <mergeCell ref="Q31:Q32"/>
    <mergeCell ref="D31:O31"/>
    <mergeCell ref="A31:A32"/>
    <mergeCell ref="B31:B32"/>
    <mergeCell ref="A29:A30"/>
    <mergeCell ref="B29:B30"/>
    <mergeCell ref="C29:C30"/>
    <mergeCell ref="P29:P30"/>
    <mergeCell ref="Q29:Q30"/>
    <mergeCell ref="L29:O29"/>
    <mergeCell ref="H29:K29"/>
    <mergeCell ref="D29:G29"/>
    <mergeCell ref="C31:C32"/>
    <mergeCell ref="P43:P44"/>
    <mergeCell ref="P33:P34"/>
    <mergeCell ref="Q33:Q34"/>
    <mergeCell ref="Q21:Q22"/>
    <mergeCell ref="A19:A20"/>
    <mergeCell ref="B19:B20"/>
    <mergeCell ref="C19:C20"/>
    <mergeCell ref="G19:I19"/>
    <mergeCell ref="J19:L19"/>
    <mergeCell ref="A25:A26"/>
    <mergeCell ref="B25:B26"/>
    <mergeCell ref="C25:C26"/>
    <mergeCell ref="P25:P26"/>
    <mergeCell ref="Q25:Q26"/>
    <mergeCell ref="A23:A24"/>
    <mergeCell ref="B23:B24"/>
    <mergeCell ref="C23:C24"/>
    <mergeCell ref="P23:P24"/>
    <mergeCell ref="Q23:Q24"/>
    <mergeCell ref="M19:O19"/>
    <mergeCell ref="P19:P20"/>
    <mergeCell ref="C17:C18"/>
    <mergeCell ref="P17:P18"/>
    <mergeCell ref="A21:A22"/>
    <mergeCell ref="B21:B22"/>
    <mergeCell ref="C21:C22"/>
    <mergeCell ref="P21:P22"/>
    <mergeCell ref="P3:P4"/>
    <mergeCell ref="J7:O7"/>
    <mergeCell ref="P5:P6"/>
    <mergeCell ref="Q3:Q4"/>
    <mergeCell ref="A3:A4"/>
    <mergeCell ref="B3:B4"/>
    <mergeCell ref="C3:C4"/>
    <mergeCell ref="K3:O3"/>
    <mergeCell ref="Q17:Q18"/>
    <mergeCell ref="M17:O17"/>
    <mergeCell ref="J17:L17"/>
    <mergeCell ref="G17:I17"/>
    <mergeCell ref="G15:H15"/>
    <mergeCell ref="A11:A12"/>
    <mergeCell ref="B11:B12"/>
    <mergeCell ref="C11:C12"/>
    <mergeCell ref="P11:P12"/>
    <mergeCell ref="Q11:Q12"/>
    <mergeCell ref="Q13:Q14"/>
    <mergeCell ref="A15:A16"/>
    <mergeCell ref="B15:B16"/>
    <mergeCell ref="C15:C16"/>
    <mergeCell ref="P15:P16"/>
    <mergeCell ref="Q15:Q16"/>
    <mergeCell ref="P13:P14"/>
    <mergeCell ref="P7:P8"/>
    <mergeCell ref="Q7:Q8"/>
    <mergeCell ref="Q5:Q6"/>
    <mergeCell ref="Q9:Q10"/>
    <mergeCell ref="Q19:Q20"/>
    <mergeCell ref="A5:A6"/>
    <mergeCell ref="B5:B6"/>
    <mergeCell ref="C5:C6"/>
    <mergeCell ref="D5:I5"/>
    <mergeCell ref="A7:A8"/>
    <mergeCell ref="B7:B8"/>
    <mergeCell ref="C7:C8"/>
    <mergeCell ref="E15:F15"/>
    <mergeCell ref="B9:B10"/>
    <mergeCell ref="C9:C10"/>
    <mergeCell ref="P9:P10"/>
    <mergeCell ref="D9:G9"/>
    <mergeCell ref="H9:O9"/>
    <mergeCell ref="A9:A10"/>
    <mergeCell ref="A13:A14"/>
    <mergeCell ref="B13:B14"/>
    <mergeCell ref="C13:C14"/>
    <mergeCell ref="L11:O11"/>
    <mergeCell ref="D11:K11"/>
    <mergeCell ref="A17:A18"/>
    <mergeCell ref="B17:B18"/>
    <mergeCell ref="R33:R34"/>
    <mergeCell ref="R35:R36"/>
    <mergeCell ref="R37:R38"/>
    <mergeCell ref="R3:R4"/>
    <mergeCell ref="R5:R6"/>
    <mergeCell ref="R7:R8"/>
    <mergeCell ref="R9:R10"/>
    <mergeCell ref="R11:R12"/>
    <mergeCell ref="R13:R14"/>
    <mergeCell ref="R15:R16"/>
    <mergeCell ref="R21:R22"/>
    <mergeCell ref="R23:R24"/>
    <mergeCell ref="R25:R26"/>
    <mergeCell ref="R27:R28"/>
    <mergeCell ref="R29:R30"/>
    <mergeCell ref="R31:R32"/>
    <mergeCell ref="R17:R18"/>
    <mergeCell ref="R19:R20"/>
    <mergeCell ref="C100:C101"/>
    <mergeCell ref="K100:O100"/>
    <mergeCell ref="P100:P101"/>
    <mergeCell ref="R73:R74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95:R96"/>
    <mergeCell ref="Q47:Q48"/>
    <mergeCell ref="P45:P46"/>
    <mergeCell ref="A45:A46"/>
    <mergeCell ref="R98:R99"/>
    <mergeCell ref="A97:R97"/>
    <mergeCell ref="Q93:Q94"/>
    <mergeCell ref="A95:A96"/>
    <mergeCell ref="B95:B96"/>
    <mergeCell ref="P87:P88"/>
    <mergeCell ref="Q87:Q88"/>
    <mergeCell ref="I87:K87"/>
    <mergeCell ref="M87:O87"/>
    <mergeCell ref="A87:A88"/>
    <mergeCell ref="B87:B88"/>
    <mergeCell ref="C87:C88"/>
    <mergeCell ref="C98:C99"/>
    <mergeCell ref="P98:P99"/>
    <mergeCell ref="Q98:Q99"/>
    <mergeCell ref="H98:I98"/>
    <mergeCell ref="P91:P92"/>
    <mergeCell ref="A98:A99"/>
    <mergeCell ref="B98:B99"/>
    <mergeCell ref="C95:C96"/>
    <mergeCell ref="D95:O95"/>
    <mergeCell ref="P95:P96"/>
    <mergeCell ref="Q95:Q96"/>
    <mergeCell ref="A93:A94"/>
    <mergeCell ref="R145:R146"/>
    <mergeCell ref="R115:R116"/>
    <mergeCell ref="R75:R76"/>
    <mergeCell ref="R77:R78"/>
    <mergeCell ref="R79:R80"/>
    <mergeCell ref="R81:R82"/>
    <mergeCell ref="R83:R84"/>
    <mergeCell ref="R85:R86"/>
    <mergeCell ref="D93:O93"/>
    <mergeCell ref="P93:P94"/>
    <mergeCell ref="R100:R101"/>
    <mergeCell ref="D77:I77"/>
    <mergeCell ref="Q100:Q101"/>
    <mergeCell ref="Q89:Q90"/>
    <mergeCell ref="R102:R103"/>
    <mergeCell ref="R104:R105"/>
    <mergeCell ref="R106:R107"/>
    <mergeCell ref="R108:R109"/>
    <mergeCell ref="R110:R111"/>
    <mergeCell ref="R87:R88"/>
    <mergeCell ref="R89:R90"/>
    <mergeCell ref="R91:R92"/>
    <mergeCell ref="R93:R94"/>
    <mergeCell ref="R165:R166"/>
    <mergeCell ref="R167:R168"/>
    <mergeCell ref="R169:R170"/>
    <mergeCell ref="R171:R172"/>
    <mergeCell ref="A112:R112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I165:O165"/>
    <mergeCell ref="I167:O167"/>
  </mergeCells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A921-AC40-4072-924C-7D127A1BAFFC}">
  <sheetPr codeName="Sheet8"/>
  <dimension ref="A1:R39"/>
  <sheetViews>
    <sheetView showGridLines="0" zoomScale="70" zoomScaleNormal="70" workbookViewId="0">
      <pane ySplit="2" topLeftCell="A3" activePane="bottomLeft" state="frozen"/>
      <selection pane="bottomLeft" activeCell="R52" sqref="R52"/>
    </sheetView>
  </sheetViews>
  <sheetFormatPr defaultColWidth="8.83203125" defaultRowHeight="16" x14ac:dyDescent="0.45"/>
  <cols>
    <col min="1" max="1" width="28.08203125" style="1" customWidth="1"/>
    <col min="2" max="3" width="7.6640625" style="1" customWidth="1"/>
    <col min="4" max="15" width="11.58203125" style="1" customWidth="1"/>
    <col min="16" max="17" width="7.6640625" style="1" customWidth="1"/>
    <col min="18" max="18" width="15" style="1" customWidth="1"/>
    <col min="19" max="16384" width="8.83203125" style="1"/>
  </cols>
  <sheetData>
    <row r="1" spans="1:18" ht="16.5" thickBot="1" x14ac:dyDescent="0.5"/>
    <row r="2" spans="1:18" ht="16.5" thickBot="1" x14ac:dyDescent="0.5">
      <c r="A2" s="81" t="s">
        <v>374</v>
      </c>
      <c r="B2" s="77" t="s">
        <v>373</v>
      </c>
      <c r="C2" s="80" t="s">
        <v>372</v>
      </c>
      <c r="D2" s="79" t="s">
        <v>371</v>
      </c>
      <c r="E2" s="78" t="s">
        <v>370</v>
      </c>
      <c r="F2" s="78" t="s">
        <v>369</v>
      </c>
      <c r="G2" s="78" t="s">
        <v>368</v>
      </c>
      <c r="H2" s="78" t="s">
        <v>367</v>
      </c>
      <c r="I2" s="78" t="s">
        <v>366</v>
      </c>
      <c r="J2" s="78" t="s">
        <v>365</v>
      </c>
      <c r="K2" s="78" t="s">
        <v>364</v>
      </c>
      <c r="L2" s="78" t="s">
        <v>363</v>
      </c>
      <c r="M2" s="78" t="s">
        <v>362</v>
      </c>
      <c r="N2" s="78" t="s">
        <v>361</v>
      </c>
      <c r="O2" s="61" t="s">
        <v>360</v>
      </c>
      <c r="P2" s="77" t="s">
        <v>359</v>
      </c>
      <c r="Q2" s="61" t="s">
        <v>358</v>
      </c>
      <c r="R2" s="61" t="s">
        <v>357</v>
      </c>
    </row>
    <row r="3" spans="1:18" ht="17.5" customHeight="1" thickBot="1" x14ac:dyDescent="0.5">
      <c r="A3" s="206" t="s">
        <v>376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8"/>
    </row>
    <row r="4" spans="1:18" ht="17.5" customHeight="1" x14ac:dyDescent="0.45">
      <c r="A4" s="182" t="s">
        <v>356</v>
      </c>
      <c r="B4" s="184" t="s">
        <v>71</v>
      </c>
      <c r="C4" s="210" t="s">
        <v>355</v>
      </c>
      <c r="D4" s="38" t="s">
        <v>354</v>
      </c>
      <c r="E4" s="32" t="s">
        <v>353</v>
      </c>
      <c r="F4" s="32" t="s">
        <v>352</v>
      </c>
      <c r="G4" s="32" t="s">
        <v>351</v>
      </c>
      <c r="H4" s="26" t="s">
        <v>1</v>
      </c>
      <c r="I4" s="26" t="s">
        <v>1</v>
      </c>
      <c r="J4" s="26" t="s">
        <v>1</v>
      </c>
      <c r="K4" s="211" t="s">
        <v>350</v>
      </c>
      <c r="L4" s="211"/>
      <c r="M4" s="211"/>
      <c r="N4" s="211"/>
      <c r="O4" s="199"/>
      <c r="P4" s="191" cm="1">
        <f t="array" ref="P4">SUMPRODUCT($D5:$O5, 2^(COLUMN($O5)-COLUMN($D5:$O5)))</f>
        <v>2048</v>
      </c>
      <c r="Q4" s="193" t="str">
        <f>"0x"&amp;DEC2HEX($P4, 3)</f>
        <v>0x800</v>
      </c>
      <c r="R4" s="180"/>
    </row>
    <row r="5" spans="1:18" ht="17" customHeight="1" thickBot="1" x14ac:dyDescent="0.5">
      <c r="A5" s="209"/>
      <c r="B5" s="185"/>
      <c r="C5" s="187"/>
      <c r="D5" s="75">
        <v>1</v>
      </c>
      <c r="E5" s="43">
        <v>0</v>
      </c>
      <c r="F5" s="43">
        <v>0</v>
      </c>
      <c r="G5" s="43">
        <v>0</v>
      </c>
      <c r="H5" s="44">
        <v>0</v>
      </c>
      <c r="I5" s="44">
        <v>0</v>
      </c>
      <c r="J5" s="44">
        <v>0</v>
      </c>
      <c r="K5" s="43">
        <v>0</v>
      </c>
      <c r="L5" s="43">
        <v>0</v>
      </c>
      <c r="M5" s="43">
        <v>0</v>
      </c>
      <c r="N5" s="43">
        <v>0</v>
      </c>
      <c r="O5" s="53">
        <v>0</v>
      </c>
      <c r="P5" s="192"/>
      <c r="Q5" s="194"/>
      <c r="R5" s="181"/>
    </row>
    <row r="6" spans="1:18" ht="17" customHeight="1" x14ac:dyDescent="0.45">
      <c r="A6" s="182" t="s">
        <v>321</v>
      </c>
      <c r="B6" s="184" t="s">
        <v>52</v>
      </c>
      <c r="C6" s="186" t="s">
        <v>320</v>
      </c>
      <c r="D6" s="41" t="s">
        <v>1</v>
      </c>
      <c r="E6" s="199" t="s">
        <v>319</v>
      </c>
      <c r="F6" s="200"/>
      <c r="G6" s="199" t="s">
        <v>318</v>
      </c>
      <c r="H6" s="200"/>
      <c r="I6" s="32" t="s">
        <v>317</v>
      </c>
      <c r="J6" s="32" t="s">
        <v>316</v>
      </c>
      <c r="K6" s="32" t="s">
        <v>315</v>
      </c>
      <c r="L6" s="32" t="s">
        <v>314</v>
      </c>
      <c r="M6" s="32" t="s">
        <v>313</v>
      </c>
      <c r="N6" s="32" t="s">
        <v>312</v>
      </c>
      <c r="O6" s="35" t="s">
        <v>311</v>
      </c>
      <c r="P6" s="201" cm="1">
        <f t="array" ref="P6">SUMPRODUCT($D7:$O7, 2^(COLUMN($O7)-COLUMN($D7:$O7)))</f>
        <v>255</v>
      </c>
      <c r="Q6" s="178" t="str">
        <f>"0x"&amp;DEC2HEX($P6, 3)</f>
        <v>0x0FF</v>
      </c>
      <c r="R6" s="180"/>
    </row>
    <row r="7" spans="1:18" ht="16.5" thickBot="1" x14ac:dyDescent="0.5">
      <c r="A7" s="183"/>
      <c r="B7" s="185"/>
      <c r="C7" s="187"/>
      <c r="D7" s="59">
        <v>0</v>
      </c>
      <c r="E7" s="43">
        <v>0</v>
      </c>
      <c r="F7" s="43">
        <v>0</v>
      </c>
      <c r="G7" s="43">
        <v>0</v>
      </c>
      <c r="H7" s="73">
        <v>1</v>
      </c>
      <c r="I7" s="73">
        <v>1</v>
      </c>
      <c r="J7" s="89">
        <v>1</v>
      </c>
      <c r="K7" s="89">
        <v>1</v>
      </c>
      <c r="L7" s="89">
        <v>1</v>
      </c>
      <c r="M7" s="89">
        <v>1</v>
      </c>
      <c r="N7" s="89">
        <v>1</v>
      </c>
      <c r="O7" s="90">
        <v>1</v>
      </c>
      <c r="P7" s="202"/>
      <c r="Q7" s="179"/>
      <c r="R7" s="181"/>
    </row>
    <row r="8" spans="1:18" ht="39" x14ac:dyDescent="0.45">
      <c r="A8" s="182" t="s">
        <v>215</v>
      </c>
      <c r="B8" s="184" t="s">
        <v>16</v>
      </c>
      <c r="C8" s="205" t="s">
        <v>2</v>
      </c>
      <c r="D8" s="39" t="s">
        <v>213</v>
      </c>
      <c r="E8" s="32" t="s">
        <v>212</v>
      </c>
      <c r="F8" s="199" t="s">
        <v>211</v>
      </c>
      <c r="G8" s="200"/>
      <c r="H8" s="32" t="s">
        <v>210</v>
      </c>
      <c r="I8" s="76" t="s">
        <v>375</v>
      </c>
      <c r="J8" s="25" t="s">
        <v>208</v>
      </c>
      <c r="K8" s="76" t="s">
        <v>207</v>
      </c>
      <c r="L8" s="37" t="s">
        <v>206</v>
      </c>
      <c r="M8" s="37" t="s">
        <v>205</v>
      </c>
      <c r="N8" s="37" t="s">
        <v>204</v>
      </c>
      <c r="O8" s="48" t="s">
        <v>203</v>
      </c>
      <c r="P8" s="201" cm="1">
        <f t="array" ref="P8">SUMPRODUCT($D9:$O9, 2^(COLUMN($O9)-COLUMN($D9:$O9)))</f>
        <v>4095</v>
      </c>
      <c r="Q8" s="212" t="str">
        <f>"0x"&amp;DEC2HEX($P8, 3)</f>
        <v>0xFFF</v>
      </c>
      <c r="R8" s="180"/>
    </row>
    <row r="9" spans="1:18" ht="16.5" thickBot="1" x14ac:dyDescent="0.5">
      <c r="A9" s="183"/>
      <c r="B9" s="185"/>
      <c r="C9" s="198"/>
      <c r="D9" s="68">
        <v>1</v>
      </c>
      <c r="E9" s="71">
        <v>1</v>
      </c>
      <c r="F9" s="91">
        <v>1</v>
      </c>
      <c r="G9" s="91">
        <v>1</v>
      </c>
      <c r="H9" s="71">
        <v>1</v>
      </c>
      <c r="I9" s="71">
        <v>1</v>
      </c>
      <c r="J9" s="71">
        <v>1</v>
      </c>
      <c r="K9" s="94">
        <v>1</v>
      </c>
      <c r="L9" s="91">
        <v>1</v>
      </c>
      <c r="M9" s="91">
        <v>1</v>
      </c>
      <c r="N9" s="91">
        <v>1</v>
      </c>
      <c r="O9" s="92">
        <v>1</v>
      </c>
      <c r="P9" s="202"/>
      <c r="Q9" s="213"/>
      <c r="R9" s="181"/>
    </row>
    <row r="10" spans="1:18" ht="17" customHeight="1" x14ac:dyDescent="0.45">
      <c r="A10" s="214" t="s">
        <v>173</v>
      </c>
      <c r="B10" s="184" t="s">
        <v>172</v>
      </c>
      <c r="C10" s="186" t="s">
        <v>2</v>
      </c>
      <c r="D10" s="188" t="s">
        <v>171</v>
      </c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90"/>
      <c r="P10" s="201" cm="1">
        <f t="array" ref="P10">SUMPRODUCT($D11:$O11, 2^(COLUMN($O11)-COLUMN($D11:$O11)))</f>
        <v>3533</v>
      </c>
      <c r="Q10" s="193" t="str">
        <f>"0x"&amp;DEC2HEX($P10, 3)</f>
        <v>0xDCD</v>
      </c>
      <c r="R10" s="180"/>
    </row>
    <row r="11" spans="1:18" ht="17.5" customHeight="1" thickBot="1" x14ac:dyDescent="0.5">
      <c r="A11" s="204"/>
      <c r="B11" s="185"/>
      <c r="C11" s="187"/>
      <c r="D11" s="74">
        <v>1</v>
      </c>
      <c r="E11" s="73">
        <v>1</v>
      </c>
      <c r="F11" s="43">
        <v>0</v>
      </c>
      <c r="G11" s="73">
        <v>1</v>
      </c>
      <c r="H11" s="73">
        <v>1</v>
      </c>
      <c r="I11" s="73">
        <v>1</v>
      </c>
      <c r="J11" s="43">
        <v>0</v>
      </c>
      <c r="K11" s="43">
        <v>0</v>
      </c>
      <c r="L11" s="73">
        <v>1</v>
      </c>
      <c r="M11" s="73">
        <v>1</v>
      </c>
      <c r="N11" s="43">
        <v>0</v>
      </c>
      <c r="O11" s="72">
        <v>1</v>
      </c>
      <c r="P11" s="202"/>
      <c r="Q11" s="194"/>
      <c r="R11" s="181"/>
    </row>
    <row r="12" spans="1:18" ht="26" x14ac:dyDescent="0.45">
      <c r="A12" s="182" t="s">
        <v>150</v>
      </c>
      <c r="B12" s="184" t="s">
        <v>152</v>
      </c>
      <c r="C12" s="186" t="s">
        <v>2</v>
      </c>
      <c r="D12" s="41" t="s">
        <v>1</v>
      </c>
      <c r="E12" s="26" t="s">
        <v>1</v>
      </c>
      <c r="F12" s="26" t="s">
        <v>1</v>
      </c>
      <c r="G12" s="26" t="s">
        <v>1</v>
      </c>
      <c r="H12" s="26" t="s">
        <v>1</v>
      </c>
      <c r="I12" s="26" t="s">
        <v>1</v>
      </c>
      <c r="J12" s="37" t="s">
        <v>150</v>
      </c>
      <c r="K12" s="37" t="s">
        <v>149</v>
      </c>
      <c r="L12" s="37" t="s">
        <v>148</v>
      </c>
      <c r="M12" s="37" t="s">
        <v>147</v>
      </c>
      <c r="N12" s="37" t="s">
        <v>146</v>
      </c>
      <c r="O12" s="48" t="s">
        <v>145</v>
      </c>
      <c r="P12" s="201" cm="1">
        <f t="array" ref="P12">SUMPRODUCT($D13:$O13, 2^(COLUMN($O13)-COLUMN($D13:$O13)))</f>
        <v>63</v>
      </c>
      <c r="Q12" s="193" t="str">
        <f>"0x"&amp;DEC2HEX($P12, 3)</f>
        <v>0x03F</v>
      </c>
      <c r="R12" s="180"/>
    </row>
    <row r="13" spans="1:18" ht="16.5" thickBot="1" x14ac:dyDescent="0.5">
      <c r="A13" s="183"/>
      <c r="B13" s="185"/>
      <c r="C13" s="187"/>
      <c r="D13" s="59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73">
        <v>1</v>
      </c>
      <c r="K13" s="73">
        <v>1</v>
      </c>
      <c r="L13" s="73">
        <v>1</v>
      </c>
      <c r="M13" s="73">
        <v>1</v>
      </c>
      <c r="N13" s="73">
        <v>1</v>
      </c>
      <c r="O13" s="72">
        <v>1</v>
      </c>
      <c r="P13" s="202"/>
      <c r="Q13" s="194"/>
      <c r="R13" s="181"/>
    </row>
    <row r="14" spans="1:18" ht="26" x14ac:dyDescent="0.45">
      <c r="A14" s="195" t="s">
        <v>106</v>
      </c>
      <c r="B14" s="196" t="s">
        <v>105</v>
      </c>
      <c r="C14" s="197" t="s">
        <v>2</v>
      </c>
      <c r="D14" s="39" t="s">
        <v>104</v>
      </c>
      <c r="E14" s="26" t="s">
        <v>1</v>
      </c>
      <c r="F14" s="26" t="s">
        <v>1</v>
      </c>
      <c r="G14" s="26" t="s">
        <v>1</v>
      </c>
      <c r="H14" s="199" t="s">
        <v>103</v>
      </c>
      <c r="I14" s="200"/>
      <c r="J14" s="32" t="s">
        <v>102</v>
      </c>
      <c r="K14" s="32" t="s">
        <v>101</v>
      </c>
      <c r="L14" s="37" t="s">
        <v>100</v>
      </c>
      <c r="M14" s="32" t="s">
        <v>99</v>
      </c>
      <c r="N14" s="32" t="s">
        <v>98</v>
      </c>
      <c r="O14" s="35" t="s">
        <v>97</v>
      </c>
      <c r="P14" s="201" cm="1">
        <f t="array" ref="P14">SUMPRODUCT($D15:$O15, 2^(COLUMN($O15)-COLUMN($D15:$O15)))</f>
        <v>2148</v>
      </c>
      <c r="Q14" s="193" t="str">
        <f>"0x"&amp;DEC2HEX($P14, 3)</f>
        <v>0x864</v>
      </c>
      <c r="R14" s="180"/>
    </row>
    <row r="15" spans="1:18" ht="16.5" thickBot="1" x14ac:dyDescent="0.5">
      <c r="A15" s="183"/>
      <c r="B15" s="185"/>
      <c r="C15" s="198"/>
      <c r="D15" s="68">
        <v>1</v>
      </c>
      <c r="E15" s="23">
        <v>0</v>
      </c>
      <c r="F15" s="23">
        <v>0</v>
      </c>
      <c r="G15" s="23">
        <v>0</v>
      </c>
      <c r="H15" s="19">
        <v>0</v>
      </c>
      <c r="I15" s="71">
        <v>1</v>
      </c>
      <c r="J15" s="71">
        <v>1</v>
      </c>
      <c r="K15" s="19">
        <v>0</v>
      </c>
      <c r="L15" s="19">
        <v>0</v>
      </c>
      <c r="M15" s="91">
        <v>1</v>
      </c>
      <c r="N15" s="19">
        <v>0</v>
      </c>
      <c r="O15" s="29">
        <v>0</v>
      </c>
      <c r="P15" s="202"/>
      <c r="Q15" s="194"/>
      <c r="R15" s="181"/>
    </row>
    <row r="16" spans="1:18" x14ac:dyDescent="0.45">
      <c r="A16" s="182" t="s">
        <v>76</v>
      </c>
      <c r="B16" s="184" t="s">
        <v>75</v>
      </c>
      <c r="C16" s="186" t="s">
        <v>506</v>
      </c>
      <c r="D16" s="188" t="s">
        <v>73</v>
      </c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90"/>
      <c r="P16" s="191" cm="1">
        <f t="array" ref="P16">SUMPRODUCT($D17:$O17, 2^(COLUMN($O17)-COLUMN($D17:$O17)))</f>
        <v>2650</v>
      </c>
      <c r="Q16" s="178" t="str">
        <f>"0x"&amp;DEC2HEX($P16, 3)</f>
        <v>0xA5A</v>
      </c>
      <c r="R16" s="180"/>
    </row>
    <row r="17" spans="1:18" ht="16.5" thickBot="1" x14ac:dyDescent="0.5">
      <c r="A17" s="183"/>
      <c r="B17" s="185"/>
      <c r="C17" s="187"/>
      <c r="D17" s="20">
        <v>1</v>
      </c>
      <c r="E17" s="19">
        <v>0</v>
      </c>
      <c r="F17" s="71">
        <v>1</v>
      </c>
      <c r="G17" s="19">
        <v>0</v>
      </c>
      <c r="H17" s="19">
        <v>0</v>
      </c>
      <c r="I17" s="71">
        <v>1</v>
      </c>
      <c r="J17" s="19">
        <v>0</v>
      </c>
      <c r="K17" s="71">
        <v>1</v>
      </c>
      <c r="L17" s="71">
        <v>1</v>
      </c>
      <c r="M17" s="19">
        <v>0</v>
      </c>
      <c r="N17" s="71">
        <v>1</v>
      </c>
      <c r="O17" s="29">
        <v>0</v>
      </c>
      <c r="P17" s="192"/>
      <c r="Q17" s="179"/>
      <c r="R17" s="181"/>
    </row>
    <row r="19" spans="1:18" ht="16.5" thickBot="1" x14ac:dyDescent="0.5"/>
    <row r="20" spans="1:18" ht="17.5" customHeight="1" thickBot="1" x14ac:dyDescent="0.5">
      <c r="A20" s="206" t="s">
        <v>459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8"/>
    </row>
    <row r="21" spans="1:18" x14ac:dyDescent="0.45">
      <c r="A21" s="182" t="s">
        <v>356</v>
      </c>
      <c r="B21" s="184" t="s">
        <v>71</v>
      </c>
      <c r="C21" s="210" t="s">
        <v>355</v>
      </c>
      <c r="D21" s="38" t="s">
        <v>354</v>
      </c>
      <c r="E21" s="32" t="s">
        <v>353</v>
      </c>
      <c r="F21" s="32" t="s">
        <v>352</v>
      </c>
      <c r="G21" s="32" t="s">
        <v>351</v>
      </c>
      <c r="H21" s="26" t="s">
        <v>1</v>
      </c>
      <c r="I21" s="26" t="s">
        <v>1</v>
      </c>
      <c r="J21" s="26" t="s">
        <v>1</v>
      </c>
      <c r="K21" s="211" t="s">
        <v>350</v>
      </c>
      <c r="L21" s="211"/>
      <c r="M21" s="211"/>
      <c r="N21" s="211"/>
      <c r="O21" s="199"/>
      <c r="P21" s="191" cm="1">
        <f t="array" ref="P21">SUMPRODUCT($D22:$O22, 2^(COLUMN($O22)-COLUMN($D22:$O22)))</f>
        <v>2048</v>
      </c>
      <c r="Q21" s="193" t="str">
        <f>"0x"&amp;DEC2HEX($P21, 3)</f>
        <v>0x800</v>
      </c>
      <c r="R21" s="180"/>
    </row>
    <row r="22" spans="1:18" ht="16.5" thickBot="1" x14ac:dyDescent="0.5">
      <c r="A22" s="209"/>
      <c r="B22" s="185"/>
      <c r="C22" s="187"/>
      <c r="D22" s="75">
        <v>1</v>
      </c>
      <c r="E22" s="43">
        <v>0</v>
      </c>
      <c r="F22" s="43">
        <v>0</v>
      </c>
      <c r="G22" s="43">
        <v>0</v>
      </c>
      <c r="H22" s="44">
        <v>0</v>
      </c>
      <c r="I22" s="44">
        <v>0</v>
      </c>
      <c r="J22" s="44">
        <v>0</v>
      </c>
      <c r="K22" s="43">
        <v>0</v>
      </c>
      <c r="L22" s="43">
        <v>0</v>
      </c>
      <c r="M22" s="43">
        <v>0</v>
      </c>
      <c r="N22" s="43">
        <v>0</v>
      </c>
      <c r="O22" s="53">
        <v>0</v>
      </c>
      <c r="P22" s="192"/>
      <c r="Q22" s="194"/>
      <c r="R22" s="181"/>
    </row>
    <row r="23" spans="1:18" ht="26" x14ac:dyDescent="0.45">
      <c r="A23" s="182" t="s">
        <v>150</v>
      </c>
      <c r="B23" s="184" t="s">
        <v>152</v>
      </c>
      <c r="C23" s="186" t="s">
        <v>2</v>
      </c>
      <c r="D23" s="41" t="s">
        <v>1</v>
      </c>
      <c r="E23" s="26" t="s">
        <v>1</v>
      </c>
      <c r="F23" s="26" t="s">
        <v>1</v>
      </c>
      <c r="G23" s="26" t="s">
        <v>1</v>
      </c>
      <c r="H23" s="26" t="s">
        <v>1</v>
      </c>
      <c r="I23" s="26" t="s">
        <v>1</v>
      </c>
      <c r="J23" s="37" t="s">
        <v>150</v>
      </c>
      <c r="K23" s="37" t="s">
        <v>149</v>
      </c>
      <c r="L23" s="37" t="s">
        <v>148</v>
      </c>
      <c r="M23" s="37" t="s">
        <v>147</v>
      </c>
      <c r="N23" s="37" t="s">
        <v>146</v>
      </c>
      <c r="O23" s="48" t="s">
        <v>145</v>
      </c>
      <c r="P23" s="201" cm="1">
        <f t="array" ref="P23">SUMPRODUCT($D24:$O24, 2^(COLUMN($O24)-COLUMN($D24:$O24)))</f>
        <v>63</v>
      </c>
      <c r="Q23" s="193" t="str">
        <f>"0x"&amp;DEC2HEX($P23, 3)</f>
        <v>0x03F</v>
      </c>
      <c r="R23" s="180"/>
    </row>
    <row r="24" spans="1:18" ht="16.5" thickBot="1" x14ac:dyDescent="0.5">
      <c r="A24" s="183"/>
      <c r="B24" s="185"/>
      <c r="C24" s="187"/>
      <c r="D24" s="40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71">
        <v>1</v>
      </c>
      <c r="K24" s="71">
        <v>1</v>
      </c>
      <c r="L24" s="71">
        <v>1</v>
      </c>
      <c r="M24" s="71">
        <v>1</v>
      </c>
      <c r="N24" s="71">
        <v>1</v>
      </c>
      <c r="O24" s="70">
        <v>1</v>
      </c>
      <c r="P24" s="202"/>
      <c r="Q24" s="194"/>
      <c r="R24" s="181"/>
    </row>
    <row r="25" spans="1:18" ht="26" x14ac:dyDescent="0.45">
      <c r="A25" s="203" t="s">
        <v>133</v>
      </c>
      <c r="B25" s="184" t="s">
        <v>132</v>
      </c>
      <c r="C25" s="205" t="s">
        <v>2</v>
      </c>
      <c r="D25" s="69" t="s">
        <v>131</v>
      </c>
      <c r="E25" s="26" t="s">
        <v>1</v>
      </c>
      <c r="F25" s="26" t="s">
        <v>1</v>
      </c>
      <c r="G25" s="26" t="s">
        <v>1</v>
      </c>
      <c r="H25" s="26" t="s">
        <v>1</v>
      </c>
      <c r="I25" s="26" t="s">
        <v>1</v>
      </c>
      <c r="J25" s="199" t="s">
        <v>130</v>
      </c>
      <c r="K25" s="200"/>
      <c r="L25" s="199" t="s">
        <v>129</v>
      </c>
      <c r="M25" s="189"/>
      <c r="N25" s="189"/>
      <c r="O25" s="190"/>
      <c r="P25" s="201" cm="1">
        <f t="array" ref="P25">SUMPRODUCT($D26:$O26, 2^(COLUMN($O26)-COLUMN($D26:$O26)))</f>
        <v>8</v>
      </c>
      <c r="Q25" s="193" t="str">
        <f>"0x"&amp;DEC2HEX($P25, 3)</f>
        <v>0x008</v>
      </c>
      <c r="R25" s="180"/>
    </row>
    <row r="26" spans="1:18" ht="16.5" thickBot="1" x14ac:dyDescent="0.5">
      <c r="A26" s="204"/>
      <c r="B26" s="185"/>
      <c r="C26" s="198"/>
      <c r="D26" s="68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19">
        <v>0</v>
      </c>
      <c r="K26" s="19">
        <v>0</v>
      </c>
      <c r="L26" s="91">
        <v>1</v>
      </c>
      <c r="M26" s="19">
        <v>0</v>
      </c>
      <c r="N26" s="19">
        <v>0</v>
      </c>
      <c r="O26" s="29">
        <v>0</v>
      </c>
      <c r="P26" s="202"/>
      <c r="Q26" s="194"/>
      <c r="R26" s="181"/>
    </row>
    <row r="27" spans="1:18" ht="26" x14ac:dyDescent="0.45">
      <c r="A27" s="195" t="s">
        <v>106</v>
      </c>
      <c r="B27" s="196" t="s">
        <v>105</v>
      </c>
      <c r="C27" s="197" t="s">
        <v>2</v>
      </c>
      <c r="D27" s="39" t="s">
        <v>104</v>
      </c>
      <c r="E27" s="26" t="s">
        <v>1</v>
      </c>
      <c r="F27" s="26" t="s">
        <v>1</v>
      </c>
      <c r="G27" s="26" t="s">
        <v>1</v>
      </c>
      <c r="H27" s="199" t="s">
        <v>103</v>
      </c>
      <c r="I27" s="200"/>
      <c r="J27" s="32" t="s">
        <v>102</v>
      </c>
      <c r="K27" s="32" t="s">
        <v>101</v>
      </c>
      <c r="L27" s="37" t="s">
        <v>100</v>
      </c>
      <c r="M27" s="32" t="s">
        <v>99</v>
      </c>
      <c r="N27" s="32" t="s">
        <v>98</v>
      </c>
      <c r="O27" s="35" t="s">
        <v>97</v>
      </c>
      <c r="P27" s="201" cm="1">
        <f t="array" ref="P27">SUMPRODUCT($D28:$O28, 2^(COLUMN($O28)-COLUMN($D28:$O28)))</f>
        <v>2164</v>
      </c>
      <c r="Q27" s="193" t="str">
        <f>"0x"&amp;DEC2HEX($P27, 3)</f>
        <v>0x874</v>
      </c>
      <c r="R27" s="180"/>
    </row>
    <row r="28" spans="1:18" ht="16.5" thickBot="1" x14ac:dyDescent="0.5">
      <c r="A28" s="183"/>
      <c r="B28" s="185"/>
      <c r="C28" s="198"/>
      <c r="D28" s="68">
        <v>1</v>
      </c>
      <c r="E28" s="23">
        <v>0</v>
      </c>
      <c r="F28" s="23">
        <v>0</v>
      </c>
      <c r="G28" s="23">
        <v>0</v>
      </c>
      <c r="H28" s="19">
        <v>0</v>
      </c>
      <c r="I28" s="71">
        <v>1</v>
      </c>
      <c r="J28" s="71">
        <v>1</v>
      </c>
      <c r="K28" s="71">
        <v>1</v>
      </c>
      <c r="L28" s="19">
        <v>0</v>
      </c>
      <c r="M28" s="91">
        <v>1</v>
      </c>
      <c r="N28" s="19">
        <v>0</v>
      </c>
      <c r="O28" s="29">
        <v>0</v>
      </c>
      <c r="P28" s="202"/>
      <c r="Q28" s="194"/>
      <c r="R28" s="181"/>
    </row>
    <row r="29" spans="1:18" x14ac:dyDescent="0.45">
      <c r="A29" s="182" t="s">
        <v>76</v>
      </c>
      <c r="B29" s="184" t="s">
        <v>75</v>
      </c>
      <c r="C29" s="186" t="s">
        <v>506</v>
      </c>
      <c r="D29" s="188" t="s">
        <v>73</v>
      </c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90"/>
      <c r="P29" s="191" cm="1">
        <f t="array" ref="P29">SUMPRODUCT($D30:$O30, 2^(COLUMN($O30)-COLUMN($D30:$O30)))</f>
        <v>2650</v>
      </c>
      <c r="Q29" s="178" t="str">
        <f>"0x"&amp;DEC2HEX($P29, 3)</f>
        <v>0xA5A</v>
      </c>
      <c r="R29" s="180"/>
    </row>
    <row r="30" spans="1:18" ht="16.5" thickBot="1" x14ac:dyDescent="0.5">
      <c r="A30" s="183"/>
      <c r="B30" s="185"/>
      <c r="C30" s="187"/>
      <c r="D30" s="20">
        <v>1</v>
      </c>
      <c r="E30" s="19">
        <v>0</v>
      </c>
      <c r="F30" s="71">
        <v>1</v>
      </c>
      <c r="G30" s="19">
        <v>0</v>
      </c>
      <c r="H30" s="19">
        <v>0</v>
      </c>
      <c r="I30" s="71">
        <v>1</v>
      </c>
      <c r="J30" s="19">
        <v>0</v>
      </c>
      <c r="K30" s="71">
        <v>1</v>
      </c>
      <c r="L30" s="71">
        <v>1</v>
      </c>
      <c r="M30" s="19">
        <v>0</v>
      </c>
      <c r="N30" s="71">
        <v>1</v>
      </c>
      <c r="O30" s="29">
        <v>0</v>
      </c>
      <c r="P30" s="192"/>
      <c r="Q30" s="179"/>
      <c r="R30" s="181"/>
    </row>
    <row r="32" spans="1:18" ht="16.5" thickBot="1" x14ac:dyDescent="0.5"/>
    <row r="33" spans="1:18" ht="16.5" thickBot="1" x14ac:dyDescent="0.5">
      <c r="A33" s="206" t="s">
        <v>458</v>
      </c>
      <c r="B33" s="207"/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8"/>
    </row>
    <row r="34" spans="1:18" x14ac:dyDescent="0.45">
      <c r="A34" s="182" t="s">
        <v>356</v>
      </c>
      <c r="B34" s="184" t="s">
        <v>71</v>
      </c>
      <c r="C34" s="210" t="s">
        <v>355</v>
      </c>
      <c r="D34" s="38" t="s">
        <v>354</v>
      </c>
      <c r="E34" s="32" t="s">
        <v>353</v>
      </c>
      <c r="F34" s="32" t="s">
        <v>352</v>
      </c>
      <c r="G34" s="32" t="s">
        <v>351</v>
      </c>
      <c r="H34" s="26" t="s">
        <v>1</v>
      </c>
      <c r="I34" s="26" t="s">
        <v>1</v>
      </c>
      <c r="J34" s="26" t="s">
        <v>1</v>
      </c>
      <c r="K34" s="211" t="s">
        <v>350</v>
      </c>
      <c r="L34" s="211"/>
      <c r="M34" s="211"/>
      <c r="N34" s="211"/>
      <c r="O34" s="199"/>
      <c r="P34" s="191" cm="1">
        <f t="array" ref="P34">SUMPRODUCT($D35:$O35, 2^(COLUMN($O35)-COLUMN($D35:$O35)))</f>
        <v>2048</v>
      </c>
      <c r="Q34" s="193" t="str">
        <f>"0x"&amp;DEC2HEX($P34, 3)</f>
        <v>0x800</v>
      </c>
      <c r="R34" s="180"/>
    </row>
    <row r="35" spans="1:18" ht="16.5" thickBot="1" x14ac:dyDescent="0.5">
      <c r="A35" s="209"/>
      <c r="B35" s="185"/>
      <c r="C35" s="187"/>
      <c r="D35" s="75">
        <v>1</v>
      </c>
      <c r="E35" s="43">
        <v>0</v>
      </c>
      <c r="F35" s="43">
        <v>0</v>
      </c>
      <c r="G35" s="43">
        <v>0</v>
      </c>
      <c r="H35" s="44">
        <v>0</v>
      </c>
      <c r="I35" s="44">
        <v>0</v>
      </c>
      <c r="J35" s="44">
        <v>0</v>
      </c>
      <c r="K35" s="43">
        <v>0</v>
      </c>
      <c r="L35" s="43">
        <v>0</v>
      </c>
      <c r="M35" s="43">
        <v>0</v>
      </c>
      <c r="N35" s="43">
        <v>0</v>
      </c>
      <c r="O35" s="53">
        <v>0</v>
      </c>
      <c r="P35" s="192"/>
      <c r="Q35" s="194"/>
      <c r="R35" s="181"/>
    </row>
    <row r="36" spans="1:18" ht="26" x14ac:dyDescent="0.45">
      <c r="A36" s="182" t="s">
        <v>150</v>
      </c>
      <c r="B36" s="184" t="s">
        <v>152</v>
      </c>
      <c r="C36" s="186" t="s">
        <v>2</v>
      </c>
      <c r="D36" s="41" t="s">
        <v>1</v>
      </c>
      <c r="E36" s="26" t="s">
        <v>1</v>
      </c>
      <c r="F36" s="26" t="s">
        <v>1</v>
      </c>
      <c r="G36" s="26" t="s">
        <v>1</v>
      </c>
      <c r="H36" s="26" t="s">
        <v>1</v>
      </c>
      <c r="I36" s="26" t="s">
        <v>1</v>
      </c>
      <c r="J36" s="37" t="s">
        <v>150</v>
      </c>
      <c r="K36" s="37" t="s">
        <v>149</v>
      </c>
      <c r="L36" s="37" t="s">
        <v>148</v>
      </c>
      <c r="M36" s="37" t="s">
        <v>147</v>
      </c>
      <c r="N36" s="37" t="s">
        <v>146</v>
      </c>
      <c r="O36" s="48" t="s">
        <v>145</v>
      </c>
      <c r="P36" s="201" cm="1">
        <f t="array" ref="P36">SUMPRODUCT($D37:$O37, 2^(COLUMN($O37)-COLUMN($D37:$O37)))</f>
        <v>63</v>
      </c>
      <c r="Q36" s="193" t="str">
        <f>"0x"&amp;DEC2HEX($P36, 3)</f>
        <v>0x03F</v>
      </c>
      <c r="R36" s="180"/>
    </row>
    <row r="37" spans="1:18" ht="16.5" thickBot="1" x14ac:dyDescent="0.5">
      <c r="A37" s="183"/>
      <c r="B37" s="185"/>
      <c r="C37" s="187"/>
      <c r="D37" s="40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71">
        <v>1</v>
      </c>
      <c r="K37" s="71">
        <v>1</v>
      </c>
      <c r="L37" s="71">
        <v>1</v>
      </c>
      <c r="M37" s="71">
        <v>1</v>
      </c>
      <c r="N37" s="71">
        <v>1</v>
      </c>
      <c r="O37" s="70">
        <v>1</v>
      </c>
      <c r="P37" s="202"/>
      <c r="Q37" s="194"/>
      <c r="R37" s="181"/>
    </row>
    <row r="38" spans="1:18" ht="26" x14ac:dyDescent="0.45">
      <c r="A38" s="203" t="s">
        <v>133</v>
      </c>
      <c r="B38" s="184" t="s">
        <v>132</v>
      </c>
      <c r="C38" s="205" t="s">
        <v>2</v>
      </c>
      <c r="D38" s="69" t="s">
        <v>131</v>
      </c>
      <c r="E38" s="26" t="s">
        <v>1</v>
      </c>
      <c r="F38" s="26" t="s">
        <v>1</v>
      </c>
      <c r="G38" s="26" t="s">
        <v>1</v>
      </c>
      <c r="H38" s="26" t="s">
        <v>1</v>
      </c>
      <c r="I38" s="26" t="s">
        <v>1</v>
      </c>
      <c r="J38" s="199" t="s">
        <v>130</v>
      </c>
      <c r="K38" s="200"/>
      <c r="L38" s="199" t="s">
        <v>129</v>
      </c>
      <c r="M38" s="189"/>
      <c r="N38" s="189"/>
      <c r="O38" s="190"/>
      <c r="P38" s="201" cm="1">
        <f t="array" ref="P38">SUMPRODUCT($D39:$O39, 2^(COLUMN($O39)-COLUMN($D39:$O39)))</f>
        <v>8</v>
      </c>
      <c r="Q38" s="193" t="str">
        <f>"0x"&amp;DEC2HEX($P38, 3)</f>
        <v>0x008</v>
      </c>
      <c r="R38" s="180"/>
    </row>
    <row r="39" spans="1:18" ht="16.5" thickBot="1" x14ac:dyDescent="0.5">
      <c r="A39" s="204"/>
      <c r="B39" s="185"/>
      <c r="C39" s="198"/>
      <c r="D39" s="68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19">
        <v>0</v>
      </c>
      <c r="K39" s="19">
        <v>0</v>
      </c>
      <c r="L39" s="91">
        <v>1</v>
      </c>
      <c r="M39" s="19">
        <v>0</v>
      </c>
      <c r="N39" s="19">
        <v>0</v>
      </c>
      <c r="O39" s="29">
        <v>0</v>
      </c>
      <c r="P39" s="202"/>
      <c r="Q39" s="194"/>
      <c r="R39" s="181"/>
    </row>
  </sheetData>
  <mergeCells count="108">
    <mergeCell ref="A10:A11"/>
    <mergeCell ref="B10:B11"/>
    <mergeCell ref="C10:C11"/>
    <mergeCell ref="D10:O10"/>
    <mergeCell ref="P10:P11"/>
    <mergeCell ref="R25:R26"/>
    <mergeCell ref="A23:A24"/>
    <mergeCell ref="B23:B24"/>
    <mergeCell ref="P23:P24"/>
    <mergeCell ref="C23:C24"/>
    <mergeCell ref="A25:A26"/>
    <mergeCell ref="B25:B26"/>
    <mergeCell ref="Q23:Q24"/>
    <mergeCell ref="C25:C26"/>
    <mergeCell ref="J25:K25"/>
    <mergeCell ref="L25:O25"/>
    <mergeCell ref="P25:P26"/>
    <mergeCell ref="Q25:Q26"/>
    <mergeCell ref="R23:R24"/>
    <mergeCell ref="Q14:Q15"/>
    <mergeCell ref="Q21:Q22"/>
    <mergeCell ref="Q12:Q13"/>
    <mergeCell ref="A12:A13"/>
    <mergeCell ref="B12:B13"/>
    <mergeCell ref="C12:C13"/>
    <mergeCell ref="P12:P13"/>
    <mergeCell ref="A21:A22"/>
    <mergeCell ref="B21:B22"/>
    <mergeCell ref="C21:C22"/>
    <mergeCell ref="B14:B15"/>
    <mergeCell ref="C14:C15"/>
    <mergeCell ref="H14:I14"/>
    <mergeCell ref="P14:P15"/>
    <mergeCell ref="A16:A17"/>
    <mergeCell ref="B16:B17"/>
    <mergeCell ref="A3:R3"/>
    <mergeCell ref="R6:R7"/>
    <mergeCell ref="R4:R5"/>
    <mergeCell ref="Q4:Q5"/>
    <mergeCell ref="Q6:Q7"/>
    <mergeCell ref="A4:A5"/>
    <mergeCell ref="B4:B5"/>
    <mergeCell ref="C4:C5"/>
    <mergeCell ref="K4:O4"/>
    <mergeCell ref="P4:P5"/>
    <mergeCell ref="P6:P7"/>
    <mergeCell ref="A6:A7"/>
    <mergeCell ref="B6:B7"/>
    <mergeCell ref="C6:C7"/>
    <mergeCell ref="E6:F6"/>
    <mergeCell ref="G6:H6"/>
    <mergeCell ref="A33:R33"/>
    <mergeCell ref="A34:A35"/>
    <mergeCell ref="B34:B35"/>
    <mergeCell ref="C34:C35"/>
    <mergeCell ref="K34:O34"/>
    <mergeCell ref="P34:P35"/>
    <mergeCell ref="Q34:Q35"/>
    <mergeCell ref="R34:R35"/>
    <mergeCell ref="Q8:Q9"/>
    <mergeCell ref="K21:O21"/>
    <mergeCell ref="P21:P22"/>
    <mergeCell ref="A20:R20"/>
    <mergeCell ref="A14:A15"/>
    <mergeCell ref="R12:R13"/>
    <mergeCell ref="R14:R15"/>
    <mergeCell ref="R21:R22"/>
    <mergeCell ref="R8:R9"/>
    <mergeCell ref="R10:R11"/>
    <mergeCell ref="Q10:Q11"/>
    <mergeCell ref="A8:A9"/>
    <mergeCell ref="B8:B9"/>
    <mergeCell ref="C8:C9"/>
    <mergeCell ref="P8:P9"/>
    <mergeCell ref="F8:G8"/>
    <mergeCell ref="R36:R37"/>
    <mergeCell ref="A38:A39"/>
    <mergeCell ref="B38:B39"/>
    <mergeCell ref="C38:C39"/>
    <mergeCell ref="J38:K38"/>
    <mergeCell ref="L38:O38"/>
    <mergeCell ref="P38:P39"/>
    <mergeCell ref="Q38:Q39"/>
    <mergeCell ref="R38:R39"/>
    <mergeCell ref="A36:A37"/>
    <mergeCell ref="B36:B37"/>
    <mergeCell ref="C36:C37"/>
    <mergeCell ref="P36:P37"/>
    <mergeCell ref="Q36:Q37"/>
    <mergeCell ref="Q29:Q30"/>
    <mergeCell ref="R29:R30"/>
    <mergeCell ref="A29:A30"/>
    <mergeCell ref="B29:B30"/>
    <mergeCell ref="C29:C30"/>
    <mergeCell ref="D29:O29"/>
    <mergeCell ref="P29:P30"/>
    <mergeCell ref="C16:C17"/>
    <mergeCell ref="D16:O16"/>
    <mergeCell ref="P16:P17"/>
    <mergeCell ref="Q16:Q17"/>
    <mergeCell ref="R16:R17"/>
    <mergeCell ref="Q27:Q28"/>
    <mergeCell ref="R27:R28"/>
    <mergeCell ref="A27:A28"/>
    <mergeCell ref="B27:B28"/>
    <mergeCell ref="C27:C28"/>
    <mergeCell ref="H27:I27"/>
    <mergeCell ref="P27:P28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F118-3376-49A9-A351-AB00EFC42420}">
  <dimension ref="B2:G34"/>
  <sheetViews>
    <sheetView zoomScale="85" zoomScaleNormal="85" workbookViewId="0">
      <selection activeCell="F38" sqref="F38"/>
    </sheetView>
  </sheetViews>
  <sheetFormatPr defaultColWidth="9" defaultRowHeight="17" x14ac:dyDescent="0.45"/>
  <cols>
    <col min="1" max="1" width="9" style="82"/>
    <col min="2" max="3" width="16.58203125" style="82" customWidth="1"/>
    <col min="4" max="4" width="36.58203125" style="82" bestFit="1" customWidth="1"/>
    <col min="5" max="5" width="9" style="82"/>
    <col min="6" max="6" width="16.58203125" style="82" customWidth="1"/>
    <col min="7" max="7" width="36.58203125" style="82" bestFit="1" customWidth="1"/>
    <col min="8" max="16384" width="9" style="82"/>
  </cols>
  <sheetData>
    <row r="2" spans="2:7" ht="17.5" thickBot="1" x14ac:dyDescent="0.5">
      <c r="B2" s="86" t="s">
        <v>94</v>
      </c>
      <c r="C2" s="86" t="s">
        <v>457</v>
      </c>
      <c r="D2" s="86" t="s">
        <v>456</v>
      </c>
      <c r="E2" s="85"/>
      <c r="F2" s="84" t="s">
        <v>196</v>
      </c>
      <c r="G2" s="84" t="s">
        <v>455</v>
      </c>
    </row>
    <row r="3" spans="2:7" ht="17.25" customHeight="1" thickBot="1" x14ac:dyDescent="0.5">
      <c r="B3" s="86">
        <v>0</v>
      </c>
      <c r="C3" s="83" t="s">
        <v>454</v>
      </c>
      <c r="D3" s="83" t="s">
        <v>453</v>
      </c>
      <c r="E3" s="85"/>
      <c r="F3" s="84">
        <v>0</v>
      </c>
      <c r="G3" s="83" t="s">
        <v>452</v>
      </c>
    </row>
    <row r="4" spans="2:7" ht="17.25" customHeight="1" thickBot="1" x14ac:dyDescent="0.5">
      <c r="B4" s="86">
        <v>1</v>
      </c>
      <c r="C4" s="83" t="s">
        <v>451</v>
      </c>
      <c r="D4" s="83" t="s">
        <v>450</v>
      </c>
      <c r="E4" s="85"/>
      <c r="F4" s="84">
        <v>1</v>
      </c>
      <c r="G4" s="83" t="s">
        <v>449</v>
      </c>
    </row>
    <row r="5" spans="2:7" ht="17.25" customHeight="1" thickBot="1" x14ac:dyDescent="0.5">
      <c r="B5" s="86">
        <v>2</v>
      </c>
      <c r="C5" s="83" t="s">
        <v>448</v>
      </c>
      <c r="D5" s="83" t="s">
        <v>447</v>
      </c>
      <c r="E5" s="85"/>
      <c r="F5" s="84">
        <v>2</v>
      </c>
      <c r="G5" s="83" t="s">
        <v>446</v>
      </c>
    </row>
    <row r="6" spans="2:7" ht="17.25" customHeight="1" thickBot="1" x14ac:dyDescent="0.5">
      <c r="B6" s="86">
        <v>3</v>
      </c>
      <c r="C6" s="83" t="s">
        <v>445</v>
      </c>
      <c r="D6" s="88" t="s">
        <v>444</v>
      </c>
      <c r="E6" s="85"/>
      <c r="F6" s="84">
        <v>3</v>
      </c>
      <c r="G6" s="87" t="s">
        <v>443</v>
      </c>
    </row>
    <row r="7" spans="2:7" ht="17.25" customHeight="1" thickBot="1" x14ac:dyDescent="0.5">
      <c r="B7" s="86">
        <v>4</v>
      </c>
      <c r="C7" s="83" t="s">
        <v>442</v>
      </c>
      <c r="D7" s="83" t="s">
        <v>441</v>
      </c>
      <c r="E7" s="85"/>
      <c r="F7" s="84">
        <v>4</v>
      </c>
      <c r="G7" s="83" t="s">
        <v>440</v>
      </c>
    </row>
    <row r="8" spans="2:7" ht="17.25" customHeight="1" thickBot="1" x14ac:dyDescent="0.5">
      <c r="B8" s="86">
        <v>5</v>
      </c>
      <c r="C8" s="83" t="s">
        <v>439</v>
      </c>
      <c r="D8" s="83" t="s">
        <v>438</v>
      </c>
      <c r="E8" s="85"/>
      <c r="F8" s="84">
        <v>5</v>
      </c>
      <c r="G8" s="83" t="s">
        <v>437</v>
      </c>
    </row>
    <row r="9" spans="2:7" ht="17.25" customHeight="1" thickBot="1" x14ac:dyDescent="0.5">
      <c r="B9" s="86">
        <v>6</v>
      </c>
      <c r="C9" s="83" t="s">
        <v>436</v>
      </c>
      <c r="D9" s="83" t="s">
        <v>435</v>
      </c>
      <c r="E9" s="85"/>
      <c r="F9" s="84">
        <v>6</v>
      </c>
      <c r="G9" s="83" t="s">
        <v>434</v>
      </c>
    </row>
    <row r="10" spans="2:7" ht="17.25" customHeight="1" thickBot="1" x14ac:dyDescent="0.5">
      <c r="B10" s="86">
        <v>7</v>
      </c>
      <c r="C10" s="83" t="s">
        <v>433</v>
      </c>
      <c r="D10" s="83" t="s">
        <v>432</v>
      </c>
      <c r="E10" s="85"/>
      <c r="F10" s="84">
        <v>7</v>
      </c>
      <c r="G10" s="83" t="s">
        <v>431</v>
      </c>
    </row>
    <row r="11" spans="2:7" ht="17.25" customHeight="1" thickBot="1" x14ac:dyDescent="0.5">
      <c r="B11" s="86">
        <v>8</v>
      </c>
      <c r="C11" s="83" t="s">
        <v>430</v>
      </c>
      <c r="D11" s="83" t="s">
        <v>427</v>
      </c>
      <c r="E11" s="85"/>
      <c r="F11" s="84">
        <v>8</v>
      </c>
      <c r="G11" s="83" t="s">
        <v>429</v>
      </c>
    </row>
    <row r="12" spans="2:7" ht="17.25" customHeight="1" thickBot="1" x14ac:dyDescent="0.5">
      <c r="B12" s="86">
        <v>9</v>
      </c>
      <c r="C12" s="83" t="s">
        <v>428</v>
      </c>
      <c r="D12" s="83" t="s">
        <v>427</v>
      </c>
      <c r="E12" s="85"/>
      <c r="F12" s="84">
        <v>9</v>
      </c>
      <c r="G12" s="83" t="s">
        <v>426</v>
      </c>
    </row>
    <row r="13" spans="2:7" ht="17.25" customHeight="1" thickBot="1" x14ac:dyDescent="0.5">
      <c r="B13" s="86">
        <v>10</v>
      </c>
      <c r="C13" s="83" t="s">
        <v>425</v>
      </c>
      <c r="D13" s="83" t="s">
        <v>424</v>
      </c>
      <c r="E13" s="85"/>
      <c r="F13" s="84">
        <v>10</v>
      </c>
      <c r="G13" s="83" t="s">
        <v>423</v>
      </c>
    </row>
    <row r="14" spans="2:7" ht="17.25" customHeight="1" thickBot="1" x14ac:dyDescent="0.5">
      <c r="B14" s="86">
        <v>11</v>
      </c>
      <c r="C14" s="83" t="s">
        <v>422</v>
      </c>
      <c r="D14" s="83" t="s">
        <v>378</v>
      </c>
      <c r="E14" s="85"/>
      <c r="F14" s="84">
        <v>11</v>
      </c>
      <c r="G14" s="83" t="s">
        <v>421</v>
      </c>
    </row>
    <row r="15" spans="2:7" ht="17.25" customHeight="1" thickBot="1" x14ac:dyDescent="0.5">
      <c r="B15" s="86">
        <v>12</v>
      </c>
      <c r="C15" s="83" t="s">
        <v>420</v>
      </c>
      <c r="D15" s="83" t="s">
        <v>378</v>
      </c>
      <c r="E15" s="85"/>
      <c r="F15" s="84">
        <v>12</v>
      </c>
      <c r="G15" s="83" t="s">
        <v>419</v>
      </c>
    </row>
    <row r="16" spans="2:7" ht="17.25" customHeight="1" thickBot="1" x14ac:dyDescent="0.5">
      <c r="B16" s="86">
        <v>13</v>
      </c>
      <c r="C16" s="83" t="s">
        <v>418</v>
      </c>
      <c r="D16" s="83" t="s">
        <v>417</v>
      </c>
      <c r="E16" s="85"/>
      <c r="F16" s="84">
        <v>13</v>
      </c>
      <c r="G16" s="83" t="s">
        <v>416</v>
      </c>
    </row>
    <row r="17" spans="2:7" ht="17.25" customHeight="1" thickBot="1" x14ac:dyDescent="0.5">
      <c r="B17" s="86">
        <v>14</v>
      </c>
      <c r="C17" s="83" t="s">
        <v>415</v>
      </c>
      <c r="D17" s="83" t="s">
        <v>414</v>
      </c>
      <c r="E17" s="85"/>
      <c r="F17" s="84">
        <v>14</v>
      </c>
      <c r="G17" s="83" t="s">
        <v>413</v>
      </c>
    </row>
    <row r="18" spans="2:7" ht="17.25" customHeight="1" thickBot="1" x14ac:dyDescent="0.5">
      <c r="B18" s="86">
        <v>15</v>
      </c>
      <c r="C18" s="83" t="s">
        <v>412</v>
      </c>
      <c r="D18" s="83" t="s">
        <v>411</v>
      </c>
      <c r="E18" s="85"/>
      <c r="F18" s="84">
        <v>15</v>
      </c>
      <c r="G18" s="83" t="s">
        <v>377</v>
      </c>
    </row>
    <row r="19" spans="2:7" ht="17.25" customHeight="1" thickBot="1" x14ac:dyDescent="0.5">
      <c r="B19" s="86">
        <v>16</v>
      </c>
      <c r="C19" s="83" t="s">
        <v>410</v>
      </c>
      <c r="D19" s="83" t="s">
        <v>378</v>
      </c>
      <c r="E19" s="85"/>
      <c r="F19" s="84">
        <v>16</v>
      </c>
      <c r="G19" s="83" t="s">
        <v>409</v>
      </c>
    </row>
    <row r="20" spans="2:7" ht="17.25" customHeight="1" thickBot="1" x14ac:dyDescent="0.5">
      <c r="B20" s="86">
        <v>17</v>
      </c>
      <c r="C20" s="83" t="s">
        <v>408</v>
      </c>
      <c r="D20" s="83" t="s">
        <v>399</v>
      </c>
      <c r="E20" s="85"/>
      <c r="F20" s="84">
        <v>17</v>
      </c>
      <c r="G20" s="83" t="s">
        <v>407</v>
      </c>
    </row>
    <row r="21" spans="2:7" ht="17.25" customHeight="1" thickBot="1" x14ac:dyDescent="0.5">
      <c r="B21" s="86">
        <v>18</v>
      </c>
      <c r="C21" s="83" t="s">
        <v>406</v>
      </c>
      <c r="D21" s="83" t="s">
        <v>399</v>
      </c>
      <c r="E21" s="85"/>
      <c r="F21" s="84">
        <v>18</v>
      </c>
      <c r="G21" s="83" t="s">
        <v>405</v>
      </c>
    </row>
    <row r="22" spans="2:7" ht="17.25" customHeight="1" thickBot="1" x14ac:dyDescent="0.5">
      <c r="B22" s="86">
        <v>19</v>
      </c>
      <c r="C22" s="83" t="s">
        <v>404</v>
      </c>
      <c r="D22" s="83" t="s">
        <v>399</v>
      </c>
      <c r="E22" s="85"/>
      <c r="F22" s="84">
        <v>19</v>
      </c>
      <c r="G22" s="83" t="s">
        <v>403</v>
      </c>
    </row>
    <row r="23" spans="2:7" ht="17.25" customHeight="1" thickBot="1" x14ac:dyDescent="0.5">
      <c r="B23" s="86">
        <v>20</v>
      </c>
      <c r="C23" s="83" t="s">
        <v>402</v>
      </c>
      <c r="D23" s="83" t="s">
        <v>399</v>
      </c>
      <c r="E23" s="85"/>
      <c r="F23" s="84">
        <v>20</v>
      </c>
      <c r="G23" s="83" t="s">
        <v>401</v>
      </c>
    </row>
    <row r="24" spans="2:7" ht="17.25" customHeight="1" thickBot="1" x14ac:dyDescent="0.5">
      <c r="B24" s="86">
        <v>21</v>
      </c>
      <c r="C24" s="83" t="s">
        <v>400</v>
      </c>
      <c r="D24" s="83" t="s">
        <v>399</v>
      </c>
      <c r="E24" s="85"/>
      <c r="F24" s="84">
        <v>21</v>
      </c>
      <c r="G24" s="83" t="s">
        <v>398</v>
      </c>
    </row>
    <row r="25" spans="2:7" ht="17.25" customHeight="1" thickBot="1" x14ac:dyDescent="0.5">
      <c r="B25" s="86">
        <v>22</v>
      </c>
      <c r="C25" s="83" t="s">
        <v>397</v>
      </c>
      <c r="D25" s="83" t="s">
        <v>396</v>
      </c>
      <c r="E25" s="85"/>
      <c r="F25" s="84">
        <v>22</v>
      </c>
      <c r="G25" s="83" t="s">
        <v>395</v>
      </c>
    </row>
    <row r="26" spans="2:7" ht="17.25" customHeight="1" thickBot="1" x14ac:dyDescent="0.5">
      <c r="B26" s="86">
        <v>23</v>
      </c>
      <c r="C26" s="83" t="s">
        <v>394</v>
      </c>
      <c r="D26" s="83" t="s">
        <v>393</v>
      </c>
      <c r="E26" s="85"/>
      <c r="F26" s="84">
        <v>23</v>
      </c>
      <c r="G26" s="83" t="s">
        <v>392</v>
      </c>
    </row>
    <row r="27" spans="2:7" ht="17.25" customHeight="1" thickBot="1" x14ac:dyDescent="0.5">
      <c r="B27" s="86">
        <v>24</v>
      </c>
      <c r="C27" s="83" t="s">
        <v>391</v>
      </c>
      <c r="D27" s="83" t="s">
        <v>390</v>
      </c>
      <c r="E27" s="85"/>
      <c r="F27" s="84">
        <v>24</v>
      </c>
      <c r="G27" s="83" t="s">
        <v>377</v>
      </c>
    </row>
    <row r="28" spans="2:7" ht="17.25" customHeight="1" thickBot="1" x14ac:dyDescent="0.5">
      <c r="B28" s="86">
        <v>25</v>
      </c>
      <c r="C28" s="83" t="s">
        <v>389</v>
      </c>
      <c r="D28" s="83" t="s">
        <v>388</v>
      </c>
      <c r="E28" s="85"/>
      <c r="F28" s="84">
        <v>25</v>
      </c>
      <c r="G28" s="83" t="s">
        <v>377</v>
      </c>
    </row>
    <row r="29" spans="2:7" ht="17.25" customHeight="1" thickBot="1" x14ac:dyDescent="0.5">
      <c r="B29" s="86">
        <v>26</v>
      </c>
      <c r="C29" s="83" t="s">
        <v>387</v>
      </c>
      <c r="D29" s="83" t="s">
        <v>386</v>
      </c>
      <c r="E29" s="85"/>
      <c r="F29" s="84">
        <v>26</v>
      </c>
      <c r="G29" s="83" t="s">
        <v>377</v>
      </c>
    </row>
    <row r="30" spans="2:7" ht="17.25" customHeight="1" thickBot="1" x14ac:dyDescent="0.5">
      <c r="B30" s="86">
        <v>27</v>
      </c>
      <c r="C30" s="83" t="s">
        <v>385</v>
      </c>
      <c r="D30" s="83" t="s">
        <v>384</v>
      </c>
      <c r="E30" s="85"/>
      <c r="F30" s="84">
        <v>27</v>
      </c>
      <c r="G30" s="83" t="s">
        <v>377</v>
      </c>
    </row>
    <row r="31" spans="2:7" ht="17.25" customHeight="1" thickBot="1" x14ac:dyDescent="0.5">
      <c r="B31" s="86">
        <v>28</v>
      </c>
      <c r="C31" s="83" t="s">
        <v>383</v>
      </c>
      <c r="D31" s="83" t="s">
        <v>382</v>
      </c>
      <c r="E31" s="85"/>
      <c r="F31" s="84">
        <v>28</v>
      </c>
      <c r="G31" s="83" t="s">
        <v>377</v>
      </c>
    </row>
    <row r="32" spans="2:7" ht="17.25" customHeight="1" thickBot="1" x14ac:dyDescent="0.5">
      <c r="B32" s="86">
        <v>29</v>
      </c>
      <c r="C32" s="83" t="s">
        <v>381</v>
      </c>
      <c r="D32" s="83" t="s">
        <v>378</v>
      </c>
      <c r="E32" s="85"/>
      <c r="F32" s="84">
        <v>29</v>
      </c>
      <c r="G32" s="83" t="s">
        <v>377</v>
      </c>
    </row>
    <row r="33" spans="2:7" ht="17.25" customHeight="1" thickBot="1" x14ac:dyDescent="0.5">
      <c r="B33" s="86">
        <v>30</v>
      </c>
      <c r="C33" s="83" t="s">
        <v>380</v>
      </c>
      <c r="D33" s="83" t="s">
        <v>378</v>
      </c>
      <c r="E33" s="85"/>
      <c r="F33" s="84">
        <v>30</v>
      </c>
      <c r="G33" s="83" t="s">
        <v>377</v>
      </c>
    </row>
    <row r="34" spans="2:7" ht="17.25" customHeight="1" thickBot="1" x14ac:dyDescent="0.5">
      <c r="B34" s="86">
        <v>31</v>
      </c>
      <c r="C34" s="83" t="s">
        <v>379</v>
      </c>
      <c r="D34" s="83" t="s">
        <v>378</v>
      </c>
      <c r="E34" s="85"/>
      <c r="F34" s="84">
        <v>31</v>
      </c>
      <c r="G34" s="83" t="s">
        <v>377</v>
      </c>
    </row>
  </sheetData>
  <phoneticPr fontId="4" type="noConversion"/>
  <pageMargins left="0.7" right="0.7" top="0.75" bottom="0.75" header="0.3" footer="0.3"/>
  <headerFooter>
    <oddHeader>&amp;C&amp;G</oddHeader>
    <oddFooter xml:space="preserve">&amp;C_x000D_&amp;1#&amp;"맑은 고딕"&amp;6&amp;K737373 이태헌( LEE Taeheon ) 전원구동반도체팀 / 1634503@mobis.com / 본 문서는 현대모비스의 대외비 정보자산이므로 무단 전재 및 복제할 수 없으며, 위반 시 당사 사규 및 관련 법규에 의해 제재될 수 있습니다. 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7B22-00B4-4773-B3E1-B21269BE2503}">
  <dimension ref="B1:BF518"/>
  <sheetViews>
    <sheetView tabSelected="1" zoomScale="70" zoomScaleNormal="70" workbookViewId="0">
      <selection activeCell="W129" sqref="W129"/>
    </sheetView>
  </sheetViews>
  <sheetFormatPr defaultRowHeight="17" x14ac:dyDescent="0.45"/>
  <cols>
    <col min="2" max="2" width="13.1640625" customWidth="1"/>
    <col min="3" max="3" width="18.58203125" style="98" hidden="1" customWidth="1"/>
    <col min="4" max="4" width="18.58203125" style="98" customWidth="1"/>
    <col min="5" max="8" width="18.58203125" style="98" hidden="1" customWidth="1"/>
    <col min="9" max="9" width="18.58203125" style="98" customWidth="1"/>
    <col min="10" max="12" width="18.58203125" style="98" hidden="1" customWidth="1"/>
    <col min="13" max="26" width="18.58203125" style="98" customWidth="1"/>
    <col min="27" max="27" width="10.4140625" customWidth="1"/>
    <col min="28" max="32" width="18.58203125" style="140" customWidth="1"/>
    <col min="33" max="66" width="18.58203125" customWidth="1"/>
  </cols>
  <sheetData>
    <row r="1" spans="2:58" x14ac:dyDescent="0.45">
      <c r="AB1"/>
      <c r="AC1" s="98"/>
      <c r="AD1" s="98"/>
      <c r="AE1" s="98"/>
      <c r="AF1" s="98"/>
    </row>
    <row r="2" spans="2:58" ht="17.5" x14ac:dyDescent="0.45"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00" t="s">
        <v>460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101"/>
      <c r="AC2" s="101"/>
      <c r="AD2" s="101"/>
      <c r="AE2" s="101"/>
      <c r="AF2" s="101"/>
      <c r="AG2" s="102"/>
    </row>
    <row r="3" spans="2:58" ht="17.5" x14ac:dyDescent="0.45">
      <c r="B3" s="103" t="s">
        <v>461</v>
      </c>
      <c r="C3" s="104" t="s">
        <v>462</v>
      </c>
      <c r="D3" s="104" t="s">
        <v>462</v>
      </c>
      <c r="E3" s="104" t="s">
        <v>462</v>
      </c>
      <c r="F3" s="104" t="s">
        <v>462</v>
      </c>
      <c r="G3" s="104" t="s">
        <v>462</v>
      </c>
      <c r="H3" s="104" t="s">
        <v>463</v>
      </c>
      <c r="I3" s="104" t="s">
        <v>463</v>
      </c>
      <c r="J3" s="104" t="s">
        <v>463</v>
      </c>
      <c r="K3" s="104" t="s">
        <v>463</v>
      </c>
      <c r="L3" s="104" t="s">
        <v>463</v>
      </c>
      <c r="M3" s="104" t="s">
        <v>464</v>
      </c>
      <c r="N3" s="104" t="s">
        <v>465</v>
      </c>
      <c r="O3" s="104" t="s">
        <v>466</v>
      </c>
      <c r="P3" s="104" t="s">
        <v>467</v>
      </c>
      <c r="Q3" s="104" t="s">
        <v>468</v>
      </c>
      <c r="R3" s="104" t="s">
        <v>469</v>
      </c>
      <c r="S3" s="104" t="s">
        <v>470</v>
      </c>
      <c r="T3" s="104" t="s">
        <v>471</v>
      </c>
      <c r="U3" s="104" t="s">
        <v>472</v>
      </c>
      <c r="V3" s="104" t="s">
        <v>473</v>
      </c>
      <c r="W3" s="104" t="s">
        <v>526</v>
      </c>
      <c r="X3" s="104" t="s">
        <v>474</v>
      </c>
      <c r="Y3" s="104" t="s">
        <v>475</v>
      </c>
      <c r="Z3" s="104" t="s">
        <v>476</v>
      </c>
      <c r="AA3" s="99"/>
      <c r="AB3" s="266" t="s">
        <v>477</v>
      </c>
      <c r="AC3" s="266"/>
      <c r="AD3" s="266"/>
      <c r="AE3" s="266"/>
      <c r="AF3" s="266"/>
      <c r="AG3" s="105"/>
      <c r="AH3" s="102"/>
      <c r="AI3" s="105"/>
      <c r="AJ3" s="105"/>
      <c r="AK3" s="105"/>
      <c r="AM3" s="106"/>
      <c r="AN3" s="106"/>
      <c r="AO3" s="106"/>
    </row>
    <row r="4" spans="2:58" ht="17.5" x14ac:dyDescent="0.45">
      <c r="B4" s="103" t="s">
        <v>478</v>
      </c>
      <c r="C4" s="107">
        <v>5</v>
      </c>
      <c r="D4" s="107">
        <v>5</v>
      </c>
      <c r="E4" s="107">
        <v>5</v>
      </c>
      <c r="F4" s="107">
        <v>5</v>
      </c>
      <c r="G4" s="107">
        <v>5</v>
      </c>
      <c r="H4" s="108">
        <v>5</v>
      </c>
      <c r="I4" s="108">
        <v>5</v>
      </c>
      <c r="J4" s="108">
        <v>5</v>
      </c>
      <c r="K4" s="108">
        <v>5</v>
      </c>
      <c r="L4" s="108">
        <v>5</v>
      </c>
      <c r="M4" s="109">
        <v>5</v>
      </c>
      <c r="N4" s="109">
        <v>5</v>
      </c>
      <c r="O4" s="109">
        <v>5</v>
      </c>
      <c r="P4" s="109">
        <v>4</v>
      </c>
      <c r="Q4" s="109">
        <v>5</v>
      </c>
      <c r="R4" s="109">
        <v>4</v>
      </c>
      <c r="S4" s="109">
        <v>5</v>
      </c>
      <c r="T4" s="109">
        <v>32</v>
      </c>
      <c r="U4" s="110">
        <v>4</v>
      </c>
      <c r="V4" s="110">
        <v>7</v>
      </c>
      <c r="W4" s="110">
        <v>9</v>
      </c>
      <c r="X4" s="110">
        <v>4</v>
      </c>
      <c r="Y4" s="110">
        <v>3</v>
      </c>
      <c r="Z4" s="110">
        <v>3</v>
      </c>
      <c r="AA4" s="99"/>
      <c r="AB4" s="104" t="s">
        <v>479</v>
      </c>
      <c r="AC4" s="104" t="s">
        <v>480</v>
      </c>
      <c r="AD4" s="104" t="s">
        <v>481</v>
      </c>
      <c r="AE4" s="104" t="s">
        <v>482</v>
      </c>
      <c r="AF4" s="104" t="s">
        <v>483</v>
      </c>
      <c r="AG4" s="105"/>
      <c r="AH4" s="102"/>
      <c r="AI4" s="105"/>
      <c r="AJ4" s="105"/>
      <c r="AK4" s="105"/>
      <c r="AM4" s="106"/>
      <c r="AN4" s="106"/>
      <c r="AO4" s="106"/>
      <c r="AY4" s="105"/>
      <c r="BB4" s="105"/>
      <c r="BC4" s="105"/>
      <c r="BF4" s="105"/>
    </row>
    <row r="5" spans="2:58" ht="17.5" x14ac:dyDescent="0.45">
      <c r="B5" s="103" t="s">
        <v>484</v>
      </c>
      <c r="C5" s="107" t="s">
        <v>485</v>
      </c>
      <c r="D5" s="107" t="s">
        <v>485</v>
      </c>
      <c r="E5" s="107" t="s">
        <v>485</v>
      </c>
      <c r="F5" s="107" t="s">
        <v>485</v>
      </c>
      <c r="G5" s="107" t="s">
        <v>485</v>
      </c>
      <c r="H5" s="107" t="s">
        <v>485</v>
      </c>
      <c r="I5" s="107" t="s">
        <v>485</v>
      </c>
      <c r="J5" s="107" t="s">
        <v>485</v>
      </c>
      <c r="K5" s="107" t="s">
        <v>485</v>
      </c>
      <c r="L5" s="107" t="s">
        <v>485</v>
      </c>
      <c r="M5" s="109"/>
      <c r="N5" s="109"/>
      <c r="O5" s="109"/>
      <c r="P5" s="109"/>
      <c r="Q5" s="109"/>
      <c r="R5" s="109"/>
      <c r="S5" s="109"/>
      <c r="T5" s="109"/>
      <c r="U5" s="110"/>
      <c r="V5" s="110"/>
      <c r="W5" s="110" t="s">
        <v>527</v>
      </c>
      <c r="X5" s="110"/>
      <c r="Y5" s="110"/>
      <c r="Z5" s="110"/>
      <c r="AA5" s="99"/>
      <c r="AB5" s="111" t="s">
        <v>486</v>
      </c>
      <c r="AC5" s="112">
        <v>36.68</v>
      </c>
      <c r="AD5" s="112">
        <v>51.62</v>
      </c>
      <c r="AE5" s="112">
        <v>53.48</v>
      </c>
      <c r="AF5" s="112">
        <v>33.69</v>
      </c>
      <c r="AG5" s="105"/>
      <c r="AH5" s="102"/>
      <c r="AI5" s="105"/>
      <c r="AJ5" s="105"/>
      <c r="AK5" s="105"/>
      <c r="AM5" s="106"/>
      <c r="AN5" s="106"/>
      <c r="AO5" s="106"/>
      <c r="AY5" s="105"/>
      <c r="BB5" s="105"/>
      <c r="BC5" s="105"/>
      <c r="BF5" s="105"/>
    </row>
    <row r="6" spans="2:58" ht="18" thickBot="1" x14ac:dyDescent="0.5">
      <c r="B6" s="104" t="s">
        <v>487</v>
      </c>
      <c r="C6" s="113" t="s">
        <v>488</v>
      </c>
      <c r="D6" s="113" t="s">
        <v>489</v>
      </c>
      <c r="E6" s="113" t="s">
        <v>490</v>
      </c>
      <c r="F6" s="113" t="s">
        <v>491</v>
      </c>
      <c r="G6" s="113" t="s">
        <v>492</v>
      </c>
      <c r="H6" s="113" t="s">
        <v>488</v>
      </c>
      <c r="I6" s="113" t="s">
        <v>489</v>
      </c>
      <c r="J6" s="113" t="s">
        <v>490</v>
      </c>
      <c r="K6" s="113" t="s">
        <v>491</v>
      </c>
      <c r="L6" s="113" t="s">
        <v>492</v>
      </c>
      <c r="M6" s="104" t="s">
        <v>493</v>
      </c>
      <c r="N6" s="104" t="s">
        <v>494</v>
      </c>
      <c r="O6" s="104"/>
      <c r="P6" s="104"/>
      <c r="Q6" s="104"/>
      <c r="R6" s="104"/>
      <c r="S6" s="104"/>
      <c r="T6" s="114" t="s">
        <v>495</v>
      </c>
      <c r="U6" s="104"/>
      <c r="V6" s="114" t="s">
        <v>496</v>
      </c>
      <c r="W6" s="114" t="s">
        <v>528</v>
      </c>
      <c r="X6" s="104"/>
      <c r="Y6" s="115" t="s">
        <v>497</v>
      </c>
      <c r="Z6" s="104"/>
      <c r="AA6" s="99"/>
      <c r="AB6" s="111" t="s">
        <v>498</v>
      </c>
      <c r="AC6" s="112">
        <v>85.32</v>
      </c>
      <c r="AD6" s="112">
        <v>85.32</v>
      </c>
      <c r="AE6" s="112">
        <v>92.97</v>
      </c>
      <c r="AF6" s="112">
        <v>45.27</v>
      </c>
      <c r="AG6" s="105"/>
      <c r="AH6" s="102"/>
      <c r="AI6" s="105"/>
      <c r="AJ6" s="105"/>
      <c r="AK6" s="105"/>
      <c r="AM6" s="106"/>
      <c r="AN6" s="106"/>
      <c r="AO6" s="106"/>
      <c r="AY6" s="105"/>
      <c r="BB6" s="105"/>
      <c r="BC6" s="105"/>
      <c r="BF6" s="105"/>
    </row>
    <row r="7" spans="2:58" ht="17.5" x14ac:dyDescent="0.45">
      <c r="B7" s="116">
        <v>0</v>
      </c>
      <c r="C7" s="117">
        <v>1.1279999999999999</v>
      </c>
      <c r="D7" s="118">
        <v>1.0980000000000001</v>
      </c>
      <c r="E7" s="118">
        <v>1.0640000000000001</v>
      </c>
      <c r="F7" s="118">
        <v>1.054</v>
      </c>
      <c r="G7" s="119">
        <v>1.038</v>
      </c>
      <c r="H7" s="120">
        <v>1.1319999999999999</v>
      </c>
      <c r="I7" s="121">
        <v>1.1040000000000001</v>
      </c>
      <c r="J7" s="121">
        <v>1.0720000000000001</v>
      </c>
      <c r="K7" s="121">
        <v>1.0620000000000001</v>
      </c>
      <c r="L7" s="122">
        <v>1.0620000000000001</v>
      </c>
      <c r="M7" s="123">
        <v>6.5579999999999998</v>
      </c>
      <c r="N7" s="123">
        <v>6.5739999999999998</v>
      </c>
      <c r="O7" s="124">
        <v>1.258</v>
      </c>
      <c r="P7" s="125">
        <v>1.5509999999999999</v>
      </c>
      <c r="Q7" s="123">
        <v>1.2569999999999999</v>
      </c>
      <c r="R7" s="123">
        <v>1.2509999999999999</v>
      </c>
      <c r="S7" s="126">
        <v>18.440000000000001</v>
      </c>
      <c r="T7" s="126">
        <v>15.31</v>
      </c>
      <c r="U7" s="127">
        <v>118</v>
      </c>
      <c r="V7" s="128">
        <v>11.42</v>
      </c>
      <c r="W7" s="274">
        <v>0.48930000000000001</v>
      </c>
      <c r="X7" s="129">
        <v>4</v>
      </c>
      <c r="Y7" s="130">
        <v>0.45</v>
      </c>
      <c r="Z7" s="130">
        <v>3.45</v>
      </c>
      <c r="AA7" s="99"/>
      <c r="AB7" s="111" t="s">
        <v>499</v>
      </c>
      <c r="AC7" s="112">
        <v>15.94</v>
      </c>
      <c r="AD7" s="112">
        <v>15.94</v>
      </c>
      <c r="AE7" s="112">
        <v>16.010000000000002</v>
      </c>
      <c r="AF7" s="112">
        <v>15.94</v>
      </c>
      <c r="AG7" s="105"/>
      <c r="AH7" s="102"/>
      <c r="AI7" s="105"/>
      <c r="AJ7" s="105"/>
      <c r="AK7" s="105"/>
      <c r="AM7" s="106"/>
      <c r="AN7" s="106"/>
      <c r="AO7" s="106"/>
      <c r="AY7" s="105"/>
      <c r="BB7" s="105"/>
      <c r="BC7" s="105"/>
      <c r="BF7" s="105"/>
    </row>
    <row r="8" spans="2:58" ht="17.5" x14ac:dyDescent="0.45">
      <c r="B8" s="116">
        <v>1</v>
      </c>
      <c r="C8" s="131">
        <v>1.1339999999999999</v>
      </c>
      <c r="D8" s="132">
        <v>1.1060000000000001</v>
      </c>
      <c r="E8" s="132">
        <v>1.075</v>
      </c>
      <c r="F8" s="132">
        <v>1.0649999999999999</v>
      </c>
      <c r="G8" s="133">
        <v>1.05</v>
      </c>
      <c r="H8" s="134">
        <v>1.1379999999999999</v>
      </c>
      <c r="I8" s="135">
        <v>1.1120000000000001</v>
      </c>
      <c r="J8" s="135">
        <v>1.0820000000000001</v>
      </c>
      <c r="K8" s="135">
        <v>1.073</v>
      </c>
      <c r="L8" s="136">
        <v>1.073</v>
      </c>
      <c r="M8" s="123">
        <v>6.6989999999999998</v>
      </c>
      <c r="N8" s="123">
        <v>6.7159999999999993</v>
      </c>
      <c r="O8" s="124">
        <v>1.2729999999999999</v>
      </c>
      <c r="P8" s="124">
        <v>1.5840000000000001</v>
      </c>
      <c r="Q8" s="123">
        <v>1.272</v>
      </c>
      <c r="R8" s="123">
        <v>1.282</v>
      </c>
      <c r="S8" s="126">
        <v>19.25</v>
      </c>
      <c r="T8" s="126">
        <v>16.36</v>
      </c>
      <c r="U8" s="127">
        <v>122</v>
      </c>
      <c r="V8" s="128">
        <v>11.48</v>
      </c>
      <c r="W8" s="124">
        <v>0.49129999999999996</v>
      </c>
      <c r="X8" s="129">
        <v>8</v>
      </c>
      <c r="Y8" s="130">
        <v>0.55000000000000004</v>
      </c>
      <c r="Z8" s="130">
        <v>6.55</v>
      </c>
      <c r="AA8" s="99"/>
      <c r="AB8" s="111" t="s">
        <v>500</v>
      </c>
      <c r="AC8" s="112">
        <v>18.829999999999998</v>
      </c>
      <c r="AD8" s="112">
        <v>18.829999999999998</v>
      </c>
      <c r="AE8" s="137">
        <v>20.399999999999999</v>
      </c>
      <c r="AF8" s="138">
        <v>0</v>
      </c>
      <c r="AG8" s="105"/>
      <c r="AH8" s="102"/>
      <c r="AI8" s="105"/>
      <c r="AJ8" s="105"/>
      <c r="AK8" s="105"/>
      <c r="AM8" s="106"/>
      <c r="AN8" s="106"/>
      <c r="AO8" s="106"/>
      <c r="AY8" s="105"/>
      <c r="BB8" s="105"/>
      <c r="BC8" s="105"/>
      <c r="BF8" s="105"/>
    </row>
    <row r="9" spans="2:58" ht="17.5" x14ac:dyDescent="0.45">
      <c r="B9" s="116">
        <v>2</v>
      </c>
      <c r="C9" s="131">
        <v>1.141</v>
      </c>
      <c r="D9" s="132">
        <v>1.115</v>
      </c>
      <c r="E9" s="132">
        <v>1.085</v>
      </c>
      <c r="F9" s="132">
        <v>1.0760000000000001</v>
      </c>
      <c r="G9" s="133">
        <v>1.0620000000000001</v>
      </c>
      <c r="H9" s="134">
        <v>1.145</v>
      </c>
      <c r="I9" s="135">
        <v>1.1200000000000001</v>
      </c>
      <c r="J9" s="135">
        <v>1.0920000000000001</v>
      </c>
      <c r="K9" s="135">
        <v>1.0840000000000001</v>
      </c>
      <c r="L9" s="136">
        <v>1.0840000000000001</v>
      </c>
      <c r="M9" s="123">
        <v>6.8490000000000002</v>
      </c>
      <c r="N9" s="123">
        <v>6.8650000000000002</v>
      </c>
      <c r="O9" s="124">
        <v>1.288</v>
      </c>
      <c r="P9" s="124">
        <v>1.6180000000000001</v>
      </c>
      <c r="Q9" s="123">
        <v>1.288</v>
      </c>
      <c r="R9" s="123">
        <v>1.3129999999999999</v>
      </c>
      <c r="S9" s="126">
        <v>20.34</v>
      </c>
      <c r="T9" s="126">
        <v>17.48</v>
      </c>
      <c r="U9" s="127">
        <v>126</v>
      </c>
      <c r="V9" s="128">
        <v>11.53</v>
      </c>
      <c r="W9" s="124">
        <v>0.49319999999999997</v>
      </c>
      <c r="X9" s="129">
        <v>12</v>
      </c>
      <c r="Y9" s="139">
        <v>0.65</v>
      </c>
      <c r="Z9" s="130">
        <v>9.65</v>
      </c>
      <c r="AA9" s="99"/>
      <c r="AB9" s="111" t="s">
        <v>501</v>
      </c>
      <c r="AC9" s="112">
        <v>49.07</v>
      </c>
      <c r="AD9" s="112">
        <v>49.07</v>
      </c>
      <c r="AE9" s="112">
        <v>52.47</v>
      </c>
      <c r="AF9" s="138">
        <v>0</v>
      </c>
      <c r="AG9" s="105"/>
      <c r="AH9" s="102"/>
      <c r="AI9" s="105"/>
      <c r="AJ9" s="105"/>
      <c r="AK9" s="105"/>
      <c r="AM9" s="106"/>
      <c r="AN9" s="106"/>
      <c r="AO9" s="106"/>
      <c r="AY9" s="105"/>
      <c r="BB9" s="105"/>
      <c r="BC9" s="105"/>
      <c r="BF9" s="105"/>
    </row>
    <row r="10" spans="2:58" ht="17.5" x14ac:dyDescent="0.45">
      <c r="B10" s="116">
        <v>3</v>
      </c>
      <c r="C10" s="131">
        <v>1.147</v>
      </c>
      <c r="D10" s="132">
        <v>1.123</v>
      </c>
      <c r="E10" s="132">
        <v>1.0960000000000001</v>
      </c>
      <c r="F10" s="132">
        <v>1.087</v>
      </c>
      <c r="G10" s="133">
        <v>1.0740000000000001</v>
      </c>
      <c r="H10" s="134">
        <v>1.1519999999999999</v>
      </c>
      <c r="I10" s="135">
        <v>1.129</v>
      </c>
      <c r="J10" s="135">
        <v>1.103</v>
      </c>
      <c r="K10" s="135">
        <v>1.095</v>
      </c>
      <c r="L10" s="136">
        <v>1.095</v>
      </c>
      <c r="M10" s="123">
        <v>7.0040000000000004</v>
      </c>
      <c r="N10" s="123">
        <v>7.0209999999999999</v>
      </c>
      <c r="O10" s="124">
        <v>1.3029999999999999</v>
      </c>
      <c r="P10" s="124">
        <v>1.651</v>
      </c>
      <c r="Q10" s="123">
        <v>1.3029999999999999</v>
      </c>
      <c r="R10" s="123">
        <v>1.3440000000000001</v>
      </c>
      <c r="S10" s="126">
        <v>21.2</v>
      </c>
      <c r="T10" s="126">
        <v>18.66</v>
      </c>
      <c r="U10" s="127">
        <v>130</v>
      </c>
      <c r="V10" s="128">
        <v>11.58</v>
      </c>
      <c r="W10" s="124">
        <v>0.49520000000000003</v>
      </c>
      <c r="X10" s="129">
        <v>16</v>
      </c>
      <c r="Y10" s="139">
        <v>0.75</v>
      </c>
      <c r="Z10" s="130">
        <v>12.75</v>
      </c>
      <c r="AA10" s="99"/>
      <c r="AB10" s="111" t="s">
        <v>502</v>
      </c>
      <c r="AC10" s="112">
        <v>138.47</v>
      </c>
      <c r="AD10" s="112">
        <v>138.47</v>
      </c>
      <c r="AE10" s="112">
        <v>139.46</v>
      </c>
      <c r="AF10" s="138">
        <v>0</v>
      </c>
      <c r="AG10" s="105"/>
      <c r="AH10" s="102"/>
      <c r="AI10" s="105"/>
      <c r="AJ10" s="105"/>
      <c r="AK10" s="105"/>
      <c r="AM10" s="106"/>
      <c r="AN10" s="106"/>
      <c r="AO10" s="106"/>
      <c r="AY10" s="105"/>
      <c r="BB10" s="105"/>
      <c r="BC10" s="105"/>
      <c r="BF10" s="105"/>
    </row>
    <row r="11" spans="2:58" ht="17.5" x14ac:dyDescent="0.45">
      <c r="B11" s="116">
        <v>4</v>
      </c>
      <c r="C11" s="131">
        <v>1.1539999999999999</v>
      </c>
      <c r="D11" s="132">
        <v>1.1319999999999999</v>
      </c>
      <c r="E11" s="132">
        <v>1.1060000000000001</v>
      </c>
      <c r="F11" s="132">
        <v>1.0980000000000001</v>
      </c>
      <c r="G11" s="133">
        <v>1.0860000000000001</v>
      </c>
      <c r="H11" s="134">
        <v>1.1579999999999999</v>
      </c>
      <c r="I11" s="135">
        <v>1.137</v>
      </c>
      <c r="J11" s="135">
        <v>1.113</v>
      </c>
      <c r="K11" s="135">
        <v>1.105</v>
      </c>
      <c r="L11" s="136">
        <v>1.105</v>
      </c>
      <c r="M11" s="123">
        <v>7.1659999999999995</v>
      </c>
      <c r="N11" s="123">
        <v>7.1829999999999998</v>
      </c>
      <c r="O11" s="124">
        <v>1.3180000000000001</v>
      </c>
      <c r="P11" s="124">
        <v>1.6859999999999999</v>
      </c>
      <c r="Q11" s="123">
        <v>1.3180000000000001</v>
      </c>
      <c r="R11" s="123">
        <v>1.3759999999999999</v>
      </c>
      <c r="S11" s="126">
        <v>22.48</v>
      </c>
      <c r="T11" s="126">
        <v>19.91</v>
      </c>
      <c r="U11" s="127">
        <v>135</v>
      </c>
      <c r="V11" s="128">
        <v>11.63</v>
      </c>
      <c r="W11" s="124">
        <v>0.49709999999999999</v>
      </c>
      <c r="X11" s="129">
        <v>20</v>
      </c>
      <c r="Y11" s="139">
        <v>0.9</v>
      </c>
      <c r="Z11" s="130">
        <v>16.45</v>
      </c>
      <c r="AA11" s="99"/>
      <c r="AB11" s="111" t="s">
        <v>503</v>
      </c>
      <c r="AC11" s="112">
        <v>22.86</v>
      </c>
      <c r="AD11" s="112">
        <v>222.55</v>
      </c>
      <c r="AE11" s="112">
        <v>245.44</v>
      </c>
      <c r="AF11" s="138">
        <v>0</v>
      </c>
      <c r="AG11" s="105"/>
      <c r="AH11" s="102"/>
      <c r="AI11" s="105"/>
      <c r="AJ11" s="105"/>
      <c r="AK11" s="105"/>
      <c r="AM11" s="106"/>
      <c r="AN11" s="106"/>
      <c r="AO11" s="106"/>
      <c r="AY11" s="105"/>
      <c r="BB11" s="105"/>
      <c r="BC11" s="105"/>
      <c r="BF11" s="105"/>
    </row>
    <row r="12" spans="2:58" ht="17.5" x14ac:dyDescent="0.45">
      <c r="B12" s="116">
        <v>5</v>
      </c>
      <c r="C12" s="131">
        <v>1.161</v>
      </c>
      <c r="D12" s="132">
        <v>1.1399999999999999</v>
      </c>
      <c r="E12" s="132">
        <v>1.1160000000000001</v>
      </c>
      <c r="F12" s="132">
        <v>1.109</v>
      </c>
      <c r="G12" s="133">
        <v>1.097</v>
      </c>
      <c r="H12" s="134">
        <v>1.165</v>
      </c>
      <c r="I12" s="135">
        <v>1.1459999999999999</v>
      </c>
      <c r="J12" s="135">
        <v>1.123</v>
      </c>
      <c r="K12" s="135">
        <v>1.1160000000000001</v>
      </c>
      <c r="L12" s="136">
        <v>1.1160000000000001</v>
      </c>
      <c r="M12" s="123">
        <v>7.3359999999999994</v>
      </c>
      <c r="N12" s="123">
        <v>7.3529999999999998</v>
      </c>
      <c r="O12" s="124">
        <v>1.333</v>
      </c>
      <c r="P12" s="124">
        <v>1.7190000000000001</v>
      </c>
      <c r="Q12" s="123">
        <v>1.333</v>
      </c>
      <c r="R12" s="123">
        <v>1.407</v>
      </c>
      <c r="S12" s="126">
        <v>23.44</v>
      </c>
      <c r="T12" s="126">
        <v>21.22</v>
      </c>
      <c r="U12" s="127">
        <v>139</v>
      </c>
      <c r="V12" s="128">
        <v>11.68</v>
      </c>
      <c r="W12" s="124">
        <v>0.499</v>
      </c>
      <c r="X12" s="129">
        <v>24</v>
      </c>
      <c r="Y12" s="139">
        <v>1.05</v>
      </c>
      <c r="Z12" s="130">
        <v>16.45</v>
      </c>
      <c r="AA12" s="99"/>
      <c r="AB12" s="111" t="s">
        <v>504</v>
      </c>
      <c r="AC12" s="137">
        <v>263.39999999999998</v>
      </c>
      <c r="AD12" s="137">
        <v>263.39999999999998</v>
      </c>
      <c r="AE12" s="137">
        <v>277.10000000000002</v>
      </c>
      <c r="AF12" s="138">
        <v>0</v>
      </c>
      <c r="AG12" s="105"/>
      <c r="AH12" s="102"/>
      <c r="AI12" s="105"/>
      <c r="AJ12" s="105"/>
      <c r="AK12" s="105"/>
      <c r="AM12" s="106"/>
      <c r="AN12" s="106"/>
      <c r="AO12" s="106"/>
      <c r="AY12" s="105"/>
      <c r="BB12" s="105"/>
      <c r="BC12" s="105"/>
      <c r="BF12" s="105"/>
    </row>
    <row r="13" spans="2:58" ht="17.5" x14ac:dyDescent="0.45">
      <c r="B13" s="116">
        <v>6</v>
      </c>
      <c r="C13" s="131">
        <v>1.167</v>
      </c>
      <c r="D13" s="132">
        <v>1.149</v>
      </c>
      <c r="E13" s="132">
        <v>1.127</v>
      </c>
      <c r="F13" s="132">
        <v>1.1200000000000001</v>
      </c>
      <c r="G13" s="133">
        <v>1.109</v>
      </c>
      <c r="H13" s="134">
        <v>1.171</v>
      </c>
      <c r="I13" s="135">
        <v>1.1539999999999999</v>
      </c>
      <c r="J13" s="135">
        <v>1.1339999999999999</v>
      </c>
      <c r="K13" s="135">
        <v>1.127</v>
      </c>
      <c r="L13" s="136">
        <v>1.127</v>
      </c>
      <c r="M13" s="123">
        <v>7.5140000000000002</v>
      </c>
      <c r="N13" s="123">
        <v>7.532</v>
      </c>
      <c r="O13" s="124">
        <v>1.3480000000000001</v>
      </c>
      <c r="P13" s="124">
        <v>1.7529999999999999</v>
      </c>
      <c r="Q13" s="123">
        <v>1.3480000000000001</v>
      </c>
      <c r="R13" s="123">
        <v>1.4379999999999999</v>
      </c>
      <c r="S13" s="126">
        <v>24.7</v>
      </c>
      <c r="T13" s="126">
        <v>22.6</v>
      </c>
      <c r="U13" s="127">
        <v>143</v>
      </c>
      <c r="V13" s="128">
        <v>11.73</v>
      </c>
      <c r="W13" s="124">
        <v>0.50120000000000009</v>
      </c>
      <c r="X13" s="129">
        <v>28</v>
      </c>
      <c r="Y13" s="139">
        <v>1.2</v>
      </c>
      <c r="Z13" s="130">
        <v>16.45</v>
      </c>
      <c r="AA13" s="99"/>
      <c r="AB13" s="111" t="s">
        <v>505</v>
      </c>
      <c r="AC13" s="112">
        <f xml:space="preserve"> SUM(AC5:AC10,AC12) + (AC11*2)</f>
        <v>653.42999999999995</v>
      </c>
      <c r="AD13" s="112">
        <f xml:space="preserve"> SUM(AD5:AD10,AD12) + (AD11*2)</f>
        <v>1067.75</v>
      </c>
      <c r="AE13" s="112">
        <f xml:space="preserve"> SUM(AE5:AE10,AE12) + (AE11*2)</f>
        <v>1142.77</v>
      </c>
      <c r="AF13" s="112">
        <f xml:space="preserve"> SUM(AF5:AF10,AF12) + (AF11*2)</f>
        <v>94.9</v>
      </c>
      <c r="AG13" s="105"/>
      <c r="AH13" s="102"/>
      <c r="AI13" s="105"/>
      <c r="AJ13" s="105"/>
      <c r="AK13" s="105"/>
      <c r="AM13" s="106"/>
      <c r="AN13" s="106"/>
      <c r="AO13" s="106"/>
    </row>
    <row r="14" spans="2:58" ht="17.5" x14ac:dyDescent="0.45">
      <c r="B14" s="116">
        <v>7</v>
      </c>
      <c r="C14" s="131">
        <v>1.1739999999999999</v>
      </c>
      <c r="D14" s="132">
        <v>1.157</v>
      </c>
      <c r="E14" s="132">
        <v>1.137</v>
      </c>
      <c r="F14" s="132">
        <v>1.131</v>
      </c>
      <c r="G14" s="133">
        <v>1.121</v>
      </c>
      <c r="H14" s="134">
        <v>1.1779999999999999</v>
      </c>
      <c r="I14" s="135">
        <v>1.1619999999999999</v>
      </c>
      <c r="J14" s="135">
        <v>1.1439999999999999</v>
      </c>
      <c r="K14" s="135">
        <v>1.1379999999999999</v>
      </c>
      <c r="L14" s="136">
        <v>1.1379999999999999</v>
      </c>
      <c r="M14" s="123">
        <v>7.702</v>
      </c>
      <c r="N14" s="123">
        <v>7.7200000000000006</v>
      </c>
      <c r="O14" s="124">
        <v>1.363</v>
      </c>
      <c r="P14" s="124">
        <v>1.786</v>
      </c>
      <c r="Q14" s="123">
        <v>1.363</v>
      </c>
      <c r="R14" s="123">
        <v>1.4690000000000001</v>
      </c>
      <c r="S14" s="126">
        <v>25.73</v>
      </c>
      <c r="T14" s="126">
        <v>24.04</v>
      </c>
      <c r="U14" s="127">
        <v>147</v>
      </c>
      <c r="V14" s="128">
        <v>11.79</v>
      </c>
      <c r="W14" s="124">
        <v>0.50309999999999999</v>
      </c>
      <c r="X14" s="129">
        <v>32</v>
      </c>
      <c r="Y14" s="139">
        <v>1.35</v>
      </c>
      <c r="Z14" s="130">
        <v>16.45</v>
      </c>
      <c r="AA14" s="99"/>
      <c r="AG14" s="105"/>
      <c r="AH14" s="102"/>
      <c r="AI14" s="105"/>
      <c r="AJ14" s="105"/>
      <c r="AK14" s="105"/>
      <c r="AM14" s="106"/>
      <c r="AN14" s="106"/>
      <c r="AO14" s="106"/>
    </row>
    <row r="15" spans="2:58" ht="17.5" x14ac:dyDescent="0.45">
      <c r="B15" s="116">
        <v>8</v>
      </c>
      <c r="C15" s="131">
        <v>1.18</v>
      </c>
      <c r="D15" s="132">
        <v>1.1659999999999999</v>
      </c>
      <c r="E15" s="132">
        <v>1.1479999999999999</v>
      </c>
      <c r="F15" s="132">
        <v>1.1419999999999999</v>
      </c>
      <c r="G15" s="133">
        <v>1.133</v>
      </c>
      <c r="H15" s="134">
        <v>1.1839999999999999</v>
      </c>
      <c r="I15" s="135">
        <v>1.171</v>
      </c>
      <c r="J15" s="135">
        <v>1.1539999999999999</v>
      </c>
      <c r="K15" s="135">
        <v>1.1479999999999999</v>
      </c>
      <c r="L15" s="136">
        <v>1.1479999999999999</v>
      </c>
      <c r="M15" s="123">
        <v>7.8979999999999997</v>
      </c>
      <c r="N15" s="123">
        <v>7.915</v>
      </c>
      <c r="O15" s="124">
        <v>1.379</v>
      </c>
      <c r="P15" s="124">
        <v>1.278</v>
      </c>
      <c r="Q15" s="124">
        <v>1.379</v>
      </c>
      <c r="R15" s="125">
        <v>1.5029999999999999</v>
      </c>
      <c r="S15" s="126">
        <v>27.32</v>
      </c>
      <c r="T15" s="126">
        <v>25.55</v>
      </c>
      <c r="U15" s="141">
        <v>151</v>
      </c>
      <c r="V15" s="128">
        <v>11.84</v>
      </c>
      <c r="W15" s="124">
        <v>0.50509999999999999</v>
      </c>
      <c r="X15" s="129">
        <v>36</v>
      </c>
      <c r="Y15" s="142"/>
      <c r="Z15" s="143"/>
      <c r="AA15" s="99"/>
      <c r="AB15" s="144"/>
      <c r="AC15" s="144"/>
      <c r="AD15" s="144"/>
      <c r="AE15" s="144"/>
      <c r="AF15" s="144"/>
      <c r="AG15" s="105"/>
      <c r="AH15" s="105"/>
      <c r="AI15" s="105"/>
      <c r="AJ15" s="105"/>
      <c r="AK15" s="105"/>
      <c r="AM15" s="106"/>
      <c r="AN15" s="106"/>
      <c r="AO15" s="106"/>
    </row>
    <row r="16" spans="2:58" ht="17.5" x14ac:dyDescent="0.45">
      <c r="B16" s="116">
        <v>9</v>
      </c>
      <c r="C16" s="131">
        <v>1.1870000000000001</v>
      </c>
      <c r="D16" s="132">
        <v>1.1739999999999999</v>
      </c>
      <c r="E16" s="132">
        <v>1.1579999999999999</v>
      </c>
      <c r="F16" s="132">
        <v>1.153</v>
      </c>
      <c r="G16" s="133">
        <v>1.145</v>
      </c>
      <c r="H16" s="134">
        <v>1.19</v>
      </c>
      <c r="I16" s="135">
        <v>1.179</v>
      </c>
      <c r="J16" s="135">
        <v>1.1639999999999999</v>
      </c>
      <c r="K16" s="135">
        <v>1.159</v>
      </c>
      <c r="L16" s="136">
        <v>1.159</v>
      </c>
      <c r="M16" s="123">
        <v>8.1049999999999986</v>
      </c>
      <c r="N16" s="123">
        <v>8.1229999999999993</v>
      </c>
      <c r="O16" s="124">
        <v>1.3939999999999999</v>
      </c>
      <c r="P16" s="124">
        <v>1.3109999999999999</v>
      </c>
      <c r="Q16" s="123">
        <v>1.3939999999999999</v>
      </c>
      <c r="R16" s="123">
        <v>1.534</v>
      </c>
      <c r="S16" s="126">
        <v>28.53</v>
      </c>
      <c r="T16" s="126">
        <v>27.12</v>
      </c>
      <c r="U16" s="127">
        <v>156</v>
      </c>
      <c r="V16" s="128">
        <v>11.9</v>
      </c>
      <c r="W16" s="124">
        <v>0.50700000000000001</v>
      </c>
      <c r="X16" s="129">
        <v>40</v>
      </c>
      <c r="Y16" s="142"/>
      <c r="Z16" s="143"/>
      <c r="AA16" s="99"/>
      <c r="AB16" s="144"/>
      <c r="AC16" s="144"/>
      <c r="AD16" s="144"/>
      <c r="AE16" s="144"/>
      <c r="AF16" s="144"/>
      <c r="AG16" s="105"/>
      <c r="AH16" s="105"/>
      <c r="AI16" s="105"/>
      <c r="AJ16" s="105"/>
      <c r="AK16" s="105"/>
      <c r="AM16" s="106"/>
      <c r="AN16" s="106"/>
      <c r="AO16" s="106"/>
    </row>
    <row r="17" spans="2:41" ht="17.5" x14ac:dyDescent="0.45">
      <c r="B17" s="116">
        <v>10</v>
      </c>
      <c r="C17" s="131">
        <v>1.1930000000000001</v>
      </c>
      <c r="D17" s="132">
        <v>1.1830000000000001</v>
      </c>
      <c r="E17" s="132">
        <v>1.169</v>
      </c>
      <c r="F17" s="132">
        <v>1.1639999999999999</v>
      </c>
      <c r="G17" s="133">
        <v>1.1559999999999999</v>
      </c>
      <c r="H17" s="134">
        <v>1.1970000000000001</v>
      </c>
      <c r="I17" s="135">
        <v>1.1870000000000001</v>
      </c>
      <c r="J17" s="135">
        <v>1.1739999999999999</v>
      </c>
      <c r="K17" s="135">
        <v>1.17</v>
      </c>
      <c r="L17" s="136">
        <v>1.17</v>
      </c>
      <c r="M17" s="123">
        <v>8.3230000000000004</v>
      </c>
      <c r="N17" s="123">
        <v>8.3410000000000011</v>
      </c>
      <c r="O17" s="124">
        <v>1.409</v>
      </c>
      <c r="P17" s="124">
        <v>1.345</v>
      </c>
      <c r="Q17" s="123">
        <v>1.409</v>
      </c>
      <c r="R17" s="123">
        <v>1.5649999999999999</v>
      </c>
      <c r="S17" s="126">
        <v>29.99</v>
      </c>
      <c r="T17" s="126">
        <v>28.75</v>
      </c>
      <c r="U17" s="127">
        <v>160</v>
      </c>
      <c r="V17" s="128">
        <v>11.95</v>
      </c>
      <c r="W17" s="124">
        <v>0.50900000000000001</v>
      </c>
      <c r="X17" s="129">
        <v>44</v>
      </c>
      <c r="Y17" s="142"/>
      <c r="Z17" s="143"/>
      <c r="AA17" s="99"/>
      <c r="AB17" s="144"/>
      <c r="AC17" s="144"/>
      <c r="AD17" s="144"/>
      <c r="AE17" s="144"/>
      <c r="AF17" s="144"/>
      <c r="AG17" s="105"/>
      <c r="AH17" s="105"/>
      <c r="AI17" s="105"/>
      <c r="AJ17" s="105"/>
      <c r="AK17" s="105"/>
      <c r="AM17" s="106"/>
      <c r="AN17" s="106"/>
      <c r="AO17" s="106"/>
    </row>
    <row r="18" spans="2:41" ht="17.5" x14ac:dyDescent="0.45">
      <c r="B18" s="116">
        <v>11</v>
      </c>
      <c r="C18" s="131">
        <v>1.2</v>
      </c>
      <c r="D18" s="132">
        <v>1.1910000000000001</v>
      </c>
      <c r="E18" s="132">
        <v>1.179</v>
      </c>
      <c r="F18" s="132">
        <v>1.175</v>
      </c>
      <c r="G18" s="133">
        <v>1.1679999999999999</v>
      </c>
      <c r="H18" s="134">
        <v>1.2030000000000001</v>
      </c>
      <c r="I18" s="135">
        <v>1.196</v>
      </c>
      <c r="J18" s="135">
        <v>1.1850000000000001</v>
      </c>
      <c r="K18" s="135">
        <v>1.181</v>
      </c>
      <c r="L18" s="136">
        <v>1.181</v>
      </c>
      <c r="M18" s="123">
        <v>8.5540000000000003</v>
      </c>
      <c r="N18" s="123">
        <v>8.572000000000001</v>
      </c>
      <c r="O18" s="124">
        <v>1.4239999999999999</v>
      </c>
      <c r="P18" s="124">
        <v>1.3779999999999999</v>
      </c>
      <c r="Q18" s="123">
        <v>1.4239999999999999</v>
      </c>
      <c r="R18" s="123">
        <v>1.5960000000000001</v>
      </c>
      <c r="S18" s="126">
        <v>31.28</v>
      </c>
      <c r="T18" s="126">
        <v>30.46</v>
      </c>
      <c r="U18" s="127">
        <v>164</v>
      </c>
      <c r="V18" s="128">
        <v>12.01</v>
      </c>
      <c r="W18" s="124">
        <v>0.51090000000000002</v>
      </c>
      <c r="X18" s="129">
        <v>48</v>
      </c>
      <c r="Y18" s="145"/>
      <c r="Z18" s="145"/>
      <c r="AA18" s="99"/>
      <c r="AB18" s="144"/>
      <c r="AC18" s="144"/>
      <c r="AD18" s="144"/>
      <c r="AE18" s="144"/>
      <c r="AF18" s="144"/>
      <c r="AG18" s="105"/>
      <c r="AH18" s="105"/>
      <c r="AI18" s="105"/>
      <c r="AJ18" s="105"/>
      <c r="AK18" s="105"/>
      <c r="AM18" s="106"/>
      <c r="AN18" s="106"/>
      <c r="AO18" s="106"/>
    </row>
    <row r="19" spans="2:41" ht="17.5" x14ac:dyDescent="0.45">
      <c r="B19" s="116">
        <v>12</v>
      </c>
      <c r="C19" s="131">
        <v>1.2070000000000001</v>
      </c>
      <c r="D19" s="132">
        <v>1.2</v>
      </c>
      <c r="E19" s="132">
        <v>1.1890000000000001</v>
      </c>
      <c r="F19" s="132">
        <v>1.1859999999999999</v>
      </c>
      <c r="G19" s="133">
        <v>1.18</v>
      </c>
      <c r="H19" s="134">
        <v>1.21</v>
      </c>
      <c r="I19" s="135">
        <v>1.204</v>
      </c>
      <c r="J19" s="135">
        <v>1.1950000000000001</v>
      </c>
      <c r="K19" s="135">
        <v>1.1919999999999999</v>
      </c>
      <c r="L19" s="136">
        <v>1.1919999999999999</v>
      </c>
      <c r="M19" s="123">
        <v>8.798</v>
      </c>
      <c r="N19" s="123">
        <v>8.8160000000000007</v>
      </c>
      <c r="O19" s="124">
        <v>1.4390000000000001</v>
      </c>
      <c r="P19" s="124">
        <v>1.413</v>
      </c>
      <c r="Q19" s="123">
        <v>1.44</v>
      </c>
      <c r="R19" s="123">
        <v>1.6279999999999999</v>
      </c>
      <c r="S19" s="126">
        <v>32.97</v>
      </c>
      <c r="T19" s="126">
        <v>32.229999999999997</v>
      </c>
      <c r="U19" s="127">
        <v>168</v>
      </c>
      <c r="V19" s="128">
        <v>12.06</v>
      </c>
      <c r="W19" s="124">
        <v>0.51280000000000003</v>
      </c>
      <c r="X19" s="129">
        <v>52</v>
      </c>
      <c r="Y19" s="145"/>
      <c r="Z19" s="145"/>
      <c r="AA19" s="99"/>
      <c r="AB19" s="144"/>
      <c r="AC19" s="105"/>
      <c r="AD19" s="105"/>
      <c r="AE19" s="105"/>
      <c r="AF19" s="105"/>
      <c r="AG19" s="105"/>
      <c r="AH19" s="105"/>
      <c r="AI19" s="105"/>
      <c r="AJ19" s="105"/>
      <c r="AK19" s="105"/>
      <c r="AM19" s="106"/>
      <c r="AN19" s="106"/>
      <c r="AO19" s="106"/>
    </row>
    <row r="20" spans="2:41" ht="17.5" x14ac:dyDescent="0.45">
      <c r="B20" s="116">
        <v>13</v>
      </c>
      <c r="C20" s="131">
        <v>1.2130000000000001</v>
      </c>
      <c r="D20" s="132">
        <v>1.208</v>
      </c>
      <c r="E20" s="132">
        <v>1.2</v>
      </c>
      <c r="F20" s="132">
        <v>1.1970000000000001</v>
      </c>
      <c r="G20" s="133">
        <v>1.1919999999999999</v>
      </c>
      <c r="H20" s="134">
        <v>1.216</v>
      </c>
      <c r="I20" s="135">
        <v>1.2130000000000001</v>
      </c>
      <c r="J20" s="135">
        <v>1.2050000000000001</v>
      </c>
      <c r="K20" s="135">
        <v>1.202</v>
      </c>
      <c r="L20" s="136">
        <v>1.202</v>
      </c>
      <c r="M20" s="123">
        <v>9.0559999999999992</v>
      </c>
      <c r="N20" s="123">
        <v>9.0739999999999998</v>
      </c>
      <c r="O20" s="124">
        <v>1.454</v>
      </c>
      <c r="P20" s="124">
        <v>1.446</v>
      </c>
      <c r="Q20" s="123">
        <v>1.454</v>
      </c>
      <c r="R20" s="123">
        <v>1.659</v>
      </c>
      <c r="S20" s="126">
        <v>34.42</v>
      </c>
      <c r="T20" s="126">
        <v>34.07</v>
      </c>
      <c r="U20" s="127">
        <v>172</v>
      </c>
      <c r="V20" s="128">
        <v>12.12</v>
      </c>
      <c r="W20" s="124">
        <v>0.51480000000000004</v>
      </c>
      <c r="X20" s="129">
        <v>56</v>
      </c>
      <c r="Y20" s="145"/>
      <c r="Z20" s="145"/>
      <c r="AA20" s="99"/>
      <c r="AB20" s="144"/>
      <c r="AC20" s="105"/>
      <c r="AD20" s="105"/>
      <c r="AE20" s="105"/>
      <c r="AF20" s="105"/>
      <c r="AG20" s="105"/>
      <c r="AH20" s="105"/>
      <c r="AI20" s="105"/>
      <c r="AJ20" s="105"/>
      <c r="AK20" s="105"/>
      <c r="AM20" s="106"/>
      <c r="AN20" s="106"/>
      <c r="AO20" s="106"/>
    </row>
    <row r="21" spans="2:41" ht="17.5" x14ac:dyDescent="0.45">
      <c r="B21" s="116">
        <v>14</v>
      </c>
      <c r="C21" s="131">
        <v>1.22</v>
      </c>
      <c r="D21" s="132">
        <v>1.2170000000000001</v>
      </c>
      <c r="E21" s="132">
        <v>1.21</v>
      </c>
      <c r="F21" s="132">
        <v>1.208</v>
      </c>
      <c r="G21" s="133">
        <v>1.2030000000000001</v>
      </c>
      <c r="H21" s="134">
        <v>1.2230000000000001</v>
      </c>
      <c r="I21" s="135">
        <v>1.2210000000000001</v>
      </c>
      <c r="J21" s="135">
        <v>1.2150000000000001</v>
      </c>
      <c r="K21" s="135">
        <v>1.2130000000000001</v>
      </c>
      <c r="L21" s="136">
        <v>1.2130000000000001</v>
      </c>
      <c r="M21" s="123">
        <v>9.33</v>
      </c>
      <c r="N21" s="123">
        <v>9.3490000000000002</v>
      </c>
      <c r="O21" s="124">
        <v>1.47</v>
      </c>
      <c r="P21" s="124">
        <v>1.4790000000000001</v>
      </c>
      <c r="Q21" s="123">
        <v>1.47</v>
      </c>
      <c r="R21" s="123">
        <v>1.69</v>
      </c>
      <c r="S21" s="126">
        <v>36.159999999999997</v>
      </c>
      <c r="T21" s="126">
        <v>35.979999999999997</v>
      </c>
      <c r="U21" s="127">
        <v>177</v>
      </c>
      <c r="V21" s="128">
        <v>12.17</v>
      </c>
      <c r="W21" s="124">
        <v>0.51670000000000005</v>
      </c>
      <c r="X21" s="129">
        <v>60</v>
      </c>
      <c r="Y21" s="145"/>
      <c r="Z21" s="145"/>
      <c r="AA21" s="99"/>
      <c r="AB21" s="144"/>
      <c r="AC21" s="105"/>
      <c r="AD21" s="105"/>
      <c r="AE21" s="105"/>
      <c r="AF21" s="105"/>
      <c r="AG21" s="105"/>
      <c r="AH21" s="105"/>
      <c r="AI21" s="105"/>
      <c r="AJ21" s="105"/>
      <c r="AK21" s="105"/>
      <c r="AM21" s="106"/>
      <c r="AN21" s="106"/>
      <c r="AO21" s="106"/>
    </row>
    <row r="22" spans="2:41" ht="17.5" x14ac:dyDescent="0.45">
      <c r="B22" s="116">
        <v>15</v>
      </c>
      <c r="C22" s="131">
        <v>1.226</v>
      </c>
      <c r="D22" s="132">
        <v>1.2250000000000001</v>
      </c>
      <c r="E22" s="132">
        <v>1.2210000000000001</v>
      </c>
      <c r="F22" s="132">
        <v>1.2190000000000001</v>
      </c>
      <c r="G22" s="133">
        <v>1.2150000000000001</v>
      </c>
      <c r="H22" s="134">
        <v>1.2290000000000001</v>
      </c>
      <c r="I22" s="135">
        <v>1.2290000000000001</v>
      </c>
      <c r="J22" s="135">
        <v>1.226</v>
      </c>
      <c r="K22" s="135">
        <v>1.224</v>
      </c>
      <c r="L22" s="136">
        <v>1.224</v>
      </c>
      <c r="M22" s="123">
        <v>9.6210000000000004</v>
      </c>
      <c r="N22" s="123">
        <v>9.6399999999999988</v>
      </c>
      <c r="O22" s="124">
        <v>1.484</v>
      </c>
      <c r="P22" s="124">
        <v>1.512</v>
      </c>
      <c r="Q22" s="123">
        <v>1.4850000000000001</v>
      </c>
      <c r="R22" s="123">
        <v>1.722</v>
      </c>
      <c r="S22" s="126">
        <v>37.72</v>
      </c>
      <c r="T22" s="126">
        <v>37.979999999999997</v>
      </c>
      <c r="U22" s="127">
        <v>181</v>
      </c>
      <c r="V22" s="128">
        <v>12.23</v>
      </c>
      <c r="W22" s="124">
        <v>0.51869999999999994</v>
      </c>
      <c r="X22" s="129">
        <v>64</v>
      </c>
      <c r="Y22" s="145"/>
      <c r="Z22" s="145"/>
      <c r="AA22" s="99"/>
      <c r="AB22" s="144"/>
      <c r="AC22" s="105"/>
      <c r="AD22" s="105"/>
      <c r="AE22" s="105"/>
      <c r="AF22" s="105"/>
      <c r="AG22" s="105"/>
      <c r="AH22" s="105"/>
      <c r="AI22" s="105"/>
      <c r="AJ22" s="105"/>
      <c r="AK22" s="105"/>
      <c r="AM22" s="106"/>
      <c r="AN22" s="106"/>
      <c r="AO22" s="106"/>
    </row>
    <row r="23" spans="2:41" ht="17.5" x14ac:dyDescent="0.45">
      <c r="B23" s="116">
        <v>16</v>
      </c>
      <c r="C23" s="146">
        <v>1.2330000000000001</v>
      </c>
      <c r="D23" s="147">
        <v>1.234</v>
      </c>
      <c r="E23" s="147">
        <v>1.2310000000000001</v>
      </c>
      <c r="F23" s="147">
        <v>1.2290000000000001</v>
      </c>
      <c r="G23" s="148">
        <v>1.2270000000000001</v>
      </c>
      <c r="H23" s="149">
        <v>1.2370000000000001</v>
      </c>
      <c r="I23" s="150">
        <v>1.2390000000000001</v>
      </c>
      <c r="J23" s="150">
        <v>1.238</v>
      </c>
      <c r="K23" s="150">
        <v>1.2370000000000001</v>
      </c>
      <c r="L23" s="151">
        <v>1.2370000000000001</v>
      </c>
      <c r="M23" s="152">
        <v>9.9429999999999996</v>
      </c>
      <c r="N23" s="152">
        <v>9.9619999999999997</v>
      </c>
      <c r="O23" s="125">
        <v>1.5009999999999999</v>
      </c>
      <c r="P23" s="153"/>
      <c r="Q23" s="152">
        <v>1.5009999999999999</v>
      </c>
      <c r="R23" s="154"/>
      <c r="S23" s="155">
        <v>40.049999999999997</v>
      </c>
      <c r="T23" s="155">
        <v>40.049999999999997</v>
      </c>
      <c r="U23" s="143"/>
      <c r="V23" s="128">
        <v>12.3</v>
      </c>
      <c r="W23" s="124">
        <v>0.52059999999999995</v>
      </c>
      <c r="X23" s="156"/>
      <c r="Y23" s="145"/>
      <c r="Z23" s="145"/>
      <c r="AA23" s="99"/>
      <c r="AB23" s="144"/>
      <c r="AC23" s="105"/>
      <c r="AD23" s="105"/>
      <c r="AE23" s="105"/>
      <c r="AF23" s="105"/>
      <c r="AG23" s="105"/>
      <c r="AH23" s="105"/>
      <c r="AI23" s="105"/>
      <c r="AJ23" s="105"/>
      <c r="AK23" s="105"/>
      <c r="AM23" s="106"/>
      <c r="AN23" s="106"/>
      <c r="AO23" s="106"/>
    </row>
    <row r="24" spans="2:41" ht="17.5" x14ac:dyDescent="0.45">
      <c r="B24" s="116">
        <v>17</v>
      </c>
      <c r="C24" s="131">
        <v>1.2390000000000001</v>
      </c>
      <c r="D24" s="132">
        <v>1.242</v>
      </c>
      <c r="E24" s="132">
        <v>1.2410000000000001</v>
      </c>
      <c r="F24" s="132">
        <v>1.2410000000000001</v>
      </c>
      <c r="G24" s="133">
        <v>1.2390000000000001</v>
      </c>
      <c r="H24" s="134">
        <v>1.2430000000000001</v>
      </c>
      <c r="I24" s="135">
        <v>1.248</v>
      </c>
      <c r="J24" s="135">
        <v>1.248</v>
      </c>
      <c r="K24" s="135">
        <v>1.248</v>
      </c>
      <c r="L24" s="136">
        <v>1.248</v>
      </c>
      <c r="M24" s="123">
        <v>10.27</v>
      </c>
      <c r="N24" s="123">
        <v>10.29</v>
      </c>
      <c r="O24" s="124">
        <v>1.516</v>
      </c>
      <c r="P24" s="153"/>
      <c r="Q24" s="123">
        <v>1.516</v>
      </c>
      <c r="R24" s="154"/>
      <c r="S24" s="126">
        <v>41.95</v>
      </c>
      <c r="T24" s="126">
        <v>42.22</v>
      </c>
      <c r="U24" s="143"/>
      <c r="V24" s="128">
        <v>12.36</v>
      </c>
      <c r="W24" s="124">
        <v>0.52260000000000006</v>
      </c>
      <c r="X24" s="145"/>
      <c r="Y24" s="145"/>
      <c r="Z24" s="145"/>
      <c r="AA24" s="99"/>
      <c r="AB24" s="144"/>
      <c r="AC24" s="105"/>
      <c r="AD24" s="105"/>
      <c r="AE24" s="105"/>
      <c r="AF24" s="105"/>
      <c r="AG24" s="105"/>
      <c r="AH24" s="105"/>
      <c r="AI24" s="105"/>
      <c r="AJ24" s="105"/>
      <c r="AK24" s="105"/>
      <c r="AM24" s="106"/>
      <c r="AN24" s="106"/>
      <c r="AO24" s="106"/>
    </row>
    <row r="25" spans="2:41" ht="17.5" x14ac:dyDescent="0.45">
      <c r="B25" s="116">
        <v>18</v>
      </c>
      <c r="C25" s="131">
        <v>1.246</v>
      </c>
      <c r="D25" s="132">
        <v>1.2509999999999999</v>
      </c>
      <c r="E25" s="132">
        <v>1.252</v>
      </c>
      <c r="F25" s="132">
        <v>1.2509999999999999</v>
      </c>
      <c r="G25" s="133">
        <v>1.25</v>
      </c>
      <c r="H25" s="134">
        <v>1.25</v>
      </c>
      <c r="I25" s="135">
        <v>1.256</v>
      </c>
      <c r="J25" s="135">
        <v>1.2589999999999999</v>
      </c>
      <c r="K25" s="135">
        <v>1.2589999999999999</v>
      </c>
      <c r="L25" s="136">
        <v>1.2589999999999999</v>
      </c>
      <c r="M25" s="123">
        <v>10.629999999999999</v>
      </c>
      <c r="N25" s="123">
        <v>10.65</v>
      </c>
      <c r="O25" s="124">
        <v>1.5309999999999999</v>
      </c>
      <c r="P25" s="153"/>
      <c r="Q25" s="123">
        <v>1.532</v>
      </c>
      <c r="R25" s="154"/>
      <c r="S25" s="126">
        <v>44.07</v>
      </c>
      <c r="T25" s="126">
        <v>44.47</v>
      </c>
      <c r="U25" s="143"/>
      <c r="V25" s="128">
        <v>12.42</v>
      </c>
      <c r="W25" s="124">
        <v>0.52449999999999997</v>
      </c>
      <c r="X25" s="145"/>
      <c r="Y25" s="145"/>
      <c r="Z25" s="145"/>
      <c r="AA25" s="99"/>
      <c r="AB25" s="144"/>
      <c r="AC25" s="105"/>
      <c r="AD25" s="105"/>
      <c r="AE25" s="105"/>
      <c r="AF25" s="105"/>
      <c r="AG25" s="105"/>
      <c r="AH25" s="105"/>
      <c r="AI25" s="105"/>
      <c r="AJ25" s="105"/>
      <c r="AK25" s="105"/>
      <c r="AM25" s="106"/>
      <c r="AN25" s="106"/>
      <c r="AO25" s="106"/>
    </row>
    <row r="26" spans="2:41" ht="17.5" x14ac:dyDescent="0.45">
      <c r="B26" s="116">
        <v>19</v>
      </c>
      <c r="C26" s="131">
        <v>1.2529999999999999</v>
      </c>
      <c r="D26" s="132">
        <v>1.2589999999999999</v>
      </c>
      <c r="E26" s="132">
        <v>1.262</v>
      </c>
      <c r="F26" s="132">
        <v>1.262</v>
      </c>
      <c r="G26" s="133">
        <v>1.262</v>
      </c>
      <c r="H26" s="134">
        <v>1.256</v>
      </c>
      <c r="I26" s="135">
        <v>1.264</v>
      </c>
      <c r="J26" s="135">
        <v>1.2689999999999999</v>
      </c>
      <c r="K26" s="135">
        <v>1.2689999999999999</v>
      </c>
      <c r="L26" s="136">
        <v>1.2689999999999999</v>
      </c>
      <c r="M26" s="123">
        <v>11.01</v>
      </c>
      <c r="N26" s="123">
        <v>11.03</v>
      </c>
      <c r="O26" s="124">
        <v>1.546</v>
      </c>
      <c r="P26" s="153"/>
      <c r="Q26" s="123">
        <v>1.546</v>
      </c>
      <c r="R26" s="154"/>
      <c r="S26" s="126">
        <v>46.19</v>
      </c>
      <c r="T26" s="126">
        <v>46.83</v>
      </c>
      <c r="U26" s="143"/>
      <c r="V26" s="128">
        <v>12.48</v>
      </c>
      <c r="W26" s="124">
        <v>0.52649999999999997</v>
      </c>
      <c r="X26" s="145"/>
      <c r="Y26" s="145"/>
      <c r="Z26" s="145"/>
      <c r="AA26" s="99"/>
      <c r="AB26" s="144"/>
      <c r="AC26" s="105"/>
      <c r="AD26" s="105"/>
      <c r="AE26" s="105"/>
      <c r="AF26" s="105"/>
      <c r="AG26" s="105"/>
      <c r="AH26" s="105"/>
      <c r="AI26" s="105"/>
      <c r="AJ26" s="105"/>
      <c r="AK26" s="105"/>
      <c r="AM26" s="106"/>
      <c r="AN26" s="106"/>
      <c r="AO26" s="106"/>
    </row>
    <row r="27" spans="2:41" ht="17.5" x14ac:dyDescent="0.45">
      <c r="B27" s="116">
        <v>20</v>
      </c>
      <c r="C27" s="131">
        <v>1.2589999999999999</v>
      </c>
      <c r="D27" s="132">
        <v>1.268</v>
      </c>
      <c r="E27" s="132">
        <v>1.2729999999999999</v>
      </c>
      <c r="F27" s="132">
        <v>1.2729999999999999</v>
      </c>
      <c r="G27" s="133">
        <v>1.274</v>
      </c>
      <c r="H27" s="134">
        <v>1.2629999999999999</v>
      </c>
      <c r="I27" s="135">
        <v>1.2729999999999999</v>
      </c>
      <c r="J27" s="135">
        <v>1.2789999999999999</v>
      </c>
      <c r="K27" s="135">
        <v>1.28</v>
      </c>
      <c r="L27" s="136">
        <v>1.28</v>
      </c>
      <c r="M27" s="123">
        <v>11.409999999999998</v>
      </c>
      <c r="N27" s="123">
        <v>11.430000000000001</v>
      </c>
      <c r="O27" s="124">
        <v>1.5609999999999999</v>
      </c>
      <c r="P27" s="153"/>
      <c r="Q27" s="123">
        <v>1.5620000000000001</v>
      </c>
      <c r="R27" s="154"/>
      <c r="S27" s="126">
        <v>48.54</v>
      </c>
      <c r="T27" s="126">
        <v>49.28</v>
      </c>
      <c r="U27" s="145"/>
      <c r="V27" s="128">
        <v>12.54</v>
      </c>
      <c r="W27" s="124">
        <v>0.52840000000000009</v>
      </c>
      <c r="X27" s="145"/>
      <c r="Y27" s="145"/>
      <c r="Z27" s="145"/>
      <c r="AA27" s="99"/>
      <c r="AB27" s="144"/>
      <c r="AC27" s="105"/>
      <c r="AD27" s="105"/>
      <c r="AE27" s="105"/>
      <c r="AF27" s="105"/>
      <c r="AG27" s="105"/>
      <c r="AH27" s="105"/>
      <c r="AI27" s="105"/>
      <c r="AJ27" s="105"/>
      <c r="AK27" s="105"/>
      <c r="AM27" s="106"/>
      <c r="AN27" s="106"/>
      <c r="AO27" s="106"/>
    </row>
    <row r="28" spans="2:41" ht="17.5" x14ac:dyDescent="0.45">
      <c r="B28" s="116">
        <v>21</v>
      </c>
      <c r="C28" s="131">
        <v>1.266</v>
      </c>
      <c r="D28" s="132">
        <v>1.276</v>
      </c>
      <c r="E28" s="132">
        <v>1.2829999999999999</v>
      </c>
      <c r="F28" s="132">
        <v>1.284</v>
      </c>
      <c r="G28" s="133">
        <v>1.286</v>
      </c>
      <c r="H28" s="134">
        <v>1.2689999999999999</v>
      </c>
      <c r="I28" s="135">
        <v>1.2809999999999999</v>
      </c>
      <c r="J28" s="135">
        <v>1.2889999999999999</v>
      </c>
      <c r="K28" s="135">
        <v>1.2909999999999999</v>
      </c>
      <c r="L28" s="136">
        <v>1.2909999999999999</v>
      </c>
      <c r="M28" s="123">
        <v>11.85</v>
      </c>
      <c r="N28" s="123">
        <v>11.87</v>
      </c>
      <c r="O28" s="124">
        <v>1.5760000000000001</v>
      </c>
      <c r="P28" s="153"/>
      <c r="Q28" s="123">
        <v>1.577</v>
      </c>
      <c r="R28" s="154"/>
      <c r="S28" s="126">
        <v>50.96</v>
      </c>
      <c r="T28" s="126">
        <v>51.85</v>
      </c>
      <c r="U28" s="145"/>
      <c r="V28" s="128">
        <v>12.6</v>
      </c>
      <c r="W28" s="124">
        <v>0.53029999999999999</v>
      </c>
      <c r="X28" s="145"/>
      <c r="Y28" s="145"/>
      <c r="Z28" s="145"/>
      <c r="AA28" s="99"/>
      <c r="AB28" s="144"/>
      <c r="AC28" s="105"/>
      <c r="AD28" s="105"/>
      <c r="AE28" s="105"/>
      <c r="AF28" s="105"/>
      <c r="AG28" s="105"/>
      <c r="AH28" s="105"/>
      <c r="AI28" s="105"/>
      <c r="AJ28" s="105"/>
      <c r="AK28" s="105"/>
      <c r="AM28" s="106"/>
      <c r="AN28" s="106"/>
      <c r="AO28" s="106"/>
    </row>
    <row r="29" spans="2:41" ht="17.5" x14ac:dyDescent="0.45">
      <c r="B29" s="116">
        <v>22</v>
      </c>
      <c r="C29" s="131">
        <v>1.272</v>
      </c>
      <c r="D29" s="132">
        <v>1.2849999999999999</v>
      </c>
      <c r="E29" s="132">
        <v>1.2929999999999999</v>
      </c>
      <c r="F29" s="132">
        <v>1.2949999999999999</v>
      </c>
      <c r="G29" s="133">
        <v>1.2969999999999999</v>
      </c>
      <c r="H29" s="134">
        <v>1.276</v>
      </c>
      <c r="I29" s="135">
        <v>1.29</v>
      </c>
      <c r="J29" s="135">
        <v>1.3</v>
      </c>
      <c r="K29" s="135">
        <v>1.302</v>
      </c>
      <c r="L29" s="136">
        <v>1.302</v>
      </c>
      <c r="M29" s="123">
        <v>12.33</v>
      </c>
      <c r="N29" s="123">
        <v>12.34</v>
      </c>
      <c r="O29" s="124">
        <v>1.5920000000000001</v>
      </c>
      <c r="P29" s="153"/>
      <c r="Q29" s="123">
        <v>1.5920000000000001</v>
      </c>
      <c r="R29" s="154"/>
      <c r="S29" s="126">
        <v>53.64</v>
      </c>
      <c r="T29" s="126">
        <v>54.53</v>
      </c>
      <c r="U29" s="145"/>
      <c r="V29" s="128">
        <v>12.66</v>
      </c>
      <c r="W29" s="124">
        <v>0.53239999999999998</v>
      </c>
      <c r="X29" s="145"/>
      <c r="Y29" s="145"/>
      <c r="Z29" s="145"/>
      <c r="AA29" s="99"/>
      <c r="AB29" s="144"/>
      <c r="AC29" s="105"/>
      <c r="AD29" s="105"/>
      <c r="AE29" s="105"/>
      <c r="AF29" s="105"/>
      <c r="AG29" s="105"/>
      <c r="AH29" s="105"/>
      <c r="AI29" s="105"/>
      <c r="AJ29" s="105"/>
      <c r="AK29" s="105"/>
      <c r="AM29" s="106"/>
      <c r="AN29" s="106"/>
      <c r="AO29" s="106"/>
    </row>
    <row r="30" spans="2:41" ht="17.5" x14ac:dyDescent="0.45">
      <c r="B30" s="116">
        <v>23</v>
      </c>
      <c r="C30" s="131">
        <v>1.2789999999999999</v>
      </c>
      <c r="D30" s="132">
        <v>1.2929999999999999</v>
      </c>
      <c r="E30" s="132">
        <v>1.304</v>
      </c>
      <c r="F30" s="132">
        <v>1.306</v>
      </c>
      <c r="G30" s="133">
        <v>1.3089999999999999</v>
      </c>
      <c r="H30" s="134">
        <v>1.282</v>
      </c>
      <c r="I30" s="135">
        <v>1.298</v>
      </c>
      <c r="J30" s="135">
        <v>1.31</v>
      </c>
      <c r="K30" s="135">
        <v>1.3129999999999999</v>
      </c>
      <c r="L30" s="136">
        <v>1.3129999999999999</v>
      </c>
      <c r="M30" s="123">
        <v>12.84</v>
      </c>
      <c r="N30" s="123">
        <v>12.860000000000001</v>
      </c>
      <c r="O30" s="124">
        <v>1.6060000000000001</v>
      </c>
      <c r="P30" s="153"/>
      <c r="Q30" s="123">
        <v>1.607</v>
      </c>
      <c r="R30" s="154"/>
      <c r="S30" s="126">
        <v>56.39</v>
      </c>
      <c r="T30" s="126">
        <v>57.34</v>
      </c>
      <c r="U30" s="145"/>
      <c r="V30" s="128">
        <v>12.72</v>
      </c>
      <c r="W30" s="124">
        <v>0.53439999999999999</v>
      </c>
      <c r="X30" s="145"/>
      <c r="Y30" s="145"/>
      <c r="Z30" s="145"/>
      <c r="AA30" s="99"/>
      <c r="AB30" s="144"/>
      <c r="AC30" s="105"/>
      <c r="AD30" s="105"/>
      <c r="AE30" s="105"/>
      <c r="AF30" s="105"/>
      <c r="AG30" s="105"/>
      <c r="AH30" s="105"/>
      <c r="AI30" s="105"/>
      <c r="AJ30" s="105"/>
      <c r="AK30" s="105"/>
      <c r="AM30" s="106"/>
      <c r="AN30" s="106"/>
      <c r="AO30" s="106"/>
    </row>
    <row r="31" spans="2:41" ht="17.5" x14ac:dyDescent="0.45">
      <c r="B31" s="116">
        <v>24</v>
      </c>
      <c r="C31" s="131">
        <v>1.2849999999999999</v>
      </c>
      <c r="D31" s="132">
        <v>1.302</v>
      </c>
      <c r="E31" s="132">
        <v>1.3140000000000001</v>
      </c>
      <c r="F31" s="132">
        <v>1.3169999999999999</v>
      </c>
      <c r="G31" s="133">
        <v>1.321</v>
      </c>
      <c r="H31" s="134">
        <v>1.2889999999999999</v>
      </c>
      <c r="I31" s="135">
        <v>1.306</v>
      </c>
      <c r="J31" s="135">
        <v>1.32</v>
      </c>
      <c r="K31" s="135">
        <v>1.323</v>
      </c>
      <c r="L31" s="136">
        <v>1.323</v>
      </c>
      <c r="M31" s="123">
        <v>13.39</v>
      </c>
      <c r="N31" s="123">
        <v>13.41</v>
      </c>
      <c r="O31" s="124">
        <v>1.6220000000000001</v>
      </c>
      <c r="P31" s="153"/>
      <c r="Q31" s="123">
        <v>1.623</v>
      </c>
      <c r="R31" s="154"/>
      <c r="S31" s="126">
        <v>59.41</v>
      </c>
      <c r="T31" s="126">
        <v>60.28</v>
      </c>
      <c r="U31" s="145"/>
      <c r="V31" s="128">
        <v>12.79</v>
      </c>
      <c r="W31" s="124">
        <v>0.5363</v>
      </c>
      <c r="X31" s="145"/>
      <c r="Y31" s="145"/>
      <c r="Z31" s="145"/>
      <c r="AA31" s="99"/>
      <c r="AB31" s="144"/>
      <c r="AC31" s="105"/>
      <c r="AD31" s="105"/>
      <c r="AE31" s="105"/>
      <c r="AF31" s="105"/>
      <c r="AG31" s="105"/>
      <c r="AH31" s="105"/>
      <c r="AI31" s="105"/>
      <c r="AJ31" s="105"/>
      <c r="AK31" s="105"/>
      <c r="AM31" s="106"/>
      <c r="AN31" s="106"/>
      <c r="AO31" s="106"/>
    </row>
    <row r="32" spans="2:41" ht="17.5" x14ac:dyDescent="0.45">
      <c r="B32" s="116">
        <v>25</v>
      </c>
      <c r="C32" s="131">
        <v>1.292</v>
      </c>
      <c r="D32" s="132">
        <v>1.31</v>
      </c>
      <c r="E32" s="132">
        <v>1.325</v>
      </c>
      <c r="F32" s="132">
        <v>1.3280000000000001</v>
      </c>
      <c r="G32" s="133">
        <v>1.333</v>
      </c>
      <c r="H32" s="134">
        <v>1.2949999999999999</v>
      </c>
      <c r="I32" s="135">
        <v>1.3149999999999999</v>
      </c>
      <c r="J32" s="135">
        <v>1.33</v>
      </c>
      <c r="K32" s="135">
        <v>1.3340000000000001</v>
      </c>
      <c r="L32" s="136">
        <v>1.3340000000000001</v>
      </c>
      <c r="M32" s="123">
        <v>14</v>
      </c>
      <c r="N32" s="123">
        <v>14.02</v>
      </c>
      <c r="O32" s="124">
        <v>1.637</v>
      </c>
      <c r="P32" s="153"/>
      <c r="Q32" s="123">
        <v>1.6379999999999999</v>
      </c>
      <c r="R32" s="154"/>
      <c r="S32" s="126">
        <v>62.67</v>
      </c>
      <c r="T32" s="126">
        <v>63.37</v>
      </c>
      <c r="U32" s="145"/>
      <c r="V32" s="128">
        <v>12.85</v>
      </c>
      <c r="W32" s="124">
        <v>0.5383</v>
      </c>
      <c r="X32" s="145"/>
      <c r="Y32" s="145"/>
      <c r="Z32" s="145"/>
      <c r="AA32" s="99"/>
      <c r="AB32" s="144"/>
      <c r="AC32" s="105"/>
      <c r="AD32" s="105"/>
      <c r="AE32" s="105"/>
      <c r="AF32" s="105"/>
      <c r="AG32" s="105"/>
      <c r="AH32" s="105"/>
      <c r="AI32" s="105"/>
      <c r="AJ32" s="105"/>
      <c r="AK32" s="105"/>
      <c r="AM32" s="106"/>
      <c r="AN32" s="106"/>
      <c r="AO32" s="106"/>
    </row>
    <row r="33" spans="2:41" ht="17.5" x14ac:dyDescent="0.45">
      <c r="B33" s="116">
        <v>26</v>
      </c>
      <c r="C33" s="131">
        <v>1.2989999999999999</v>
      </c>
      <c r="D33" s="132">
        <v>1.319</v>
      </c>
      <c r="E33" s="132">
        <v>1.335</v>
      </c>
      <c r="F33" s="132">
        <v>1.339</v>
      </c>
      <c r="G33" s="133">
        <v>1.3440000000000001</v>
      </c>
      <c r="H33" s="134">
        <v>1.302</v>
      </c>
      <c r="I33" s="135">
        <v>1.323</v>
      </c>
      <c r="J33" s="135">
        <v>1.34</v>
      </c>
      <c r="K33" s="135">
        <v>1.345</v>
      </c>
      <c r="L33" s="136">
        <v>1.345</v>
      </c>
      <c r="M33" s="123">
        <v>14.67</v>
      </c>
      <c r="N33" s="123">
        <v>14.68</v>
      </c>
      <c r="O33" s="124">
        <v>1.6519999999999999</v>
      </c>
      <c r="P33" s="153"/>
      <c r="Q33" s="123">
        <v>1.653</v>
      </c>
      <c r="R33" s="154"/>
      <c r="S33" s="126">
        <v>66.13</v>
      </c>
      <c r="T33" s="126">
        <v>66.64</v>
      </c>
      <c r="U33" s="145"/>
      <c r="V33" s="128">
        <v>12.91</v>
      </c>
      <c r="W33" s="124">
        <v>0.54020000000000001</v>
      </c>
      <c r="X33" s="145"/>
      <c r="Y33" s="145"/>
      <c r="Z33" s="145"/>
      <c r="AA33" s="99"/>
      <c r="AB33" s="144"/>
      <c r="AC33" s="105"/>
      <c r="AD33" s="105"/>
      <c r="AE33" s="105"/>
      <c r="AF33" s="105"/>
      <c r="AG33" s="105"/>
      <c r="AH33" s="105"/>
      <c r="AI33" s="105"/>
      <c r="AJ33" s="105"/>
      <c r="AK33" s="105"/>
      <c r="AM33" s="106"/>
      <c r="AN33" s="106"/>
      <c r="AO33" s="106"/>
    </row>
    <row r="34" spans="2:41" ht="17.5" x14ac:dyDescent="0.45">
      <c r="B34" s="116">
        <v>27</v>
      </c>
      <c r="C34" s="131">
        <v>1.3049999999999999</v>
      </c>
      <c r="D34" s="132">
        <v>1.327</v>
      </c>
      <c r="E34" s="132">
        <v>1.345</v>
      </c>
      <c r="F34" s="132">
        <v>1.35</v>
      </c>
      <c r="G34" s="133">
        <v>1.3560000000000001</v>
      </c>
      <c r="H34" s="134">
        <v>1.3080000000000001</v>
      </c>
      <c r="I34" s="135">
        <v>1.331</v>
      </c>
      <c r="J34" s="135">
        <v>1.351</v>
      </c>
      <c r="K34" s="135">
        <v>1.355</v>
      </c>
      <c r="L34" s="136">
        <v>1.355</v>
      </c>
      <c r="M34" s="123">
        <v>15.41</v>
      </c>
      <c r="N34" s="123">
        <v>15.41</v>
      </c>
      <c r="O34" s="124">
        <v>1.667</v>
      </c>
      <c r="P34" s="153"/>
      <c r="Q34" s="123">
        <v>1.6679999999999999</v>
      </c>
      <c r="R34" s="154"/>
      <c r="S34" s="126">
        <v>69.94</v>
      </c>
      <c r="T34" s="126">
        <v>70.11</v>
      </c>
      <c r="U34" s="145"/>
      <c r="V34" s="128">
        <v>12.98</v>
      </c>
      <c r="W34" s="124">
        <v>0.5421999999999999</v>
      </c>
      <c r="X34" s="145"/>
      <c r="Y34" s="145"/>
      <c r="Z34" s="145"/>
      <c r="AA34" s="99"/>
      <c r="AB34" s="144"/>
      <c r="AC34" s="105"/>
      <c r="AD34" s="105"/>
      <c r="AE34" s="105"/>
      <c r="AF34" s="105"/>
      <c r="AG34" s="105"/>
      <c r="AH34" s="105"/>
      <c r="AI34" s="105"/>
      <c r="AJ34" s="105"/>
      <c r="AK34" s="105"/>
      <c r="AM34" s="106"/>
      <c r="AN34" s="106"/>
      <c r="AO34" s="106"/>
    </row>
    <row r="35" spans="2:41" ht="17.5" x14ac:dyDescent="0.45">
      <c r="B35" s="116">
        <v>28</v>
      </c>
      <c r="C35" s="131">
        <v>1.3120000000000001</v>
      </c>
      <c r="D35" s="132">
        <v>1.3360000000000001</v>
      </c>
      <c r="E35" s="132">
        <v>1.3560000000000001</v>
      </c>
      <c r="F35" s="132">
        <v>1.361</v>
      </c>
      <c r="G35" s="133">
        <v>1.3680000000000001</v>
      </c>
      <c r="H35" s="134">
        <v>1.3149999999999999</v>
      </c>
      <c r="I35" s="135">
        <v>1.34</v>
      </c>
      <c r="J35" s="135">
        <v>1.361</v>
      </c>
      <c r="K35" s="135">
        <v>1.3660000000000001</v>
      </c>
      <c r="L35" s="136">
        <v>1.3660000000000001</v>
      </c>
      <c r="M35" s="123">
        <v>16.22</v>
      </c>
      <c r="N35" s="123">
        <v>16.22</v>
      </c>
      <c r="O35" s="124">
        <v>1.6830000000000001</v>
      </c>
      <c r="P35" s="153"/>
      <c r="Q35" s="123">
        <v>1.6839999999999999</v>
      </c>
      <c r="R35" s="154"/>
      <c r="S35" s="126">
        <v>73.97</v>
      </c>
      <c r="T35" s="126">
        <v>73.83</v>
      </c>
      <c r="U35" s="145"/>
      <c r="V35" s="128">
        <v>13.05</v>
      </c>
      <c r="W35" s="124">
        <v>0.54410000000000003</v>
      </c>
      <c r="X35" s="145"/>
      <c r="Y35" s="145"/>
      <c r="Z35" s="145"/>
      <c r="AA35" s="99"/>
      <c r="AB35" s="144"/>
      <c r="AC35" s="105"/>
      <c r="AD35" s="105"/>
      <c r="AE35" s="105"/>
      <c r="AF35" s="105"/>
      <c r="AG35" s="105"/>
      <c r="AH35" s="105"/>
      <c r="AI35" s="105"/>
      <c r="AJ35" s="105"/>
      <c r="AK35" s="105"/>
      <c r="AM35" s="106"/>
      <c r="AN35" s="106"/>
      <c r="AO35" s="106"/>
    </row>
    <row r="36" spans="2:41" ht="17.5" x14ac:dyDescent="0.45">
      <c r="B36" s="116">
        <v>29</v>
      </c>
      <c r="C36" s="131">
        <v>1.3180000000000001</v>
      </c>
      <c r="D36" s="132">
        <v>1.3440000000000001</v>
      </c>
      <c r="E36" s="132">
        <v>1.3660000000000001</v>
      </c>
      <c r="F36" s="132">
        <v>1.3720000000000001</v>
      </c>
      <c r="G36" s="133">
        <v>1.38</v>
      </c>
      <c r="H36" s="134">
        <v>1.321</v>
      </c>
      <c r="I36" s="135">
        <v>1.3480000000000001</v>
      </c>
      <c r="J36" s="135">
        <v>1.371</v>
      </c>
      <c r="K36" s="135">
        <v>1.377</v>
      </c>
      <c r="L36" s="136">
        <v>1.377</v>
      </c>
      <c r="M36" s="123">
        <v>17.119999999999997</v>
      </c>
      <c r="N36" s="123">
        <v>17.119999999999997</v>
      </c>
      <c r="O36" s="124">
        <v>1.6970000000000001</v>
      </c>
      <c r="P36" s="153"/>
      <c r="Q36" s="123">
        <v>1.6990000000000001</v>
      </c>
      <c r="R36" s="154"/>
      <c r="S36" s="126">
        <v>78.540000000000006</v>
      </c>
      <c r="T36" s="126">
        <v>77.819999999999993</v>
      </c>
      <c r="U36" s="145"/>
      <c r="V36" s="128">
        <v>13.11</v>
      </c>
      <c r="W36" s="124">
        <v>0.54610000000000003</v>
      </c>
      <c r="X36" s="145"/>
      <c r="Y36" s="145"/>
      <c r="Z36" s="145"/>
      <c r="AA36" s="99"/>
      <c r="AB36" s="144"/>
      <c r="AC36" s="105"/>
      <c r="AD36" s="105"/>
      <c r="AE36" s="105"/>
      <c r="AF36" s="105"/>
      <c r="AG36" s="105"/>
      <c r="AH36" s="105"/>
      <c r="AI36" s="105"/>
      <c r="AJ36" s="105"/>
      <c r="AK36" s="105"/>
      <c r="AM36" s="106"/>
      <c r="AN36" s="106"/>
      <c r="AO36" s="106"/>
    </row>
    <row r="37" spans="2:41" ht="17.5" x14ac:dyDescent="0.45">
      <c r="B37" s="116">
        <v>30</v>
      </c>
      <c r="C37" s="131">
        <v>1.325</v>
      </c>
      <c r="D37" s="132">
        <v>1.353</v>
      </c>
      <c r="E37" s="132">
        <v>1.377</v>
      </c>
      <c r="F37" s="132">
        <v>1.383</v>
      </c>
      <c r="G37" s="133">
        <v>1.391</v>
      </c>
      <c r="H37" s="134">
        <v>1.3280000000000001</v>
      </c>
      <c r="I37" s="135">
        <v>1.3560000000000001</v>
      </c>
      <c r="J37" s="135">
        <v>1.381</v>
      </c>
      <c r="K37" s="135">
        <v>1.3879999999999999</v>
      </c>
      <c r="L37" s="136">
        <v>1.3879999999999999</v>
      </c>
      <c r="M37" s="123">
        <v>18.130000000000003</v>
      </c>
      <c r="N37" s="123">
        <v>18.130000000000003</v>
      </c>
      <c r="O37" s="124">
        <v>1.7130000000000001</v>
      </c>
      <c r="P37" s="153"/>
      <c r="Q37" s="123">
        <v>1.714</v>
      </c>
      <c r="R37" s="154"/>
      <c r="S37" s="126">
        <v>83.59</v>
      </c>
      <c r="T37" s="126">
        <v>82.11</v>
      </c>
      <c r="U37" s="145"/>
      <c r="V37" s="128">
        <v>13.18</v>
      </c>
      <c r="W37" s="124">
        <v>0.54799999999999993</v>
      </c>
      <c r="X37" s="145"/>
      <c r="Y37" s="145"/>
      <c r="Z37" s="145"/>
      <c r="AA37" s="99"/>
      <c r="AB37" s="144"/>
      <c r="AC37" s="105"/>
      <c r="AD37" s="105"/>
      <c r="AE37" s="105"/>
      <c r="AF37" s="105"/>
      <c r="AG37" s="105"/>
      <c r="AH37" s="105"/>
      <c r="AI37" s="105"/>
      <c r="AJ37" s="105"/>
      <c r="AK37" s="105"/>
      <c r="AM37" s="106"/>
      <c r="AN37" s="106"/>
      <c r="AO37" s="106"/>
    </row>
    <row r="38" spans="2:41" ht="18" thickBot="1" x14ac:dyDescent="0.5">
      <c r="B38" s="116">
        <v>31</v>
      </c>
      <c r="C38" s="157">
        <v>1.331</v>
      </c>
      <c r="D38" s="158">
        <v>1.361</v>
      </c>
      <c r="E38" s="158">
        <v>1.387</v>
      </c>
      <c r="F38" s="158">
        <v>1.3939999999999999</v>
      </c>
      <c r="G38" s="159">
        <v>1.403</v>
      </c>
      <c r="H38" s="160">
        <v>1.3340000000000001</v>
      </c>
      <c r="I38" s="161">
        <v>1.365</v>
      </c>
      <c r="J38" s="162">
        <v>1.391</v>
      </c>
      <c r="K38" s="162">
        <v>1.3979999999999999</v>
      </c>
      <c r="L38" s="163">
        <v>1.3979999999999999</v>
      </c>
      <c r="M38" s="123">
        <v>19.27</v>
      </c>
      <c r="N38" s="123">
        <v>19.259999999999998</v>
      </c>
      <c r="O38" s="124">
        <v>1.728</v>
      </c>
      <c r="P38" s="153"/>
      <c r="Q38" s="123">
        <v>1.7290000000000001</v>
      </c>
      <c r="R38" s="154"/>
      <c r="S38" s="126">
        <v>89.17</v>
      </c>
      <c r="T38" s="126">
        <v>86.75</v>
      </c>
      <c r="U38" s="145"/>
      <c r="V38" s="128">
        <v>13.25</v>
      </c>
      <c r="W38" s="124">
        <v>0.55000000000000004</v>
      </c>
      <c r="X38" s="145"/>
      <c r="Y38" s="145"/>
      <c r="Z38" s="145"/>
      <c r="AA38" s="99"/>
      <c r="AB38" s="144"/>
      <c r="AC38" s="105"/>
      <c r="AD38" s="105"/>
      <c r="AE38" s="105"/>
      <c r="AF38" s="105"/>
      <c r="AG38" s="105"/>
      <c r="AH38" s="105"/>
      <c r="AI38" s="105"/>
      <c r="AJ38" s="105"/>
      <c r="AK38" s="105"/>
      <c r="AM38" s="106"/>
      <c r="AN38" s="106"/>
      <c r="AO38" s="106"/>
    </row>
    <row r="39" spans="2:41" ht="17.5" x14ac:dyDescent="0.45">
      <c r="B39" s="164">
        <v>32</v>
      </c>
      <c r="C39" s="165"/>
      <c r="D39" s="166"/>
      <c r="E39" s="166"/>
      <c r="F39" s="166"/>
      <c r="G39" s="166"/>
      <c r="H39" s="166"/>
      <c r="I39" s="166"/>
      <c r="J39" s="165"/>
      <c r="K39" s="165"/>
      <c r="L39" s="165"/>
      <c r="M39" s="167"/>
      <c r="N39" s="167"/>
      <c r="O39" s="168"/>
      <c r="P39" s="166"/>
      <c r="Q39" s="167"/>
      <c r="R39" s="167"/>
      <c r="S39" s="166"/>
      <c r="T39" s="166"/>
      <c r="U39" s="166"/>
      <c r="V39" s="128">
        <v>13.34</v>
      </c>
      <c r="W39" s="124">
        <v>0.55190000000000006</v>
      </c>
      <c r="X39" s="166"/>
      <c r="Y39" s="166"/>
      <c r="Z39" s="166"/>
      <c r="AA39" s="99"/>
      <c r="AB39" s="144"/>
      <c r="AC39" s="105"/>
      <c r="AD39" s="105"/>
      <c r="AE39" s="105"/>
      <c r="AF39" s="105"/>
      <c r="AG39" s="105"/>
      <c r="AH39" s="105"/>
      <c r="AI39" s="105"/>
      <c r="AJ39" s="105"/>
      <c r="AK39" s="105"/>
      <c r="AM39" s="106"/>
      <c r="AN39" s="106"/>
      <c r="AO39" s="106"/>
    </row>
    <row r="40" spans="2:41" ht="17.5" x14ac:dyDescent="0.45">
      <c r="B40" s="164">
        <v>33</v>
      </c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7"/>
      <c r="N40" s="167"/>
      <c r="O40" s="168"/>
      <c r="P40" s="166"/>
      <c r="Q40" s="167"/>
      <c r="R40" s="167"/>
      <c r="S40" s="166"/>
      <c r="T40" s="166"/>
      <c r="U40" s="166"/>
      <c r="V40" s="128">
        <v>13.41</v>
      </c>
      <c r="W40" s="124">
        <v>0.55380000000000007</v>
      </c>
      <c r="X40" s="166"/>
      <c r="Y40" s="166"/>
      <c r="Z40" s="166"/>
      <c r="AA40" s="99"/>
      <c r="AB40" s="144"/>
      <c r="AC40" s="105"/>
      <c r="AD40" s="105"/>
      <c r="AE40" s="105"/>
      <c r="AF40" s="105"/>
      <c r="AG40" s="105"/>
      <c r="AH40" s="105"/>
      <c r="AI40" s="105"/>
      <c r="AJ40" s="105"/>
      <c r="AK40" s="105"/>
      <c r="AM40" s="106"/>
      <c r="AN40" s="106"/>
      <c r="AO40" s="106"/>
    </row>
    <row r="41" spans="2:41" ht="17.5" x14ac:dyDescent="0.45">
      <c r="B41" s="164">
        <v>34</v>
      </c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7"/>
      <c r="N41" s="167"/>
      <c r="O41" s="168"/>
      <c r="P41" s="166"/>
      <c r="Q41" s="167"/>
      <c r="R41" s="167"/>
      <c r="S41" s="166"/>
      <c r="T41" s="166"/>
      <c r="U41" s="166"/>
      <c r="V41" s="128">
        <v>13.48</v>
      </c>
      <c r="W41" s="124">
        <v>0.55579999999999996</v>
      </c>
      <c r="X41" s="166"/>
      <c r="Y41" s="166"/>
      <c r="Z41" s="166"/>
      <c r="AA41" s="99"/>
      <c r="AB41" s="144"/>
      <c r="AC41" s="105"/>
      <c r="AD41" s="105"/>
      <c r="AE41" s="105"/>
      <c r="AF41" s="105"/>
      <c r="AG41" s="105"/>
      <c r="AH41" s="105"/>
      <c r="AI41" s="105"/>
      <c r="AJ41" s="105"/>
      <c r="AK41" s="105"/>
      <c r="AM41" s="106"/>
      <c r="AN41" s="106"/>
      <c r="AO41" s="106"/>
    </row>
    <row r="42" spans="2:41" ht="17.5" x14ac:dyDescent="0.45">
      <c r="B42" s="164">
        <v>35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7"/>
      <c r="N42" s="167"/>
      <c r="O42" s="168"/>
      <c r="P42" s="166"/>
      <c r="Q42" s="167"/>
      <c r="R42" s="167"/>
      <c r="S42" s="166"/>
      <c r="T42" s="166"/>
      <c r="U42" s="166"/>
      <c r="V42" s="128">
        <v>13.55</v>
      </c>
      <c r="W42" s="124">
        <v>0.55769999999999997</v>
      </c>
      <c r="X42" s="166"/>
      <c r="Y42" s="166"/>
      <c r="Z42" s="166"/>
      <c r="AA42" s="99"/>
      <c r="AB42" s="144"/>
      <c r="AC42" s="105"/>
      <c r="AD42" s="105"/>
      <c r="AE42" s="105"/>
      <c r="AF42" s="105"/>
      <c r="AG42" s="105"/>
      <c r="AH42" s="105"/>
      <c r="AI42" s="105"/>
      <c r="AJ42" s="105"/>
      <c r="AK42" s="105"/>
      <c r="AM42" s="106"/>
      <c r="AN42" s="106"/>
      <c r="AO42" s="106"/>
    </row>
    <row r="43" spans="2:41" ht="17.5" x14ac:dyDescent="0.45">
      <c r="B43" s="164">
        <v>36</v>
      </c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7"/>
      <c r="N43" s="167"/>
      <c r="O43" s="168"/>
      <c r="P43" s="166"/>
      <c r="Q43" s="167"/>
      <c r="R43" s="167"/>
      <c r="S43" s="166"/>
      <c r="T43" s="166"/>
      <c r="U43" s="166"/>
      <c r="V43" s="128">
        <v>13.62</v>
      </c>
      <c r="W43" s="124">
        <v>0.55969999999999998</v>
      </c>
      <c r="X43" s="166"/>
      <c r="Y43" s="166"/>
      <c r="Z43" s="166"/>
      <c r="AA43" s="99"/>
      <c r="AB43" s="144"/>
      <c r="AC43" s="105"/>
      <c r="AD43" s="105"/>
      <c r="AE43" s="105"/>
      <c r="AF43" s="105"/>
      <c r="AG43" s="105"/>
      <c r="AH43" s="105"/>
      <c r="AI43" s="105"/>
      <c r="AJ43" s="105"/>
      <c r="AK43" s="105"/>
      <c r="AM43" s="106"/>
      <c r="AN43" s="106"/>
      <c r="AO43" s="106"/>
    </row>
    <row r="44" spans="2:41" ht="17.5" x14ac:dyDescent="0.45">
      <c r="B44" s="164">
        <v>37</v>
      </c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7"/>
      <c r="N44" s="167"/>
      <c r="O44" s="168"/>
      <c r="P44" s="166"/>
      <c r="Q44" s="167"/>
      <c r="R44" s="167"/>
      <c r="S44" s="166"/>
      <c r="T44" s="166"/>
      <c r="U44" s="166"/>
      <c r="V44" s="128">
        <v>13.69</v>
      </c>
      <c r="W44" s="124">
        <v>0.56159999999999999</v>
      </c>
      <c r="X44" s="166"/>
      <c r="Y44" s="166"/>
      <c r="Z44" s="166"/>
      <c r="AA44" s="99"/>
      <c r="AB44" s="144"/>
      <c r="AC44" s="105"/>
      <c r="AD44" s="105"/>
      <c r="AE44" s="105"/>
      <c r="AF44" s="105"/>
      <c r="AG44" s="105"/>
      <c r="AH44" s="105"/>
      <c r="AI44" s="105"/>
      <c r="AJ44" s="105"/>
      <c r="AK44" s="105"/>
      <c r="AM44" s="106"/>
      <c r="AN44" s="106"/>
      <c r="AO44" s="106"/>
    </row>
    <row r="45" spans="2:41" ht="17.5" x14ac:dyDescent="0.45">
      <c r="B45" s="164">
        <v>38</v>
      </c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7"/>
      <c r="N45" s="167"/>
      <c r="O45" s="168"/>
      <c r="P45" s="166"/>
      <c r="Q45" s="167"/>
      <c r="R45" s="167"/>
      <c r="S45" s="166"/>
      <c r="T45" s="166"/>
      <c r="U45" s="166"/>
      <c r="V45" s="128">
        <v>13.76</v>
      </c>
      <c r="W45" s="124">
        <v>0.56369999999999998</v>
      </c>
      <c r="X45" s="166"/>
      <c r="Y45" s="166"/>
      <c r="Z45" s="166"/>
      <c r="AA45" s="99"/>
      <c r="AB45" s="144"/>
      <c r="AC45" s="105"/>
      <c r="AD45" s="105"/>
      <c r="AE45" s="105"/>
      <c r="AF45" s="105"/>
      <c r="AG45" s="105"/>
      <c r="AH45" s="105"/>
      <c r="AI45" s="105"/>
      <c r="AJ45" s="105"/>
      <c r="AK45" s="105"/>
      <c r="AM45" s="106"/>
      <c r="AN45" s="106"/>
      <c r="AO45" s="106"/>
    </row>
    <row r="46" spans="2:41" ht="17.5" x14ac:dyDescent="0.45">
      <c r="B46" s="164">
        <v>39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7"/>
      <c r="O46" s="168"/>
      <c r="P46" s="166"/>
      <c r="Q46" s="167"/>
      <c r="R46" s="167"/>
      <c r="S46" s="166"/>
      <c r="T46" s="166"/>
      <c r="U46" s="166"/>
      <c r="V46" s="128">
        <v>13.84</v>
      </c>
      <c r="W46" s="124">
        <v>0.56569999999999998</v>
      </c>
      <c r="X46" s="166"/>
      <c r="Y46" s="166"/>
      <c r="Z46" s="166"/>
      <c r="AA46" s="99"/>
      <c r="AB46" s="144"/>
      <c r="AC46" s="105"/>
      <c r="AD46" s="105"/>
      <c r="AE46" s="105"/>
      <c r="AF46" s="105"/>
      <c r="AG46" s="105"/>
      <c r="AH46" s="105"/>
      <c r="AI46" s="105"/>
      <c r="AJ46" s="105"/>
      <c r="AK46" s="105"/>
      <c r="AM46" s="106"/>
      <c r="AN46" s="106"/>
      <c r="AO46" s="106"/>
    </row>
    <row r="47" spans="2:41" ht="17.5" x14ac:dyDescent="0.45">
      <c r="B47" s="164">
        <v>40</v>
      </c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7"/>
      <c r="N47" s="167"/>
      <c r="O47" s="168"/>
      <c r="P47" s="166"/>
      <c r="Q47" s="167"/>
      <c r="R47" s="167"/>
      <c r="S47" s="166"/>
      <c r="T47" s="166"/>
      <c r="U47" s="166"/>
      <c r="V47" s="128">
        <v>13.91</v>
      </c>
      <c r="W47" s="124">
        <v>0.56759999999999999</v>
      </c>
      <c r="X47" s="166"/>
      <c r="Y47" s="166"/>
      <c r="Z47" s="166"/>
      <c r="AA47" s="99"/>
      <c r="AB47" s="144"/>
      <c r="AC47" s="105"/>
      <c r="AD47" s="105"/>
      <c r="AE47" s="105"/>
      <c r="AF47" s="105"/>
      <c r="AG47" s="105"/>
      <c r="AH47" s="105"/>
      <c r="AI47" s="105"/>
      <c r="AJ47" s="105"/>
      <c r="AK47" s="105"/>
      <c r="AM47" s="106"/>
      <c r="AN47" s="106"/>
      <c r="AO47" s="106"/>
    </row>
    <row r="48" spans="2:41" ht="17.5" x14ac:dyDescent="0.45">
      <c r="B48" s="164">
        <v>41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7"/>
      <c r="O48" s="168"/>
      <c r="P48" s="166"/>
      <c r="Q48" s="167"/>
      <c r="R48" s="167"/>
      <c r="S48" s="166"/>
      <c r="T48" s="166"/>
      <c r="U48" s="166"/>
      <c r="V48" s="128">
        <v>13.99</v>
      </c>
      <c r="W48" s="124">
        <v>0.5696</v>
      </c>
      <c r="X48" s="166"/>
      <c r="Y48" s="166"/>
      <c r="Z48" s="166"/>
      <c r="AA48" s="99"/>
      <c r="AB48" s="144"/>
      <c r="AC48" s="105"/>
      <c r="AD48" s="105"/>
      <c r="AE48" s="105"/>
      <c r="AF48" s="105"/>
      <c r="AG48" s="105"/>
      <c r="AH48" s="105"/>
      <c r="AI48" s="105"/>
      <c r="AJ48" s="105"/>
      <c r="AK48" s="105"/>
      <c r="AM48" s="106"/>
      <c r="AN48" s="106"/>
      <c r="AO48" s="106"/>
    </row>
    <row r="49" spans="2:41" ht="17.5" x14ac:dyDescent="0.45">
      <c r="B49" s="164">
        <v>42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7"/>
      <c r="N49" s="167"/>
      <c r="O49" s="168"/>
      <c r="P49" s="166"/>
      <c r="Q49" s="167"/>
      <c r="R49" s="167"/>
      <c r="S49" s="166"/>
      <c r="T49" s="166"/>
      <c r="U49" s="166"/>
      <c r="V49" s="128">
        <v>14.06</v>
      </c>
      <c r="W49" s="124">
        <v>0.57150000000000001</v>
      </c>
      <c r="X49" s="166"/>
      <c r="Y49" s="166"/>
      <c r="Z49" s="166"/>
      <c r="AA49" s="99"/>
      <c r="AB49" s="144"/>
      <c r="AC49" s="105"/>
      <c r="AD49" s="105"/>
      <c r="AE49" s="105"/>
      <c r="AF49" s="105"/>
      <c r="AG49" s="105"/>
      <c r="AH49" s="105"/>
      <c r="AI49" s="105"/>
      <c r="AJ49" s="105"/>
      <c r="AK49" s="105"/>
      <c r="AM49" s="106"/>
      <c r="AN49" s="106"/>
      <c r="AO49" s="106"/>
    </row>
    <row r="50" spans="2:41" ht="17.5" x14ac:dyDescent="0.45">
      <c r="B50" s="164">
        <v>43</v>
      </c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7"/>
      <c r="N50" s="167"/>
      <c r="O50" s="168"/>
      <c r="P50" s="166"/>
      <c r="Q50" s="167"/>
      <c r="R50" s="167"/>
      <c r="S50" s="166"/>
      <c r="T50" s="166"/>
      <c r="U50" s="166"/>
      <c r="V50" s="128">
        <v>14.14</v>
      </c>
      <c r="W50" s="124">
        <v>0.57339999999999991</v>
      </c>
      <c r="X50" s="166"/>
      <c r="Y50" s="166"/>
      <c r="Z50" s="166"/>
      <c r="AA50" s="99"/>
      <c r="AB50" s="144"/>
      <c r="AC50" s="105"/>
      <c r="AD50" s="105"/>
      <c r="AE50" s="105"/>
      <c r="AF50" s="105"/>
      <c r="AG50" s="105"/>
      <c r="AH50" s="105"/>
      <c r="AI50" s="105"/>
      <c r="AJ50" s="105"/>
      <c r="AK50" s="105"/>
      <c r="AM50" s="106"/>
      <c r="AN50" s="106"/>
      <c r="AO50" s="106"/>
    </row>
    <row r="51" spans="2:41" ht="17.5" x14ac:dyDescent="0.45">
      <c r="B51" s="164">
        <v>44</v>
      </c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7"/>
      <c r="N51" s="167"/>
      <c r="O51" s="168"/>
      <c r="P51" s="166"/>
      <c r="Q51" s="167"/>
      <c r="R51" s="167"/>
      <c r="S51" s="166"/>
      <c r="T51" s="166"/>
      <c r="U51" s="166"/>
      <c r="V51" s="128">
        <v>14.22</v>
      </c>
      <c r="W51" s="124">
        <v>0.57540000000000002</v>
      </c>
      <c r="X51" s="166"/>
      <c r="Y51" s="166"/>
      <c r="Z51" s="166"/>
      <c r="AA51" s="99"/>
      <c r="AB51" s="144"/>
      <c r="AC51" s="105"/>
      <c r="AD51" s="105"/>
      <c r="AE51" s="105"/>
      <c r="AF51" s="105"/>
      <c r="AG51" s="105"/>
      <c r="AH51" s="105"/>
      <c r="AI51" s="105"/>
      <c r="AJ51" s="105"/>
      <c r="AK51" s="105"/>
      <c r="AM51" s="106"/>
      <c r="AN51" s="106"/>
      <c r="AO51" s="106"/>
    </row>
    <row r="52" spans="2:41" ht="17.5" x14ac:dyDescent="0.45">
      <c r="B52" s="164">
        <v>45</v>
      </c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7"/>
      <c r="N52" s="167"/>
      <c r="O52" s="168"/>
      <c r="P52" s="166"/>
      <c r="Q52" s="167"/>
      <c r="R52" s="167"/>
      <c r="S52" s="166"/>
      <c r="T52" s="166"/>
      <c r="U52" s="166"/>
      <c r="V52" s="128">
        <v>14.3</v>
      </c>
      <c r="W52" s="124">
        <v>0.57730000000000004</v>
      </c>
      <c r="X52" s="166"/>
      <c r="Y52" s="166"/>
      <c r="Z52" s="166"/>
      <c r="AA52" s="99"/>
      <c r="AB52" s="144"/>
      <c r="AC52" s="144"/>
      <c r="AD52" s="144"/>
      <c r="AE52" s="144"/>
      <c r="AF52" s="144"/>
      <c r="AG52" s="105"/>
      <c r="AH52" s="105"/>
      <c r="AI52" s="105"/>
      <c r="AJ52" s="105"/>
      <c r="AK52" s="105"/>
      <c r="AM52" s="106"/>
      <c r="AN52" s="106"/>
      <c r="AO52" s="106"/>
    </row>
    <row r="53" spans="2:41" ht="17.5" x14ac:dyDescent="0.45">
      <c r="B53" s="164">
        <v>46</v>
      </c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7"/>
      <c r="N53" s="167"/>
      <c r="O53" s="168"/>
      <c r="P53" s="166"/>
      <c r="Q53" s="167"/>
      <c r="R53" s="167"/>
      <c r="S53" s="166"/>
      <c r="T53" s="166"/>
      <c r="U53" s="166"/>
      <c r="V53" s="128">
        <v>14.38</v>
      </c>
      <c r="W53" s="124">
        <v>0.57930000000000004</v>
      </c>
      <c r="X53" s="166"/>
      <c r="Y53" s="166"/>
      <c r="Z53" s="166"/>
      <c r="AA53" s="99"/>
      <c r="AB53" s="144"/>
      <c r="AC53" s="144"/>
      <c r="AD53" s="144"/>
      <c r="AE53" s="144"/>
      <c r="AF53" s="144"/>
      <c r="AG53" s="105"/>
      <c r="AH53" s="105"/>
      <c r="AI53" s="105"/>
      <c r="AJ53" s="105"/>
      <c r="AK53" s="105"/>
      <c r="AM53" s="106"/>
      <c r="AN53" s="106"/>
      <c r="AO53" s="106"/>
    </row>
    <row r="54" spans="2:41" ht="17.5" x14ac:dyDescent="0.45">
      <c r="B54" s="164">
        <v>47</v>
      </c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7"/>
      <c r="N54" s="167"/>
      <c r="O54" s="168"/>
      <c r="P54" s="166"/>
      <c r="Q54" s="167"/>
      <c r="R54" s="167"/>
      <c r="S54" s="166"/>
      <c r="T54" s="166"/>
      <c r="U54" s="166"/>
      <c r="V54" s="128">
        <v>14.46</v>
      </c>
      <c r="W54" s="124">
        <v>0.58120000000000005</v>
      </c>
      <c r="X54" s="166"/>
      <c r="Y54" s="166"/>
      <c r="Z54" s="166"/>
      <c r="AA54" s="99"/>
      <c r="AB54" s="144"/>
      <c r="AC54" s="144"/>
      <c r="AD54" s="144"/>
      <c r="AE54" s="144"/>
      <c r="AF54" s="144"/>
      <c r="AG54" s="105"/>
      <c r="AH54" s="105"/>
      <c r="AI54" s="105"/>
      <c r="AJ54" s="105"/>
      <c r="AK54" s="105"/>
      <c r="AM54" s="106"/>
      <c r="AN54" s="106"/>
      <c r="AO54" s="106"/>
    </row>
    <row r="55" spans="2:41" ht="17.5" x14ac:dyDescent="0.45">
      <c r="B55" s="164">
        <v>48</v>
      </c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7"/>
      <c r="N55" s="167"/>
      <c r="O55" s="168"/>
      <c r="P55" s="166"/>
      <c r="Q55" s="167"/>
      <c r="R55" s="167"/>
      <c r="S55" s="166"/>
      <c r="T55" s="166"/>
      <c r="U55" s="166"/>
      <c r="V55" s="128">
        <v>14.55</v>
      </c>
      <c r="W55" s="124">
        <v>0.58319999999999994</v>
      </c>
      <c r="X55" s="166"/>
      <c r="Y55" s="166"/>
      <c r="Z55" s="166"/>
      <c r="AA55" s="99"/>
      <c r="AB55" s="144"/>
      <c r="AC55" s="144"/>
      <c r="AD55" s="144"/>
      <c r="AE55" s="144"/>
      <c r="AF55" s="144"/>
      <c r="AG55" s="105"/>
      <c r="AH55" s="105"/>
      <c r="AI55" s="105"/>
      <c r="AJ55" s="105"/>
      <c r="AK55" s="105"/>
      <c r="AM55" s="106"/>
      <c r="AN55" s="106"/>
      <c r="AO55" s="106"/>
    </row>
    <row r="56" spans="2:41" ht="17.5" x14ac:dyDescent="0.45">
      <c r="B56" s="164">
        <v>49</v>
      </c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7"/>
      <c r="N56" s="167"/>
      <c r="O56" s="168"/>
      <c r="P56" s="166"/>
      <c r="Q56" s="167"/>
      <c r="R56" s="167"/>
      <c r="S56" s="166"/>
      <c r="T56" s="166"/>
      <c r="U56" s="166"/>
      <c r="V56" s="128">
        <v>14.64</v>
      </c>
      <c r="W56" s="124">
        <v>0.58509999999999995</v>
      </c>
      <c r="X56" s="166"/>
      <c r="Y56" s="166"/>
      <c r="Z56" s="166"/>
      <c r="AA56" s="99"/>
      <c r="AB56" s="144"/>
      <c r="AC56" s="144"/>
      <c r="AD56" s="144"/>
      <c r="AE56" s="144"/>
      <c r="AF56" s="144"/>
      <c r="AG56" s="105"/>
      <c r="AH56" s="105"/>
      <c r="AI56" s="105"/>
      <c r="AJ56" s="105"/>
      <c r="AK56" s="105"/>
      <c r="AM56" s="106"/>
      <c r="AN56" s="106"/>
      <c r="AO56" s="106"/>
    </row>
    <row r="57" spans="2:41" ht="17.5" x14ac:dyDescent="0.45">
      <c r="B57" s="164">
        <v>50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7"/>
      <c r="O57" s="168"/>
      <c r="P57" s="166"/>
      <c r="Q57" s="167"/>
      <c r="R57" s="167"/>
      <c r="S57" s="166"/>
      <c r="T57" s="166"/>
      <c r="U57" s="166"/>
      <c r="V57" s="128">
        <v>14.72</v>
      </c>
      <c r="W57" s="124">
        <v>0.58710000000000007</v>
      </c>
      <c r="X57" s="166"/>
      <c r="Y57" s="166"/>
      <c r="Z57" s="166"/>
      <c r="AA57" s="99"/>
      <c r="AB57" s="144"/>
      <c r="AC57" s="144"/>
      <c r="AD57" s="144"/>
      <c r="AE57" s="144"/>
      <c r="AF57" s="144"/>
      <c r="AG57" s="105"/>
      <c r="AH57" s="105"/>
      <c r="AI57" s="105"/>
      <c r="AJ57" s="105"/>
      <c r="AK57" s="105"/>
      <c r="AM57" s="106"/>
      <c r="AN57" s="106"/>
      <c r="AO57" s="106"/>
    </row>
    <row r="58" spans="2:41" ht="17.5" x14ac:dyDescent="0.45">
      <c r="B58" s="164">
        <v>51</v>
      </c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7"/>
      <c r="N58" s="167"/>
      <c r="O58" s="168"/>
      <c r="P58" s="166"/>
      <c r="Q58" s="167"/>
      <c r="R58" s="167"/>
      <c r="S58" s="166"/>
      <c r="T58" s="166"/>
      <c r="U58" s="166"/>
      <c r="V58" s="128">
        <v>14.8</v>
      </c>
      <c r="W58" s="124">
        <v>0.58899999999999997</v>
      </c>
      <c r="X58" s="166"/>
      <c r="Y58" s="166"/>
      <c r="Z58" s="166"/>
      <c r="AA58" s="99"/>
      <c r="AB58" s="144"/>
      <c r="AC58" s="144"/>
      <c r="AD58" s="144"/>
      <c r="AE58" s="144"/>
      <c r="AF58" s="144"/>
      <c r="AG58" s="105"/>
      <c r="AH58" s="105"/>
      <c r="AI58" s="105"/>
      <c r="AJ58" s="105"/>
      <c r="AK58" s="105"/>
      <c r="AM58" s="106"/>
      <c r="AN58" s="106"/>
      <c r="AO58" s="106"/>
    </row>
    <row r="59" spans="2:41" ht="17.5" x14ac:dyDescent="0.45">
      <c r="B59" s="164">
        <v>52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7"/>
      <c r="O59" s="168"/>
      <c r="P59" s="166"/>
      <c r="Q59" s="167"/>
      <c r="R59" s="167"/>
      <c r="S59" s="166"/>
      <c r="T59" s="166"/>
      <c r="U59" s="166"/>
      <c r="V59" s="128">
        <v>14.89</v>
      </c>
      <c r="W59" s="124">
        <v>0.59100000000000008</v>
      </c>
      <c r="X59" s="166"/>
      <c r="Y59" s="166"/>
      <c r="Z59" s="166"/>
      <c r="AA59" s="99"/>
      <c r="AB59" s="144"/>
      <c r="AC59" s="144"/>
      <c r="AD59" s="144"/>
      <c r="AE59" s="144"/>
      <c r="AF59" s="144"/>
      <c r="AG59" s="105"/>
      <c r="AH59" s="105"/>
      <c r="AI59" s="105"/>
      <c r="AJ59" s="105"/>
      <c r="AK59" s="105"/>
      <c r="AM59" s="106"/>
      <c r="AN59" s="106"/>
      <c r="AO59" s="106"/>
    </row>
    <row r="60" spans="2:41" ht="17.5" x14ac:dyDescent="0.45">
      <c r="B60" s="164">
        <v>53</v>
      </c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7"/>
      <c r="N60" s="167"/>
      <c r="O60" s="168"/>
      <c r="P60" s="166"/>
      <c r="Q60" s="167"/>
      <c r="R60" s="167"/>
      <c r="S60" s="166"/>
      <c r="T60" s="166"/>
      <c r="U60" s="166"/>
      <c r="V60" s="128">
        <v>14.98</v>
      </c>
      <c r="W60" s="124">
        <v>0.59290000000000009</v>
      </c>
      <c r="X60" s="166"/>
      <c r="Y60" s="166"/>
      <c r="Z60" s="166"/>
      <c r="AA60" s="99"/>
      <c r="AB60" s="144"/>
      <c r="AC60" s="144"/>
      <c r="AD60" s="144"/>
      <c r="AE60" s="144"/>
      <c r="AF60" s="144"/>
      <c r="AG60" s="105"/>
      <c r="AH60" s="105"/>
      <c r="AI60" s="105"/>
      <c r="AJ60" s="105"/>
      <c r="AK60" s="105"/>
      <c r="AM60" s="106"/>
      <c r="AN60" s="106"/>
      <c r="AO60" s="106"/>
    </row>
    <row r="61" spans="2:41" ht="17.5" x14ac:dyDescent="0.45">
      <c r="B61" s="164">
        <v>54</v>
      </c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7"/>
      <c r="N61" s="167"/>
      <c r="O61" s="168"/>
      <c r="P61" s="166"/>
      <c r="Q61" s="167"/>
      <c r="R61" s="167"/>
      <c r="S61" s="166"/>
      <c r="T61" s="166"/>
      <c r="U61" s="166"/>
      <c r="V61" s="128">
        <v>15.06</v>
      </c>
      <c r="W61" s="124">
        <v>0.59500000000000008</v>
      </c>
      <c r="X61" s="166"/>
      <c r="Y61" s="166"/>
      <c r="Z61" s="166"/>
      <c r="AA61" s="99"/>
      <c r="AB61" s="144"/>
      <c r="AC61" s="144"/>
      <c r="AD61" s="144"/>
      <c r="AE61" s="144"/>
      <c r="AF61" s="144"/>
      <c r="AG61" s="105"/>
      <c r="AH61" s="105"/>
      <c r="AI61" s="105"/>
      <c r="AJ61" s="105"/>
      <c r="AK61" s="105"/>
      <c r="AM61" s="106"/>
      <c r="AN61" s="106"/>
      <c r="AO61" s="106"/>
    </row>
    <row r="62" spans="2:41" ht="17.5" x14ac:dyDescent="0.45">
      <c r="B62" s="164">
        <v>55</v>
      </c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7"/>
      <c r="N62" s="167"/>
      <c r="O62" s="168"/>
      <c r="P62" s="166"/>
      <c r="Q62" s="167"/>
      <c r="R62" s="167"/>
      <c r="S62" s="166"/>
      <c r="T62" s="166"/>
      <c r="U62" s="166"/>
      <c r="V62" s="128">
        <v>15.15</v>
      </c>
      <c r="W62" s="124">
        <v>0.59689999999999999</v>
      </c>
      <c r="X62" s="166"/>
      <c r="Y62" s="166"/>
      <c r="Z62" s="166"/>
      <c r="AA62" s="99"/>
      <c r="AB62" s="144"/>
      <c r="AC62" s="144"/>
      <c r="AD62" s="144"/>
      <c r="AE62" s="144"/>
      <c r="AF62" s="144"/>
      <c r="AG62" s="105"/>
      <c r="AH62" s="105"/>
      <c r="AI62" s="105"/>
      <c r="AJ62" s="105"/>
      <c r="AK62" s="105"/>
      <c r="AM62" s="106"/>
      <c r="AN62" s="106"/>
      <c r="AO62" s="106"/>
    </row>
    <row r="63" spans="2:41" ht="17.5" x14ac:dyDescent="0.45">
      <c r="B63" s="164">
        <v>56</v>
      </c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7"/>
      <c r="N63" s="167"/>
      <c r="O63" s="168"/>
      <c r="P63" s="166"/>
      <c r="Q63" s="167"/>
      <c r="R63" s="167"/>
      <c r="S63" s="166"/>
      <c r="T63" s="166"/>
      <c r="U63" s="166"/>
      <c r="V63" s="128">
        <v>15.24</v>
      </c>
      <c r="W63" s="124">
        <v>0.59889999999999999</v>
      </c>
      <c r="X63" s="166"/>
      <c r="Y63" s="166"/>
      <c r="Z63" s="166"/>
      <c r="AA63" s="99"/>
      <c r="AB63" s="144"/>
      <c r="AC63" s="144"/>
      <c r="AD63" s="144"/>
      <c r="AE63" s="144"/>
      <c r="AF63" s="144"/>
      <c r="AG63" s="105"/>
      <c r="AH63" s="105"/>
      <c r="AI63" s="105"/>
      <c r="AJ63" s="105"/>
      <c r="AK63" s="105"/>
      <c r="AM63" s="106"/>
      <c r="AN63" s="106"/>
      <c r="AO63" s="106"/>
    </row>
    <row r="64" spans="2:41" ht="17.5" x14ac:dyDescent="0.45">
      <c r="B64" s="164">
        <v>57</v>
      </c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7"/>
      <c r="N64" s="167"/>
      <c r="O64" s="168"/>
      <c r="P64" s="166"/>
      <c r="Q64" s="167"/>
      <c r="R64" s="167"/>
      <c r="S64" s="166"/>
      <c r="T64" s="166"/>
      <c r="U64" s="166"/>
      <c r="V64" s="128">
        <v>15.33</v>
      </c>
      <c r="W64" s="124">
        <v>0.6008</v>
      </c>
      <c r="X64" s="166"/>
      <c r="Y64" s="166"/>
      <c r="Z64" s="166"/>
      <c r="AA64" s="99"/>
      <c r="AB64" s="144"/>
      <c r="AC64" s="144"/>
      <c r="AD64" s="144"/>
      <c r="AE64" s="144"/>
      <c r="AF64" s="144"/>
      <c r="AG64" s="105"/>
      <c r="AH64" s="105"/>
      <c r="AI64" s="105"/>
      <c r="AJ64" s="105"/>
      <c r="AK64" s="105"/>
      <c r="AM64" s="106"/>
      <c r="AN64" s="106"/>
      <c r="AO64" s="106"/>
    </row>
    <row r="65" spans="2:41" ht="17.5" x14ac:dyDescent="0.45">
      <c r="B65" s="164">
        <v>58</v>
      </c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7"/>
      <c r="N65" s="167"/>
      <c r="O65" s="168"/>
      <c r="P65" s="166"/>
      <c r="Q65" s="167"/>
      <c r="R65" s="167"/>
      <c r="S65" s="166"/>
      <c r="T65" s="166"/>
      <c r="U65" s="166"/>
      <c r="V65" s="128">
        <v>15.42</v>
      </c>
      <c r="W65" s="124">
        <v>0.6028</v>
      </c>
      <c r="X65" s="166"/>
      <c r="Y65" s="166"/>
      <c r="Z65" s="166"/>
      <c r="AA65" s="99"/>
      <c r="AB65" s="144"/>
      <c r="AC65" s="144"/>
      <c r="AD65" s="144"/>
      <c r="AE65" s="144"/>
      <c r="AF65" s="144"/>
      <c r="AG65" s="105"/>
      <c r="AH65" s="105"/>
      <c r="AI65" s="105"/>
      <c r="AJ65" s="105"/>
      <c r="AK65" s="105"/>
      <c r="AM65" s="106"/>
      <c r="AN65" s="106"/>
      <c r="AO65" s="106"/>
    </row>
    <row r="66" spans="2:41" ht="17.5" x14ac:dyDescent="0.45">
      <c r="B66" s="164">
        <v>59</v>
      </c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7"/>
      <c r="N66" s="167"/>
      <c r="O66" s="168"/>
      <c r="P66" s="166"/>
      <c r="Q66" s="167"/>
      <c r="R66" s="167"/>
      <c r="S66" s="166"/>
      <c r="T66" s="166"/>
      <c r="U66" s="166"/>
      <c r="V66" s="128">
        <v>15.52</v>
      </c>
      <c r="W66" s="124">
        <v>0.60470000000000002</v>
      </c>
      <c r="X66" s="166"/>
      <c r="Y66" s="166"/>
      <c r="Z66" s="166"/>
      <c r="AA66" s="99"/>
      <c r="AB66" s="144"/>
      <c r="AC66" s="144"/>
      <c r="AD66" s="144"/>
      <c r="AE66" s="144"/>
      <c r="AF66" s="144"/>
      <c r="AG66" s="105"/>
      <c r="AH66" s="105"/>
      <c r="AI66" s="105"/>
      <c r="AJ66" s="105"/>
      <c r="AK66" s="105"/>
      <c r="AM66" s="106"/>
      <c r="AN66" s="106"/>
      <c r="AO66" s="106"/>
    </row>
    <row r="67" spans="2:41" ht="17.5" x14ac:dyDescent="0.45">
      <c r="B67" s="164">
        <v>60</v>
      </c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7"/>
      <c r="N67" s="167"/>
      <c r="O67" s="168"/>
      <c r="P67" s="166"/>
      <c r="Q67" s="167"/>
      <c r="R67" s="167"/>
      <c r="S67" s="166"/>
      <c r="T67" s="166"/>
      <c r="U67" s="166"/>
      <c r="V67" s="128">
        <v>15.61</v>
      </c>
      <c r="W67" s="124">
        <v>0.60669999999999991</v>
      </c>
      <c r="X67" s="166"/>
      <c r="Y67" s="166"/>
      <c r="Z67" s="166"/>
      <c r="AA67" s="99"/>
      <c r="AB67" s="144"/>
      <c r="AC67" s="144"/>
      <c r="AD67" s="144"/>
      <c r="AE67" s="144"/>
      <c r="AF67" s="144"/>
      <c r="AG67" s="105"/>
      <c r="AH67" s="105"/>
      <c r="AI67" s="105"/>
      <c r="AJ67" s="105"/>
      <c r="AK67" s="105"/>
      <c r="AM67" s="106"/>
      <c r="AN67" s="106"/>
      <c r="AO67" s="106"/>
    </row>
    <row r="68" spans="2:41" ht="17.5" x14ac:dyDescent="0.45">
      <c r="B68" s="164">
        <v>61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7"/>
      <c r="O68" s="168"/>
      <c r="P68" s="166"/>
      <c r="Q68" s="167"/>
      <c r="R68" s="167"/>
      <c r="S68" s="166"/>
      <c r="T68" s="166"/>
      <c r="U68" s="166"/>
      <c r="V68" s="128">
        <v>15.7</v>
      </c>
      <c r="W68" s="124">
        <v>0.60860000000000003</v>
      </c>
      <c r="X68" s="166"/>
      <c r="Y68" s="166"/>
      <c r="Z68" s="166"/>
      <c r="AA68" s="99"/>
      <c r="AB68" s="144"/>
      <c r="AC68" s="144"/>
      <c r="AD68" s="144"/>
      <c r="AE68" s="144"/>
      <c r="AF68" s="144"/>
      <c r="AG68" s="105"/>
      <c r="AH68" s="105"/>
      <c r="AI68" s="105"/>
      <c r="AJ68" s="105"/>
      <c r="AK68" s="105"/>
      <c r="AM68" s="106"/>
      <c r="AN68" s="106"/>
      <c r="AO68" s="106"/>
    </row>
    <row r="69" spans="2:41" ht="17.5" x14ac:dyDescent="0.45">
      <c r="B69" s="164">
        <v>62</v>
      </c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7"/>
      <c r="N69" s="167"/>
      <c r="O69" s="168"/>
      <c r="P69" s="166"/>
      <c r="Q69" s="167"/>
      <c r="R69" s="167"/>
      <c r="S69" s="166"/>
      <c r="T69" s="166"/>
      <c r="U69" s="166"/>
      <c r="V69" s="128">
        <v>15.8</v>
      </c>
      <c r="W69" s="124">
        <v>0.61060000000000003</v>
      </c>
      <c r="X69" s="166"/>
      <c r="Y69" s="166"/>
      <c r="Z69" s="166"/>
      <c r="AA69" s="99"/>
      <c r="AB69" s="144"/>
      <c r="AC69" s="144"/>
      <c r="AD69" s="144"/>
      <c r="AE69" s="144"/>
      <c r="AF69" s="144"/>
      <c r="AG69" s="105"/>
      <c r="AH69" s="105"/>
      <c r="AI69" s="105"/>
      <c r="AJ69" s="105"/>
      <c r="AK69" s="105"/>
      <c r="AM69" s="106"/>
      <c r="AN69" s="106"/>
      <c r="AO69" s="106"/>
    </row>
    <row r="70" spans="2:41" ht="17.5" x14ac:dyDescent="0.45">
      <c r="B70" s="164">
        <v>63</v>
      </c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7"/>
      <c r="N70" s="167"/>
      <c r="O70" s="168"/>
      <c r="P70" s="166"/>
      <c r="Q70" s="167"/>
      <c r="R70" s="167"/>
      <c r="S70" s="166"/>
      <c r="T70" s="166"/>
      <c r="U70" s="166"/>
      <c r="V70" s="128">
        <v>15.9</v>
      </c>
      <c r="W70" s="124">
        <v>0.61249999999999993</v>
      </c>
      <c r="X70" s="166"/>
      <c r="Y70" s="166"/>
      <c r="Z70" s="166"/>
      <c r="AA70" s="99"/>
      <c r="AB70" s="144"/>
      <c r="AC70" s="144"/>
      <c r="AD70" s="144"/>
      <c r="AE70" s="144"/>
      <c r="AF70" s="144"/>
      <c r="AG70" s="105"/>
      <c r="AH70" s="105"/>
      <c r="AI70" s="105"/>
      <c r="AJ70" s="105"/>
      <c r="AK70" s="105"/>
      <c r="AM70" s="106"/>
      <c r="AN70" s="106"/>
      <c r="AO70" s="106"/>
    </row>
    <row r="71" spans="2:41" ht="17.5" x14ac:dyDescent="0.45">
      <c r="B71" s="164">
        <v>64</v>
      </c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7"/>
      <c r="N71" s="167"/>
      <c r="O71" s="169"/>
      <c r="P71" s="166"/>
      <c r="Q71" s="166"/>
      <c r="R71" s="166"/>
      <c r="S71" s="166"/>
      <c r="T71" s="166"/>
      <c r="U71" s="166"/>
      <c r="V71" s="170">
        <v>16.010000000000002</v>
      </c>
      <c r="W71" s="124">
        <v>0.61450000000000005</v>
      </c>
      <c r="X71" s="166"/>
      <c r="Y71" s="166"/>
      <c r="Z71" s="166"/>
      <c r="AA71" s="99"/>
      <c r="AB71" s="144"/>
      <c r="AC71" s="144"/>
      <c r="AD71" s="144"/>
      <c r="AE71" s="144"/>
      <c r="AF71" s="144"/>
      <c r="AG71" s="105"/>
      <c r="AH71" s="105"/>
      <c r="AI71" s="105"/>
      <c r="AJ71" s="105"/>
      <c r="AK71" s="105"/>
      <c r="AM71" s="106"/>
      <c r="AN71" s="106"/>
      <c r="AO71" s="106"/>
    </row>
    <row r="72" spans="2:41" ht="17.5" x14ac:dyDescent="0.45">
      <c r="B72" s="164">
        <v>65</v>
      </c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7"/>
      <c r="N72" s="167"/>
      <c r="O72" s="169"/>
      <c r="P72" s="166"/>
      <c r="Q72" s="166"/>
      <c r="R72" s="166"/>
      <c r="S72" s="166"/>
      <c r="T72" s="166"/>
      <c r="U72" s="166"/>
      <c r="V72" s="128">
        <v>16.11</v>
      </c>
      <c r="W72" s="124">
        <v>0.61640000000000006</v>
      </c>
      <c r="X72" s="166"/>
      <c r="Y72" s="166"/>
      <c r="Z72" s="166"/>
      <c r="AA72" s="99"/>
      <c r="AB72" s="144"/>
      <c r="AC72" s="144"/>
      <c r="AD72" s="144"/>
      <c r="AE72" s="144"/>
      <c r="AF72" s="144"/>
      <c r="AG72" s="105"/>
      <c r="AH72" s="105"/>
      <c r="AI72" s="105"/>
      <c r="AJ72" s="105"/>
      <c r="AK72" s="105"/>
      <c r="AM72" s="106"/>
      <c r="AN72" s="106"/>
      <c r="AO72" s="106"/>
    </row>
    <row r="73" spans="2:41" ht="17.5" x14ac:dyDescent="0.45">
      <c r="B73" s="164">
        <v>66</v>
      </c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7"/>
      <c r="N73" s="167"/>
      <c r="O73" s="169"/>
      <c r="P73" s="166"/>
      <c r="Q73" s="166"/>
      <c r="R73" s="166"/>
      <c r="S73" s="166"/>
      <c r="T73" s="166"/>
      <c r="U73" s="166"/>
      <c r="V73" s="128">
        <v>16.21</v>
      </c>
      <c r="W73" s="124">
        <v>0.61829999999999996</v>
      </c>
      <c r="X73" s="166"/>
      <c r="Y73" s="166"/>
      <c r="Z73" s="166"/>
      <c r="AA73" s="99"/>
      <c r="AB73" s="144"/>
      <c r="AC73" s="144"/>
      <c r="AD73" s="144"/>
      <c r="AE73" s="144"/>
      <c r="AF73" s="144"/>
      <c r="AG73" s="105"/>
      <c r="AH73" s="105"/>
      <c r="AI73" s="105"/>
      <c r="AJ73" s="105"/>
      <c r="AK73" s="105"/>
      <c r="AM73" s="106"/>
      <c r="AN73" s="106"/>
      <c r="AO73" s="106"/>
    </row>
    <row r="74" spans="2:41" ht="17.5" x14ac:dyDescent="0.45">
      <c r="B74" s="164">
        <v>67</v>
      </c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7"/>
      <c r="N74" s="167"/>
      <c r="O74" s="169"/>
      <c r="P74" s="166"/>
      <c r="Q74" s="166"/>
      <c r="R74" s="166"/>
      <c r="S74" s="166"/>
      <c r="T74" s="166"/>
      <c r="U74" s="166"/>
      <c r="V74" s="128">
        <v>16.32</v>
      </c>
      <c r="W74" s="124">
        <v>0.62029999999999996</v>
      </c>
      <c r="X74" s="166"/>
      <c r="Y74" s="166"/>
      <c r="Z74" s="166"/>
      <c r="AA74" s="99"/>
      <c r="AB74" s="144"/>
      <c r="AC74" s="144"/>
      <c r="AD74" s="144"/>
      <c r="AE74" s="144"/>
      <c r="AF74" s="144"/>
      <c r="AG74" s="105"/>
      <c r="AH74" s="105"/>
      <c r="AI74" s="105"/>
      <c r="AJ74" s="105"/>
      <c r="AK74" s="105"/>
      <c r="AM74" s="106"/>
      <c r="AN74" s="106"/>
      <c r="AO74" s="106"/>
    </row>
    <row r="75" spans="2:41" ht="17.5" x14ac:dyDescent="0.45">
      <c r="B75" s="164">
        <v>68</v>
      </c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7"/>
      <c r="N75" s="167"/>
      <c r="O75" s="169"/>
      <c r="P75" s="166"/>
      <c r="Q75" s="166"/>
      <c r="R75" s="166"/>
      <c r="S75" s="166"/>
      <c r="T75" s="166"/>
      <c r="U75" s="166"/>
      <c r="V75" s="128">
        <v>16.420000000000002</v>
      </c>
      <c r="W75" s="124">
        <v>0.62220000000000009</v>
      </c>
      <c r="X75" s="166"/>
      <c r="Y75" s="166"/>
      <c r="Z75" s="166"/>
      <c r="AA75" s="99"/>
      <c r="AB75" s="144"/>
      <c r="AC75" s="144"/>
      <c r="AD75" s="144"/>
      <c r="AE75" s="144"/>
      <c r="AF75" s="144"/>
      <c r="AG75" s="105"/>
      <c r="AH75" s="105"/>
      <c r="AI75" s="105"/>
      <c r="AJ75" s="105"/>
      <c r="AK75" s="105"/>
      <c r="AM75" s="106"/>
      <c r="AN75" s="106"/>
      <c r="AO75" s="106"/>
    </row>
    <row r="76" spans="2:41" ht="17.5" x14ac:dyDescent="0.45">
      <c r="B76" s="164">
        <v>69</v>
      </c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7"/>
      <c r="N76" s="167"/>
      <c r="O76" s="169"/>
      <c r="P76" s="166"/>
      <c r="Q76" s="166"/>
      <c r="R76" s="166"/>
      <c r="S76" s="166"/>
      <c r="T76" s="166"/>
      <c r="U76" s="166"/>
      <c r="V76" s="128">
        <v>16.53</v>
      </c>
      <c r="W76" s="124">
        <v>0.62419999999999998</v>
      </c>
      <c r="X76" s="166"/>
      <c r="Y76" s="166"/>
      <c r="Z76" s="166"/>
      <c r="AA76" s="99"/>
      <c r="AB76" s="144"/>
      <c r="AC76" s="144"/>
      <c r="AD76" s="144"/>
      <c r="AE76" s="144"/>
      <c r="AF76" s="144"/>
      <c r="AG76" s="105"/>
      <c r="AH76" s="105"/>
      <c r="AI76" s="105"/>
      <c r="AJ76" s="105"/>
      <c r="AK76" s="105"/>
      <c r="AM76" s="106"/>
      <c r="AN76" s="106"/>
      <c r="AO76" s="106"/>
    </row>
    <row r="77" spans="2:41" ht="17.5" x14ac:dyDescent="0.45">
      <c r="B77" s="164">
        <v>70</v>
      </c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7"/>
      <c r="N77" s="167"/>
      <c r="O77" s="169"/>
      <c r="P77" s="166"/>
      <c r="Q77" s="166"/>
      <c r="R77" s="166"/>
      <c r="S77" s="166"/>
      <c r="T77" s="166"/>
      <c r="U77" s="166"/>
      <c r="V77" s="128">
        <v>16.64</v>
      </c>
      <c r="W77" s="124">
        <v>0.62629999999999997</v>
      </c>
      <c r="X77" s="166"/>
      <c r="Y77" s="166"/>
      <c r="Z77" s="166"/>
      <c r="AA77" s="99"/>
      <c r="AB77" s="144"/>
      <c r="AC77" s="144"/>
      <c r="AD77" s="144"/>
      <c r="AE77" s="144"/>
      <c r="AF77" s="144"/>
      <c r="AG77" s="105"/>
      <c r="AH77" s="105"/>
      <c r="AI77" s="105"/>
      <c r="AJ77" s="105"/>
      <c r="AK77" s="105"/>
      <c r="AM77" s="106"/>
      <c r="AN77" s="106"/>
      <c r="AO77" s="106"/>
    </row>
    <row r="78" spans="2:41" ht="17.5" x14ac:dyDescent="0.45">
      <c r="B78" s="164">
        <v>71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7"/>
      <c r="O78" s="169"/>
      <c r="P78" s="166"/>
      <c r="Q78" s="166"/>
      <c r="R78" s="166"/>
      <c r="S78" s="166"/>
      <c r="T78" s="166"/>
      <c r="U78" s="166"/>
      <c r="V78" s="128">
        <v>16.75</v>
      </c>
      <c r="W78" s="124">
        <v>0.62819999999999998</v>
      </c>
      <c r="X78" s="166"/>
      <c r="Y78" s="166"/>
      <c r="Z78" s="166"/>
      <c r="AA78" s="99"/>
      <c r="AB78" s="144"/>
      <c r="AC78" s="144"/>
      <c r="AD78" s="144"/>
      <c r="AE78" s="144"/>
      <c r="AF78" s="144"/>
      <c r="AG78" s="105"/>
      <c r="AH78" s="105"/>
      <c r="AI78" s="105"/>
      <c r="AJ78" s="105"/>
      <c r="AK78" s="105"/>
      <c r="AM78" s="106"/>
      <c r="AN78" s="106"/>
      <c r="AO78" s="106"/>
    </row>
    <row r="79" spans="2:41" ht="17.5" x14ac:dyDescent="0.45">
      <c r="B79" s="164">
        <v>72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7"/>
      <c r="O79" s="169"/>
      <c r="P79" s="166"/>
      <c r="Q79" s="166"/>
      <c r="R79" s="166"/>
      <c r="S79" s="166"/>
      <c r="T79" s="166"/>
      <c r="U79" s="166"/>
      <c r="V79" s="128">
        <v>16.850000000000001</v>
      </c>
      <c r="W79" s="124">
        <v>0.63019999999999998</v>
      </c>
      <c r="X79" s="166"/>
      <c r="Y79" s="166"/>
      <c r="Z79" s="166"/>
      <c r="AA79" s="99"/>
      <c r="AB79" s="144"/>
      <c r="AC79" s="144"/>
      <c r="AD79" s="144"/>
      <c r="AE79" s="144"/>
      <c r="AF79" s="144"/>
      <c r="AG79" s="105"/>
      <c r="AH79" s="105"/>
      <c r="AI79" s="105"/>
      <c r="AJ79" s="105"/>
      <c r="AK79" s="105"/>
      <c r="AM79" s="106"/>
      <c r="AN79" s="106"/>
      <c r="AO79" s="106"/>
    </row>
    <row r="80" spans="2:41" ht="17.5" x14ac:dyDescent="0.45">
      <c r="B80" s="164">
        <v>73</v>
      </c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7"/>
      <c r="N80" s="167"/>
      <c r="O80" s="169"/>
      <c r="P80" s="166"/>
      <c r="Q80" s="166"/>
      <c r="R80" s="166"/>
      <c r="S80" s="166"/>
      <c r="T80" s="166"/>
      <c r="U80" s="166"/>
      <c r="V80" s="128">
        <v>16.97</v>
      </c>
      <c r="W80" s="124">
        <v>0.6321</v>
      </c>
      <c r="X80" s="166"/>
      <c r="Y80" s="166"/>
      <c r="Z80" s="166"/>
      <c r="AA80" s="99"/>
      <c r="AB80" s="144"/>
      <c r="AC80" s="144"/>
      <c r="AD80" s="144"/>
      <c r="AE80" s="144"/>
      <c r="AF80" s="144"/>
      <c r="AG80" s="105"/>
      <c r="AH80" s="105"/>
      <c r="AI80" s="105"/>
      <c r="AJ80" s="105"/>
      <c r="AK80" s="105"/>
      <c r="AM80" s="106"/>
      <c r="AN80" s="106"/>
      <c r="AO80" s="106"/>
    </row>
    <row r="81" spans="2:41" ht="17.5" x14ac:dyDescent="0.45">
      <c r="B81" s="164">
        <v>74</v>
      </c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7"/>
      <c r="N81" s="167"/>
      <c r="O81" s="169"/>
      <c r="P81" s="166"/>
      <c r="Q81" s="166"/>
      <c r="R81" s="166"/>
      <c r="S81" s="166"/>
      <c r="T81" s="166"/>
      <c r="U81" s="166"/>
      <c r="V81" s="128">
        <v>17.079999999999998</v>
      </c>
      <c r="W81" s="124">
        <v>0.6341</v>
      </c>
      <c r="X81" s="166"/>
      <c r="Y81" s="166"/>
      <c r="Z81" s="166"/>
      <c r="AA81" s="99"/>
      <c r="AB81" s="144"/>
      <c r="AC81" s="144"/>
      <c r="AD81" s="144"/>
      <c r="AE81" s="144"/>
      <c r="AF81" s="144"/>
      <c r="AG81" s="105"/>
      <c r="AH81" s="105"/>
      <c r="AI81" s="105"/>
      <c r="AJ81" s="105"/>
      <c r="AK81" s="105"/>
      <c r="AM81" s="106"/>
      <c r="AN81" s="106"/>
      <c r="AO81" s="106"/>
    </row>
    <row r="82" spans="2:41" ht="17.5" x14ac:dyDescent="0.45">
      <c r="B82" s="164">
        <v>75</v>
      </c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7"/>
      <c r="N82" s="167"/>
      <c r="O82" s="169"/>
      <c r="P82" s="166"/>
      <c r="Q82" s="166"/>
      <c r="R82" s="166"/>
      <c r="S82" s="166"/>
      <c r="T82" s="166"/>
      <c r="U82" s="166"/>
      <c r="V82" s="128">
        <v>17.190000000000001</v>
      </c>
      <c r="W82" s="124">
        <v>0.63600000000000001</v>
      </c>
      <c r="X82" s="166"/>
      <c r="Y82" s="166"/>
      <c r="Z82" s="166"/>
      <c r="AA82" s="99"/>
      <c r="AB82" s="144"/>
      <c r="AC82" s="144"/>
      <c r="AD82" s="144"/>
      <c r="AE82" s="144"/>
      <c r="AF82" s="144"/>
      <c r="AG82" s="105"/>
      <c r="AH82" s="105"/>
      <c r="AI82" s="105"/>
      <c r="AJ82" s="105"/>
      <c r="AK82" s="105"/>
      <c r="AM82" s="106"/>
      <c r="AN82" s="106"/>
      <c r="AO82" s="106"/>
    </row>
    <row r="83" spans="2:41" ht="17.5" x14ac:dyDescent="0.45">
      <c r="B83" s="164">
        <v>76</v>
      </c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7"/>
      <c r="N83" s="167"/>
      <c r="O83" s="169"/>
      <c r="P83" s="166"/>
      <c r="Q83" s="166"/>
      <c r="R83" s="166"/>
      <c r="S83" s="166"/>
      <c r="T83" s="166"/>
      <c r="U83" s="166"/>
      <c r="V83" s="128">
        <v>17.309999999999999</v>
      </c>
      <c r="W83" s="124">
        <v>0.63789999999999991</v>
      </c>
      <c r="X83" s="166"/>
      <c r="Y83" s="166"/>
      <c r="Z83" s="166"/>
      <c r="AA83" s="99"/>
      <c r="AB83" s="144"/>
      <c r="AC83" s="144"/>
      <c r="AD83" s="144"/>
      <c r="AE83" s="144"/>
      <c r="AF83" s="144"/>
      <c r="AG83" s="105"/>
      <c r="AH83" s="105"/>
      <c r="AI83" s="105"/>
      <c r="AJ83" s="105"/>
      <c r="AK83" s="105"/>
      <c r="AM83" s="106"/>
      <c r="AN83" s="106"/>
      <c r="AO83" s="106"/>
    </row>
    <row r="84" spans="2:41" ht="17.5" x14ac:dyDescent="0.45">
      <c r="B84" s="164">
        <v>77</v>
      </c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7"/>
      <c r="N84" s="167"/>
      <c r="O84" s="169"/>
      <c r="P84" s="166"/>
      <c r="Q84" s="166"/>
      <c r="R84" s="166"/>
      <c r="S84" s="166"/>
      <c r="T84" s="166"/>
      <c r="U84" s="166"/>
      <c r="V84" s="128">
        <v>17.43</v>
      </c>
      <c r="W84" s="124">
        <v>0.63990000000000002</v>
      </c>
      <c r="X84" s="166"/>
      <c r="Y84" s="166"/>
      <c r="Z84" s="166"/>
      <c r="AA84" s="99"/>
      <c r="AB84" s="144"/>
      <c r="AC84" s="144"/>
      <c r="AD84" s="144"/>
      <c r="AE84" s="144"/>
      <c r="AF84" s="144"/>
      <c r="AG84" s="105"/>
      <c r="AH84" s="105"/>
      <c r="AI84" s="105"/>
      <c r="AJ84" s="105"/>
      <c r="AK84" s="105"/>
      <c r="AM84" s="106"/>
      <c r="AN84" s="106"/>
      <c r="AO84" s="106"/>
    </row>
    <row r="85" spans="2:41" ht="17.5" x14ac:dyDescent="0.45">
      <c r="B85" s="164">
        <v>78</v>
      </c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7"/>
      <c r="N85" s="167"/>
      <c r="O85" s="169"/>
      <c r="P85" s="166"/>
      <c r="Q85" s="166"/>
      <c r="R85" s="166"/>
      <c r="S85" s="166"/>
      <c r="T85" s="166"/>
      <c r="U85" s="166"/>
      <c r="V85" s="128">
        <v>17.55</v>
      </c>
      <c r="W85" s="124">
        <v>0.64180000000000004</v>
      </c>
      <c r="X85" s="166"/>
      <c r="Y85" s="166"/>
      <c r="Z85" s="166"/>
      <c r="AA85" s="99"/>
      <c r="AB85" s="144"/>
      <c r="AC85" s="144"/>
      <c r="AD85" s="144"/>
      <c r="AE85" s="144"/>
      <c r="AF85" s="144"/>
      <c r="AG85" s="105"/>
      <c r="AH85" s="105"/>
      <c r="AI85" s="105"/>
      <c r="AJ85" s="105"/>
      <c r="AK85" s="105"/>
      <c r="AM85" s="106"/>
      <c r="AN85" s="106"/>
      <c r="AO85" s="106"/>
    </row>
    <row r="86" spans="2:41" ht="17.5" x14ac:dyDescent="0.45">
      <c r="B86" s="164">
        <v>79</v>
      </c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7"/>
      <c r="N86" s="167"/>
      <c r="O86" s="169"/>
      <c r="P86" s="166"/>
      <c r="Q86" s="166"/>
      <c r="R86" s="166"/>
      <c r="S86" s="166"/>
      <c r="T86" s="166"/>
      <c r="U86" s="166"/>
      <c r="V86" s="128">
        <v>17.670000000000002</v>
      </c>
      <c r="W86" s="124">
        <v>0.64380000000000004</v>
      </c>
      <c r="X86" s="166"/>
      <c r="Y86" s="166"/>
      <c r="Z86" s="166"/>
      <c r="AA86" s="99"/>
      <c r="AB86" s="144"/>
      <c r="AC86" s="144"/>
      <c r="AD86" s="144"/>
      <c r="AE86" s="144"/>
      <c r="AF86" s="144"/>
      <c r="AG86" s="105"/>
      <c r="AH86" s="105"/>
      <c r="AI86" s="105"/>
      <c r="AJ86" s="105"/>
      <c r="AK86" s="105"/>
      <c r="AM86" s="106"/>
      <c r="AN86" s="106"/>
      <c r="AO86" s="106"/>
    </row>
    <row r="87" spans="2:41" ht="17.5" x14ac:dyDescent="0.45">
      <c r="B87" s="164">
        <v>80</v>
      </c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7"/>
      <c r="N87" s="167"/>
      <c r="O87" s="169"/>
      <c r="P87" s="166"/>
      <c r="Q87" s="166"/>
      <c r="R87" s="166"/>
      <c r="S87" s="166"/>
      <c r="T87" s="166"/>
      <c r="U87" s="166"/>
      <c r="V87" s="128">
        <v>17.82</v>
      </c>
      <c r="W87" s="124">
        <v>0.64570000000000005</v>
      </c>
      <c r="X87" s="166"/>
      <c r="Y87" s="166"/>
      <c r="Z87" s="166"/>
      <c r="AA87" s="99"/>
      <c r="AB87" s="144"/>
      <c r="AC87" s="144"/>
      <c r="AD87" s="144"/>
      <c r="AE87" s="144"/>
      <c r="AF87" s="144"/>
      <c r="AG87" s="105"/>
      <c r="AH87" s="105"/>
      <c r="AI87" s="105"/>
      <c r="AJ87" s="105"/>
      <c r="AK87" s="105"/>
      <c r="AM87" s="106"/>
      <c r="AN87" s="106"/>
      <c r="AO87" s="106"/>
    </row>
    <row r="88" spans="2:41" ht="17.5" x14ac:dyDescent="0.45">
      <c r="B88" s="164">
        <v>81</v>
      </c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7"/>
      <c r="N88" s="167"/>
      <c r="O88" s="169"/>
      <c r="P88" s="166"/>
      <c r="Q88" s="166"/>
      <c r="R88" s="166"/>
      <c r="S88" s="166"/>
      <c r="T88" s="166"/>
      <c r="U88" s="166"/>
      <c r="V88" s="128">
        <v>17.940000000000001</v>
      </c>
      <c r="W88" s="124">
        <v>0.64769999999999994</v>
      </c>
      <c r="X88" s="166"/>
      <c r="Y88" s="166"/>
      <c r="Z88" s="166"/>
      <c r="AA88" s="99"/>
      <c r="AB88" s="144"/>
      <c r="AC88" s="144"/>
      <c r="AD88" s="144"/>
      <c r="AE88" s="144"/>
      <c r="AF88" s="144"/>
      <c r="AG88" s="105"/>
      <c r="AH88" s="105"/>
      <c r="AI88" s="105"/>
      <c r="AJ88" s="105"/>
      <c r="AK88" s="105"/>
      <c r="AM88" s="106"/>
      <c r="AN88" s="106"/>
      <c r="AO88" s="106"/>
    </row>
    <row r="89" spans="2:41" ht="17.5" x14ac:dyDescent="0.45">
      <c r="B89" s="164">
        <v>82</v>
      </c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7"/>
      <c r="N89" s="167"/>
      <c r="O89" s="169"/>
      <c r="P89" s="166"/>
      <c r="Q89" s="166"/>
      <c r="R89" s="166"/>
      <c r="S89" s="166"/>
      <c r="T89" s="166"/>
      <c r="U89" s="166"/>
      <c r="V89" s="128">
        <v>18.07</v>
      </c>
      <c r="W89" s="124">
        <v>0.64959999999999996</v>
      </c>
      <c r="X89" s="166"/>
      <c r="Y89" s="166"/>
      <c r="Z89" s="166"/>
      <c r="AA89" s="99"/>
      <c r="AB89" s="144"/>
      <c r="AC89" s="144"/>
      <c r="AD89" s="144"/>
      <c r="AE89" s="144"/>
      <c r="AF89" s="144"/>
      <c r="AG89" s="105"/>
      <c r="AH89" s="105"/>
      <c r="AI89" s="105"/>
      <c r="AJ89" s="105"/>
      <c r="AK89" s="105"/>
      <c r="AM89" s="106"/>
      <c r="AN89" s="106"/>
      <c r="AO89" s="106"/>
    </row>
    <row r="90" spans="2:41" ht="17.5" x14ac:dyDescent="0.45">
      <c r="B90" s="164">
        <v>83</v>
      </c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7"/>
      <c r="N90" s="167"/>
      <c r="O90" s="169"/>
      <c r="P90" s="166"/>
      <c r="Q90" s="166"/>
      <c r="R90" s="166"/>
      <c r="S90" s="166"/>
      <c r="T90" s="166"/>
      <c r="U90" s="166"/>
      <c r="V90" s="128">
        <v>18.2</v>
      </c>
      <c r="W90" s="124">
        <v>0.65159999999999996</v>
      </c>
      <c r="X90" s="166"/>
      <c r="Y90" s="166"/>
      <c r="Z90" s="166"/>
      <c r="AA90" s="99"/>
      <c r="AB90" s="144"/>
      <c r="AC90" s="144"/>
      <c r="AD90" s="144"/>
      <c r="AE90" s="144"/>
      <c r="AF90" s="144"/>
      <c r="AG90" s="105"/>
      <c r="AH90" s="105"/>
      <c r="AI90" s="105"/>
      <c r="AJ90" s="105"/>
      <c r="AK90" s="105"/>
      <c r="AM90" s="106"/>
      <c r="AN90" s="106"/>
      <c r="AO90" s="106"/>
    </row>
    <row r="91" spans="2:41" ht="17.5" x14ac:dyDescent="0.45">
      <c r="B91" s="164">
        <v>84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7"/>
      <c r="O91" s="169"/>
      <c r="P91" s="166"/>
      <c r="Q91" s="166"/>
      <c r="R91" s="166"/>
      <c r="S91" s="166"/>
      <c r="T91" s="166"/>
      <c r="U91" s="166"/>
      <c r="V91" s="128">
        <v>18.32</v>
      </c>
      <c r="W91" s="124">
        <v>0.65349999999999997</v>
      </c>
      <c r="X91" s="166"/>
      <c r="Y91" s="166"/>
      <c r="Z91" s="166"/>
      <c r="AA91" s="99"/>
      <c r="AB91" s="144"/>
      <c r="AC91" s="144"/>
      <c r="AD91" s="144"/>
      <c r="AE91" s="144"/>
      <c r="AF91" s="144"/>
      <c r="AG91" s="105"/>
      <c r="AH91" s="105"/>
      <c r="AI91" s="105"/>
      <c r="AJ91" s="105"/>
      <c r="AK91" s="105"/>
      <c r="AM91" s="106"/>
      <c r="AN91" s="106"/>
      <c r="AO91" s="106"/>
    </row>
    <row r="92" spans="2:41" ht="17.5" x14ac:dyDescent="0.45">
      <c r="B92" s="164">
        <v>85</v>
      </c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7"/>
      <c r="N92" s="167"/>
      <c r="O92" s="169"/>
      <c r="P92" s="166"/>
      <c r="Q92" s="166"/>
      <c r="R92" s="166"/>
      <c r="S92" s="166"/>
      <c r="T92" s="166"/>
      <c r="U92" s="166"/>
      <c r="V92" s="128">
        <v>18.46</v>
      </c>
      <c r="W92" s="124">
        <v>0.65550000000000008</v>
      </c>
      <c r="X92" s="166"/>
      <c r="Y92" s="166"/>
      <c r="Z92" s="166"/>
      <c r="AA92" s="99"/>
      <c r="AB92" s="144"/>
      <c r="AC92" s="144"/>
      <c r="AD92" s="144"/>
      <c r="AE92" s="144"/>
      <c r="AF92" s="144"/>
      <c r="AG92" s="105"/>
      <c r="AH92" s="105"/>
      <c r="AI92" s="105"/>
      <c r="AJ92" s="105"/>
      <c r="AK92" s="105"/>
      <c r="AM92" s="106"/>
      <c r="AN92" s="106"/>
      <c r="AO92" s="106"/>
    </row>
    <row r="93" spans="2:41" ht="17.5" x14ac:dyDescent="0.45">
      <c r="B93" s="164">
        <v>86</v>
      </c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7"/>
      <c r="N93" s="167"/>
      <c r="O93" s="169"/>
      <c r="P93" s="166"/>
      <c r="Q93" s="166"/>
      <c r="R93" s="166"/>
      <c r="S93" s="166"/>
      <c r="T93" s="166"/>
      <c r="U93" s="166"/>
      <c r="V93" s="128">
        <v>18.59</v>
      </c>
      <c r="W93" s="124">
        <v>0.65760000000000007</v>
      </c>
      <c r="X93" s="166"/>
      <c r="Y93" s="166"/>
      <c r="Z93" s="166"/>
      <c r="AA93" s="99"/>
      <c r="AB93" s="144"/>
      <c r="AC93" s="144"/>
      <c r="AD93" s="144"/>
      <c r="AE93" s="144"/>
      <c r="AF93" s="144"/>
      <c r="AG93" s="105"/>
      <c r="AH93" s="105"/>
      <c r="AI93" s="105"/>
      <c r="AJ93" s="105"/>
      <c r="AK93" s="105"/>
      <c r="AM93" s="106"/>
      <c r="AN93" s="106"/>
      <c r="AO93" s="106"/>
    </row>
    <row r="94" spans="2:41" ht="17.5" x14ac:dyDescent="0.45">
      <c r="B94" s="164">
        <v>87</v>
      </c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7"/>
      <c r="N94" s="167"/>
      <c r="O94" s="169"/>
      <c r="P94" s="166"/>
      <c r="Q94" s="166"/>
      <c r="R94" s="166"/>
      <c r="S94" s="166"/>
      <c r="T94" s="166"/>
      <c r="U94" s="166"/>
      <c r="V94" s="128">
        <v>18.73</v>
      </c>
      <c r="W94" s="124">
        <v>0.65950000000000009</v>
      </c>
      <c r="X94" s="166"/>
      <c r="Y94" s="166"/>
      <c r="Z94" s="166"/>
      <c r="AA94" s="99"/>
      <c r="AB94" s="144"/>
      <c r="AC94" s="144"/>
      <c r="AD94" s="144"/>
      <c r="AE94" s="144"/>
      <c r="AF94" s="144"/>
      <c r="AG94" s="105"/>
      <c r="AH94" s="105"/>
      <c r="AI94" s="105"/>
      <c r="AJ94" s="105"/>
      <c r="AK94" s="105"/>
      <c r="AM94" s="106"/>
      <c r="AN94" s="106"/>
      <c r="AO94" s="106"/>
    </row>
    <row r="95" spans="2:41" ht="17.5" x14ac:dyDescent="0.45">
      <c r="B95" s="164">
        <v>88</v>
      </c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7"/>
      <c r="N95" s="167"/>
      <c r="O95" s="169"/>
      <c r="P95" s="166"/>
      <c r="Q95" s="166"/>
      <c r="R95" s="166"/>
      <c r="S95" s="166"/>
      <c r="T95" s="166"/>
      <c r="U95" s="166"/>
      <c r="V95" s="128">
        <v>18.86</v>
      </c>
      <c r="W95" s="124">
        <v>0.66139999999999999</v>
      </c>
      <c r="X95" s="166"/>
      <c r="Y95" s="166"/>
      <c r="Z95" s="166"/>
      <c r="AA95" s="99"/>
      <c r="AB95" s="144"/>
      <c r="AC95" s="144"/>
      <c r="AD95" s="144"/>
      <c r="AE95" s="144"/>
      <c r="AF95" s="144"/>
      <c r="AG95" s="105"/>
      <c r="AH95" s="105"/>
      <c r="AI95" s="105"/>
      <c r="AJ95" s="105"/>
      <c r="AK95" s="105"/>
      <c r="AM95" s="106"/>
      <c r="AN95" s="106"/>
      <c r="AO95" s="106"/>
    </row>
    <row r="96" spans="2:41" ht="17.5" x14ac:dyDescent="0.45">
      <c r="B96" s="164">
        <v>89</v>
      </c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7"/>
      <c r="N96" s="167"/>
      <c r="O96" s="169"/>
      <c r="P96" s="166"/>
      <c r="Q96" s="166"/>
      <c r="R96" s="166"/>
      <c r="S96" s="166"/>
      <c r="T96" s="166"/>
      <c r="U96" s="166"/>
      <c r="V96" s="128">
        <v>19</v>
      </c>
      <c r="W96" s="124">
        <v>0.66339999999999999</v>
      </c>
      <c r="X96" s="166"/>
      <c r="Y96" s="166"/>
      <c r="Z96" s="166"/>
      <c r="AA96" s="99"/>
      <c r="AB96" s="144"/>
      <c r="AC96" s="144"/>
      <c r="AD96" s="144"/>
      <c r="AE96" s="144"/>
      <c r="AF96" s="144"/>
      <c r="AG96" s="105"/>
      <c r="AH96" s="105"/>
      <c r="AI96" s="105"/>
      <c r="AJ96" s="105"/>
      <c r="AK96" s="105"/>
      <c r="AM96" s="106"/>
      <c r="AN96" s="106"/>
      <c r="AO96" s="106"/>
    </row>
    <row r="97" spans="2:41" ht="17.5" x14ac:dyDescent="0.45">
      <c r="B97" s="164">
        <v>90</v>
      </c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7"/>
      <c r="N97" s="167"/>
      <c r="O97" s="169"/>
      <c r="P97" s="166"/>
      <c r="Q97" s="166"/>
      <c r="R97" s="166"/>
      <c r="S97" s="166"/>
      <c r="T97" s="166"/>
      <c r="U97" s="166"/>
      <c r="V97" s="128">
        <v>19.14</v>
      </c>
      <c r="W97" s="124">
        <v>0.6653</v>
      </c>
      <c r="X97" s="166"/>
      <c r="Y97" s="166"/>
      <c r="Z97" s="166"/>
      <c r="AA97" s="99"/>
      <c r="AB97" s="144"/>
      <c r="AC97" s="144"/>
      <c r="AD97" s="144"/>
      <c r="AE97" s="144"/>
      <c r="AF97" s="144"/>
      <c r="AG97" s="105"/>
      <c r="AH97" s="105"/>
      <c r="AI97" s="105"/>
      <c r="AJ97" s="105"/>
      <c r="AK97" s="105"/>
      <c r="AM97" s="106"/>
      <c r="AN97" s="106"/>
      <c r="AO97" s="106"/>
    </row>
    <row r="98" spans="2:41" ht="17.5" x14ac:dyDescent="0.45">
      <c r="B98" s="164">
        <v>91</v>
      </c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7"/>
      <c r="N98" s="167"/>
      <c r="O98" s="169"/>
      <c r="P98" s="166"/>
      <c r="Q98" s="166"/>
      <c r="R98" s="166"/>
      <c r="S98" s="166"/>
      <c r="T98" s="166"/>
      <c r="U98" s="166"/>
      <c r="V98" s="128">
        <v>19.29</v>
      </c>
      <c r="W98" s="124">
        <v>0.6673</v>
      </c>
      <c r="X98" s="166"/>
      <c r="Y98" s="166"/>
      <c r="Z98" s="166"/>
      <c r="AA98" s="99"/>
      <c r="AB98" s="144"/>
      <c r="AC98" s="144"/>
      <c r="AD98" s="144"/>
      <c r="AE98" s="144"/>
      <c r="AF98" s="144"/>
      <c r="AG98" s="105"/>
      <c r="AH98" s="105"/>
      <c r="AI98" s="105"/>
      <c r="AJ98" s="105"/>
      <c r="AK98" s="105"/>
      <c r="AM98" s="106"/>
      <c r="AN98" s="106"/>
      <c r="AO98" s="106"/>
    </row>
    <row r="99" spans="2:41" ht="17.5" x14ac:dyDescent="0.45">
      <c r="B99" s="164">
        <v>92</v>
      </c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7"/>
      <c r="N99" s="167"/>
      <c r="O99" s="169"/>
      <c r="P99" s="166"/>
      <c r="Q99" s="166"/>
      <c r="R99" s="166"/>
      <c r="S99" s="166"/>
      <c r="T99" s="166"/>
      <c r="U99" s="166"/>
      <c r="V99" s="128">
        <v>19.440000000000001</v>
      </c>
      <c r="W99" s="124">
        <v>0.66920000000000002</v>
      </c>
      <c r="X99" s="166"/>
      <c r="Y99" s="166"/>
      <c r="Z99" s="166"/>
      <c r="AA99" s="99"/>
      <c r="AB99" s="144"/>
      <c r="AC99" s="144"/>
      <c r="AD99" s="144"/>
      <c r="AE99" s="144"/>
      <c r="AF99" s="144"/>
      <c r="AG99" s="105"/>
      <c r="AH99" s="105"/>
      <c r="AI99" s="105"/>
      <c r="AJ99" s="105"/>
      <c r="AK99" s="105"/>
      <c r="AM99" s="106"/>
      <c r="AN99" s="106"/>
      <c r="AO99" s="106"/>
    </row>
    <row r="100" spans="2:41" ht="17.5" x14ac:dyDescent="0.45">
      <c r="B100" s="164">
        <v>93</v>
      </c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7"/>
      <c r="N100" s="167"/>
      <c r="O100" s="169"/>
      <c r="P100" s="166"/>
      <c r="Q100" s="166"/>
      <c r="R100" s="166"/>
      <c r="S100" s="166"/>
      <c r="T100" s="166"/>
      <c r="U100" s="166"/>
      <c r="V100" s="128">
        <v>19.579999999999998</v>
      </c>
      <c r="W100" s="124">
        <v>0.67120000000000002</v>
      </c>
      <c r="X100" s="166"/>
      <c r="Y100" s="166"/>
      <c r="Z100" s="166"/>
      <c r="AA100" s="99"/>
      <c r="AB100" s="144"/>
      <c r="AC100" s="144"/>
      <c r="AD100" s="144"/>
      <c r="AE100" s="144"/>
      <c r="AF100" s="144"/>
      <c r="AG100" s="105"/>
      <c r="AH100" s="105"/>
      <c r="AI100" s="105"/>
      <c r="AJ100" s="105"/>
      <c r="AK100" s="105"/>
      <c r="AM100" s="106"/>
      <c r="AN100" s="106"/>
      <c r="AO100" s="106"/>
    </row>
    <row r="101" spans="2:41" ht="17.5" x14ac:dyDescent="0.45">
      <c r="B101" s="164">
        <v>94</v>
      </c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7"/>
      <c r="N101" s="167"/>
      <c r="O101" s="169"/>
      <c r="P101" s="166"/>
      <c r="Q101" s="166"/>
      <c r="R101" s="166"/>
      <c r="S101" s="166"/>
      <c r="T101" s="166"/>
      <c r="U101" s="166"/>
      <c r="V101" s="128">
        <v>19.739999999999998</v>
      </c>
      <c r="W101" s="124">
        <v>0.67310000000000003</v>
      </c>
      <c r="X101" s="166"/>
      <c r="Y101" s="166"/>
      <c r="Z101" s="166"/>
      <c r="AA101" s="99"/>
      <c r="AB101" s="144"/>
      <c r="AC101" s="144"/>
      <c r="AD101" s="144"/>
      <c r="AE101" s="144"/>
      <c r="AF101" s="144"/>
      <c r="AG101" s="105"/>
      <c r="AH101" s="105"/>
      <c r="AI101" s="105"/>
      <c r="AJ101" s="105"/>
      <c r="AK101" s="105"/>
      <c r="AM101" s="106"/>
      <c r="AN101" s="106"/>
      <c r="AO101" s="106"/>
    </row>
    <row r="102" spans="2:41" ht="17.5" x14ac:dyDescent="0.45">
      <c r="B102" s="164">
        <v>95</v>
      </c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7"/>
      <c r="N102" s="167"/>
      <c r="O102" s="169"/>
      <c r="P102" s="166"/>
      <c r="Q102" s="166"/>
      <c r="R102" s="166"/>
      <c r="S102" s="166"/>
      <c r="T102" s="166"/>
      <c r="U102" s="166"/>
      <c r="V102" s="128">
        <v>19.89</v>
      </c>
      <c r="W102" s="124">
        <v>0.67510000000000003</v>
      </c>
      <c r="X102" s="166"/>
      <c r="Y102" s="166"/>
      <c r="Z102" s="166"/>
      <c r="AA102" s="99"/>
      <c r="AB102" s="144"/>
      <c r="AC102" s="144"/>
      <c r="AD102" s="144"/>
      <c r="AE102" s="144"/>
      <c r="AF102" s="144"/>
      <c r="AG102" s="105"/>
      <c r="AH102" s="105"/>
      <c r="AI102" s="105"/>
      <c r="AJ102" s="105"/>
      <c r="AK102" s="105"/>
      <c r="AM102" s="106"/>
      <c r="AN102" s="106"/>
      <c r="AO102" s="106"/>
    </row>
    <row r="103" spans="2:41" ht="17.5" x14ac:dyDescent="0.45">
      <c r="B103" s="164">
        <v>96</v>
      </c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7"/>
      <c r="N103" s="167"/>
      <c r="O103" s="169"/>
      <c r="P103" s="166"/>
      <c r="Q103" s="166"/>
      <c r="R103" s="166"/>
      <c r="S103" s="166"/>
      <c r="T103" s="166"/>
      <c r="U103" s="166"/>
      <c r="V103" s="128">
        <v>20.09</v>
      </c>
      <c r="W103" s="124">
        <v>0.67699999999999994</v>
      </c>
      <c r="X103" s="166"/>
      <c r="Y103" s="166"/>
      <c r="Z103" s="166"/>
      <c r="AA103" s="99"/>
      <c r="AB103" s="144"/>
      <c r="AC103" s="144"/>
      <c r="AD103" s="144"/>
      <c r="AE103" s="144"/>
      <c r="AF103" s="144"/>
      <c r="AG103" s="105"/>
      <c r="AH103" s="105"/>
      <c r="AI103" s="105"/>
      <c r="AJ103" s="105"/>
      <c r="AK103" s="105"/>
      <c r="AM103" s="106"/>
      <c r="AN103" s="106"/>
      <c r="AO103" s="106"/>
    </row>
    <row r="104" spans="2:41" ht="17.5" x14ac:dyDescent="0.45">
      <c r="B104" s="164">
        <v>97</v>
      </c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7"/>
      <c r="N104" s="167"/>
      <c r="O104" s="169"/>
      <c r="P104" s="166"/>
      <c r="Q104" s="166"/>
      <c r="R104" s="166"/>
      <c r="S104" s="166"/>
      <c r="T104" s="166"/>
      <c r="U104" s="166"/>
      <c r="V104" s="128">
        <v>20.25</v>
      </c>
      <c r="W104" s="124">
        <v>0.67900000000000005</v>
      </c>
      <c r="X104" s="166"/>
      <c r="Y104" s="166"/>
      <c r="Z104" s="166"/>
      <c r="AA104" s="99"/>
      <c r="AB104" s="144"/>
      <c r="AC104" s="144"/>
      <c r="AD104" s="144"/>
      <c r="AE104" s="144"/>
      <c r="AF104" s="144"/>
    </row>
    <row r="105" spans="2:41" ht="17.5" x14ac:dyDescent="0.45">
      <c r="B105" s="164">
        <v>98</v>
      </c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7"/>
      <c r="N105" s="167"/>
      <c r="O105" s="169"/>
      <c r="P105" s="166"/>
      <c r="Q105" s="166"/>
      <c r="R105" s="166"/>
      <c r="S105" s="166"/>
      <c r="T105" s="166"/>
      <c r="U105" s="166"/>
      <c r="V105" s="128">
        <v>20.41</v>
      </c>
      <c r="W105" s="124">
        <v>0.68090000000000006</v>
      </c>
      <c r="X105" s="166"/>
      <c r="Y105" s="166"/>
      <c r="Z105" s="166"/>
      <c r="AA105" s="99"/>
      <c r="AB105" s="144"/>
      <c r="AC105" s="144"/>
      <c r="AD105" s="144"/>
      <c r="AE105" s="144"/>
      <c r="AF105" s="144"/>
    </row>
    <row r="106" spans="2:41" ht="17.5" x14ac:dyDescent="0.45">
      <c r="B106" s="164">
        <v>99</v>
      </c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7"/>
      <c r="N106" s="167"/>
      <c r="O106" s="169"/>
      <c r="P106" s="166"/>
      <c r="Q106" s="166"/>
      <c r="R106" s="166"/>
      <c r="S106" s="166"/>
      <c r="T106" s="166"/>
      <c r="U106" s="166"/>
      <c r="V106" s="128">
        <v>20.58</v>
      </c>
      <c r="W106" s="124">
        <v>0.68279999999999996</v>
      </c>
      <c r="X106" s="166"/>
      <c r="Y106" s="166"/>
      <c r="Z106" s="166"/>
      <c r="AA106" s="99"/>
      <c r="AB106" s="144"/>
      <c r="AC106" s="144"/>
      <c r="AD106" s="144"/>
      <c r="AE106" s="144"/>
      <c r="AF106" s="144"/>
    </row>
    <row r="107" spans="2:41" ht="17.5" x14ac:dyDescent="0.45">
      <c r="B107" s="164">
        <v>100</v>
      </c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7"/>
      <c r="N107" s="167"/>
      <c r="O107" s="169"/>
      <c r="P107" s="166"/>
      <c r="Q107" s="166"/>
      <c r="R107" s="166"/>
      <c r="S107" s="166"/>
      <c r="T107" s="166"/>
      <c r="U107" s="166"/>
      <c r="V107" s="128">
        <v>20.74</v>
      </c>
      <c r="W107" s="124">
        <v>0.68479999999999996</v>
      </c>
      <c r="X107" s="166"/>
      <c r="Y107" s="166"/>
      <c r="Z107" s="166"/>
      <c r="AA107" s="99"/>
      <c r="AB107" s="144"/>
      <c r="AC107" s="144"/>
      <c r="AD107" s="144"/>
      <c r="AE107" s="144"/>
      <c r="AF107" s="144"/>
    </row>
    <row r="108" spans="2:41" ht="17.5" x14ac:dyDescent="0.45">
      <c r="B108" s="164">
        <v>101</v>
      </c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7"/>
      <c r="N108" s="167"/>
      <c r="O108" s="169"/>
      <c r="P108" s="166"/>
      <c r="Q108" s="166"/>
      <c r="R108" s="166"/>
      <c r="S108" s="166"/>
      <c r="T108" s="166"/>
      <c r="U108" s="166"/>
      <c r="V108" s="128">
        <v>20.91</v>
      </c>
      <c r="W108" s="124">
        <v>0.68670000000000009</v>
      </c>
      <c r="X108" s="166"/>
      <c r="Y108" s="166"/>
      <c r="Z108" s="166"/>
      <c r="AA108" s="99"/>
      <c r="AB108" s="144"/>
      <c r="AC108" s="144"/>
      <c r="AD108" s="144"/>
      <c r="AE108" s="144"/>
      <c r="AF108" s="144"/>
    </row>
    <row r="109" spans="2:41" ht="17.5" x14ac:dyDescent="0.45">
      <c r="B109" s="164">
        <v>102</v>
      </c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7"/>
      <c r="N109" s="167"/>
      <c r="O109" s="169"/>
      <c r="P109" s="166"/>
      <c r="Q109" s="166"/>
      <c r="R109" s="166"/>
      <c r="S109" s="166"/>
      <c r="T109" s="166"/>
      <c r="U109" s="166"/>
      <c r="V109" s="128">
        <v>21.08</v>
      </c>
      <c r="W109" s="124">
        <v>0.68880000000000008</v>
      </c>
      <c r="X109" s="166"/>
      <c r="Y109" s="166"/>
      <c r="Z109" s="166"/>
      <c r="AA109" s="99"/>
      <c r="AB109" s="144"/>
      <c r="AC109" s="144"/>
      <c r="AD109" s="144"/>
      <c r="AE109" s="144"/>
      <c r="AF109" s="144"/>
    </row>
    <row r="110" spans="2:41" ht="17.5" x14ac:dyDescent="0.45">
      <c r="B110" s="164">
        <v>103</v>
      </c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7"/>
      <c r="N110" s="167"/>
      <c r="O110" s="169"/>
      <c r="P110" s="166"/>
      <c r="Q110" s="166"/>
      <c r="R110" s="166"/>
      <c r="S110" s="166"/>
      <c r="T110" s="166"/>
      <c r="U110" s="166"/>
      <c r="V110" s="128">
        <v>21.26</v>
      </c>
      <c r="W110" s="124">
        <v>0.69079999999999997</v>
      </c>
      <c r="X110" s="166"/>
      <c r="Y110" s="166"/>
      <c r="Z110" s="166"/>
      <c r="AA110" s="99"/>
      <c r="AB110" s="144"/>
      <c r="AC110" s="144"/>
      <c r="AD110" s="144"/>
      <c r="AE110" s="144"/>
      <c r="AF110" s="144"/>
    </row>
    <row r="111" spans="2:41" ht="17.5" x14ac:dyDescent="0.45">
      <c r="B111" s="164">
        <v>104</v>
      </c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7"/>
      <c r="N111" s="167"/>
      <c r="O111" s="169"/>
      <c r="P111" s="166"/>
      <c r="Q111" s="166"/>
      <c r="R111" s="166"/>
      <c r="S111" s="166"/>
      <c r="T111" s="166"/>
      <c r="U111" s="166"/>
      <c r="V111" s="128">
        <v>21.43</v>
      </c>
      <c r="W111" s="124">
        <v>0.69269999999999998</v>
      </c>
      <c r="X111" s="166"/>
      <c r="Y111" s="166"/>
      <c r="Z111" s="166"/>
      <c r="AA111" s="99"/>
      <c r="AB111" s="144"/>
      <c r="AC111" s="144"/>
      <c r="AD111" s="144"/>
      <c r="AE111" s="144"/>
      <c r="AF111" s="144"/>
    </row>
    <row r="112" spans="2:41" ht="17.5" x14ac:dyDescent="0.45">
      <c r="B112" s="164">
        <v>105</v>
      </c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7"/>
      <c r="N112" s="167"/>
      <c r="O112" s="169"/>
      <c r="P112" s="166"/>
      <c r="Q112" s="166"/>
      <c r="R112" s="166"/>
      <c r="S112" s="166"/>
      <c r="T112" s="166"/>
      <c r="U112" s="166"/>
      <c r="V112" s="128">
        <v>21.61</v>
      </c>
      <c r="W112" s="124">
        <v>0.69469999999999998</v>
      </c>
      <c r="X112" s="166"/>
      <c r="Y112" s="166"/>
      <c r="Z112" s="166"/>
      <c r="AA112" s="99"/>
      <c r="AB112" s="144"/>
      <c r="AC112" s="144"/>
      <c r="AD112" s="144"/>
      <c r="AE112" s="144"/>
      <c r="AF112" s="144"/>
    </row>
    <row r="113" spans="2:32" ht="17.5" x14ac:dyDescent="0.45">
      <c r="B113" s="164">
        <v>106</v>
      </c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7"/>
      <c r="N113" s="167"/>
      <c r="O113" s="169"/>
      <c r="P113" s="166"/>
      <c r="Q113" s="166"/>
      <c r="R113" s="166"/>
      <c r="S113" s="166"/>
      <c r="T113" s="166"/>
      <c r="U113" s="166"/>
      <c r="V113" s="128">
        <v>21.8</v>
      </c>
      <c r="W113" s="124">
        <v>0.6966</v>
      </c>
      <c r="X113" s="166"/>
      <c r="Y113" s="166"/>
      <c r="Z113" s="166"/>
      <c r="AA113" s="99"/>
      <c r="AB113" s="144"/>
      <c r="AC113" s="144"/>
      <c r="AD113" s="144"/>
      <c r="AE113" s="144"/>
      <c r="AF113" s="144"/>
    </row>
    <row r="114" spans="2:32" ht="17.5" x14ac:dyDescent="0.45">
      <c r="B114" s="164">
        <v>107</v>
      </c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7"/>
      <c r="N114" s="167"/>
      <c r="O114" s="169"/>
      <c r="P114" s="166"/>
      <c r="Q114" s="166"/>
      <c r="R114" s="166"/>
      <c r="S114" s="166"/>
      <c r="T114" s="166"/>
      <c r="U114" s="166"/>
      <c r="V114" s="128">
        <v>21.98</v>
      </c>
      <c r="W114" s="124">
        <v>0.6986</v>
      </c>
      <c r="X114" s="166"/>
      <c r="Y114" s="166"/>
      <c r="Z114" s="166"/>
      <c r="AA114" s="99"/>
      <c r="AB114" s="144"/>
      <c r="AC114" s="144"/>
      <c r="AD114" s="144"/>
      <c r="AE114" s="144"/>
      <c r="AF114" s="144"/>
    </row>
    <row r="115" spans="2:32" ht="17.5" x14ac:dyDescent="0.45">
      <c r="B115" s="164">
        <v>108</v>
      </c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7"/>
      <c r="N115" s="167"/>
      <c r="O115" s="169"/>
      <c r="P115" s="166"/>
      <c r="Q115" s="166"/>
      <c r="R115" s="166"/>
      <c r="S115" s="166"/>
      <c r="T115" s="166"/>
      <c r="U115" s="166"/>
      <c r="V115" s="128">
        <v>22.17</v>
      </c>
      <c r="W115" s="124">
        <v>0.7004999999999999</v>
      </c>
      <c r="X115" s="166"/>
      <c r="Y115" s="166"/>
      <c r="Z115" s="166"/>
      <c r="AA115" s="99"/>
      <c r="AB115" s="144"/>
      <c r="AC115" s="144"/>
      <c r="AD115" s="144"/>
      <c r="AE115" s="144"/>
      <c r="AF115" s="144"/>
    </row>
    <row r="116" spans="2:32" ht="17.5" x14ac:dyDescent="0.45">
      <c r="B116" s="164">
        <v>109</v>
      </c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7"/>
      <c r="N116" s="167"/>
      <c r="O116" s="169"/>
      <c r="P116" s="166"/>
      <c r="Q116" s="166"/>
      <c r="R116" s="166"/>
      <c r="S116" s="166"/>
      <c r="T116" s="166"/>
      <c r="U116" s="166"/>
      <c r="V116" s="128">
        <v>22.37</v>
      </c>
      <c r="W116" s="124">
        <v>0.70240000000000002</v>
      </c>
      <c r="X116" s="166"/>
      <c r="Y116" s="166"/>
      <c r="Z116" s="166"/>
      <c r="AA116" s="99"/>
      <c r="AB116" s="144"/>
      <c r="AC116" s="144"/>
      <c r="AD116" s="144"/>
      <c r="AE116" s="144"/>
      <c r="AF116" s="144"/>
    </row>
    <row r="117" spans="2:32" ht="17.5" x14ac:dyDescent="0.45">
      <c r="B117" s="164">
        <v>110</v>
      </c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7"/>
      <c r="N117" s="167"/>
      <c r="O117" s="169"/>
      <c r="P117" s="166"/>
      <c r="Q117" s="166"/>
      <c r="R117" s="166"/>
      <c r="S117" s="166"/>
      <c r="T117" s="166"/>
      <c r="U117" s="166"/>
      <c r="V117" s="128">
        <v>22.57</v>
      </c>
      <c r="W117" s="124">
        <v>0.70440000000000003</v>
      </c>
      <c r="X117" s="166"/>
      <c r="Y117" s="166"/>
      <c r="Z117" s="166"/>
      <c r="AA117" s="99"/>
      <c r="AB117" s="144"/>
      <c r="AC117" s="144"/>
      <c r="AD117" s="144"/>
      <c r="AE117" s="144"/>
      <c r="AF117" s="144"/>
    </row>
    <row r="118" spans="2:32" ht="17.5" x14ac:dyDescent="0.45">
      <c r="B118" s="164">
        <v>111</v>
      </c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7"/>
      <c r="N118" s="167"/>
      <c r="O118" s="169"/>
      <c r="P118" s="166"/>
      <c r="Q118" s="166"/>
      <c r="R118" s="166"/>
      <c r="S118" s="166"/>
      <c r="T118" s="166"/>
      <c r="U118" s="166"/>
      <c r="V118" s="128">
        <v>22.77</v>
      </c>
      <c r="W118" s="124">
        <v>0.70629999999999993</v>
      </c>
      <c r="X118" s="166"/>
      <c r="Y118" s="166"/>
      <c r="Z118" s="166"/>
      <c r="AA118" s="99"/>
      <c r="AB118" s="144"/>
      <c r="AC118" s="144"/>
      <c r="AD118" s="144"/>
      <c r="AE118" s="144"/>
      <c r="AF118" s="144"/>
    </row>
    <row r="119" spans="2:32" ht="17.5" x14ac:dyDescent="0.45">
      <c r="B119" s="164">
        <v>112</v>
      </c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7"/>
      <c r="N119" s="167"/>
      <c r="O119" s="169"/>
      <c r="P119" s="166"/>
      <c r="Q119" s="166"/>
      <c r="R119" s="166"/>
      <c r="S119" s="166"/>
      <c r="T119" s="166"/>
      <c r="U119" s="166"/>
      <c r="V119" s="128">
        <v>23.01</v>
      </c>
      <c r="W119" s="124">
        <v>0.70830000000000004</v>
      </c>
      <c r="X119" s="166"/>
      <c r="Y119" s="166"/>
      <c r="Z119" s="166"/>
      <c r="AA119" s="99"/>
      <c r="AB119" s="144"/>
      <c r="AC119" s="144"/>
      <c r="AD119" s="144"/>
      <c r="AE119" s="144"/>
      <c r="AF119" s="144"/>
    </row>
    <row r="120" spans="2:32" ht="17.5" x14ac:dyDescent="0.45">
      <c r="B120" s="164">
        <v>113</v>
      </c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7"/>
      <c r="N120" s="167"/>
      <c r="O120" s="169"/>
      <c r="P120" s="166"/>
      <c r="Q120" s="166"/>
      <c r="R120" s="166"/>
      <c r="S120" s="166"/>
      <c r="T120" s="166"/>
      <c r="U120" s="166"/>
      <c r="V120" s="128">
        <v>23.21</v>
      </c>
      <c r="W120" s="124">
        <v>0.71020000000000005</v>
      </c>
      <c r="X120" s="166"/>
      <c r="Y120" s="166"/>
      <c r="Z120" s="166"/>
      <c r="AA120" s="99"/>
      <c r="AB120" s="144"/>
      <c r="AC120" s="144"/>
      <c r="AD120" s="144"/>
      <c r="AE120" s="144"/>
      <c r="AF120" s="144"/>
    </row>
    <row r="121" spans="2:32" ht="17.5" x14ac:dyDescent="0.45">
      <c r="B121" s="164">
        <v>114</v>
      </c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7"/>
      <c r="N121" s="167"/>
      <c r="O121" s="169"/>
      <c r="P121" s="166"/>
      <c r="Q121" s="166"/>
      <c r="R121" s="166"/>
      <c r="S121" s="166"/>
      <c r="T121" s="166"/>
      <c r="U121" s="166"/>
      <c r="V121" s="128">
        <v>23.42</v>
      </c>
      <c r="W121" s="124">
        <v>0.71219999999999994</v>
      </c>
      <c r="X121" s="166"/>
      <c r="Y121" s="166"/>
      <c r="Z121" s="166"/>
      <c r="AA121" s="99"/>
      <c r="AB121" s="144"/>
      <c r="AC121" s="144"/>
      <c r="AD121" s="144"/>
      <c r="AE121" s="144"/>
      <c r="AF121" s="144"/>
    </row>
    <row r="122" spans="2:32" ht="17.5" x14ac:dyDescent="0.45">
      <c r="B122" s="164">
        <v>115</v>
      </c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7"/>
      <c r="N122" s="167"/>
      <c r="O122" s="169"/>
      <c r="P122" s="166"/>
      <c r="Q122" s="166"/>
      <c r="R122" s="166"/>
      <c r="S122" s="166"/>
      <c r="T122" s="166"/>
      <c r="U122" s="166"/>
      <c r="V122" s="128">
        <v>23.64</v>
      </c>
      <c r="W122" s="124">
        <v>0.71409999999999996</v>
      </c>
      <c r="X122" s="166"/>
      <c r="Y122" s="166"/>
      <c r="Z122" s="166"/>
      <c r="AA122" s="99"/>
      <c r="AB122" s="144"/>
      <c r="AC122" s="144"/>
      <c r="AD122" s="144"/>
      <c r="AE122" s="144"/>
      <c r="AF122" s="144"/>
    </row>
    <row r="123" spans="2:32" ht="17.5" x14ac:dyDescent="0.45">
      <c r="B123" s="164">
        <v>116</v>
      </c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7"/>
      <c r="N123" s="167"/>
      <c r="O123" s="169"/>
      <c r="P123" s="166"/>
      <c r="Q123" s="166"/>
      <c r="R123" s="166"/>
      <c r="S123" s="166"/>
      <c r="T123" s="166"/>
      <c r="U123" s="166"/>
      <c r="V123" s="128">
        <v>23.86</v>
      </c>
      <c r="W123" s="124">
        <v>0.71609999999999996</v>
      </c>
      <c r="X123" s="166"/>
      <c r="Y123" s="166"/>
      <c r="Z123" s="166"/>
      <c r="AA123" s="99"/>
      <c r="AB123" s="144"/>
      <c r="AC123" s="144"/>
      <c r="AD123" s="144"/>
      <c r="AE123" s="144"/>
      <c r="AF123" s="144"/>
    </row>
    <row r="124" spans="2:32" ht="17.5" x14ac:dyDescent="0.45">
      <c r="B124" s="164">
        <v>117</v>
      </c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7"/>
      <c r="N124" s="167"/>
      <c r="O124" s="169"/>
      <c r="P124" s="166"/>
      <c r="Q124" s="166"/>
      <c r="R124" s="166"/>
      <c r="S124" s="166"/>
      <c r="T124" s="166"/>
      <c r="U124" s="166"/>
      <c r="V124" s="128">
        <v>24.08</v>
      </c>
      <c r="W124" s="124">
        <v>0.71799999999999997</v>
      </c>
      <c r="X124" s="166"/>
      <c r="Y124" s="166"/>
      <c r="Z124" s="166"/>
      <c r="AA124" s="99"/>
      <c r="AB124" s="144"/>
      <c r="AC124" s="144"/>
      <c r="AD124" s="144"/>
      <c r="AE124" s="144"/>
      <c r="AF124" s="144"/>
    </row>
    <row r="125" spans="2:32" ht="17.5" x14ac:dyDescent="0.45">
      <c r="B125" s="164">
        <v>118</v>
      </c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7"/>
      <c r="N125" s="167"/>
      <c r="O125" s="169"/>
      <c r="P125" s="166"/>
      <c r="Q125" s="166"/>
      <c r="R125" s="166"/>
      <c r="S125" s="166"/>
      <c r="T125" s="166"/>
      <c r="U125" s="166"/>
      <c r="V125" s="128">
        <v>24.31</v>
      </c>
      <c r="W125" s="124">
        <v>0.72009999999999996</v>
      </c>
      <c r="X125" s="166"/>
      <c r="Y125" s="166"/>
      <c r="Z125" s="166"/>
      <c r="AA125" s="99"/>
      <c r="AB125" s="144"/>
      <c r="AC125" s="144"/>
      <c r="AD125" s="144"/>
      <c r="AE125" s="144"/>
      <c r="AF125" s="144"/>
    </row>
    <row r="126" spans="2:32" ht="17.5" x14ac:dyDescent="0.45">
      <c r="B126" s="164">
        <v>119</v>
      </c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7"/>
      <c r="N126" s="167"/>
      <c r="O126" s="169"/>
      <c r="P126" s="166"/>
      <c r="Q126" s="166"/>
      <c r="R126" s="166"/>
      <c r="S126" s="166"/>
      <c r="T126" s="166"/>
      <c r="U126" s="166"/>
      <c r="V126" s="128">
        <v>24.55</v>
      </c>
      <c r="W126" s="124">
        <v>0.72210000000000008</v>
      </c>
      <c r="X126" s="166"/>
      <c r="Y126" s="166"/>
      <c r="Z126" s="166"/>
      <c r="AA126" s="99"/>
      <c r="AB126" s="144"/>
      <c r="AC126" s="144"/>
      <c r="AD126" s="144"/>
      <c r="AE126" s="144"/>
      <c r="AF126" s="144"/>
    </row>
    <row r="127" spans="2:32" ht="17.5" x14ac:dyDescent="0.45">
      <c r="B127" s="164">
        <v>120</v>
      </c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7"/>
      <c r="N127" s="167"/>
      <c r="O127" s="169"/>
      <c r="P127" s="166"/>
      <c r="Q127" s="166"/>
      <c r="R127" s="166"/>
      <c r="S127" s="166"/>
      <c r="T127" s="166"/>
      <c r="U127" s="166"/>
      <c r="V127" s="128">
        <v>24.78</v>
      </c>
      <c r="W127" s="124">
        <v>0.72400000000000009</v>
      </c>
      <c r="X127" s="166"/>
      <c r="Y127" s="166"/>
      <c r="Z127" s="166"/>
      <c r="AA127" s="99"/>
      <c r="AB127" s="144"/>
      <c r="AC127" s="144"/>
      <c r="AD127" s="144"/>
      <c r="AE127" s="144"/>
      <c r="AF127" s="144"/>
    </row>
    <row r="128" spans="2:32" ht="17.5" x14ac:dyDescent="0.45">
      <c r="B128" s="164">
        <v>121</v>
      </c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7"/>
      <c r="N128" s="167"/>
      <c r="O128" s="169"/>
      <c r="P128" s="166"/>
      <c r="Q128" s="166"/>
      <c r="R128" s="166"/>
      <c r="S128" s="166"/>
      <c r="T128" s="166"/>
      <c r="U128" s="166"/>
      <c r="V128" s="128">
        <v>25.02</v>
      </c>
      <c r="W128" s="124">
        <v>0.72589999999999999</v>
      </c>
      <c r="X128" s="166"/>
      <c r="Y128" s="166"/>
      <c r="Z128" s="166"/>
      <c r="AA128" s="99"/>
      <c r="AB128" s="144"/>
      <c r="AC128" s="144"/>
      <c r="AD128" s="144"/>
      <c r="AE128" s="144"/>
      <c r="AF128" s="144"/>
    </row>
    <row r="129" spans="2:32" ht="17.5" x14ac:dyDescent="0.45">
      <c r="B129" s="164">
        <v>122</v>
      </c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7"/>
      <c r="N129" s="167"/>
      <c r="O129" s="169"/>
      <c r="P129" s="166"/>
      <c r="Q129" s="166"/>
      <c r="R129" s="166"/>
      <c r="S129" s="166"/>
      <c r="T129" s="166"/>
      <c r="U129" s="166"/>
      <c r="V129" s="128">
        <v>25.27</v>
      </c>
      <c r="W129" s="124">
        <v>0.72789999999999999</v>
      </c>
      <c r="X129" s="166"/>
      <c r="Y129" s="166"/>
      <c r="Z129" s="166"/>
      <c r="AA129" s="99"/>
      <c r="AB129" s="144"/>
      <c r="AC129" s="144"/>
      <c r="AD129" s="144"/>
      <c r="AE129" s="144"/>
      <c r="AF129" s="144"/>
    </row>
    <row r="130" spans="2:32" ht="17.5" x14ac:dyDescent="0.45">
      <c r="B130" s="164">
        <v>123</v>
      </c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7"/>
      <c r="N130" s="167"/>
      <c r="O130" s="169"/>
      <c r="P130" s="166"/>
      <c r="Q130" s="166"/>
      <c r="R130" s="166"/>
      <c r="S130" s="166"/>
      <c r="T130" s="166"/>
      <c r="U130" s="166"/>
      <c r="V130" s="128">
        <v>25.52</v>
      </c>
      <c r="W130" s="124">
        <v>0.7298</v>
      </c>
      <c r="X130" s="166"/>
      <c r="Y130" s="166"/>
      <c r="Z130" s="166"/>
      <c r="AA130" s="99"/>
      <c r="AB130" s="144"/>
      <c r="AC130" s="144"/>
      <c r="AD130" s="144"/>
      <c r="AE130" s="144"/>
      <c r="AF130" s="144"/>
    </row>
    <row r="131" spans="2:32" ht="17.5" x14ac:dyDescent="0.45">
      <c r="B131" s="164">
        <v>124</v>
      </c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7"/>
      <c r="N131" s="167"/>
      <c r="O131" s="169"/>
      <c r="P131" s="166"/>
      <c r="Q131" s="166"/>
      <c r="R131" s="166"/>
      <c r="S131" s="166"/>
      <c r="T131" s="166"/>
      <c r="U131" s="166"/>
      <c r="V131" s="128">
        <v>25.78</v>
      </c>
      <c r="W131" s="124">
        <v>0.73180000000000001</v>
      </c>
      <c r="X131" s="166"/>
      <c r="Y131" s="166"/>
      <c r="Z131" s="166"/>
      <c r="AA131" s="99"/>
      <c r="AB131" s="144"/>
      <c r="AC131" s="144"/>
      <c r="AD131" s="144"/>
      <c r="AE131" s="144"/>
      <c r="AF131" s="144"/>
    </row>
    <row r="132" spans="2:32" ht="17.5" x14ac:dyDescent="0.45">
      <c r="B132" s="164">
        <v>125</v>
      </c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7"/>
      <c r="N132" s="167"/>
      <c r="O132" s="169"/>
      <c r="P132" s="166"/>
      <c r="Q132" s="166"/>
      <c r="R132" s="166"/>
      <c r="S132" s="166"/>
      <c r="T132" s="166"/>
      <c r="U132" s="166"/>
      <c r="V132" s="128">
        <v>26.04</v>
      </c>
      <c r="W132" s="124">
        <v>0.73370000000000002</v>
      </c>
      <c r="X132" s="166"/>
      <c r="Y132" s="166"/>
      <c r="Z132" s="166"/>
      <c r="AA132" s="99"/>
      <c r="AB132" s="144"/>
      <c r="AC132" s="144"/>
      <c r="AD132" s="144"/>
      <c r="AE132" s="144"/>
      <c r="AF132" s="144"/>
    </row>
    <row r="133" spans="2:32" ht="17.5" x14ac:dyDescent="0.45">
      <c r="B133" s="164">
        <v>126</v>
      </c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7"/>
      <c r="N133" s="167"/>
      <c r="O133" s="169"/>
      <c r="P133" s="166"/>
      <c r="Q133" s="166"/>
      <c r="R133" s="166"/>
      <c r="S133" s="166"/>
      <c r="T133" s="166"/>
      <c r="U133" s="166"/>
      <c r="V133" s="128">
        <v>26.31</v>
      </c>
      <c r="W133" s="124">
        <v>0.73570000000000002</v>
      </c>
      <c r="X133" s="166"/>
      <c r="Y133" s="166"/>
      <c r="Z133" s="166"/>
      <c r="AA133" s="99"/>
      <c r="AB133" s="144"/>
      <c r="AC133" s="144"/>
      <c r="AD133" s="144"/>
      <c r="AE133" s="144"/>
      <c r="AF133" s="144"/>
    </row>
    <row r="134" spans="2:32" ht="17.5" x14ac:dyDescent="0.45">
      <c r="B134" s="164">
        <v>127</v>
      </c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7"/>
      <c r="N134" s="167"/>
      <c r="O134" s="169"/>
      <c r="P134" s="166"/>
      <c r="Q134" s="166"/>
      <c r="R134" s="166"/>
      <c r="S134" s="166"/>
      <c r="T134" s="166"/>
      <c r="U134" s="166"/>
      <c r="V134" s="128">
        <v>26.59</v>
      </c>
      <c r="W134" s="124">
        <v>0.73760000000000003</v>
      </c>
      <c r="X134" s="166"/>
      <c r="Y134" s="166"/>
      <c r="Z134" s="166"/>
      <c r="AA134" s="99"/>
      <c r="AB134" s="144"/>
      <c r="AC134" s="144"/>
      <c r="AD134" s="144"/>
      <c r="AE134" s="144"/>
      <c r="AF134" s="144"/>
    </row>
    <row r="135" spans="2:32" ht="17.5" x14ac:dyDescent="0.45">
      <c r="B135" s="164">
        <v>128</v>
      </c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24">
        <v>0.73960000000000004</v>
      </c>
      <c r="X135" s="171"/>
      <c r="Y135" s="171"/>
      <c r="Z135" s="171"/>
      <c r="AA135" s="99"/>
      <c r="AB135" s="144"/>
      <c r="AC135" s="144"/>
      <c r="AD135" s="144"/>
      <c r="AE135" s="144"/>
      <c r="AF135" s="144"/>
    </row>
    <row r="136" spans="2:32" ht="17.5" x14ac:dyDescent="0.45">
      <c r="B136" s="164">
        <v>129</v>
      </c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24">
        <v>0.74149999999999994</v>
      </c>
      <c r="X136" s="171"/>
      <c r="Y136" s="171"/>
      <c r="Z136" s="171"/>
      <c r="AA136" s="99"/>
      <c r="AB136" s="144"/>
      <c r="AC136" s="144"/>
      <c r="AD136" s="144"/>
      <c r="AE136" s="144"/>
      <c r="AF136" s="144"/>
    </row>
    <row r="137" spans="2:32" ht="17.5" x14ac:dyDescent="0.45">
      <c r="B137" s="164">
        <v>130</v>
      </c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24">
        <v>0.74339999999999995</v>
      </c>
      <c r="X137" s="171"/>
      <c r="Y137" s="171"/>
      <c r="Z137" s="171"/>
      <c r="AA137" s="99"/>
      <c r="AB137" s="144"/>
      <c r="AC137" s="144"/>
      <c r="AD137" s="144"/>
      <c r="AE137" s="144"/>
      <c r="AF137" s="144"/>
    </row>
    <row r="138" spans="2:32" ht="17.5" x14ac:dyDescent="0.45">
      <c r="B138" s="164">
        <v>131</v>
      </c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24">
        <v>0.74540000000000006</v>
      </c>
      <c r="X138" s="171"/>
      <c r="Y138" s="171"/>
      <c r="Z138" s="171"/>
      <c r="AA138" s="99"/>
      <c r="AB138" s="144"/>
      <c r="AC138" s="144"/>
      <c r="AD138" s="144"/>
      <c r="AE138" s="144"/>
      <c r="AF138" s="144"/>
    </row>
    <row r="139" spans="2:32" ht="17.5" x14ac:dyDescent="0.45">
      <c r="B139" s="164">
        <v>132</v>
      </c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24">
        <v>0.74729999999999996</v>
      </c>
      <c r="X139" s="171"/>
      <c r="Y139" s="171"/>
      <c r="Z139" s="171"/>
      <c r="AA139" s="99"/>
      <c r="AB139" s="144"/>
      <c r="AC139" s="144"/>
      <c r="AD139" s="144"/>
      <c r="AE139" s="144"/>
      <c r="AF139" s="144"/>
    </row>
    <row r="140" spans="2:32" ht="17.5" x14ac:dyDescent="0.45">
      <c r="B140" s="164">
        <v>133</v>
      </c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24">
        <v>0.74930000000000008</v>
      </c>
      <c r="X140" s="171"/>
      <c r="Y140" s="171"/>
      <c r="Z140" s="171"/>
      <c r="AA140" s="99"/>
      <c r="AB140" s="144"/>
      <c r="AC140" s="144"/>
      <c r="AD140" s="144"/>
      <c r="AE140" s="144"/>
      <c r="AF140" s="144"/>
    </row>
    <row r="141" spans="2:32" ht="17.5" x14ac:dyDescent="0.45">
      <c r="B141" s="164">
        <v>134</v>
      </c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24">
        <v>0.75140000000000007</v>
      </c>
      <c r="X141" s="171"/>
      <c r="Y141" s="171"/>
      <c r="Z141" s="171"/>
      <c r="AA141" s="99"/>
      <c r="AB141" s="144"/>
      <c r="AC141" s="144"/>
      <c r="AD141" s="144"/>
      <c r="AE141" s="144"/>
      <c r="AF141" s="144"/>
    </row>
    <row r="142" spans="2:32" ht="17.5" x14ac:dyDescent="0.45">
      <c r="B142" s="164">
        <v>135</v>
      </c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24">
        <v>0.75330000000000008</v>
      </c>
      <c r="X142" s="171"/>
      <c r="Y142" s="171"/>
      <c r="Z142" s="171"/>
      <c r="AA142" s="99"/>
      <c r="AB142" s="144"/>
      <c r="AC142" s="144"/>
      <c r="AD142" s="144"/>
      <c r="AE142" s="144"/>
      <c r="AF142" s="144"/>
    </row>
    <row r="143" spans="2:32" ht="17.5" x14ac:dyDescent="0.45">
      <c r="B143" s="164">
        <v>136</v>
      </c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24">
        <v>0.75529999999999997</v>
      </c>
      <c r="X143" s="171"/>
      <c r="Y143" s="171"/>
      <c r="Z143" s="171"/>
      <c r="AA143" s="99"/>
      <c r="AB143" s="144"/>
      <c r="AC143" s="144"/>
      <c r="AD143" s="144"/>
      <c r="AE143" s="144"/>
      <c r="AF143" s="144"/>
    </row>
    <row r="144" spans="2:32" ht="17.5" x14ac:dyDescent="0.45">
      <c r="B144" s="164">
        <v>137</v>
      </c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24">
        <v>0.75719999999999998</v>
      </c>
      <c r="X144" s="171"/>
      <c r="Y144" s="171"/>
      <c r="Z144" s="171"/>
      <c r="AA144" s="99"/>
      <c r="AB144" s="144"/>
      <c r="AC144" s="144"/>
      <c r="AD144" s="144"/>
      <c r="AE144" s="144"/>
      <c r="AF144" s="144"/>
    </row>
    <row r="145" spans="2:32" ht="17.5" x14ac:dyDescent="0.45">
      <c r="B145" s="164">
        <v>138</v>
      </c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24">
        <v>0.75919999999999999</v>
      </c>
      <c r="X145" s="171"/>
      <c r="Y145" s="171"/>
      <c r="Z145" s="171"/>
      <c r="AA145" s="99"/>
      <c r="AB145" s="144"/>
      <c r="AC145" s="144"/>
      <c r="AD145" s="144"/>
      <c r="AE145" s="144"/>
      <c r="AF145" s="144"/>
    </row>
    <row r="146" spans="2:32" ht="17.5" x14ac:dyDescent="0.45">
      <c r="B146" s="164">
        <v>139</v>
      </c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24">
        <v>0.7611</v>
      </c>
      <c r="X146" s="171"/>
      <c r="Y146" s="171"/>
      <c r="Z146" s="171"/>
      <c r="AA146" s="99"/>
      <c r="AB146" s="144"/>
      <c r="AC146" s="144"/>
      <c r="AD146" s="144"/>
      <c r="AE146" s="144"/>
      <c r="AF146" s="144"/>
    </row>
    <row r="147" spans="2:32" ht="17.5" x14ac:dyDescent="0.45">
      <c r="B147" s="164">
        <v>140</v>
      </c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24">
        <v>0.7631</v>
      </c>
      <c r="X147" s="171"/>
      <c r="Y147" s="171"/>
      <c r="Z147" s="171"/>
      <c r="AA147" s="99"/>
      <c r="AB147" s="144"/>
      <c r="AC147" s="144"/>
      <c r="AD147" s="144"/>
      <c r="AE147" s="144"/>
      <c r="AF147" s="144"/>
    </row>
    <row r="148" spans="2:32" ht="17.5" x14ac:dyDescent="0.45">
      <c r="B148" s="164">
        <v>141</v>
      </c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24">
        <v>0.7649999999999999</v>
      </c>
      <c r="X148" s="171"/>
      <c r="Y148" s="171"/>
      <c r="Z148" s="171"/>
      <c r="AA148" s="99"/>
      <c r="AB148" s="144"/>
      <c r="AC148" s="144"/>
      <c r="AD148" s="144"/>
      <c r="AE148" s="144"/>
      <c r="AF148" s="144"/>
    </row>
    <row r="149" spans="2:32" ht="17.5" x14ac:dyDescent="0.45">
      <c r="B149" s="164">
        <v>142</v>
      </c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24">
        <v>0.76690000000000003</v>
      </c>
      <c r="X149" s="171"/>
      <c r="Y149" s="171"/>
      <c r="Z149" s="171"/>
      <c r="AA149" s="99"/>
      <c r="AB149" s="144"/>
      <c r="AC149" s="144"/>
      <c r="AD149" s="144"/>
      <c r="AE149" s="144"/>
      <c r="AF149" s="144"/>
    </row>
    <row r="150" spans="2:32" ht="17.5" x14ac:dyDescent="0.45">
      <c r="B150" s="164">
        <v>143</v>
      </c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24">
        <v>0.76890000000000003</v>
      </c>
      <c r="X150" s="171"/>
      <c r="Y150" s="171"/>
      <c r="Z150" s="171"/>
      <c r="AA150" s="99"/>
      <c r="AB150" s="144"/>
      <c r="AC150" s="144"/>
      <c r="AD150" s="144"/>
      <c r="AE150" s="144"/>
      <c r="AF150" s="144"/>
    </row>
    <row r="151" spans="2:32" ht="17.5" x14ac:dyDescent="0.45">
      <c r="B151" s="164">
        <v>144</v>
      </c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24">
        <v>0.77079999999999993</v>
      </c>
      <c r="X151" s="171"/>
      <c r="Y151" s="171"/>
      <c r="Z151" s="171"/>
      <c r="AA151" s="99"/>
      <c r="AB151" s="144"/>
      <c r="AC151" s="144"/>
      <c r="AD151" s="144"/>
      <c r="AE151" s="144"/>
      <c r="AF151" s="144"/>
    </row>
    <row r="152" spans="2:32" ht="17.5" x14ac:dyDescent="0.45">
      <c r="B152" s="164">
        <v>145</v>
      </c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24">
        <v>0.77280000000000004</v>
      </c>
      <c r="X152" s="171"/>
      <c r="Y152" s="171"/>
      <c r="Z152" s="171"/>
      <c r="AA152" s="99"/>
      <c r="AB152" s="144"/>
      <c r="AC152" s="144"/>
      <c r="AD152" s="144"/>
      <c r="AE152" s="144"/>
      <c r="AF152" s="144"/>
    </row>
    <row r="153" spans="2:32" ht="17.5" x14ac:dyDescent="0.45">
      <c r="B153" s="164">
        <v>146</v>
      </c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24">
        <v>0.77470000000000006</v>
      </c>
      <c r="X153" s="171"/>
      <c r="Y153" s="171"/>
      <c r="Z153" s="171"/>
      <c r="AA153" s="99"/>
      <c r="AB153" s="144"/>
      <c r="AC153" s="144"/>
      <c r="AD153" s="144"/>
      <c r="AE153" s="144"/>
      <c r="AF153" s="144"/>
    </row>
    <row r="154" spans="2:32" ht="17.5" x14ac:dyDescent="0.45">
      <c r="B154" s="164">
        <v>147</v>
      </c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24">
        <v>0.77669999999999995</v>
      </c>
      <c r="X154" s="171"/>
      <c r="Y154" s="171"/>
      <c r="Z154" s="171"/>
      <c r="AA154" s="99"/>
      <c r="AB154" s="144"/>
      <c r="AC154" s="144"/>
      <c r="AD154" s="144"/>
      <c r="AE154" s="144"/>
      <c r="AF154" s="144"/>
    </row>
    <row r="155" spans="2:32" ht="17.5" x14ac:dyDescent="0.45">
      <c r="B155" s="164">
        <v>148</v>
      </c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24">
        <v>0.77859999999999996</v>
      </c>
      <c r="X155" s="171"/>
      <c r="Y155" s="171"/>
      <c r="Z155" s="171"/>
      <c r="AA155" s="99"/>
      <c r="AB155" s="144"/>
      <c r="AC155" s="144"/>
      <c r="AD155" s="144"/>
      <c r="AE155" s="144"/>
      <c r="AF155" s="144"/>
    </row>
    <row r="156" spans="2:32" ht="17.5" x14ac:dyDescent="0.45">
      <c r="B156" s="164">
        <v>149</v>
      </c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24">
        <v>0.78059999999999996</v>
      </c>
      <c r="X156" s="171"/>
      <c r="Y156" s="171"/>
      <c r="Z156" s="171"/>
      <c r="AA156" s="99"/>
      <c r="AB156" s="144"/>
      <c r="AC156" s="144"/>
      <c r="AD156" s="144"/>
      <c r="AE156" s="144"/>
      <c r="AF156" s="144"/>
    </row>
    <row r="157" spans="2:32" ht="17.5" x14ac:dyDescent="0.45">
      <c r="B157" s="164">
        <v>150</v>
      </c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24">
        <v>0.78269999999999995</v>
      </c>
      <c r="X157" s="171"/>
      <c r="Y157" s="171"/>
      <c r="Z157" s="171"/>
      <c r="AA157" s="99"/>
      <c r="AB157" s="144"/>
      <c r="AC157" s="144"/>
      <c r="AD157" s="144"/>
      <c r="AE157" s="144"/>
      <c r="AF157" s="144"/>
    </row>
    <row r="158" spans="2:32" ht="17.5" x14ac:dyDescent="0.45">
      <c r="B158" s="164">
        <v>151</v>
      </c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24">
        <v>0.78459999999999996</v>
      </c>
      <c r="X158" s="171"/>
      <c r="Y158" s="171"/>
      <c r="Z158" s="171"/>
      <c r="AA158" s="99"/>
      <c r="AB158" s="144"/>
      <c r="AC158" s="144"/>
      <c r="AD158" s="144"/>
      <c r="AE158" s="144"/>
      <c r="AF158" s="144"/>
    </row>
    <row r="159" spans="2:32" ht="17.5" x14ac:dyDescent="0.45">
      <c r="B159" s="164">
        <v>152</v>
      </c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24">
        <v>0.78660000000000008</v>
      </c>
      <c r="X159" s="171"/>
      <c r="Y159" s="171"/>
      <c r="Z159" s="171"/>
      <c r="AA159" s="99"/>
      <c r="AB159" s="144"/>
      <c r="AC159" s="144"/>
      <c r="AD159" s="144"/>
      <c r="AE159" s="144"/>
      <c r="AF159" s="144"/>
    </row>
    <row r="160" spans="2:32" ht="17.5" x14ac:dyDescent="0.45">
      <c r="B160" s="164">
        <v>153</v>
      </c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24">
        <v>0.78849999999999998</v>
      </c>
      <c r="X160" s="171"/>
      <c r="Y160" s="171"/>
      <c r="Z160" s="171"/>
      <c r="AA160" s="99"/>
      <c r="AB160" s="144"/>
      <c r="AC160" s="144"/>
      <c r="AD160" s="144"/>
      <c r="AE160" s="144"/>
      <c r="AF160" s="144"/>
    </row>
    <row r="161" spans="2:32" ht="17.5" x14ac:dyDescent="0.45">
      <c r="B161" s="164">
        <v>154</v>
      </c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24">
        <v>0.79039999999999999</v>
      </c>
      <c r="X161" s="171"/>
      <c r="Y161" s="171"/>
      <c r="Z161" s="171"/>
      <c r="AA161" s="99"/>
      <c r="AB161" s="144"/>
      <c r="AC161" s="144"/>
      <c r="AD161" s="144"/>
      <c r="AE161" s="144"/>
      <c r="AF161" s="144"/>
    </row>
    <row r="162" spans="2:32" ht="17.5" x14ac:dyDescent="0.45">
      <c r="B162" s="164">
        <v>155</v>
      </c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24">
        <v>0.79239999999999999</v>
      </c>
      <c r="X162" s="171"/>
      <c r="Y162" s="171"/>
      <c r="Z162" s="171"/>
      <c r="AA162" s="99"/>
      <c r="AB162" s="144"/>
      <c r="AC162" s="144"/>
      <c r="AD162" s="144"/>
      <c r="AE162" s="144"/>
      <c r="AF162" s="144"/>
    </row>
    <row r="163" spans="2:32" ht="17.5" x14ac:dyDescent="0.45">
      <c r="B163" s="164">
        <v>156</v>
      </c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24">
        <v>0.79430000000000001</v>
      </c>
      <c r="X163" s="171"/>
      <c r="Y163" s="171"/>
      <c r="Z163" s="171"/>
      <c r="AA163" s="99"/>
      <c r="AB163" s="144"/>
      <c r="AC163" s="144"/>
      <c r="AD163" s="144"/>
      <c r="AE163" s="144"/>
      <c r="AF163" s="144"/>
    </row>
    <row r="164" spans="2:32" ht="17.5" x14ac:dyDescent="0.45">
      <c r="B164" s="164">
        <v>157</v>
      </c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24">
        <v>0.79630000000000001</v>
      </c>
      <c r="X164" s="171"/>
      <c r="Y164" s="171"/>
      <c r="Z164" s="171"/>
      <c r="AA164" s="99"/>
      <c r="AB164" s="144"/>
      <c r="AC164" s="144"/>
      <c r="AD164" s="144"/>
      <c r="AE164" s="144"/>
      <c r="AF164" s="144"/>
    </row>
    <row r="165" spans="2:32" ht="17.5" x14ac:dyDescent="0.45">
      <c r="B165" s="164">
        <v>158</v>
      </c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24">
        <v>0.79820000000000002</v>
      </c>
      <c r="X165" s="171"/>
      <c r="Y165" s="171"/>
      <c r="Z165" s="171"/>
      <c r="AA165" s="99"/>
      <c r="AB165" s="144"/>
      <c r="AC165" s="144"/>
      <c r="AD165" s="144"/>
      <c r="AE165" s="144"/>
      <c r="AF165" s="144"/>
    </row>
    <row r="166" spans="2:32" ht="17.5" x14ac:dyDescent="0.45">
      <c r="B166" s="164">
        <v>159</v>
      </c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24">
        <v>0.80020000000000002</v>
      </c>
      <c r="X166" s="171"/>
      <c r="Y166" s="171"/>
      <c r="Z166" s="171"/>
      <c r="AA166" s="99"/>
      <c r="AB166" s="144"/>
      <c r="AC166" s="144"/>
      <c r="AD166" s="144"/>
      <c r="AE166" s="144"/>
      <c r="AF166" s="144"/>
    </row>
    <row r="167" spans="2:32" ht="17.5" x14ac:dyDescent="0.45">
      <c r="B167" s="164">
        <v>160</v>
      </c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24">
        <v>0.80210000000000004</v>
      </c>
      <c r="X167" s="171"/>
      <c r="Y167" s="171"/>
      <c r="Z167" s="171"/>
      <c r="AA167" s="99"/>
      <c r="AB167" s="144"/>
      <c r="AC167" s="144"/>
      <c r="AD167" s="144"/>
      <c r="AE167" s="144"/>
      <c r="AF167" s="144"/>
    </row>
    <row r="168" spans="2:32" ht="17.5" x14ac:dyDescent="0.45">
      <c r="B168" s="164">
        <v>161</v>
      </c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24">
        <v>0.80409999999999993</v>
      </c>
      <c r="X168" s="171"/>
      <c r="Y168" s="171"/>
      <c r="Z168" s="171"/>
      <c r="AA168" s="99"/>
      <c r="AB168" s="144"/>
      <c r="AC168" s="144"/>
      <c r="AD168" s="144"/>
      <c r="AE168" s="144"/>
      <c r="AF168" s="144"/>
    </row>
    <row r="169" spans="2:32" ht="17.5" x14ac:dyDescent="0.45">
      <c r="B169" s="164">
        <v>162</v>
      </c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24">
        <v>0.80599999999999994</v>
      </c>
      <c r="X169" s="171"/>
      <c r="Y169" s="171"/>
      <c r="Z169" s="171"/>
      <c r="AA169" s="99"/>
      <c r="AB169" s="144"/>
      <c r="AC169" s="144"/>
      <c r="AD169" s="144"/>
      <c r="AE169" s="144"/>
      <c r="AF169" s="144"/>
    </row>
    <row r="170" spans="2:32" ht="17.5" x14ac:dyDescent="0.45">
      <c r="B170" s="164">
        <v>163</v>
      </c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24">
        <v>0.80789999999999995</v>
      </c>
      <c r="X170" s="171"/>
      <c r="Y170" s="171"/>
      <c r="Z170" s="171"/>
      <c r="AA170" s="99"/>
      <c r="AB170" s="144"/>
      <c r="AC170" s="144"/>
      <c r="AD170" s="144"/>
      <c r="AE170" s="144"/>
      <c r="AF170" s="144"/>
    </row>
    <row r="171" spans="2:32" ht="17.5" x14ac:dyDescent="0.45">
      <c r="B171" s="164">
        <v>164</v>
      </c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24">
        <v>0.80989999999999995</v>
      </c>
      <c r="X171" s="171"/>
      <c r="Y171" s="171"/>
      <c r="Z171" s="171"/>
      <c r="AA171" s="99"/>
      <c r="AB171" s="144"/>
      <c r="AC171" s="144"/>
      <c r="AD171" s="144"/>
      <c r="AE171" s="144"/>
      <c r="AF171" s="144"/>
    </row>
    <row r="172" spans="2:32" ht="17.5" x14ac:dyDescent="0.45">
      <c r="B172" s="164">
        <v>165</v>
      </c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24">
        <v>0.81179999999999997</v>
      </c>
      <c r="X172" s="171"/>
      <c r="Y172" s="171"/>
      <c r="Z172" s="171"/>
      <c r="AA172" s="99"/>
      <c r="AB172" s="144"/>
      <c r="AC172" s="144"/>
      <c r="AD172" s="144"/>
      <c r="AE172" s="144"/>
      <c r="AF172" s="144"/>
    </row>
    <row r="173" spans="2:32" ht="17.5" x14ac:dyDescent="0.45">
      <c r="B173" s="164">
        <v>166</v>
      </c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24">
        <v>0.81389999999999996</v>
      </c>
      <c r="X173" s="171"/>
      <c r="Y173" s="171"/>
      <c r="Z173" s="171"/>
      <c r="AA173" s="99"/>
      <c r="AB173" s="144"/>
      <c r="AC173" s="144"/>
      <c r="AD173" s="144"/>
      <c r="AE173" s="144"/>
      <c r="AF173" s="144"/>
    </row>
    <row r="174" spans="2:32" ht="17.5" x14ac:dyDescent="0.45">
      <c r="B174" s="164">
        <v>167</v>
      </c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24">
        <v>0.81590000000000007</v>
      </c>
      <c r="X174" s="171"/>
      <c r="Y174" s="171"/>
      <c r="Z174" s="171"/>
      <c r="AA174" s="99"/>
      <c r="AB174" s="144"/>
      <c r="AC174" s="144"/>
      <c r="AD174" s="144"/>
      <c r="AE174" s="144"/>
      <c r="AF174" s="144"/>
    </row>
    <row r="175" spans="2:32" ht="17.5" x14ac:dyDescent="0.45">
      <c r="B175" s="164">
        <v>168</v>
      </c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24">
        <v>0.81780000000000008</v>
      </c>
      <c r="X175" s="171"/>
      <c r="Y175" s="171"/>
      <c r="Z175" s="171"/>
      <c r="AA175" s="99"/>
      <c r="AB175" s="144"/>
      <c r="AC175" s="144"/>
      <c r="AD175" s="144"/>
      <c r="AE175" s="144"/>
      <c r="AF175" s="144"/>
    </row>
    <row r="176" spans="2:32" ht="17.5" x14ac:dyDescent="0.45">
      <c r="B176" s="164">
        <v>169</v>
      </c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24">
        <v>0.81979999999999997</v>
      </c>
      <c r="X176" s="171"/>
      <c r="Y176" s="171"/>
      <c r="Z176" s="171"/>
      <c r="AA176" s="99"/>
      <c r="AB176" s="144"/>
      <c r="AC176" s="144"/>
      <c r="AD176" s="144"/>
      <c r="AE176" s="144"/>
      <c r="AF176" s="144"/>
    </row>
    <row r="177" spans="2:32" ht="17.5" x14ac:dyDescent="0.45">
      <c r="B177" s="164">
        <v>170</v>
      </c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24">
        <v>0.82169999999999999</v>
      </c>
      <c r="X177" s="171"/>
      <c r="Y177" s="171"/>
      <c r="Z177" s="171"/>
      <c r="AA177" s="99"/>
      <c r="AB177" s="144"/>
      <c r="AC177" s="144"/>
      <c r="AD177" s="144"/>
      <c r="AE177" s="144"/>
      <c r="AF177" s="144"/>
    </row>
    <row r="178" spans="2:32" ht="17.5" x14ac:dyDescent="0.45">
      <c r="B178" s="164">
        <v>171</v>
      </c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24">
        <v>0.82369999999999999</v>
      </c>
      <c r="X178" s="171"/>
      <c r="Y178" s="171"/>
      <c r="Z178" s="171"/>
      <c r="AA178" s="99"/>
      <c r="AB178" s="144"/>
      <c r="AC178" s="144"/>
      <c r="AD178" s="144"/>
      <c r="AE178" s="144"/>
      <c r="AF178" s="144"/>
    </row>
    <row r="179" spans="2:32" ht="17.5" x14ac:dyDescent="0.45">
      <c r="B179" s="164">
        <v>172</v>
      </c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24">
        <v>0.8256</v>
      </c>
      <c r="X179" s="171"/>
      <c r="Y179" s="171"/>
      <c r="Z179" s="171"/>
      <c r="AA179" s="99"/>
      <c r="AB179" s="144"/>
      <c r="AC179" s="144"/>
      <c r="AD179" s="144"/>
      <c r="AE179" s="144"/>
      <c r="AF179" s="144"/>
    </row>
    <row r="180" spans="2:32" ht="17.5" x14ac:dyDescent="0.45">
      <c r="B180" s="164">
        <v>173</v>
      </c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24">
        <v>0.8276</v>
      </c>
      <c r="X180" s="171"/>
      <c r="Y180" s="171"/>
      <c r="Z180" s="171"/>
      <c r="AA180" s="99"/>
      <c r="AB180" s="144"/>
      <c r="AC180" s="144"/>
      <c r="AD180" s="144"/>
      <c r="AE180" s="144"/>
      <c r="AF180" s="144"/>
    </row>
    <row r="181" spans="2:32" ht="17.5" x14ac:dyDescent="0.45">
      <c r="B181" s="164">
        <v>174</v>
      </c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24">
        <v>0.82950000000000002</v>
      </c>
      <c r="X181" s="171"/>
      <c r="Y181" s="171"/>
      <c r="Z181" s="171"/>
      <c r="AA181" s="99"/>
      <c r="AB181" s="144"/>
      <c r="AC181" s="144"/>
      <c r="AD181" s="144"/>
      <c r="AE181" s="144"/>
      <c r="AF181" s="144"/>
    </row>
    <row r="182" spans="2:32" ht="17.5" x14ac:dyDescent="0.45">
      <c r="B182" s="164">
        <v>175</v>
      </c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24">
        <v>0.83140000000000003</v>
      </c>
      <c r="X182" s="171"/>
      <c r="Y182" s="171"/>
      <c r="Z182" s="171"/>
      <c r="AA182" s="99"/>
      <c r="AB182" s="144"/>
      <c r="AC182" s="144"/>
      <c r="AD182" s="144"/>
      <c r="AE182" s="144"/>
      <c r="AF182" s="144"/>
    </row>
    <row r="183" spans="2:32" ht="17.5" x14ac:dyDescent="0.45">
      <c r="B183" s="164">
        <v>176</v>
      </c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24">
        <v>0.83340000000000003</v>
      </c>
      <c r="X183" s="171"/>
      <c r="Y183" s="171"/>
      <c r="Z183" s="171"/>
      <c r="AA183" s="99"/>
      <c r="AB183" s="144"/>
      <c r="AC183" s="144"/>
      <c r="AD183" s="144"/>
      <c r="AE183" s="144"/>
      <c r="AF183" s="144"/>
    </row>
    <row r="184" spans="2:32" ht="17.5" x14ac:dyDescent="0.45">
      <c r="B184" s="164">
        <v>177</v>
      </c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24">
        <v>0.83529999999999993</v>
      </c>
      <c r="X184" s="171"/>
      <c r="Y184" s="171"/>
      <c r="Z184" s="171"/>
      <c r="AA184" s="99"/>
      <c r="AB184" s="144"/>
      <c r="AC184" s="144"/>
      <c r="AD184" s="144"/>
      <c r="AE184" s="144"/>
      <c r="AF184" s="144"/>
    </row>
    <row r="185" spans="2:32" ht="17.5" x14ac:dyDescent="0.45">
      <c r="B185" s="164">
        <v>178</v>
      </c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24">
        <v>0.83730000000000004</v>
      </c>
      <c r="X185" s="171"/>
      <c r="Y185" s="171"/>
      <c r="Z185" s="171"/>
      <c r="AA185" s="99"/>
      <c r="AB185" s="144"/>
      <c r="AC185" s="144"/>
      <c r="AD185" s="144"/>
      <c r="AE185" s="144"/>
      <c r="AF185" s="144"/>
    </row>
    <row r="186" spans="2:32" ht="17.5" x14ac:dyDescent="0.45">
      <c r="B186" s="164">
        <v>179</v>
      </c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24">
        <v>0.83920000000000006</v>
      </c>
      <c r="X186" s="171"/>
      <c r="Y186" s="171"/>
      <c r="Z186" s="171"/>
      <c r="AA186" s="99"/>
      <c r="AB186" s="144"/>
      <c r="AC186" s="144"/>
      <c r="AD186" s="144"/>
      <c r="AE186" s="144"/>
      <c r="AF186" s="144"/>
    </row>
    <row r="187" spans="2:32" ht="17.5" x14ac:dyDescent="0.45">
      <c r="B187" s="164">
        <v>180</v>
      </c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24">
        <v>0.84119999999999995</v>
      </c>
      <c r="X187" s="171"/>
      <c r="Y187" s="171"/>
      <c r="Z187" s="171"/>
      <c r="AA187" s="99"/>
      <c r="AB187" s="144"/>
      <c r="AC187" s="144"/>
      <c r="AD187" s="144"/>
      <c r="AE187" s="144"/>
      <c r="AF187" s="144"/>
    </row>
    <row r="188" spans="2:32" ht="17.5" x14ac:dyDescent="0.45">
      <c r="B188" s="164">
        <v>181</v>
      </c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24">
        <v>0.84309999999999996</v>
      </c>
      <c r="X188" s="171"/>
      <c r="Y188" s="171"/>
      <c r="Z188" s="171"/>
      <c r="AA188" s="99"/>
      <c r="AB188" s="144"/>
      <c r="AC188" s="144"/>
      <c r="AD188" s="144"/>
      <c r="AE188" s="144"/>
      <c r="AF188" s="144"/>
    </row>
    <row r="189" spans="2:32" ht="17.5" x14ac:dyDescent="0.45">
      <c r="B189" s="164">
        <v>182</v>
      </c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24">
        <v>0.84520000000000006</v>
      </c>
      <c r="X189" s="171"/>
      <c r="Y189" s="171"/>
      <c r="Z189" s="171"/>
      <c r="AA189" s="99"/>
      <c r="AB189" s="144"/>
      <c r="AC189" s="144"/>
      <c r="AD189" s="144"/>
      <c r="AE189" s="144"/>
      <c r="AF189" s="144"/>
    </row>
    <row r="190" spans="2:32" ht="17.5" x14ac:dyDescent="0.45">
      <c r="B190" s="164">
        <v>183</v>
      </c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24">
        <v>0.84719999999999995</v>
      </c>
      <c r="X190" s="171"/>
      <c r="Y190" s="171"/>
      <c r="Z190" s="171"/>
      <c r="AA190" s="99"/>
      <c r="AB190" s="144"/>
      <c r="AC190" s="144"/>
      <c r="AD190" s="144"/>
      <c r="AE190" s="144"/>
      <c r="AF190" s="144"/>
    </row>
    <row r="191" spans="2:32" ht="17.5" x14ac:dyDescent="0.45">
      <c r="B191" s="164">
        <v>184</v>
      </c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24">
        <v>0.84909999999999997</v>
      </c>
      <c r="X191" s="171"/>
      <c r="Y191" s="171"/>
      <c r="Z191" s="171"/>
      <c r="AA191" s="99"/>
      <c r="AB191" s="144"/>
      <c r="AC191" s="144"/>
      <c r="AD191" s="144"/>
      <c r="AE191" s="144"/>
      <c r="AF191" s="144"/>
    </row>
    <row r="192" spans="2:32" ht="17.5" x14ac:dyDescent="0.45">
      <c r="B192" s="164">
        <v>185</v>
      </c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24">
        <v>0.85110000000000008</v>
      </c>
      <c r="X192" s="171"/>
      <c r="Y192" s="171"/>
      <c r="Z192" s="171"/>
      <c r="AA192" s="99"/>
      <c r="AB192" s="144"/>
      <c r="AC192" s="144"/>
      <c r="AD192" s="144"/>
      <c r="AE192" s="144"/>
      <c r="AF192" s="144"/>
    </row>
    <row r="193" spans="2:32" ht="17.5" x14ac:dyDescent="0.45">
      <c r="B193" s="164">
        <v>186</v>
      </c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24">
        <v>0.85299999999999998</v>
      </c>
      <c r="X193" s="171"/>
      <c r="Y193" s="171"/>
      <c r="Z193" s="171"/>
      <c r="AA193" s="99"/>
      <c r="AB193" s="144"/>
      <c r="AC193" s="144"/>
      <c r="AD193" s="144"/>
      <c r="AE193" s="144"/>
      <c r="AF193" s="144"/>
    </row>
    <row r="194" spans="2:32" ht="17.5" x14ac:dyDescent="0.45">
      <c r="B194" s="164">
        <v>187</v>
      </c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24">
        <v>0.85489999999999999</v>
      </c>
      <c r="X194" s="171"/>
      <c r="Y194" s="171"/>
      <c r="Z194" s="171"/>
      <c r="AA194" s="99"/>
      <c r="AB194" s="144"/>
      <c r="AC194" s="144"/>
      <c r="AD194" s="144"/>
      <c r="AE194" s="144"/>
      <c r="AF194" s="144"/>
    </row>
    <row r="195" spans="2:32" ht="17.5" x14ac:dyDescent="0.45">
      <c r="B195" s="164">
        <v>188</v>
      </c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24">
        <v>0.8569</v>
      </c>
      <c r="X195" s="171"/>
      <c r="Y195" s="171"/>
      <c r="Z195" s="171"/>
      <c r="AA195" s="99"/>
      <c r="AB195" s="144"/>
      <c r="AC195" s="144"/>
      <c r="AD195" s="144"/>
      <c r="AE195" s="144"/>
      <c r="AF195" s="144"/>
    </row>
    <row r="196" spans="2:32" ht="17.5" x14ac:dyDescent="0.45">
      <c r="B196" s="164">
        <v>189</v>
      </c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24">
        <v>0.8587999999999999</v>
      </c>
      <c r="X196" s="171"/>
      <c r="Y196" s="171"/>
      <c r="Z196" s="171"/>
      <c r="AA196" s="99"/>
      <c r="AB196" s="144"/>
      <c r="AC196" s="144"/>
      <c r="AD196" s="144"/>
      <c r="AE196" s="144"/>
      <c r="AF196" s="144"/>
    </row>
    <row r="197" spans="2:32" ht="17.5" x14ac:dyDescent="0.45">
      <c r="B197" s="164">
        <v>190</v>
      </c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24">
        <v>0.86080000000000001</v>
      </c>
      <c r="X197" s="171"/>
      <c r="Y197" s="171"/>
      <c r="Z197" s="171"/>
      <c r="AA197" s="99"/>
      <c r="AB197" s="144"/>
      <c r="AC197" s="144"/>
      <c r="AD197" s="144"/>
      <c r="AE197" s="144"/>
      <c r="AF197" s="144"/>
    </row>
    <row r="198" spans="2:32" ht="17.5" x14ac:dyDescent="0.45">
      <c r="B198" s="164">
        <v>191</v>
      </c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24">
        <v>0.86270000000000002</v>
      </c>
      <c r="X198" s="171"/>
      <c r="Y198" s="171"/>
      <c r="Z198" s="171"/>
      <c r="AA198" s="99"/>
      <c r="AB198" s="144"/>
      <c r="AC198" s="144"/>
      <c r="AD198" s="144"/>
      <c r="AE198" s="144"/>
      <c r="AF198" s="144"/>
    </row>
    <row r="199" spans="2:32" ht="17.5" x14ac:dyDescent="0.45">
      <c r="B199" s="164">
        <v>192</v>
      </c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24">
        <v>0.86470000000000002</v>
      </c>
      <c r="X199" s="171"/>
      <c r="Y199" s="171"/>
      <c r="Z199" s="171"/>
      <c r="AA199" s="99"/>
      <c r="AB199" s="144"/>
      <c r="AC199" s="144"/>
      <c r="AD199" s="144"/>
      <c r="AE199" s="144"/>
      <c r="AF199" s="144"/>
    </row>
    <row r="200" spans="2:32" ht="17.5" x14ac:dyDescent="0.45">
      <c r="B200" s="164">
        <v>193</v>
      </c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24">
        <v>0.86660000000000004</v>
      </c>
      <c r="X200" s="171"/>
      <c r="Y200" s="171"/>
      <c r="Z200" s="171"/>
      <c r="AA200" s="99"/>
      <c r="AB200" s="144"/>
      <c r="AC200" s="144"/>
      <c r="AD200" s="144"/>
      <c r="AE200" s="144"/>
      <c r="AF200" s="144"/>
    </row>
    <row r="201" spans="2:32" ht="17.5" x14ac:dyDescent="0.45">
      <c r="B201" s="164">
        <v>194</v>
      </c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24">
        <v>0.86859999999999993</v>
      </c>
      <c r="X201" s="171"/>
      <c r="Y201" s="171"/>
      <c r="Z201" s="171"/>
      <c r="AA201" s="99"/>
      <c r="AB201" s="144"/>
      <c r="AC201" s="144"/>
      <c r="AD201" s="144"/>
      <c r="AE201" s="144"/>
      <c r="AF201" s="144"/>
    </row>
    <row r="202" spans="2:32" ht="17.5" x14ac:dyDescent="0.45">
      <c r="B202" s="164">
        <v>195</v>
      </c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24">
        <v>0.87049999999999994</v>
      </c>
      <c r="X202" s="171"/>
      <c r="Y202" s="171"/>
      <c r="Z202" s="171"/>
      <c r="AA202" s="99"/>
      <c r="AB202" s="144"/>
      <c r="AC202" s="144"/>
      <c r="AD202" s="144"/>
      <c r="AE202" s="144"/>
      <c r="AF202" s="144"/>
    </row>
    <row r="203" spans="2:32" ht="17.5" x14ac:dyDescent="0.45">
      <c r="B203" s="164">
        <v>196</v>
      </c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24">
        <v>0.87239999999999995</v>
      </c>
      <c r="X203" s="171"/>
      <c r="Y203" s="171"/>
      <c r="Z203" s="171"/>
      <c r="AA203" s="99"/>
      <c r="AB203" s="144"/>
      <c r="AC203" s="144"/>
      <c r="AD203" s="144"/>
      <c r="AE203" s="144"/>
      <c r="AF203" s="144"/>
    </row>
    <row r="204" spans="2:32" ht="17.5" x14ac:dyDescent="0.45">
      <c r="B204" s="164">
        <v>197</v>
      </c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24">
        <v>0.87439999999999996</v>
      </c>
      <c r="X204" s="171"/>
      <c r="Y204" s="171"/>
      <c r="Z204" s="171"/>
      <c r="AA204" s="99"/>
      <c r="AB204" s="144"/>
      <c r="AC204" s="144"/>
      <c r="AD204" s="144"/>
      <c r="AE204" s="144"/>
      <c r="AF204" s="144"/>
    </row>
    <row r="205" spans="2:32" ht="17.5" x14ac:dyDescent="0.45">
      <c r="B205" s="164">
        <v>198</v>
      </c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24">
        <v>0.87649999999999995</v>
      </c>
      <c r="X205" s="171"/>
      <c r="Y205" s="171"/>
      <c r="Z205" s="171"/>
      <c r="AA205" s="99"/>
      <c r="AB205" s="144"/>
      <c r="AC205" s="144"/>
      <c r="AD205" s="144"/>
      <c r="AE205" s="144"/>
      <c r="AF205" s="144"/>
    </row>
    <row r="206" spans="2:32" ht="17.5" x14ac:dyDescent="0.45">
      <c r="B206" s="164">
        <v>199</v>
      </c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24">
        <v>0.87839999999999996</v>
      </c>
      <c r="X206" s="171"/>
      <c r="Y206" s="171"/>
      <c r="Z206" s="171"/>
      <c r="AA206" s="99"/>
      <c r="AB206" s="144"/>
      <c r="AC206" s="144"/>
      <c r="AD206" s="144"/>
      <c r="AE206" s="144"/>
      <c r="AF206" s="144"/>
    </row>
    <row r="207" spans="2:32" ht="17.5" x14ac:dyDescent="0.45">
      <c r="B207" s="164">
        <v>200</v>
      </c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24">
        <v>0.88040000000000007</v>
      </c>
      <c r="X207" s="171"/>
      <c r="Y207" s="171"/>
      <c r="Z207" s="171"/>
      <c r="AA207" s="99"/>
      <c r="AB207" s="144"/>
      <c r="AC207" s="144"/>
      <c r="AD207" s="144"/>
      <c r="AE207" s="144"/>
      <c r="AF207" s="144"/>
    </row>
    <row r="208" spans="2:32" ht="17.5" x14ac:dyDescent="0.45">
      <c r="B208" s="164">
        <v>201</v>
      </c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24">
        <v>0.88230000000000008</v>
      </c>
      <c r="X208" s="171"/>
      <c r="Y208" s="171"/>
      <c r="Z208" s="171"/>
      <c r="AA208" s="99"/>
      <c r="AB208" s="144"/>
      <c r="AC208" s="144"/>
      <c r="AD208" s="144"/>
      <c r="AE208" s="144"/>
      <c r="AF208" s="144"/>
    </row>
    <row r="209" spans="2:32" ht="17.5" x14ac:dyDescent="0.45">
      <c r="B209" s="164">
        <v>202</v>
      </c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24">
        <v>0.88429999999999997</v>
      </c>
      <c r="X209" s="171"/>
      <c r="Y209" s="171"/>
      <c r="Z209" s="171"/>
      <c r="AA209" s="99"/>
      <c r="AB209" s="144"/>
      <c r="AC209" s="144"/>
      <c r="AD209" s="144"/>
      <c r="AE209" s="144"/>
      <c r="AF209" s="144"/>
    </row>
    <row r="210" spans="2:32" ht="17.5" x14ac:dyDescent="0.45">
      <c r="B210" s="164">
        <v>203</v>
      </c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24">
        <v>0.88619999999999999</v>
      </c>
      <c r="X210" s="171"/>
      <c r="Y210" s="171"/>
      <c r="Z210" s="171"/>
      <c r="AA210" s="99"/>
      <c r="AB210" s="144"/>
      <c r="AC210" s="144"/>
      <c r="AD210" s="144"/>
      <c r="AE210" s="144"/>
      <c r="AF210" s="144"/>
    </row>
    <row r="211" spans="2:32" ht="17.5" x14ac:dyDescent="0.45">
      <c r="B211" s="164">
        <v>204</v>
      </c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24">
        <v>0.88819999999999999</v>
      </c>
      <c r="X211" s="171"/>
      <c r="Y211" s="171"/>
      <c r="Z211" s="171"/>
      <c r="AA211" s="99"/>
      <c r="AB211" s="144"/>
      <c r="AC211" s="144"/>
      <c r="AD211" s="144"/>
      <c r="AE211" s="144"/>
      <c r="AF211" s="144"/>
    </row>
    <row r="212" spans="2:32" ht="17.5" x14ac:dyDescent="0.45">
      <c r="B212" s="164">
        <v>205</v>
      </c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24">
        <v>0.8901</v>
      </c>
      <c r="X212" s="171"/>
      <c r="Y212" s="171"/>
      <c r="Z212" s="171"/>
      <c r="AA212" s="99"/>
      <c r="AB212" s="144"/>
      <c r="AC212" s="144"/>
      <c r="AD212" s="144"/>
      <c r="AE212" s="144"/>
      <c r="AF212" s="144"/>
    </row>
    <row r="213" spans="2:32" ht="17.5" x14ac:dyDescent="0.45">
      <c r="B213" s="164">
        <v>206</v>
      </c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24">
        <v>0.89209999999999989</v>
      </c>
      <c r="X213" s="171"/>
      <c r="Y213" s="171"/>
      <c r="Z213" s="171"/>
      <c r="AA213" s="99"/>
      <c r="AB213" s="144"/>
      <c r="AC213" s="144"/>
      <c r="AD213" s="144"/>
      <c r="AE213" s="144"/>
      <c r="AF213" s="144"/>
    </row>
    <row r="214" spans="2:32" ht="17.5" x14ac:dyDescent="0.45">
      <c r="B214" s="164">
        <v>207</v>
      </c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24">
        <v>0.89400000000000002</v>
      </c>
      <c r="X214" s="171"/>
      <c r="Y214" s="171"/>
      <c r="Z214" s="171"/>
      <c r="AA214" s="99"/>
      <c r="AB214" s="144"/>
      <c r="AC214" s="144"/>
      <c r="AD214" s="144"/>
      <c r="AE214" s="144"/>
      <c r="AF214" s="144"/>
    </row>
    <row r="215" spans="2:32" ht="17.5" x14ac:dyDescent="0.45">
      <c r="B215" s="164">
        <v>208</v>
      </c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24">
        <v>0.89590000000000003</v>
      </c>
      <c r="X215" s="171"/>
      <c r="Y215" s="171"/>
      <c r="Z215" s="171"/>
      <c r="AA215" s="99"/>
      <c r="AB215" s="144"/>
      <c r="AC215" s="144"/>
      <c r="AD215" s="144"/>
      <c r="AE215" s="144"/>
      <c r="AF215" s="144"/>
    </row>
    <row r="216" spans="2:32" ht="17.5" x14ac:dyDescent="0.45">
      <c r="B216" s="164">
        <v>209</v>
      </c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24">
        <v>0.89790000000000003</v>
      </c>
      <c r="X216" s="171"/>
      <c r="Y216" s="171"/>
      <c r="Z216" s="171"/>
      <c r="AA216" s="99"/>
      <c r="AB216" s="144"/>
      <c r="AC216" s="144"/>
      <c r="AD216" s="144"/>
      <c r="AE216" s="144"/>
      <c r="AF216" s="144"/>
    </row>
    <row r="217" spans="2:32" ht="17.5" x14ac:dyDescent="0.45">
      <c r="B217" s="164">
        <v>210</v>
      </c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24">
        <v>0.89979999999999993</v>
      </c>
      <c r="X217" s="171"/>
      <c r="Y217" s="171"/>
      <c r="Z217" s="171"/>
      <c r="AA217" s="99"/>
      <c r="AB217" s="144"/>
      <c r="AC217" s="144"/>
      <c r="AD217" s="144"/>
      <c r="AE217" s="144"/>
      <c r="AF217" s="144"/>
    </row>
    <row r="218" spans="2:32" ht="17.5" x14ac:dyDescent="0.45">
      <c r="B218" s="164">
        <v>211</v>
      </c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24">
        <v>0.90180000000000005</v>
      </c>
      <c r="X218" s="171"/>
      <c r="Y218" s="171"/>
      <c r="Z218" s="171"/>
      <c r="AA218" s="99"/>
      <c r="AB218" s="144"/>
      <c r="AC218" s="144"/>
      <c r="AD218" s="144"/>
      <c r="AE218" s="144"/>
      <c r="AF218" s="144"/>
    </row>
    <row r="219" spans="2:32" ht="17.5" x14ac:dyDescent="0.45">
      <c r="B219" s="164">
        <v>212</v>
      </c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24">
        <v>0.90370000000000006</v>
      </c>
      <c r="X219" s="171"/>
      <c r="Y219" s="171"/>
      <c r="Z219" s="171"/>
      <c r="AA219" s="99"/>
      <c r="AB219" s="144"/>
      <c r="AC219" s="144"/>
      <c r="AD219" s="144"/>
      <c r="AE219" s="144"/>
      <c r="AF219" s="144"/>
    </row>
    <row r="220" spans="2:32" ht="17.5" x14ac:dyDescent="0.45">
      <c r="B220" s="164">
        <v>213</v>
      </c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24">
        <v>0.90569999999999995</v>
      </c>
      <c r="X220" s="171"/>
      <c r="Y220" s="171"/>
      <c r="Z220" s="171"/>
      <c r="AA220" s="99"/>
      <c r="AB220" s="144"/>
      <c r="AC220" s="144"/>
      <c r="AD220" s="144"/>
      <c r="AE220" s="144"/>
      <c r="AF220" s="144"/>
    </row>
    <row r="221" spans="2:32" ht="17.5" x14ac:dyDescent="0.45">
      <c r="B221" s="164">
        <v>214</v>
      </c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24">
        <v>0.90779999999999994</v>
      </c>
      <c r="X221" s="171"/>
      <c r="Y221" s="171"/>
      <c r="Z221" s="171"/>
      <c r="AA221" s="99"/>
      <c r="AB221" s="144"/>
      <c r="AC221" s="144"/>
      <c r="AD221" s="144"/>
      <c r="AE221" s="144"/>
      <c r="AF221" s="144"/>
    </row>
    <row r="222" spans="2:32" ht="17.5" x14ac:dyDescent="0.45">
      <c r="B222" s="164">
        <v>215</v>
      </c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24">
        <v>0.90970000000000006</v>
      </c>
      <c r="X222" s="171"/>
      <c r="Y222" s="171"/>
      <c r="Z222" s="171"/>
      <c r="AA222" s="99"/>
      <c r="AB222" s="144"/>
      <c r="AC222" s="144"/>
      <c r="AD222" s="144"/>
      <c r="AE222" s="144"/>
      <c r="AF222" s="144"/>
    </row>
    <row r="223" spans="2:32" ht="17.5" x14ac:dyDescent="0.45">
      <c r="B223" s="164">
        <v>216</v>
      </c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24">
        <v>0.91169999999999995</v>
      </c>
      <c r="X223" s="171"/>
      <c r="Y223" s="171"/>
      <c r="Z223" s="171"/>
      <c r="AA223" s="99"/>
      <c r="AB223" s="144"/>
      <c r="AC223" s="144"/>
      <c r="AD223" s="144"/>
      <c r="AE223" s="144"/>
      <c r="AF223" s="144"/>
    </row>
    <row r="224" spans="2:32" ht="17.5" x14ac:dyDescent="0.45">
      <c r="B224" s="164">
        <v>217</v>
      </c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24">
        <v>0.91359999999999997</v>
      </c>
      <c r="X224" s="171"/>
      <c r="Y224" s="171"/>
      <c r="Z224" s="171"/>
      <c r="AA224" s="99"/>
      <c r="AB224" s="144"/>
      <c r="AC224" s="144"/>
      <c r="AD224" s="144"/>
      <c r="AE224" s="144"/>
      <c r="AF224" s="144"/>
    </row>
    <row r="225" spans="2:32" ht="17.5" x14ac:dyDescent="0.45">
      <c r="B225" s="164">
        <v>218</v>
      </c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24">
        <v>0.91560000000000008</v>
      </c>
      <c r="X225" s="171"/>
      <c r="Y225" s="171"/>
      <c r="Z225" s="171"/>
      <c r="AA225" s="99"/>
      <c r="AB225" s="144"/>
      <c r="AC225" s="144"/>
      <c r="AD225" s="144"/>
      <c r="AE225" s="144"/>
      <c r="AF225" s="144"/>
    </row>
    <row r="226" spans="2:32" ht="17.5" x14ac:dyDescent="0.45">
      <c r="B226" s="164">
        <v>219</v>
      </c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24">
        <v>0.91749999999999998</v>
      </c>
      <c r="X226" s="171"/>
      <c r="Y226" s="171"/>
      <c r="Z226" s="171"/>
      <c r="AA226" s="99"/>
      <c r="AB226" s="144"/>
      <c r="AC226" s="144"/>
      <c r="AD226" s="144"/>
      <c r="AE226" s="144"/>
      <c r="AF226" s="144"/>
    </row>
    <row r="227" spans="2:32" ht="17.5" x14ac:dyDescent="0.45">
      <c r="B227" s="164">
        <v>220</v>
      </c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24">
        <v>0.9194</v>
      </c>
      <c r="X227" s="171"/>
      <c r="Y227" s="171"/>
      <c r="Z227" s="171"/>
      <c r="AA227" s="99"/>
      <c r="AB227" s="144"/>
      <c r="AC227" s="144"/>
      <c r="AD227" s="144"/>
      <c r="AE227" s="144"/>
      <c r="AF227" s="144"/>
    </row>
    <row r="228" spans="2:32" ht="17.5" x14ac:dyDescent="0.45">
      <c r="B228" s="164">
        <v>221</v>
      </c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24">
        <v>0.9214</v>
      </c>
      <c r="X228" s="171"/>
      <c r="Y228" s="171"/>
      <c r="Z228" s="171"/>
      <c r="AA228" s="99"/>
      <c r="AB228" s="144"/>
      <c r="AC228" s="144"/>
      <c r="AD228" s="144"/>
      <c r="AE228" s="144"/>
      <c r="AF228" s="144"/>
    </row>
    <row r="229" spans="2:32" ht="17.5" x14ac:dyDescent="0.45">
      <c r="B229" s="164">
        <v>222</v>
      </c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24">
        <v>0.92330000000000001</v>
      </c>
      <c r="X229" s="171"/>
      <c r="Y229" s="171"/>
      <c r="Z229" s="171"/>
      <c r="AA229" s="99"/>
      <c r="AB229" s="144"/>
      <c r="AC229" s="144"/>
      <c r="AD229" s="144"/>
      <c r="AE229" s="144"/>
      <c r="AF229" s="144"/>
    </row>
    <row r="230" spans="2:32" ht="17.5" x14ac:dyDescent="0.45">
      <c r="B230" s="164">
        <v>223</v>
      </c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24">
        <v>0.92530000000000001</v>
      </c>
      <c r="X230" s="171"/>
      <c r="Y230" s="171"/>
      <c r="Z230" s="171"/>
      <c r="AA230" s="99"/>
      <c r="AB230" s="144"/>
      <c r="AC230" s="144"/>
      <c r="AD230" s="144"/>
      <c r="AE230" s="144"/>
      <c r="AF230" s="144"/>
    </row>
    <row r="231" spans="2:32" ht="17.5" x14ac:dyDescent="0.45">
      <c r="B231" s="164">
        <v>224</v>
      </c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24">
        <v>0.92720000000000002</v>
      </c>
      <c r="X231" s="171"/>
      <c r="Y231" s="171"/>
      <c r="Z231" s="171"/>
      <c r="AA231" s="99"/>
      <c r="AB231" s="144"/>
      <c r="AC231" s="144"/>
      <c r="AD231" s="144"/>
      <c r="AE231" s="144"/>
      <c r="AF231" s="144"/>
    </row>
    <row r="232" spans="2:32" ht="17.5" x14ac:dyDescent="0.45">
      <c r="B232" s="164">
        <v>225</v>
      </c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24">
        <v>0.92920000000000003</v>
      </c>
      <c r="X232" s="171"/>
      <c r="Y232" s="171"/>
      <c r="Z232" s="171"/>
      <c r="AA232" s="99"/>
      <c r="AB232" s="144"/>
      <c r="AC232" s="144"/>
      <c r="AD232" s="144"/>
      <c r="AE232" s="144"/>
      <c r="AF232" s="144"/>
    </row>
    <row r="233" spans="2:32" ht="17.5" x14ac:dyDescent="0.45">
      <c r="B233" s="164">
        <v>226</v>
      </c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24">
        <v>0.93110000000000004</v>
      </c>
      <c r="X233" s="171"/>
      <c r="Y233" s="171"/>
      <c r="Z233" s="171"/>
      <c r="AA233" s="99"/>
      <c r="AB233" s="144"/>
      <c r="AC233" s="144"/>
      <c r="AD233" s="144"/>
      <c r="AE233" s="144"/>
      <c r="AF233" s="144"/>
    </row>
    <row r="234" spans="2:32" ht="17.5" x14ac:dyDescent="0.45">
      <c r="B234" s="164">
        <v>227</v>
      </c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24">
        <v>0.93309999999999993</v>
      </c>
      <c r="X234" s="171"/>
      <c r="Y234" s="171"/>
      <c r="Z234" s="171"/>
      <c r="AA234" s="99"/>
      <c r="AB234" s="144"/>
      <c r="AC234" s="144"/>
      <c r="AD234" s="144"/>
      <c r="AE234" s="144"/>
      <c r="AF234" s="144"/>
    </row>
    <row r="235" spans="2:32" ht="17.5" x14ac:dyDescent="0.45">
      <c r="B235" s="164">
        <v>228</v>
      </c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24">
        <v>0.93499999999999994</v>
      </c>
      <c r="X235" s="171"/>
      <c r="Y235" s="171"/>
      <c r="Z235" s="171"/>
      <c r="AA235" s="99"/>
      <c r="AB235" s="144"/>
      <c r="AC235" s="144"/>
      <c r="AD235" s="144"/>
      <c r="AE235" s="144"/>
      <c r="AF235" s="144"/>
    </row>
    <row r="236" spans="2:32" ht="17.5" x14ac:dyDescent="0.45">
      <c r="B236" s="164">
        <v>229</v>
      </c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24">
        <v>0.93689999999999996</v>
      </c>
      <c r="X236" s="171"/>
      <c r="Y236" s="171"/>
      <c r="Z236" s="171"/>
      <c r="AA236" s="99"/>
      <c r="AB236" s="144"/>
      <c r="AC236" s="144"/>
      <c r="AD236" s="144"/>
      <c r="AE236" s="144"/>
      <c r="AF236" s="144"/>
    </row>
    <row r="237" spans="2:32" ht="17.5" x14ac:dyDescent="0.45">
      <c r="B237" s="164">
        <v>230</v>
      </c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24">
        <v>0.93910000000000005</v>
      </c>
      <c r="X237" s="171"/>
      <c r="Y237" s="171"/>
      <c r="Z237" s="171"/>
      <c r="AA237" s="99"/>
      <c r="AB237" s="144"/>
      <c r="AC237" s="144"/>
      <c r="AD237" s="144"/>
      <c r="AE237" s="144"/>
      <c r="AF237" s="144"/>
    </row>
    <row r="238" spans="2:32" ht="17.5" x14ac:dyDescent="0.45">
      <c r="B238" s="164">
        <v>231</v>
      </c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24">
        <v>0.94099999999999995</v>
      </c>
      <c r="X238" s="171"/>
      <c r="Y238" s="171"/>
      <c r="Z238" s="171"/>
      <c r="AA238" s="99"/>
      <c r="AB238" s="144"/>
      <c r="AC238" s="144"/>
      <c r="AD238" s="144"/>
      <c r="AE238" s="144"/>
      <c r="AF238" s="144"/>
    </row>
    <row r="239" spans="2:32" ht="17.5" x14ac:dyDescent="0.45">
      <c r="B239" s="164">
        <v>232</v>
      </c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24">
        <v>0.94289999999999996</v>
      </c>
      <c r="X239" s="171"/>
      <c r="Y239" s="171"/>
      <c r="Z239" s="171"/>
      <c r="AA239" s="99"/>
      <c r="AB239" s="144"/>
      <c r="AC239" s="144"/>
      <c r="AD239" s="144"/>
      <c r="AE239" s="144"/>
      <c r="AF239" s="144"/>
    </row>
    <row r="240" spans="2:32" ht="17.5" x14ac:dyDescent="0.45">
      <c r="B240" s="164">
        <v>233</v>
      </c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24">
        <v>0.94490000000000007</v>
      </c>
      <c r="X240" s="171"/>
      <c r="Y240" s="171"/>
      <c r="Z240" s="171"/>
      <c r="AA240" s="99"/>
      <c r="AB240" s="144"/>
      <c r="AC240" s="144"/>
      <c r="AD240" s="144"/>
      <c r="AE240" s="144"/>
      <c r="AF240" s="144"/>
    </row>
    <row r="241" spans="2:32" ht="17.5" x14ac:dyDescent="0.45">
      <c r="B241" s="164">
        <v>234</v>
      </c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24">
        <v>0.94679999999999997</v>
      </c>
      <c r="X241" s="171"/>
      <c r="Y241" s="171"/>
      <c r="Z241" s="171"/>
      <c r="AA241" s="99"/>
      <c r="AB241" s="144"/>
      <c r="AC241" s="144"/>
      <c r="AD241" s="144"/>
      <c r="AE241" s="144"/>
      <c r="AF241" s="144"/>
    </row>
    <row r="242" spans="2:32" ht="17.5" x14ac:dyDescent="0.45">
      <c r="B242" s="164">
        <v>235</v>
      </c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24">
        <v>0.94879999999999998</v>
      </c>
      <c r="X242" s="171"/>
      <c r="Y242" s="171"/>
      <c r="Z242" s="171"/>
      <c r="AA242" s="99"/>
      <c r="AB242" s="144"/>
      <c r="AC242" s="144"/>
      <c r="AD242" s="144"/>
      <c r="AE242" s="144"/>
      <c r="AF242" s="144"/>
    </row>
    <row r="243" spans="2:32" ht="17.5" x14ac:dyDescent="0.45">
      <c r="B243" s="164">
        <v>236</v>
      </c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24">
        <v>0.95069999999999999</v>
      </c>
      <c r="X243" s="171"/>
      <c r="Y243" s="171"/>
      <c r="Z243" s="171"/>
      <c r="AA243" s="99"/>
      <c r="AB243" s="144"/>
      <c r="AC243" s="144"/>
      <c r="AD243" s="144"/>
      <c r="AE243" s="144"/>
      <c r="AF243" s="144"/>
    </row>
    <row r="244" spans="2:32" ht="17.5" x14ac:dyDescent="0.45">
      <c r="B244" s="164">
        <v>237</v>
      </c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24">
        <v>0.95269999999999999</v>
      </c>
      <c r="X244" s="171"/>
      <c r="Y244" s="171"/>
      <c r="Z244" s="171"/>
      <c r="AA244" s="99"/>
      <c r="AB244" s="144"/>
      <c r="AC244" s="144"/>
      <c r="AD244" s="144"/>
      <c r="AE244" s="144"/>
      <c r="AF244" s="144"/>
    </row>
    <row r="245" spans="2:32" ht="17.5" x14ac:dyDescent="0.45">
      <c r="B245" s="164">
        <v>238</v>
      </c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24">
        <v>0.9546</v>
      </c>
      <c r="X245" s="171"/>
      <c r="Y245" s="171"/>
      <c r="Z245" s="171"/>
      <c r="AA245" s="99"/>
      <c r="AB245" s="144"/>
      <c r="AC245" s="144"/>
      <c r="AD245" s="144"/>
      <c r="AE245" s="144"/>
      <c r="AF245" s="144"/>
    </row>
    <row r="246" spans="2:32" ht="17.5" x14ac:dyDescent="0.45">
      <c r="B246" s="164">
        <v>239</v>
      </c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24">
        <v>0.95660000000000001</v>
      </c>
      <c r="X246" s="171"/>
      <c r="Y246" s="171"/>
      <c r="Z246" s="171"/>
      <c r="AA246" s="99"/>
      <c r="AB246" s="144"/>
      <c r="AC246" s="144"/>
      <c r="AD246" s="144"/>
      <c r="AE246" s="144"/>
      <c r="AF246" s="144"/>
    </row>
    <row r="247" spans="2:32" ht="17.5" x14ac:dyDescent="0.45">
      <c r="B247" s="164">
        <v>240</v>
      </c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24">
        <v>0.95850000000000002</v>
      </c>
      <c r="X247" s="171"/>
      <c r="Y247" s="171"/>
      <c r="Z247" s="171"/>
      <c r="AA247" s="99"/>
      <c r="AB247" s="144"/>
      <c r="AC247" s="144"/>
      <c r="AD247" s="144"/>
      <c r="AE247" s="144"/>
      <c r="AF247" s="144"/>
    </row>
    <row r="248" spans="2:32" ht="17.5" x14ac:dyDescent="0.45">
      <c r="B248" s="164">
        <v>241</v>
      </c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24">
        <v>0.96040000000000003</v>
      </c>
      <c r="X248" s="171"/>
      <c r="Y248" s="171"/>
      <c r="Z248" s="171"/>
      <c r="AA248" s="99"/>
      <c r="AB248" s="144"/>
      <c r="AC248" s="144"/>
      <c r="AD248" s="144"/>
      <c r="AE248" s="144"/>
      <c r="AF248" s="144"/>
    </row>
    <row r="249" spans="2:32" ht="17.5" x14ac:dyDescent="0.45">
      <c r="B249" s="164">
        <v>242</v>
      </c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24">
        <v>0.96239999999999992</v>
      </c>
      <c r="X249" s="171"/>
      <c r="Y249" s="171"/>
      <c r="Z249" s="171"/>
      <c r="AA249" s="99"/>
      <c r="AB249" s="144"/>
      <c r="AC249" s="144"/>
      <c r="AD249" s="144"/>
      <c r="AE249" s="144"/>
      <c r="AF249" s="144"/>
    </row>
    <row r="250" spans="2:32" ht="17.5" x14ac:dyDescent="0.45">
      <c r="B250" s="164">
        <v>243</v>
      </c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24">
        <v>0.96429999999999993</v>
      </c>
      <c r="X250" s="171"/>
      <c r="Y250" s="171"/>
      <c r="Z250" s="171"/>
      <c r="AA250" s="99"/>
      <c r="AB250" s="144"/>
      <c r="AC250" s="144"/>
      <c r="AD250" s="144"/>
      <c r="AE250" s="144"/>
      <c r="AF250" s="144"/>
    </row>
    <row r="251" spans="2:32" ht="17.5" x14ac:dyDescent="0.45">
      <c r="B251" s="164">
        <v>244</v>
      </c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24">
        <v>0.96630000000000005</v>
      </c>
      <c r="X251" s="171"/>
      <c r="Y251" s="171"/>
      <c r="Z251" s="171"/>
      <c r="AA251" s="99"/>
      <c r="AB251" s="144"/>
      <c r="AC251" s="144"/>
      <c r="AD251" s="144"/>
      <c r="AE251" s="144"/>
      <c r="AF251" s="144"/>
    </row>
    <row r="252" spans="2:32" ht="17.5" x14ac:dyDescent="0.45">
      <c r="B252" s="164">
        <v>245</v>
      </c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24">
        <v>0.96820000000000006</v>
      </c>
      <c r="X252" s="171"/>
      <c r="Y252" s="171"/>
      <c r="Z252" s="171"/>
      <c r="AA252" s="99"/>
      <c r="AB252" s="144"/>
      <c r="AC252" s="144"/>
      <c r="AD252" s="144"/>
      <c r="AE252" s="144"/>
      <c r="AF252" s="144"/>
    </row>
    <row r="253" spans="2:32" ht="17.5" x14ac:dyDescent="0.45">
      <c r="B253" s="164">
        <v>246</v>
      </c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24">
        <v>0.97030000000000005</v>
      </c>
      <c r="X253" s="171"/>
      <c r="Y253" s="171"/>
      <c r="Z253" s="171"/>
      <c r="AA253" s="99"/>
      <c r="AB253" s="144"/>
      <c r="AC253" s="144"/>
      <c r="AD253" s="144"/>
      <c r="AE253" s="144"/>
      <c r="AF253" s="144"/>
    </row>
    <row r="254" spans="2:32" ht="17.5" x14ac:dyDescent="0.45">
      <c r="B254" s="164">
        <v>247</v>
      </c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24">
        <v>0.97230000000000005</v>
      </c>
      <c r="X254" s="171"/>
      <c r="Y254" s="171"/>
      <c r="Z254" s="171"/>
      <c r="AA254" s="99"/>
      <c r="AB254" s="144"/>
      <c r="AC254" s="144"/>
      <c r="AD254" s="144"/>
      <c r="AE254" s="144"/>
      <c r="AF254" s="144"/>
    </row>
    <row r="255" spans="2:32" ht="17.5" x14ac:dyDescent="0.45">
      <c r="B255" s="164">
        <v>248</v>
      </c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24">
        <v>0.97420000000000007</v>
      </c>
      <c r="X255" s="171"/>
      <c r="Y255" s="171"/>
      <c r="Z255" s="171"/>
      <c r="AA255" s="99"/>
      <c r="AB255" s="144"/>
      <c r="AC255" s="144"/>
      <c r="AD255" s="144"/>
      <c r="AE255" s="144"/>
      <c r="AF255" s="144"/>
    </row>
    <row r="256" spans="2:32" ht="17.5" x14ac:dyDescent="0.45">
      <c r="B256" s="164">
        <v>249</v>
      </c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24">
        <v>0.97619999999999996</v>
      </c>
      <c r="X256" s="171"/>
      <c r="Y256" s="171"/>
      <c r="Z256" s="171"/>
      <c r="AA256" s="99"/>
      <c r="AB256" s="144"/>
      <c r="AC256" s="144"/>
      <c r="AD256" s="144"/>
      <c r="AE256" s="144"/>
      <c r="AF256" s="144"/>
    </row>
    <row r="257" spans="2:32" ht="17.5" x14ac:dyDescent="0.45">
      <c r="B257" s="164">
        <v>250</v>
      </c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24">
        <v>0.97809999999999997</v>
      </c>
      <c r="X257" s="171"/>
      <c r="Y257" s="171"/>
      <c r="Z257" s="171"/>
      <c r="AA257" s="99"/>
      <c r="AB257" s="144"/>
      <c r="AC257" s="144"/>
      <c r="AD257" s="144"/>
      <c r="AE257" s="144"/>
      <c r="AF257" s="144"/>
    </row>
    <row r="258" spans="2:32" ht="17.5" x14ac:dyDescent="0.45">
      <c r="B258" s="164">
        <v>251</v>
      </c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24">
        <v>0.98009999999999997</v>
      </c>
      <c r="X258" s="171"/>
      <c r="Y258" s="171"/>
      <c r="Z258" s="171"/>
      <c r="AA258" s="99"/>
      <c r="AB258" s="144"/>
      <c r="AC258" s="144"/>
      <c r="AD258" s="144"/>
      <c r="AE258" s="144"/>
      <c r="AF258" s="144"/>
    </row>
    <row r="259" spans="2:32" ht="17.5" x14ac:dyDescent="0.45">
      <c r="B259" s="164">
        <v>252</v>
      </c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24">
        <v>0.98199999999999998</v>
      </c>
      <c r="X259" s="171"/>
      <c r="Y259" s="171"/>
      <c r="Z259" s="171"/>
      <c r="AA259" s="99"/>
      <c r="AB259" s="144"/>
      <c r="AC259" s="144"/>
      <c r="AD259" s="144"/>
      <c r="AE259" s="144"/>
      <c r="AF259" s="144"/>
    </row>
    <row r="260" spans="2:32" ht="17.5" x14ac:dyDescent="0.45">
      <c r="B260" s="164">
        <v>253</v>
      </c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24">
        <v>0.9839</v>
      </c>
      <c r="X260" s="171"/>
      <c r="Y260" s="171"/>
      <c r="Z260" s="171"/>
      <c r="AA260" s="99"/>
      <c r="AB260" s="144"/>
      <c r="AC260" s="144"/>
      <c r="AD260" s="144"/>
      <c r="AE260" s="144"/>
      <c r="AF260" s="144"/>
    </row>
    <row r="261" spans="2:32" ht="17.5" x14ac:dyDescent="0.45">
      <c r="B261" s="164">
        <v>254</v>
      </c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24">
        <v>0.98590000000000011</v>
      </c>
      <c r="X261" s="171"/>
      <c r="Y261" s="171"/>
      <c r="Z261" s="171"/>
      <c r="AA261" s="99"/>
      <c r="AB261" s="144"/>
      <c r="AC261" s="144"/>
      <c r="AD261" s="144"/>
      <c r="AE261" s="144"/>
      <c r="AF261" s="144"/>
    </row>
    <row r="262" spans="2:32" ht="17.5" x14ac:dyDescent="0.45">
      <c r="B262" s="164">
        <v>255</v>
      </c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24">
        <v>0.98780000000000001</v>
      </c>
      <c r="X262" s="171"/>
      <c r="Y262" s="171"/>
      <c r="Z262" s="171"/>
      <c r="AA262" s="99"/>
      <c r="AB262" s="144"/>
      <c r="AC262" s="144"/>
      <c r="AD262" s="144"/>
      <c r="AE262" s="144"/>
      <c r="AF262" s="144"/>
    </row>
    <row r="263" spans="2:32" x14ac:dyDescent="0.45">
      <c r="B263" s="273">
        <v>256</v>
      </c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5">
        <v>0.48930000000000001</v>
      </c>
      <c r="X263" s="271"/>
      <c r="Y263" s="271"/>
      <c r="Z263" s="271"/>
    </row>
    <row r="264" spans="2:32" x14ac:dyDescent="0.45">
      <c r="B264" s="273">
        <v>257</v>
      </c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6">
        <v>0.4874</v>
      </c>
      <c r="X264" s="271"/>
      <c r="Y264" s="271"/>
      <c r="Z264" s="271"/>
    </row>
    <row r="265" spans="2:32" x14ac:dyDescent="0.45">
      <c r="B265" s="273">
        <v>258</v>
      </c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6">
        <v>0.4854</v>
      </c>
      <c r="X265" s="271"/>
      <c r="Y265" s="271"/>
      <c r="Z265" s="271"/>
    </row>
    <row r="266" spans="2:32" x14ac:dyDescent="0.45">
      <c r="B266" s="273">
        <v>259</v>
      </c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6">
        <v>0.48349999999999999</v>
      </c>
      <c r="X266" s="271"/>
      <c r="Y266" s="271"/>
      <c r="Z266" s="271"/>
    </row>
    <row r="267" spans="2:32" x14ac:dyDescent="0.45">
      <c r="B267" s="273">
        <v>260</v>
      </c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6">
        <v>0.48149999999999998</v>
      </c>
      <c r="X267" s="271"/>
      <c r="Y267" s="271"/>
      <c r="Z267" s="271"/>
    </row>
    <row r="268" spans="2:32" x14ac:dyDescent="0.45">
      <c r="B268" s="273">
        <v>261</v>
      </c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6">
        <v>0.47960000000000003</v>
      </c>
      <c r="X268" s="271"/>
      <c r="Y268" s="271"/>
      <c r="Z268" s="271"/>
    </row>
    <row r="269" spans="2:32" x14ac:dyDescent="0.45">
      <c r="B269" s="273">
        <v>262</v>
      </c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6">
        <v>0.47770000000000001</v>
      </c>
      <c r="X269" s="271"/>
      <c r="Y269" s="271"/>
      <c r="Z269" s="271"/>
    </row>
    <row r="270" spans="2:32" x14ac:dyDescent="0.45">
      <c r="B270" s="273">
        <v>263</v>
      </c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6">
        <v>0.47570000000000001</v>
      </c>
      <c r="X270" s="271"/>
      <c r="Y270" s="271"/>
      <c r="Z270" s="271"/>
    </row>
    <row r="271" spans="2:32" x14ac:dyDescent="0.45">
      <c r="B271" s="273">
        <v>264</v>
      </c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6">
        <v>0.4738</v>
      </c>
      <c r="X271" s="271"/>
      <c r="Y271" s="271"/>
      <c r="Z271" s="271"/>
    </row>
    <row r="272" spans="2:32" x14ac:dyDescent="0.45">
      <c r="B272" s="273">
        <v>265</v>
      </c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6">
        <v>0.4718</v>
      </c>
      <c r="X272" s="271"/>
      <c r="Y272" s="271"/>
      <c r="Z272" s="271"/>
    </row>
    <row r="273" spans="2:26" x14ac:dyDescent="0.45">
      <c r="B273" s="273">
        <v>266</v>
      </c>
      <c r="C273" s="272"/>
      <c r="D273" s="272"/>
      <c r="E273" s="272"/>
      <c r="F273" s="272"/>
      <c r="G273" s="272"/>
      <c r="H273" s="272"/>
      <c r="I273" s="272"/>
      <c r="J273" s="272"/>
      <c r="K273" s="272"/>
      <c r="L273" s="272"/>
      <c r="M273" s="272"/>
      <c r="N273" s="272"/>
      <c r="O273" s="272"/>
      <c r="P273" s="272"/>
      <c r="Q273" s="272"/>
      <c r="R273" s="272"/>
      <c r="S273" s="272"/>
      <c r="T273" s="272"/>
      <c r="U273" s="272"/>
      <c r="V273" s="272"/>
      <c r="W273" s="276">
        <v>0.46989999999999998</v>
      </c>
      <c r="X273" s="272"/>
      <c r="Y273" s="272"/>
      <c r="Z273" s="272"/>
    </row>
    <row r="274" spans="2:26" x14ac:dyDescent="0.45">
      <c r="B274" s="273">
        <v>267</v>
      </c>
      <c r="C274" s="272"/>
      <c r="D274" s="272"/>
      <c r="E274" s="272"/>
      <c r="F274" s="272"/>
      <c r="G274" s="272"/>
      <c r="H274" s="272"/>
      <c r="I274" s="272"/>
      <c r="J274" s="272"/>
      <c r="K274" s="272"/>
      <c r="L274" s="272"/>
      <c r="M274" s="272"/>
      <c r="N274" s="272"/>
      <c r="O274" s="272"/>
      <c r="P274" s="272"/>
      <c r="Q274" s="272"/>
      <c r="R274" s="272"/>
      <c r="S274" s="272"/>
      <c r="T274" s="272"/>
      <c r="U274" s="272"/>
      <c r="V274" s="272"/>
      <c r="W274" s="276">
        <v>0.46779999999999999</v>
      </c>
      <c r="X274" s="272"/>
      <c r="Y274" s="272"/>
      <c r="Z274" s="272"/>
    </row>
    <row r="275" spans="2:26" x14ac:dyDescent="0.45">
      <c r="B275" s="273">
        <v>268</v>
      </c>
      <c r="C275" s="272"/>
      <c r="D275" s="272"/>
      <c r="E275" s="272"/>
      <c r="F275" s="272"/>
      <c r="G275" s="272"/>
      <c r="H275" s="272"/>
      <c r="I275" s="272"/>
      <c r="J275" s="272"/>
      <c r="K275" s="272"/>
      <c r="L275" s="272"/>
      <c r="M275" s="272"/>
      <c r="N275" s="272"/>
      <c r="O275" s="272"/>
      <c r="P275" s="272"/>
      <c r="Q275" s="272"/>
      <c r="R275" s="272"/>
      <c r="S275" s="272"/>
      <c r="T275" s="272"/>
      <c r="U275" s="272"/>
      <c r="V275" s="272"/>
      <c r="W275" s="276">
        <v>0.46579999999999999</v>
      </c>
      <c r="X275" s="272"/>
      <c r="Y275" s="272"/>
      <c r="Z275" s="272"/>
    </row>
    <row r="276" spans="2:26" x14ac:dyDescent="0.45">
      <c r="B276" s="273">
        <v>269</v>
      </c>
      <c r="C276" s="272"/>
      <c r="D276" s="272"/>
      <c r="E276" s="272"/>
      <c r="F276" s="272"/>
      <c r="G276" s="272"/>
      <c r="H276" s="272"/>
      <c r="I276" s="272"/>
      <c r="J276" s="272"/>
      <c r="K276" s="272"/>
      <c r="L276" s="272"/>
      <c r="M276" s="272"/>
      <c r="N276" s="272"/>
      <c r="O276" s="272"/>
      <c r="P276" s="272"/>
      <c r="Q276" s="272"/>
      <c r="R276" s="272"/>
      <c r="S276" s="272"/>
      <c r="T276" s="272"/>
      <c r="U276" s="272"/>
      <c r="V276" s="272"/>
      <c r="W276" s="276">
        <v>0.46389999999999998</v>
      </c>
      <c r="X276" s="272"/>
      <c r="Y276" s="272"/>
      <c r="Z276" s="272"/>
    </row>
    <row r="277" spans="2:26" x14ac:dyDescent="0.45">
      <c r="B277" s="273">
        <v>270</v>
      </c>
      <c r="C277" s="272"/>
      <c r="D277" s="272"/>
      <c r="E277" s="272"/>
      <c r="F277" s="272"/>
      <c r="G277" s="272"/>
      <c r="H277" s="272"/>
      <c r="I277" s="272"/>
      <c r="J277" s="272"/>
      <c r="K277" s="272"/>
      <c r="L277" s="272"/>
      <c r="M277" s="272"/>
      <c r="N277" s="272"/>
      <c r="O277" s="272"/>
      <c r="P277" s="272"/>
      <c r="Q277" s="272"/>
      <c r="R277" s="272"/>
      <c r="S277" s="272"/>
      <c r="T277" s="272"/>
      <c r="U277" s="272"/>
      <c r="V277" s="272"/>
      <c r="W277" s="276">
        <v>0.46190000000000003</v>
      </c>
      <c r="X277" s="272"/>
      <c r="Y277" s="272"/>
      <c r="Z277" s="272"/>
    </row>
    <row r="278" spans="2:26" x14ac:dyDescent="0.45">
      <c r="B278" s="273">
        <v>271</v>
      </c>
      <c r="C278" s="272"/>
      <c r="D278" s="272"/>
      <c r="E278" s="272"/>
      <c r="F278" s="272"/>
      <c r="G278" s="272"/>
      <c r="H278" s="272"/>
      <c r="I278" s="272"/>
      <c r="J278" s="272"/>
      <c r="K278" s="272"/>
      <c r="L278" s="272"/>
      <c r="M278" s="272"/>
      <c r="N278" s="272"/>
      <c r="O278" s="272"/>
      <c r="P278" s="272"/>
      <c r="Q278" s="272"/>
      <c r="R278" s="272"/>
      <c r="S278" s="272"/>
      <c r="T278" s="272"/>
      <c r="U278" s="272"/>
      <c r="V278" s="272"/>
      <c r="W278" s="276">
        <v>0.46</v>
      </c>
      <c r="X278" s="272"/>
      <c r="Y278" s="272"/>
      <c r="Z278" s="272"/>
    </row>
    <row r="279" spans="2:26" x14ac:dyDescent="0.45">
      <c r="B279" s="273">
        <v>272</v>
      </c>
      <c r="C279" s="272"/>
      <c r="D279" s="272"/>
      <c r="E279" s="272"/>
      <c r="F279" s="272"/>
      <c r="G279" s="272"/>
      <c r="H279" s="272"/>
      <c r="I279" s="272"/>
      <c r="J279" s="272"/>
      <c r="K279" s="272"/>
      <c r="L279" s="272"/>
      <c r="M279" s="272"/>
      <c r="N279" s="272"/>
      <c r="O279" s="272"/>
      <c r="P279" s="272"/>
      <c r="Q279" s="272"/>
      <c r="R279" s="272"/>
      <c r="S279" s="272"/>
      <c r="T279" s="272"/>
      <c r="U279" s="272"/>
      <c r="V279" s="272"/>
      <c r="W279" s="276">
        <v>0.45800000000000002</v>
      </c>
      <c r="X279" s="272"/>
      <c r="Y279" s="272"/>
      <c r="Z279" s="272"/>
    </row>
    <row r="280" spans="2:26" x14ac:dyDescent="0.45">
      <c r="B280" s="273">
        <v>273</v>
      </c>
      <c r="C280" s="272"/>
      <c r="D280" s="272"/>
      <c r="E280" s="272"/>
      <c r="F280" s="272"/>
      <c r="G280" s="272"/>
      <c r="H280" s="272"/>
      <c r="I280" s="272"/>
      <c r="J280" s="272"/>
      <c r="K280" s="272"/>
      <c r="L280" s="272"/>
      <c r="M280" s="272"/>
      <c r="N280" s="272"/>
      <c r="O280" s="272"/>
      <c r="P280" s="272"/>
      <c r="Q280" s="272"/>
      <c r="R280" s="272"/>
      <c r="S280" s="272"/>
      <c r="T280" s="272"/>
      <c r="U280" s="272"/>
      <c r="V280" s="272"/>
      <c r="W280" s="276">
        <v>0.45609999999999995</v>
      </c>
      <c r="X280" s="272"/>
      <c r="Y280" s="272"/>
      <c r="Z280" s="272"/>
    </row>
    <row r="281" spans="2:26" x14ac:dyDescent="0.45">
      <c r="B281" s="273">
        <v>274</v>
      </c>
      <c r="C281" s="272"/>
      <c r="D281" s="272"/>
      <c r="E281" s="272"/>
      <c r="F281" s="272"/>
      <c r="G281" s="272"/>
      <c r="H281" s="272"/>
      <c r="I281" s="272"/>
      <c r="J281" s="272"/>
      <c r="K281" s="272"/>
      <c r="L281" s="272"/>
      <c r="M281" s="272"/>
      <c r="N281" s="272"/>
      <c r="O281" s="272"/>
      <c r="P281" s="272"/>
      <c r="Q281" s="272"/>
      <c r="R281" s="272"/>
      <c r="S281" s="272"/>
      <c r="T281" s="272"/>
      <c r="U281" s="272"/>
      <c r="V281" s="272"/>
      <c r="W281" s="276">
        <v>0.45419999999999999</v>
      </c>
      <c r="X281" s="272"/>
      <c r="Y281" s="272"/>
      <c r="Z281" s="272"/>
    </row>
    <row r="282" spans="2:26" x14ac:dyDescent="0.45">
      <c r="B282" s="273">
        <v>275</v>
      </c>
      <c r="C282" s="272"/>
      <c r="D282" s="272"/>
      <c r="E282" s="272"/>
      <c r="F282" s="272"/>
      <c r="G282" s="272"/>
      <c r="H282" s="272"/>
      <c r="I282" s="272"/>
      <c r="J282" s="272"/>
      <c r="K282" s="272"/>
      <c r="L282" s="272"/>
      <c r="M282" s="272"/>
      <c r="N282" s="272"/>
      <c r="O282" s="272"/>
      <c r="P282" s="272"/>
      <c r="Q282" s="272"/>
      <c r="R282" s="272"/>
      <c r="S282" s="272"/>
      <c r="T282" s="272"/>
      <c r="U282" s="272"/>
      <c r="V282" s="272"/>
      <c r="W282" s="276">
        <v>0.45219999999999999</v>
      </c>
      <c r="X282" s="272"/>
      <c r="Y282" s="272"/>
      <c r="Z282" s="272"/>
    </row>
    <row r="283" spans="2:26" x14ac:dyDescent="0.45">
      <c r="B283" s="273">
        <v>276</v>
      </c>
      <c r="C283" s="272"/>
      <c r="D283" s="272"/>
      <c r="E283" s="272"/>
      <c r="F283" s="272"/>
      <c r="G283" s="272"/>
      <c r="H283" s="272"/>
      <c r="I283" s="272"/>
      <c r="J283" s="272"/>
      <c r="K283" s="272"/>
      <c r="L283" s="272"/>
      <c r="M283" s="272"/>
      <c r="N283" s="272"/>
      <c r="O283" s="272"/>
      <c r="P283" s="272"/>
      <c r="Q283" s="272"/>
      <c r="R283" s="272"/>
      <c r="S283" s="272"/>
      <c r="T283" s="272"/>
      <c r="U283" s="272"/>
      <c r="V283" s="272"/>
      <c r="W283" s="276">
        <v>0.45029999999999998</v>
      </c>
      <c r="X283" s="272"/>
      <c r="Y283" s="272"/>
      <c r="Z283" s="272"/>
    </row>
    <row r="284" spans="2:26" x14ac:dyDescent="0.45">
      <c r="B284" s="273">
        <v>277</v>
      </c>
      <c r="C284" s="272"/>
      <c r="D284" s="272"/>
      <c r="E284" s="272"/>
      <c r="F284" s="272"/>
      <c r="G284" s="272"/>
      <c r="H284" s="272"/>
      <c r="I284" s="272"/>
      <c r="J284" s="272"/>
      <c r="K284" s="272"/>
      <c r="L284" s="272"/>
      <c r="M284" s="272"/>
      <c r="N284" s="272"/>
      <c r="O284" s="272"/>
      <c r="P284" s="272"/>
      <c r="Q284" s="272"/>
      <c r="R284" s="272"/>
      <c r="S284" s="272"/>
      <c r="T284" s="272"/>
      <c r="U284" s="272"/>
      <c r="V284" s="272"/>
      <c r="W284" s="276">
        <v>0.44829999999999998</v>
      </c>
      <c r="X284" s="272"/>
      <c r="Y284" s="272"/>
      <c r="Z284" s="272"/>
    </row>
    <row r="285" spans="2:26" x14ac:dyDescent="0.45">
      <c r="B285" s="273">
        <v>278</v>
      </c>
      <c r="C285" s="272"/>
      <c r="D285" s="272"/>
      <c r="E285" s="272"/>
      <c r="F285" s="272"/>
      <c r="G285" s="272"/>
      <c r="H285" s="272"/>
      <c r="I285" s="272"/>
      <c r="J285" s="272"/>
      <c r="K285" s="272"/>
      <c r="L285" s="272"/>
      <c r="M285" s="272"/>
      <c r="N285" s="272"/>
      <c r="O285" s="272"/>
      <c r="P285" s="272"/>
      <c r="Q285" s="272"/>
      <c r="R285" s="272"/>
      <c r="S285" s="272"/>
      <c r="T285" s="272"/>
      <c r="U285" s="272"/>
      <c r="V285" s="272"/>
      <c r="W285" s="276">
        <v>0.44640000000000002</v>
      </c>
      <c r="X285" s="272"/>
      <c r="Y285" s="272"/>
      <c r="Z285" s="272"/>
    </row>
    <row r="286" spans="2:26" x14ac:dyDescent="0.45">
      <c r="B286" s="273">
        <v>279</v>
      </c>
      <c r="C286" s="272"/>
      <c r="D286" s="272"/>
      <c r="E286" s="272"/>
      <c r="F286" s="272"/>
      <c r="G286" s="272"/>
      <c r="H286" s="272"/>
      <c r="I286" s="272"/>
      <c r="J286" s="272"/>
      <c r="K286" s="272"/>
      <c r="L286" s="272"/>
      <c r="M286" s="272"/>
      <c r="N286" s="272"/>
      <c r="O286" s="272"/>
      <c r="P286" s="272"/>
      <c r="Q286" s="272"/>
      <c r="R286" s="272"/>
      <c r="S286" s="272"/>
      <c r="T286" s="272"/>
      <c r="U286" s="272"/>
      <c r="V286" s="272"/>
      <c r="W286" s="276">
        <v>0.44440000000000002</v>
      </c>
      <c r="X286" s="272"/>
      <c r="Y286" s="272"/>
      <c r="Z286" s="272"/>
    </row>
    <row r="287" spans="2:26" x14ac:dyDescent="0.45">
      <c r="B287" s="273">
        <v>280</v>
      </c>
      <c r="C287" s="272"/>
      <c r="D287" s="272"/>
      <c r="E287" s="272"/>
      <c r="F287" s="272"/>
      <c r="G287" s="272"/>
      <c r="H287" s="272"/>
      <c r="I287" s="272"/>
      <c r="J287" s="272"/>
      <c r="K287" s="272"/>
      <c r="L287" s="272"/>
      <c r="M287" s="272"/>
      <c r="N287" s="272"/>
      <c r="O287" s="272"/>
      <c r="P287" s="272"/>
      <c r="Q287" s="272"/>
      <c r="R287" s="272"/>
      <c r="S287" s="272"/>
      <c r="T287" s="272"/>
      <c r="U287" s="272"/>
      <c r="V287" s="272"/>
      <c r="W287" s="276">
        <v>0.4425</v>
      </c>
      <c r="X287" s="272"/>
      <c r="Y287" s="272"/>
      <c r="Z287" s="272"/>
    </row>
    <row r="288" spans="2:26" x14ac:dyDescent="0.45">
      <c r="B288" s="273">
        <v>281</v>
      </c>
      <c r="C288" s="272"/>
      <c r="D288" s="272"/>
      <c r="E288" s="272"/>
      <c r="F288" s="272"/>
      <c r="G288" s="272"/>
      <c r="H288" s="272"/>
      <c r="I288" s="272"/>
      <c r="J288" s="272"/>
      <c r="K288" s="272"/>
      <c r="L288" s="272"/>
      <c r="M288" s="272"/>
      <c r="N288" s="272"/>
      <c r="O288" s="272"/>
      <c r="P288" s="272"/>
      <c r="Q288" s="272"/>
      <c r="R288" s="272"/>
      <c r="S288" s="272"/>
      <c r="T288" s="272"/>
      <c r="U288" s="272"/>
      <c r="V288" s="272"/>
      <c r="W288" s="276">
        <v>0.44049999999999995</v>
      </c>
      <c r="X288" s="272"/>
      <c r="Y288" s="272"/>
      <c r="Z288" s="272"/>
    </row>
    <row r="289" spans="2:26" x14ac:dyDescent="0.45">
      <c r="B289" s="273">
        <v>282</v>
      </c>
      <c r="C289" s="272"/>
      <c r="D289" s="272"/>
      <c r="E289" s="272"/>
      <c r="F289" s="272"/>
      <c r="G289" s="272"/>
      <c r="H289" s="272"/>
      <c r="I289" s="272"/>
      <c r="J289" s="272"/>
      <c r="K289" s="272"/>
      <c r="L289" s="272"/>
      <c r="M289" s="272"/>
      <c r="N289" s="272"/>
      <c r="O289" s="272"/>
      <c r="P289" s="272"/>
      <c r="Q289" s="272"/>
      <c r="R289" s="272"/>
      <c r="S289" s="272"/>
      <c r="T289" s="272"/>
      <c r="U289" s="272"/>
      <c r="V289" s="272"/>
      <c r="W289" s="276">
        <v>0.43859999999999999</v>
      </c>
      <c r="X289" s="272"/>
      <c r="Y289" s="272"/>
      <c r="Z289" s="272"/>
    </row>
    <row r="290" spans="2:26" x14ac:dyDescent="0.45">
      <c r="B290" s="273">
        <v>283</v>
      </c>
      <c r="C290" s="272"/>
      <c r="D290" s="272"/>
      <c r="E290" s="272"/>
      <c r="F290" s="272"/>
      <c r="G290" s="272"/>
      <c r="H290" s="272"/>
      <c r="I290" s="272"/>
      <c r="J290" s="272"/>
      <c r="K290" s="272"/>
      <c r="L290" s="272"/>
      <c r="M290" s="272"/>
      <c r="N290" s="272"/>
      <c r="O290" s="272"/>
      <c r="P290" s="272"/>
      <c r="Q290" s="272"/>
      <c r="R290" s="272"/>
      <c r="S290" s="272"/>
      <c r="T290" s="272"/>
      <c r="U290" s="272"/>
      <c r="V290" s="272"/>
      <c r="W290" s="276">
        <v>0.4365</v>
      </c>
      <c r="X290" s="272"/>
      <c r="Y290" s="272"/>
      <c r="Z290" s="272"/>
    </row>
    <row r="291" spans="2:26" x14ac:dyDescent="0.45">
      <c r="B291" s="273">
        <v>284</v>
      </c>
      <c r="C291" s="272"/>
      <c r="D291" s="272"/>
      <c r="E291" s="272"/>
      <c r="F291" s="272"/>
      <c r="G291" s="272"/>
      <c r="H291" s="272"/>
      <c r="I291" s="272"/>
      <c r="J291" s="272"/>
      <c r="K291" s="272"/>
      <c r="L291" s="272"/>
      <c r="M291" s="272"/>
      <c r="N291" s="272"/>
      <c r="O291" s="272"/>
      <c r="P291" s="272"/>
      <c r="Q291" s="272"/>
      <c r="R291" s="272"/>
      <c r="S291" s="272"/>
      <c r="T291" s="272"/>
      <c r="U291" s="272"/>
      <c r="V291" s="272"/>
      <c r="W291" s="276">
        <v>0.4345</v>
      </c>
      <c r="X291" s="272"/>
      <c r="Y291" s="272"/>
      <c r="Z291" s="272"/>
    </row>
    <row r="292" spans="2:26" x14ac:dyDescent="0.45">
      <c r="B292" s="273">
        <v>285</v>
      </c>
      <c r="C292" s="272"/>
      <c r="D292" s="272"/>
      <c r="E292" s="272"/>
      <c r="F292" s="272"/>
      <c r="G292" s="272"/>
      <c r="H292" s="272"/>
      <c r="I292" s="272"/>
      <c r="J292" s="272"/>
      <c r="K292" s="272"/>
      <c r="L292" s="272"/>
      <c r="M292" s="272"/>
      <c r="N292" s="272"/>
      <c r="O292" s="272"/>
      <c r="P292" s="272"/>
      <c r="Q292" s="272"/>
      <c r="R292" s="272"/>
      <c r="S292" s="272"/>
      <c r="T292" s="272"/>
      <c r="U292" s="272"/>
      <c r="V292" s="272"/>
      <c r="W292" s="276">
        <v>0.43259999999999998</v>
      </c>
      <c r="X292" s="272"/>
      <c r="Y292" s="272"/>
      <c r="Z292" s="272"/>
    </row>
    <row r="293" spans="2:26" x14ac:dyDescent="0.45">
      <c r="B293" s="273">
        <v>286</v>
      </c>
      <c r="C293" s="272"/>
      <c r="D293" s="272"/>
      <c r="E293" s="272"/>
      <c r="F293" s="272"/>
      <c r="G293" s="272"/>
      <c r="H293" s="272"/>
      <c r="I293" s="272"/>
      <c r="J293" s="272"/>
      <c r="K293" s="272"/>
      <c r="L293" s="272"/>
      <c r="M293" s="272"/>
      <c r="N293" s="272"/>
      <c r="O293" s="272"/>
      <c r="P293" s="272"/>
      <c r="Q293" s="272"/>
      <c r="R293" s="272"/>
      <c r="S293" s="272"/>
      <c r="T293" s="272"/>
      <c r="U293" s="272"/>
      <c r="V293" s="272"/>
      <c r="W293" s="276">
        <v>0.43070000000000003</v>
      </c>
      <c r="X293" s="272"/>
      <c r="Y293" s="272"/>
      <c r="Z293" s="272"/>
    </row>
    <row r="294" spans="2:26" x14ac:dyDescent="0.45">
      <c r="B294" s="273">
        <v>287</v>
      </c>
      <c r="C294" s="272"/>
      <c r="D294" s="272"/>
      <c r="E294" s="272"/>
      <c r="F294" s="272"/>
      <c r="G294" s="272"/>
      <c r="H294" s="272"/>
      <c r="I294" s="272"/>
      <c r="J294" s="272"/>
      <c r="K294" s="272"/>
      <c r="L294" s="272"/>
      <c r="M294" s="272"/>
      <c r="N294" s="272"/>
      <c r="O294" s="272"/>
      <c r="P294" s="272"/>
      <c r="Q294" s="272"/>
      <c r="R294" s="272"/>
      <c r="S294" s="272"/>
      <c r="T294" s="272"/>
      <c r="U294" s="272"/>
      <c r="V294" s="272"/>
      <c r="W294" s="276">
        <v>0.42870000000000003</v>
      </c>
      <c r="X294" s="272"/>
      <c r="Y294" s="272"/>
      <c r="Z294" s="272"/>
    </row>
    <row r="295" spans="2:26" x14ac:dyDescent="0.45">
      <c r="B295" s="273">
        <v>288</v>
      </c>
      <c r="C295" s="272"/>
      <c r="D295" s="272"/>
      <c r="E295" s="272"/>
      <c r="F295" s="272"/>
      <c r="G295" s="272"/>
      <c r="H295" s="272"/>
      <c r="I295" s="272"/>
      <c r="J295" s="272"/>
      <c r="K295" s="272"/>
      <c r="L295" s="272"/>
      <c r="M295" s="272"/>
      <c r="N295" s="272"/>
      <c r="O295" s="272"/>
      <c r="P295" s="272"/>
      <c r="Q295" s="272"/>
      <c r="R295" s="272"/>
      <c r="S295" s="272"/>
      <c r="T295" s="272"/>
      <c r="U295" s="272"/>
      <c r="V295" s="272"/>
      <c r="W295" s="276">
        <v>0.42680000000000001</v>
      </c>
      <c r="X295" s="272"/>
      <c r="Y295" s="272"/>
      <c r="Z295" s="272"/>
    </row>
    <row r="296" spans="2:26" x14ac:dyDescent="0.45">
      <c r="B296" s="273">
        <v>289</v>
      </c>
      <c r="C296" s="272"/>
      <c r="D296" s="272"/>
      <c r="E296" s="272"/>
      <c r="F296" s="272"/>
      <c r="G296" s="272"/>
      <c r="H296" s="272"/>
      <c r="I296" s="272"/>
      <c r="J296" s="272"/>
      <c r="K296" s="272"/>
      <c r="L296" s="272"/>
      <c r="M296" s="272"/>
      <c r="N296" s="272"/>
      <c r="O296" s="272"/>
      <c r="P296" s="272"/>
      <c r="Q296" s="272"/>
      <c r="R296" s="272"/>
      <c r="S296" s="272"/>
      <c r="T296" s="272"/>
      <c r="U296" s="272"/>
      <c r="V296" s="272"/>
      <c r="W296" s="276">
        <v>0.42480000000000001</v>
      </c>
      <c r="X296" s="272"/>
      <c r="Y296" s="272"/>
      <c r="Z296" s="272"/>
    </row>
    <row r="297" spans="2:26" x14ac:dyDescent="0.45">
      <c r="B297" s="273">
        <v>290</v>
      </c>
      <c r="C297" s="272"/>
      <c r="D297" s="272"/>
      <c r="E297" s="272"/>
      <c r="F297" s="272"/>
      <c r="G297" s="272"/>
      <c r="H297" s="272"/>
      <c r="I297" s="272"/>
      <c r="J297" s="272"/>
      <c r="K297" s="272"/>
      <c r="L297" s="272"/>
      <c r="M297" s="272"/>
      <c r="N297" s="272"/>
      <c r="O297" s="272"/>
      <c r="P297" s="272"/>
      <c r="Q297" s="272"/>
      <c r="R297" s="272"/>
      <c r="S297" s="272"/>
      <c r="T297" s="272"/>
      <c r="U297" s="272"/>
      <c r="V297" s="272"/>
      <c r="W297" s="276">
        <v>0.4229</v>
      </c>
      <c r="X297" s="272"/>
      <c r="Y297" s="272"/>
      <c r="Z297" s="272"/>
    </row>
    <row r="298" spans="2:26" x14ac:dyDescent="0.45">
      <c r="B298" s="273">
        <v>291</v>
      </c>
      <c r="C298" s="272"/>
      <c r="D298" s="272"/>
      <c r="E298" s="272"/>
      <c r="F298" s="272"/>
      <c r="G298" s="272"/>
      <c r="H298" s="272"/>
      <c r="I298" s="272"/>
      <c r="J298" s="272"/>
      <c r="K298" s="272"/>
      <c r="L298" s="272"/>
      <c r="M298" s="272"/>
      <c r="N298" s="272"/>
      <c r="O298" s="272"/>
      <c r="P298" s="272"/>
      <c r="Q298" s="272"/>
      <c r="R298" s="272"/>
      <c r="S298" s="272"/>
      <c r="T298" s="272"/>
      <c r="U298" s="272"/>
      <c r="V298" s="272"/>
      <c r="W298" s="276">
        <v>0.4209</v>
      </c>
      <c r="X298" s="272"/>
      <c r="Y298" s="272"/>
      <c r="Z298" s="272"/>
    </row>
    <row r="299" spans="2:26" x14ac:dyDescent="0.45">
      <c r="B299" s="273">
        <v>292</v>
      </c>
      <c r="C299" s="272"/>
      <c r="D299" s="272"/>
      <c r="E299" s="272"/>
      <c r="F299" s="272"/>
      <c r="G299" s="272"/>
      <c r="H299" s="272"/>
      <c r="I299" s="272"/>
      <c r="J299" s="272"/>
      <c r="K299" s="272"/>
      <c r="L299" s="272"/>
      <c r="M299" s="272"/>
      <c r="N299" s="272"/>
      <c r="O299" s="272"/>
      <c r="P299" s="272"/>
      <c r="Q299" s="272"/>
      <c r="R299" s="272"/>
      <c r="S299" s="272"/>
      <c r="T299" s="272"/>
      <c r="U299" s="272"/>
      <c r="V299" s="272"/>
      <c r="W299" s="276">
        <v>0.41899999999999998</v>
      </c>
      <c r="X299" s="272"/>
      <c r="Y299" s="272"/>
      <c r="Z299" s="272"/>
    </row>
    <row r="300" spans="2:26" x14ac:dyDescent="0.45">
      <c r="B300" s="273">
        <v>293</v>
      </c>
      <c r="C300" s="272"/>
      <c r="D300" s="272"/>
      <c r="E300" s="272"/>
      <c r="F300" s="272"/>
      <c r="G300" s="272"/>
      <c r="H300" s="272"/>
      <c r="I300" s="272"/>
      <c r="J300" s="272"/>
      <c r="K300" s="272"/>
      <c r="L300" s="272"/>
      <c r="M300" s="272"/>
      <c r="N300" s="272"/>
      <c r="O300" s="272"/>
      <c r="P300" s="272"/>
      <c r="Q300" s="272"/>
      <c r="R300" s="272"/>
      <c r="S300" s="272"/>
      <c r="T300" s="272"/>
      <c r="U300" s="272"/>
      <c r="V300" s="272"/>
      <c r="W300" s="276">
        <v>0.41699999999999998</v>
      </c>
      <c r="X300" s="272"/>
      <c r="Y300" s="272"/>
      <c r="Z300" s="272"/>
    </row>
    <row r="301" spans="2:26" x14ac:dyDescent="0.45">
      <c r="B301" s="273">
        <v>294</v>
      </c>
      <c r="C301" s="272"/>
      <c r="D301" s="272"/>
      <c r="E301" s="272"/>
      <c r="F301" s="272"/>
      <c r="G301" s="272"/>
      <c r="H301" s="272"/>
      <c r="I301" s="272"/>
      <c r="J301" s="272"/>
      <c r="K301" s="272"/>
      <c r="L301" s="272"/>
      <c r="M301" s="272"/>
      <c r="N301" s="272"/>
      <c r="O301" s="272"/>
      <c r="P301" s="272"/>
      <c r="Q301" s="272"/>
      <c r="R301" s="272"/>
      <c r="S301" s="272"/>
      <c r="T301" s="272"/>
      <c r="U301" s="272"/>
      <c r="V301" s="272"/>
      <c r="W301" s="276">
        <v>0.41510000000000002</v>
      </c>
      <c r="X301" s="272"/>
      <c r="Y301" s="272"/>
      <c r="Z301" s="272"/>
    </row>
    <row r="302" spans="2:26" x14ac:dyDescent="0.45">
      <c r="B302" s="273">
        <v>295</v>
      </c>
      <c r="C302" s="272"/>
      <c r="D302" s="272"/>
      <c r="E302" s="272"/>
      <c r="F302" s="272"/>
      <c r="G302" s="272"/>
      <c r="H302" s="272"/>
      <c r="I302" s="272"/>
      <c r="J302" s="272"/>
      <c r="K302" s="272"/>
      <c r="L302" s="272"/>
      <c r="M302" s="272"/>
      <c r="N302" s="272"/>
      <c r="O302" s="272"/>
      <c r="P302" s="272"/>
      <c r="Q302" s="272"/>
      <c r="R302" s="272"/>
      <c r="S302" s="272"/>
      <c r="T302" s="272"/>
      <c r="U302" s="272"/>
      <c r="V302" s="272"/>
      <c r="W302" s="276">
        <v>0.41320000000000001</v>
      </c>
      <c r="X302" s="272"/>
      <c r="Y302" s="272"/>
      <c r="Z302" s="272"/>
    </row>
    <row r="303" spans="2:26" x14ac:dyDescent="0.45">
      <c r="B303" s="273">
        <v>296</v>
      </c>
      <c r="C303" s="272"/>
      <c r="D303" s="272"/>
      <c r="E303" s="272"/>
      <c r="F303" s="272"/>
      <c r="G303" s="272"/>
      <c r="H303" s="272"/>
      <c r="I303" s="272"/>
      <c r="J303" s="272"/>
      <c r="K303" s="272"/>
      <c r="L303" s="272"/>
      <c r="M303" s="272"/>
      <c r="N303" s="272"/>
      <c r="O303" s="272"/>
      <c r="P303" s="272"/>
      <c r="Q303" s="272"/>
      <c r="R303" s="272"/>
      <c r="S303" s="272"/>
      <c r="T303" s="272"/>
      <c r="U303" s="272"/>
      <c r="V303" s="272"/>
      <c r="W303" s="276">
        <v>0.41120000000000001</v>
      </c>
      <c r="X303" s="272"/>
      <c r="Y303" s="272"/>
      <c r="Z303" s="272"/>
    </row>
    <row r="304" spans="2:26" x14ac:dyDescent="0.45">
      <c r="B304" s="273">
        <v>297</v>
      </c>
      <c r="C304" s="272"/>
      <c r="D304" s="272"/>
      <c r="E304" s="272"/>
      <c r="F304" s="272"/>
      <c r="G304" s="272"/>
      <c r="H304" s="272"/>
      <c r="I304" s="272"/>
      <c r="J304" s="272"/>
      <c r="K304" s="272"/>
      <c r="L304" s="272"/>
      <c r="M304" s="272"/>
      <c r="N304" s="272"/>
      <c r="O304" s="272"/>
      <c r="P304" s="272"/>
      <c r="Q304" s="272"/>
      <c r="R304" s="272"/>
      <c r="S304" s="272"/>
      <c r="T304" s="272"/>
      <c r="U304" s="272"/>
      <c r="V304" s="272"/>
      <c r="W304" s="276">
        <v>0.4093</v>
      </c>
      <c r="X304" s="272"/>
      <c r="Y304" s="272"/>
      <c r="Z304" s="272"/>
    </row>
    <row r="305" spans="2:26" x14ac:dyDescent="0.45">
      <c r="B305" s="273">
        <v>298</v>
      </c>
      <c r="C305" s="272"/>
      <c r="D305" s="272"/>
      <c r="E305" s="272"/>
      <c r="F305" s="272"/>
      <c r="G305" s="272"/>
      <c r="H305" s="272"/>
      <c r="I305" s="272"/>
      <c r="J305" s="272"/>
      <c r="K305" s="272"/>
      <c r="L305" s="272"/>
      <c r="M305" s="272"/>
      <c r="N305" s="272"/>
      <c r="O305" s="272"/>
      <c r="P305" s="272"/>
      <c r="Q305" s="272"/>
      <c r="R305" s="272"/>
      <c r="S305" s="272"/>
      <c r="T305" s="272"/>
      <c r="U305" s="272"/>
      <c r="V305" s="272"/>
      <c r="W305" s="276">
        <v>0.4073</v>
      </c>
      <c r="X305" s="272"/>
      <c r="Y305" s="272"/>
      <c r="Z305" s="272"/>
    </row>
    <row r="306" spans="2:26" x14ac:dyDescent="0.45">
      <c r="B306" s="273">
        <v>299</v>
      </c>
      <c r="C306" s="272"/>
      <c r="D306" s="272"/>
      <c r="E306" s="272"/>
      <c r="F306" s="272"/>
      <c r="G306" s="272"/>
      <c r="H306" s="272"/>
      <c r="I306" s="272"/>
      <c r="J306" s="272"/>
      <c r="K306" s="272"/>
      <c r="L306" s="272"/>
      <c r="M306" s="272"/>
      <c r="N306" s="272"/>
      <c r="O306" s="272"/>
      <c r="P306" s="272"/>
      <c r="Q306" s="272"/>
      <c r="R306" s="272"/>
      <c r="S306" s="272"/>
      <c r="T306" s="272"/>
      <c r="U306" s="272"/>
      <c r="V306" s="272"/>
      <c r="W306" s="276">
        <v>0.4052</v>
      </c>
      <c r="X306" s="272"/>
      <c r="Y306" s="272"/>
      <c r="Z306" s="272"/>
    </row>
    <row r="307" spans="2:26" x14ac:dyDescent="0.45">
      <c r="B307" s="273">
        <v>300</v>
      </c>
      <c r="C307" s="272"/>
      <c r="D307" s="272"/>
      <c r="E307" s="272"/>
      <c r="F307" s="272"/>
      <c r="G307" s="272"/>
      <c r="H307" s="272"/>
      <c r="I307" s="272"/>
      <c r="J307" s="272"/>
      <c r="K307" s="272"/>
      <c r="L307" s="272"/>
      <c r="M307" s="272"/>
      <c r="N307" s="272"/>
      <c r="O307" s="272"/>
      <c r="P307" s="272"/>
      <c r="Q307" s="272"/>
      <c r="R307" s="272"/>
      <c r="S307" s="272"/>
      <c r="T307" s="272"/>
      <c r="U307" s="272"/>
      <c r="V307" s="272"/>
      <c r="W307" s="276">
        <v>0.40329999999999999</v>
      </c>
      <c r="X307" s="272"/>
      <c r="Y307" s="272"/>
      <c r="Z307" s="272"/>
    </row>
    <row r="308" spans="2:26" x14ac:dyDescent="0.45">
      <c r="B308" s="273">
        <v>301</v>
      </c>
      <c r="C308" s="272"/>
      <c r="D308" s="272"/>
      <c r="E308" s="272"/>
      <c r="F308" s="272"/>
      <c r="G308" s="272"/>
      <c r="H308" s="272"/>
      <c r="I308" s="272"/>
      <c r="J308" s="272"/>
      <c r="K308" s="272"/>
      <c r="L308" s="272"/>
      <c r="M308" s="272"/>
      <c r="N308" s="272"/>
      <c r="O308" s="272"/>
      <c r="P308" s="272"/>
      <c r="Q308" s="272"/>
      <c r="R308" s="272"/>
      <c r="S308" s="272"/>
      <c r="T308" s="272"/>
      <c r="U308" s="272"/>
      <c r="V308" s="272"/>
      <c r="W308" s="276">
        <v>0.40129999999999999</v>
      </c>
      <c r="X308" s="272"/>
      <c r="Y308" s="272"/>
      <c r="Z308" s="272"/>
    </row>
    <row r="309" spans="2:26" x14ac:dyDescent="0.45">
      <c r="B309" s="273">
        <v>302</v>
      </c>
      <c r="C309" s="272"/>
      <c r="D309" s="272"/>
      <c r="E309" s="272"/>
      <c r="F309" s="272"/>
      <c r="G309" s="272"/>
      <c r="H309" s="272"/>
      <c r="I309" s="272"/>
      <c r="J309" s="272"/>
      <c r="K309" s="272"/>
      <c r="L309" s="272"/>
      <c r="M309" s="272"/>
      <c r="N309" s="272"/>
      <c r="O309" s="272"/>
      <c r="P309" s="272"/>
      <c r="Q309" s="272"/>
      <c r="R309" s="272"/>
      <c r="S309" s="272"/>
      <c r="T309" s="272"/>
      <c r="U309" s="272"/>
      <c r="V309" s="272"/>
      <c r="W309" s="276">
        <v>0.39939999999999998</v>
      </c>
      <c r="X309" s="272"/>
      <c r="Y309" s="272"/>
      <c r="Z309" s="272"/>
    </row>
    <row r="310" spans="2:26" x14ac:dyDescent="0.45">
      <c r="B310" s="273">
        <v>303</v>
      </c>
      <c r="C310" s="272"/>
      <c r="D310" s="272"/>
      <c r="E310" s="272"/>
      <c r="F310" s="272"/>
      <c r="G310" s="272"/>
      <c r="H310" s="272"/>
      <c r="I310" s="272"/>
      <c r="J310" s="272"/>
      <c r="K310" s="272"/>
      <c r="L310" s="272"/>
      <c r="M310" s="272"/>
      <c r="N310" s="272"/>
      <c r="O310" s="272"/>
      <c r="P310" s="272"/>
      <c r="Q310" s="272"/>
      <c r="R310" s="272"/>
      <c r="S310" s="272"/>
      <c r="T310" s="272"/>
      <c r="U310" s="272"/>
      <c r="V310" s="272"/>
      <c r="W310" s="276">
        <v>0.39740000000000003</v>
      </c>
      <c r="X310" s="272"/>
      <c r="Y310" s="272"/>
      <c r="Z310" s="272"/>
    </row>
    <row r="311" spans="2:26" x14ac:dyDescent="0.45">
      <c r="B311" s="273">
        <v>304</v>
      </c>
      <c r="C311" s="272"/>
      <c r="D311" s="272"/>
      <c r="E311" s="272"/>
      <c r="F311" s="272"/>
      <c r="G311" s="272"/>
      <c r="H311" s="272"/>
      <c r="I311" s="272"/>
      <c r="J311" s="272"/>
      <c r="K311" s="272"/>
      <c r="L311" s="272"/>
      <c r="M311" s="272"/>
      <c r="N311" s="272"/>
      <c r="O311" s="272"/>
      <c r="P311" s="272"/>
      <c r="Q311" s="272"/>
      <c r="R311" s="272"/>
      <c r="S311" s="272"/>
      <c r="T311" s="272"/>
      <c r="U311" s="272"/>
      <c r="V311" s="272"/>
      <c r="W311" s="276">
        <v>0.39550000000000002</v>
      </c>
      <c r="X311" s="272"/>
      <c r="Y311" s="272"/>
      <c r="Z311" s="272"/>
    </row>
    <row r="312" spans="2:26" x14ac:dyDescent="0.45">
      <c r="B312" s="273">
        <v>305</v>
      </c>
      <c r="C312" s="272"/>
      <c r="D312" s="272"/>
      <c r="E312" s="272"/>
      <c r="F312" s="272"/>
      <c r="G312" s="272"/>
      <c r="H312" s="272"/>
      <c r="I312" s="272"/>
      <c r="J312" s="272"/>
      <c r="K312" s="272"/>
      <c r="L312" s="272"/>
      <c r="M312" s="272"/>
      <c r="N312" s="272"/>
      <c r="O312" s="272"/>
      <c r="P312" s="272"/>
      <c r="Q312" s="272"/>
      <c r="R312" s="272"/>
      <c r="S312" s="272"/>
      <c r="T312" s="272"/>
      <c r="U312" s="272"/>
      <c r="V312" s="272"/>
      <c r="W312" s="276">
        <v>0.39350000000000002</v>
      </c>
      <c r="X312" s="272"/>
      <c r="Y312" s="272"/>
      <c r="Z312" s="272"/>
    </row>
    <row r="313" spans="2:26" x14ac:dyDescent="0.45">
      <c r="B313" s="273">
        <v>306</v>
      </c>
      <c r="C313" s="272"/>
      <c r="D313" s="272"/>
      <c r="E313" s="272"/>
      <c r="F313" s="272"/>
      <c r="G313" s="272"/>
      <c r="H313" s="272"/>
      <c r="I313" s="272"/>
      <c r="J313" s="272"/>
      <c r="K313" s="272"/>
      <c r="L313" s="272"/>
      <c r="M313" s="272"/>
      <c r="N313" s="272"/>
      <c r="O313" s="272"/>
      <c r="P313" s="272"/>
      <c r="Q313" s="272"/>
      <c r="R313" s="272"/>
      <c r="S313" s="272"/>
      <c r="T313" s="272"/>
      <c r="U313" s="272"/>
      <c r="V313" s="272"/>
      <c r="W313" s="276">
        <v>0.3916</v>
      </c>
      <c r="X313" s="272"/>
      <c r="Y313" s="272"/>
      <c r="Z313" s="272"/>
    </row>
    <row r="314" spans="2:26" x14ac:dyDescent="0.45">
      <c r="B314" s="273">
        <v>307</v>
      </c>
      <c r="C314" s="272"/>
      <c r="D314" s="272"/>
      <c r="E314" s="272"/>
      <c r="F314" s="272"/>
      <c r="G314" s="272"/>
      <c r="H314" s="272"/>
      <c r="I314" s="272"/>
      <c r="J314" s="272"/>
      <c r="K314" s="272"/>
      <c r="L314" s="272"/>
      <c r="M314" s="272"/>
      <c r="N314" s="272"/>
      <c r="O314" s="272"/>
      <c r="P314" s="272"/>
      <c r="Q314" s="272"/>
      <c r="R314" s="272"/>
      <c r="S314" s="272"/>
      <c r="T314" s="272"/>
      <c r="U314" s="272"/>
      <c r="V314" s="272"/>
      <c r="W314" s="276">
        <v>0.38969999999999999</v>
      </c>
      <c r="X314" s="272"/>
      <c r="Y314" s="272"/>
      <c r="Z314" s="272"/>
    </row>
    <row r="315" spans="2:26" x14ac:dyDescent="0.45">
      <c r="B315" s="273">
        <v>308</v>
      </c>
      <c r="C315" s="272"/>
      <c r="D315" s="272"/>
      <c r="E315" s="272"/>
      <c r="F315" s="272"/>
      <c r="G315" s="272"/>
      <c r="H315" s="272"/>
      <c r="I315" s="272"/>
      <c r="J315" s="272"/>
      <c r="K315" s="272"/>
      <c r="L315" s="272"/>
      <c r="M315" s="272"/>
      <c r="N315" s="272"/>
      <c r="O315" s="272"/>
      <c r="P315" s="272"/>
      <c r="Q315" s="272"/>
      <c r="R315" s="272"/>
      <c r="S315" s="272"/>
      <c r="T315" s="272"/>
      <c r="U315" s="272"/>
      <c r="V315" s="272"/>
      <c r="W315" s="276">
        <v>0.38769999999999999</v>
      </c>
      <c r="X315" s="272"/>
      <c r="Y315" s="272"/>
      <c r="Z315" s="272"/>
    </row>
    <row r="316" spans="2:26" x14ac:dyDescent="0.45">
      <c r="B316" s="273">
        <v>309</v>
      </c>
      <c r="C316" s="272"/>
      <c r="D316" s="272"/>
      <c r="E316" s="272"/>
      <c r="F316" s="272"/>
      <c r="G316" s="272"/>
      <c r="H316" s="272"/>
      <c r="I316" s="272"/>
      <c r="J316" s="272"/>
      <c r="K316" s="272"/>
      <c r="L316" s="272"/>
      <c r="M316" s="272"/>
      <c r="N316" s="272"/>
      <c r="O316" s="272"/>
      <c r="P316" s="272"/>
      <c r="Q316" s="272"/>
      <c r="R316" s="272"/>
      <c r="S316" s="272"/>
      <c r="T316" s="272"/>
      <c r="U316" s="272"/>
      <c r="V316" s="272"/>
      <c r="W316" s="276">
        <v>0.38579999999999998</v>
      </c>
      <c r="X316" s="272"/>
      <c r="Y316" s="272"/>
      <c r="Z316" s="272"/>
    </row>
    <row r="317" spans="2:26" x14ac:dyDescent="0.45">
      <c r="B317" s="273">
        <v>310</v>
      </c>
      <c r="C317" s="272"/>
      <c r="D317" s="272"/>
      <c r="E317" s="272"/>
      <c r="F317" s="272"/>
      <c r="G317" s="272"/>
      <c r="H317" s="272"/>
      <c r="I317" s="272"/>
      <c r="J317" s="272"/>
      <c r="K317" s="272"/>
      <c r="L317" s="272"/>
      <c r="M317" s="272"/>
      <c r="N317" s="272"/>
      <c r="O317" s="272"/>
      <c r="P317" s="272"/>
      <c r="Q317" s="272"/>
      <c r="R317" s="272"/>
      <c r="S317" s="272"/>
      <c r="T317" s="272"/>
      <c r="U317" s="272"/>
      <c r="V317" s="272"/>
      <c r="W317" s="276">
        <v>0.38380000000000003</v>
      </c>
      <c r="X317" s="272"/>
      <c r="Y317" s="272"/>
      <c r="Z317" s="272"/>
    </row>
    <row r="318" spans="2:26" x14ac:dyDescent="0.45">
      <c r="B318" s="273">
        <v>311</v>
      </c>
      <c r="C318" s="272"/>
      <c r="D318" s="272"/>
      <c r="E318" s="272"/>
      <c r="F318" s="272"/>
      <c r="G318" s="272"/>
      <c r="H318" s="272"/>
      <c r="I318" s="272"/>
      <c r="J318" s="272"/>
      <c r="K318" s="272"/>
      <c r="L318" s="272"/>
      <c r="M318" s="272"/>
      <c r="N318" s="272"/>
      <c r="O318" s="272"/>
      <c r="P318" s="272"/>
      <c r="Q318" s="272"/>
      <c r="R318" s="272"/>
      <c r="S318" s="272"/>
      <c r="T318" s="272"/>
      <c r="U318" s="272"/>
      <c r="V318" s="272"/>
      <c r="W318" s="276">
        <v>0.38190000000000002</v>
      </c>
      <c r="X318" s="272"/>
      <c r="Y318" s="272"/>
      <c r="Z318" s="272"/>
    </row>
    <row r="319" spans="2:26" x14ac:dyDescent="0.45">
      <c r="B319" s="273">
        <v>312</v>
      </c>
      <c r="C319" s="272"/>
      <c r="D319" s="272"/>
      <c r="E319" s="272"/>
      <c r="F319" s="272"/>
      <c r="G319" s="272"/>
      <c r="H319" s="272"/>
      <c r="I319" s="272"/>
      <c r="J319" s="272"/>
      <c r="K319" s="272"/>
      <c r="L319" s="272"/>
      <c r="M319" s="272"/>
      <c r="N319" s="272"/>
      <c r="O319" s="272"/>
      <c r="P319" s="272"/>
      <c r="Q319" s="272"/>
      <c r="R319" s="272"/>
      <c r="S319" s="272"/>
      <c r="T319" s="272"/>
      <c r="U319" s="272"/>
      <c r="V319" s="272"/>
      <c r="W319" s="276">
        <v>0.37990000000000002</v>
      </c>
      <c r="X319" s="272"/>
      <c r="Y319" s="272"/>
      <c r="Z319" s="272"/>
    </row>
    <row r="320" spans="2:26" x14ac:dyDescent="0.45">
      <c r="B320" s="273">
        <v>313</v>
      </c>
      <c r="C320" s="272"/>
      <c r="D320" s="272"/>
      <c r="E320" s="272"/>
      <c r="F320" s="272"/>
      <c r="G320" s="272"/>
      <c r="H320" s="272"/>
      <c r="I320" s="272"/>
      <c r="J320" s="272"/>
      <c r="K320" s="272"/>
      <c r="L320" s="272"/>
      <c r="M320" s="272"/>
      <c r="N320" s="272"/>
      <c r="O320" s="272"/>
      <c r="P320" s="272"/>
      <c r="Q320" s="272"/>
      <c r="R320" s="272"/>
      <c r="S320" s="272"/>
      <c r="T320" s="272"/>
      <c r="U320" s="272"/>
      <c r="V320" s="272"/>
      <c r="W320" s="276">
        <v>0.378</v>
      </c>
      <c r="X320" s="272"/>
      <c r="Y320" s="272"/>
      <c r="Z320" s="272"/>
    </row>
    <row r="321" spans="2:26" x14ac:dyDescent="0.45">
      <c r="B321" s="273">
        <v>314</v>
      </c>
      <c r="C321" s="272"/>
      <c r="D321" s="272"/>
      <c r="E321" s="272"/>
      <c r="F321" s="272"/>
      <c r="G321" s="272"/>
      <c r="H321" s="272"/>
      <c r="I321" s="272"/>
      <c r="J321" s="272"/>
      <c r="K321" s="272"/>
      <c r="L321" s="272"/>
      <c r="M321" s="272"/>
      <c r="N321" s="272"/>
      <c r="O321" s="272"/>
      <c r="P321" s="272"/>
      <c r="Q321" s="272"/>
      <c r="R321" s="272"/>
      <c r="S321" s="272"/>
      <c r="T321" s="272"/>
      <c r="U321" s="272"/>
      <c r="V321" s="272"/>
      <c r="W321" s="276">
        <v>0.376</v>
      </c>
      <c r="X321" s="272"/>
      <c r="Y321" s="272"/>
      <c r="Z321" s="272"/>
    </row>
    <row r="322" spans="2:26" x14ac:dyDescent="0.45">
      <c r="B322" s="273">
        <v>315</v>
      </c>
      <c r="C322" s="272"/>
      <c r="D322" s="272"/>
      <c r="E322" s="272"/>
      <c r="F322" s="272"/>
      <c r="G322" s="272"/>
      <c r="H322" s="272"/>
      <c r="I322" s="272"/>
      <c r="J322" s="272"/>
      <c r="K322" s="272"/>
      <c r="L322" s="272"/>
      <c r="M322" s="272"/>
      <c r="N322" s="272"/>
      <c r="O322" s="272"/>
      <c r="P322" s="272"/>
      <c r="Q322" s="272"/>
      <c r="R322" s="272"/>
      <c r="S322" s="272"/>
      <c r="T322" s="272"/>
      <c r="U322" s="272"/>
      <c r="V322" s="272"/>
      <c r="W322" s="276">
        <v>0.37389999999999995</v>
      </c>
      <c r="X322" s="272"/>
      <c r="Y322" s="272"/>
      <c r="Z322" s="272"/>
    </row>
    <row r="323" spans="2:26" x14ac:dyDescent="0.45">
      <c r="B323" s="273">
        <v>316</v>
      </c>
      <c r="C323" s="272"/>
      <c r="D323" s="272"/>
      <c r="E323" s="272"/>
      <c r="F323" s="272"/>
      <c r="G323" s="272"/>
      <c r="H323" s="272"/>
      <c r="I323" s="272"/>
      <c r="J323" s="272"/>
      <c r="K323" s="272"/>
      <c r="L323" s="272"/>
      <c r="M323" s="272"/>
      <c r="N323" s="272"/>
      <c r="O323" s="272"/>
      <c r="P323" s="272"/>
      <c r="Q323" s="272"/>
      <c r="R323" s="272"/>
      <c r="S323" s="272"/>
      <c r="T323" s="272"/>
      <c r="U323" s="272"/>
      <c r="V323" s="272"/>
      <c r="W323" s="276">
        <v>0.372</v>
      </c>
      <c r="X323" s="272"/>
      <c r="Y323" s="272"/>
      <c r="Z323" s="272"/>
    </row>
    <row r="324" spans="2:26" x14ac:dyDescent="0.45">
      <c r="B324" s="273">
        <v>317</v>
      </c>
      <c r="C324" s="272"/>
      <c r="D324" s="272"/>
      <c r="E324" s="272"/>
      <c r="F324" s="272"/>
      <c r="G324" s="272"/>
      <c r="H324" s="272"/>
      <c r="I324" s="272"/>
      <c r="J324" s="272"/>
      <c r="K324" s="272"/>
      <c r="L324" s="272"/>
      <c r="M324" s="272"/>
      <c r="N324" s="272"/>
      <c r="O324" s="272"/>
      <c r="P324" s="272"/>
      <c r="Q324" s="272"/>
      <c r="R324" s="272"/>
      <c r="S324" s="272"/>
      <c r="T324" s="272"/>
      <c r="U324" s="272"/>
      <c r="V324" s="272"/>
      <c r="W324" s="276">
        <v>0.37</v>
      </c>
      <c r="X324" s="272"/>
      <c r="Y324" s="272"/>
      <c r="Z324" s="272"/>
    </row>
    <row r="325" spans="2:26" x14ac:dyDescent="0.45">
      <c r="B325" s="273">
        <v>318</v>
      </c>
      <c r="C325" s="272"/>
      <c r="D325" s="272"/>
      <c r="E325" s="272"/>
      <c r="F325" s="272"/>
      <c r="G325" s="272"/>
      <c r="H325" s="272"/>
      <c r="I325" s="272"/>
      <c r="J325" s="272"/>
      <c r="K325" s="272"/>
      <c r="L325" s="272"/>
      <c r="M325" s="272"/>
      <c r="N325" s="272"/>
      <c r="O325" s="272"/>
      <c r="P325" s="272"/>
      <c r="Q325" s="272"/>
      <c r="R325" s="272"/>
      <c r="S325" s="272"/>
      <c r="T325" s="272"/>
      <c r="U325" s="272"/>
      <c r="V325" s="272"/>
      <c r="W325" s="276">
        <v>0.36809999999999998</v>
      </c>
      <c r="X325" s="272"/>
      <c r="Y325" s="272"/>
      <c r="Z325" s="272"/>
    </row>
    <row r="326" spans="2:26" x14ac:dyDescent="0.45">
      <c r="B326" s="273">
        <v>319</v>
      </c>
      <c r="C326" s="272"/>
      <c r="D326" s="272"/>
      <c r="E326" s="272"/>
      <c r="F326" s="272"/>
      <c r="G326" s="272"/>
      <c r="H326" s="272"/>
      <c r="I326" s="272"/>
      <c r="J326" s="272"/>
      <c r="K326" s="272"/>
      <c r="L326" s="272"/>
      <c r="M326" s="272"/>
      <c r="N326" s="272"/>
      <c r="O326" s="272"/>
      <c r="P326" s="272"/>
      <c r="Q326" s="272"/>
      <c r="R326" s="272"/>
      <c r="S326" s="272"/>
      <c r="T326" s="272"/>
      <c r="U326" s="272"/>
      <c r="V326" s="272"/>
      <c r="W326" s="276">
        <v>0.36620000000000003</v>
      </c>
      <c r="X326" s="272"/>
      <c r="Y326" s="272"/>
      <c r="Z326" s="272"/>
    </row>
    <row r="327" spans="2:26" x14ac:dyDescent="0.45">
      <c r="B327" s="273">
        <v>320</v>
      </c>
      <c r="C327" s="272"/>
      <c r="D327" s="272"/>
      <c r="E327" s="272"/>
      <c r="F327" s="272"/>
      <c r="G327" s="272"/>
      <c r="H327" s="272"/>
      <c r="I327" s="272"/>
      <c r="J327" s="272"/>
      <c r="K327" s="272"/>
      <c r="L327" s="272"/>
      <c r="M327" s="272"/>
      <c r="N327" s="272"/>
      <c r="O327" s="272"/>
      <c r="P327" s="272"/>
      <c r="Q327" s="272"/>
      <c r="R327" s="272"/>
      <c r="S327" s="272"/>
      <c r="T327" s="272"/>
      <c r="U327" s="272"/>
      <c r="V327" s="272"/>
      <c r="W327" s="276">
        <v>0.36420000000000002</v>
      </c>
      <c r="X327" s="272"/>
      <c r="Y327" s="272"/>
      <c r="Z327" s="272"/>
    </row>
    <row r="328" spans="2:26" x14ac:dyDescent="0.45">
      <c r="B328" s="273">
        <v>321</v>
      </c>
      <c r="C328" s="272"/>
      <c r="D328" s="272"/>
      <c r="E328" s="272"/>
      <c r="F328" s="272"/>
      <c r="G328" s="272"/>
      <c r="H328" s="272"/>
      <c r="I328" s="272"/>
      <c r="J328" s="272"/>
      <c r="K328" s="272"/>
      <c r="L328" s="272"/>
      <c r="M328" s="272"/>
      <c r="N328" s="272"/>
      <c r="O328" s="272"/>
      <c r="P328" s="272"/>
      <c r="Q328" s="272"/>
      <c r="R328" s="272"/>
      <c r="S328" s="272"/>
      <c r="T328" s="272"/>
      <c r="U328" s="272"/>
      <c r="V328" s="272"/>
      <c r="W328" s="276">
        <v>0.36230000000000001</v>
      </c>
      <c r="X328" s="272"/>
      <c r="Y328" s="272"/>
      <c r="Z328" s="272"/>
    </row>
    <row r="329" spans="2:26" x14ac:dyDescent="0.45">
      <c r="B329" s="273">
        <v>322</v>
      </c>
      <c r="C329" s="272"/>
      <c r="D329" s="272"/>
      <c r="E329" s="272"/>
      <c r="F329" s="272"/>
      <c r="G329" s="272"/>
      <c r="H329" s="272"/>
      <c r="I329" s="272"/>
      <c r="J329" s="272"/>
      <c r="K329" s="272"/>
      <c r="L329" s="272"/>
      <c r="M329" s="272"/>
      <c r="N329" s="272"/>
      <c r="O329" s="272"/>
      <c r="P329" s="272"/>
      <c r="Q329" s="272"/>
      <c r="R329" s="272"/>
      <c r="S329" s="272"/>
      <c r="T329" s="272"/>
      <c r="U329" s="272"/>
      <c r="V329" s="272"/>
      <c r="W329" s="276">
        <v>0.36029999999999995</v>
      </c>
      <c r="X329" s="272"/>
      <c r="Y329" s="272"/>
      <c r="Z329" s="272"/>
    </row>
    <row r="330" spans="2:26" x14ac:dyDescent="0.45">
      <c r="B330" s="273">
        <v>323</v>
      </c>
      <c r="C330" s="272"/>
      <c r="D330" s="272"/>
      <c r="E330" s="272"/>
      <c r="F330" s="272"/>
      <c r="G330" s="272"/>
      <c r="H330" s="272"/>
      <c r="I330" s="272"/>
      <c r="J330" s="272"/>
      <c r="K330" s="272"/>
      <c r="L330" s="272"/>
      <c r="M330" s="272"/>
      <c r="N330" s="272"/>
      <c r="O330" s="272"/>
      <c r="P330" s="272"/>
      <c r="Q330" s="272"/>
      <c r="R330" s="272"/>
      <c r="S330" s="272"/>
      <c r="T330" s="272"/>
      <c r="U330" s="272"/>
      <c r="V330" s="272"/>
      <c r="W330" s="276">
        <v>0.3584</v>
      </c>
      <c r="X330" s="272"/>
      <c r="Y330" s="272"/>
      <c r="Z330" s="272"/>
    </row>
    <row r="331" spans="2:26" x14ac:dyDescent="0.45">
      <c r="B331" s="273">
        <v>324</v>
      </c>
      <c r="C331" s="272"/>
      <c r="D331" s="272"/>
      <c r="E331" s="272"/>
      <c r="F331" s="272"/>
      <c r="G331" s="272"/>
      <c r="H331" s="272"/>
      <c r="I331" s="272"/>
      <c r="J331" s="272"/>
      <c r="K331" s="272"/>
      <c r="L331" s="272"/>
      <c r="M331" s="272"/>
      <c r="N331" s="272"/>
      <c r="O331" s="272"/>
      <c r="P331" s="272"/>
      <c r="Q331" s="272"/>
      <c r="R331" s="272"/>
      <c r="S331" s="272"/>
      <c r="T331" s="272"/>
      <c r="U331" s="272"/>
      <c r="V331" s="272"/>
      <c r="W331" s="276">
        <v>0.35639999999999999</v>
      </c>
      <c r="X331" s="272"/>
      <c r="Y331" s="272"/>
      <c r="Z331" s="272"/>
    </row>
    <row r="332" spans="2:26" x14ac:dyDescent="0.45">
      <c r="B332" s="273">
        <v>325</v>
      </c>
      <c r="C332" s="272"/>
      <c r="D332" s="272"/>
      <c r="E332" s="272"/>
      <c r="F332" s="272"/>
      <c r="G332" s="272"/>
      <c r="H332" s="272"/>
      <c r="I332" s="272"/>
      <c r="J332" s="272"/>
      <c r="K332" s="272"/>
      <c r="L332" s="272"/>
      <c r="M332" s="272"/>
      <c r="N332" s="272"/>
      <c r="O332" s="272"/>
      <c r="P332" s="272"/>
      <c r="Q332" s="272"/>
      <c r="R332" s="272"/>
      <c r="S332" s="272"/>
      <c r="T332" s="272"/>
      <c r="U332" s="272"/>
      <c r="V332" s="272"/>
      <c r="W332" s="276">
        <v>0.35449999999999998</v>
      </c>
      <c r="X332" s="272"/>
      <c r="Y332" s="272"/>
      <c r="Z332" s="272"/>
    </row>
    <row r="333" spans="2:26" x14ac:dyDescent="0.45">
      <c r="B333" s="273">
        <v>326</v>
      </c>
      <c r="C333" s="272"/>
      <c r="D333" s="272"/>
      <c r="E333" s="272"/>
      <c r="F333" s="272"/>
      <c r="G333" s="272"/>
      <c r="H333" s="272"/>
      <c r="I333" s="272"/>
      <c r="J333" s="272"/>
      <c r="K333" s="272"/>
      <c r="L333" s="272"/>
      <c r="M333" s="272"/>
      <c r="N333" s="272"/>
      <c r="O333" s="272"/>
      <c r="P333" s="272"/>
      <c r="Q333" s="272"/>
      <c r="R333" s="272"/>
      <c r="S333" s="272"/>
      <c r="T333" s="272"/>
      <c r="U333" s="272"/>
      <c r="V333" s="272"/>
      <c r="W333" s="276">
        <v>0.35249999999999998</v>
      </c>
      <c r="X333" s="272"/>
      <c r="Y333" s="272"/>
      <c r="Z333" s="272"/>
    </row>
    <row r="334" spans="2:26" x14ac:dyDescent="0.45">
      <c r="B334" s="273">
        <v>327</v>
      </c>
      <c r="C334" s="272"/>
      <c r="D334" s="272"/>
      <c r="E334" s="272"/>
      <c r="F334" s="272"/>
      <c r="G334" s="272"/>
      <c r="H334" s="272"/>
      <c r="I334" s="272"/>
      <c r="J334" s="272"/>
      <c r="K334" s="272"/>
      <c r="L334" s="272"/>
      <c r="M334" s="272"/>
      <c r="N334" s="272"/>
      <c r="O334" s="272"/>
      <c r="P334" s="272"/>
      <c r="Q334" s="272"/>
      <c r="R334" s="272"/>
      <c r="S334" s="272"/>
      <c r="T334" s="272"/>
      <c r="U334" s="272"/>
      <c r="V334" s="272"/>
      <c r="W334" s="276">
        <v>0.35060000000000002</v>
      </c>
      <c r="X334" s="272"/>
      <c r="Y334" s="272"/>
      <c r="Z334" s="272"/>
    </row>
    <row r="335" spans="2:26" x14ac:dyDescent="0.45">
      <c r="B335" s="273">
        <v>328</v>
      </c>
      <c r="C335" s="272"/>
      <c r="D335" s="272"/>
      <c r="E335" s="272"/>
      <c r="F335" s="272"/>
      <c r="G335" s="272"/>
      <c r="H335" s="272"/>
      <c r="I335" s="272"/>
      <c r="J335" s="272"/>
      <c r="K335" s="272"/>
      <c r="L335" s="272"/>
      <c r="M335" s="272"/>
      <c r="N335" s="272"/>
      <c r="O335" s="272"/>
      <c r="P335" s="272"/>
      <c r="Q335" s="272"/>
      <c r="R335" s="272"/>
      <c r="S335" s="272"/>
      <c r="T335" s="272"/>
      <c r="U335" s="272"/>
      <c r="V335" s="272"/>
      <c r="W335" s="276">
        <v>0.34870000000000001</v>
      </c>
      <c r="X335" s="272"/>
      <c r="Y335" s="272"/>
      <c r="Z335" s="272"/>
    </row>
    <row r="336" spans="2:26" x14ac:dyDescent="0.45">
      <c r="B336" s="273">
        <v>329</v>
      </c>
      <c r="C336" s="272"/>
      <c r="D336" s="272"/>
      <c r="E336" s="272"/>
      <c r="F336" s="272"/>
      <c r="G336" s="272"/>
      <c r="H336" s="272"/>
      <c r="I336" s="272"/>
      <c r="J336" s="272"/>
      <c r="K336" s="272"/>
      <c r="L336" s="272"/>
      <c r="M336" s="272"/>
      <c r="N336" s="272"/>
      <c r="O336" s="272"/>
      <c r="P336" s="272"/>
      <c r="Q336" s="272"/>
      <c r="R336" s="272"/>
      <c r="S336" s="272"/>
      <c r="T336" s="272"/>
      <c r="U336" s="272"/>
      <c r="V336" s="272"/>
      <c r="W336" s="276">
        <v>0.34670000000000001</v>
      </c>
      <c r="X336" s="272"/>
      <c r="Y336" s="272"/>
      <c r="Z336" s="272"/>
    </row>
    <row r="337" spans="2:26" x14ac:dyDescent="0.45">
      <c r="B337" s="273">
        <v>330</v>
      </c>
      <c r="C337" s="272"/>
      <c r="D337" s="272"/>
      <c r="E337" s="272"/>
      <c r="F337" s="272"/>
      <c r="G337" s="272"/>
      <c r="H337" s="272"/>
      <c r="I337" s="272"/>
      <c r="J337" s="272"/>
      <c r="K337" s="272"/>
      <c r="L337" s="272"/>
      <c r="M337" s="272"/>
      <c r="N337" s="272"/>
      <c r="O337" s="272"/>
      <c r="P337" s="272"/>
      <c r="Q337" s="272"/>
      <c r="R337" s="272"/>
      <c r="S337" s="272"/>
      <c r="T337" s="272"/>
      <c r="U337" s="272"/>
      <c r="V337" s="272"/>
      <c r="W337" s="276">
        <v>0.3448</v>
      </c>
      <c r="X337" s="272"/>
      <c r="Y337" s="272"/>
      <c r="Z337" s="272"/>
    </row>
    <row r="338" spans="2:26" x14ac:dyDescent="0.45">
      <c r="B338" s="273">
        <v>331</v>
      </c>
      <c r="C338" s="272"/>
      <c r="D338" s="272"/>
      <c r="E338" s="272"/>
      <c r="F338" s="272"/>
      <c r="G338" s="272"/>
      <c r="H338" s="272"/>
      <c r="I338" s="272"/>
      <c r="J338" s="272"/>
      <c r="K338" s="272"/>
      <c r="L338" s="272"/>
      <c r="M338" s="272"/>
      <c r="N338" s="272"/>
      <c r="O338" s="272"/>
      <c r="P338" s="272"/>
      <c r="Q338" s="272"/>
      <c r="R338" s="272"/>
      <c r="S338" s="272"/>
      <c r="T338" s="272"/>
      <c r="U338" s="272"/>
      <c r="V338" s="272"/>
      <c r="W338" s="276">
        <v>0.3427</v>
      </c>
      <c r="X338" s="272"/>
      <c r="Y338" s="272"/>
      <c r="Z338" s="272"/>
    </row>
    <row r="339" spans="2:26" x14ac:dyDescent="0.45">
      <c r="B339" s="273">
        <v>332</v>
      </c>
      <c r="C339" s="272"/>
      <c r="D339" s="272"/>
      <c r="E339" s="272"/>
      <c r="F339" s="272"/>
      <c r="G339" s="272"/>
      <c r="H339" s="272"/>
      <c r="I339" s="272"/>
      <c r="J339" s="272"/>
      <c r="K339" s="272"/>
      <c r="L339" s="272"/>
      <c r="M339" s="272"/>
      <c r="N339" s="272"/>
      <c r="O339" s="272"/>
      <c r="P339" s="272"/>
      <c r="Q339" s="272"/>
      <c r="R339" s="272"/>
      <c r="S339" s="272"/>
      <c r="T339" s="272"/>
      <c r="U339" s="272"/>
      <c r="V339" s="272"/>
      <c r="W339" s="276">
        <v>0.3407</v>
      </c>
      <c r="X339" s="272"/>
      <c r="Y339" s="272"/>
      <c r="Z339" s="272"/>
    </row>
    <row r="340" spans="2:26" x14ac:dyDescent="0.45">
      <c r="B340" s="273">
        <v>333</v>
      </c>
      <c r="C340" s="272"/>
      <c r="D340" s="272"/>
      <c r="E340" s="272"/>
      <c r="F340" s="272"/>
      <c r="G340" s="272"/>
      <c r="H340" s="272"/>
      <c r="I340" s="272"/>
      <c r="J340" s="272"/>
      <c r="K340" s="272"/>
      <c r="L340" s="272"/>
      <c r="M340" s="272"/>
      <c r="N340" s="272"/>
      <c r="O340" s="272"/>
      <c r="P340" s="272"/>
      <c r="Q340" s="272"/>
      <c r="R340" s="272"/>
      <c r="S340" s="272"/>
      <c r="T340" s="272"/>
      <c r="U340" s="272"/>
      <c r="V340" s="272"/>
      <c r="W340" s="276">
        <v>0.33879999999999999</v>
      </c>
      <c r="X340" s="272"/>
      <c r="Y340" s="272"/>
      <c r="Z340" s="272"/>
    </row>
    <row r="341" spans="2:26" x14ac:dyDescent="0.45">
      <c r="B341" s="273">
        <v>334</v>
      </c>
      <c r="C341" s="272"/>
      <c r="D341" s="272"/>
      <c r="E341" s="272"/>
      <c r="F341" s="272"/>
      <c r="G341" s="272"/>
      <c r="H341" s="272"/>
      <c r="I341" s="272"/>
      <c r="J341" s="272"/>
      <c r="K341" s="272"/>
      <c r="L341" s="272"/>
      <c r="M341" s="272"/>
      <c r="N341" s="272"/>
      <c r="O341" s="272"/>
      <c r="P341" s="272"/>
      <c r="Q341" s="272"/>
      <c r="R341" s="272"/>
      <c r="S341" s="272"/>
      <c r="T341" s="272"/>
      <c r="U341" s="272"/>
      <c r="V341" s="272"/>
      <c r="W341" s="276">
        <v>0.33679999999999999</v>
      </c>
      <c r="X341" s="272"/>
      <c r="Y341" s="272"/>
      <c r="Z341" s="272"/>
    </row>
    <row r="342" spans="2:26" x14ac:dyDescent="0.45">
      <c r="B342" s="273">
        <v>335</v>
      </c>
      <c r="C342" s="272"/>
      <c r="D342" s="272"/>
      <c r="E342" s="272"/>
      <c r="F342" s="272"/>
      <c r="G342" s="272"/>
      <c r="H342" s="272"/>
      <c r="I342" s="272"/>
      <c r="J342" s="272"/>
      <c r="K342" s="272"/>
      <c r="L342" s="272"/>
      <c r="M342" s="272"/>
      <c r="N342" s="272"/>
      <c r="O342" s="272"/>
      <c r="P342" s="272"/>
      <c r="Q342" s="272"/>
      <c r="R342" s="272"/>
      <c r="S342" s="272"/>
      <c r="T342" s="272"/>
      <c r="U342" s="272"/>
      <c r="V342" s="272"/>
      <c r="W342" s="276">
        <v>0.33490000000000003</v>
      </c>
      <c r="X342" s="272"/>
      <c r="Y342" s="272"/>
      <c r="Z342" s="272"/>
    </row>
    <row r="343" spans="2:26" x14ac:dyDescent="0.45">
      <c r="B343" s="273">
        <v>336</v>
      </c>
      <c r="C343" s="272"/>
      <c r="D343" s="272"/>
      <c r="E343" s="272"/>
      <c r="F343" s="272"/>
      <c r="G343" s="272"/>
      <c r="H343" s="272"/>
      <c r="I343" s="272"/>
      <c r="J343" s="272"/>
      <c r="K343" s="272"/>
      <c r="L343" s="272"/>
      <c r="M343" s="272"/>
      <c r="N343" s="272"/>
      <c r="O343" s="272"/>
      <c r="P343" s="272"/>
      <c r="Q343" s="272"/>
      <c r="R343" s="272"/>
      <c r="S343" s="272"/>
      <c r="T343" s="272"/>
      <c r="U343" s="272"/>
      <c r="V343" s="272"/>
      <c r="W343" s="276">
        <v>0.33290000000000003</v>
      </c>
      <c r="X343" s="272"/>
      <c r="Y343" s="272"/>
      <c r="Z343" s="272"/>
    </row>
    <row r="344" spans="2:26" x14ac:dyDescent="0.45">
      <c r="B344" s="273">
        <v>337</v>
      </c>
      <c r="C344" s="272"/>
      <c r="D344" s="272"/>
      <c r="E344" s="272"/>
      <c r="F344" s="272"/>
      <c r="G344" s="272"/>
      <c r="H344" s="272"/>
      <c r="I344" s="272"/>
      <c r="J344" s="272"/>
      <c r="K344" s="272"/>
      <c r="L344" s="272"/>
      <c r="M344" s="272"/>
      <c r="N344" s="272"/>
      <c r="O344" s="272"/>
      <c r="P344" s="272"/>
      <c r="Q344" s="272"/>
      <c r="R344" s="272"/>
      <c r="S344" s="272"/>
      <c r="T344" s="272"/>
      <c r="U344" s="272"/>
      <c r="V344" s="272"/>
      <c r="W344" s="276">
        <v>0.33100000000000002</v>
      </c>
      <c r="X344" s="272"/>
      <c r="Y344" s="272"/>
      <c r="Z344" s="272"/>
    </row>
    <row r="345" spans="2:26" x14ac:dyDescent="0.45">
      <c r="B345" s="273">
        <v>338</v>
      </c>
      <c r="C345" s="272"/>
      <c r="D345" s="272"/>
      <c r="E345" s="272"/>
      <c r="F345" s="272"/>
      <c r="G345" s="272"/>
      <c r="H345" s="272"/>
      <c r="I345" s="272"/>
      <c r="J345" s="272"/>
      <c r="K345" s="272"/>
      <c r="L345" s="272"/>
      <c r="M345" s="272"/>
      <c r="N345" s="272"/>
      <c r="O345" s="272"/>
      <c r="P345" s="272"/>
      <c r="Q345" s="272"/>
      <c r="R345" s="272"/>
      <c r="S345" s="272"/>
      <c r="T345" s="272"/>
      <c r="U345" s="272"/>
      <c r="V345" s="272"/>
      <c r="W345" s="276">
        <v>0.32899999999999996</v>
      </c>
      <c r="X345" s="272"/>
      <c r="Y345" s="272"/>
      <c r="Z345" s="272"/>
    </row>
    <row r="346" spans="2:26" x14ac:dyDescent="0.45">
      <c r="B346" s="273">
        <v>339</v>
      </c>
      <c r="C346" s="272"/>
      <c r="D346" s="272"/>
      <c r="E346" s="272"/>
      <c r="F346" s="272"/>
      <c r="G346" s="272"/>
      <c r="H346" s="272"/>
      <c r="I346" s="272"/>
      <c r="J346" s="272"/>
      <c r="K346" s="272"/>
      <c r="L346" s="272"/>
      <c r="M346" s="272"/>
      <c r="N346" s="272"/>
      <c r="O346" s="272"/>
      <c r="P346" s="272"/>
      <c r="Q346" s="272"/>
      <c r="R346" s="272"/>
      <c r="S346" s="272"/>
      <c r="T346" s="272"/>
      <c r="U346" s="272"/>
      <c r="V346" s="272"/>
      <c r="W346" s="276">
        <v>0.3271</v>
      </c>
      <c r="X346" s="272"/>
      <c r="Y346" s="272"/>
      <c r="Z346" s="272"/>
    </row>
    <row r="347" spans="2:26" x14ac:dyDescent="0.45">
      <c r="B347" s="273">
        <v>340</v>
      </c>
      <c r="C347" s="272"/>
      <c r="D347" s="272"/>
      <c r="E347" s="272"/>
      <c r="F347" s="272"/>
      <c r="G347" s="272"/>
      <c r="H347" s="272"/>
      <c r="I347" s="272"/>
      <c r="J347" s="272"/>
      <c r="K347" s="272"/>
      <c r="L347" s="272"/>
      <c r="M347" s="272"/>
      <c r="N347" s="272"/>
      <c r="O347" s="272"/>
      <c r="P347" s="272"/>
      <c r="Q347" s="272"/>
      <c r="R347" s="272"/>
      <c r="S347" s="272"/>
      <c r="T347" s="272"/>
      <c r="U347" s="272"/>
      <c r="V347" s="272"/>
      <c r="W347" s="276">
        <v>0.32519999999999999</v>
      </c>
      <c r="X347" s="272"/>
      <c r="Y347" s="272"/>
      <c r="Z347" s="272"/>
    </row>
    <row r="348" spans="2:26" x14ac:dyDescent="0.45">
      <c r="B348" s="273">
        <v>341</v>
      </c>
      <c r="C348" s="272"/>
      <c r="D348" s="272"/>
      <c r="E348" s="272"/>
      <c r="F348" s="272"/>
      <c r="G348" s="272"/>
      <c r="H348" s="272"/>
      <c r="I348" s="272"/>
      <c r="J348" s="272"/>
      <c r="K348" s="272"/>
      <c r="L348" s="272"/>
      <c r="M348" s="272"/>
      <c r="N348" s="272"/>
      <c r="O348" s="272"/>
      <c r="P348" s="272"/>
      <c r="Q348" s="272"/>
      <c r="R348" s="272"/>
      <c r="S348" s="272"/>
      <c r="T348" s="272"/>
      <c r="U348" s="272"/>
      <c r="V348" s="272"/>
      <c r="W348" s="276">
        <v>0.32319999999999999</v>
      </c>
      <c r="X348" s="272"/>
      <c r="Y348" s="272"/>
      <c r="Z348" s="272"/>
    </row>
    <row r="349" spans="2:26" x14ac:dyDescent="0.45">
      <c r="B349" s="273">
        <v>342</v>
      </c>
      <c r="C349" s="272"/>
      <c r="D349" s="272"/>
      <c r="E349" s="272"/>
      <c r="F349" s="272"/>
      <c r="G349" s="272"/>
      <c r="H349" s="272"/>
      <c r="I349" s="272"/>
      <c r="J349" s="272"/>
      <c r="K349" s="272"/>
      <c r="L349" s="272"/>
      <c r="M349" s="272"/>
      <c r="N349" s="272"/>
      <c r="O349" s="272"/>
      <c r="P349" s="272"/>
      <c r="Q349" s="272"/>
      <c r="R349" s="272"/>
      <c r="S349" s="272"/>
      <c r="T349" s="272"/>
      <c r="U349" s="272"/>
      <c r="V349" s="272"/>
      <c r="W349" s="276">
        <v>0.32130000000000003</v>
      </c>
      <c r="X349" s="272"/>
      <c r="Y349" s="272"/>
      <c r="Z349" s="272"/>
    </row>
    <row r="350" spans="2:26" x14ac:dyDescent="0.45">
      <c r="B350" s="273">
        <v>343</v>
      </c>
      <c r="C350" s="272"/>
      <c r="D350" s="272"/>
      <c r="E350" s="272"/>
      <c r="F350" s="272"/>
      <c r="G350" s="272"/>
      <c r="H350" s="272"/>
      <c r="I350" s="272"/>
      <c r="J350" s="272"/>
      <c r="K350" s="272"/>
      <c r="L350" s="272"/>
      <c r="M350" s="272"/>
      <c r="N350" s="272"/>
      <c r="O350" s="272"/>
      <c r="P350" s="272"/>
      <c r="Q350" s="272"/>
      <c r="R350" s="272"/>
      <c r="S350" s="272"/>
      <c r="T350" s="272"/>
      <c r="U350" s="272"/>
      <c r="V350" s="272"/>
      <c r="W350" s="276">
        <v>0.31930000000000003</v>
      </c>
      <c r="X350" s="272"/>
      <c r="Y350" s="272"/>
      <c r="Z350" s="272"/>
    </row>
    <row r="351" spans="2:26" x14ac:dyDescent="0.45">
      <c r="B351" s="273">
        <v>344</v>
      </c>
      <c r="C351" s="272"/>
      <c r="D351" s="272"/>
      <c r="E351" s="272"/>
      <c r="F351" s="272"/>
      <c r="G351" s="272"/>
      <c r="H351" s="272"/>
      <c r="I351" s="272"/>
      <c r="J351" s="272"/>
      <c r="K351" s="272"/>
      <c r="L351" s="272"/>
      <c r="M351" s="272"/>
      <c r="N351" s="272"/>
      <c r="O351" s="272"/>
      <c r="P351" s="272"/>
      <c r="Q351" s="272"/>
      <c r="R351" s="272"/>
      <c r="S351" s="272"/>
      <c r="T351" s="272"/>
      <c r="U351" s="272"/>
      <c r="V351" s="272"/>
      <c r="W351" s="276">
        <v>0.31740000000000002</v>
      </c>
      <c r="X351" s="272"/>
      <c r="Y351" s="272"/>
      <c r="Z351" s="272"/>
    </row>
    <row r="352" spans="2:26" x14ac:dyDescent="0.45">
      <c r="B352" s="273">
        <v>345</v>
      </c>
      <c r="C352" s="272"/>
      <c r="D352" s="272"/>
      <c r="E352" s="272"/>
      <c r="F352" s="272"/>
      <c r="G352" s="272"/>
      <c r="H352" s="272"/>
      <c r="I352" s="272"/>
      <c r="J352" s="272"/>
      <c r="K352" s="272"/>
      <c r="L352" s="272"/>
      <c r="M352" s="272"/>
      <c r="N352" s="272"/>
      <c r="O352" s="272"/>
      <c r="P352" s="272"/>
      <c r="Q352" s="272"/>
      <c r="R352" s="272"/>
      <c r="S352" s="272"/>
      <c r="T352" s="272"/>
      <c r="U352" s="272"/>
      <c r="V352" s="272"/>
      <c r="W352" s="276">
        <v>0.31540000000000001</v>
      </c>
      <c r="X352" s="272"/>
      <c r="Y352" s="272"/>
      <c r="Z352" s="272"/>
    </row>
    <row r="353" spans="2:26" x14ac:dyDescent="0.45">
      <c r="B353" s="273">
        <v>346</v>
      </c>
      <c r="C353" s="272"/>
      <c r="D353" s="272"/>
      <c r="E353" s="272"/>
      <c r="F353" s="272"/>
      <c r="G353" s="272"/>
      <c r="H353" s="272"/>
      <c r="I353" s="272"/>
      <c r="J353" s="272"/>
      <c r="K353" s="272"/>
      <c r="L353" s="272"/>
      <c r="M353" s="272"/>
      <c r="N353" s="272"/>
      <c r="O353" s="272"/>
      <c r="P353" s="272"/>
      <c r="Q353" s="272"/>
      <c r="R353" s="272"/>
      <c r="S353" s="272"/>
      <c r="T353" s="272"/>
      <c r="U353" s="272"/>
      <c r="V353" s="272"/>
      <c r="W353" s="276">
        <v>0.3135</v>
      </c>
      <c r="X353" s="272"/>
      <c r="Y353" s="272"/>
      <c r="Z353" s="272"/>
    </row>
    <row r="354" spans="2:26" x14ac:dyDescent="0.45">
      <c r="B354" s="273">
        <v>347</v>
      </c>
      <c r="C354" s="272"/>
      <c r="D354" s="272"/>
      <c r="E354" s="272"/>
      <c r="F354" s="272"/>
      <c r="G354" s="272"/>
      <c r="H354" s="272"/>
      <c r="I354" s="272"/>
      <c r="J354" s="272"/>
      <c r="K354" s="272"/>
      <c r="L354" s="272"/>
      <c r="M354" s="272"/>
      <c r="N354" s="272"/>
      <c r="O354" s="272"/>
      <c r="P354" s="272"/>
      <c r="Q354" s="272"/>
      <c r="R354" s="272"/>
      <c r="S354" s="272"/>
      <c r="T354" s="272"/>
      <c r="U354" s="272"/>
      <c r="V354" s="272"/>
      <c r="W354" s="276">
        <v>0.31139999999999995</v>
      </c>
      <c r="X354" s="272"/>
      <c r="Y354" s="272"/>
      <c r="Z354" s="272"/>
    </row>
    <row r="355" spans="2:26" x14ac:dyDescent="0.45">
      <c r="B355" s="273">
        <v>348</v>
      </c>
      <c r="C355" s="272"/>
      <c r="D355" s="272"/>
      <c r="E355" s="272"/>
      <c r="F355" s="272"/>
      <c r="G355" s="272"/>
      <c r="H355" s="272"/>
      <c r="I355" s="272"/>
      <c r="J355" s="272"/>
      <c r="K355" s="272"/>
      <c r="L355" s="272"/>
      <c r="M355" s="272"/>
      <c r="N355" s="272"/>
      <c r="O355" s="272"/>
      <c r="P355" s="272"/>
      <c r="Q355" s="272"/>
      <c r="R355" s="272"/>
      <c r="S355" s="272"/>
      <c r="T355" s="272"/>
      <c r="U355" s="272"/>
      <c r="V355" s="272"/>
      <c r="W355" s="276">
        <v>0.30940000000000001</v>
      </c>
      <c r="X355" s="272"/>
      <c r="Y355" s="272"/>
      <c r="Z355" s="272"/>
    </row>
    <row r="356" spans="2:26" x14ac:dyDescent="0.45">
      <c r="B356" s="273">
        <v>349</v>
      </c>
      <c r="C356" s="272"/>
      <c r="D356" s="272"/>
      <c r="E356" s="272"/>
      <c r="F356" s="272"/>
      <c r="G356" s="272"/>
      <c r="H356" s="272"/>
      <c r="I356" s="272"/>
      <c r="J356" s="272"/>
      <c r="K356" s="272"/>
      <c r="L356" s="272"/>
      <c r="M356" s="272"/>
      <c r="N356" s="272"/>
      <c r="O356" s="272"/>
      <c r="P356" s="272"/>
      <c r="Q356" s="272"/>
      <c r="R356" s="272"/>
      <c r="S356" s="272"/>
      <c r="T356" s="272"/>
      <c r="U356" s="272"/>
      <c r="V356" s="272"/>
      <c r="W356" s="276">
        <v>0.3075</v>
      </c>
      <c r="X356" s="272"/>
      <c r="Y356" s="272"/>
      <c r="Z356" s="272"/>
    </row>
    <row r="357" spans="2:26" x14ac:dyDescent="0.45">
      <c r="B357" s="273">
        <v>350</v>
      </c>
      <c r="C357" s="272"/>
      <c r="D357" s="272"/>
      <c r="E357" s="272"/>
      <c r="F357" s="272"/>
      <c r="G357" s="272"/>
      <c r="H357" s="272"/>
      <c r="I357" s="272"/>
      <c r="J357" s="272"/>
      <c r="K357" s="272"/>
      <c r="L357" s="272"/>
      <c r="M357" s="272"/>
      <c r="N357" s="272"/>
      <c r="O357" s="272"/>
      <c r="P357" s="272"/>
      <c r="Q357" s="272"/>
      <c r="R357" s="272"/>
      <c r="S357" s="272"/>
      <c r="T357" s="272"/>
      <c r="U357" s="272"/>
      <c r="V357" s="272"/>
      <c r="W357" s="276">
        <v>0.30549999999999999</v>
      </c>
      <c r="X357" s="272"/>
      <c r="Y357" s="272"/>
      <c r="Z357" s="272"/>
    </row>
    <row r="358" spans="2:26" x14ac:dyDescent="0.45">
      <c r="B358" s="273">
        <v>351</v>
      </c>
      <c r="C358" s="272"/>
      <c r="D358" s="272"/>
      <c r="E358" s="272"/>
      <c r="F358" s="272"/>
      <c r="G358" s="272"/>
      <c r="H358" s="272"/>
      <c r="I358" s="272"/>
      <c r="J358" s="272"/>
      <c r="K358" s="272"/>
      <c r="L358" s="272"/>
      <c r="M358" s="272"/>
      <c r="N358" s="272"/>
      <c r="O358" s="272"/>
      <c r="P358" s="272"/>
      <c r="Q358" s="272"/>
      <c r="R358" s="272"/>
      <c r="S358" s="272"/>
      <c r="T358" s="272"/>
      <c r="U358" s="272"/>
      <c r="V358" s="272"/>
      <c r="W358" s="276">
        <v>0.30359999999999998</v>
      </c>
      <c r="X358" s="272"/>
      <c r="Y358" s="272"/>
      <c r="Z358" s="272"/>
    </row>
    <row r="359" spans="2:26" x14ac:dyDescent="0.45">
      <c r="B359" s="273">
        <v>352</v>
      </c>
      <c r="C359" s="272"/>
      <c r="D359" s="272"/>
      <c r="E359" s="272"/>
      <c r="F359" s="272"/>
      <c r="G359" s="272"/>
      <c r="H359" s="272"/>
      <c r="I359" s="272"/>
      <c r="J359" s="272"/>
      <c r="K359" s="272"/>
      <c r="L359" s="272"/>
      <c r="M359" s="272"/>
      <c r="N359" s="272"/>
      <c r="O359" s="272"/>
      <c r="P359" s="272"/>
      <c r="Q359" s="272"/>
      <c r="R359" s="272"/>
      <c r="S359" s="272"/>
      <c r="T359" s="272"/>
      <c r="U359" s="272"/>
      <c r="V359" s="272"/>
      <c r="W359" s="276">
        <v>0.30170000000000002</v>
      </c>
      <c r="X359" s="272"/>
      <c r="Y359" s="272"/>
      <c r="Z359" s="272"/>
    </row>
    <row r="360" spans="2:26" x14ac:dyDescent="0.45">
      <c r="B360" s="273">
        <v>353</v>
      </c>
      <c r="C360" s="272"/>
      <c r="D360" s="272"/>
      <c r="E360" s="272"/>
      <c r="F360" s="272"/>
      <c r="G360" s="272"/>
      <c r="H360" s="272"/>
      <c r="I360" s="272"/>
      <c r="J360" s="272"/>
      <c r="K360" s="272"/>
      <c r="L360" s="272"/>
      <c r="M360" s="272"/>
      <c r="N360" s="272"/>
      <c r="O360" s="272"/>
      <c r="P360" s="272"/>
      <c r="Q360" s="272"/>
      <c r="R360" s="272"/>
      <c r="S360" s="272"/>
      <c r="T360" s="272"/>
      <c r="U360" s="272"/>
      <c r="V360" s="272"/>
      <c r="W360" s="276">
        <v>0.29970000000000002</v>
      </c>
      <c r="X360" s="272"/>
      <c r="Y360" s="272"/>
      <c r="Z360" s="272"/>
    </row>
    <row r="361" spans="2:26" x14ac:dyDescent="0.45">
      <c r="B361" s="273">
        <v>354</v>
      </c>
      <c r="C361" s="272"/>
      <c r="D361" s="272"/>
      <c r="E361" s="272"/>
      <c r="F361" s="272"/>
      <c r="G361" s="272"/>
      <c r="H361" s="272"/>
      <c r="I361" s="272"/>
      <c r="J361" s="272"/>
      <c r="K361" s="272"/>
      <c r="L361" s="272"/>
      <c r="M361" s="272"/>
      <c r="N361" s="272"/>
      <c r="O361" s="272"/>
      <c r="P361" s="272"/>
      <c r="Q361" s="272"/>
      <c r="R361" s="272"/>
      <c r="S361" s="272"/>
      <c r="T361" s="272"/>
      <c r="U361" s="272"/>
      <c r="V361" s="272"/>
      <c r="W361" s="276">
        <v>0.29779999999999995</v>
      </c>
      <c r="X361" s="272"/>
      <c r="Y361" s="272"/>
      <c r="Z361" s="272"/>
    </row>
    <row r="362" spans="2:26" x14ac:dyDescent="0.45">
      <c r="B362" s="273">
        <v>355</v>
      </c>
      <c r="C362" s="272"/>
      <c r="D362" s="272"/>
      <c r="E362" s="272"/>
      <c r="F362" s="272"/>
      <c r="G362" s="272"/>
      <c r="H362" s="272"/>
      <c r="I362" s="272"/>
      <c r="J362" s="272"/>
      <c r="K362" s="272"/>
      <c r="L362" s="272"/>
      <c r="M362" s="272"/>
      <c r="N362" s="272"/>
      <c r="O362" s="272"/>
      <c r="P362" s="272"/>
      <c r="Q362" s="272"/>
      <c r="R362" s="272"/>
      <c r="S362" s="272"/>
      <c r="T362" s="272"/>
      <c r="U362" s="272"/>
      <c r="V362" s="272"/>
      <c r="W362" s="276">
        <v>0.29580000000000001</v>
      </c>
      <c r="X362" s="272"/>
      <c r="Y362" s="272"/>
      <c r="Z362" s="272"/>
    </row>
    <row r="363" spans="2:26" x14ac:dyDescent="0.45">
      <c r="B363" s="273">
        <v>356</v>
      </c>
      <c r="C363" s="272"/>
      <c r="D363" s="272"/>
      <c r="E363" s="272"/>
      <c r="F363" s="272"/>
      <c r="G363" s="272"/>
      <c r="H363" s="272"/>
      <c r="I363" s="272"/>
      <c r="J363" s="272"/>
      <c r="K363" s="272"/>
      <c r="L363" s="272"/>
      <c r="M363" s="272"/>
      <c r="N363" s="272"/>
      <c r="O363" s="272"/>
      <c r="P363" s="272"/>
      <c r="Q363" s="272"/>
      <c r="R363" s="272"/>
      <c r="S363" s="272"/>
      <c r="T363" s="272"/>
      <c r="U363" s="272"/>
      <c r="V363" s="272"/>
      <c r="W363" s="276">
        <v>0.29389999999999999</v>
      </c>
      <c r="X363" s="272"/>
      <c r="Y363" s="272"/>
      <c r="Z363" s="272"/>
    </row>
    <row r="364" spans="2:26" x14ac:dyDescent="0.45">
      <c r="B364" s="273">
        <v>357</v>
      </c>
      <c r="C364" s="272"/>
      <c r="D364" s="272"/>
      <c r="E364" s="272"/>
      <c r="F364" s="272"/>
      <c r="G364" s="272"/>
      <c r="H364" s="272"/>
      <c r="I364" s="272"/>
      <c r="J364" s="272"/>
      <c r="K364" s="272"/>
      <c r="L364" s="272"/>
      <c r="M364" s="272"/>
      <c r="N364" s="272"/>
      <c r="O364" s="272"/>
      <c r="P364" s="272"/>
      <c r="Q364" s="272"/>
      <c r="R364" s="272"/>
      <c r="S364" s="272"/>
      <c r="T364" s="272"/>
      <c r="U364" s="272"/>
      <c r="V364" s="272"/>
      <c r="W364" s="276">
        <v>0.29189999999999999</v>
      </c>
      <c r="X364" s="272"/>
      <c r="Y364" s="272"/>
      <c r="Z364" s="272"/>
    </row>
    <row r="365" spans="2:26" x14ac:dyDescent="0.45">
      <c r="B365" s="273">
        <v>358</v>
      </c>
      <c r="C365" s="272"/>
      <c r="D365" s="272"/>
      <c r="E365" s="272"/>
      <c r="F365" s="272"/>
      <c r="G365" s="272"/>
      <c r="H365" s="272"/>
      <c r="I365" s="272"/>
      <c r="J365" s="272"/>
      <c r="K365" s="272"/>
      <c r="L365" s="272"/>
      <c r="M365" s="272"/>
      <c r="N365" s="272"/>
      <c r="O365" s="272"/>
      <c r="P365" s="272"/>
      <c r="Q365" s="272"/>
      <c r="R365" s="272"/>
      <c r="S365" s="272"/>
      <c r="T365" s="272"/>
      <c r="U365" s="272"/>
      <c r="V365" s="272"/>
      <c r="W365" s="276">
        <v>0.28999999999999998</v>
      </c>
      <c r="X365" s="272"/>
      <c r="Y365" s="272"/>
      <c r="Z365" s="272"/>
    </row>
    <row r="366" spans="2:26" x14ac:dyDescent="0.45">
      <c r="B366" s="273">
        <v>359</v>
      </c>
      <c r="C366" s="272"/>
      <c r="D366" s="272"/>
      <c r="E366" s="272"/>
      <c r="F366" s="272"/>
      <c r="G366" s="272"/>
      <c r="H366" s="272"/>
      <c r="I366" s="272"/>
      <c r="J366" s="272"/>
      <c r="K366" s="272"/>
      <c r="L366" s="272"/>
      <c r="M366" s="272"/>
      <c r="N366" s="272"/>
      <c r="O366" s="272"/>
      <c r="P366" s="272"/>
      <c r="Q366" s="272"/>
      <c r="R366" s="272"/>
      <c r="S366" s="272"/>
      <c r="T366" s="272"/>
      <c r="U366" s="272"/>
      <c r="V366" s="272"/>
      <c r="W366" s="276">
        <v>0.28800000000000003</v>
      </c>
      <c r="X366" s="272"/>
      <c r="Y366" s="272"/>
      <c r="Z366" s="272"/>
    </row>
    <row r="367" spans="2:26" x14ac:dyDescent="0.45">
      <c r="B367" s="273">
        <v>360</v>
      </c>
      <c r="C367" s="272"/>
      <c r="D367" s="272"/>
      <c r="E367" s="272"/>
      <c r="F367" s="272"/>
      <c r="G367" s="272"/>
      <c r="H367" s="272"/>
      <c r="I367" s="272"/>
      <c r="J367" s="272"/>
      <c r="K367" s="272"/>
      <c r="L367" s="272"/>
      <c r="M367" s="272"/>
      <c r="N367" s="272"/>
      <c r="O367" s="272"/>
      <c r="P367" s="272"/>
      <c r="Q367" s="272"/>
      <c r="R367" s="272"/>
      <c r="S367" s="272"/>
      <c r="T367" s="272"/>
      <c r="U367" s="272"/>
      <c r="V367" s="272"/>
      <c r="W367" s="276">
        <v>0.28610000000000002</v>
      </c>
      <c r="X367" s="272"/>
      <c r="Y367" s="272"/>
      <c r="Z367" s="272"/>
    </row>
    <row r="368" spans="2:26" x14ac:dyDescent="0.45">
      <c r="B368" s="273">
        <v>361</v>
      </c>
      <c r="C368" s="272"/>
      <c r="D368" s="272"/>
      <c r="E368" s="272"/>
      <c r="F368" s="272"/>
      <c r="G368" s="272"/>
      <c r="H368" s="272"/>
      <c r="I368" s="272"/>
      <c r="J368" s="272"/>
      <c r="K368" s="272"/>
      <c r="L368" s="272"/>
      <c r="M368" s="272"/>
      <c r="N368" s="272"/>
      <c r="O368" s="272"/>
      <c r="P368" s="272"/>
      <c r="Q368" s="272"/>
      <c r="R368" s="272"/>
      <c r="S368" s="272"/>
      <c r="T368" s="272"/>
      <c r="U368" s="272"/>
      <c r="V368" s="272"/>
      <c r="W368" s="276">
        <v>0.28420000000000001</v>
      </c>
      <c r="X368" s="272"/>
      <c r="Y368" s="272"/>
      <c r="Z368" s="272"/>
    </row>
    <row r="369" spans="2:26" x14ac:dyDescent="0.45">
      <c r="B369" s="273">
        <v>362</v>
      </c>
      <c r="C369" s="272"/>
      <c r="D369" s="272"/>
      <c r="E369" s="272"/>
      <c r="F369" s="272"/>
      <c r="G369" s="272"/>
      <c r="H369" s="272"/>
      <c r="I369" s="272"/>
      <c r="J369" s="272"/>
      <c r="K369" s="272"/>
      <c r="L369" s="272"/>
      <c r="M369" s="272"/>
      <c r="N369" s="272"/>
      <c r="O369" s="272"/>
      <c r="P369" s="272"/>
      <c r="Q369" s="272"/>
      <c r="R369" s="272"/>
      <c r="S369" s="272"/>
      <c r="T369" s="272"/>
      <c r="U369" s="272"/>
      <c r="V369" s="272"/>
      <c r="W369" s="276">
        <v>0.28219999999999995</v>
      </c>
      <c r="X369" s="272"/>
      <c r="Y369" s="272"/>
      <c r="Z369" s="272"/>
    </row>
    <row r="370" spans="2:26" x14ac:dyDescent="0.45">
      <c r="B370" s="273">
        <v>363</v>
      </c>
      <c r="C370" s="272"/>
      <c r="D370" s="272"/>
      <c r="E370" s="272"/>
      <c r="F370" s="272"/>
      <c r="G370" s="272"/>
      <c r="H370" s="272"/>
      <c r="I370" s="272"/>
      <c r="J370" s="272"/>
      <c r="K370" s="272"/>
      <c r="L370" s="272"/>
      <c r="M370" s="272"/>
      <c r="N370" s="272"/>
      <c r="O370" s="272"/>
      <c r="P370" s="272"/>
      <c r="Q370" s="272"/>
      <c r="R370" s="272"/>
      <c r="S370" s="272"/>
      <c r="T370" s="272"/>
      <c r="U370" s="272"/>
      <c r="V370" s="272"/>
      <c r="W370" s="276">
        <v>0.28009999999999996</v>
      </c>
      <c r="X370" s="272"/>
      <c r="Y370" s="272"/>
      <c r="Z370" s="272"/>
    </row>
    <row r="371" spans="2:26" x14ac:dyDescent="0.45">
      <c r="B371" s="273">
        <v>364</v>
      </c>
      <c r="C371" s="272"/>
      <c r="D371" s="272"/>
      <c r="E371" s="272"/>
      <c r="F371" s="272"/>
      <c r="G371" s="272"/>
      <c r="H371" s="272"/>
      <c r="I371" s="272"/>
      <c r="J371" s="272"/>
      <c r="K371" s="272"/>
      <c r="L371" s="272"/>
      <c r="M371" s="272"/>
      <c r="N371" s="272"/>
      <c r="O371" s="272"/>
      <c r="P371" s="272"/>
      <c r="Q371" s="272"/>
      <c r="R371" s="272"/>
      <c r="S371" s="272"/>
      <c r="T371" s="272"/>
      <c r="U371" s="272"/>
      <c r="V371" s="272"/>
      <c r="W371" s="276">
        <v>0.2782</v>
      </c>
      <c r="X371" s="272"/>
      <c r="Y371" s="272"/>
      <c r="Z371" s="272"/>
    </row>
    <row r="372" spans="2:26" x14ac:dyDescent="0.45">
      <c r="B372" s="273">
        <v>365</v>
      </c>
      <c r="C372" s="272"/>
      <c r="D372" s="272"/>
      <c r="E372" s="272"/>
      <c r="F372" s="272"/>
      <c r="G372" s="272"/>
      <c r="H372" s="272"/>
      <c r="I372" s="272"/>
      <c r="J372" s="272"/>
      <c r="K372" s="272"/>
      <c r="L372" s="272"/>
      <c r="M372" s="272"/>
      <c r="N372" s="272"/>
      <c r="O372" s="272"/>
      <c r="P372" s="272"/>
      <c r="Q372" s="272"/>
      <c r="R372" s="272"/>
      <c r="S372" s="272"/>
      <c r="T372" s="272"/>
      <c r="U372" s="272"/>
      <c r="V372" s="272"/>
      <c r="W372" s="276">
        <v>0.2762</v>
      </c>
      <c r="X372" s="272"/>
      <c r="Y372" s="272"/>
      <c r="Z372" s="272"/>
    </row>
    <row r="373" spans="2:26" x14ac:dyDescent="0.45">
      <c r="B373" s="273">
        <v>366</v>
      </c>
      <c r="C373" s="272"/>
      <c r="D373" s="272"/>
      <c r="E373" s="272"/>
      <c r="F373" s="272"/>
      <c r="G373" s="272"/>
      <c r="H373" s="272"/>
      <c r="I373" s="272"/>
      <c r="J373" s="272"/>
      <c r="K373" s="272"/>
      <c r="L373" s="272"/>
      <c r="M373" s="272"/>
      <c r="N373" s="272"/>
      <c r="O373" s="272"/>
      <c r="P373" s="272"/>
      <c r="Q373" s="272"/>
      <c r="R373" s="272"/>
      <c r="S373" s="272"/>
      <c r="T373" s="272"/>
      <c r="U373" s="272"/>
      <c r="V373" s="272"/>
      <c r="W373" s="276">
        <v>0.27429999999999999</v>
      </c>
      <c r="X373" s="272"/>
      <c r="Y373" s="272"/>
      <c r="Z373" s="272"/>
    </row>
    <row r="374" spans="2:26" x14ac:dyDescent="0.45">
      <c r="B374" s="273">
        <v>367</v>
      </c>
      <c r="C374" s="272"/>
      <c r="D374" s="272"/>
      <c r="E374" s="272"/>
      <c r="F374" s="272"/>
      <c r="G374" s="272"/>
      <c r="H374" s="272"/>
      <c r="I374" s="272"/>
      <c r="J374" s="272"/>
      <c r="K374" s="272"/>
      <c r="L374" s="272"/>
      <c r="M374" s="272"/>
      <c r="N374" s="272"/>
      <c r="O374" s="272"/>
      <c r="P374" s="272"/>
      <c r="Q374" s="272"/>
      <c r="R374" s="272"/>
      <c r="S374" s="272"/>
      <c r="T374" s="272"/>
      <c r="U374" s="272"/>
      <c r="V374" s="272"/>
      <c r="W374" s="276">
        <v>0.27229999999999999</v>
      </c>
      <c r="X374" s="272"/>
      <c r="Y374" s="272"/>
      <c r="Z374" s="272"/>
    </row>
    <row r="375" spans="2:26" x14ac:dyDescent="0.45">
      <c r="B375" s="273">
        <v>368</v>
      </c>
      <c r="C375" s="272"/>
      <c r="D375" s="272"/>
      <c r="E375" s="272"/>
      <c r="F375" s="272"/>
      <c r="G375" s="272"/>
      <c r="H375" s="272"/>
      <c r="I375" s="272"/>
      <c r="J375" s="272"/>
      <c r="K375" s="272"/>
      <c r="L375" s="272"/>
      <c r="M375" s="272"/>
      <c r="N375" s="272"/>
      <c r="O375" s="272"/>
      <c r="P375" s="272"/>
      <c r="Q375" s="272"/>
      <c r="R375" s="272"/>
      <c r="S375" s="272"/>
      <c r="T375" s="272"/>
      <c r="U375" s="272"/>
      <c r="V375" s="272"/>
      <c r="W375" s="276">
        <v>0.27040000000000003</v>
      </c>
      <c r="X375" s="272"/>
      <c r="Y375" s="272"/>
      <c r="Z375" s="272"/>
    </row>
    <row r="376" spans="2:26" x14ac:dyDescent="0.45">
      <c r="B376" s="273">
        <v>369</v>
      </c>
      <c r="C376" s="272"/>
      <c r="D376" s="272"/>
      <c r="E376" s="272"/>
      <c r="F376" s="272"/>
      <c r="G376" s="272"/>
      <c r="H376" s="272"/>
      <c r="I376" s="272"/>
      <c r="J376" s="272"/>
      <c r="K376" s="272"/>
      <c r="L376" s="272"/>
      <c r="M376" s="272"/>
      <c r="N376" s="272"/>
      <c r="O376" s="272"/>
      <c r="P376" s="272"/>
      <c r="Q376" s="272"/>
      <c r="R376" s="272"/>
      <c r="S376" s="272"/>
      <c r="T376" s="272"/>
      <c r="U376" s="272"/>
      <c r="V376" s="272"/>
      <c r="W376" s="276">
        <v>0.26840000000000003</v>
      </c>
      <c r="X376" s="272"/>
      <c r="Y376" s="272"/>
      <c r="Z376" s="272"/>
    </row>
    <row r="377" spans="2:26" x14ac:dyDescent="0.45">
      <c r="B377" s="273">
        <v>370</v>
      </c>
      <c r="C377" s="272"/>
      <c r="D377" s="272"/>
      <c r="E377" s="272"/>
      <c r="F377" s="272"/>
      <c r="G377" s="272"/>
      <c r="H377" s="272"/>
      <c r="I377" s="272"/>
      <c r="J377" s="272"/>
      <c r="K377" s="272"/>
      <c r="L377" s="272"/>
      <c r="M377" s="272"/>
      <c r="N377" s="272"/>
      <c r="O377" s="272"/>
      <c r="P377" s="272"/>
      <c r="Q377" s="272"/>
      <c r="R377" s="272"/>
      <c r="S377" s="272"/>
      <c r="T377" s="272"/>
      <c r="U377" s="272"/>
      <c r="V377" s="272"/>
      <c r="W377" s="276">
        <v>0.26650000000000001</v>
      </c>
      <c r="X377" s="272"/>
      <c r="Y377" s="272"/>
      <c r="Z377" s="272"/>
    </row>
    <row r="378" spans="2:26" x14ac:dyDescent="0.45">
      <c r="B378" s="273">
        <v>371</v>
      </c>
      <c r="C378" s="272"/>
      <c r="D378" s="272"/>
      <c r="E378" s="272"/>
      <c r="F378" s="272"/>
      <c r="G378" s="272"/>
      <c r="H378" s="272"/>
      <c r="I378" s="272"/>
      <c r="J378" s="272"/>
      <c r="K378" s="272"/>
      <c r="L378" s="272"/>
      <c r="M378" s="272"/>
      <c r="N378" s="272"/>
      <c r="O378" s="272"/>
      <c r="P378" s="272"/>
      <c r="Q378" s="272"/>
      <c r="R378" s="272"/>
      <c r="S378" s="272"/>
      <c r="T378" s="272"/>
      <c r="U378" s="272"/>
      <c r="V378" s="272"/>
      <c r="W378" s="276">
        <v>0.26449999999999996</v>
      </c>
      <c r="X378" s="272"/>
      <c r="Y378" s="272"/>
      <c r="Z378" s="272"/>
    </row>
    <row r="379" spans="2:26" x14ac:dyDescent="0.45">
      <c r="B379" s="273">
        <v>372</v>
      </c>
      <c r="C379" s="272"/>
      <c r="D379" s="272"/>
      <c r="E379" s="272"/>
      <c r="F379" s="272"/>
      <c r="G379" s="272"/>
      <c r="H379" s="272"/>
      <c r="I379" s="272"/>
      <c r="J379" s="272"/>
      <c r="K379" s="272"/>
      <c r="L379" s="272"/>
      <c r="M379" s="272"/>
      <c r="N379" s="272"/>
      <c r="O379" s="272"/>
      <c r="P379" s="272"/>
      <c r="Q379" s="272"/>
      <c r="R379" s="272"/>
      <c r="S379" s="272"/>
      <c r="T379" s="272"/>
      <c r="U379" s="272"/>
      <c r="V379" s="272"/>
      <c r="W379" s="276">
        <v>0.2626</v>
      </c>
      <c r="X379" s="272"/>
      <c r="Y379" s="272"/>
      <c r="Z379" s="272"/>
    </row>
    <row r="380" spans="2:26" x14ac:dyDescent="0.45">
      <c r="B380" s="273">
        <v>373</v>
      </c>
      <c r="C380" s="272"/>
      <c r="D380" s="272"/>
      <c r="E380" s="272"/>
      <c r="F380" s="272"/>
      <c r="G380" s="272"/>
      <c r="H380" s="272"/>
      <c r="I380" s="272"/>
      <c r="J380" s="272"/>
      <c r="K380" s="272"/>
      <c r="L380" s="272"/>
      <c r="M380" s="272"/>
      <c r="N380" s="272"/>
      <c r="O380" s="272"/>
      <c r="P380" s="272"/>
      <c r="Q380" s="272"/>
      <c r="R380" s="272"/>
      <c r="S380" s="272"/>
      <c r="T380" s="272"/>
      <c r="U380" s="272"/>
      <c r="V380" s="272"/>
      <c r="W380" s="276">
        <v>0.26069999999999999</v>
      </c>
      <c r="X380" s="272"/>
      <c r="Y380" s="272"/>
      <c r="Z380" s="272"/>
    </row>
    <row r="381" spans="2:26" x14ac:dyDescent="0.45">
      <c r="B381" s="273">
        <v>374</v>
      </c>
      <c r="C381" s="272"/>
      <c r="D381" s="272"/>
      <c r="E381" s="272"/>
      <c r="F381" s="272"/>
      <c r="G381" s="272"/>
      <c r="H381" s="272"/>
      <c r="I381" s="272"/>
      <c r="J381" s="272"/>
      <c r="K381" s="272"/>
      <c r="L381" s="272"/>
      <c r="M381" s="272"/>
      <c r="N381" s="272"/>
      <c r="O381" s="272"/>
      <c r="P381" s="272"/>
      <c r="Q381" s="272"/>
      <c r="R381" s="272"/>
      <c r="S381" s="272"/>
      <c r="T381" s="272"/>
      <c r="U381" s="272"/>
      <c r="V381" s="272"/>
      <c r="W381" s="276">
        <v>0.25869999999999999</v>
      </c>
      <c r="X381" s="272"/>
      <c r="Y381" s="272"/>
      <c r="Z381" s="272"/>
    </row>
    <row r="382" spans="2:26" x14ac:dyDescent="0.45">
      <c r="B382" s="273">
        <v>375</v>
      </c>
      <c r="C382" s="272"/>
      <c r="D382" s="272"/>
      <c r="E382" s="272"/>
      <c r="F382" s="272"/>
      <c r="G382" s="272"/>
      <c r="H382" s="272"/>
      <c r="I382" s="272"/>
      <c r="J382" s="272"/>
      <c r="K382" s="272"/>
      <c r="L382" s="272"/>
      <c r="M382" s="272"/>
      <c r="N382" s="272"/>
      <c r="O382" s="272"/>
      <c r="P382" s="272"/>
      <c r="Q382" s="272"/>
      <c r="R382" s="272"/>
      <c r="S382" s="272"/>
      <c r="T382" s="272"/>
      <c r="U382" s="272"/>
      <c r="V382" s="272"/>
      <c r="W382" s="276">
        <v>0.25680000000000003</v>
      </c>
      <c r="X382" s="272"/>
      <c r="Y382" s="272"/>
      <c r="Z382" s="272"/>
    </row>
    <row r="383" spans="2:26" x14ac:dyDescent="0.45">
      <c r="B383" s="273">
        <v>376</v>
      </c>
      <c r="C383" s="272"/>
      <c r="D383" s="272"/>
      <c r="E383" s="272"/>
      <c r="F383" s="272"/>
      <c r="G383" s="272"/>
      <c r="H383" s="272"/>
      <c r="I383" s="272"/>
      <c r="J383" s="272"/>
      <c r="K383" s="272"/>
      <c r="L383" s="272"/>
      <c r="M383" s="272"/>
      <c r="N383" s="272"/>
      <c r="O383" s="272"/>
      <c r="P383" s="272"/>
      <c r="Q383" s="272"/>
      <c r="R383" s="272"/>
      <c r="S383" s="272"/>
      <c r="T383" s="272"/>
      <c r="U383" s="272"/>
      <c r="V383" s="272"/>
      <c r="W383" s="276">
        <v>0.25480000000000003</v>
      </c>
      <c r="X383" s="272"/>
      <c r="Y383" s="272"/>
      <c r="Z383" s="272"/>
    </row>
    <row r="384" spans="2:26" x14ac:dyDescent="0.45">
      <c r="B384" s="273">
        <v>377</v>
      </c>
      <c r="C384" s="272"/>
      <c r="D384" s="272"/>
      <c r="E384" s="272"/>
      <c r="F384" s="272"/>
      <c r="G384" s="272"/>
      <c r="H384" s="272"/>
      <c r="I384" s="272"/>
      <c r="J384" s="272"/>
      <c r="K384" s="272"/>
      <c r="L384" s="272"/>
      <c r="M384" s="272"/>
      <c r="N384" s="272"/>
      <c r="O384" s="272"/>
      <c r="P384" s="272"/>
      <c r="Q384" s="272"/>
      <c r="R384" s="272"/>
      <c r="S384" s="272"/>
      <c r="T384" s="272"/>
      <c r="U384" s="272"/>
      <c r="V384" s="272"/>
      <c r="W384" s="276">
        <v>0.25290000000000001</v>
      </c>
      <c r="X384" s="272"/>
      <c r="Y384" s="272"/>
      <c r="Z384" s="272"/>
    </row>
    <row r="385" spans="2:26" x14ac:dyDescent="0.45">
      <c r="B385" s="273">
        <v>378</v>
      </c>
      <c r="C385" s="272"/>
      <c r="D385" s="272"/>
      <c r="E385" s="272"/>
      <c r="F385" s="272"/>
      <c r="G385" s="272"/>
      <c r="H385" s="272"/>
      <c r="I385" s="272"/>
      <c r="J385" s="272"/>
      <c r="K385" s="272"/>
      <c r="L385" s="272"/>
      <c r="M385" s="272"/>
      <c r="N385" s="272"/>
      <c r="O385" s="272"/>
      <c r="P385" s="272"/>
      <c r="Q385" s="272"/>
      <c r="R385" s="272"/>
      <c r="S385" s="272"/>
      <c r="T385" s="272"/>
      <c r="U385" s="272"/>
      <c r="V385" s="272"/>
      <c r="W385" s="276">
        <v>0.25090000000000001</v>
      </c>
      <c r="X385" s="272"/>
      <c r="Y385" s="272"/>
      <c r="Z385" s="272"/>
    </row>
    <row r="386" spans="2:26" x14ac:dyDescent="0.45">
      <c r="B386" s="273">
        <v>379</v>
      </c>
      <c r="C386" s="272"/>
      <c r="D386" s="272"/>
      <c r="E386" s="272"/>
      <c r="F386" s="272"/>
      <c r="G386" s="272"/>
      <c r="H386" s="272"/>
      <c r="I386" s="272"/>
      <c r="J386" s="272"/>
      <c r="K386" s="272"/>
      <c r="L386" s="272"/>
      <c r="M386" s="272"/>
      <c r="N386" s="272"/>
      <c r="O386" s="272"/>
      <c r="P386" s="272"/>
      <c r="Q386" s="272"/>
      <c r="R386" s="272"/>
      <c r="S386" s="272"/>
      <c r="T386" s="272"/>
      <c r="U386" s="272"/>
      <c r="V386" s="272"/>
      <c r="W386" s="276">
        <v>0.24879999999999997</v>
      </c>
      <c r="X386" s="272"/>
      <c r="Y386" s="272"/>
      <c r="Z386" s="272"/>
    </row>
    <row r="387" spans="2:26" x14ac:dyDescent="0.45">
      <c r="B387" s="273">
        <v>380</v>
      </c>
      <c r="C387" s="272"/>
      <c r="D387" s="272"/>
      <c r="E387" s="272"/>
      <c r="F387" s="272"/>
      <c r="G387" s="272"/>
      <c r="H387" s="272"/>
      <c r="I387" s="272"/>
      <c r="J387" s="272"/>
      <c r="K387" s="272"/>
      <c r="L387" s="272"/>
      <c r="M387" s="272"/>
      <c r="N387" s="272"/>
      <c r="O387" s="272"/>
      <c r="P387" s="272"/>
      <c r="Q387" s="272"/>
      <c r="R387" s="272"/>
      <c r="S387" s="272"/>
      <c r="T387" s="272"/>
      <c r="U387" s="272"/>
      <c r="V387" s="272"/>
      <c r="W387" s="276">
        <v>0.24689999999999998</v>
      </c>
      <c r="X387" s="272"/>
      <c r="Y387" s="272"/>
      <c r="Z387" s="272"/>
    </row>
    <row r="388" spans="2:26" x14ac:dyDescent="0.45">
      <c r="B388" s="273">
        <v>381</v>
      </c>
      <c r="C388" s="272"/>
      <c r="D388" s="272"/>
      <c r="E388" s="272"/>
      <c r="F388" s="272"/>
      <c r="G388" s="272"/>
      <c r="H388" s="272"/>
      <c r="I388" s="272"/>
      <c r="J388" s="272"/>
      <c r="K388" s="272"/>
      <c r="L388" s="272"/>
      <c r="M388" s="272"/>
      <c r="N388" s="272"/>
      <c r="O388" s="272"/>
      <c r="P388" s="272"/>
      <c r="Q388" s="272"/>
      <c r="R388" s="272"/>
      <c r="S388" s="272"/>
      <c r="T388" s="272"/>
      <c r="U388" s="272"/>
      <c r="V388" s="272"/>
      <c r="W388" s="276">
        <v>0.24489999999999998</v>
      </c>
      <c r="X388" s="272"/>
      <c r="Y388" s="272"/>
      <c r="Z388" s="272"/>
    </row>
    <row r="389" spans="2:26" x14ac:dyDescent="0.45">
      <c r="B389" s="273">
        <v>382</v>
      </c>
      <c r="C389" s="272"/>
      <c r="D389" s="272"/>
      <c r="E389" s="272"/>
      <c r="F389" s="272"/>
      <c r="G389" s="272"/>
      <c r="H389" s="272"/>
      <c r="I389" s="272"/>
      <c r="J389" s="272"/>
      <c r="K389" s="272"/>
      <c r="L389" s="272"/>
      <c r="M389" s="272"/>
      <c r="N389" s="272"/>
      <c r="O389" s="272"/>
      <c r="P389" s="272"/>
      <c r="Q389" s="272"/>
      <c r="R389" s="272"/>
      <c r="S389" s="272"/>
      <c r="T389" s="272"/>
      <c r="U389" s="272"/>
      <c r="V389" s="272"/>
      <c r="W389" s="276">
        <v>0.24299999999999999</v>
      </c>
      <c r="X389" s="272"/>
      <c r="Y389" s="272"/>
      <c r="Z389" s="272"/>
    </row>
    <row r="390" spans="2:26" x14ac:dyDescent="0.45">
      <c r="B390" s="273">
        <v>383</v>
      </c>
      <c r="C390" s="272"/>
      <c r="D390" s="272"/>
      <c r="E390" s="272"/>
      <c r="F390" s="272"/>
      <c r="G390" s="272"/>
      <c r="H390" s="272"/>
      <c r="I390" s="272"/>
      <c r="J390" s="272"/>
      <c r="K390" s="272"/>
      <c r="L390" s="272"/>
      <c r="M390" s="272"/>
      <c r="N390" s="272"/>
      <c r="O390" s="272"/>
      <c r="P390" s="272"/>
      <c r="Q390" s="272"/>
      <c r="R390" s="272"/>
      <c r="S390" s="272"/>
      <c r="T390" s="272"/>
      <c r="U390" s="272"/>
      <c r="V390" s="272"/>
      <c r="W390" s="276">
        <v>0.24110000000000001</v>
      </c>
      <c r="X390" s="272"/>
      <c r="Y390" s="272"/>
      <c r="Z390" s="272"/>
    </row>
    <row r="391" spans="2:26" x14ac:dyDescent="0.45">
      <c r="B391" s="273">
        <v>384</v>
      </c>
      <c r="C391" s="272"/>
      <c r="D391" s="272"/>
      <c r="E391" s="272"/>
      <c r="F391" s="272"/>
      <c r="G391" s="272"/>
      <c r="H391" s="272"/>
      <c r="I391" s="272"/>
      <c r="J391" s="272"/>
      <c r="K391" s="272"/>
      <c r="L391" s="272"/>
      <c r="M391" s="272"/>
      <c r="N391" s="272"/>
      <c r="O391" s="272"/>
      <c r="P391" s="272"/>
      <c r="Q391" s="272"/>
      <c r="R391" s="272"/>
      <c r="S391" s="272"/>
      <c r="T391" s="272"/>
      <c r="U391" s="272"/>
      <c r="V391" s="272"/>
      <c r="W391" s="276">
        <v>0.23910000000000001</v>
      </c>
      <c r="X391" s="272"/>
      <c r="Y391" s="272"/>
      <c r="Z391" s="272"/>
    </row>
    <row r="392" spans="2:26" x14ac:dyDescent="0.45">
      <c r="B392" s="273">
        <v>385</v>
      </c>
      <c r="C392" s="272"/>
      <c r="D392" s="272"/>
      <c r="E392" s="272"/>
      <c r="F392" s="272"/>
      <c r="G392" s="272"/>
      <c r="H392" s="272"/>
      <c r="I392" s="272"/>
      <c r="J392" s="272"/>
      <c r="K392" s="272"/>
      <c r="L392" s="272"/>
      <c r="M392" s="272"/>
      <c r="N392" s="272"/>
      <c r="O392" s="272"/>
      <c r="P392" s="272"/>
      <c r="Q392" s="272"/>
      <c r="R392" s="272"/>
      <c r="S392" s="272"/>
      <c r="T392" s="272"/>
      <c r="U392" s="272"/>
      <c r="V392" s="272"/>
      <c r="W392" s="276">
        <v>0.23719999999999999</v>
      </c>
      <c r="X392" s="272"/>
      <c r="Y392" s="272"/>
      <c r="Z392" s="272"/>
    </row>
    <row r="393" spans="2:26" x14ac:dyDescent="0.45">
      <c r="B393" s="273">
        <v>386</v>
      </c>
      <c r="C393" s="272"/>
      <c r="D393" s="272"/>
      <c r="E393" s="272"/>
      <c r="F393" s="272"/>
      <c r="G393" s="272"/>
      <c r="H393" s="272"/>
      <c r="I393" s="272"/>
      <c r="J393" s="272"/>
      <c r="K393" s="272"/>
      <c r="L393" s="272"/>
      <c r="M393" s="272"/>
      <c r="N393" s="272"/>
      <c r="O393" s="272"/>
      <c r="P393" s="272"/>
      <c r="Q393" s="272"/>
      <c r="R393" s="272"/>
      <c r="S393" s="272"/>
      <c r="T393" s="272"/>
      <c r="U393" s="272"/>
      <c r="V393" s="272"/>
      <c r="W393" s="276">
        <v>0.23519999999999999</v>
      </c>
      <c r="X393" s="272"/>
      <c r="Y393" s="272"/>
      <c r="Z393" s="272"/>
    </row>
    <row r="394" spans="2:26" x14ac:dyDescent="0.45">
      <c r="B394" s="273">
        <v>387</v>
      </c>
      <c r="C394" s="272"/>
      <c r="D394" s="272"/>
      <c r="E394" s="272"/>
      <c r="F394" s="272"/>
      <c r="G394" s="272"/>
      <c r="H394" s="272"/>
      <c r="I394" s="272"/>
      <c r="J394" s="272"/>
      <c r="K394" s="272"/>
      <c r="L394" s="272"/>
      <c r="M394" s="272"/>
      <c r="N394" s="272"/>
      <c r="O394" s="272"/>
      <c r="P394" s="272"/>
      <c r="Q394" s="272"/>
      <c r="R394" s="272"/>
      <c r="S394" s="272"/>
      <c r="T394" s="272"/>
      <c r="U394" s="272"/>
      <c r="V394" s="272"/>
      <c r="W394" s="276">
        <v>0.23330000000000001</v>
      </c>
      <c r="X394" s="272"/>
      <c r="Y394" s="272"/>
      <c r="Z394" s="272"/>
    </row>
    <row r="395" spans="2:26" x14ac:dyDescent="0.45">
      <c r="B395" s="273">
        <v>388</v>
      </c>
      <c r="C395" s="272"/>
      <c r="D395" s="272"/>
      <c r="E395" s="272"/>
      <c r="F395" s="272"/>
      <c r="G395" s="272"/>
      <c r="H395" s="272"/>
      <c r="I395" s="272"/>
      <c r="J395" s="272"/>
      <c r="K395" s="272"/>
      <c r="L395" s="272"/>
      <c r="M395" s="272"/>
      <c r="N395" s="272"/>
      <c r="O395" s="272"/>
      <c r="P395" s="272"/>
      <c r="Q395" s="272"/>
      <c r="R395" s="272"/>
      <c r="S395" s="272"/>
      <c r="T395" s="272"/>
      <c r="U395" s="272"/>
      <c r="V395" s="272"/>
      <c r="W395" s="276">
        <v>0.23130000000000001</v>
      </c>
      <c r="X395" s="272"/>
      <c r="Y395" s="272"/>
      <c r="Z395" s="272"/>
    </row>
    <row r="396" spans="2:26" x14ac:dyDescent="0.45">
      <c r="B396" s="273">
        <v>389</v>
      </c>
      <c r="C396" s="272"/>
      <c r="D396" s="272"/>
      <c r="E396" s="272"/>
      <c r="F396" s="272"/>
      <c r="G396" s="272"/>
      <c r="H396" s="272"/>
      <c r="I396" s="272"/>
      <c r="J396" s="272"/>
      <c r="K396" s="272"/>
      <c r="L396" s="272"/>
      <c r="M396" s="272"/>
      <c r="N396" s="272"/>
      <c r="O396" s="272"/>
      <c r="P396" s="272"/>
      <c r="Q396" s="272"/>
      <c r="R396" s="272"/>
      <c r="S396" s="272"/>
      <c r="T396" s="272"/>
      <c r="U396" s="272"/>
      <c r="V396" s="272"/>
      <c r="W396" s="276">
        <v>0.22939999999999999</v>
      </c>
      <c r="X396" s="272"/>
      <c r="Y396" s="272"/>
      <c r="Z396" s="272"/>
    </row>
    <row r="397" spans="2:26" x14ac:dyDescent="0.45">
      <c r="B397" s="273">
        <v>390</v>
      </c>
      <c r="C397" s="272"/>
      <c r="D397" s="272"/>
      <c r="E397" s="272"/>
      <c r="F397" s="272"/>
      <c r="G397" s="272"/>
      <c r="H397" s="272"/>
      <c r="I397" s="272"/>
      <c r="J397" s="272"/>
      <c r="K397" s="272"/>
      <c r="L397" s="272"/>
      <c r="M397" s="272"/>
      <c r="N397" s="272"/>
      <c r="O397" s="272"/>
      <c r="P397" s="272"/>
      <c r="Q397" s="272"/>
      <c r="R397" s="272"/>
      <c r="S397" s="272"/>
      <c r="T397" s="272"/>
      <c r="U397" s="272"/>
      <c r="V397" s="272"/>
      <c r="W397" s="276">
        <v>0.22739999999999999</v>
      </c>
      <c r="X397" s="272"/>
      <c r="Y397" s="272"/>
      <c r="Z397" s="272"/>
    </row>
    <row r="398" spans="2:26" x14ac:dyDescent="0.45">
      <c r="B398" s="273">
        <v>391</v>
      </c>
      <c r="C398" s="272"/>
      <c r="D398" s="272"/>
      <c r="E398" s="272"/>
      <c r="F398" s="272"/>
      <c r="G398" s="272"/>
      <c r="H398" s="272"/>
      <c r="I398" s="272"/>
      <c r="J398" s="272"/>
      <c r="K398" s="272"/>
      <c r="L398" s="272"/>
      <c r="M398" s="272"/>
      <c r="N398" s="272"/>
      <c r="O398" s="272"/>
      <c r="P398" s="272"/>
      <c r="Q398" s="272"/>
      <c r="R398" s="272"/>
      <c r="S398" s="272"/>
      <c r="T398" s="272"/>
      <c r="U398" s="272"/>
      <c r="V398" s="272"/>
      <c r="W398" s="276">
        <v>0.22550000000000001</v>
      </c>
      <c r="X398" s="272"/>
      <c r="Y398" s="272"/>
      <c r="Z398" s="272"/>
    </row>
    <row r="399" spans="2:26" x14ac:dyDescent="0.45">
      <c r="B399" s="273">
        <v>392</v>
      </c>
      <c r="C399" s="272"/>
      <c r="D399" s="272"/>
      <c r="E399" s="272"/>
      <c r="F399" s="272"/>
      <c r="G399" s="272"/>
      <c r="H399" s="272"/>
      <c r="I399" s="272"/>
      <c r="J399" s="272"/>
      <c r="K399" s="272"/>
      <c r="L399" s="272"/>
      <c r="M399" s="272"/>
      <c r="N399" s="272"/>
      <c r="O399" s="272"/>
      <c r="P399" s="272"/>
      <c r="Q399" s="272"/>
      <c r="R399" s="272"/>
      <c r="S399" s="272"/>
      <c r="T399" s="272"/>
      <c r="U399" s="272"/>
      <c r="V399" s="272"/>
      <c r="W399" s="276">
        <v>0.2235</v>
      </c>
      <c r="X399" s="272"/>
      <c r="Y399" s="272"/>
      <c r="Z399" s="272"/>
    </row>
    <row r="400" spans="2:26" x14ac:dyDescent="0.45">
      <c r="B400" s="273">
        <v>393</v>
      </c>
      <c r="C400" s="272"/>
      <c r="D400" s="272"/>
      <c r="E400" s="272"/>
      <c r="F400" s="272"/>
      <c r="G400" s="272"/>
      <c r="H400" s="272"/>
      <c r="I400" s="272"/>
      <c r="J400" s="272"/>
      <c r="K400" s="272"/>
      <c r="L400" s="272"/>
      <c r="M400" s="272"/>
      <c r="N400" s="272"/>
      <c r="O400" s="272"/>
      <c r="P400" s="272"/>
      <c r="Q400" s="272"/>
      <c r="R400" s="272"/>
      <c r="S400" s="272"/>
      <c r="T400" s="272"/>
      <c r="U400" s="272"/>
      <c r="V400" s="272"/>
      <c r="W400" s="276">
        <v>0.22159999999999999</v>
      </c>
      <c r="X400" s="272"/>
      <c r="Y400" s="272"/>
      <c r="Z400" s="272"/>
    </row>
    <row r="401" spans="2:26" x14ac:dyDescent="0.45">
      <c r="B401" s="273">
        <v>394</v>
      </c>
      <c r="C401" s="272"/>
      <c r="D401" s="272"/>
      <c r="E401" s="272"/>
      <c r="F401" s="272"/>
      <c r="G401" s="272"/>
      <c r="H401" s="272"/>
      <c r="I401" s="272"/>
      <c r="J401" s="272"/>
      <c r="K401" s="272"/>
      <c r="L401" s="272"/>
      <c r="M401" s="272"/>
      <c r="N401" s="272"/>
      <c r="O401" s="272"/>
      <c r="P401" s="272"/>
      <c r="Q401" s="272"/>
      <c r="R401" s="272"/>
      <c r="S401" s="272"/>
      <c r="T401" s="272"/>
      <c r="U401" s="272"/>
      <c r="V401" s="272"/>
      <c r="W401" s="276">
        <v>0.21970000000000001</v>
      </c>
      <c r="X401" s="272"/>
      <c r="Y401" s="272"/>
      <c r="Z401" s="272"/>
    </row>
    <row r="402" spans="2:26" x14ac:dyDescent="0.45">
      <c r="B402" s="273">
        <v>395</v>
      </c>
      <c r="C402" s="272"/>
      <c r="D402" s="272"/>
      <c r="E402" s="272"/>
      <c r="F402" s="272"/>
      <c r="G402" s="272"/>
      <c r="H402" s="272"/>
      <c r="I402" s="272"/>
      <c r="J402" s="272"/>
      <c r="K402" s="272"/>
      <c r="L402" s="272"/>
      <c r="M402" s="272"/>
      <c r="N402" s="272"/>
      <c r="O402" s="272"/>
      <c r="P402" s="272"/>
      <c r="Q402" s="272"/>
      <c r="R402" s="272"/>
      <c r="S402" s="272"/>
      <c r="T402" s="272"/>
      <c r="U402" s="272"/>
      <c r="V402" s="272"/>
      <c r="W402" s="276">
        <v>0.21760000000000002</v>
      </c>
      <c r="X402" s="272"/>
      <c r="Y402" s="272"/>
      <c r="Z402" s="272"/>
    </row>
    <row r="403" spans="2:26" x14ac:dyDescent="0.45">
      <c r="B403" s="273">
        <v>396</v>
      </c>
      <c r="C403" s="272"/>
      <c r="D403" s="272"/>
      <c r="E403" s="272"/>
      <c r="F403" s="272"/>
      <c r="G403" s="272"/>
      <c r="H403" s="272"/>
      <c r="I403" s="272"/>
      <c r="J403" s="272"/>
      <c r="K403" s="272"/>
      <c r="L403" s="272"/>
      <c r="M403" s="272"/>
      <c r="N403" s="272"/>
      <c r="O403" s="272"/>
      <c r="P403" s="272"/>
      <c r="Q403" s="272"/>
      <c r="R403" s="272"/>
      <c r="S403" s="272"/>
      <c r="T403" s="272"/>
      <c r="U403" s="272"/>
      <c r="V403" s="272"/>
      <c r="W403" s="276">
        <v>0.21560000000000001</v>
      </c>
      <c r="X403" s="272"/>
      <c r="Y403" s="272"/>
      <c r="Z403" s="272"/>
    </row>
    <row r="404" spans="2:26" x14ac:dyDescent="0.45">
      <c r="B404" s="273">
        <v>397</v>
      </c>
      <c r="C404" s="272"/>
      <c r="D404" s="272"/>
      <c r="E404" s="272"/>
      <c r="F404" s="272"/>
      <c r="G404" s="272"/>
      <c r="H404" s="272"/>
      <c r="I404" s="272"/>
      <c r="J404" s="272"/>
      <c r="K404" s="272"/>
      <c r="L404" s="272"/>
      <c r="M404" s="272"/>
      <c r="N404" s="272"/>
      <c r="O404" s="272"/>
      <c r="P404" s="272"/>
      <c r="Q404" s="272"/>
      <c r="R404" s="272"/>
      <c r="S404" s="272"/>
      <c r="T404" s="272"/>
      <c r="U404" s="272"/>
      <c r="V404" s="272"/>
      <c r="W404" s="276">
        <v>0.2137</v>
      </c>
      <c r="X404" s="272"/>
      <c r="Y404" s="272"/>
      <c r="Z404" s="272"/>
    </row>
    <row r="405" spans="2:26" x14ac:dyDescent="0.45">
      <c r="B405" s="273">
        <v>398</v>
      </c>
      <c r="C405" s="272"/>
      <c r="D405" s="272"/>
      <c r="E405" s="272"/>
      <c r="F405" s="272"/>
      <c r="G405" s="272"/>
      <c r="H405" s="272"/>
      <c r="I405" s="272"/>
      <c r="J405" s="272"/>
      <c r="K405" s="272"/>
      <c r="L405" s="272"/>
      <c r="M405" s="272"/>
      <c r="N405" s="272"/>
      <c r="O405" s="272"/>
      <c r="P405" s="272"/>
      <c r="Q405" s="272"/>
      <c r="R405" s="272"/>
      <c r="S405" s="272"/>
      <c r="T405" s="272"/>
      <c r="U405" s="272"/>
      <c r="V405" s="272"/>
      <c r="W405" s="276">
        <v>0.2117</v>
      </c>
      <c r="X405" s="272"/>
      <c r="Y405" s="272"/>
      <c r="Z405" s="272"/>
    </row>
    <row r="406" spans="2:26" x14ac:dyDescent="0.45">
      <c r="B406" s="273">
        <v>399</v>
      </c>
      <c r="C406" s="272"/>
      <c r="D406" s="272"/>
      <c r="E406" s="272"/>
      <c r="F406" s="272"/>
      <c r="G406" s="272"/>
      <c r="H406" s="272"/>
      <c r="I406" s="272"/>
      <c r="J406" s="272"/>
      <c r="K406" s="272"/>
      <c r="L406" s="272"/>
      <c r="M406" s="272"/>
      <c r="N406" s="272"/>
      <c r="O406" s="272"/>
      <c r="P406" s="272"/>
      <c r="Q406" s="272"/>
      <c r="R406" s="272"/>
      <c r="S406" s="272"/>
      <c r="T406" s="272"/>
      <c r="U406" s="272"/>
      <c r="V406" s="272"/>
      <c r="W406" s="276">
        <v>0.20980000000000001</v>
      </c>
      <c r="X406" s="272"/>
      <c r="Y406" s="272"/>
      <c r="Z406" s="272"/>
    </row>
    <row r="407" spans="2:26" x14ac:dyDescent="0.45">
      <c r="B407" s="273">
        <v>400</v>
      </c>
      <c r="C407" s="272"/>
      <c r="D407" s="272"/>
      <c r="E407" s="272"/>
      <c r="F407" s="272"/>
      <c r="G407" s="272"/>
      <c r="H407" s="272"/>
      <c r="I407" s="272"/>
      <c r="J407" s="272"/>
      <c r="K407" s="272"/>
      <c r="L407" s="272"/>
      <c r="M407" s="272"/>
      <c r="N407" s="272"/>
      <c r="O407" s="272"/>
      <c r="P407" s="272"/>
      <c r="Q407" s="272"/>
      <c r="R407" s="272"/>
      <c r="S407" s="272"/>
      <c r="T407" s="272"/>
      <c r="U407" s="272"/>
      <c r="V407" s="272"/>
      <c r="W407" s="276">
        <v>0.20780000000000001</v>
      </c>
      <c r="X407" s="272"/>
      <c r="Y407" s="272"/>
      <c r="Z407" s="272"/>
    </row>
    <row r="408" spans="2:26" x14ac:dyDescent="0.45">
      <c r="B408" s="273">
        <v>401</v>
      </c>
      <c r="C408" s="272"/>
      <c r="D408" s="272"/>
      <c r="E408" s="272"/>
      <c r="F408" s="272"/>
      <c r="G408" s="272"/>
      <c r="H408" s="272"/>
      <c r="I408" s="272"/>
      <c r="J408" s="272"/>
      <c r="K408" s="272"/>
      <c r="L408" s="272"/>
      <c r="M408" s="272"/>
      <c r="N408" s="272"/>
      <c r="O408" s="272"/>
      <c r="P408" s="272"/>
      <c r="Q408" s="272"/>
      <c r="R408" s="272"/>
      <c r="S408" s="272"/>
      <c r="T408" s="272"/>
      <c r="U408" s="272"/>
      <c r="V408" s="272"/>
      <c r="W408" s="276">
        <v>0.2059</v>
      </c>
      <c r="X408" s="272"/>
      <c r="Y408" s="272"/>
      <c r="Z408" s="272"/>
    </row>
    <row r="409" spans="2:26" x14ac:dyDescent="0.45">
      <c r="B409" s="273">
        <v>402</v>
      </c>
      <c r="C409" s="272"/>
      <c r="D409" s="272"/>
      <c r="E409" s="272"/>
      <c r="F409" s="272"/>
      <c r="G409" s="272"/>
      <c r="H409" s="272"/>
      <c r="I409" s="272"/>
      <c r="J409" s="272"/>
      <c r="K409" s="272"/>
      <c r="L409" s="272"/>
      <c r="M409" s="272"/>
      <c r="N409" s="272"/>
      <c r="O409" s="272"/>
      <c r="P409" s="272"/>
      <c r="Q409" s="272"/>
      <c r="R409" s="272"/>
      <c r="S409" s="272"/>
      <c r="T409" s="272"/>
      <c r="U409" s="272"/>
      <c r="V409" s="272"/>
      <c r="W409" s="276">
        <v>0.2039</v>
      </c>
      <c r="X409" s="272"/>
      <c r="Y409" s="272"/>
      <c r="Z409" s="272"/>
    </row>
    <row r="410" spans="2:26" x14ac:dyDescent="0.45">
      <c r="B410" s="273">
        <v>403</v>
      </c>
      <c r="C410" s="272"/>
      <c r="D410" s="272"/>
      <c r="E410" s="272"/>
      <c r="F410" s="272"/>
      <c r="G410" s="272"/>
      <c r="H410" s="272"/>
      <c r="I410" s="272"/>
      <c r="J410" s="272"/>
      <c r="K410" s="272"/>
      <c r="L410" s="272"/>
      <c r="M410" s="272"/>
      <c r="N410" s="272"/>
      <c r="O410" s="272"/>
      <c r="P410" s="272"/>
      <c r="Q410" s="272"/>
      <c r="R410" s="272"/>
      <c r="S410" s="272"/>
      <c r="T410" s="272"/>
      <c r="U410" s="272"/>
      <c r="V410" s="272"/>
      <c r="W410" s="276">
        <v>0.20200000000000001</v>
      </c>
      <c r="X410" s="272"/>
      <c r="Y410" s="272"/>
      <c r="Z410" s="272"/>
    </row>
    <row r="411" spans="2:26" x14ac:dyDescent="0.45">
      <c r="B411" s="273">
        <v>404</v>
      </c>
      <c r="C411" s="272"/>
      <c r="D411" s="272"/>
      <c r="E411" s="272"/>
      <c r="F411" s="272"/>
      <c r="G411" s="272"/>
      <c r="H411" s="272"/>
      <c r="I411" s="272"/>
      <c r="J411" s="272"/>
      <c r="K411" s="272"/>
      <c r="L411" s="272"/>
      <c r="M411" s="272"/>
      <c r="N411" s="272"/>
      <c r="O411" s="272"/>
      <c r="P411" s="272"/>
      <c r="Q411" s="272"/>
      <c r="R411" s="272"/>
      <c r="S411" s="272"/>
      <c r="T411" s="272"/>
      <c r="U411" s="272"/>
      <c r="V411" s="272"/>
      <c r="W411" s="276">
        <v>0.2001</v>
      </c>
      <c r="X411" s="272"/>
      <c r="Y411" s="272"/>
      <c r="Z411" s="272"/>
    </row>
    <row r="412" spans="2:26" x14ac:dyDescent="0.45">
      <c r="B412" s="273">
        <v>405</v>
      </c>
      <c r="C412" s="272"/>
      <c r="D412" s="272"/>
      <c r="E412" s="272"/>
      <c r="F412" s="272"/>
      <c r="G412" s="272"/>
      <c r="H412" s="272"/>
      <c r="I412" s="272"/>
      <c r="J412" s="272"/>
      <c r="K412" s="272"/>
      <c r="L412" s="272"/>
      <c r="M412" s="272"/>
      <c r="N412" s="272"/>
      <c r="O412" s="272"/>
      <c r="P412" s="272"/>
      <c r="Q412" s="272"/>
      <c r="R412" s="272"/>
      <c r="S412" s="272"/>
      <c r="T412" s="272"/>
      <c r="U412" s="272"/>
      <c r="V412" s="272"/>
      <c r="W412" s="276">
        <v>0.1981</v>
      </c>
      <c r="X412" s="272"/>
      <c r="Y412" s="272"/>
      <c r="Z412" s="272"/>
    </row>
    <row r="413" spans="2:26" x14ac:dyDescent="0.45">
      <c r="B413" s="273">
        <v>406</v>
      </c>
      <c r="C413" s="272"/>
      <c r="D413" s="272"/>
      <c r="E413" s="272"/>
      <c r="F413" s="272"/>
      <c r="G413" s="272"/>
      <c r="H413" s="272"/>
      <c r="I413" s="272"/>
      <c r="J413" s="272"/>
      <c r="K413" s="272"/>
      <c r="L413" s="272"/>
      <c r="M413" s="272"/>
      <c r="N413" s="272"/>
      <c r="O413" s="272"/>
      <c r="P413" s="272"/>
      <c r="Q413" s="272"/>
      <c r="R413" s="272"/>
      <c r="S413" s="272"/>
      <c r="T413" s="272"/>
      <c r="U413" s="272"/>
      <c r="V413" s="272"/>
      <c r="W413" s="276">
        <v>0.19619999999999999</v>
      </c>
      <c r="X413" s="272"/>
      <c r="Y413" s="272"/>
      <c r="Z413" s="272"/>
    </row>
    <row r="414" spans="2:26" x14ac:dyDescent="0.45">
      <c r="B414" s="273">
        <v>407</v>
      </c>
      <c r="C414" s="272"/>
      <c r="D414" s="272"/>
      <c r="E414" s="272"/>
      <c r="F414" s="272"/>
      <c r="G414" s="272"/>
      <c r="H414" s="272"/>
      <c r="I414" s="272"/>
      <c r="J414" s="272"/>
      <c r="K414" s="272"/>
      <c r="L414" s="272"/>
      <c r="M414" s="272"/>
      <c r="N414" s="272"/>
      <c r="O414" s="272"/>
      <c r="P414" s="272"/>
      <c r="Q414" s="272"/>
      <c r="R414" s="272"/>
      <c r="S414" s="272"/>
      <c r="T414" s="272"/>
      <c r="U414" s="272"/>
      <c r="V414" s="272"/>
      <c r="W414" s="276">
        <v>0.19420000000000001</v>
      </c>
      <c r="X414" s="272"/>
      <c r="Y414" s="272"/>
      <c r="Z414" s="272"/>
    </row>
    <row r="415" spans="2:26" x14ac:dyDescent="0.45">
      <c r="B415" s="273">
        <v>408</v>
      </c>
      <c r="C415" s="272"/>
      <c r="D415" s="272"/>
      <c r="E415" s="272"/>
      <c r="F415" s="272"/>
      <c r="G415" s="272"/>
      <c r="H415" s="272"/>
      <c r="I415" s="272"/>
      <c r="J415" s="272"/>
      <c r="K415" s="272"/>
      <c r="L415" s="272"/>
      <c r="M415" s="272"/>
      <c r="N415" s="272"/>
      <c r="O415" s="272"/>
      <c r="P415" s="272"/>
      <c r="Q415" s="272"/>
      <c r="R415" s="272"/>
      <c r="S415" s="272"/>
      <c r="T415" s="272"/>
      <c r="U415" s="272"/>
      <c r="V415" s="272"/>
      <c r="W415" s="276">
        <v>0.1923</v>
      </c>
      <c r="X415" s="272"/>
      <c r="Y415" s="272"/>
      <c r="Z415" s="272"/>
    </row>
    <row r="416" spans="2:26" x14ac:dyDescent="0.45">
      <c r="B416" s="273">
        <v>409</v>
      </c>
      <c r="C416" s="272"/>
      <c r="D416" s="272"/>
      <c r="E416" s="272"/>
      <c r="F416" s="272"/>
      <c r="G416" s="272"/>
      <c r="H416" s="272"/>
      <c r="I416" s="272"/>
      <c r="J416" s="272"/>
      <c r="K416" s="272"/>
      <c r="L416" s="272"/>
      <c r="M416" s="272"/>
      <c r="N416" s="272"/>
      <c r="O416" s="272"/>
      <c r="P416" s="272"/>
      <c r="Q416" s="272"/>
      <c r="R416" s="272"/>
      <c r="S416" s="272"/>
      <c r="T416" s="272"/>
      <c r="U416" s="272"/>
      <c r="V416" s="272"/>
      <c r="W416" s="276">
        <v>0.1903</v>
      </c>
      <c r="X416" s="272"/>
      <c r="Y416" s="272"/>
      <c r="Z416" s="272"/>
    </row>
    <row r="417" spans="2:26" x14ac:dyDescent="0.45">
      <c r="B417" s="273">
        <v>410</v>
      </c>
      <c r="C417" s="272"/>
      <c r="D417" s="272"/>
      <c r="E417" s="272"/>
      <c r="F417" s="272"/>
      <c r="G417" s="272"/>
      <c r="H417" s="272"/>
      <c r="I417" s="272"/>
      <c r="J417" s="272"/>
      <c r="K417" s="272"/>
      <c r="L417" s="272"/>
      <c r="M417" s="272"/>
      <c r="N417" s="272"/>
      <c r="O417" s="272"/>
      <c r="P417" s="272"/>
      <c r="Q417" s="272"/>
      <c r="R417" s="272"/>
      <c r="S417" s="272"/>
      <c r="T417" s="272"/>
      <c r="U417" s="272"/>
      <c r="V417" s="272"/>
      <c r="W417" s="276">
        <v>0.18840000000000001</v>
      </c>
      <c r="X417" s="272"/>
      <c r="Y417" s="272"/>
      <c r="Z417" s="272"/>
    </row>
    <row r="418" spans="2:26" x14ac:dyDescent="0.45">
      <c r="B418" s="273">
        <v>411</v>
      </c>
      <c r="C418" s="272"/>
      <c r="D418" s="272"/>
      <c r="E418" s="272"/>
      <c r="F418" s="272"/>
      <c r="G418" s="272"/>
      <c r="H418" s="272"/>
      <c r="I418" s="272"/>
      <c r="J418" s="272"/>
      <c r="K418" s="272"/>
      <c r="L418" s="272"/>
      <c r="M418" s="272"/>
      <c r="N418" s="272"/>
      <c r="O418" s="272"/>
      <c r="P418" s="272"/>
      <c r="Q418" s="272"/>
      <c r="R418" s="272"/>
      <c r="S418" s="272"/>
      <c r="T418" s="272"/>
      <c r="U418" s="272"/>
      <c r="V418" s="272"/>
      <c r="W418" s="276">
        <v>0.18629999999999999</v>
      </c>
      <c r="X418" s="272"/>
      <c r="Y418" s="272"/>
      <c r="Z418" s="272"/>
    </row>
    <row r="419" spans="2:26" x14ac:dyDescent="0.45">
      <c r="B419" s="273">
        <v>412</v>
      </c>
      <c r="C419" s="272"/>
      <c r="D419" s="272"/>
      <c r="E419" s="272"/>
      <c r="F419" s="272"/>
      <c r="G419" s="272"/>
      <c r="H419" s="272"/>
      <c r="I419" s="272"/>
      <c r="J419" s="272"/>
      <c r="K419" s="272"/>
      <c r="L419" s="272"/>
      <c r="M419" s="272"/>
      <c r="N419" s="272"/>
      <c r="O419" s="272"/>
      <c r="P419" s="272"/>
      <c r="Q419" s="272"/>
      <c r="R419" s="272"/>
      <c r="S419" s="272"/>
      <c r="T419" s="272"/>
      <c r="U419" s="272"/>
      <c r="V419" s="272"/>
      <c r="W419" s="276">
        <v>0.18430000000000002</v>
      </c>
      <c r="X419" s="272"/>
      <c r="Y419" s="272"/>
      <c r="Z419" s="272"/>
    </row>
    <row r="420" spans="2:26" x14ac:dyDescent="0.45">
      <c r="B420" s="273">
        <v>413</v>
      </c>
      <c r="C420" s="272"/>
      <c r="D420" s="272"/>
      <c r="E420" s="272"/>
      <c r="F420" s="272"/>
      <c r="G420" s="272"/>
      <c r="H420" s="272"/>
      <c r="I420" s="272"/>
      <c r="J420" s="272"/>
      <c r="K420" s="272"/>
      <c r="L420" s="272"/>
      <c r="M420" s="272"/>
      <c r="N420" s="272"/>
      <c r="O420" s="272"/>
      <c r="P420" s="272"/>
      <c r="Q420" s="272"/>
      <c r="R420" s="272"/>
      <c r="S420" s="272"/>
      <c r="T420" s="272"/>
      <c r="U420" s="272"/>
      <c r="V420" s="272"/>
      <c r="W420" s="276">
        <v>0.18239999999999998</v>
      </c>
      <c r="X420" s="272"/>
      <c r="Y420" s="272"/>
      <c r="Z420" s="272"/>
    </row>
    <row r="421" spans="2:26" x14ac:dyDescent="0.45">
      <c r="B421" s="273">
        <v>414</v>
      </c>
      <c r="C421" s="272"/>
      <c r="D421" s="272"/>
      <c r="E421" s="272"/>
      <c r="F421" s="272"/>
      <c r="G421" s="272"/>
      <c r="H421" s="272"/>
      <c r="I421" s="272"/>
      <c r="J421" s="272"/>
      <c r="K421" s="272"/>
      <c r="L421" s="272"/>
      <c r="M421" s="272"/>
      <c r="N421" s="272"/>
      <c r="O421" s="272"/>
      <c r="P421" s="272"/>
      <c r="Q421" s="272"/>
      <c r="R421" s="272"/>
      <c r="S421" s="272"/>
      <c r="T421" s="272"/>
      <c r="U421" s="272"/>
      <c r="V421" s="272"/>
      <c r="W421" s="276">
        <v>0.1804</v>
      </c>
      <c r="X421" s="272"/>
      <c r="Y421" s="272"/>
      <c r="Z421" s="272"/>
    </row>
    <row r="422" spans="2:26" x14ac:dyDescent="0.45">
      <c r="B422" s="273">
        <v>415</v>
      </c>
      <c r="C422" s="272"/>
      <c r="D422" s="272"/>
      <c r="E422" s="272"/>
      <c r="F422" s="272"/>
      <c r="G422" s="272"/>
      <c r="H422" s="272"/>
      <c r="I422" s="272"/>
      <c r="J422" s="272"/>
      <c r="K422" s="272"/>
      <c r="L422" s="272"/>
      <c r="M422" s="272"/>
      <c r="N422" s="272"/>
      <c r="O422" s="272"/>
      <c r="P422" s="272"/>
      <c r="Q422" s="272"/>
      <c r="R422" s="272"/>
      <c r="S422" s="272"/>
      <c r="T422" s="272"/>
      <c r="U422" s="272"/>
      <c r="V422" s="272"/>
      <c r="W422" s="276">
        <v>0.17849999999999999</v>
      </c>
      <c r="X422" s="272"/>
      <c r="Y422" s="272"/>
      <c r="Z422" s="272"/>
    </row>
    <row r="423" spans="2:26" x14ac:dyDescent="0.45">
      <c r="B423" s="273">
        <v>416</v>
      </c>
      <c r="C423" s="272"/>
      <c r="D423" s="272"/>
      <c r="E423" s="272"/>
      <c r="F423" s="272"/>
      <c r="G423" s="272"/>
      <c r="H423" s="272"/>
      <c r="I423" s="272"/>
      <c r="J423" s="272"/>
      <c r="K423" s="272"/>
      <c r="L423" s="272"/>
      <c r="M423" s="272"/>
      <c r="N423" s="272"/>
      <c r="O423" s="272"/>
      <c r="P423" s="272"/>
      <c r="Q423" s="272"/>
      <c r="R423" s="272"/>
      <c r="S423" s="272"/>
      <c r="T423" s="272"/>
      <c r="U423" s="272"/>
      <c r="V423" s="272"/>
      <c r="W423" s="276">
        <v>0.17660000000000001</v>
      </c>
      <c r="X423" s="272"/>
      <c r="Y423" s="272"/>
      <c r="Z423" s="272"/>
    </row>
    <row r="424" spans="2:26" x14ac:dyDescent="0.45">
      <c r="B424" s="273">
        <v>417</v>
      </c>
      <c r="C424" s="272"/>
      <c r="D424" s="272"/>
      <c r="E424" s="272"/>
      <c r="F424" s="272"/>
      <c r="G424" s="272"/>
      <c r="H424" s="272"/>
      <c r="I424" s="272"/>
      <c r="J424" s="272"/>
      <c r="K424" s="272"/>
      <c r="L424" s="272"/>
      <c r="M424" s="272"/>
      <c r="N424" s="272"/>
      <c r="O424" s="272"/>
      <c r="P424" s="272"/>
      <c r="Q424" s="272"/>
      <c r="R424" s="272"/>
      <c r="S424" s="272"/>
      <c r="T424" s="272"/>
      <c r="U424" s="272"/>
      <c r="V424" s="272"/>
      <c r="W424" s="276">
        <v>0.17459999999999998</v>
      </c>
      <c r="X424" s="272"/>
      <c r="Y424" s="272"/>
      <c r="Z424" s="272"/>
    </row>
    <row r="425" spans="2:26" x14ac:dyDescent="0.45">
      <c r="B425" s="273">
        <v>418</v>
      </c>
      <c r="C425" s="272"/>
      <c r="D425" s="272"/>
      <c r="E425" s="272"/>
      <c r="F425" s="272"/>
      <c r="G425" s="272"/>
      <c r="H425" s="272"/>
      <c r="I425" s="272"/>
      <c r="J425" s="272"/>
      <c r="K425" s="272"/>
      <c r="L425" s="272"/>
      <c r="M425" s="272"/>
      <c r="N425" s="272"/>
      <c r="O425" s="272"/>
      <c r="P425" s="272"/>
      <c r="Q425" s="272"/>
      <c r="R425" s="272"/>
      <c r="S425" s="272"/>
      <c r="T425" s="272"/>
      <c r="U425" s="272"/>
      <c r="V425" s="272"/>
      <c r="W425" s="276">
        <v>0.17269999999999999</v>
      </c>
      <c r="X425" s="272"/>
      <c r="Y425" s="272"/>
      <c r="Z425" s="272"/>
    </row>
    <row r="426" spans="2:26" x14ac:dyDescent="0.45">
      <c r="B426" s="273">
        <v>419</v>
      </c>
      <c r="C426" s="272"/>
      <c r="D426" s="272"/>
      <c r="E426" s="272"/>
      <c r="F426" s="272"/>
      <c r="G426" s="272"/>
      <c r="H426" s="272"/>
      <c r="I426" s="272"/>
      <c r="J426" s="272"/>
      <c r="K426" s="272"/>
      <c r="L426" s="272"/>
      <c r="M426" s="272"/>
      <c r="N426" s="272"/>
      <c r="O426" s="272"/>
      <c r="P426" s="272"/>
      <c r="Q426" s="272"/>
      <c r="R426" s="272"/>
      <c r="S426" s="272"/>
      <c r="T426" s="272"/>
      <c r="U426" s="272"/>
      <c r="V426" s="272"/>
      <c r="W426" s="276">
        <v>0.17069999999999999</v>
      </c>
      <c r="X426" s="272"/>
      <c r="Y426" s="272"/>
      <c r="Z426" s="272"/>
    </row>
    <row r="427" spans="2:26" x14ac:dyDescent="0.45">
      <c r="B427" s="273">
        <v>420</v>
      </c>
      <c r="C427" s="272"/>
      <c r="D427" s="272"/>
      <c r="E427" s="272"/>
      <c r="F427" s="272"/>
      <c r="G427" s="272"/>
      <c r="H427" s="272"/>
      <c r="I427" s="272"/>
      <c r="J427" s="272"/>
      <c r="K427" s="272"/>
      <c r="L427" s="272"/>
      <c r="M427" s="272"/>
      <c r="N427" s="272"/>
      <c r="O427" s="272"/>
      <c r="P427" s="272"/>
      <c r="Q427" s="272"/>
      <c r="R427" s="272"/>
      <c r="S427" s="272"/>
      <c r="T427" s="272"/>
      <c r="U427" s="272"/>
      <c r="V427" s="272"/>
      <c r="W427" s="276">
        <v>0.16880000000000001</v>
      </c>
      <c r="X427" s="272"/>
      <c r="Y427" s="272"/>
      <c r="Z427" s="272"/>
    </row>
    <row r="428" spans="2:26" x14ac:dyDescent="0.45">
      <c r="B428" s="273">
        <v>421</v>
      </c>
      <c r="C428" s="272"/>
      <c r="D428" s="272"/>
      <c r="E428" s="272"/>
      <c r="F428" s="272"/>
      <c r="G428" s="272"/>
      <c r="H428" s="272"/>
      <c r="I428" s="272"/>
      <c r="J428" s="272"/>
      <c r="K428" s="272"/>
      <c r="L428" s="272"/>
      <c r="M428" s="272"/>
      <c r="N428" s="272"/>
      <c r="O428" s="272"/>
      <c r="P428" s="272"/>
      <c r="Q428" s="272"/>
      <c r="R428" s="272"/>
      <c r="S428" s="272"/>
      <c r="T428" s="272"/>
      <c r="U428" s="272"/>
      <c r="V428" s="272"/>
      <c r="W428" s="276">
        <v>0.16679999999999998</v>
      </c>
      <c r="X428" s="272"/>
      <c r="Y428" s="272"/>
      <c r="Z428" s="272"/>
    </row>
    <row r="429" spans="2:26" x14ac:dyDescent="0.45">
      <c r="B429" s="273">
        <v>422</v>
      </c>
      <c r="C429" s="272"/>
      <c r="D429" s="272"/>
      <c r="E429" s="272"/>
      <c r="F429" s="272"/>
      <c r="G429" s="272"/>
      <c r="H429" s="272"/>
      <c r="I429" s="272"/>
      <c r="J429" s="272"/>
      <c r="K429" s="272"/>
      <c r="L429" s="272"/>
      <c r="M429" s="272"/>
      <c r="N429" s="272"/>
      <c r="O429" s="272"/>
      <c r="P429" s="272"/>
      <c r="Q429" s="272"/>
      <c r="R429" s="272"/>
      <c r="S429" s="272"/>
      <c r="T429" s="272"/>
      <c r="U429" s="272"/>
      <c r="V429" s="272"/>
      <c r="W429" s="276">
        <v>0.16489999999999999</v>
      </c>
      <c r="X429" s="272"/>
      <c r="Y429" s="272"/>
      <c r="Z429" s="272"/>
    </row>
    <row r="430" spans="2:26" x14ac:dyDescent="0.45">
      <c r="B430" s="273">
        <v>423</v>
      </c>
      <c r="C430" s="272"/>
      <c r="D430" s="272"/>
      <c r="E430" s="272"/>
      <c r="F430" s="272"/>
      <c r="G430" s="272"/>
      <c r="H430" s="272"/>
      <c r="I430" s="272"/>
      <c r="J430" s="272"/>
      <c r="K430" s="272"/>
      <c r="L430" s="272"/>
      <c r="M430" s="272"/>
      <c r="N430" s="272"/>
      <c r="O430" s="272"/>
      <c r="P430" s="272"/>
      <c r="Q430" s="272"/>
      <c r="R430" s="272"/>
      <c r="S430" s="272"/>
      <c r="T430" s="272"/>
      <c r="U430" s="272"/>
      <c r="V430" s="272"/>
      <c r="W430" s="276">
        <v>0.16289999999999999</v>
      </c>
      <c r="X430" s="272"/>
      <c r="Y430" s="272"/>
      <c r="Z430" s="272"/>
    </row>
    <row r="431" spans="2:26" x14ac:dyDescent="0.45">
      <c r="B431" s="273">
        <v>424</v>
      </c>
      <c r="C431" s="272"/>
      <c r="D431" s="272"/>
      <c r="E431" s="272"/>
      <c r="F431" s="272"/>
      <c r="G431" s="272"/>
      <c r="H431" s="272"/>
      <c r="I431" s="272"/>
      <c r="J431" s="272"/>
      <c r="K431" s="272"/>
      <c r="L431" s="272"/>
      <c r="M431" s="272"/>
      <c r="N431" s="272"/>
      <c r="O431" s="272"/>
      <c r="P431" s="272"/>
      <c r="Q431" s="272"/>
      <c r="R431" s="272"/>
      <c r="S431" s="272"/>
      <c r="T431" s="272"/>
      <c r="U431" s="272"/>
      <c r="V431" s="272"/>
      <c r="W431" s="276">
        <v>0.161</v>
      </c>
      <c r="X431" s="272"/>
      <c r="Y431" s="272"/>
      <c r="Z431" s="272"/>
    </row>
    <row r="432" spans="2:26" x14ac:dyDescent="0.45">
      <c r="B432" s="273">
        <v>425</v>
      </c>
      <c r="C432" s="272"/>
      <c r="D432" s="272"/>
      <c r="E432" s="272"/>
      <c r="F432" s="272"/>
      <c r="G432" s="272"/>
      <c r="H432" s="272"/>
      <c r="I432" s="272"/>
      <c r="J432" s="272"/>
      <c r="K432" s="272"/>
      <c r="L432" s="272"/>
      <c r="M432" s="272"/>
      <c r="N432" s="272"/>
      <c r="O432" s="272"/>
      <c r="P432" s="272"/>
      <c r="Q432" s="272"/>
      <c r="R432" s="272"/>
      <c r="S432" s="272"/>
      <c r="T432" s="272"/>
      <c r="U432" s="272"/>
      <c r="V432" s="272"/>
      <c r="W432" s="276">
        <v>0.15909999999999999</v>
      </c>
      <c r="X432" s="272"/>
      <c r="Y432" s="272"/>
      <c r="Z432" s="272"/>
    </row>
    <row r="433" spans="2:26" x14ac:dyDescent="0.45">
      <c r="B433" s="273">
        <v>426</v>
      </c>
      <c r="C433" s="272"/>
      <c r="D433" s="272"/>
      <c r="E433" s="272"/>
      <c r="F433" s="272"/>
      <c r="G433" s="272"/>
      <c r="H433" s="272"/>
      <c r="I433" s="272"/>
      <c r="J433" s="272"/>
      <c r="K433" s="272"/>
      <c r="L433" s="272"/>
      <c r="M433" s="272"/>
      <c r="N433" s="272"/>
      <c r="O433" s="272"/>
      <c r="P433" s="272"/>
      <c r="Q433" s="272"/>
      <c r="R433" s="272"/>
      <c r="S433" s="272"/>
      <c r="T433" s="272"/>
      <c r="U433" s="272"/>
      <c r="V433" s="272"/>
      <c r="W433" s="276">
        <v>0.15709999999999999</v>
      </c>
      <c r="X433" s="272"/>
      <c r="Y433" s="272"/>
      <c r="Z433" s="272"/>
    </row>
    <row r="434" spans="2:26" x14ac:dyDescent="0.45">
      <c r="B434" s="273">
        <v>427</v>
      </c>
      <c r="C434" s="272"/>
      <c r="D434" s="272"/>
      <c r="E434" s="272"/>
      <c r="F434" s="272"/>
      <c r="G434" s="272"/>
      <c r="H434" s="272"/>
      <c r="I434" s="272"/>
      <c r="J434" s="272"/>
      <c r="K434" s="272"/>
      <c r="L434" s="272"/>
      <c r="M434" s="272"/>
      <c r="N434" s="272"/>
      <c r="O434" s="272"/>
      <c r="P434" s="272"/>
      <c r="Q434" s="272"/>
      <c r="R434" s="272"/>
      <c r="S434" s="272"/>
      <c r="T434" s="272"/>
      <c r="U434" s="272"/>
      <c r="V434" s="272"/>
      <c r="W434" s="276">
        <v>0.155</v>
      </c>
      <c r="X434" s="272"/>
      <c r="Y434" s="272"/>
      <c r="Z434" s="272"/>
    </row>
    <row r="435" spans="2:26" x14ac:dyDescent="0.45">
      <c r="B435" s="273">
        <v>428</v>
      </c>
      <c r="C435" s="272"/>
      <c r="D435" s="272"/>
      <c r="E435" s="272"/>
      <c r="F435" s="272"/>
      <c r="G435" s="272"/>
      <c r="H435" s="272"/>
      <c r="I435" s="272"/>
      <c r="J435" s="272"/>
      <c r="K435" s="272"/>
      <c r="L435" s="272"/>
      <c r="M435" s="272"/>
      <c r="N435" s="272"/>
      <c r="O435" s="272"/>
      <c r="P435" s="272"/>
      <c r="Q435" s="272"/>
      <c r="R435" s="272"/>
      <c r="S435" s="272"/>
      <c r="T435" s="272"/>
      <c r="U435" s="272"/>
      <c r="V435" s="272"/>
      <c r="W435" s="276">
        <v>0.15310000000000001</v>
      </c>
      <c r="X435" s="272"/>
      <c r="Y435" s="272"/>
      <c r="Z435" s="272"/>
    </row>
    <row r="436" spans="2:26" x14ac:dyDescent="0.45">
      <c r="B436" s="273">
        <v>429</v>
      </c>
      <c r="C436" s="272"/>
      <c r="D436" s="272"/>
      <c r="E436" s="272"/>
      <c r="F436" s="272"/>
      <c r="G436" s="272"/>
      <c r="H436" s="272"/>
      <c r="I436" s="272"/>
      <c r="J436" s="272"/>
      <c r="K436" s="272"/>
      <c r="L436" s="272"/>
      <c r="M436" s="272"/>
      <c r="N436" s="272"/>
      <c r="O436" s="272"/>
      <c r="P436" s="272"/>
      <c r="Q436" s="272"/>
      <c r="R436" s="272"/>
      <c r="S436" s="272"/>
      <c r="T436" s="272"/>
      <c r="U436" s="272"/>
      <c r="V436" s="272"/>
      <c r="W436" s="276">
        <v>0.15109999999999998</v>
      </c>
      <c r="X436" s="272"/>
      <c r="Y436" s="272"/>
      <c r="Z436" s="272"/>
    </row>
    <row r="437" spans="2:26" x14ac:dyDescent="0.45">
      <c r="B437" s="273">
        <v>430</v>
      </c>
      <c r="C437" s="272"/>
      <c r="D437" s="272"/>
      <c r="E437" s="272"/>
      <c r="F437" s="272"/>
      <c r="G437" s="272"/>
      <c r="H437" s="272"/>
      <c r="I437" s="272"/>
      <c r="J437" s="272"/>
      <c r="K437" s="272"/>
      <c r="L437" s="272"/>
      <c r="M437" s="272"/>
      <c r="N437" s="272"/>
      <c r="O437" s="272"/>
      <c r="P437" s="272"/>
      <c r="Q437" s="272"/>
      <c r="R437" s="272"/>
      <c r="S437" s="272"/>
      <c r="T437" s="272"/>
      <c r="U437" s="272"/>
      <c r="V437" s="272"/>
      <c r="W437" s="276">
        <v>0.1492</v>
      </c>
      <c r="X437" s="272"/>
      <c r="Y437" s="272"/>
      <c r="Z437" s="272"/>
    </row>
    <row r="438" spans="2:26" x14ac:dyDescent="0.45">
      <c r="B438" s="273">
        <v>431</v>
      </c>
      <c r="C438" s="272"/>
      <c r="D438" s="272"/>
      <c r="E438" s="272"/>
      <c r="F438" s="272"/>
      <c r="G438" s="272"/>
      <c r="H438" s="272"/>
      <c r="I438" s="272"/>
      <c r="J438" s="272"/>
      <c r="K438" s="272"/>
      <c r="L438" s="272"/>
      <c r="M438" s="272"/>
      <c r="N438" s="272"/>
      <c r="O438" s="272"/>
      <c r="P438" s="272"/>
      <c r="Q438" s="272"/>
      <c r="R438" s="272"/>
      <c r="S438" s="272"/>
      <c r="T438" s="272"/>
      <c r="U438" s="272"/>
      <c r="V438" s="272"/>
      <c r="W438" s="276">
        <v>0.1472</v>
      </c>
      <c r="X438" s="272"/>
      <c r="Y438" s="272"/>
      <c r="Z438" s="272"/>
    </row>
    <row r="439" spans="2:26" x14ac:dyDescent="0.45">
      <c r="B439" s="273">
        <v>432</v>
      </c>
      <c r="C439" s="272"/>
      <c r="D439" s="272"/>
      <c r="E439" s="272"/>
      <c r="F439" s="272"/>
      <c r="G439" s="272"/>
      <c r="H439" s="272"/>
      <c r="I439" s="272"/>
      <c r="J439" s="272"/>
      <c r="K439" s="272"/>
      <c r="L439" s="272"/>
      <c r="M439" s="272"/>
      <c r="N439" s="272"/>
      <c r="O439" s="272"/>
      <c r="P439" s="272"/>
      <c r="Q439" s="272"/>
      <c r="R439" s="272"/>
      <c r="S439" s="272"/>
      <c r="T439" s="272"/>
      <c r="U439" s="272"/>
      <c r="V439" s="272"/>
      <c r="W439" s="276">
        <v>0.14530000000000001</v>
      </c>
      <c r="X439" s="272"/>
      <c r="Y439" s="272"/>
      <c r="Z439" s="272"/>
    </row>
    <row r="440" spans="2:26" x14ac:dyDescent="0.45">
      <c r="B440" s="273">
        <v>433</v>
      </c>
      <c r="C440" s="272"/>
      <c r="D440" s="272"/>
      <c r="E440" s="272"/>
      <c r="F440" s="272"/>
      <c r="G440" s="272"/>
      <c r="H440" s="272"/>
      <c r="I440" s="272"/>
      <c r="J440" s="272"/>
      <c r="K440" s="272"/>
      <c r="L440" s="272"/>
      <c r="M440" s="272"/>
      <c r="N440" s="272"/>
      <c r="O440" s="272"/>
      <c r="P440" s="272"/>
      <c r="Q440" s="272"/>
      <c r="R440" s="272"/>
      <c r="S440" s="272"/>
      <c r="T440" s="272"/>
      <c r="U440" s="272"/>
      <c r="V440" s="272"/>
      <c r="W440" s="276">
        <v>0.14329999999999998</v>
      </c>
      <c r="X440" s="272"/>
      <c r="Y440" s="272"/>
      <c r="Z440" s="272"/>
    </row>
    <row r="441" spans="2:26" x14ac:dyDescent="0.45">
      <c r="B441" s="273">
        <v>434</v>
      </c>
      <c r="C441" s="272"/>
      <c r="D441" s="272"/>
      <c r="E441" s="272"/>
      <c r="F441" s="272"/>
      <c r="G441" s="272"/>
      <c r="H441" s="272"/>
      <c r="I441" s="272"/>
      <c r="J441" s="272"/>
      <c r="K441" s="272"/>
      <c r="L441" s="272"/>
      <c r="M441" s="272"/>
      <c r="N441" s="272"/>
      <c r="O441" s="272"/>
      <c r="P441" s="272"/>
      <c r="Q441" s="272"/>
      <c r="R441" s="272"/>
      <c r="S441" s="272"/>
      <c r="T441" s="272"/>
      <c r="U441" s="272"/>
      <c r="V441" s="272"/>
      <c r="W441" s="276">
        <v>0.1414</v>
      </c>
      <c r="X441" s="272"/>
      <c r="Y441" s="272"/>
      <c r="Z441" s="272"/>
    </row>
    <row r="442" spans="2:26" x14ac:dyDescent="0.45">
      <c r="B442" s="273">
        <v>435</v>
      </c>
      <c r="C442" s="272"/>
      <c r="D442" s="272"/>
      <c r="E442" s="272"/>
      <c r="F442" s="272"/>
      <c r="G442" s="272"/>
      <c r="H442" s="272"/>
      <c r="I442" s="272"/>
      <c r="J442" s="272"/>
      <c r="K442" s="272"/>
      <c r="L442" s="272"/>
      <c r="M442" s="272"/>
      <c r="N442" s="272"/>
      <c r="O442" s="272"/>
      <c r="P442" s="272"/>
      <c r="Q442" s="272"/>
      <c r="R442" s="272"/>
      <c r="S442" s="272"/>
      <c r="T442" s="272"/>
      <c r="U442" s="272"/>
      <c r="V442" s="272"/>
      <c r="W442" s="276">
        <v>0.13950000000000001</v>
      </c>
      <c r="X442" s="272"/>
      <c r="Y442" s="272"/>
      <c r="Z442" s="272"/>
    </row>
    <row r="443" spans="2:26" x14ac:dyDescent="0.45">
      <c r="B443" s="273">
        <v>436</v>
      </c>
      <c r="C443" s="272"/>
      <c r="D443" s="272"/>
      <c r="E443" s="272"/>
      <c r="F443" s="272"/>
      <c r="G443" s="272"/>
      <c r="H443" s="272"/>
      <c r="I443" s="272"/>
      <c r="J443" s="272"/>
      <c r="K443" s="272"/>
      <c r="L443" s="272"/>
      <c r="M443" s="272"/>
      <c r="N443" s="272"/>
      <c r="O443" s="272"/>
      <c r="P443" s="272"/>
      <c r="Q443" s="272"/>
      <c r="R443" s="272"/>
      <c r="S443" s="272"/>
      <c r="T443" s="272"/>
      <c r="U443" s="272"/>
      <c r="V443" s="272"/>
      <c r="W443" s="276">
        <v>0.13750000000000001</v>
      </c>
      <c r="X443" s="272"/>
      <c r="Y443" s="272"/>
      <c r="Z443" s="272"/>
    </row>
    <row r="444" spans="2:26" x14ac:dyDescent="0.45">
      <c r="B444" s="273">
        <v>437</v>
      </c>
      <c r="C444" s="272"/>
      <c r="D444" s="272"/>
      <c r="E444" s="272"/>
      <c r="F444" s="272"/>
      <c r="G444" s="272"/>
      <c r="H444" s="272"/>
      <c r="I444" s="272"/>
      <c r="J444" s="272"/>
      <c r="K444" s="272"/>
      <c r="L444" s="272"/>
      <c r="M444" s="272"/>
      <c r="N444" s="272"/>
      <c r="O444" s="272"/>
      <c r="P444" s="272"/>
      <c r="Q444" s="272"/>
      <c r="R444" s="272"/>
      <c r="S444" s="272"/>
      <c r="T444" s="272"/>
      <c r="U444" s="272"/>
      <c r="V444" s="272"/>
      <c r="W444" s="276">
        <v>0.1356</v>
      </c>
      <c r="X444" s="272"/>
      <c r="Y444" s="272"/>
      <c r="Z444" s="272"/>
    </row>
    <row r="445" spans="2:26" x14ac:dyDescent="0.45">
      <c r="B445" s="273">
        <v>438</v>
      </c>
      <c r="C445" s="272"/>
      <c r="D445" s="272"/>
      <c r="E445" s="272"/>
      <c r="F445" s="272"/>
      <c r="G445" s="272"/>
      <c r="H445" s="272"/>
      <c r="I445" s="272"/>
      <c r="J445" s="272"/>
      <c r="K445" s="272"/>
      <c r="L445" s="272"/>
      <c r="M445" s="272"/>
      <c r="N445" s="272"/>
      <c r="O445" s="272"/>
      <c r="P445" s="272"/>
      <c r="Q445" s="272"/>
      <c r="R445" s="272"/>
      <c r="S445" s="272"/>
      <c r="T445" s="272"/>
      <c r="U445" s="272"/>
      <c r="V445" s="272"/>
      <c r="W445" s="276">
        <v>0.1336</v>
      </c>
      <c r="X445" s="272"/>
      <c r="Y445" s="272"/>
      <c r="Z445" s="272"/>
    </row>
    <row r="446" spans="2:26" x14ac:dyDescent="0.45">
      <c r="B446" s="273">
        <v>439</v>
      </c>
      <c r="C446" s="272"/>
      <c r="D446" s="272"/>
      <c r="E446" s="272"/>
      <c r="F446" s="272"/>
      <c r="G446" s="272"/>
      <c r="H446" s="272"/>
      <c r="I446" s="272"/>
      <c r="J446" s="272"/>
      <c r="K446" s="272"/>
      <c r="L446" s="272"/>
      <c r="M446" s="272"/>
      <c r="N446" s="272"/>
      <c r="O446" s="272"/>
      <c r="P446" s="272"/>
      <c r="Q446" s="272"/>
      <c r="R446" s="272"/>
      <c r="S446" s="272"/>
      <c r="T446" s="272"/>
      <c r="U446" s="272"/>
      <c r="V446" s="272"/>
      <c r="W446" s="276">
        <v>0.13170000000000001</v>
      </c>
      <c r="X446" s="272"/>
      <c r="Y446" s="272"/>
      <c r="Z446" s="272"/>
    </row>
    <row r="447" spans="2:26" x14ac:dyDescent="0.45">
      <c r="B447" s="273">
        <v>440</v>
      </c>
      <c r="C447" s="272"/>
      <c r="D447" s="272"/>
      <c r="E447" s="272"/>
      <c r="F447" s="272"/>
      <c r="G447" s="272"/>
      <c r="H447" s="272"/>
      <c r="I447" s="272"/>
      <c r="J447" s="272"/>
      <c r="K447" s="272"/>
      <c r="L447" s="272"/>
      <c r="M447" s="272"/>
      <c r="N447" s="272"/>
      <c r="O447" s="272"/>
      <c r="P447" s="272"/>
      <c r="Q447" s="272"/>
      <c r="R447" s="272"/>
      <c r="S447" s="272"/>
      <c r="T447" s="272"/>
      <c r="U447" s="272"/>
      <c r="V447" s="272"/>
      <c r="W447" s="276">
        <v>0.12970000000000001</v>
      </c>
      <c r="X447" s="272"/>
      <c r="Y447" s="272"/>
      <c r="Z447" s="272"/>
    </row>
    <row r="448" spans="2:26" x14ac:dyDescent="0.45">
      <c r="B448" s="273">
        <v>441</v>
      </c>
      <c r="C448" s="272"/>
      <c r="D448" s="272"/>
      <c r="E448" s="272"/>
      <c r="F448" s="272"/>
      <c r="G448" s="272"/>
      <c r="H448" s="272"/>
      <c r="I448" s="272"/>
      <c r="J448" s="272"/>
      <c r="K448" s="272"/>
      <c r="L448" s="272"/>
      <c r="M448" s="272"/>
      <c r="N448" s="272"/>
      <c r="O448" s="272"/>
      <c r="P448" s="272"/>
      <c r="Q448" s="272"/>
      <c r="R448" s="272"/>
      <c r="S448" s="272"/>
      <c r="T448" s="272"/>
      <c r="U448" s="272"/>
      <c r="V448" s="272"/>
      <c r="W448" s="276">
        <v>0.1278</v>
      </c>
      <c r="X448" s="272"/>
      <c r="Y448" s="272"/>
      <c r="Z448" s="272"/>
    </row>
    <row r="449" spans="2:26" x14ac:dyDescent="0.45">
      <c r="B449" s="273">
        <v>442</v>
      </c>
      <c r="C449" s="272"/>
      <c r="D449" s="272"/>
      <c r="E449" s="272"/>
      <c r="F449" s="272"/>
      <c r="G449" s="272"/>
      <c r="H449" s="272"/>
      <c r="I449" s="272"/>
      <c r="J449" s="272"/>
      <c r="K449" s="272"/>
      <c r="L449" s="272"/>
      <c r="M449" s="272"/>
      <c r="N449" s="272"/>
      <c r="O449" s="272"/>
      <c r="P449" s="272"/>
      <c r="Q449" s="272"/>
      <c r="R449" s="272"/>
      <c r="S449" s="272"/>
      <c r="T449" s="272"/>
      <c r="U449" s="272"/>
      <c r="V449" s="272"/>
      <c r="W449" s="276">
        <v>0.1258</v>
      </c>
      <c r="X449" s="272"/>
      <c r="Y449" s="272"/>
      <c r="Z449" s="272"/>
    </row>
    <row r="450" spans="2:26" x14ac:dyDescent="0.45">
      <c r="B450" s="273">
        <v>443</v>
      </c>
      <c r="C450" s="272"/>
      <c r="D450" s="272"/>
      <c r="E450" s="272"/>
      <c r="F450" s="272"/>
      <c r="G450" s="272"/>
      <c r="H450" s="272"/>
      <c r="I450" s="272"/>
      <c r="J450" s="272"/>
      <c r="K450" s="272"/>
      <c r="L450" s="272"/>
      <c r="M450" s="272"/>
      <c r="N450" s="272"/>
      <c r="O450" s="272"/>
      <c r="P450" s="272"/>
      <c r="Q450" s="272"/>
      <c r="R450" s="272"/>
      <c r="S450" s="272"/>
      <c r="T450" s="272"/>
      <c r="U450" s="272"/>
      <c r="V450" s="272"/>
      <c r="W450" s="276">
        <v>0.1237</v>
      </c>
      <c r="X450" s="272"/>
      <c r="Y450" s="272"/>
      <c r="Z450" s="272"/>
    </row>
    <row r="451" spans="2:26" x14ac:dyDescent="0.45">
      <c r="B451" s="273">
        <v>444</v>
      </c>
      <c r="C451" s="272"/>
      <c r="D451" s="272"/>
      <c r="E451" s="272"/>
      <c r="F451" s="272"/>
      <c r="G451" s="272"/>
      <c r="H451" s="272"/>
      <c r="I451" s="272"/>
      <c r="J451" s="272"/>
      <c r="K451" s="272"/>
      <c r="L451" s="272"/>
      <c r="M451" s="272"/>
      <c r="N451" s="272"/>
      <c r="O451" s="272"/>
      <c r="P451" s="272"/>
      <c r="Q451" s="272"/>
      <c r="R451" s="272"/>
      <c r="S451" s="272"/>
      <c r="T451" s="272"/>
      <c r="U451" s="272"/>
      <c r="V451" s="272"/>
      <c r="W451" s="276">
        <v>0.12180000000000001</v>
      </c>
      <c r="X451" s="272"/>
      <c r="Y451" s="272"/>
      <c r="Z451" s="272"/>
    </row>
    <row r="452" spans="2:26" x14ac:dyDescent="0.45">
      <c r="B452" s="273">
        <v>445</v>
      </c>
      <c r="C452" s="272"/>
      <c r="D452" s="272"/>
      <c r="E452" s="272"/>
      <c r="F452" s="272"/>
      <c r="G452" s="272"/>
      <c r="H452" s="272"/>
      <c r="I452" s="272"/>
      <c r="J452" s="272"/>
      <c r="K452" s="272"/>
      <c r="L452" s="272"/>
      <c r="M452" s="272"/>
      <c r="N452" s="272"/>
      <c r="O452" s="272"/>
      <c r="P452" s="272"/>
      <c r="Q452" s="272"/>
      <c r="R452" s="272"/>
      <c r="S452" s="272"/>
      <c r="T452" s="272"/>
      <c r="U452" s="272"/>
      <c r="V452" s="272"/>
      <c r="W452" s="276">
        <v>0.11990000000000001</v>
      </c>
      <c r="X452" s="272"/>
      <c r="Y452" s="272"/>
      <c r="Z452" s="272"/>
    </row>
    <row r="453" spans="2:26" x14ac:dyDescent="0.45">
      <c r="B453" s="273">
        <v>446</v>
      </c>
      <c r="C453" s="272"/>
      <c r="D453" s="272"/>
      <c r="E453" s="272"/>
      <c r="F453" s="272"/>
      <c r="G453" s="272"/>
      <c r="H453" s="272"/>
      <c r="I453" s="272"/>
      <c r="J453" s="272"/>
      <c r="K453" s="272"/>
      <c r="L453" s="272"/>
      <c r="M453" s="272"/>
      <c r="N453" s="272"/>
      <c r="O453" s="272"/>
      <c r="P453" s="272"/>
      <c r="Q453" s="272"/>
      <c r="R453" s="272"/>
      <c r="S453" s="272"/>
      <c r="T453" s="272"/>
      <c r="U453" s="272"/>
      <c r="V453" s="272"/>
      <c r="W453" s="276">
        <v>0.1179</v>
      </c>
      <c r="X453" s="272"/>
      <c r="Y453" s="272"/>
      <c r="Z453" s="272"/>
    </row>
    <row r="454" spans="2:26" x14ac:dyDescent="0.45">
      <c r="B454" s="273">
        <v>447</v>
      </c>
      <c r="C454" s="272"/>
      <c r="D454" s="272"/>
      <c r="E454" s="272"/>
      <c r="F454" s="272"/>
      <c r="G454" s="272"/>
      <c r="H454" s="272"/>
      <c r="I454" s="272"/>
      <c r="J454" s="272"/>
      <c r="K454" s="272"/>
      <c r="L454" s="272"/>
      <c r="M454" s="272"/>
      <c r="N454" s="272"/>
      <c r="O454" s="272"/>
      <c r="P454" s="272"/>
      <c r="Q454" s="272"/>
      <c r="R454" s="272"/>
      <c r="S454" s="272"/>
      <c r="T454" s="272"/>
      <c r="U454" s="272"/>
      <c r="V454" s="272"/>
      <c r="W454" s="276">
        <v>0.11600000000000001</v>
      </c>
      <c r="X454" s="272"/>
      <c r="Y454" s="272"/>
      <c r="Z454" s="272"/>
    </row>
    <row r="455" spans="2:26" x14ac:dyDescent="0.45">
      <c r="B455" s="273">
        <v>448</v>
      </c>
      <c r="C455" s="272"/>
      <c r="D455" s="272"/>
      <c r="E455" s="272"/>
      <c r="F455" s="272"/>
      <c r="G455" s="272"/>
      <c r="H455" s="272"/>
      <c r="I455" s="272"/>
      <c r="J455" s="272"/>
      <c r="K455" s="272"/>
      <c r="L455" s="272"/>
      <c r="M455" s="272"/>
      <c r="N455" s="272"/>
      <c r="O455" s="272"/>
      <c r="P455" s="272"/>
      <c r="Q455" s="272"/>
      <c r="R455" s="272"/>
      <c r="S455" s="272"/>
      <c r="T455" s="272"/>
      <c r="U455" s="272"/>
      <c r="V455" s="272"/>
      <c r="W455" s="276">
        <v>0.114</v>
      </c>
      <c r="X455" s="272"/>
      <c r="Y455" s="272"/>
      <c r="Z455" s="272"/>
    </row>
    <row r="456" spans="2:26" x14ac:dyDescent="0.45">
      <c r="B456" s="273">
        <v>449</v>
      </c>
      <c r="C456" s="272"/>
      <c r="D456" s="272"/>
      <c r="E456" s="272"/>
      <c r="F456" s="272"/>
      <c r="G456" s="272"/>
      <c r="H456" s="272"/>
      <c r="I456" s="272"/>
      <c r="J456" s="272"/>
      <c r="K456" s="272"/>
      <c r="L456" s="272"/>
      <c r="M456" s="272"/>
      <c r="N456" s="272"/>
      <c r="O456" s="272"/>
      <c r="P456" s="272"/>
      <c r="Q456" s="272"/>
      <c r="R456" s="272"/>
      <c r="S456" s="272"/>
      <c r="T456" s="272"/>
      <c r="U456" s="272"/>
      <c r="V456" s="272"/>
      <c r="W456" s="276">
        <v>0.11210000000000001</v>
      </c>
      <c r="X456" s="272"/>
      <c r="Y456" s="272"/>
      <c r="Z456" s="272"/>
    </row>
    <row r="457" spans="2:26" x14ac:dyDescent="0.45">
      <c r="B457" s="273">
        <v>450</v>
      </c>
      <c r="C457" s="272"/>
      <c r="D457" s="272"/>
      <c r="E457" s="272"/>
      <c r="F457" s="272"/>
      <c r="G457" s="272"/>
      <c r="H457" s="272"/>
      <c r="I457" s="272"/>
      <c r="J457" s="272"/>
      <c r="K457" s="272"/>
      <c r="L457" s="272"/>
      <c r="M457" s="272"/>
      <c r="N457" s="272"/>
      <c r="O457" s="272"/>
      <c r="P457" s="272"/>
      <c r="Q457" s="272"/>
      <c r="R457" s="272"/>
      <c r="S457" s="272"/>
      <c r="T457" s="272"/>
      <c r="U457" s="272"/>
      <c r="V457" s="272"/>
      <c r="W457" s="276">
        <v>0.1101</v>
      </c>
      <c r="X457" s="272"/>
      <c r="Y457" s="272"/>
      <c r="Z457" s="272"/>
    </row>
    <row r="458" spans="2:26" x14ac:dyDescent="0.45">
      <c r="B458" s="273">
        <v>451</v>
      </c>
      <c r="C458" s="272"/>
      <c r="D458" s="272"/>
      <c r="E458" s="272"/>
      <c r="F458" s="272"/>
      <c r="G458" s="272"/>
      <c r="H458" s="272"/>
      <c r="I458" s="272"/>
      <c r="J458" s="272"/>
      <c r="K458" s="272"/>
      <c r="L458" s="272"/>
      <c r="M458" s="272"/>
      <c r="N458" s="272"/>
      <c r="O458" s="272"/>
      <c r="P458" s="272"/>
      <c r="Q458" s="272"/>
      <c r="R458" s="272"/>
      <c r="S458" s="272"/>
      <c r="T458" s="272"/>
      <c r="U458" s="272"/>
      <c r="V458" s="272"/>
      <c r="W458" s="276">
        <v>0.1082</v>
      </c>
      <c r="X458" s="272"/>
      <c r="Y458" s="272"/>
      <c r="Z458" s="272"/>
    </row>
    <row r="459" spans="2:26" x14ac:dyDescent="0.45">
      <c r="B459" s="273">
        <v>452</v>
      </c>
      <c r="C459" s="272"/>
      <c r="D459" s="272"/>
      <c r="E459" s="272"/>
      <c r="F459" s="272"/>
      <c r="G459" s="272"/>
      <c r="H459" s="272"/>
      <c r="I459" s="272"/>
      <c r="J459" s="272"/>
      <c r="K459" s="272"/>
      <c r="L459" s="272"/>
      <c r="M459" s="272"/>
      <c r="N459" s="272"/>
      <c r="O459" s="272"/>
      <c r="P459" s="272"/>
      <c r="Q459" s="272"/>
      <c r="R459" s="272"/>
      <c r="S459" s="272"/>
      <c r="T459" s="272"/>
      <c r="U459" s="272"/>
      <c r="V459" s="272"/>
      <c r="W459" s="276">
        <v>0.1062</v>
      </c>
      <c r="X459" s="272"/>
      <c r="Y459" s="272"/>
      <c r="Z459" s="272"/>
    </row>
    <row r="460" spans="2:26" x14ac:dyDescent="0.45">
      <c r="B460" s="273">
        <v>453</v>
      </c>
      <c r="C460" s="272"/>
      <c r="D460" s="272"/>
      <c r="E460" s="272"/>
      <c r="F460" s="272"/>
      <c r="G460" s="272"/>
      <c r="H460" s="272"/>
      <c r="I460" s="272"/>
      <c r="J460" s="272"/>
      <c r="K460" s="272"/>
      <c r="L460" s="272"/>
      <c r="M460" s="272"/>
      <c r="N460" s="272"/>
      <c r="O460" s="272"/>
      <c r="P460" s="272"/>
      <c r="Q460" s="272"/>
      <c r="R460" s="272"/>
      <c r="S460" s="272"/>
      <c r="T460" s="272"/>
      <c r="U460" s="272"/>
      <c r="V460" s="272"/>
      <c r="W460" s="276">
        <v>0.1043</v>
      </c>
      <c r="X460" s="272"/>
      <c r="Y460" s="272"/>
      <c r="Z460" s="272"/>
    </row>
    <row r="461" spans="2:26" x14ac:dyDescent="0.45">
      <c r="B461" s="273">
        <v>454</v>
      </c>
      <c r="C461" s="272"/>
      <c r="D461" s="272"/>
      <c r="E461" s="272"/>
      <c r="F461" s="272"/>
      <c r="G461" s="272"/>
      <c r="H461" s="272"/>
      <c r="I461" s="272"/>
      <c r="J461" s="272"/>
      <c r="K461" s="272"/>
      <c r="L461" s="272"/>
      <c r="M461" s="272"/>
      <c r="N461" s="272"/>
      <c r="O461" s="272"/>
      <c r="P461" s="272"/>
      <c r="Q461" s="272"/>
      <c r="R461" s="272"/>
      <c r="S461" s="272"/>
      <c r="T461" s="272"/>
      <c r="U461" s="272"/>
      <c r="V461" s="272"/>
      <c r="W461" s="276">
        <v>0.1023</v>
      </c>
      <c r="X461" s="272"/>
      <c r="Y461" s="272"/>
      <c r="Z461" s="272"/>
    </row>
    <row r="462" spans="2:26" x14ac:dyDescent="0.45">
      <c r="B462" s="273">
        <v>455</v>
      </c>
      <c r="C462" s="272"/>
      <c r="D462" s="272"/>
      <c r="E462" s="272"/>
      <c r="F462" s="272"/>
      <c r="G462" s="272"/>
      <c r="H462" s="272"/>
      <c r="I462" s="272"/>
      <c r="J462" s="272"/>
      <c r="K462" s="272"/>
      <c r="L462" s="272"/>
      <c r="M462" s="272"/>
      <c r="N462" s="272"/>
      <c r="O462" s="272"/>
      <c r="P462" s="272"/>
      <c r="Q462" s="272"/>
      <c r="R462" s="272"/>
      <c r="S462" s="272"/>
      <c r="T462" s="272"/>
      <c r="U462" s="272"/>
      <c r="V462" s="272"/>
      <c r="W462" s="276">
        <v>0.1004</v>
      </c>
      <c r="X462" s="272"/>
      <c r="Y462" s="272"/>
      <c r="Z462" s="272"/>
    </row>
    <row r="463" spans="2:26" x14ac:dyDescent="0.45">
      <c r="B463" s="273">
        <v>456</v>
      </c>
      <c r="C463" s="272"/>
      <c r="D463" s="272"/>
      <c r="E463" s="272"/>
      <c r="F463" s="272"/>
      <c r="G463" s="272"/>
      <c r="H463" s="272"/>
      <c r="I463" s="272"/>
      <c r="J463" s="272"/>
      <c r="K463" s="272"/>
      <c r="L463" s="272"/>
      <c r="M463" s="272"/>
      <c r="N463" s="272"/>
      <c r="O463" s="272"/>
      <c r="P463" s="272"/>
      <c r="Q463" s="272"/>
      <c r="R463" s="272"/>
      <c r="S463" s="272"/>
      <c r="T463" s="272"/>
      <c r="U463" s="272"/>
      <c r="V463" s="272"/>
      <c r="W463" s="276">
        <v>9.8460000000000006E-2</v>
      </c>
      <c r="X463" s="272"/>
      <c r="Y463" s="272"/>
      <c r="Z463" s="272"/>
    </row>
    <row r="464" spans="2:26" x14ac:dyDescent="0.45">
      <c r="B464" s="273">
        <v>457</v>
      </c>
      <c r="C464" s="272"/>
      <c r="D464" s="272"/>
      <c r="E464" s="272"/>
      <c r="F464" s="272"/>
      <c r="G464" s="272"/>
      <c r="H464" s="272"/>
      <c r="I464" s="272"/>
      <c r="J464" s="272"/>
      <c r="K464" s="272"/>
      <c r="L464" s="272"/>
      <c r="M464" s="272"/>
      <c r="N464" s="272"/>
      <c r="O464" s="272"/>
      <c r="P464" s="272"/>
      <c r="Q464" s="272"/>
      <c r="R464" s="272"/>
      <c r="S464" s="272"/>
      <c r="T464" s="272"/>
      <c r="U464" s="272"/>
      <c r="V464" s="272"/>
      <c r="W464" s="276">
        <v>9.6509999999999999E-2</v>
      </c>
      <c r="X464" s="272"/>
      <c r="Y464" s="272"/>
      <c r="Z464" s="272"/>
    </row>
    <row r="465" spans="2:26" x14ac:dyDescent="0.45">
      <c r="B465" s="273">
        <v>458</v>
      </c>
      <c r="C465" s="272"/>
      <c r="D465" s="272"/>
      <c r="E465" s="272"/>
      <c r="F465" s="272"/>
      <c r="G465" s="272"/>
      <c r="H465" s="272"/>
      <c r="I465" s="272"/>
      <c r="J465" s="272"/>
      <c r="K465" s="272"/>
      <c r="L465" s="272"/>
      <c r="M465" s="272"/>
      <c r="N465" s="272"/>
      <c r="O465" s="272"/>
      <c r="P465" s="272"/>
      <c r="Q465" s="272"/>
      <c r="R465" s="272"/>
      <c r="S465" s="272"/>
      <c r="T465" s="272"/>
      <c r="U465" s="272"/>
      <c r="V465" s="272"/>
      <c r="W465" s="276">
        <v>9.4570000000000001E-2</v>
      </c>
      <c r="X465" s="272"/>
      <c r="Y465" s="272"/>
      <c r="Z465" s="272"/>
    </row>
    <row r="466" spans="2:26" x14ac:dyDescent="0.45">
      <c r="B466" s="273">
        <v>459</v>
      </c>
      <c r="C466" s="272"/>
      <c r="D466" s="272"/>
      <c r="E466" s="272"/>
      <c r="F466" s="272"/>
      <c r="G466" s="272"/>
      <c r="H466" s="272"/>
      <c r="I466" s="272"/>
      <c r="J466" s="272"/>
      <c r="K466" s="272"/>
      <c r="L466" s="272"/>
      <c r="M466" s="272"/>
      <c r="N466" s="272"/>
      <c r="O466" s="272"/>
      <c r="P466" s="272"/>
      <c r="Q466" s="272"/>
      <c r="R466" s="272"/>
      <c r="S466" s="272"/>
      <c r="T466" s="272"/>
      <c r="U466" s="272"/>
      <c r="V466" s="272"/>
      <c r="W466" s="276">
        <v>9.2469999999999997E-2</v>
      </c>
      <c r="X466" s="272"/>
      <c r="Y466" s="272"/>
      <c r="Z466" s="272"/>
    </row>
    <row r="467" spans="2:26" x14ac:dyDescent="0.45">
      <c r="B467" s="273">
        <v>460</v>
      </c>
      <c r="C467" s="272"/>
      <c r="D467" s="272"/>
      <c r="E467" s="272"/>
      <c r="F467" s="272"/>
      <c r="G467" s="272"/>
      <c r="H467" s="272"/>
      <c r="I467" s="272"/>
      <c r="J467" s="272"/>
      <c r="K467" s="272"/>
      <c r="L467" s="272"/>
      <c r="M467" s="272"/>
      <c r="N467" s="272"/>
      <c r="O467" s="272"/>
      <c r="P467" s="272"/>
      <c r="Q467" s="272"/>
      <c r="R467" s="272"/>
      <c r="S467" s="272"/>
      <c r="T467" s="272"/>
      <c r="U467" s="272"/>
      <c r="V467" s="272"/>
      <c r="W467" s="276">
        <v>9.0529999999999999E-2</v>
      </c>
      <c r="X467" s="272"/>
      <c r="Y467" s="272"/>
      <c r="Z467" s="272"/>
    </row>
    <row r="468" spans="2:26" x14ac:dyDescent="0.45">
      <c r="B468" s="273">
        <v>461</v>
      </c>
      <c r="C468" s="272"/>
      <c r="D468" s="272"/>
      <c r="E468" s="272"/>
      <c r="F468" s="272"/>
      <c r="G468" s="272"/>
      <c r="H468" s="272"/>
      <c r="I468" s="272"/>
      <c r="J468" s="272"/>
      <c r="K468" s="272"/>
      <c r="L468" s="272"/>
      <c r="M468" s="272"/>
      <c r="N468" s="272"/>
      <c r="O468" s="272"/>
      <c r="P468" s="272"/>
      <c r="Q468" s="272"/>
      <c r="R468" s="272"/>
      <c r="S468" s="272"/>
      <c r="T468" s="272"/>
      <c r="U468" s="272"/>
      <c r="V468" s="272"/>
      <c r="W468" s="276">
        <v>8.8579999999999992E-2</v>
      </c>
      <c r="X468" s="272"/>
      <c r="Y468" s="272"/>
      <c r="Z468" s="272"/>
    </row>
    <row r="469" spans="2:26" x14ac:dyDescent="0.45">
      <c r="B469" s="273">
        <v>462</v>
      </c>
      <c r="C469" s="272"/>
      <c r="D469" s="272"/>
      <c r="E469" s="272"/>
      <c r="F469" s="272"/>
      <c r="G469" s="272"/>
      <c r="H469" s="272"/>
      <c r="I469" s="272"/>
      <c r="J469" s="272"/>
      <c r="K469" s="272"/>
      <c r="L469" s="272"/>
      <c r="M469" s="272"/>
      <c r="N469" s="272"/>
      <c r="O469" s="272"/>
      <c r="P469" s="272"/>
      <c r="Q469" s="272"/>
      <c r="R469" s="272"/>
      <c r="S469" s="272"/>
      <c r="T469" s="272"/>
      <c r="U469" s="272"/>
      <c r="V469" s="272"/>
      <c r="W469" s="276">
        <v>8.6639999999999995E-2</v>
      </c>
      <c r="X469" s="272"/>
      <c r="Y469" s="272"/>
      <c r="Z469" s="272"/>
    </row>
    <row r="470" spans="2:26" x14ac:dyDescent="0.45">
      <c r="B470" s="273">
        <v>463</v>
      </c>
      <c r="C470" s="272"/>
      <c r="D470" s="272"/>
      <c r="E470" s="272"/>
      <c r="F470" s="272"/>
      <c r="G470" s="272"/>
      <c r="H470" s="272"/>
      <c r="I470" s="272"/>
      <c r="J470" s="272"/>
      <c r="K470" s="272"/>
      <c r="L470" s="272"/>
      <c r="M470" s="272"/>
      <c r="N470" s="272"/>
      <c r="O470" s="272"/>
      <c r="P470" s="272"/>
      <c r="Q470" s="272"/>
      <c r="R470" s="272"/>
      <c r="S470" s="272"/>
      <c r="T470" s="272"/>
      <c r="U470" s="272"/>
      <c r="V470" s="272"/>
      <c r="W470" s="276">
        <v>8.4690000000000001E-2</v>
      </c>
      <c r="X470" s="272"/>
      <c r="Y470" s="272"/>
      <c r="Z470" s="272"/>
    </row>
    <row r="471" spans="2:26" x14ac:dyDescent="0.45">
      <c r="B471" s="273">
        <v>464</v>
      </c>
      <c r="C471" s="272"/>
      <c r="D471" s="272"/>
      <c r="E471" s="272"/>
      <c r="F471" s="272"/>
      <c r="G471" s="272"/>
      <c r="H471" s="272"/>
      <c r="I471" s="272"/>
      <c r="J471" s="272"/>
      <c r="K471" s="272"/>
      <c r="L471" s="272"/>
      <c r="M471" s="272"/>
      <c r="N471" s="272"/>
      <c r="O471" s="272"/>
      <c r="P471" s="272"/>
      <c r="Q471" s="272"/>
      <c r="R471" s="272"/>
      <c r="S471" s="272"/>
      <c r="T471" s="272"/>
      <c r="U471" s="272"/>
      <c r="V471" s="272"/>
      <c r="W471" s="276">
        <v>8.2750000000000004E-2</v>
      </c>
      <c r="X471" s="272"/>
      <c r="Y471" s="272"/>
      <c r="Z471" s="272"/>
    </row>
    <row r="472" spans="2:26" x14ac:dyDescent="0.45">
      <c r="B472" s="273">
        <v>465</v>
      </c>
      <c r="C472" s="272"/>
      <c r="D472" s="272"/>
      <c r="E472" s="272"/>
      <c r="F472" s="272"/>
      <c r="G472" s="272"/>
      <c r="H472" s="272"/>
      <c r="I472" s="272"/>
      <c r="J472" s="272"/>
      <c r="K472" s="272"/>
      <c r="L472" s="272"/>
      <c r="M472" s="272"/>
      <c r="N472" s="272"/>
      <c r="O472" s="272"/>
      <c r="P472" s="272"/>
      <c r="Q472" s="272"/>
      <c r="R472" s="272"/>
      <c r="S472" s="272"/>
      <c r="T472" s="272"/>
      <c r="U472" s="272"/>
      <c r="V472" s="272"/>
      <c r="W472" s="276">
        <v>8.0799999999999997E-2</v>
      </c>
      <c r="X472" s="272"/>
      <c r="Y472" s="272"/>
      <c r="Z472" s="272"/>
    </row>
    <row r="473" spans="2:26" x14ac:dyDescent="0.45">
      <c r="B473" s="273">
        <v>466</v>
      </c>
      <c r="C473" s="272"/>
      <c r="D473" s="272"/>
      <c r="E473" s="272"/>
      <c r="F473" s="272"/>
      <c r="G473" s="272"/>
      <c r="H473" s="272"/>
      <c r="I473" s="272"/>
      <c r="J473" s="272"/>
      <c r="K473" s="272"/>
      <c r="L473" s="272"/>
      <c r="M473" s="272"/>
      <c r="N473" s="272"/>
      <c r="O473" s="272"/>
      <c r="P473" s="272"/>
      <c r="Q473" s="272"/>
      <c r="R473" s="272"/>
      <c r="S473" s="272"/>
      <c r="T473" s="272"/>
      <c r="U473" s="272"/>
      <c r="V473" s="272"/>
      <c r="W473" s="276">
        <v>7.886E-2</v>
      </c>
      <c r="X473" s="272"/>
      <c r="Y473" s="272"/>
      <c r="Z473" s="272"/>
    </row>
    <row r="474" spans="2:26" x14ac:dyDescent="0.45">
      <c r="B474" s="273">
        <v>467</v>
      </c>
      <c r="C474" s="272"/>
      <c r="D474" s="272"/>
      <c r="E474" s="272"/>
      <c r="F474" s="272"/>
      <c r="G474" s="272"/>
      <c r="H474" s="272"/>
      <c r="I474" s="272"/>
      <c r="J474" s="272"/>
      <c r="K474" s="272"/>
      <c r="L474" s="272"/>
      <c r="M474" s="272"/>
      <c r="N474" s="272"/>
      <c r="O474" s="272"/>
      <c r="P474" s="272"/>
      <c r="Q474" s="272"/>
      <c r="R474" s="272"/>
      <c r="S474" s="272"/>
      <c r="T474" s="272"/>
      <c r="U474" s="272"/>
      <c r="V474" s="272"/>
      <c r="W474" s="276">
        <v>7.6909999999999992E-2</v>
      </c>
      <c r="X474" s="272"/>
      <c r="Y474" s="272"/>
      <c r="Z474" s="272"/>
    </row>
    <row r="475" spans="2:26" x14ac:dyDescent="0.45">
      <c r="B475" s="273">
        <v>468</v>
      </c>
      <c r="C475" s="272"/>
      <c r="D475" s="272"/>
      <c r="E475" s="272"/>
      <c r="F475" s="272"/>
      <c r="G475" s="272"/>
      <c r="H475" s="272"/>
      <c r="I475" s="272"/>
      <c r="J475" s="272"/>
      <c r="K475" s="272"/>
      <c r="L475" s="272"/>
      <c r="M475" s="272"/>
      <c r="N475" s="272"/>
      <c r="O475" s="272"/>
      <c r="P475" s="272"/>
      <c r="Q475" s="272"/>
      <c r="R475" s="272"/>
      <c r="S475" s="272"/>
      <c r="T475" s="272"/>
      <c r="U475" s="272"/>
      <c r="V475" s="272"/>
      <c r="W475" s="276">
        <v>7.4969999999999995E-2</v>
      </c>
      <c r="X475" s="272"/>
      <c r="Y475" s="272"/>
      <c r="Z475" s="272"/>
    </row>
    <row r="476" spans="2:26" x14ac:dyDescent="0.45">
      <c r="B476" s="273">
        <v>469</v>
      </c>
      <c r="C476" s="272"/>
      <c r="D476" s="272"/>
      <c r="E476" s="272"/>
      <c r="F476" s="272"/>
      <c r="G476" s="272"/>
      <c r="H476" s="272"/>
      <c r="I476" s="272"/>
      <c r="J476" s="272"/>
      <c r="K476" s="272"/>
      <c r="L476" s="272"/>
      <c r="M476" s="272"/>
      <c r="N476" s="272"/>
      <c r="O476" s="272"/>
      <c r="P476" s="272"/>
      <c r="Q476" s="272"/>
      <c r="R476" s="272"/>
      <c r="S476" s="272"/>
      <c r="T476" s="272"/>
      <c r="U476" s="272"/>
      <c r="V476" s="272"/>
      <c r="W476" s="276">
        <v>7.3029999999999998E-2</v>
      </c>
      <c r="X476" s="272"/>
      <c r="Y476" s="272"/>
      <c r="Z476" s="272"/>
    </row>
    <row r="477" spans="2:26" x14ac:dyDescent="0.45">
      <c r="B477" s="273">
        <v>470</v>
      </c>
      <c r="C477" s="272"/>
      <c r="D477" s="272"/>
      <c r="E477" s="272"/>
      <c r="F477" s="272"/>
      <c r="G477" s="272"/>
      <c r="H477" s="272"/>
      <c r="I477" s="272"/>
      <c r="J477" s="272"/>
      <c r="K477" s="272"/>
      <c r="L477" s="272"/>
      <c r="M477" s="272"/>
      <c r="N477" s="272"/>
      <c r="O477" s="272"/>
      <c r="P477" s="272"/>
      <c r="Q477" s="272"/>
      <c r="R477" s="272"/>
      <c r="S477" s="272"/>
      <c r="T477" s="272"/>
      <c r="U477" s="272"/>
      <c r="V477" s="272"/>
      <c r="W477" s="276">
        <v>7.1080000000000004E-2</v>
      </c>
      <c r="X477" s="272"/>
      <c r="Y477" s="272"/>
      <c r="Z477" s="272"/>
    </row>
    <row r="478" spans="2:26" x14ac:dyDescent="0.45">
      <c r="B478" s="273">
        <v>471</v>
      </c>
      <c r="C478" s="272"/>
      <c r="D478" s="272"/>
      <c r="E478" s="272"/>
      <c r="F478" s="272"/>
      <c r="G478" s="272"/>
      <c r="H478" s="272"/>
      <c r="I478" s="272"/>
      <c r="J478" s="272"/>
      <c r="K478" s="272"/>
      <c r="L478" s="272"/>
      <c r="M478" s="272"/>
      <c r="N478" s="272"/>
      <c r="O478" s="272"/>
      <c r="P478" s="272"/>
      <c r="Q478" s="272"/>
      <c r="R478" s="272"/>
      <c r="S478" s="272"/>
      <c r="T478" s="272"/>
      <c r="U478" s="272"/>
      <c r="V478" s="272"/>
      <c r="W478" s="276">
        <v>6.9140000000000007E-2</v>
      </c>
      <c r="X478" s="272"/>
      <c r="Y478" s="272"/>
      <c r="Z478" s="272"/>
    </row>
    <row r="479" spans="2:26" x14ac:dyDescent="0.45">
      <c r="B479" s="273">
        <v>472</v>
      </c>
      <c r="C479" s="272"/>
      <c r="D479" s="272"/>
      <c r="E479" s="272"/>
      <c r="F479" s="272"/>
      <c r="G479" s="272"/>
      <c r="H479" s="272"/>
      <c r="I479" s="272"/>
      <c r="J479" s="272"/>
      <c r="K479" s="272"/>
      <c r="L479" s="272"/>
      <c r="M479" s="272"/>
      <c r="N479" s="272"/>
      <c r="O479" s="272"/>
      <c r="P479" s="272"/>
      <c r="Q479" s="272"/>
      <c r="R479" s="272"/>
      <c r="S479" s="272"/>
      <c r="T479" s="272"/>
      <c r="U479" s="272"/>
      <c r="V479" s="272"/>
      <c r="W479" s="276">
        <v>6.719E-2</v>
      </c>
      <c r="X479" s="272"/>
      <c r="Y479" s="272"/>
      <c r="Z479" s="272"/>
    </row>
    <row r="480" spans="2:26" x14ac:dyDescent="0.45">
      <c r="B480" s="273">
        <v>473</v>
      </c>
      <c r="C480" s="272"/>
      <c r="D480" s="272"/>
      <c r="E480" s="272"/>
      <c r="F480" s="272"/>
      <c r="G480" s="272"/>
      <c r="H480" s="272"/>
      <c r="I480" s="272"/>
      <c r="J480" s="272"/>
      <c r="K480" s="272"/>
      <c r="L480" s="272"/>
      <c r="M480" s="272"/>
      <c r="N480" s="272"/>
      <c r="O480" s="272"/>
      <c r="P480" s="272"/>
      <c r="Q480" s="272"/>
      <c r="R480" s="272"/>
      <c r="S480" s="272"/>
      <c r="T480" s="272"/>
      <c r="U480" s="272"/>
      <c r="V480" s="272"/>
      <c r="W480" s="276">
        <v>6.5250000000000002E-2</v>
      </c>
      <c r="X480" s="272"/>
      <c r="Y480" s="272"/>
      <c r="Z480" s="272"/>
    </row>
    <row r="481" spans="2:26" x14ac:dyDescent="0.45">
      <c r="B481" s="273">
        <v>474</v>
      </c>
      <c r="C481" s="272"/>
      <c r="D481" s="272"/>
      <c r="E481" s="272"/>
      <c r="F481" s="272"/>
      <c r="G481" s="272"/>
      <c r="H481" s="272"/>
      <c r="I481" s="272"/>
      <c r="J481" s="272"/>
      <c r="K481" s="272"/>
      <c r="L481" s="272"/>
      <c r="M481" s="272"/>
      <c r="N481" s="272"/>
      <c r="O481" s="272"/>
      <c r="P481" s="272"/>
      <c r="Q481" s="272"/>
      <c r="R481" s="272"/>
      <c r="S481" s="272"/>
      <c r="T481" s="272"/>
      <c r="U481" s="272"/>
      <c r="V481" s="272"/>
      <c r="W481" s="276">
        <v>6.3299999999999995E-2</v>
      </c>
      <c r="X481" s="272"/>
      <c r="Y481" s="272"/>
      <c r="Z481" s="272"/>
    </row>
    <row r="482" spans="2:26" x14ac:dyDescent="0.45">
      <c r="B482" s="273">
        <v>475</v>
      </c>
      <c r="C482" s="272"/>
      <c r="D482" s="272"/>
      <c r="E482" s="272"/>
      <c r="F482" s="272"/>
      <c r="G482" s="272"/>
      <c r="H482" s="272"/>
      <c r="I482" s="272"/>
      <c r="J482" s="272"/>
      <c r="K482" s="272"/>
      <c r="L482" s="272"/>
      <c r="M482" s="272"/>
      <c r="N482" s="272"/>
      <c r="O482" s="272"/>
      <c r="P482" s="272"/>
      <c r="Q482" s="272"/>
      <c r="R482" s="272"/>
      <c r="S482" s="272"/>
      <c r="T482" s="272"/>
      <c r="U482" s="272"/>
      <c r="V482" s="272"/>
      <c r="W482" s="276">
        <v>6.1210000000000007E-2</v>
      </c>
      <c r="X482" s="272"/>
      <c r="Y482" s="272"/>
      <c r="Z482" s="272"/>
    </row>
    <row r="483" spans="2:26" x14ac:dyDescent="0.45">
      <c r="B483" s="273">
        <v>476</v>
      </c>
      <c r="C483" s="272"/>
      <c r="D483" s="272"/>
      <c r="E483" s="272"/>
      <c r="F483" s="272"/>
      <c r="G483" s="272"/>
      <c r="H483" s="272"/>
      <c r="I483" s="272"/>
      <c r="J483" s="272"/>
      <c r="K483" s="272"/>
      <c r="L483" s="272"/>
      <c r="M483" s="272"/>
      <c r="N483" s="272"/>
      <c r="O483" s="272"/>
      <c r="P483" s="272"/>
      <c r="Q483" s="272"/>
      <c r="R483" s="272"/>
      <c r="S483" s="272"/>
      <c r="T483" s="272"/>
      <c r="U483" s="272"/>
      <c r="V483" s="272"/>
      <c r="W483" s="276">
        <v>5.926E-2</v>
      </c>
      <c r="X483" s="272"/>
      <c r="Y483" s="272"/>
      <c r="Z483" s="272"/>
    </row>
    <row r="484" spans="2:26" x14ac:dyDescent="0.45">
      <c r="B484" s="273">
        <v>477</v>
      </c>
      <c r="C484" s="272"/>
      <c r="D484" s="272"/>
      <c r="E484" s="272"/>
      <c r="F484" s="272"/>
      <c r="G484" s="272"/>
      <c r="H484" s="272"/>
      <c r="I484" s="272"/>
      <c r="J484" s="272"/>
      <c r="K484" s="272"/>
      <c r="L484" s="272"/>
      <c r="M484" s="272"/>
      <c r="N484" s="272"/>
      <c r="O484" s="272"/>
      <c r="P484" s="272"/>
      <c r="Q484" s="272"/>
      <c r="R484" s="272"/>
      <c r="S484" s="272"/>
      <c r="T484" s="272"/>
      <c r="U484" s="272"/>
      <c r="V484" s="272"/>
      <c r="W484" s="276">
        <v>5.7320000000000003E-2</v>
      </c>
      <c r="X484" s="272"/>
      <c r="Y484" s="272"/>
      <c r="Z484" s="272"/>
    </row>
    <row r="485" spans="2:26" x14ac:dyDescent="0.45">
      <c r="B485" s="273">
        <v>478</v>
      </c>
      <c r="C485" s="272"/>
      <c r="D485" s="272"/>
      <c r="E485" s="272"/>
      <c r="F485" s="272"/>
      <c r="G485" s="272"/>
      <c r="H485" s="272"/>
      <c r="I485" s="272"/>
      <c r="J485" s="272"/>
      <c r="K485" s="272"/>
      <c r="L485" s="272"/>
      <c r="M485" s="272"/>
      <c r="N485" s="272"/>
      <c r="O485" s="272"/>
      <c r="P485" s="272"/>
      <c r="Q485" s="272"/>
      <c r="R485" s="272"/>
      <c r="S485" s="272"/>
      <c r="T485" s="272"/>
      <c r="U485" s="272"/>
      <c r="V485" s="272"/>
      <c r="W485" s="276">
        <v>5.5370000000000003E-2</v>
      </c>
      <c r="X485" s="272"/>
      <c r="Y485" s="272"/>
      <c r="Z485" s="272"/>
    </row>
    <row r="486" spans="2:26" x14ac:dyDescent="0.45">
      <c r="B486" s="273">
        <v>479</v>
      </c>
      <c r="C486" s="272"/>
      <c r="D486" s="272"/>
      <c r="E486" s="272"/>
      <c r="F486" s="272"/>
      <c r="G486" s="272"/>
      <c r="H486" s="272"/>
      <c r="I486" s="272"/>
      <c r="J486" s="272"/>
      <c r="K486" s="272"/>
      <c r="L486" s="272"/>
      <c r="M486" s="272"/>
      <c r="N486" s="272"/>
      <c r="O486" s="272"/>
      <c r="P486" s="272"/>
      <c r="Q486" s="272"/>
      <c r="R486" s="272"/>
      <c r="S486" s="272"/>
      <c r="T486" s="272"/>
      <c r="U486" s="272"/>
      <c r="V486" s="272"/>
      <c r="W486" s="276">
        <v>5.3429999999999998E-2</v>
      </c>
      <c r="X486" s="272"/>
      <c r="Y486" s="272"/>
      <c r="Z486" s="272"/>
    </row>
    <row r="487" spans="2:26" x14ac:dyDescent="0.45">
      <c r="B487" s="273">
        <v>480</v>
      </c>
      <c r="C487" s="272"/>
      <c r="D487" s="272"/>
      <c r="E487" s="272"/>
      <c r="F487" s="272"/>
      <c r="G487" s="272"/>
      <c r="H487" s="272"/>
      <c r="I487" s="272"/>
      <c r="J487" s="272"/>
      <c r="K487" s="272"/>
      <c r="L487" s="272"/>
      <c r="M487" s="272"/>
      <c r="N487" s="272"/>
      <c r="O487" s="272"/>
      <c r="P487" s="272"/>
      <c r="Q487" s="272"/>
      <c r="R487" s="272"/>
      <c r="S487" s="272"/>
      <c r="T487" s="272"/>
      <c r="U487" s="272"/>
      <c r="V487" s="272"/>
      <c r="W487" s="276">
        <v>5.1480000000000005E-2</v>
      </c>
      <c r="X487" s="272"/>
      <c r="Y487" s="272"/>
      <c r="Z487" s="272"/>
    </row>
    <row r="488" spans="2:26" x14ac:dyDescent="0.45">
      <c r="B488" s="273">
        <v>481</v>
      </c>
      <c r="C488" s="272"/>
      <c r="D488" s="272"/>
      <c r="E488" s="272"/>
      <c r="F488" s="272"/>
      <c r="G488" s="272"/>
      <c r="H488" s="272"/>
      <c r="I488" s="272"/>
      <c r="J488" s="272"/>
      <c r="K488" s="272"/>
      <c r="L488" s="272"/>
      <c r="M488" s="272"/>
      <c r="N488" s="272"/>
      <c r="O488" s="272"/>
      <c r="P488" s="272"/>
      <c r="Q488" s="272"/>
      <c r="R488" s="272"/>
      <c r="S488" s="272"/>
      <c r="T488" s="272"/>
      <c r="U488" s="272"/>
      <c r="V488" s="272"/>
      <c r="W488" s="276">
        <v>4.9539999999999994E-2</v>
      </c>
      <c r="X488" s="272"/>
      <c r="Y488" s="272"/>
      <c r="Z488" s="272"/>
    </row>
    <row r="489" spans="2:26" x14ac:dyDescent="0.45">
      <c r="B489" s="273">
        <v>482</v>
      </c>
      <c r="C489" s="272"/>
      <c r="D489" s="272"/>
      <c r="E489" s="272"/>
      <c r="F489" s="272"/>
      <c r="G489" s="272"/>
      <c r="H489" s="272"/>
      <c r="I489" s="272"/>
      <c r="J489" s="272"/>
      <c r="K489" s="272"/>
      <c r="L489" s="272"/>
      <c r="M489" s="272"/>
      <c r="N489" s="272"/>
      <c r="O489" s="272"/>
      <c r="P489" s="272"/>
      <c r="Q489" s="272"/>
      <c r="R489" s="272"/>
      <c r="S489" s="272"/>
      <c r="T489" s="272"/>
      <c r="U489" s="272"/>
      <c r="V489" s="272"/>
      <c r="W489" s="276">
        <v>4.7599999999999996E-2</v>
      </c>
      <c r="X489" s="272"/>
      <c r="Y489" s="272"/>
      <c r="Z489" s="272"/>
    </row>
    <row r="490" spans="2:26" x14ac:dyDescent="0.45">
      <c r="B490" s="273">
        <v>483</v>
      </c>
      <c r="C490" s="272"/>
      <c r="D490" s="272"/>
      <c r="E490" s="272"/>
      <c r="F490" s="272"/>
      <c r="G490" s="272"/>
      <c r="H490" s="272"/>
      <c r="I490" s="272"/>
      <c r="J490" s="272"/>
      <c r="K490" s="272"/>
      <c r="L490" s="272"/>
      <c r="M490" s="272"/>
      <c r="N490" s="272"/>
      <c r="O490" s="272"/>
      <c r="P490" s="272"/>
      <c r="Q490" s="272"/>
      <c r="R490" s="272"/>
      <c r="S490" s="272"/>
      <c r="T490" s="272"/>
      <c r="U490" s="272"/>
      <c r="V490" s="272"/>
      <c r="W490" s="276">
        <v>4.5649999999999996E-2</v>
      </c>
      <c r="X490" s="272"/>
      <c r="Y490" s="272"/>
      <c r="Z490" s="272"/>
    </row>
    <row r="491" spans="2:26" x14ac:dyDescent="0.45">
      <c r="B491" s="273">
        <v>484</v>
      </c>
      <c r="C491" s="272"/>
      <c r="D491" s="272"/>
      <c r="E491" s="272"/>
      <c r="F491" s="272"/>
      <c r="G491" s="272"/>
      <c r="H491" s="272"/>
      <c r="I491" s="272"/>
      <c r="J491" s="272"/>
      <c r="K491" s="272"/>
      <c r="L491" s="272"/>
      <c r="M491" s="272"/>
      <c r="N491" s="272"/>
      <c r="O491" s="272"/>
      <c r="P491" s="272"/>
      <c r="Q491" s="272"/>
      <c r="R491" s="272"/>
      <c r="S491" s="272"/>
      <c r="T491" s="272"/>
      <c r="U491" s="272"/>
      <c r="V491" s="272"/>
      <c r="W491" s="276">
        <v>4.3709999999999999E-2</v>
      </c>
      <c r="X491" s="272"/>
      <c r="Y491" s="272"/>
      <c r="Z491" s="272"/>
    </row>
    <row r="492" spans="2:26" x14ac:dyDescent="0.45">
      <c r="B492" s="273">
        <v>485</v>
      </c>
      <c r="C492" s="272"/>
      <c r="D492" s="272"/>
      <c r="E492" s="272"/>
      <c r="F492" s="272"/>
      <c r="G492" s="272"/>
      <c r="H492" s="272"/>
      <c r="I492" s="272"/>
      <c r="J492" s="272"/>
      <c r="K492" s="272"/>
      <c r="L492" s="272"/>
      <c r="M492" s="272"/>
      <c r="N492" s="272"/>
      <c r="O492" s="272"/>
      <c r="P492" s="272"/>
      <c r="Q492" s="272"/>
      <c r="R492" s="272"/>
      <c r="S492" s="272"/>
      <c r="T492" s="272"/>
      <c r="U492" s="272"/>
      <c r="V492" s="272"/>
      <c r="W492" s="276">
        <v>4.1770000000000002E-2</v>
      </c>
      <c r="X492" s="272"/>
      <c r="Y492" s="272"/>
      <c r="Z492" s="272"/>
    </row>
    <row r="493" spans="2:26" x14ac:dyDescent="0.45">
      <c r="B493" s="273">
        <v>486</v>
      </c>
      <c r="C493" s="272"/>
      <c r="D493" s="272"/>
      <c r="E493" s="272"/>
      <c r="F493" s="272"/>
      <c r="G493" s="272"/>
      <c r="H493" s="272"/>
      <c r="I493" s="272"/>
      <c r="J493" s="272"/>
      <c r="K493" s="272"/>
      <c r="L493" s="272"/>
      <c r="M493" s="272"/>
      <c r="N493" s="272"/>
      <c r="O493" s="272"/>
      <c r="P493" s="272"/>
      <c r="Q493" s="272"/>
      <c r="R493" s="272"/>
      <c r="S493" s="272"/>
      <c r="T493" s="272"/>
      <c r="U493" s="272"/>
      <c r="V493" s="272"/>
      <c r="W493" s="276">
        <v>3.9820000000000001E-2</v>
      </c>
      <c r="X493" s="272"/>
      <c r="Y493" s="272"/>
      <c r="Z493" s="272"/>
    </row>
    <row r="494" spans="2:26" x14ac:dyDescent="0.45">
      <c r="B494" s="273">
        <v>487</v>
      </c>
      <c r="C494" s="272"/>
      <c r="D494" s="272"/>
      <c r="E494" s="272"/>
      <c r="F494" s="272"/>
      <c r="G494" s="272"/>
      <c r="H494" s="272"/>
      <c r="I494" s="272"/>
      <c r="J494" s="272"/>
      <c r="K494" s="272"/>
      <c r="L494" s="272"/>
      <c r="M494" s="272"/>
      <c r="N494" s="272"/>
      <c r="O494" s="272"/>
      <c r="P494" s="272"/>
      <c r="Q494" s="272"/>
      <c r="R494" s="272"/>
      <c r="S494" s="272"/>
      <c r="T494" s="272"/>
      <c r="U494" s="272"/>
      <c r="V494" s="272"/>
      <c r="W494" s="276">
        <v>3.7880000000000004E-2</v>
      </c>
      <c r="X494" s="272"/>
      <c r="Y494" s="272"/>
      <c r="Z494" s="272"/>
    </row>
    <row r="495" spans="2:26" x14ac:dyDescent="0.45">
      <c r="B495" s="273">
        <v>488</v>
      </c>
      <c r="C495" s="272"/>
      <c r="D495" s="272"/>
      <c r="E495" s="272"/>
      <c r="F495" s="272"/>
      <c r="G495" s="272"/>
      <c r="H495" s="272"/>
      <c r="I495" s="272"/>
      <c r="J495" s="272"/>
      <c r="K495" s="272"/>
      <c r="L495" s="272"/>
      <c r="M495" s="272"/>
      <c r="N495" s="272"/>
      <c r="O495" s="272"/>
      <c r="P495" s="272"/>
      <c r="Q495" s="272"/>
      <c r="R495" s="272"/>
      <c r="S495" s="272"/>
      <c r="T495" s="272"/>
      <c r="U495" s="272"/>
      <c r="V495" s="272"/>
      <c r="W495" s="276">
        <v>3.5930000000000004E-2</v>
      </c>
      <c r="X495" s="272"/>
      <c r="Y495" s="272"/>
      <c r="Z495" s="272"/>
    </row>
    <row r="496" spans="2:26" x14ac:dyDescent="0.45">
      <c r="B496" s="273">
        <v>489</v>
      </c>
      <c r="C496" s="272"/>
      <c r="D496" s="272"/>
      <c r="E496" s="272"/>
      <c r="F496" s="272"/>
      <c r="G496" s="272"/>
      <c r="H496" s="272"/>
      <c r="I496" s="272"/>
      <c r="J496" s="272"/>
      <c r="K496" s="272"/>
      <c r="L496" s="272"/>
      <c r="M496" s="272"/>
      <c r="N496" s="272"/>
      <c r="O496" s="272"/>
      <c r="P496" s="272"/>
      <c r="Q496" s="272"/>
      <c r="R496" s="272"/>
      <c r="S496" s="272"/>
      <c r="T496" s="272"/>
      <c r="U496" s="272"/>
      <c r="V496" s="272"/>
      <c r="W496" s="276">
        <v>3.3989999999999999E-2</v>
      </c>
      <c r="X496" s="272"/>
      <c r="Y496" s="272"/>
      <c r="Z496" s="272"/>
    </row>
    <row r="497" spans="2:26" x14ac:dyDescent="0.45">
      <c r="B497" s="273">
        <v>490</v>
      </c>
      <c r="C497" s="272"/>
      <c r="D497" s="272"/>
      <c r="E497" s="272"/>
      <c r="F497" s="272"/>
      <c r="G497" s="272"/>
      <c r="H497" s="272"/>
      <c r="I497" s="272"/>
      <c r="J497" s="272"/>
      <c r="K497" s="272"/>
      <c r="L497" s="272"/>
      <c r="M497" s="272"/>
      <c r="N497" s="272"/>
      <c r="O497" s="272"/>
      <c r="P497" s="272"/>
      <c r="Q497" s="272"/>
      <c r="R497" s="272"/>
      <c r="S497" s="272"/>
      <c r="T497" s="272"/>
      <c r="U497" s="272"/>
      <c r="V497" s="272"/>
      <c r="W497" s="276">
        <v>3.2050000000000002E-2</v>
      </c>
      <c r="X497" s="272"/>
      <c r="Y497" s="272"/>
      <c r="Z497" s="272"/>
    </row>
    <row r="498" spans="2:26" x14ac:dyDescent="0.45">
      <c r="B498" s="273">
        <v>491</v>
      </c>
      <c r="C498" s="272"/>
      <c r="D498" s="272"/>
      <c r="E498" s="272"/>
      <c r="F498" s="272"/>
      <c r="G498" s="272"/>
      <c r="H498" s="272"/>
      <c r="I498" s="272"/>
      <c r="J498" s="272"/>
      <c r="K498" s="272"/>
      <c r="L498" s="272"/>
      <c r="M498" s="272"/>
      <c r="N498" s="272"/>
      <c r="O498" s="272"/>
      <c r="P498" s="272"/>
      <c r="Q498" s="272"/>
      <c r="R498" s="272"/>
      <c r="S498" s="272"/>
      <c r="T498" s="272"/>
      <c r="U498" s="272"/>
      <c r="V498" s="272"/>
      <c r="W498" s="276">
        <v>2.9950000000000001E-2</v>
      </c>
      <c r="X498" s="272"/>
      <c r="Y498" s="272"/>
      <c r="Z498" s="272"/>
    </row>
    <row r="499" spans="2:26" x14ac:dyDescent="0.45">
      <c r="B499" s="273">
        <v>492</v>
      </c>
      <c r="C499" s="272"/>
      <c r="D499" s="272"/>
      <c r="E499" s="272"/>
      <c r="F499" s="272"/>
      <c r="G499" s="272"/>
      <c r="H499" s="272"/>
      <c r="I499" s="272"/>
      <c r="J499" s="272"/>
      <c r="K499" s="272"/>
      <c r="L499" s="272"/>
      <c r="M499" s="272"/>
      <c r="N499" s="272"/>
      <c r="O499" s="272"/>
      <c r="P499" s="272"/>
      <c r="Q499" s="272"/>
      <c r="R499" s="272"/>
      <c r="S499" s="272"/>
      <c r="T499" s="272"/>
      <c r="U499" s="272"/>
      <c r="V499" s="272"/>
      <c r="W499" s="276">
        <v>2.801E-2</v>
      </c>
      <c r="X499" s="272"/>
      <c r="Y499" s="272"/>
      <c r="Z499" s="272"/>
    </row>
    <row r="500" spans="2:26" x14ac:dyDescent="0.45">
      <c r="B500" s="273">
        <v>493</v>
      </c>
      <c r="C500" s="272"/>
      <c r="D500" s="272"/>
      <c r="E500" s="272"/>
      <c r="F500" s="272"/>
      <c r="G500" s="272"/>
      <c r="H500" s="272"/>
      <c r="I500" s="272"/>
      <c r="J500" s="272"/>
      <c r="K500" s="272"/>
      <c r="L500" s="272"/>
      <c r="M500" s="272"/>
      <c r="N500" s="272"/>
      <c r="O500" s="272"/>
      <c r="P500" s="272"/>
      <c r="Q500" s="272"/>
      <c r="R500" s="272"/>
      <c r="S500" s="272"/>
      <c r="T500" s="272"/>
      <c r="U500" s="272"/>
      <c r="V500" s="272"/>
      <c r="W500" s="276">
        <v>2.6069999999999999E-2</v>
      </c>
      <c r="X500" s="272"/>
      <c r="Y500" s="272"/>
      <c r="Z500" s="272"/>
    </row>
    <row r="501" spans="2:26" x14ac:dyDescent="0.45">
      <c r="B501" s="273">
        <v>494</v>
      </c>
      <c r="C501" s="272"/>
      <c r="D501" s="272"/>
      <c r="E501" s="272"/>
      <c r="F501" s="272"/>
      <c r="G501" s="272"/>
      <c r="H501" s="272"/>
      <c r="I501" s="272"/>
      <c r="J501" s="272"/>
      <c r="K501" s="272"/>
      <c r="L501" s="272"/>
      <c r="M501" s="272"/>
      <c r="N501" s="272"/>
      <c r="O501" s="272"/>
      <c r="P501" s="272"/>
      <c r="Q501" s="272"/>
      <c r="R501" s="272"/>
      <c r="S501" s="272"/>
      <c r="T501" s="272"/>
      <c r="U501" s="272"/>
      <c r="V501" s="272"/>
      <c r="W501" s="276">
        <v>2.4119999999999999E-2</v>
      </c>
      <c r="X501" s="272"/>
      <c r="Y501" s="272"/>
      <c r="Z501" s="272"/>
    </row>
    <row r="502" spans="2:26" x14ac:dyDescent="0.45">
      <c r="B502" s="273">
        <v>495</v>
      </c>
      <c r="C502" s="272"/>
      <c r="D502" s="272"/>
      <c r="E502" s="272"/>
      <c r="F502" s="272"/>
      <c r="G502" s="272"/>
      <c r="H502" s="272"/>
      <c r="I502" s="272"/>
      <c r="J502" s="272"/>
      <c r="K502" s="272"/>
      <c r="L502" s="272"/>
      <c r="M502" s="272"/>
      <c r="N502" s="272"/>
      <c r="O502" s="272"/>
      <c r="P502" s="272"/>
      <c r="Q502" s="272"/>
      <c r="R502" s="272"/>
      <c r="S502" s="272"/>
      <c r="T502" s="272"/>
      <c r="U502" s="272"/>
      <c r="V502" s="272"/>
      <c r="W502" s="276">
        <v>2.2180000000000002E-2</v>
      </c>
      <c r="X502" s="272"/>
      <c r="Y502" s="272"/>
      <c r="Z502" s="272"/>
    </row>
    <row r="503" spans="2:26" x14ac:dyDescent="0.45">
      <c r="B503" s="273">
        <v>496</v>
      </c>
      <c r="C503" s="272"/>
      <c r="D503" s="272"/>
      <c r="E503" s="272"/>
      <c r="F503" s="272"/>
      <c r="G503" s="272"/>
      <c r="H503" s="272"/>
      <c r="I503" s="272"/>
      <c r="J503" s="272"/>
      <c r="K503" s="272"/>
      <c r="L503" s="272"/>
      <c r="M503" s="272"/>
      <c r="N503" s="272"/>
      <c r="O503" s="272"/>
      <c r="P503" s="272"/>
      <c r="Q503" s="272"/>
      <c r="R503" s="272"/>
      <c r="S503" s="272"/>
      <c r="T503" s="272"/>
      <c r="U503" s="272"/>
      <c r="V503" s="272"/>
      <c r="W503" s="276">
        <v>2.0240000000000001E-2</v>
      </c>
      <c r="X503" s="272"/>
      <c r="Y503" s="272"/>
      <c r="Z503" s="272"/>
    </row>
    <row r="504" spans="2:26" x14ac:dyDescent="0.45">
      <c r="B504" s="273">
        <v>497</v>
      </c>
      <c r="C504" s="272"/>
      <c r="D504" s="272"/>
      <c r="E504" s="272"/>
      <c r="F504" s="272"/>
      <c r="G504" s="272"/>
      <c r="H504" s="272"/>
      <c r="I504" s="272"/>
      <c r="J504" s="272"/>
      <c r="K504" s="272"/>
      <c r="L504" s="272"/>
      <c r="M504" s="272"/>
      <c r="N504" s="272"/>
      <c r="O504" s="272"/>
      <c r="P504" s="272"/>
      <c r="Q504" s="272"/>
      <c r="R504" s="272"/>
      <c r="S504" s="272"/>
      <c r="T504" s="272"/>
      <c r="U504" s="272"/>
      <c r="V504" s="272"/>
      <c r="W504" s="276">
        <v>1.83E-2</v>
      </c>
      <c r="X504" s="272"/>
      <c r="Y504" s="272"/>
      <c r="Z504" s="272"/>
    </row>
    <row r="505" spans="2:26" x14ac:dyDescent="0.45">
      <c r="B505" s="273">
        <v>498</v>
      </c>
      <c r="C505" s="272"/>
      <c r="D505" s="272"/>
      <c r="E505" s="272"/>
      <c r="F505" s="272"/>
      <c r="G505" s="272"/>
      <c r="H505" s="272"/>
      <c r="I505" s="272"/>
      <c r="J505" s="272"/>
      <c r="K505" s="272"/>
      <c r="L505" s="272"/>
      <c r="M505" s="272"/>
      <c r="N505" s="272"/>
      <c r="O505" s="272"/>
      <c r="P505" s="272"/>
      <c r="Q505" s="272"/>
      <c r="R505" s="272"/>
      <c r="S505" s="272"/>
      <c r="T505" s="272"/>
      <c r="U505" s="272"/>
      <c r="V505" s="272"/>
      <c r="W505" s="276">
        <v>1.636E-2</v>
      </c>
      <c r="X505" s="272"/>
      <c r="Y505" s="272"/>
      <c r="Z505" s="272"/>
    </row>
    <row r="506" spans="2:26" x14ac:dyDescent="0.45">
      <c r="B506" s="273">
        <v>499</v>
      </c>
      <c r="C506" s="272"/>
      <c r="D506" s="272"/>
      <c r="E506" s="272"/>
      <c r="F506" s="272"/>
      <c r="G506" s="272"/>
      <c r="H506" s="272"/>
      <c r="I506" s="272"/>
      <c r="J506" s="272"/>
      <c r="K506" s="272"/>
      <c r="L506" s="272"/>
      <c r="M506" s="272"/>
      <c r="N506" s="272"/>
      <c r="O506" s="272"/>
      <c r="P506" s="272"/>
      <c r="Q506" s="272"/>
      <c r="R506" s="272"/>
      <c r="S506" s="272"/>
      <c r="T506" s="272"/>
      <c r="U506" s="272"/>
      <c r="V506" s="272"/>
      <c r="W506" s="276">
        <v>1.4409999999999999E-2</v>
      </c>
      <c r="X506" s="272"/>
      <c r="Y506" s="272"/>
      <c r="Z506" s="272"/>
    </row>
    <row r="507" spans="2:26" x14ac:dyDescent="0.45">
      <c r="B507" s="273">
        <v>500</v>
      </c>
      <c r="C507" s="272"/>
      <c r="D507" s="272"/>
      <c r="E507" s="272"/>
      <c r="F507" s="272"/>
      <c r="G507" s="272"/>
      <c r="H507" s="272"/>
      <c r="I507" s="272"/>
      <c r="J507" s="272"/>
      <c r="K507" s="272"/>
      <c r="L507" s="272"/>
      <c r="M507" s="272"/>
      <c r="N507" s="272"/>
      <c r="O507" s="272"/>
      <c r="P507" s="272"/>
      <c r="Q507" s="272"/>
      <c r="R507" s="272"/>
      <c r="S507" s="272"/>
      <c r="T507" s="272"/>
      <c r="U507" s="272"/>
      <c r="V507" s="272"/>
      <c r="W507" s="276">
        <v>1.2469999999999998E-2</v>
      </c>
      <c r="X507" s="272"/>
      <c r="Y507" s="272"/>
      <c r="Z507" s="272"/>
    </row>
    <row r="508" spans="2:26" x14ac:dyDescent="0.45">
      <c r="B508" s="273">
        <v>501</v>
      </c>
      <c r="C508" s="272"/>
      <c r="D508" s="272"/>
      <c r="E508" s="272"/>
      <c r="F508" s="272"/>
      <c r="G508" s="272"/>
      <c r="H508" s="272"/>
      <c r="I508" s="272"/>
      <c r="J508" s="272"/>
      <c r="K508" s="272"/>
      <c r="L508" s="272"/>
      <c r="M508" s="272"/>
      <c r="N508" s="272"/>
      <c r="O508" s="272"/>
      <c r="P508" s="272"/>
      <c r="Q508" s="272"/>
      <c r="R508" s="272"/>
      <c r="S508" s="272"/>
      <c r="T508" s="272"/>
      <c r="U508" s="272"/>
      <c r="V508" s="272"/>
      <c r="W508" s="276">
        <v>1.0540000000000001E-2</v>
      </c>
      <c r="X508" s="272"/>
      <c r="Y508" s="272"/>
      <c r="Z508" s="272"/>
    </row>
    <row r="509" spans="2:26" x14ac:dyDescent="0.45">
      <c r="B509" s="273">
        <v>502</v>
      </c>
      <c r="C509" s="272"/>
      <c r="D509" s="272"/>
      <c r="E509" s="272"/>
      <c r="F509" s="272"/>
      <c r="G509" s="272"/>
      <c r="H509" s="272"/>
      <c r="I509" s="272"/>
      <c r="J509" s="272"/>
      <c r="K509" s="272"/>
      <c r="L509" s="272"/>
      <c r="M509" s="272"/>
      <c r="N509" s="272"/>
      <c r="O509" s="272"/>
      <c r="P509" s="272"/>
      <c r="Q509" s="272"/>
      <c r="R509" s="272"/>
      <c r="S509" s="272"/>
      <c r="T509" s="272"/>
      <c r="U509" s="272"/>
      <c r="V509" s="272"/>
      <c r="W509" s="276">
        <v>8.5979999999999997E-3</v>
      </c>
      <c r="X509" s="272"/>
      <c r="Y509" s="272"/>
      <c r="Z509" s="272"/>
    </row>
    <row r="510" spans="2:26" x14ac:dyDescent="0.45">
      <c r="B510" s="273">
        <v>503</v>
      </c>
      <c r="C510" s="272"/>
      <c r="D510" s="272"/>
      <c r="E510" s="272"/>
      <c r="F510" s="272"/>
      <c r="G510" s="272"/>
      <c r="H510" s="272"/>
      <c r="I510" s="272"/>
      <c r="J510" s="272"/>
      <c r="K510" s="272"/>
      <c r="L510" s="272"/>
      <c r="M510" s="272"/>
      <c r="N510" s="272"/>
      <c r="O510" s="272"/>
      <c r="P510" s="272"/>
      <c r="Q510" s="272"/>
      <c r="R510" s="272"/>
      <c r="S510" s="272"/>
      <c r="T510" s="272"/>
      <c r="U510" s="272"/>
      <c r="V510" s="272"/>
      <c r="W510" s="276">
        <v>6.6619999999999995E-3</v>
      </c>
      <c r="X510" s="272"/>
      <c r="Y510" s="272"/>
      <c r="Z510" s="272"/>
    </row>
    <row r="511" spans="2:26" x14ac:dyDescent="0.45">
      <c r="B511" s="273">
        <v>504</v>
      </c>
      <c r="C511" s="272"/>
      <c r="D511" s="272"/>
      <c r="E511" s="272"/>
      <c r="F511" s="272"/>
      <c r="G511" s="272"/>
      <c r="H511" s="272"/>
      <c r="I511" s="272"/>
      <c r="J511" s="272"/>
      <c r="K511" s="272"/>
      <c r="L511" s="272"/>
      <c r="M511" s="272"/>
      <c r="N511" s="272"/>
      <c r="O511" s="272"/>
      <c r="P511" s="272"/>
      <c r="Q511" s="272"/>
      <c r="R511" s="272"/>
      <c r="S511" s="272"/>
      <c r="T511" s="272"/>
      <c r="U511" s="272"/>
      <c r="V511" s="272"/>
      <c r="W511" s="276">
        <v>4.7289999999999997E-3</v>
      </c>
      <c r="X511" s="272"/>
      <c r="Y511" s="272"/>
      <c r="Z511" s="272"/>
    </row>
    <row r="512" spans="2:26" x14ac:dyDescent="0.45">
      <c r="B512" s="273">
        <v>505</v>
      </c>
      <c r="C512" s="272"/>
      <c r="D512" s="272"/>
      <c r="E512" s="272"/>
      <c r="F512" s="272"/>
      <c r="G512" s="272"/>
      <c r="H512" s="272"/>
      <c r="I512" s="272"/>
      <c r="J512" s="272"/>
      <c r="K512" s="272"/>
      <c r="L512" s="272"/>
      <c r="M512" s="272"/>
      <c r="N512" s="272"/>
      <c r="O512" s="272"/>
      <c r="P512" s="272"/>
      <c r="Q512" s="272"/>
      <c r="R512" s="272"/>
      <c r="S512" s="272"/>
      <c r="T512" s="272"/>
      <c r="U512" s="272"/>
      <c r="V512" s="272"/>
      <c r="W512" s="276">
        <v>2.8029999999999999E-3</v>
      </c>
      <c r="X512" s="272"/>
      <c r="Y512" s="272"/>
      <c r="Z512" s="272"/>
    </row>
    <row r="513" spans="2:26" x14ac:dyDescent="0.45">
      <c r="B513" s="273">
        <v>506</v>
      </c>
      <c r="C513" s="272"/>
      <c r="D513" s="272"/>
      <c r="E513" s="272"/>
      <c r="F513" s="272"/>
      <c r="G513" s="272"/>
      <c r="H513" s="272"/>
      <c r="I513" s="272"/>
      <c r="J513" s="272"/>
      <c r="K513" s="272"/>
      <c r="L513" s="272"/>
      <c r="M513" s="272"/>
      <c r="N513" s="272"/>
      <c r="O513" s="272"/>
      <c r="P513" s="272"/>
      <c r="Q513" s="272"/>
      <c r="R513" s="272"/>
      <c r="S513" s="272"/>
      <c r="T513" s="272"/>
      <c r="U513" s="272"/>
      <c r="V513" s="272"/>
      <c r="W513" s="276">
        <v>9.0079999999999999E-4</v>
      </c>
      <c r="X513" s="272"/>
      <c r="Y513" s="272"/>
      <c r="Z513" s="272"/>
    </row>
    <row r="514" spans="2:26" x14ac:dyDescent="0.45">
      <c r="B514" s="273">
        <v>507</v>
      </c>
      <c r="C514" s="272"/>
      <c r="D514" s="272"/>
      <c r="E514" s="272"/>
      <c r="F514" s="272"/>
      <c r="G514" s="272"/>
      <c r="H514" s="272"/>
      <c r="I514" s="272"/>
      <c r="J514" s="272"/>
      <c r="K514" s="272"/>
      <c r="L514" s="272"/>
      <c r="M514" s="272"/>
      <c r="N514" s="272"/>
      <c r="O514" s="272"/>
      <c r="P514" s="272"/>
      <c r="Q514" s="272"/>
      <c r="R514" s="272"/>
      <c r="S514" s="272"/>
      <c r="T514" s="272"/>
      <c r="U514" s="272"/>
      <c r="V514" s="272"/>
      <c r="W514" s="276">
        <v>0</v>
      </c>
      <c r="X514" s="272"/>
      <c r="Y514" s="272"/>
      <c r="Z514" s="272"/>
    </row>
    <row r="515" spans="2:26" x14ac:dyDescent="0.45">
      <c r="B515" s="273">
        <v>508</v>
      </c>
      <c r="C515" s="272"/>
      <c r="D515" s="272"/>
      <c r="E515" s="272"/>
      <c r="F515" s="272"/>
      <c r="G515" s="272"/>
      <c r="H515" s="272"/>
      <c r="I515" s="272"/>
      <c r="J515" s="272"/>
      <c r="K515" s="272"/>
      <c r="L515" s="272"/>
      <c r="M515" s="272"/>
      <c r="N515" s="272"/>
      <c r="O515" s="272"/>
      <c r="P515" s="272"/>
      <c r="Q515" s="272"/>
      <c r="R515" s="272"/>
      <c r="S515" s="272"/>
      <c r="T515" s="272"/>
      <c r="U515" s="272"/>
      <c r="V515" s="272"/>
      <c r="W515" s="276">
        <v>0</v>
      </c>
      <c r="X515" s="272"/>
      <c r="Y515" s="272"/>
      <c r="Z515" s="272"/>
    </row>
    <row r="516" spans="2:26" x14ac:dyDescent="0.45">
      <c r="B516" s="273">
        <v>509</v>
      </c>
      <c r="C516" s="272"/>
      <c r="D516" s="272"/>
      <c r="E516" s="272"/>
      <c r="F516" s="272"/>
      <c r="G516" s="272"/>
      <c r="H516" s="272"/>
      <c r="I516" s="272"/>
      <c r="J516" s="272"/>
      <c r="K516" s="272"/>
      <c r="L516" s="272"/>
      <c r="M516" s="272"/>
      <c r="N516" s="272"/>
      <c r="O516" s="272"/>
      <c r="P516" s="272"/>
      <c r="Q516" s="272"/>
      <c r="R516" s="272"/>
      <c r="S516" s="272"/>
      <c r="T516" s="272"/>
      <c r="U516" s="272"/>
      <c r="V516" s="272"/>
      <c r="W516" s="276">
        <v>0</v>
      </c>
      <c r="X516" s="272"/>
      <c r="Y516" s="272"/>
      <c r="Z516" s="272"/>
    </row>
    <row r="517" spans="2:26" x14ac:dyDescent="0.45">
      <c r="B517" s="273">
        <v>510</v>
      </c>
      <c r="C517" s="272"/>
      <c r="D517" s="272"/>
      <c r="E517" s="272"/>
      <c r="F517" s="272"/>
      <c r="G517" s="272"/>
      <c r="H517" s="272"/>
      <c r="I517" s="272"/>
      <c r="J517" s="272"/>
      <c r="K517" s="272"/>
      <c r="L517" s="272"/>
      <c r="M517" s="272"/>
      <c r="N517" s="272"/>
      <c r="O517" s="272"/>
      <c r="P517" s="272"/>
      <c r="Q517" s="272"/>
      <c r="R517" s="272"/>
      <c r="S517" s="272"/>
      <c r="T517" s="272"/>
      <c r="U517" s="272"/>
      <c r="V517" s="272"/>
      <c r="W517" s="276">
        <v>0</v>
      </c>
      <c r="X517" s="272"/>
      <c r="Y517" s="272"/>
      <c r="Z517" s="272"/>
    </row>
    <row r="518" spans="2:26" x14ac:dyDescent="0.45">
      <c r="B518" s="273">
        <v>511</v>
      </c>
      <c r="C518" s="272"/>
      <c r="D518" s="272"/>
      <c r="E518" s="272"/>
      <c r="F518" s="272"/>
      <c r="G518" s="272"/>
      <c r="H518" s="272"/>
      <c r="I518" s="272"/>
      <c r="J518" s="272"/>
      <c r="K518" s="272"/>
      <c r="L518" s="272"/>
      <c r="M518" s="272"/>
      <c r="N518" s="272"/>
      <c r="O518" s="272"/>
      <c r="P518" s="272"/>
      <c r="Q518" s="272"/>
      <c r="R518" s="272"/>
      <c r="S518" s="272"/>
      <c r="T518" s="272"/>
      <c r="U518" s="272"/>
      <c r="V518" s="272"/>
      <c r="W518" s="276">
        <v>0</v>
      </c>
      <c r="X518" s="272"/>
      <c r="Y518" s="272"/>
      <c r="Z518" s="272"/>
    </row>
  </sheetData>
  <mergeCells count="1">
    <mergeCell ref="AB3:AF3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836A-44C6-43A8-B1DF-1590C3F36038}">
  <dimension ref="A1"/>
  <sheetViews>
    <sheetView workbookViewId="0">
      <selection activeCell="W25" sqref="W25"/>
    </sheetView>
  </sheetViews>
  <sheetFormatPr defaultRowHeight="17" x14ac:dyDescent="0.45"/>
  <sheetData/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2E50-025A-487D-8251-58A32B68A0A4}">
  <dimension ref="B2:G31"/>
  <sheetViews>
    <sheetView workbookViewId="0">
      <selection activeCell="O41" sqref="O41"/>
    </sheetView>
  </sheetViews>
  <sheetFormatPr defaultRowHeight="16" x14ac:dyDescent="0.45"/>
  <cols>
    <col min="1" max="1" width="2.4140625" style="174" customWidth="1"/>
    <col min="2" max="2" width="21.25" style="174" bestFit="1" customWidth="1"/>
    <col min="3" max="3" width="6.75" style="174" bestFit="1" customWidth="1"/>
    <col min="4" max="4" width="4.83203125" style="174" bestFit="1" customWidth="1"/>
    <col min="5" max="5" width="28.75" style="174" bestFit="1" customWidth="1"/>
    <col min="6" max="6" width="6.83203125" style="174" bestFit="1" customWidth="1"/>
    <col min="7" max="7" width="4.25" style="174" bestFit="1" customWidth="1"/>
    <col min="8" max="16384" width="8.6640625" style="174"/>
  </cols>
  <sheetData>
    <row r="2" spans="2:7" x14ac:dyDescent="0.45">
      <c r="B2" s="172" t="s">
        <v>167</v>
      </c>
      <c r="C2" s="173">
        <v>1</v>
      </c>
    </row>
    <row r="3" spans="2:7" x14ac:dyDescent="0.45">
      <c r="B3" s="172" t="s">
        <v>507</v>
      </c>
      <c r="C3" s="173">
        <v>2</v>
      </c>
    </row>
    <row r="5" spans="2:7" x14ac:dyDescent="0.45">
      <c r="B5" s="270" t="s">
        <v>508</v>
      </c>
      <c r="C5" s="270"/>
      <c r="D5" s="270"/>
      <c r="E5" s="270"/>
      <c r="F5" s="270"/>
      <c r="G5" s="270"/>
    </row>
    <row r="6" spans="2:7" x14ac:dyDescent="0.45">
      <c r="B6" s="175" t="s">
        <v>509</v>
      </c>
      <c r="C6" s="176">
        <v>120</v>
      </c>
      <c r="D6" s="176" t="s">
        <v>510</v>
      </c>
      <c r="E6" s="176"/>
      <c r="F6" s="176"/>
      <c r="G6" s="176"/>
    </row>
    <row r="7" spans="2:7" x14ac:dyDescent="0.45">
      <c r="B7" s="175" t="s">
        <v>511</v>
      </c>
      <c r="C7" s="176">
        <v>40</v>
      </c>
      <c r="D7" s="176" t="s">
        <v>512</v>
      </c>
      <c r="E7" s="176"/>
      <c r="F7" s="176"/>
      <c r="G7" s="176"/>
    </row>
    <row r="8" spans="2:7" x14ac:dyDescent="0.45">
      <c r="B8" s="175" t="s">
        <v>513</v>
      </c>
      <c r="C8" s="176">
        <f>ROUND(C7*1000000/(C6*2), 0)</f>
        <v>166667</v>
      </c>
      <c r="D8" s="176" t="s">
        <v>514</v>
      </c>
      <c r="E8" s="176" t="s">
        <v>515</v>
      </c>
      <c r="F8" s="176"/>
      <c r="G8" s="176"/>
    </row>
    <row r="9" spans="2:7" x14ac:dyDescent="0.45">
      <c r="B9" s="175" t="s">
        <v>516</v>
      </c>
      <c r="C9" s="176">
        <f>_xlfn.BITAND(C8, 4095)</f>
        <v>2827</v>
      </c>
      <c r="D9" s="176" t="s">
        <v>514</v>
      </c>
      <c r="E9" s="176" t="s">
        <v>517</v>
      </c>
      <c r="F9" s="177" t="str">
        <f>_xlfn.CONCAT("0x", DEC2HEX(C9, 3))</f>
        <v>0xB0B</v>
      </c>
      <c r="G9" s="267" t="s">
        <v>358</v>
      </c>
    </row>
    <row r="10" spans="2:7" x14ac:dyDescent="0.45">
      <c r="B10" s="175" t="s">
        <v>518</v>
      </c>
      <c r="C10" s="176">
        <f>_xlfn.BITRSHIFT(C8, 12)</f>
        <v>40</v>
      </c>
      <c r="D10" s="176" t="s">
        <v>514</v>
      </c>
      <c r="E10" s="176" t="s">
        <v>519</v>
      </c>
      <c r="F10" s="177" t="str">
        <f>_xlfn.CONCAT("0x", DEC2HEX(C10, 3))</f>
        <v>0x028</v>
      </c>
      <c r="G10" s="268"/>
    </row>
    <row r="11" spans="2:7" x14ac:dyDescent="0.45">
      <c r="E11" s="176" t="s">
        <v>520</v>
      </c>
      <c r="F11" s="172" t="str">
        <f>_xlfn.CONCAT("0x", DEC2HEX(_xlfn.BITOR(_xlfn.BITOR(_xlfn.BITLSHIFT($C$2,11),_xlfn.BITLSHIFT($C$3,9)),C10)))</f>
        <v>0xC28</v>
      </c>
      <c r="G11" s="269"/>
    </row>
    <row r="15" spans="2:7" x14ac:dyDescent="0.45">
      <c r="B15" s="270" t="s">
        <v>521</v>
      </c>
      <c r="C15" s="270"/>
      <c r="D15" s="270"/>
      <c r="E15" s="270"/>
      <c r="F15" s="270"/>
      <c r="G15" s="270"/>
    </row>
    <row r="16" spans="2:7" x14ac:dyDescent="0.45">
      <c r="B16" s="175" t="s">
        <v>509</v>
      </c>
      <c r="C16" s="176">
        <v>120</v>
      </c>
      <c r="D16" s="176" t="s">
        <v>510</v>
      </c>
      <c r="E16" s="176"/>
      <c r="F16" s="176"/>
      <c r="G16" s="176"/>
    </row>
    <row r="17" spans="2:7" x14ac:dyDescent="0.45">
      <c r="B17" s="175" t="s">
        <v>511</v>
      </c>
      <c r="C17" s="176">
        <v>50</v>
      </c>
      <c r="D17" s="176" t="s">
        <v>512</v>
      </c>
      <c r="E17" s="176"/>
      <c r="F17" s="176"/>
      <c r="G17" s="176"/>
    </row>
    <row r="18" spans="2:7" x14ac:dyDescent="0.45">
      <c r="B18" s="175" t="s">
        <v>513</v>
      </c>
      <c r="C18" s="176">
        <f>ROUND(C17*1000000/(C16*2), 0)</f>
        <v>208333</v>
      </c>
      <c r="D18" s="176" t="s">
        <v>514</v>
      </c>
      <c r="E18" s="176" t="s">
        <v>515</v>
      </c>
      <c r="F18" s="176"/>
      <c r="G18" s="176"/>
    </row>
    <row r="19" spans="2:7" x14ac:dyDescent="0.45">
      <c r="B19" s="175" t="s">
        <v>516</v>
      </c>
      <c r="C19" s="176">
        <f>_xlfn.BITAND(C18, 4095)</f>
        <v>3533</v>
      </c>
      <c r="D19" s="176" t="s">
        <v>514</v>
      </c>
      <c r="E19" s="176" t="s">
        <v>517</v>
      </c>
      <c r="F19" s="177" t="str">
        <f>_xlfn.CONCAT("0x", DEC2HEX(C19, 3))</f>
        <v>0xDCD</v>
      </c>
      <c r="G19" s="267" t="s">
        <v>358</v>
      </c>
    </row>
    <row r="20" spans="2:7" x14ac:dyDescent="0.45">
      <c r="B20" s="175" t="s">
        <v>518</v>
      </c>
      <c r="C20" s="176">
        <f>_xlfn.BITRSHIFT(C18, 12)</f>
        <v>50</v>
      </c>
      <c r="D20" s="176" t="s">
        <v>514</v>
      </c>
      <c r="E20" s="176" t="s">
        <v>519</v>
      </c>
      <c r="F20" s="177" t="str">
        <f>_xlfn.CONCAT("0x", DEC2HEX(C20, 3))</f>
        <v>0x032</v>
      </c>
      <c r="G20" s="268"/>
    </row>
    <row r="21" spans="2:7" x14ac:dyDescent="0.45">
      <c r="E21" s="176" t="s">
        <v>520</v>
      </c>
      <c r="F21" s="172" t="str">
        <f>_xlfn.CONCAT("0x", DEC2HEX(_xlfn.BITOR(_xlfn.BITOR(_xlfn.BITLSHIFT($C$2,11),_xlfn.BITLSHIFT($C$3,9)),C20)))</f>
        <v>0xC32</v>
      </c>
      <c r="G21" s="269"/>
    </row>
    <row r="25" spans="2:7" x14ac:dyDescent="0.45">
      <c r="B25" s="270" t="s">
        <v>522</v>
      </c>
      <c r="C25" s="270"/>
      <c r="D25" s="270"/>
      <c r="E25" s="270"/>
      <c r="F25" s="270"/>
      <c r="G25" s="270"/>
    </row>
    <row r="26" spans="2:7" x14ac:dyDescent="0.45">
      <c r="B26" s="175" t="s">
        <v>509</v>
      </c>
      <c r="C26" s="176">
        <v>120</v>
      </c>
      <c r="D26" s="176" t="s">
        <v>510</v>
      </c>
      <c r="E26" s="176"/>
      <c r="F26" s="176"/>
      <c r="G26" s="176"/>
    </row>
    <row r="27" spans="2:7" x14ac:dyDescent="0.45">
      <c r="B27" s="175" t="s">
        <v>511</v>
      </c>
      <c r="C27" s="176">
        <v>60</v>
      </c>
      <c r="D27" s="176" t="s">
        <v>512</v>
      </c>
      <c r="E27" s="176"/>
      <c r="F27" s="176"/>
      <c r="G27" s="176"/>
    </row>
    <row r="28" spans="2:7" x14ac:dyDescent="0.45">
      <c r="B28" s="175" t="s">
        <v>513</v>
      </c>
      <c r="C28" s="176">
        <f>ROUND(C27*1000000/(C26*2), 0)</f>
        <v>250000</v>
      </c>
      <c r="D28" s="176" t="s">
        <v>514</v>
      </c>
      <c r="E28" s="176" t="s">
        <v>515</v>
      </c>
      <c r="F28" s="176"/>
      <c r="G28" s="176"/>
    </row>
    <row r="29" spans="2:7" x14ac:dyDescent="0.45">
      <c r="B29" s="175" t="s">
        <v>516</v>
      </c>
      <c r="C29" s="176">
        <f>_xlfn.BITAND(C28, 4095)</f>
        <v>144</v>
      </c>
      <c r="D29" s="176" t="s">
        <v>514</v>
      </c>
      <c r="E29" s="176" t="s">
        <v>517</v>
      </c>
      <c r="F29" s="177" t="str">
        <f>_xlfn.CONCAT("0x", DEC2HEX(C29, 3))</f>
        <v>0x090</v>
      </c>
      <c r="G29" s="267" t="s">
        <v>358</v>
      </c>
    </row>
    <row r="30" spans="2:7" x14ac:dyDescent="0.45">
      <c r="B30" s="175" t="s">
        <v>518</v>
      </c>
      <c r="C30" s="176">
        <f>_xlfn.BITRSHIFT(C28, 12)</f>
        <v>61</v>
      </c>
      <c r="D30" s="176" t="s">
        <v>514</v>
      </c>
      <c r="E30" s="176" t="s">
        <v>519</v>
      </c>
      <c r="F30" s="177" t="str">
        <f>_xlfn.CONCAT("0x", DEC2HEX(C30, 3))</f>
        <v>0x03D</v>
      </c>
      <c r="G30" s="268"/>
    </row>
    <row r="31" spans="2:7" x14ac:dyDescent="0.45">
      <c r="E31" s="176" t="s">
        <v>520</v>
      </c>
      <c r="F31" s="172" t="str">
        <f>_xlfn.CONCAT("0x", DEC2HEX(_xlfn.BITOR(_xlfn.BITOR(_xlfn.BITLSHIFT($C$2,11),_xlfn.BITLSHIFT($C$3,9)),C30)))</f>
        <v>0xC3D</v>
      </c>
      <c r="G31" s="269"/>
    </row>
  </sheetData>
  <mergeCells count="6">
    <mergeCell ref="G29:G31"/>
    <mergeCell ref="B5:G5"/>
    <mergeCell ref="G9:G11"/>
    <mergeCell ref="B15:G15"/>
    <mergeCell ref="G19:G21"/>
    <mergeCell ref="B25:G25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Register_Table</vt:lpstr>
      <vt:lpstr>Register_(mode)</vt:lpstr>
      <vt:lpstr>Test Mux Table</vt:lpstr>
      <vt:lpstr>Sim_Data</vt:lpstr>
      <vt:lpstr>Board</vt:lpstr>
      <vt:lpstr>Freq_calculator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송 현일</cp:lastModifiedBy>
  <dcterms:created xsi:type="dcterms:W3CDTF">2015-06-05T18:19:34Z</dcterms:created>
  <dcterms:modified xsi:type="dcterms:W3CDTF">2026-10-08T02:07:04Z</dcterms:modified>
</cp:coreProperties>
</file>