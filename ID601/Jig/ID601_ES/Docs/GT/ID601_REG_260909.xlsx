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osbi\OneDrive\바탕 화면\ID문서\Test\"/>
    </mc:Choice>
  </mc:AlternateContent>
  <xr:revisionPtr revIDLastSave="0" documentId="13_ncr:1_{CC1A2342-C9F1-44F1-BC83-A8B0852C8F4D}" xr6:coauthVersionLast="47" xr6:coauthVersionMax="47" xr10:uidLastSave="{00000000-0000-0000-0000-000000000000}"/>
  <bookViews>
    <workbookView xWindow="2000" yWindow="1420" windowWidth="22770" windowHeight="16230" activeTab="1" xr2:uid="{00000000-000D-0000-FFFF-FFFF00000000}"/>
  </bookViews>
  <sheets>
    <sheet name="Register_Table" sheetId="2" r:id="rId1"/>
    <sheet name="Register_(mode)" sheetId="3" r:id="rId2"/>
    <sheet name="Test Mux Table" sheetId="5" r:id="rId3"/>
    <sheet name="Boad" sheetId="6" r:id="rId4"/>
    <sheet name="Sim_Data" sheetId="7" r:id="rId5"/>
  </sheets>
  <definedNames>
    <definedName name="__DemandLoad">TRUE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csDesignMode">1</definedName>
    <definedName name="Folgeseiten">#REF!</definedName>
    <definedName name="GAMMA시스템">#REF!</definedName>
    <definedName name="PostPBA">#REF!</definedName>
    <definedName name="SMD10대표준화">#REF!</definedName>
    <definedName name="SMDPROCESS점검">#REF!</definedName>
    <definedName name="VIP지시사항">#REF!</definedName>
    <definedName name="미세관리20선">#REF!</definedName>
    <definedName name="미세관리20선2">#REF!</definedName>
    <definedName name="어스링">#REF!</definedName>
    <definedName name="어스링1">#REF!</definedName>
    <definedName name="전사BP사례">#REF!</definedName>
    <definedName name="접지저항">#REF!</definedName>
    <definedName name="정전기관리일반">#REF!</definedName>
    <definedName name="제전복">#REF!</definedName>
    <definedName name="환경관리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3" i="7" l="1"/>
  <c r="AD13" i="7"/>
  <c r="AC13" i="7"/>
  <c r="AB13" i="7"/>
  <c r="P34" i="3" a="1"/>
  <c r="P34" i="3" s="1"/>
  <c r="Q34" i="3" s="1"/>
  <c r="P32" i="3" a="1"/>
  <c r="P32" i="3" s="1"/>
  <c r="Q32" i="3" s="1"/>
  <c r="P30" i="3" a="1"/>
  <c r="P30" i="3" s="1"/>
  <c r="Q30" i="3" s="1"/>
  <c r="P25" i="3" a="1"/>
  <c r="P25" i="3" s="1"/>
  <c r="Q25" i="3" s="1"/>
  <c r="P4" i="3" a="1"/>
  <c r="P4" i="3" s="1"/>
  <c r="Q4" i="3" s="1"/>
  <c r="P6" i="3" a="1"/>
  <c r="P6" i="3" s="1"/>
  <c r="Q6" i="3" s="1"/>
  <c r="P8" i="3" a="1"/>
  <c r="P8" i="3" s="1"/>
  <c r="Q8" i="3" s="1"/>
  <c r="P10" i="3" a="1"/>
  <c r="P10" i="3" s="1"/>
  <c r="Q10" i="3" s="1"/>
  <c r="P12" i="3" a="1"/>
  <c r="P12" i="3"/>
  <c r="Q12" i="3" s="1"/>
  <c r="P14" i="3" a="1"/>
  <c r="P14" i="3" s="1"/>
  <c r="Q14" i="3" s="1"/>
  <c r="P19" i="3" a="1"/>
  <c r="P19" i="3" s="1"/>
  <c r="Q19" i="3" s="1"/>
  <c r="P21" i="3" a="1"/>
  <c r="P21" i="3" s="1"/>
  <c r="Q21" i="3" s="1"/>
  <c r="P23" i="3" a="1"/>
  <c r="P23" i="3" s="1"/>
  <c r="Q23" i="3" s="1"/>
  <c r="P3" i="2" a="1"/>
  <c r="P3" i="2"/>
  <c r="Q3" i="2"/>
  <c r="P5" i="2" a="1"/>
  <c r="P5" i="2"/>
  <c r="Q5" i="2"/>
  <c r="P7" i="2" a="1"/>
  <c r="P7" i="2"/>
  <c r="Q7" i="2"/>
  <c r="P9" i="2" a="1"/>
  <c r="P9" i="2"/>
  <c r="Q9" i="2" s="1"/>
  <c r="P11" i="2" a="1"/>
  <c r="P11" i="2" s="1"/>
  <c r="Q11" i="2" s="1"/>
  <c r="P13" i="2" a="1"/>
  <c r="P13" i="2"/>
  <c r="Q13" i="2" s="1"/>
  <c r="P15" i="2" a="1"/>
  <c r="P15" i="2" s="1"/>
  <c r="Q15" i="2" s="1"/>
  <c r="P17" i="2" a="1"/>
  <c r="P17" i="2"/>
  <c r="Q17" i="2"/>
  <c r="P19" i="2" a="1"/>
  <c r="P19" i="2"/>
  <c r="Q19" i="2"/>
  <c r="P21" i="2" a="1"/>
  <c r="P21" i="2"/>
  <c r="Q21" i="2"/>
  <c r="P23" i="2" a="1"/>
  <c r="P23" i="2"/>
  <c r="Q23" i="2"/>
  <c r="P25" i="2" a="1"/>
  <c r="P25" i="2"/>
  <c r="Q25" i="2" s="1"/>
  <c r="P27" i="2" a="1"/>
  <c r="P27" i="2" s="1"/>
  <c r="Q27" i="2" s="1"/>
  <c r="P29" i="2" a="1"/>
  <c r="P29" i="2"/>
  <c r="Q29" i="2"/>
  <c r="P31" i="2" a="1"/>
  <c r="P31" i="2"/>
  <c r="Q31" i="2"/>
  <c r="P33" i="2" a="1"/>
  <c r="P33" i="2"/>
  <c r="Q33" i="2"/>
  <c r="P35" i="2" a="1"/>
  <c r="P35" i="2"/>
  <c r="Q35" i="2"/>
  <c r="P37" i="2" a="1"/>
  <c r="P37" i="2"/>
  <c r="Q37" i="2" s="1"/>
  <c r="P39" i="2" a="1"/>
  <c r="P39" i="2" s="1"/>
  <c r="Q39" i="2" s="1"/>
  <c r="P41" i="2" a="1"/>
  <c r="P41" i="2" s="1"/>
  <c r="Q41" i="2" s="1"/>
  <c r="P43" i="2" a="1"/>
  <c r="P43" i="2"/>
  <c r="Q43" i="2"/>
  <c r="P45" i="2" a="1"/>
  <c r="P45" i="2"/>
  <c r="Q45" i="2"/>
  <c r="P47" i="2" a="1"/>
  <c r="P47" i="2"/>
  <c r="Q47" i="2"/>
  <c r="P49" i="2" a="1"/>
  <c r="P49" i="2"/>
  <c r="Q49" i="2"/>
  <c r="P51" i="2" a="1"/>
  <c r="P51" i="2" s="1"/>
  <c r="Q51" i="2" s="1"/>
  <c r="P53" i="2" a="1"/>
  <c r="P53" i="2"/>
  <c r="Q53" i="2" s="1"/>
  <c r="P55" i="2" a="1"/>
  <c r="P55" i="2" s="1"/>
  <c r="Q55" i="2" s="1"/>
  <c r="P57" i="2" a="1"/>
  <c r="P57" i="2"/>
  <c r="Q57" i="2"/>
  <c r="P59" i="2" a="1"/>
  <c r="P59" i="2"/>
  <c r="Q59" i="2"/>
  <c r="P61" i="2" a="1"/>
  <c r="P61" i="2"/>
  <c r="Q61" i="2"/>
  <c r="P63" i="2" a="1"/>
  <c r="P63" i="2"/>
  <c r="Q63" i="2"/>
  <c r="P65" i="2" a="1"/>
  <c r="P65" i="2"/>
  <c r="Q65" i="2" s="1"/>
  <c r="P67" i="2" a="1"/>
  <c r="P67" i="2" s="1"/>
  <c r="Q67" i="2" s="1"/>
  <c r="P69" i="2" a="1"/>
  <c r="P69" i="2"/>
  <c r="Q69" i="2"/>
  <c r="P71" i="2" a="1"/>
  <c r="P71" i="2"/>
  <c r="Q71" i="2"/>
  <c r="P73" i="2" a="1"/>
  <c r="P73" i="2"/>
  <c r="Q73" i="2"/>
  <c r="P75" i="2" a="1"/>
  <c r="P75" i="2"/>
  <c r="Q75" i="2"/>
  <c r="P77" i="2" a="1"/>
  <c r="P77" i="2"/>
  <c r="Q77" i="2" s="1"/>
  <c r="P79" i="2" a="1"/>
  <c r="P79" i="2" s="1"/>
  <c r="Q79" i="2" s="1"/>
  <c r="P81" i="2" a="1"/>
  <c r="P81" i="2" s="1"/>
  <c r="Q81" i="2" s="1"/>
  <c r="P83" i="2" a="1"/>
  <c r="P83" i="2"/>
  <c r="Q83" i="2"/>
  <c r="P85" i="2" a="1"/>
  <c r="P85" i="2"/>
  <c r="Q85" i="2"/>
  <c r="P87" i="2" a="1"/>
  <c r="P87" i="2"/>
  <c r="Q87" i="2"/>
  <c r="P89" i="2" a="1"/>
  <c r="P89" i="2"/>
  <c r="Q89" i="2" s="1"/>
  <c r="P91" i="2" a="1"/>
  <c r="P91" i="2" s="1"/>
  <c r="Q91" i="2" s="1"/>
  <c r="P93" i="2" a="1"/>
  <c r="P93" i="2"/>
  <c r="Q93" i="2" s="1"/>
  <c r="P95" i="2" a="1"/>
  <c r="P95" i="2" s="1"/>
  <c r="Q95" i="2" s="1"/>
  <c r="P98" i="2" a="1"/>
  <c r="P98" i="2" s="1"/>
  <c r="Q98" i="2" s="1"/>
  <c r="P100" i="2" a="1"/>
  <c r="P100" i="2"/>
  <c r="Q100" i="2"/>
  <c r="P102" i="2" a="1"/>
  <c r="P102" i="2"/>
  <c r="Q102" i="2"/>
  <c r="P104" i="2" a="1"/>
  <c r="P104" i="2"/>
  <c r="Q104" i="2"/>
  <c r="P106" i="2" a="1"/>
  <c r="P106" i="2"/>
  <c r="Q106" i="2" s="1"/>
  <c r="P108" i="2" a="1"/>
  <c r="P108" i="2" s="1"/>
  <c r="Q108" i="2" s="1"/>
  <c r="P110" i="2" a="1"/>
  <c r="P110" i="2"/>
  <c r="Q110" i="2"/>
  <c r="P113" i="2" a="1"/>
  <c r="P113" i="2"/>
  <c r="Q113" i="2"/>
  <c r="P115" i="2" a="1"/>
  <c r="P115" i="2"/>
  <c r="Q115" i="2"/>
  <c r="P117" i="2" a="1"/>
  <c r="P117" i="2"/>
  <c r="Q117" i="2"/>
  <c r="P119" i="2" a="1"/>
  <c r="P119" i="2"/>
  <c r="Q119" i="2" s="1"/>
  <c r="P121" i="2" a="1"/>
  <c r="P121" i="2" s="1"/>
  <c r="Q121" i="2" s="1"/>
  <c r="P123" i="2" a="1"/>
  <c r="P123" i="2" s="1"/>
  <c r="Q123" i="2" s="1"/>
  <c r="P125" i="2" a="1"/>
  <c r="P125" i="2"/>
  <c r="Q125" i="2"/>
  <c r="P127" i="2" a="1"/>
  <c r="P127" i="2"/>
  <c r="Q127" i="2"/>
  <c r="P129" i="2" a="1"/>
  <c r="P129" i="2"/>
  <c r="Q129" i="2"/>
  <c r="P131" i="2" a="1"/>
  <c r="P131" i="2"/>
  <c r="Q131" i="2"/>
  <c r="P133" i="2" a="1"/>
  <c r="P133" i="2" s="1"/>
  <c r="Q133" i="2" s="1"/>
  <c r="P135" i="2" a="1"/>
  <c r="P135" i="2"/>
  <c r="Q135" i="2" s="1"/>
  <c r="P137" i="2" a="1"/>
  <c r="P137" i="2" s="1"/>
  <c r="Q137" i="2" s="1"/>
  <c r="P139" i="2" a="1"/>
  <c r="P139" i="2"/>
  <c r="Q139" i="2"/>
  <c r="P141" i="2" a="1"/>
  <c r="P141" i="2"/>
  <c r="Q141" i="2"/>
  <c r="P143" i="2" a="1"/>
  <c r="P143" i="2"/>
  <c r="Q143" i="2"/>
  <c r="P145" i="2" a="1"/>
  <c r="P145" i="2"/>
  <c r="Q145" i="2"/>
  <c r="P147" i="2" a="1"/>
  <c r="P147" i="2"/>
  <c r="Q147" i="2" s="1"/>
  <c r="P149" i="2" a="1"/>
  <c r="P149" i="2" s="1"/>
  <c r="Q149" i="2" s="1"/>
  <c r="P151" i="2" a="1"/>
  <c r="P151" i="2"/>
  <c r="Q151" i="2"/>
  <c r="P153" i="2" a="1"/>
  <c r="P153" i="2"/>
  <c r="Q153" i="2"/>
  <c r="P155" i="2" a="1"/>
  <c r="P155" i="2"/>
  <c r="Q155" i="2"/>
  <c r="P157" i="2" a="1"/>
  <c r="P157" i="2"/>
  <c r="Q157" i="2"/>
  <c r="P159" i="2" a="1"/>
  <c r="P159" i="2"/>
  <c r="Q159" i="2" s="1"/>
  <c r="P161" i="2" a="1"/>
  <c r="P161" i="2" s="1"/>
  <c r="Q161" i="2" s="1"/>
  <c r="P163" i="2" a="1"/>
  <c r="P163" i="2" s="1"/>
  <c r="Q163" i="2" s="1"/>
  <c r="P165" i="2" a="1"/>
  <c r="P165" i="2"/>
  <c r="Q165" i="2"/>
  <c r="P167" i="2" a="1"/>
  <c r="P167" i="2"/>
  <c r="Q167" i="2"/>
  <c r="P169" i="2" a="1"/>
  <c r="P169" i="2"/>
  <c r="Q169" i="2"/>
  <c r="P171" i="2" a="1"/>
  <c r="P171" i="2"/>
  <c r="Q17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tc={BCDE67D4-6E4B-4E4E-97C2-0DA889103730}</author>
    <author>tc={631C2C6D-3128-49D8-A0D7-75AB7E42B908}</author>
    <author>tc={0B386130-2AF5-4F7B-95B6-4D0EDC0E6880}</author>
  </authors>
  <commentList>
    <comment ref="G4" authorId="0" shapeId="0" xr:uid="{BCDE67D4-6E4B-4E4E-97C2-0DA88910373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실제 하드웨어 에서는 해당 기능 삭제됨
(의미없는 Bit)</t>
      </text>
    </comment>
    <comment ref="I99" authorId="1" shapeId="0" xr:uid="{631C2C6D-3128-49D8-A0D7-75AB7E42B90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TEST_EN:1 시에
LD_TYPE을 무시하고 12채널에
VREF, FB , SHORT 데이터를 입력
01 : R
10 : G
11 : B</t>
      </text>
    </comment>
    <comment ref="M99" authorId="2" shapeId="0" xr:uid="{0B386130-2AF5-4F7B-95B6-4D0EDC0E688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READ 동작 가능하려면 = 1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<sst xmlns="http://schemas.openxmlformats.org/spreadsheetml/2006/main" count="1073" uniqueCount="509">
  <si>
    <t>VERSION0 [7:0]</t>
    <phoneticPr fontId="6" type="noConversion"/>
  </si>
  <si>
    <t>x</t>
    <phoneticPr fontId="6" type="noConversion"/>
  </si>
  <si>
    <t>0x000</t>
    <phoneticPr fontId="6" type="noConversion"/>
  </si>
  <si>
    <t>0x1E</t>
    <phoneticPr fontId="6" type="noConversion"/>
  </si>
  <si>
    <t>GAIN_CH12 [6:0]</t>
    <phoneticPr fontId="6" type="noConversion"/>
  </si>
  <si>
    <t>0x040</t>
    <phoneticPr fontId="6" type="noConversion"/>
  </si>
  <si>
    <t>0x1D</t>
    <phoneticPr fontId="6" type="noConversion"/>
  </si>
  <si>
    <t>GAIN_CH11 [6:0]</t>
    <phoneticPr fontId="6" type="noConversion"/>
  </si>
  <si>
    <t>0x1C</t>
    <phoneticPr fontId="6" type="noConversion"/>
  </si>
  <si>
    <t>GAIN_CH10 [6:0]</t>
    <phoneticPr fontId="6" type="noConversion"/>
  </si>
  <si>
    <t>0x1B</t>
    <phoneticPr fontId="6" type="noConversion"/>
  </si>
  <si>
    <t>GAIN_CH9 [6:0]</t>
    <phoneticPr fontId="6" type="noConversion"/>
  </si>
  <si>
    <t>0x1A</t>
    <phoneticPr fontId="6" type="noConversion"/>
  </si>
  <si>
    <t>GAIN_CH8 [6:0]</t>
    <phoneticPr fontId="6" type="noConversion"/>
  </si>
  <si>
    <t>0x19</t>
    <phoneticPr fontId="6" type="noConversion"/>
  </si>
  <si>
    <t>GAIN_CH7 [6:0]</t>
    <phoneticPr fontId="6" type="noConversion"/>
  </si>
  <si>
    <t>0x18</t>
    <phoneticPr fontId="6" type="noConversion"/>
  </si>
  <si>
    <t>GAIN_CH6 [6:0]</t>
    <phoneticPr fontId="6" type="noConversion"/>
  </si>
  <si>
    <t>0x17</t>
    <phoneticPr fontId="6" type="noConversion"/>
  </si>
  <si>
    <t>GAIN_CH5 [6:0]</t>
    <phoneticPr fontId="6" type="noConversion"/>
  </si>
  <si>
    <t>0x16</t>
    <phoneticPr fontId="6" type="noConversion"/>
  </si>
  <si>
    <t>GAIN_CH4 [6:0]</t>
    <phoneticPr fontId="6" type="noConversion"/>
  </si>
  <si>
    <t>0x15</t>
    <phoneticPr fontId="6" type="noConversion"/>
  </si>
  <si>
    <t>GAIN_CH3 [6:0]</t>
    <phoneticPr fontId="6" type="noConversion"/>
  </si>
  <si>
    <t>0x14</t>
    <phoneticPr fontId="6" type="noConversion"/>
  </si>
  <si>
    <t>GAIN_CH2 [6:0]</t>
    <phoneticPr fontId="6" type="noConversion"/>
  </si>
  <si>
    <t>0x13</t>
    <phoneticPr fontId="6" type="noConversion"/>
  </si>
  <si>
    <t>GAIN_CH1 [6:0]</t>
    <phoneticPr fontId="6" type="noConversion"/>
  </si>
  <si>
    <t>0x12</t>
    <phoneticPr fontId="6" type="noConversion"/>
  </si>
  <si>
    <t>OFS_CH12 [8:0]</t>
    <phoneticPr fontId="6" type="noConversion"/>
  </si>
  <si>
    <t>0x11</t>
    <phoneticPr fontId="6" type="noConversion"/>
  </si>
  <si>
    <t>OFS_CH11 [8:0]</t>
    <phoneticPr fontId="6" type="noConversion"/>
  </si>
  <si>
    <t>0x10</t>
    <phoneticPr fontId="6" type="noConversion"/>
  </si>
  <si>
    <t>OFS_CH10 [8:0]</t>
    <phoneticPr fontId="6" type="noConversion"/>
  </si>
  <si>
    <t>0x0F</t>
    <phoneticPr fontId="6" type="noConversion"/>
  </si>
  <si>
    <t>OFS_CH9 [8:0]</t>
    <phoneticPr fontId="6" type="noConversion"/>
  </si>
  <si>
    <t>0x0E</t>
    <phoneticPr fontId="6" type="noConversion"/>
  </si>
  <si>
    <t>OFS_CH8 [8:0]</t>
    <phoneticPr fontId="6" type="noConversion"/>
  </si>
  <si>
    <t>0x0D</t>
    <phoneticPr fontId="6" type="noConversion"/>
  </si>
  <si>
    <t>OFS_CH7 [8:0]</t>
    <phoneticPr fontId="6" type="noConversion"/>
  </si>
  <si>
    <t>0x0C</t>
    <phoneticPr fontId="6" type="noConversion"/>
  </si>
  <si>
    <t>OFS_CH6 [8:0]</t>
    <phoneticPr fontId="6" type="noConversion"/>
  </si>
  <si>
    <t>0x0B</t>
    <phoneticPr fontId="6" type="noConversion"/>
  </si>
  <si>
    <t>OFS_CH5 [8:0]</t>
    <phoneticPr fontId="6" type="noConversion"/>
  </si>
  <si>
    <t>0x0A</t>
    <phoneticPr fontId="6" type="noConversion"/>
  </si>
  <si>
    <t>OFS_CH4 [8:0]</t>
    <phoneticPr fontId="6" type="noConversion"/>
  </si>
  <si>
    <t>0x09</t>
    <phoneticPr fontId="6" type="noConversion"/>
  </si>
  <si>
    <t>OFS_CH3 [8:0]</t>
    <phoneticPr fontId="6" type="noConversion"/>
  </si>
  <si>
    <t>0x08</t>
    <phoneticPr fontId="6" type="noConversion"/>
  </si>
  <si>
    <t>OFS_CH2 [8:0]</t>
    <phoneticPr fontId="6" type="noConversion"/>
  </si>
  <si>
    <t>0x07</t>
    <phoneticPr fontId="6" type="noConversion"/>
  </si>
  <si>
    <t>OFS_CH1 [8:0]</t>
    <phoneticPr fontId="6" type="noConversion"/>
  </si>
  <si>
    <t>0x06</t>
    <phoneticPr fontId="6" type="noConversion"/>
  </si>
  <si>
    <t>LDO_CTL [3:0]</t>
    <phoneticPr fontId="6" type="noConversion"/>
  </si>
  <si>
    <t>LDO_OSC_CTL [3:0]</t>
    <phoneticPr fontId="6" type="noConversion"/>
  </si>
  <si>
    <t>0x05</t>
    <phoneticPr fontId="6" type="noConversion"/>
  </si>
  <si>
    <t>OSC_RCTL [4:0]</t>
    <phoneticPr fontId="6" type="noConversion"/>
  </si>
  <si>
    <t>LDO_DAC_CTL [4:0]</t>
    <phoneticPr fontId="6" type="noConversion"/>
  </si>
  <si>
    <t>0x810</t>
    <phoneticPr fontId="6" type="noConversion"/>
  </si>
  <si>
    <t>0x04</t>
    <phoneticPr fontId="6" type="noConversion"/>
  </si>
  <si>
    <t>LDO_BGR2_CTL [4:0]</t>
    <phoneticPr fontId="6" type="noConversion"/>
  </si>
  <si>
    <t>OFS_TEMP [3:0]</t>
    <phoneticPr fontId="6" type="noConversion"/>
  </si>
  <si>
    <t>0x03</t>
    <phoneticPr fontId="6" type="noConversion"/>
  </si>
  <si>
    <t>BGR2_TC [4:0]</t>
    <phoneticPr fontId="6" type="noConversion"/>
  </si>
  <si>
    <t>IREF2_CTL [4:0]</t>
    <phoneticPr fontId="6" type="noConversion"/>
  </si>
  <si>
    <t>0x210</t>
    <phoneticPr fontId="6" type="noConversion"/>
  </si>
  <si>
    <t>0x02</t>
    <phoneticPr fontId="6" type="noConversion"/>
  </si>
  <si>
    <t>BGR_TC [4:0]</t>
    <phoneticPr fontId="6" type="noConversion"/>
  </si>
  <si>
    <t>IREF_CTL [4:0]</t>
    <phoneticPr fontId="6" type="noConversion"/>
  </si>
  <si>
    <t>0x01</t>
  </si>
  <si>
    <t>OTP_CRC_CHECKSUM [7:0]</t>
    <phoneticPr fontId="6" type="noConversion"/>
  </si>
  <si>
    <t>0x00</t>
    <phoneticPr fontId="6" type="noConversion"/>
  </si>
  <si>
    <t>OTP MIRROR</t>
    <phoneticPr fontId="6" type="noConversion"/>
  </si>
  <si>
    <t>PROTECT_EN</t>
    <phoneticPr fontId="6" type="noConversion"/>
  </si>
  <si>
    <t>0x555</t>
    <phoneticPr fontId="6" type="noConversion"/>
  </si>
  <si>
    <t>0x3E</t>
    <phoneticPr fontId="6" type="noConversion"/>
  </si>
  <si>
    <t>OTP PROTECT</t>
    <phoneticPr fontId="6" type="noConversion"/>
  </si>
  <si>
    <t>OTP_PG_S</t>
    <phoneticPr fontId="6" type="noConversion"/>
  </si>
  <si>
    <t>OTP_RD_S</t>
    <phoneticPr fontId="6" type="noConversion"/>
  </si>
  <si>
    <t>OTP_PG_DONE</t>
    <phoneticPr fontId="6" type="noConversion"/>
  </si>
  <si>
    <t>0x3D</t>
    <phoneticPr fontId="6" type="noConversion"/>
  </si>
  <si>
    <t>OTP RD/PROG</t>
    <phoneticPr fontId="6" type="noConversion"/>
  </si>
  <si>
    <t>OTP_WSEL [3:0]</t>
    <phoneticPr fontId="6" type="noConversion"/>
  </si>
  <si>
    <t>OTP_RD [1:0]</t>
    <phoneticPr fontId="6" type="noConversion"/>
  </si>
  <si>
    <t>0x004</t>
    <phoneticPr fontId="6" type="noConversion"/>
  </si>
  <si>
    <t>0x3C</t>
    <phoneticPr fontId="6" type="noConversion"/>
  </si>
  <si>
    <t>OTP WRITE</t>
    <phoneticPr fontId="6" type="noConversion"/>
  </si>
  <si>
    <t>OTP_PG_ACC_CYCLE [11:0]</t>
    <phoneticPr fontId="6" type="noConversion"/>
  </si>
  <si>
    <t>0x3FF</t>
    <phoneticPr fontId="6" type="noConversion"/>
  </si>
  <si>
    <t>0x3B</t>
    <phoneticPr fontId="6" type="noConversion"/>
  </si>
  <si>
    <t>OTP_ACCESS2</t>
    <phoneticPr fontId="6" type="noConversion"/>
  </si>
  <si>
    <t>OTP_PG_ACC_CYCLE[15:12]</t>
    <phoneticPr fontId="6" type="noConversion"/>
  </si>
  <si>
    <t>0x3A</t>
    <phoneticPr fontId="6" type="noConversion"/>
  </si>
  <si>
    <t>OTP_ACCESS1</t>
    <phoneticPr fontId="6" type="noConversion"/>
  </si>
  <si>
    <t>TEST_ANA_EN[4:0]</t>
    <phoneticPr fontId="6" type="noConversion"/>
  </si>
  <si>
    <t>0x39</t>
    <phoneticPr fontId="6" type="noConversion"/>
  </si>
  <si>
    <t>TEST_ANA_EN</t>
    <phoneticPr fontId="6" type="noConversion"/>
  </si>
  <si>
    <t>ADDR_EXT</t>
    <phoneticPr fontId="6" type="noConversion"/>
  </si>
  <si>
    <t>EXT_CLKIN</t>
    <phoneticPr fontId="6" type="noConversion"/>
  </si>
  <si>
    <t>RD_EN</t>
    <phoneticPr fontId="6" type="noConversion"/>
  </si>
  <si>
    <t>DTEST_MUX
_EN</t>
    <phoneticPr fontId="6" type="noConversion"/>
  </si>
  <si>
    <t>MCLK64_O</t>
    <phoneticPr fontId="6" type="noConversion"/>
  </si>
  <si>
    <t>PWMOUT_FULL</t>
    <phoneticPr fontId="6" type="noConversion"/>
  </si>
  <si>
    <t>SW_SEL[1:0]</t>
    <phoneticPr fontId="6" type="noConversion"/>
  </si>
  <si>
    <t>TEST_EN</t>
    <phoneticPr fontId="6" type="noConversion"/>
  </si>
  <si>
    <t>0x3F</t>
    <phoneticPr fontId="6" type="noConversion"/>
  </si>
  <si>
    <t>OP MODE</t>
    <phoneticPr fontId="6" type="noConversion"/>
  </si>
  <si>
    <t>OTP CONTROL</t>
    <phoneticPr fontId="6" type="noConversion"/>
  </si>
  <si>
    <t>VREF_FIX3 [11:0]</t>
    <phoneticPr fontId="6" type="noConversion"/>
  </si>
  <si>
    <t>0x2E</t>
    <phoneticPr fontId="6" type="noConversion"/>
  </si>
  <si>
    <t>VREF_FIX3</t>
    <phoneticPr fontId="6" type="noConversion"/>
  </si>
  <si>
    <t>VREF_FIX2 [11:0]</t>
    <phoneticPr fontId="6" type="noConversion"/>
  </si>
  <si>
    <t>0x2D</t>
    <phoneticPr fontId="6" type="noConversion"/>
  </si>
  <si>
    <t>VREF_FIX2</t>
    <phoneticPr fontId="6" type="noConversion"/>
  </si>
  <si>
    <t>VREF_FIX1 [11:0]</t>
    <phoneticPr fontId="6" type="noConversion"/>
  </si>
  <si>
    <t>0x2C</t>
    <phoneticPr fontId="6" type="noConversion"/>
  </si>
  <si>
    <t>VREF_FIX1</t>
    <phoneticPr fontId="6" type="noConversion"/>
  </si>
  <si>
    <t>DC_MCLK_EN</t>
    <phoneticPr fontId="6" type="noConversion"/>
  </si>
  <si>
    <t>FR1_MCLK_EN</t>
    <phoneticPr fontId="6" type="noConversion"/>
  </si>
  <si>
    <t>FR2_MCLK_EN</t>
    <phoneticPr fontId="6" type="noConversion"/>
  </si>
  <si>
    <t>OTP_MCLK_EN</t>
    <phoneticPr fontId="6" type="noConversion"/>
  </si>
  <si>
    <t>0x017</t>
    <phoneticPr fontId="6" type="noConversion"/>
  </si>
  <si>
    <t>0x2B</t>
    <phoneticPr fontId="6" type="noConversion"/>
  </si>
  <si>
    <t>CLOCK GATE EN</t>
    <phoneticPr fontId="6" type="noConversion"/>
  </si>
  <si>
    <t>SPRD_GAIN[2:0]</t>
    <phoneticPr fontId="6" type="noConversion"/>
  </si>
  <si>
    <t>SPRD_SPD[2:0]</t>
    <phoneticPr fontId="6" type="noConversion"/>
  </si>
  <si>
    <t>SPRD_EN</t>
    <phoneticPr fontId="6" type="noConversion"/>
  </si>
  <si>
    <t>0x2A</t>
    <phoneticPr fontId="6" type="noConversion"/>
  </si>
  <si>
    <t>OSC SPREAD</t>
    <phoneticPr fontId="6" type="noConversion"/>
  </si>
  <si>
    <t>OSC_FLL_MAN[15:12]</t>
    <phoneticPr fontId="6" type="noConversion"/>
  </si>
  <si>
    <t>OSC_FLL_ERR_RANGE[1:0]</t>
    <phoneticPr fontId="6" type="noConversion"/>
  </si>
  <si>
    <t>OSC_MAN
_EN</t>
    <phoneticPr fontId="6" type="noConversion"/>
  </si>
  <si>
    <t>0x29</t>
    <phoneticPr fontId="6" type="noConversion"/>
  </si>
  <si>
    <t>OSC_FLL_MAN2</t>
    <phoneticPr fontId="6" type="noConversion"/>
  </si>
  <si>
    <t>OSC_FLL_MAN [11:0]</t>
    <phoneticPr fontId="6" type="noConversion"/>
  </si>
  <si>
    <t>0x28</t>
    <phoneticPr fontId="6" type="noConversion"/>
  </si>
  <si>
    <t>OSC_FLL_MAN1</t>
    <phoneticPr fontId="6" type="noConversion"/>
  </si>
  <si>
    <t>FLT_GAIN [1:0]</t>
    <phoneticPr fontId="6" type="noConversion"/>
  </si>
  <si>
    <t>O_SLEW[1:0]</t>
    <phoneticPr fontId="6" type="noConversion"/>
  </si>
  <si>
    <t>FLT_CTL [1:0]</t>
    <phoneticPr fontId="6" type="noConversion"/>
  </si>
  <si>
    <t>DAC_RNG</t>
    <phoneticPr fontId="6" type="noConversion"/>
  </si>
  <si>
    <t>OV_SWAP_EN</t>
    <phoneticPr fontId="6" type="noConversion"/>
  </si>
  <si>
    <t>0x029</t>
    <phoneticPr fontId="6" type="noConversion"/>
  </si>
  <si>
    <t>0x27</t>
    <phoneticPr fontId="6" type="noConversion"/>
  </si>
  <si>
    <t>TEMP</t>
    <phoneticPr fontId="6" type="noConversion"/>
  </si>
  <si>
    <t>CHOP_BGR
_EN</t>
    <phoneticPr fontId="6" type="noConversion"/>
  </si>
  <si>
    <t>CHOP_DAC
_EN</t>
    <phoneticPr fontId="6" type="noConversion"/>
  </si>
  <si>
    <t>CHOP_OSC
_EN</t>
    <phoneticPr fontId="6" type="noConversion"/>
  </si>
  <si>
    <t>CHOP_OSC
LDO_EN</t>
    <phoneticPr fontId="6" type="noConversion"/>
  </si>
  <si>
    <t>CHOP_DRV
_EN</t>
    <phoneticPr fontId="6" type="noConversion"/>
  </si>
  <si>
    <t>CHOP_EN</t>
    <phoneticPr fontId="6" type="noConversion"/>
  </si>
  <si>
    <t>OPEN_MASK_OPT</t>
    <phoneticPr fontId="6" type="noConversion"/>
  </si>
  <si>
    <t>0x26</t>
    <phoneticPr fontId="6" type="noConversion"/>
  </si>
  <si>
    <t>DGRJT_EN1</t>
    <phoneticPr fontId="6" type="noConversion"/>
  </si>
  <si>
    <t>DGRJT_EN2</t>
    <phoneticPr fontId="6" type="noConversion"/>
  </si>
  <si>
    <t>BBKN_EN</t>
    <phoneticPr fontId="6" type="noConversion"/>
  </si>
  <si>
    <t>SGRJT_EN1</t>
    <phoneticPr fontId="6" type="noConversion"/>
  </si>
  <si>
    <t>SGRJT_EN2</t>
    <phoneticPr fontId="6" type="noConversion"/>
  </si>
  <si>
    <t>O_EMI_REJ_EN</t>
    <phoneticPr fontId="6" type="noConversion"/>
  </si>
  <si>
    <t>BBKN_TH [5:0]</t>
    <phoneticPr fontId="6" type="noConversion"/>
  </si>
  <si>
    <t>0x25</t>
    <phoneticPr fontId="6" type="noConversion"/>
  </si>
  <si>
    <t>NF_CONTROL</t>
    <phoneticPr fontId="6" type="noConversion"/>
  </si>
  <si>
    <t>WR_PROTECT[11:0]</t>
    <phoneticPr fontId="6" type="noConversion"/>
  </si>
  <si>
    <t>0x24</t>
    <phoneticPr fontId="6" type="noConversion"/>
  </si>
  <si>
    <t>WR_PROTECT</t>
    <phoneticPr fontId="6" type="noConversion"/>
  </si>
  <si>
    <t>FLLCNT[19:12]</t>
    <phoneticPr fontId="6" type="noConversion"/>
  </si>
  <si>
    <t>FLL_RANGE[1:0]</t>
    <phoneticPr fontId="6" type="noConversion"/>
  </si>
  <si>
    <t>FLL_EN</t>
    <phoneticPr fontId="6" type="noConversion"/>
  </si>
  <si>
    <t>0xC32</t>
    <phoneticPr fontId="6" type="noConversion"/>
  </si>
  <si>
    <t>0x23</t>
    <phoneticPr fontId="6" type="noConversion"/>
  </si>
  <si>
    <t>FLLCNT2</t>
    <phoneticPr fontId="6" type="noConversion"/>
  </si>
  <si>
    <t>FLLCNT[11:0]</t>
    <phoneticPr fontId="6" type="noConversion"/>
  </si>
  <si>
    <t>0x22</t>
    <phoneticPr fontId="6" type="noConversion"/>
  </si>
  <si>
    <t>FLLCNT1</t>
    <phoneticPr fontId="6" type="noConversion"/>
  </si>
  <si>
    <t>TIMEOUT[10:0]</t>
    <phoneticPr fontId="6" type="noConversion"/>
  </si>
  <si>
    <t>0x21</t>
    <phoneticPr fontId="6" type="noConversion"/>
  </si>
  <si>
    <t>TIMEOUT</t>
    <phoneticPr fontId="6" type="noConversion"/>
  </si>
  <si>
    <t>RSTCNT [9:0]</t>
    <phoneticPr fontId="6" type="noConversion"/>
  </si>
  <si>
    <t>0x20</t>
    <phoneticPr fontId="6" type="noConversion"/>
  </si>
  <si>
    <t>RSTCNT</t>
    <phoneticPr fontId="6" type="noConversion"/>
  </si>
  <si>
    <t>SV_MASK [9:0]</t>
    <phoneticPr fontId="6" type="noConversion"/>
  </si>
  <si>
    <t>SV_MASK_EN</t>
    <phoneticPr fontId="6" type="noConversion"/>
  </si>
  <si>
    <t>0x1F</t>
    <phoneticPr fontId="6" type="noConversion"/>
  </si>
  <si>
    <t>SV_MASK</t>
    <phoneticPr fontId="6" type="noConversion"/>
  </si>
  <si>
    <t>V_MASK [9:0]</t>
    <phoneticPr fontId="6" type="noConversion"/>
  </si>
  <si>
    <t>V_MASK</t>
    <phoneticPr fontId="6" type="noConversion"/>
  </si>
  <si>
    <t>SERIAL_LATENCY [8:0]</t>
    <phoneticPr fontId="6" type="noConversion"/>
  </si>
  <si>
    <t>0x080</t>
    <phoneticPr fontId="6" type="noConversion"/>
  </si>
  <si>
    <t>SERIAL_LATENCY</t>
    <phoneticPr fontId="6" type="noConversion"/>
  </si>
  <si>
    <t>SERIAL_CLK_HIGH [5:0]</t>
    <phoneticPr fontId="6" type="noConversion"/>
  </si>
  <si>
    <t>SERIAL_CLK_LOW [5:0]</t>
    <phoneticPr fontId="6" type="noConversion"/>
  </si>
  <si>
    <t>0x318</t>
    <phoneticPr fontId="6" type="noConversion"/>
  </si>
  <si>
    <t>SERIAL_CLK_GEN</t>
    <phoneticPr fontId="6" type="noConversion"/>
  </si>
  <si>
    <t>TM_CH_CTRL_INPUT_FLIP</t>
    <phoneticPr fontId="6" type="noConversion"/>
  </si>
  <si>
    <t>TESTMODE</t>
    <phoneticPr fontId="6" type="noConversion"/>
  </si>
  <si>
    <t>TEST MODE1</t>
    <phoneticPr fontId="6" type="noConversion"/>
  </si>
  <si>
    <t>DMUX_SEL[4:0]</t>
    <phoneticPr fontId="6" type="noConversion"/>
  </si>
  <si>
    <t>TEST MODE0</t>
    <phoneticPr fontId="6" type="noConversion"/>
  </si>
  <si>
    <t>BIST_ERR
(R/O)</t>
    <phoneticPr fontId="6" type="noConversion"/>
  </si>
  <si>
    <t>BIST_DONE
(R/O)</t>
    <phoneticPr fontId="6" type="noConversion"/>
  </si>
  <si>
    <t>BIST_BUSY
(R/O)</t>
    <phoneticPr fontId="6" type="noConversion"/>
  </si>
  <si>
    <t>BIST_START</t>
    <phoneticPr fontId="6" type="noConversion"/>
  </si>
  <si>
    <t>BIST</t>
    <phoneticPr fontId="6" type="noConversion"/>
  </si>
  <si>
    <t>LDO
_OVUV_EN</t>
    <phoneticPr fontId="6" type="noConversion"/>
  </si>
  <si>
    <t>OSC_LDO
_OVUV_EN</t>
    <phoneticPr fontId="6" type="noConversion"/>
  </si>
  <si>
    <t>VREF_OVUV
_EN</t>
    <phoneticPr fontId="6" type="noConversion"/>
  </si>
  <si>
    <t>VREF_OVUV
OFF_EN</t>
    <phoneticPr fontId="6" type="noConversion"/>
  </si>
  <si>
    <t>CH_CTRL
_MISMATCH
_EN</t>
    <phoneticPr fontId="6" type="noConversion"/>
  </si>
  <si>
    <t>VS_MISS_EN</t>
    <phoneticPr fontId="6" type="noConversion"/>
  </si>
  <si>
    <t>VS_MISS
_DIMM_EN</t>
    <phoneticPr fontId="6" type="noConversion"/>
  </si>
  <si>
    <t>WD_EN</t>
    <phoneticPr fontId="6" type="noConversion"/>
  </si>
  <si>
    <t>WD_TIMECFG[1:0]</t>
    <phoneticPr fontId="6" type="noConversion"/>
  </si>
  <si>
    <t>WD_DIMM_EN</t>
    <phoneticPr fontId="6" type="noConversion"/>
  </si>
  <si>
    <t>CRC_EN</t>
    <phoneticPr fontId="6" type="noConversion"/>
  </si>
  <si>
    <t>0x31F</t>
    <phoneticPr fontId="6" type="noConversion"/>
  </si>
  <si>
    <t>FAULT CONFIGURATION</t>
    <phoneticPr fontId="6" type="noConversion"/>
  </si>
  <si>
    <t>DELAY_CH11 [4:0]</t>
    <phoneticPr fontId="6" type="noConversion"/>
  </si>
  <si>
    <t>DELAY_CH12 [4:0]</t>
    <phoneticPr fontId="6" type="noConversion"/>
  </si>
  <si>
    <t>DELAY_CH11/12</t>
    <phoneticPr fontId="6" type="noConversion"/>
  </si>
  <si>
    <t>DELAY_CH9 [4:0]</t>
    <phoneticPr fontId="6" type="noConversion"/>
  </si>
  <si>
    <t>DELAY_CH10 [4:0]</t>
    <phoneticPr fontId="6" type="noConversion"/>
  </si>
  <si>
    <t>DELAY_CH9/10</t>
    <phoneticPr fontId="6" type="noConversion"/>
  </si>
  <si>
    <t>DELAY_CH7 [4:0]</t>
    <phoneticPr fontId="6" type="noConversion"/>
  </si>
  <si>
    <t>DELAY_CH8 [4:0]</t>
    <phoneticPr fontId="6" type="noConversion"/>
  </si>
  <si>
    <t>DELAY_CH7/8</t>
    <phoneticPr fontId="6" type="noConversion"/>
  </si>
  <si>
    <t>DELAY_CH5 [4:0]</t>
    <phoneticPr fontId="6" type="noConversion"/>
  </si>
  <si>
    <t>DELAY_CH6 [4:0]</t>
    <phoneticPr fontId="6" type="noConversion"/>
  </si>
  <si>
    <t>DELAY_CH5/6</t>
    <phoneticPr fontId="6" type="noConversion"/>
  </si>
  <si>
    <t>DELAY_CH3 [4:0]</t>
    <phoneticPr fontId="6" type="noConversion"/>
  </si>
  <si>
    <t>DELAY_CH4 [4:0]</t>
    <phoneticPr fontId="6" type="noConversion"/>
  </si>
  <si>
    <t>DELAY_CH3/4</t>
    <phoneticPr fontId="6" type="noConversion"/>
  </si>
  <si>
    <t>DELAY_CH1 [4:0]</t>
    <phoneticPr fontId="6" type="noConversion"/>
  </si>
  <si>
    <t>DELAY_CH2 [4:0]</t>
    <phoneticPr fontId="6" type="noConversion"/>
  </si>
  <si>
    <t>DELAY_CH1/2</t>
    <phoneticPr fontId="6" type="noConversion"/>
  </si>
  <si>
    <t>CH1_LD_TYPE</t>
    <phoneticPr fontId="6" type="noConversion"/>
  </si>
  <si>
    <t>CH2_LD_TYPE</t>
    <phoneticPr fontId="6" type="noConversion"/>
  </si>
  <si>
    <t>CH3_LD_TYPE</t>
    <phoneticPr fontId="6" type="noConversion"/>
  </si>
  <si>
    <t>CH4_LD_TYPE</t>
    <phoneticPr fontId="6" type="noConversion"/>
  </si>
  <si>
    <t>CH5_LD_TYPE</t>
    <phoneticPr fontId="6" type="noConversion"/>
  </si>
  <si>
    <t>CH6_LD_TYPE</t>
    <phoneticPr fontId="6" type="noConversion"/>
  </si>
  <si>
    <t>CH7_LD_TYPE</t>
    <phoneticPr fontId="6" type="noConversion"/>
  </si>
  <si>
    <t>CH8_LD_TYPE</t>
    <phoneticPr fontId="6" type="noConversion"/>
  </si>
  <si>
    <t>CH9_LD_TYPE</t>
    <phoneticPr fontId="6" type="noConversion"/>
  </si>
  <si>
    <t>CH10_LD_TYPE</t>
    <phoneticPr fontId="6" type="noConversion"/>
  </si>
  <si>
    <t>CH11_LD_TYPE</t>
    <phoneticPr fontId="6" type="noConversion"/>
  </si>
  <si>
    <t>CH12_LD_TYPE</t>
    <phoneticPr fontId="6" type="noConversion"/>
  </si>
  <si>
    <t>CHx_LD_TYPE</t>
    <phoneticPr fontId="6" type="noConversion"/>
  </si>
  <si>
    <t>MAX_CURR_VREF3[11:0]</t>
    <phoneticPr fontId="6" type="noConversion"/>
  </si>
  <si>
    <t>MAX_CURR_VREF3</t>
    <phoneticPr fontId="6" type="noConversion"/>
  </si>
  <si>
    <t>MAX_CURR_VREF2[11:0]</t>
    <phoneticPr fontId="6" type="noConversion"/>
  </si>
  <si>
    <t>MAX_CURR_VREF2</t>
    <phoneticPr fontId="6" type="noConversion"/>
  </si>
  <si>
    <t>MAX_CURR_VREF1[11:0]</t>
    <phoneticPr fontId="6" type="noConversion"/>
  </si>
  <si>
    <t>MAX_CURR_VREF1</t>
    <phoneticPr fontId="6" type="noConversion"/>
  </si>
  <si>
    <t>0 : 4mA ~ 15 : 64mA   ( 4mA step)</t>
    <phoneticPr fontId="6" type="noConversion"/>
  </si>
  <si>
    <t>MAX_CURR_LEVEL1 [3:0]</t>
    <phoneticPr fontId="6" type="noConversion"/>
  </si>
  <si>
    <t>MAX_CURR_LEVEL2 [3:0]</t>
    <phoneticPr fontId="6" type="noConversion"/>
  </si>
  <si>
    <t>MAX_CURR_LEVEL3 [3:0]</t>
    <phoneticPr fontId="6" type="noConversion"/>
  </si>
  <si>
    <t>MAX CURRENT LEVEL</t>
    <phoneticPr fontId="6" type="noConversion"/>
  </si>
  <si>
    <t>SHORT_CH1</t>
    <phoneticPr fontId="6" type="noConversion"/>
  </si>
  <si>
    <t>SHORT_CH2</t>
    <phoneticPr fontId="6" type="noConversion"/>
  </si>
  <si>
    <t>SHORT_CH3</t>
    <phoneticPr fontId="6" type="noConversion"/>
  </si>
  <si>
    <t>SHORT_CH4</t>
    <phoneticPr fontId="6" type="noConversion"/>
  </si>
  <si>
    <t>SHORT_CH5</t>
    <phoneticPr fontId="6" type="noConversion"/>
  </si>
  <si>
    <t>SHORT_CH6</t>
    <phoneticPr fontId="6" type="noConversion"/>
  </si>
  <si>
    <t>SHORT_CH7</t>
    <phoneticPr fontId="6" type="noConversion"/>
  </si>
  <si>
    <t>SHORT_CH8</t>
    <phoneticPr fontId="6" type="noConversion"/>
  </si>
  <si>
    <t>SHORT_CH9</t>
    <phoneticPr fontId="6" type="noConversion"/>
  </si>
  <si>
    <t>SHORT_CH10</t>
    <phoneticPr fontId="6" type="noConversion"/>
  </si>
  <si>
    <t>SHORT_CH11</t>
    <phoneticPr fontId="6" type="noConversion"/>
  </si>
  <si>
    <t>SHORT_CH12</t>
    <phoneticPr fontId="6" type="noConversion"/>
  </si>
  <si>
    <t>FAULT STATUS3</t>
    <phoneticPr fontId="6" type="noConversion"/>
  </si>
  <si>
    <t>OPEN_CH1</t>
    <phoneticPr fontId="6" type="noConversion"/>
  </si>
  <si>
    <t>OPEN_CH2</t>
    <phoneticPr fontId="6" type="noConversion"/>
  </si>
  <si>
    <t>OPEN_CH3</t>
    <phoneticPr fontId="6" type="noConversion"/>
  </si>
  <si>
    <t>OPEN_CH4</t>
    <phoneticPr fontId="6" type="noConversion"/>
  </si>
  <si>
    <t>OPEN_CH5</t>
    <phoneticPr fontId="6" type="noConversion"/>
  </si>
  <si>
    <t>OPEN_CH6</t>
    <phoneticPr fontId="6" type="noConversion"/>
  </si>
  <si>
    <t>OPEN_CH7</t>
    <phoneticPr fontId="6" type="noConversion"/>
  </si>
  <si>
    <t>OPEN_CH8</t>
    <phoneticPr fontId="6" type="noConversion"/>
  </si>
  <si>
    <t>OPEN_CH9</t>
    <phoneticPr fontId="6" type="noConversion"/>
  </si>
  <si>
    <t>OPEN_CH10</t>
    <phoneticPr fontId="6" type="noConversion"/>
  </si>
  <si>
    <t>OPEN_CH11</t>
    <phoneticPr fontId="6" type="noConversion"/>
  </si>
  <si>
    <t>OPEN_CH12</t>
    <phoneticPr fontId="6" type="noConversion"/>
  </si>
  <si>
    <t>FAULT STATUS2</t>
    <phoneticPr fontId="6" type="noConversion"/>
  </si>
  <si>
    <t>THERMAL</t>
    <phoneticPr fontId="6" type="noConversion"/>
  </si>
  <si>
    <t>LDO_UV</t>
    <phoneticPr fontId="6" type="noConversion"/>
  </si>
  <si>
    <t>LDO_OV</t>
    <phoneticPr fontId="6" type="noConversion"/>
  </si>
  <si>
    <t>OSC_LDO_UV</t>
    <phoneticPr fontId="6" type="noConversion"/>
  </si>
  <si>
    <t>OSC_LDO_OV</t>
    <phoneticPr fontId="6" type="noConversion"/>
  </si>
  <si>
    <t>VREF_UV</t>
    <phoneticPr fontId="6" type="noConversion"/>
  </si>
  <si>
    <t>VREF_OV</t>
    <phoneticPr fontId="6" type="noConversion"/>
  </si>
  <si>
    <t>CH_CTRL
_MISMATCH</t>
    <phoneticPr fontId="6" type="noConversion"/>
  </si>
  <si>
    <t>VS_MISS</t>
    <phoneticPr fontId="6" type="noConversion"/>
  </si>
  <si>
    <t>WD_TIMEOUT</t>
    <phoneticPr fontId="6" type="noConversion"/>
  </si>
  <si>
    <t>CMD_ERR</t>
    <phoneticPr fontId="6" type="noConversion"/>
  </si>
  <si>
    <t>RESP_ERR</t>
    <phoneticPr fontId="6" type="noConversion"/>
  </si>
  <si>
    <t>FAULT STATUS1</t>
    <phoneticPr fontId="6" type="noConversion"/>
  </si>
  <si>
    <t>FB1</t>
    <phoneticPr fontId="6" type="noConversion"/>
  </si>
  <si>
    <t>FB2</t>
    <phoneticPr fontId="6" type="noConversion"/>
  </si>
  <si>
    <t>FB3</t>
    <phoneticPr fontId="6" type="noConversion"/>
  </si>
  <si>
    <t>OPEN</t>
    <phoneticPr fontId="6" type="noConversion"/>
  </si>
  <si>
    <t>SHORT</t>
    <phoneticPr fontId="6" type="noConversion"/>
  </si>
  <si>
    <t>FAULT STATUS0</t>
    <phoneticPr fontId="6" type="noConversion"/>
  </si>
  <si>
    <t>SHORT1_LEVEL [2:0]</t>
    <phoneticPr fontId="6" type="noConversion"/>
  </si>
  <si>
    <t>SHORT2_LEVEL [2:0]</t>
    <phoneticPr fontId="6" type="noConversion"/>
  </si>
  <si>
    <t>SHORT3_LEVEL [2:0]</t>
    <phoneticPr fontId="6" type="noConversion"/>
  </si>
  <si>
    <t>SHORT LEVEL</t>
    <phoneticPr fontId="6" type="noConversion"/>
  </si>
  <si>
    <t>FB1_LEVEL [2:0]</t>
    <phoneticPr fontId="6" type="noConversion"/>
  </si>
  <si>
    <t>FB2_LEVEL [2:0]</t>
    <phoneticPr fontId="6" type="noConversion"/>
  </si>
  <si>
    <t>FB3_LEVEL [2:0]</t>
    <phoneticPr fontId="6" type="noConversion"/>
  </si>
  <si>
    <t>FB LEVEL</t>
    <phoneticPr fontId="6" type="noConversion"/>
  </si>
  <si>
    <t>O_OFF_E</t>
    <phoneticPr fontId="6" type="noConversion"/>
  </si>
  <si>
    <t>S_OFF_E</t>
    <phoneticPr fontId="6" type="noConversion"/>
  </si>
  <si>
    <t>T_OFF_E</t>
    <phoneticPr fontId="6" type="noConversion"/>
  </si>
  <si>
    <t>O_DET_E</t>
    <phoneticPr fontId="6" type="noConversion"/>
  </si>
  <si>
    <t>S_DET_E</t>
    <phoneticPr fontId="6" type="noConversion"/>
  </si>
  <si>
    <t>T_DET_E</t>
    <phoneticPr fontId="6" type="noConversion"/>
  </si>
  <si>
    <t>O_FB_E</t>
    <phoneticPr fontId="6" type="noConversion"/>
  </si>
  <si>
    <t>FB_MODE[1:0]</t>
    <phoneticPr fontId="6" type="noConversion"/>
  </si>
  <si>
    <t>FT_MODE[1:0]</t>
    <phoneticPr fontId="6" type="noConversion"/>
  </si>
  <si>
    <t>0x03F</t>
    <phoneticPr fontId="6" type="noConversion"/>
  </si>
  <si>
    <t>FAULT CONTROL0</t>
    <phoneticPr fontId="6" type="noConversion"/>
  </si>
  <si>
    <t>CH1_EN</t>
    <phoneticPr fontId="6" type="noConversion"/>
  </si>
  <si>
    <t>CH2_EN</t>
    <phoneticPr fontId="6" type="noConversion"/>
  </si>
  <si>
    <t>CH3_EN</t>
    <phoneticPr fontId="6" type="noConversion"/>
  </si>
  <si>
    <t>CH4_EN</t>
    <phoneticPr fontId="6" type="noConversion"/>
  </si>
  <si>
    <t>CH5_EN</t>
    <phoneticPr fontId="6" type="noConversion"/>
  </si>
  <si>
    <t>CH6_EN</t>
    <phoneticPr fontId="6" type="noConversion"/>
  </si>
  <si>
    <t>CH7_EN</t>
    <phoneticPr fontId="6" type="noConversion"/>
  </si>
  <si>
    <t>CH8_EN</t>
    <phoneticPr fontId="6" type="noConversion"/>
  </si>
  <si>
    <t>CH9_EN</t>
    <phoneticPr fontId="6" type="noConversion"/>
  </si>
  <si>
    <t>CH10_EN</t>
    <phoneticPr fontId="6" type="noConversion"/>
  </si>
  <si>
    <t>CH11_EN</t>
    <phoneticPr fontId="6" type="noConversion"/>
  </si>
  <si>
    <t>CH12_EN</t>
    <phoneticPr fontId="6" type="noConversion"/>
  </si>
  <si>
    <t>CHANNEL ENABLE</t>
    <phoneticPr fontId="6" type="noConversion"/>
  </si>
  <si>
    <t>FPWM_DIV2[7:4]</t>
    <phoneticPr fontId="6" type="noConversion"/>
  </si>
  <si>
    <t>FPWM_DIV3[7:0]</t>
    <phoneticPr fontId="6" type="noConversion"/>
  </si>
  <si>
    <t>PWMCLK_DIV2/3</t>
    <phoneticPr fontId="6" type="noConversion"/>
  </si>
  <si>
    <t>FPWM_DIV2[7:0]</t>
    <phoneticPr fontId="6" type="noConversion"/>
  </si>
  <si>
    <t>FPWM_DIV3[3:0]</t>
    <phoneticPr fontId="6" type="noConversion"/>
  </si>
  <si>
    <t>PWMCLK_DIV1/2</t>
    <phoneticPr fontId="6" type="noConversion"/>
  </si>
  <si>
    <t>LD_SIZE[5:0]</t>
    <phoneticPr fontId="6" type="noConversion"/>
  </si>
  <si>
    <t>LD SIZE</t>
    <phoneticPr fontId="6" type="noConversion"/>
  </si>
  <si>
    <t>LD_MODE</t>
    <phoneticPr fontId="6" type="noConversion"/>
  </si>
  <si>
    <t>LD_DIR</t>
    <phoneticPr fontId="6" type="noConversion"/>
  </si>
  <si>
    <t>PWM_RES</t>
    <phoneticPr fontId="6" type="noConversion"/>
  </si>
  <si>
    <t>SYNCMODE</t>
    <phoneticPr fontId="6" type="noConversion"/>
  </si>
  <si>
    <t>DELAY_CH_EN</t>
    <phoneticPr fontId="6" type="noConversion"/>
  </si>
  <si>
    <t>LD_TYPE</t>
    <phoneticPr fontId="6" type="noConversion"/>
  </si>
  <si>
    <t>SV_NO[5:0]</t>
    <phoneticPr fontId="6" type="noConversion"/>
  </si>
  <si>
    <t>0x01</t>
    <phoneticPr fontId="6" type="noConversion"/>
  </si>
  <si>
    <t>LD CONTROL</t>
    <phoneticPr fontId="6" type="noConversion"/>
  </si>
  <si>
    <t>ID[4:0]</t>
    <phoneticPr fontId="6" type="noConversion"/>
  </si>
  <si>
    <t>LKG_E</t>
    <phoneticPr fontId="6" type="noConversion"/>
  </si>
  <si>
    <t>E_RST</t>
    <phoneticPr fontId="6" type="noConversion"/>
  </si>
  <si>
    <t>VS_RST</t>
    <phoneticPr fontId="6" type="noConversion"/>
  </si>
  <si>
    <t>RST</t>
    <phoneticPr fontId="6" type="noConversion"/>
  </si>
  <si>
    <t>0x100</t>
    <phoneticPr fontId="6" type="noConversion"/>
  </si>
  <si>
    <t>RESET &amp; ID</t>
    <phoneticPr fontId="6" type="noConversion"/>
  </si>
  <si>
    <t>Note</t>
    <phoneticPr fontId="6" type="noConversion"/>
  </si>
  <si>
    <t>Hex</t>
    <phoneticPr fontId="6" type="noConversion"/>
  </si>
  <si>
    <t>Dec</t>
    <phoneticPr fontId="6" type="noConversion"/>
  </si>
  <si>
    <t>B0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</si>
  <si>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</si>
  <si>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</si>
  <si>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</si>
  <si>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</si>
  <si>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</si>
  <si>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</si>
  <si>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</si>
  <si>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</si>
  <si>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</si>
  <si>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</si>
  <si>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  <phoneticPr fontId="6" type="noConversion"/>
  </si>
  <si>
    <t>Default</t>
    <phoneticPr fontId="6" type="noConversion"/>
  </si>
  <si>
    <t>Address</t>
    <phoneticPr fontId="6" type="noConversion"/>
  </si>
  <si>
    <t>Name</t>
    <phoneticPr fontId="6" type="noConversion"/>
  </si>
  <si>
    <t>VS_MISS_DIMM_EN</t>
    <phoneticPr fontId="6" type="noConversion"/>
  </si>
  <si>
    <t>Analog Test mode   (Trimming , Fault , Verify)</t>
    <phoneticPr fontId="6" type="noConversion"/>
  </si>
  <si>
    <t>1’b1</t>
  </si>
  <si>
    <t>VSS</t>
    <phoneticPr fontId="4" type="noConversion"/>
  </si>
  <si>
    <t>0x01F</t>
    <phoneticPr fontId="4" type="noConversion"/>
  </si>
  <si>
    <t>0x01E</t>
    <phoneticPr fontId="4" type="noConversion"/>
  </si>
  <si>
    <t>0x01D</t>
    <phoneticPr fontId="4" type="noConversion"/>
  </si>
  <si>
    <t>VREF2_SHORT3</t>
  </si>
  <si>
    <t>0x01C</t>
    <phoneticPr fontId="4" type="noConversion"/>
  </si>
  <si>
    <t>VREF2_SHORT2</t>
  </si>
  <si>
    <t>0x01B</t>
    <phoneticPr fontId="4" type="noConversion"/>
  </si>
  <si>
    <t>VREF2_SHORT1</t>
  </si>
  <si>
    <t>0x01A</t>
    <phoneticPr fontId="4" type="noConversion"/>
  </si>
  <si>
    <t>VREF2_OPEN</t>
  </si>
  <si>
    <t>0x019</t>
  </si>
  <si>
    <t>VREF_FB3</t>
  </si>
  <si>
    <t>0x018</t>
  </si>
  <si>
    <t>I_FR_CRC_ERR_SENT</t>
  </si>
  <si>
    <t>VREF_FB2</t>
  </si>
  <si>
    <t>0x017</t>
  </si>
  <si>
    <t>I_INVALID_RD_OP</t>
  </si>
  <si>
    <t>VREF_FB1</t>
  </si>
  <si>
    <t>0x016</t>
  </si>
  <si>
    <t>I_TIMEOUT_EXPIRED_FLAG</t>
  </si>
  <si>
    <t>VSS</t>
  </si>
  <si>
    <t>0x015</t>
  </si>
  <si>
    <t>I_LD_INVALID_END</t>
  </si>
  <si>
    <t>0x014</t>
  </si>
  <si>
    <t>I_INVALID_BIT_END</t>
  </si>
  <si>
    <t>0x013</t>
  </si>
  <si>
    <t>I_CHECKSUM_ERR</t>
  </si>
  <si>
    <t>0x012</t>
  </si>
  <si>
    <t>I_RST_CMD</t>
  </si>
  <si>
    <t>0x011</t>
    <phoneticPr fontId="4" type="noConversion"/>
  </si>
  <si>
    <t>I_DIN_BIT_DATA</t>
  </si>
  <si>
    <t>0x010</t>
    <phoneticPr fontId="4" type="noConversion"/>
  </si>
  <si>
    <t>1P5_OSC_UVOV_TEST</t>
    <phoneticPr fontId="4" type="noConversion"/>
  </si>
  <si>
    <t>0x00F</t>
    <phoneticPr fontId="4" type="noConversion"/>
  </si>
  <si>
    <t>I_VREF_UV</t>
  </si>
  <si>
    <t>1P5_DAC_UVOV_TEST</t>
    <phoneticPr fontId="4" type="noConversion"/>
  </si>
  <si>
    <t>0x00E</t>
    <phoneticPr fontId="4" type="noConversion"/>
  </si>
  <si>
    <t>I_VREF_OV</t>
  </si>
  <si>
    <t>1P5_UVOV_TEST</t>
    <phoneticPr fontId="4" type="noConversion"/>
  </si>
  <si>
    <t>0x00D</t>
    <phoneticPr fontId="4" type="noConversion"/>
  </si>
  <si>
    <t>I_OSC_LDO_UV</t>
  </si>
  <si>
    <t>0x00C</t>
    <phoneticPr fontId="4" type="noConversion"/>
  </si>
  <si>
    <t>I_OSC_LDO_OV</t>
  </si>
  <si>
    <t>0x00B</t>
    <phoneticPr fontId="4" type="noConversion"/>
  </si>
  <si>
    <t>I_LDO_UV</t>
  </si>
  <si>
    <t>VDD_UV</t>
    <phoneticPr fontId="4" type="noConversion"/>
  </si>
  <si>
    <t>0x00A</t>
    <phoneticPr fontId="4" type="noConversion"/>
  </si>
  <si>
    <t>I_LDO_OV</t>
  </si>
  <si>
    <t>TEST_VREF2_ZTC</t>
    <phoneticPr fontId="4" type="noConversion"/>
  </si>
  <si>
    <t>0x009</t>
  </si>
  <si>
    <t>I_FAULT_ALL</t>
  </si>
  <si>
    <t>0x008</t>
  </si>
  <si>
    <t>I_OPEN_ALL</t>
  </si>
  <si>
    <t>VREF2_TEST</t>
    <phoneticPr fontId="4" type="noConversion"/>
  </si>
  <si>
    <t>0x007</t>
  </si>
  <si>
    <t>I_SHORT_ALL</t>
  </si>
  <si>
    <t>VREF_TEST</t>
    <phoneticPr fontId="4" type="noConversion"/>
  </si>
  <si>
    <t>0x006</t>
  </si>
  <si>
    <t>I_FB_ALL</t>
  </si>
  <si>
    <t>VDD1P5_FLL_RES</t>
    <phoneticPr fontId="4" type="noConversion"/>
  </si>
  <si>
    <t>0x005</t>
  </si>
  <si>
    <t>I_THERMAL</t>
  </si>
  <si>
    <t>VDD1P5_DAC_RES</t>
    <phoneticPr fontId="4" type="noConversion"/>
  </si>
  <si>
    <t>0x004</t>
    <phoneticPr fontId="4" type="noConversion"/>
  </si>
  <si>
    <t>I_E_RST</t>
  </si>
  <si>
    <t>VDD1P5_DIG_RES</t>
    <phoneticPr fontId="4" type="noConversion"/>
  </si>
  <si>
    <t>0x003</t>
  </si>
  <si>
    <t>O_VSYNC_DIV2</t>
  </si>
  <si>
    <t>VREF1P5_BGR2_RES</t>
    <phoneticPr fontId="4" type="noConversion"/>
  </si>
  <si>
    <t>0x002</t>
  </si>
  <si>
    <t>I_SVSYNC_FAL_MNT</t>
  </si>
  <si>
    <t>IREF2_TEST</t>
    <phoneticPr fontId="4" type="noConversion"/>
  </si>
  <si>
    <t>0x001</t>
    <phoneticPr fontId="4" type="noConversion"/>
  </si>
  <si>
    <t>I_FAULT_TEST</t>
  </si>
  <si>
    <t>IREF_TEST</t>
    <phoneticPr fontId="4" type="noConversion"/>
  </si>
  <si>
    <t>0x000</t>
    <phoneticPr fontId="4" type="noConversion"/>
  </si>
  <si>
    <t>O_SVSYNC</t>
    <phoneticPr fontId="4" type="noConversion"/>
  </si>
  <si>
    <t>TEST</t>
    <phoneticPr fontId="4" type="noConversion"/>
  </si>
  <si>
    <t>0x39</t>
    <phoneticPr fontId="4" type="noConversion"/>
  </si>
  <si>
    <t>OSC_MAN_EN = 0 : FLL operation
OSC_MAN_EN = 1 : Fix frequency</t>
    <phoneticPr fontId="4" type="noConversion"/>
  </si>
  <si>
    <t>Normal mode (Actual operational scenario)</t>
    <phoneticPr fontId="6" type="noConversion"/>
  </si>
  <si>
    <t>FLL Test mode ( With 120Hz Pattern input DIN pin)</t>
    <phoneticPr fontId="6" type="noConversion"/>
  </si>
  <si>
    <t>singed</t>
    <phoneticPr fontId="4" type="noConversion"/>
  </si>
  <si>
    <t>Trim</t>
    <phoneticPr fontId="4" type="noConversion"/>
  </si>
  <si>
    <t>BGR1_TC[4:0]</t>
    <phoneticPr fontId="4" type="noConversion"/>
  </si>
  <si>
    <t>BGR2_TC[4:0]</t>
    <phoneticPr fontId="4" type="noConversion"/>
  </si>
  <si>
    <t>IREF1_CTL[4:0]</t>
    <phoneticPr fontId="4" type="noConversion"/>
  </si>
  <si>
    <t>IREF2_CTL[4:0]</t>
    <phoneticPr fontId="4" type="noConversion"/>
  </si>
  <si>
    <t>LDO_DAC_CTL[4:0]</t>
    <phoneticPr fontId="4" type="noConversion"/>
  </si>
  <si>
    <t>LDO_CTL[3:0]</t>
    <phoneticPr fontId="4" type="noConversion"/>
  </si>
  <si>
    <t>LDO_BGR2_CTL[4:0]</t>
    <phoneticPr fontId="4" type="noConversion"/>
  </si>
  <si>
    <t>LDO_OSC_CTL[3:0]</t>
    <phoneticPr fontId="4" type="noConversion"/>
  </si>
  <si>
    <t>OSC_RCTL[4:0]</t>
    <phoneticPr fontId="4" type="noConversion"/>
  </si>
  <si>
    <t>OSC_FCTL[31:0]</t>
    <phoneticPr fontId="4" type="noConversion"/>
  </si>
  <si>
    <t>OFS_TEMP[3:0]</t>
    <phoneticPr fontId="4" type="noConversion"/>
  </si>
  <si>
    <t>GAIN_CH(N)[6:0]</t>
    <phoneticPr fontId="4" type="noConversion"/>
  </si>
  <si>
    <t>MAX_DRV[3:0]</t>
    <phoneticPr fontId="4" type="noConversion"/>
  </si>
  <si>
    <t>FB_LEVEL[2:0]</t>
    <phoneticPr fontId="4" type="noConversion"/>
  </si>
  <si>
    <t>SHORT_LEVEL[2:0]</t>
    <phoneticPr fontId="4" type="noConversion"/>
  </si>
  <si>
    <t>ICC(uA)</t>
    <phoneticPr fontId="4" type="noConversion"/>
  </si>
  <si>
    <t>Bit</t>
    <phoneticPr fontId="4" type="noConversion"/>
  </si>
  <si>
    <t>BLOCK</t>
    <phoneticPr fontId="4" type="noConversion"/>
  </si>
  <si>
    <t>STANDBY</t>
    <phoneticPr fontId="4" type="noConversion"/>
  </si>
  <si>
    <t xml:space="preserve">ACTIVE </t>
    <phoneticPr fontId="4" type="noConversion"/>
  </si>
  <si>
    <r>
      <t>ACTIVE (150</t>
    </r>
    <r>
      <rPr>
        <b/>
        <sz val="12"/>
        <color theme="1"/>
        <rFont val="Segoe UI Symbol"/>
        <family val="2"/>
      </rPr>
      <t>℃</t>
    </r>
    <r>
      <rPr>
        <b/>
        <sz val="12"/>
        <color theme="1"/>
        <rFont val="맑은 고딕"/>
        <family val="2"/>
        <charset val="129"/>
      </rPr>
      <t>)</t>
    </r>
    <phoneticPr fontId="4" type="noConversion"/>
  </si>
  <si>
    <t>IDDQ(SCAN)</t>
    <phoneticPr fontId="4" type="noConversion"/>
  </si>
  <si>
    <t>*TEST_ANA*</t>
    <phoneticPr fontId="4" type="noConversion"/>
  </si>
  <si>
    <t>ABS</t>
    <phoneticPr fontId="4" type="noConversion"/>
  </si>
  <si>
    <t>BGR1</t>
    <phoneticPr fontId="4" type="noConversion"/>
  </si>
  <si>
    <t>CODE</t>
    <phoneticPr fontId="4" type="noConversion"/>
  </si>
  <si>
    <t>@ M40 / Voltage</t>
    <phoneticPr fontId="4" type="noConversion"/>
  </si>
  <si>
    <t>@ 30 / Voltage</t>
    <phoneticPr fontId="4" type="noConversion"/>
  </si>
  <si>
    <t>@ 100 / Voltage</t>
    <phoneticPr fontId="4" type="noConversion"/>
  </si>
  <si>
    <t>@ 120 / Voltage</t>
    <phoneticPr fontId="4" type="noConversion"/>
  </si>
  <si>
    <t>@ 150 / Voltage</t>
    <phoneticPr fontId="4" type="noConversion"/>
  </si>
  <si>
    <t>IREF1 TEST CUR : [uA]</t>
    <phoneticPr fontId="4" type="noConversion"/>
  </si>
  <si>
    <t>IREF2 TEST CUR : [uA]</t>
    <phoneticPr fontId="4" type="noConversion"/>
  </si>
  <si>
    <t>@Decimal</t>
    <phoneticPr fontId="4" type="noConversion"/>
  </si>
  <si>
    <t>@16mA</t>
    <phoneticPr fontId="4" type="noConversion"/>
  </si>
  <si>
    <t>Hys : 25mV</t>
    <phoneticPr fontId="4" type="noConversion"/>
  </si>
  <si>
    <t>BGR2</t>
    <phoneticPr fontId="4" type="noConversion"/>
  </si>
  <si>
    <t>POR</t>
    <phoneticPr fontId="4" type="noConversion"/>
  </si>
  <si>
    <t>UVOV</t>
    <phoneticPr fontId="4" type="noConversion"/>
  </si>
  <si>
    <t>LDO_1P5</t>
    <phoneticPr fontId="4" type="noConversion"/>
  </si>
  <si>
    <t>LDO_DAC</t>
    <phoneticPr fontId="4" type="noConversion"/>
  </si>
  <si>
    <t>IDAC_6CH_TOP(x2)</t>
    <phoneticPr fontId="4" type="noConversion"/>
  </si>
  <si>
    <t>FLL</t>
    <phoneticPr fontId="4" type="noConversion"/>
  </si>
  <si>
    <t>TOTAL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</si>
</sst>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0.000%"/>
    <numFmt numFmtId="178" formatCode="0.000_);[Red]\(0.000\)"/>
    <numFmt numFmtId="179" formatCode="0.00_);[Red]\(0.00\)"/>
  </numFmts>
  <fonts count="32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Calibri"/>
      <family val="2"/>
    </font>
    <font>
      <sz val="8"/>
      <name val="맑은 고딕"/>
      <family val="2"/>
      <charset val="129"/>
      <scheme val="minor"/>
    </font>
    <font>
      <sz val="10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8"/>
      <color theme="1"/>
      <name val="Calibri"/>
      <family val="2"/>
    </font>
    <font>
      <sz val="8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color rgb="FFFF0000"/>
      <name val="Calibri"/>
      <family val="2"/>
    </font>
    <font>
      <sz val="11"/>
      <color theme="2" tint="-0.249977111117893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color theme="1"/>
      <name val="Segoe UI Symbol"/>
      <family val="2"/>
    </font>
    <font>
      <b/>
      <sz val="12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  <font>
      <sz val="12"/>
      <color theme="2" tint="-0.249977111117893"/>
      <name val="Calibri"/>
      <family val="2"/>
    </font>
    <font>
      <b/>
      <sz val="12"/>
      <color theme="1"/>
      <name val="맑은 고딕"/>
      <family val="3"/>
      <charset val="129"/>
      <scheme val="minor"/>
    </font>
    <font>
      <b/>
      <sz val="12"/>
      <color theme="2" tint="-0.249977111117893"/>
      <name val="Calibri"/>
      <family val="2"/>
    </font>
    <font>
      <sz val="12"/>
      <color theme="2" tint="-9.9978637043366805E-2"/>
      <name val="Calibri"/>
      <family val="2"/>
    </font>
    <font>
      <b/>
      <sz val="12"/>
      <color theme="2" tint="-9.9978637043366805E-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</cellStyleXfs>
  <cellXfs count="257">
    <xf numFmtId="0" fontId="0" fillId="0" borderId="0" xfId="0"/>
    <xf numFmtId="0" fontId="3" fillId="0" borderId="0" xfId="1" applyFont="1">
      <alignment vertical="center"/>
    </xf>
    <xf numFmtId="0" fontId="3" fillId="0" borderId="1" xfId="1" applyFont="1" applyBorder="1">
      <alignment vertical="center"/>
    </xf>
    <xf numFmtId="0" fontId="5" fillId="0" borderId="2" xfId="1" applyFont="1" applyBorder="1">
      <alignment vertical="center"/>
    </xf>
    <xf numFmtId="0" fontId="5" fillId="0" borderId="3" xfId="1" applyFont="1" applyBorder="1">
      <alignment vertical="center"/>
    </xf>
    <xf numFmtId="0" fontId="5" fillId="3" borderId="3" xfId="1" applyFont="1" applyFill="1" applyBorder="1" applyAlignment="1">
      <alignment horizontal="center" vertical="center" shrinkToFit="1"/>
    </xf>
    <xf numFmtId="0" fontId="5" fillId="3" borderId="6" xfId="1" applyFont="1" applyFill="1" applyBorder="1" applyAlignment="1">
      <alignment horizontal="center" vertical="center" shrinkToFit="1"/>
    </xf>
    <xf numFmtId="0" fontId="7" fillId="0" borderId="7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8" xfId="1" applyFont="1" applyBorder="1">
      <alignment vertical="center"/>
    </xf>
    <xf numFmtId="0" fontId="5" fillId="2" borderId="11" xfId="1" applyFont="1" applyFill="1" applyBorder="1" applyAlignment="1">
      <alignment horizontal="center" vertical="center" shrinkToFit="1"/>
    </xf>
    <xf numFmtId="0" fontId="5" fillId="3" borderId="11" xfId="1" applyFont="1" applyFill="1" applyBorder="1" applyAlignment="1">
      <alignment horizontal="center" vertical="center" shrinkToFit="1"/>
    </xf>
    <xf numFmtId="0" fontId="5" fillId="3" borderId="12" xfId="1" applyFont="1" applyFill="1" applyBorder="1" applyAlignment="1">
      <alignment horizontal="center" vertical="center" shrinkToFit="1"/>
    </xf>
    <xf numFmtId="0" fontId="5" fillId="0" borderId="15" xfId="1" applyFont="1" applyBorder="1">
      <alignment vertical="center"/>
    </xf>
    <xf numFmtId="0" fontId="5" fillId="3" borderId="22" xfId="1" applyFont="1" applyFill="1" applyBorder="1" applyAlignment="1">
      <alignment horizontal="center" vertical="center" shrinkToFit="1"/>
    </xf>
    <xf numFmtId="0" fontId="5" fillId="3" borderId="23" xfId="1" applyFont="1" applyFill="1" applyBorder="1" applyAlignment="1">
      <alignment horizontal="center" vertical="center" shrinkToFit="1"/>
    </xf>
    <xf numFmtId="0" fontId="5" fillId="2" borderId="29" xfId="1" applyFont="1" applyFill="1" applyBorder="1" applyAlignment="1">
      <alignment horizontal="center" vertical="center" shrinkToFit="1"/>
    </xf>
    <xf numFmtId="0" fontId="5" fillId="3" borderId="29" xfId="1" applyFont="1" applyFill="1" applyBorder="1" applyAlignment="1">
      <alignment horizontal="center" vertical="center" shrinkToFit="1"/>
    </xf>
    <xf numFmtId="0" fontId="5" fillId="0" borderId="16" xfId="1" applyFont="1" applyBorder="1">
      <alignment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42" xfId="1" applyFont="1" applyFill="1" applyBorder="1" applyAlignment="1">
      <alignment horizontal="center" vertical="center"/>
    </xf>
    <xf numFmtId="0" fontId="7" fillId="2" borderId="41" xfId="1" applyFont="1" applyFill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5" fillId="3" borderId="11" xfId="1" applyFont="1" applyFill="1" applyBorder="1" applyAlignment="1">
      <alignment horizontal="center" vertical="center"/>
    </xf>
    <xf numFmtId="0" fontId="7" fillId="3" borderId="11" xfId="1" applyFont="1" applyFill="1" applyBorder="1" applyAlignment="1">
      <alignment horizontal="center" vertical="center"/>
    </xf>
    <xf numFmtId="0" fontId="7" fillId="2" borderId="22" xfId="1" applyFont="1" applyFill="1" applyBorder="1" applyAlignment="1">
      <alignment horizontal="center" vertical="center"/>
    </xf>
    <xf numFmtId="0" fontId="5" fillId="3" borderId="22" xfId="1" applyFont="1" applyFill="1" applyBorder="1" applyAlignment="1">
      <alignment horizontal="center" vertical="center"/>
    </xf>
    <xf numFmtId="0" fontId="7" fillId="3" borderId="22" xfId="1" applyFont="1" applyFill="1" applyBorder="1" applyAlignment="1">
      <alignment horizontal="center" vertical="center"/>
    </xf>
    <xf numFmtId="0" fontId="5" fillId="2" borderId="22" xfId="1" applyFont="1" applyFill="1" applyBorder="1" applyAlignment="1">
      <alignment vertical="center" wrapText="1"/>
    </xf>
    <xf numFmtId="0" fontId="5" fillId="2" borderId="41" xfId="1" applyFont="1" applyFill="1" applyBorder="1" applyAlignment="1">
      <alignment horizontal="center" vertical="center"/>
    </xf>
    <xf numFmtId="0" fontId="5" fillId="3" borderId="4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2" borderId="22" xfId="1" applyFont="1" applyFill="1" applyBorder="1">
      <alignment vertical="center"/>
    </xf>
    <xf numFmtId="0" fontId="5" fillId="3" borderId="19" xfId="1" applyFont="1" applyFill="1" applyBorder="1" applyAlignment="1">
      <alignment horizontal="center" vertical="center"/>
    </xf>
    <xf numFmtId="0" fontId="5" fillId="2" borderId="47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 wrapText="1"/>
    </xf>
    <xf numFmtId="0" fontId="5" fillId="2" borderId="19" xfId="1" applyFont="1" applyFill="1" applyBorder="1" applyAlignment="1">
      <alignment horizontal="center" vertical="center"/>
    </xf>
    <xf numFmtId="0" fontId="5" fillId="2" borderId="23" xfId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/>
    </xf>
    <xf numFmtId="0" fontId="5" fillId="3" borderId="23" xfId="1" applyFont="1" applyFill="1" applyBorder="1" applyAlignment="1">
      <alignment horizontal="center" vertical="center"/>
    </xf>
    <xf numFmtId="0" fontId="5" fillId="2" borderId="50" xfId="1" applyFont="1" applyFill="1" applyBorder="1" applyAlignment="1">
      <alignment horizontal="center" vertical="center"/>
    </xf>
    <xf numFmtId="0" fontId="5" fillId="2" borderId="29" xfId="1" applyFont="1" applyFill="1" applyBorder="1" applyAlignment="1">
      <alignment horizontal="center" vertical="center"/>
    </xf>
    <xf numFmtId="0" fontId="5" fillId="3" borderId="29" xfId="1" applyFont="1" applyFill="1" applyBorder="1" applyAlignment="1">
      <alignment horizontal="center" vertical="center"/>
    </xf>
    <xf numFmtId="0" fontId="5" fillId="2" borderId="51" xfId="1" applyFont="1" applyFill="1" applyBorder="1" applyAlignment="1">
      <alignment horizontal="center" vertical="center"/>
    </xf>
    <xf numFmtId="0" fontId="7" fillId="2" borderId="23" xfId="1" applyFont="1" applyFill="1" applyBorder="1" applyAlignment="1">
      <alignment horizontal="center" vertical="center" wrapText="1"/>
    </xf>
    <xf numFmtId="0" fontId="7" fillId="2" borderId="51" xfId="1" applyFont="1" applyFill="1" applyBorder="1" applyAlignment="1">
      <alignment horizontal="center" vertical="center"/>
    </xf>
    <xf numFmtId="0" fontId="5" fillId="2" borderId="47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23" xfId="1" applyFont="1" applyFill="1" applyBorder="1" applyAlignment="1">
      <alignment horizontal="center" vertical="center"/>
    </xf>
    <xf numFmtId="0" fontId="5" fillId="3" borderId="34" xfId="1" applyFont="1" applyFill="1" applyBorder="1" applyAlignment="1">
      <alignment horizontal="center" vertical="center"/>
    </xf>
    <xf numFmtId="0" fontId="5" fillId="3" borderId="48" xfId="1" applyFont="1" applyFill="1" applyBorder="1" applyAlignment="1">
      <alignment horizontal="center" vertical="center"/>
    </xf>
    <xf numFmtId="0" fontId="5" fillId="2" borderId="53" xfId="1" applyFont="1" applyFill="1" applyBorder="1" applyAlignment="1">
      <alignment horizontal="center" vertical="center"/>
    </xf>
    <xf numFmtId="0" fontId="5" fillId="2" borderId="54" xfId="1" applyFont="1" applyFill="1" applyBorder="1" applyAlignment="1">
      <alignment horizontal="center" vertical="center"/>
    </xf>
    <xf numFmtId="0" fontId="7" fillId="2" borderId="47" xfId="1" applyFont="1" applyFill="1" applyBorder="1" applyAlignment="1">
      <alignment horizontal="center" vertical="center" wrapText="1"/>
    </xf>
    <xf numFmtId="0" fontId="7" fillId="3" borderId="12" xfId="1" applyFont="1" applyFill="1" applyBorder="1" applyAlignment="1">
      <alignment horizontal="center" vertical="center"/>
    </xf>
    <xf numFmtId="0" fontId="7" fillId="3" borderId="23" xfId="1" applyFont="1" applyFill="1" applyBorder="1" applyAlignment="1">
      <alignment horizontal="center" vertical="center"/>
    </xf>
    <xf numFmtId="0" fontId="5" fillId="3" borderId="21" xfId="1" applyFont="1" applyFill="1" applyBorder="1" applyAlignment="1">
      <alignment horizontal="center" vertical="center"/>
    </xf>
    <xf numFmtId="0" fontId="5" fillId="3" borderId="51" xfId="1" applyFont="1" applyFill="1" applyBorder="1" applyAlignment="1">
      <alignment horizontal="center" vertical="center"/>
    </xf>
    <xf numFmtId="0" fontId="5" fillId="2" borderId="55" xfId="1" applyFont="1" applyFill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0" fontId="8" fillId="0" borderId="39" xfId="1" applyFont="1" applyBorder="1" applyAlignment="1">
      <alignment horizontal="center" vertical="center"/>
    </xf>
    <xf numFmtId="0" fontId="5" fillId="5" borderId="12" xfId="1" applyFont="1" applyFill="1" applyBorder="1" applyAlignment="1">
      <alignment horizontal="center" vertical="center"/>
    </xf>
    <xf numFmtId="0" fontId="5" fillId="2" borderId="23" xfId="1" applyFont="1" applyFill="1" applyBorder="1" applyAlignment="1">
      <alignment horizontal="center" vertical="center" wrapText="1"/>
    </xf>
    <xf numFmtId="0" fontId="5" fillId="5" borderId="41" xfId="1" applyFont="1" applyFill="1" applyBorder="1" applyAlignment="1">
      <alignment horizontal="center" vertical="center"/>
    </xf>
    <xf numFmtId="0" fontId="5" fillId="5" borderId="11" xfId="1" applyFont="1" applyFill="1" applyBorder="1" applyAlignment="1">
      <alignment horizontal="center" vertical="center"/>
    </xf>
    <xf numFmtId="0" fontId="5" fillId="5" borderId="50" xfId="1" applyFont="1" applyFill="1" applyBorder="1" applyAlignment="1">
      <alignment horizontal="center" vertical="center"/>
    </xf>
    <xf numFmtId="0" fontId="5" fillId="5" borderId="29" xfId="1" applyFont="1" applyFill="1" applyBorder="1" applyAlignment="1">
      <alignment horizontal="center" vertical="center"/>
    </xf>
    <xf numFmtId="0" fontId="5" fillId="5" borderId="51" xfId="1" applyFont="1" applyFill="1" applyBorder="1" applyAlignment="1">
      <alignment horizontal="center" vertical="center"/>
    </xf>
    <xf numFmtId="0" fontId="5" fillId="5" borderId="54" xfId="1" applyFont="1" applyFill="1" applyBorder="1" applyAlignment="1">
      <alignment horizontal="center" vertical="center"/>
    </xf>
    <xf numFmtId="0" fontId="7" fillId="2" borderId="22" xfId="1" applyFont="1" applyFill="1" applyBorder="1" applyAlignment="1">
      <alignment horizontal="center" vertical="center" wrapText="1"/>
    </xf>
    <xf numFmtId="0" fontId="8" fillId="0" borderId="44" xfId="1" applyFont="1" applyBorder="1" applyAlignment="1">
      <alignment horizontal="center" vertical="center"/>
    </xf>
    <xf numFmtId="0" fontId="8" fillId="0" borderId="57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1" fillId="0" borderId="0" xfId="2">
      <alignment vertical="center"/>
    </xf>
    <xf numFmtId="0" fontId="11" fillId="0" borderId="58" xfId="3" applyFont="1" applyBorder="1" applyAlignment="1">
      <alignment horizontal="center" vertical="center" wrapText="1" readingOrder="1"/>
    </xf>
    <xf numFmtId="0" fontId="12" fillId="6" borderId="30" xfId="2" applyFont="1" applyFill="1" applyBorder="1" applyAlignment="1">
      <alignment horizontal="center" vertical="center"/>
    </xf>
    <xf numFmtId="0" fontId="13" fillId="0" borderId="0" xfId="2" applyFont="1">
      <alignment vertical="center"/>
    </xf>
    <xf numFmtId="0" fontId="12" fillId="7" borderId="30" xfId="2" applyFont="1" applyFill="1" applyBorder="1" applyAlignment="1">
      <alignment horizontal="center" vertical="center"/>
    </xf>
    <xf numFmtId="0" fontId="14" fillId="0" borderId="58" xfId="3" applyFont="1" applyBorder="1" applyAlignment="1">
      <alignment horizontal="center" vertical="center" wrapText="1" readingOrder="1"/>
    </xf>
    <xf numFmtId="0" fontId="10" fillId="0" borderId="58" xfId="3" applyFont="1" applyBorder="1" applyAlignment="1">
      <alignment horizontal="center" vertical="center" wrapText="1" readingOrder="1"/>
    </xf>
    <xf numFmtId="0" fontId="5" fillId="8" borderId="29" xfId="1" applyFont="1" applyFill="1" applyBorder="1" applyAlignment="1">
      <alignment horizontal="center" vertical="center"/>
    </xf>
    <xf numFmtId="0" fontId="5" fillId="8" borderId="50" xfId="1" applyFont="1" applyFill="1" applyBorder="1" applyAlignment="1">
      <alignment horizontal="center" vertical="center"/>
    </xf>
    <xf numFmtId="0" fontId="5" fillId="8" borderId="11" xfId="1" applyFont="1" applyFill="1" applyBorder="1" applyAlignment="1">
      <alignment horizontal="center" vertical="center"/>
    </xf>
    <xf numFmtId="0" fontId="5" fillId="8" borderId="41" xfId="1" applyFont="1" applyFill="1" applyBorder="1" applyAlignment="1">
      <alignment horizontal="center" vertical="center"/>
    </xf>
    <xf numFmtId="0" fontId="5" fillId="8" borderId="12" xfId="1" applyFont="1" applyFill="1" applyBorder="1" applyAlignment="1">
      <alignment horizontal="center" vertical="center"/>
    </xf>
    <xf numFmtId="0" fontId="7" fillId="8" borderId="11" xfId="1" applyFont="1" applyFill="1" applyBorder="1" applyAlignment="1">
      <alignment horizontal="center" vertical="center"/>
    </xf>
    <xf numFmtId="0" fontId="7" fillId="8" borderId="12" xfId="1" applyFont="1" applyFill="1" applyBorder="1" applyAlignment="1">
      <alignment horizontal="center" vertical="center"/>
    </xf>
    <xf numFmtId="0" fontId="5" fillId="8" borderId="11" xfId="1" applyFont="1" applyFill="1" applyBorder="1" applyAlignment="1">
      <alignment horizontal="center" vertical="center" shrinkToFit="1"/>
    </xf>
    <xf numFmtId="0" fontId="5" fillId="8" borderId="29" xfId="1" applyFont="1" applyFill="1" applyBorder="1" applyAlignment="1">
      <alignment horizontal="center" vertical="center" shrinkToFit="1"/>
    </xf>
    <xf numFmtId="0" fontId="15" fillId="0" borderId="0" xfId="0" applyFont="1"/>
    <xf numFmtId="0" fontId="16" fillId="0" borderId="0" xfId="0" applyFont="1"/>
    <xf numFmtId="0" fontId="16" fillId="4" borderId="29" xfId="0" applyFont="1" applyFill="1" applyBorder="1" applyAlignment="1">
      <alignment horizontal="center"/>
    </xf>
    <xf numFmtId="176" fontId="16" fillId="0" borderId="0" xfId="0" applyNumberFormat="1" applyFont="1"/>
    <xf numFmtId="176" fontId="0" fillId="0" borderId="0" xfId="0" applyNumberFormat="1"/>
    <xf numFmtId="0" fontId="17" fillId="9" borderId="30" xfId="0" applyFont="1" applyFill="1" applyBorder="1" applyAlignment="1">
      <alignment horizontal="center"/>
    </xf>
    <xf numFmtId="0" fontId="18" fillId="9" borderId="30" xfId="0" applyFont="1" applyFill="1" applyBorder="1" applyAlignment="1">
      <alignment horizontal="center"/>
    </xf>
    <xf numFmtId="11" fontId="0" fillId="0" borderId="0" xfId="0" applyNumberFormat="1"/>
    <xf numFmtId="177" fontId="0" fillId="0" borderId="0" xfId="4" applyNumberFormat="1" applyFont="1" applyAlignment="1"/>
    <xf numFmtId="0" fontId="18" fillId="8" borderId="30" xfId="0" applyFont="1" applyFill="1" applyBorder="1" applyAlignment="1">
      <alignment horizontal="center" vertical="center"/>
    </xf>
    <xf numFmtId="0" fontId="19" fillId="8" borderId="30" xfId="0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20" fillId="8" borderId="30" xfId="0" quotePrefix="1" applyFont="1" applyFill="1" applyBorder="1" applyAlignment="1">
      <alignment horizontal="center" vertical="center"/>
    </xf>
    <xf numFmtId="0" fontId="23" fillId="0" borderId="30" xfId="0" applyFont="1" applyBorder="1" applyAlignment="1">
      <alignment horizontal="center"/>
    </xf>
    <xf numFmtId="0" fontId="24" fillId="0" borderId="30" xfId="0" applyFont="1" applyBorder="1" applyAlignment="1">
      <alignment horizontal="center"/>
    </xf>
    <xf numFmtId="0" fontId="18" fillId="9" borderId="29" xfId="0" quotePrefix="1" applyFont="1" applyFill="1" applyBorder="1"/>
    <xf numFmtId="0" fontId="18" fillId="9" borderId="30" xfId="0" quotePrefix="1" applyFont="1" applyFill="1" applyBorder="1" applyAlignment="1">
      <alignment horizontal="center"/>
    </xf>
    <xf numFmtId="0" fontId="25" fillId="9" borderId="30" xfId="0" applyFont="1" applyFill="1" applyBorder="1" applyAlignment="1">
      <alignment horizontal="center"/>
    </xf>
    <xf numFmtId="0" fontId="17" fillId="9" borderId="33" xfId="0" applyFont="1" applyFill="1" applyBorder="1" applyAlignment="1">
      <alignment horizontal="center" vertical="center"/>
    </xf>
    <xf numFmtId="0" fontId="26" fillId="3" borderId="23" xfId="4" applyNumberFormat="1" applyFont="1" applyFill="1" applyBorder="1" applyAlignment="1">
      <alignment horizontal="center"/>
    </xf>
    <xf numFmtId="0" fontId="26" fillId="8" borderId="22" xfId="4" applyNumberFormat="1" applyFont="1" applyFill="1" applyBorder="1" applyAlignment="1">
      <alignment horizontal="center"/>
    </xf>
    <xf numFmtId="0" fontId="26" fillId="8" borderId="47" xfId="4" applyNumberFormat="1" applyFont="1" applyFill="1" applyBorder="1" applyAlignment="1">
      <alignment horizontal="center"/>
    </xf>
    <xf numFmtId="0" fontId="25" fillId="8" borderId="23" xfId="4" applyNumberFormat="1" applyFont="1" applyFill="1" applyBorder="1" applyAlignment="1">
      <alignment horizontal="center"/>
    </xf>
    <xf numFmtId="0" fontId="25" fillId="8" borderId="22" xfId="4" applyNumberFormat="1" applyFont="1" applyFill="1" applyBorder="1" applyAlignment="1">
      <alignment horizontal="center"/>
    </xf>
    <xf numFmtId="0" fontId="25" fillId="8" borderId="47" xfId="4" applyNumberFormat="1" applyFont="1" applyFill="1" applyBorder="1" applyAlignment="1">
      <alignment horizontal="center"/>
    </xf>
    <xf numFmtId="0" fontId="25" fillId="8" borderId="30" xfId="0" applyFont="1" applyFill="1" applyBorder="1" applyAlignment="1">
      <alignment horizontal="center"/>
    </xf>
    <xf numFmtId="178" fontId="25" fillId="8" borderId="30" xfId="0" applyNumberFormat="1" applyFont="1" applyFill="1" applyBorder="1" applyAlignment="1">
      <alignment horizontal="center"/>
    </xf>
    <xf numFmtId="178" fontId="25" fillId="10" borderId="30" xfId="0" applyNumberFormat="1" applyFont="1" applyFill="1" applyBorder="1" applyAlignment="1">
      <alignment horizontal="center"/>
    </xf>
    <xf numFmtId="2" fontId="24" fillId="8" borderId="30" xfId="0" applyNumberFormat="1" applyFont="1" applyFill="1" applyBorder="1" applyAlignment="1">
      <alignment horizontal="center"/>
    </xf>
    <xf numFmtId="176" fontId="25" fillId="8" borderId="30" xfId="0" applyNumberFormat="1" applyFont="1" applyFill="1" applyBorder="1" applyAlignment="1">
      <alignment horizontal="center"/>
    </xf>
    <xf numFmtId="179" fontId="25" fillId="8" borderId="30" xfId="0" applyNumberFormat="1" applyFont="1" applyFill="1" applyBorder="1" applyAlignment="1">
      <alignment horizontal="center"/>
    </xf>
    <xf numFmtId="176" fontId="18" fillId="8" borderId="30" xfId="0" applyNumberFormat="1" applyFont="1" applyFill="1" applyBorder="1" applyAlignment="1">
      <alignment horizontal="center"/>
    </xf>
    <xf numFmtId="179" fontId="25" fillId="3" borderId="30" xfId="0" applyNumberFormat="1" applyFont="1" applyFill="1" applyBorder="1" applyAlignment="1">
      <alignment horizontal="center"/>
    </xf>
    <xf numFmtId="0" fontId="26" fillId="3" borderId="59" xfId="4" applyNumberFormat="1" applyFont="1" applyFill="1" applyBorder="1" applyAlignment="1">
      <alignment horizontal="center"/>
    </xf>
    <xf numFmtId="0" fontId="26" fillId="8" borderId="30" xfId="4" applyNumberFormat="1" applyFont="1" applyFill="1" applyBorder="1" applyAlignment="1">
      <alignment horizontal="center"/>
    </xf>
    <xf numFmtId="0" fontId="26" fillId="8" borderId="60" xfId="4" applyNumberFormat="1" applyFont="1" applyFill="1" applyBorder="1" applyAlignment="1">
      <alignment horizontal="center"/>
    </xf>
    <xf numFmtId="0" fontId="25" fillId="8" borderId="59" xfId="4" applyNumberFormat="1" applyFont="1" applyFill="1" applyBorder="1" applyAlignment="1">
      <alignment horizontal="center"/>
    </xf>
    <xf numFmtId="0" fontId="25" fillId="8" borderId="30" xfId="4" applyNumberFormat="1" applyFont="1" applyFill="1" applyBorder="1" applyAlignment="1">
      <alignment horizontal="center"/>
    </xf>
    <xf numFmtId="0" fontId="25" fillId="8" borderId="60" xfId="4" applyNumberFormat="1" applyFont="1" applyFill="1" applyBorder="1" applyAlignment="1">
      <alignment horizontal="center"/>
    </xf>
    <xf numFmtId="2" fontId="24" fillId="0" borderId="30" xfId="0" applyNumberFormat="1" applyFont="1" applyBorder="1" applyAlignment="1">
      <alignment horizontal="center"/>
    </xf>
    <xf numFmtId="0" fontId="24" fillId="0" borderId="30" xfId="0" quotePrefix="1" applyFont="1" applyBorder="1" applyAlignment="1">
      <alignment horizontal="center"/>
    </xf>
    <xf numFmtId="179" fontId="25" fillId="3" borderId="33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176" fontId="25" fillId="10" borderId="30" xfId="0" applyNumberFormat="1" applyFont="1" applyFill="1" applyBorder="1" applyAlignment="1">
      <alignment horizontal="center"/>
    </xf>
    <xf numFmtId="178" fontId="27" fillId="3" borderId="33" xfId="0" applyNumberFormat="1" applyFont="1" applyFill="1" applyBorder="1" applyAlignment="1">
      <alignment horizontal="center"/>
    </xf>
    <xf numFmtId="178" fontId="27" fillId="3" borderId="30" xfId="0" applyNumberFormat="1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0" fontId="27" fillId="3" borderId="30" xfId="0" applyFont="1" applyFill="1" applyBorder="1"/>
    <xf numFmtId="0" fontId="26" fillId="10" borderId="59" xfId="4" applyNumberFormat="1" applyFont="1" applyFill="1" applyBorder="1" applyAlignment="1">
      <alignment horizontal="center"/>
    </xf>
    <xf numFmtId="0" fontId="26" fillId="10" borderId="30" xfId="4" applyNumberFormat="1" applyFont="1" applyFill="1" applyBorder="1" applyAlignment="1">
      <alignment horizontal="center"/>
    </xf>
    <xf numFmtId="0" fontId="26" fillId="10" borderId="60" xfId="4" applyNumberFormat="1" applyFont="1" applyFill="1" applyBorder="1" applyAlignment="1">
      <alignment horizontal="center"/>
    </xf>
    <xf numFmtId="0" fontId="25" fillId="10" borderId="59" xfId="4" applyNumberFormat="1" applyFont="1" applyFill="1" applyBorder="1" applyAlignment="1">
      <alignment horizontal="center"/>
    </xf>
    <xf numFmtId="0" fontId="25" fillId="10" borderId="30" xfId="4" applyNumberFormat="1" applyFont="1" applyFill="1" applyBorder="1" applyAlignment="1">
      <alignment horizontal="center"/>
    </xf>
    <xf numFmtId="0" fontId="25" fillId="10" borderId="60" xfId="4" applyNumberFormat="1" applyFont="1" applyFill="1" applyBorder="1" applyAlignment="1">
      <alignment horizontal="center"/>
    </xf>
    <xf numFmtId="0" fontId="25" fillId="10" borderId="30" xfId="0" applyFont="1" applyFill="1" applyBorder="1" applyAlignment="1">
      <alignment horizontal="center"/>
    </xf>
    <xf numFmtId="176" fontId="29" fillId="3" borderId="30" xfId="0" applyNumberFormat="1" applyFont="1" applyFill="1" applyBorder="1"/>
    <xf numFmtId="0" fontId="29" fillId="3" borderId="30" xfId="0" applyFont="1" applyFill="1" applyBorder="1"/>
    <xf numFmtId="2" fontId="24" fillId="10" borderId="30" xfId="0" applyNumberFormat="1" applyFont="1" applyFill="1" applyBorder="1" applyAlignment="1">
      <alignment horizontal="center"/>
    </xf>
    <xf numFmtId="176" fontId="27" fillId="3" borderId="30" xfId="0" applyNumberFormat="1" applyFont="1" applyFill="1" applyBorder="1" applyAlignment="1">
      <alignment horizontal="center"/>
    </xf>
    <xf numFmtId="0" fontId="26" fillId="3" borderId="12" xfId="4" applyNumberFormat="1" applyFont="1" applyFill="1" applyBorder="1" applyAlignment="1">
      <alignment horizontal="center"/>
    </xf>
    <xf numFmtId="0" fontId="26" fillId="8" borderId="29" xfId="4" applyNumberFormat="1" applyFont="1" applyFill="1" applyBorder="1" applyAlignment="1">
      <alignment horizontal="center"/>
    </xf>
    <xf numFmtId="0" fontId="26" fillId="8" borderId="50" xfId="4" applyNumberFormat="1" applyFont="1" applyFill="1" applyBorder="1" applyAlignment="1">
      <alignment horizontal="center"/>
    </xf>
    <xf numFmtId="0" fontId="25" fillId="8" borderId="51" xfId="4" applyNumberFormat="1" applyFont="1" applyFill="1" applyBorder="1" applyAlignment="1">
      <alignment horizontal="center"/>
    </xf>
    <xf numFmtId="0" fontId="25" fillId="8" borderId="29" xfId="4" applyNumberFormat="1" applyFont="1" applyFill="1" applyBorder="1" applyAlignment="1">
      <alignment horizontal="center"/>
    </xf>
    <xf numFmtId="0" fontId="25" fillId="8" borderId="11" xfId="4" applyNumberFormat="1" applyFont="1" applyFill="1" applyBorder="1" applyAlignment="1">
      <alignment horizontal="center"/>
    </xf>
    <xf numFmtId="0" fontId="25" fillId="8" borderId="41" xfId="4" applyNumberFormat="1" applyFont="1" applyFill="1" applyBorder="1" applyAlignment="1">
      <alignment horizontal="center"/>
    </xf>
    <xf numFmtId="0" fontId="17" fillId="9" borderId="30" xfId="0" applyFont="1" applyFill="1" applyBorder="1" applyAlignment="1">
      <alignment horizontal="center" vertical="center"/>
    </xf>
    <xf numFmtId="0" fontId="30" fillId="3" borderId="34" xfId="0" applyFont="1" applyFill="1" applyBorder="1"/>
    <xf numFmtId="0" fontId="30" fillId="3" borderId="30" xfId="0" applyFont="1" applyFill="1" applyBorder="1"/>
    <xf numFmtId="0" fontId="31" fillId="3" borderId="30" xfId="0" applyFont="1" applyFill="1" applyBorder="1"/>
    <xf numFmtId="176" fontId="31" fillId="3" borderId="30" xfId="0" applyNumberFormat="1" applyFont="1" applyFill="1" applyBorder="1"/>
    <xf numFmtId="176" fontId="30" fillId="3" borderId="30" xfId="0" applyNumberFormat="1" applyFont="1" applyFill="1" applyBorder="1"/>
    <xf numFmtId="179" fontId="25" fillId="10" borderId="30" xfId="0" applyNumberFormat="1" applyFont="1" applyFill="1" applyBorder="1" applyAlignment="1">
      <alignment horizontal="center"/>
    </xf>
    <xf numFmtId="0" fontId="27" fillId="0" borderId="30" xfId="0" applyFont="1" applyBorder="1"/>
    <xf numFmtId="0" fontId="18" fillId="9" borderId="30" xfId="0" applyFont="1" applyFill="1" applyBorder="1" applyAlignment="1">
      <alignment horizontal="center"/>
    </xf>
    <xf numFmtId="0" fontId="3" fillId="0" borderId="16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5" fillId="4" borderId="39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38" xfId="1" applyFont="1" applyFill="1" applyBorder="1" applyAlignment="1">
      <alignment horizontal="center" vertical="center"/>
    </xf>
    <xf numFmtId="0" fontId="5" fillId="0" borderId="16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/>
    </xf>
    <xf numFmtId="0" fontId="5" fillId="2" borderId="46" xfId="1" applyFont="1" applyFill="1" applyBorder="1" applyAlignment="1">
      <alignment horizontal="center" vertical="center"/>
    </xf>
    <xf numFmtId="0" fontId="5" fillId="2" borderId="20" xfId="1" applyFont="1" applyFill="1" applyBorder="1" applyAlignment="1">
      <alignment horizontal="center" vertical="center"/>
    </xf>
    <xf numFmtId="0" fontId="5" fillId="2" borderId="45" xfId="1" applyFont="1" applyFill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2" borderId="19" xfId="1" applyFont="1" applyFill="1" applyBorder="1" applyAlignment="1">
      <alignment horizontal="center" vertical="center"/>
    </xf>
    <xf numFmtId="0" fontId="5" fillId="3" borderId="17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5" fillId="8" borderId="17" xfId="1" applyFont="1" applyFill="1" applyBorder="1" applyAlignment="1">
      <alignment horizontal="center" vertical="center"/>
    </xf>
    <xf numFmtId="0" fontId="5" fillId="8" borderId="9" xfId="1" applyFont="1" applyFill="1" applyBorder="1" applyAlignment="1">
      <alignment horizontal="center" vertical="center"/>
    </xf>
    <xf numFmtId="0" fontId="5" fillId="0" borderId="39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38" xfId="1" applyFont="1" applyBorder="1" applyAlignment="1">
      <alignment horizontal="center" vertical="center"/>
    </xf>
    <xf numFmtId="0" fontId="5" fillId="0" borderId="46" xfId="1" applyFont="1" applyBorder="1" applyAlignment="1">
      <alignment horizontal="center" vertical="center"/>
    </xf>
    <xf numFmtId="0" fontId="5" fillId="0" borderId="43" xfId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2" borderId="47" xfId="1" applyFont="1" applyFill="1" applyBorder="1" applyAlignment="1">
      <alignment horizontal="center" vertical="center"/>
    </xf>
    <xf numFmtId="0" fontId="5" fillId="0" borderId="44" xfId="1" applyFont="1" applyBorder="1" applyAlignment="1">
      <alignment horizontal="center" vertical="center"/>
    </xf>
    <xf numFmtId="0" fontId="5" fillId="0" borderId="40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56" xfId="1" applyFont="1" applyBorder="1" applyAlignment="1">
      <alignment horizontal="center" vertical="center"/>
    </xf>
    <xf numFmtId="0" fontId="7" fillId="0" borderId="47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2" borderId="37" xfId="1" applyFont="1" applyFill="1" applyBorder="1" applyAlignment="1">
      <alignment horizontal="center" vertical="center"/>
    </xf>
    <xf numFmtId="0" fontId="5" fillId="2" borderId="36" xfId="1" applyFont="1" applyFill="1" applyBorder="1" applyAlignment="1">
      <alignment horizontal="center" vertical="center"/>
    </xf>
    <xf numFmtId="0" fontId="5" fillId="2" borderId="52" xfId="1" applyFont="1" applyFill="1" applyBorder="1" applyAlignment="1">
      <alignment horizontal="center" vertical="center"/>
    </xf>
    <xf numFmtId="0" fontId="5" fillId="3" borderId="24" xfId="1" applyFont="1" applyFill="1" applyBorder="1" applyAlignment="1">
      <alignment horizontal="center" vertical="center"/>
    </xf>
    <xf numFmtId="0" fontId="5" fillId="3" borderId="13" xfId="1" applyFont="1" applyFill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8" borderId="24" xfId="1" applyFont="1" applyFill="1" applyBorder="1" applyAlignment="1">
      <alignment horizontal="center" vertical="center"/>
    </xf>
    <xf numFmtId="0" fontId="7" fillId="8" borderId="13" xfId="1" applyFont="1" applyFill="1" applyBorder="1" applyAlignment="1">
      <alignment horizontal="center" vertical="center"/>
    </xf>
    <xf numFmtId="0" fontId="7" fillId="2" borderId="21" xfId="1" applyFont="1" applyFill="1" applyBorder="1" applyAlignment="1">
      <alignment horizontal="center" vertical="center"/>
    </xf>
    <xf numFmtId="0" fontId="7" fillId="2" borderId="19" xfId="1" applyFont="1" applyFill="1" applyBorder="1" applyAlignment="1">
      <alignment horizontal="center" vertical="center"/>
    </xf>
    <xf numFmtId="0" fontId="7" fillId="2" borderId="20" xfId="1" applyFont="1" applyFill="1" applyBorder="1" applyAlignment="1">
      <alignment horizontal="center" vertical="center"/>
    </xf>
    <xf numFmtId="0" fontId="7" fillId="2" borderId="45" xfId="1" applyFont="1" applyFill="1" applyBorder="1" applyAlignment="1">
      <alignment horizontal="center" vertical="center"/>
    </xf>
    <xf numFmtId="0" fontId="5" fillId="0" borderId="49" xfId="1" applyFont="1" applyBorder="1" applyAlignment="1">
      <alignment horizontal="center" vertical="center"/>
    </xf>
    <xf numFmtId="0" fontId="5" fillId="0" borderId="48" xfId="1" applyFont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 shrinkToFit="1"/>
    </xf>
    <xf numFmtId="0" fontId="5" fillId="2" borderId="20" xfId="1" applyFont="1" applyFill="1" applyBorder="1" applyAlignment="1">
      <alignment horizontal="center" vertical="center" shrinkToFit="1"/>
    </xf>
    <xf numFmtId="0" fontId="5" fillId="2" borderId="19" xfId="1" applyFont="1" applyFill="1" applyBorder="1" applyAlignment="1">
      <alignment horizontal="center" vertical="center" shrinkToFit="1"/>
    </xf>
    <xf numFmtId="0" fontId="5" fillId="0" borderId="25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2" borderId="34" xfId="1" applyFont="1" applyFill="1" applyBorder="1" applyAlignment="1">
      <alignment horizontal="center" vertical="center" shrinkToFit="1"/>
    </xf>
    <xf numFmtId="0" fontId="5" fillId="2" borderId="33" xfId="1" applyFont="1" applyFill="1" applyBorder="1" applyAlignment="1">
      <alignment horizontal="center" vertical="center" shrinkToFit="1"/>
    </xf>
    <xf numFmtId="0" fontId="5" fillId="2" borderId="32" xfId="1" applyFont="1" applyFill="1" applyBorder="1" applyAlignment="1">
      <alignment horizontal="center" vertical="center" shrinkToFit="1"/>
    </xf>
    <xf numFmtId="0" fontId="5" fillId="2" borderId="31" xfId="1" applyFont="1" applyFill="1" applyBorder="1" applyAlignment="1">
      <alignment horizontal="center" vertical="center" shrinkToFit="1"/>
    </xf>
    <xf numFmtId="0" fontId="5" fillId="0" borderId="26" xfId="1" applyFont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shrinkToFit="1"/>
    </xf>
    <xf numFmtId="0" fontId="5" fillId="2" borderId="5" xfId="1" applyFont="1" applyFill="1" applyBorder="1" applyAlignment="1">
      <alignment horizontal="center" vertical="center" shrinkToFit="1"/>
    </xf>
    <xf numFmtId="0" fontId="5" fillId="2" borderId="4" xfId="1" applyFont="1" applyFill="1" applyBorder="1" applyAlignment="1">
      <alignment horizontal="center" vertical="center" shrinkToFit="1"/>
    </xf>
    <xf numFmtId="0" fontId="5" fillId="0" borderId="28" xfId="1" applyFont="1" applyBorder="1" applyAlignment="1">
      <alignment horizontal="center" vertical="center"/>
    </xf>
    <xf numFmtId="0" fontId="5" fillId="3" borderId="27" xfId="1" applyFont="1" applyFill="1" applyBorder="1" applyAlignment="1">
      <alignment horizontal="center" vertical="center"/>
    </xf>
    <xf numFmtId="0" fontId="5" fillId="8" borderId="27" xfId="1" applyFont="1" applyFill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 shrinkToFit="1"/>
    </xf>
    <xf numFmtId="0" fontId="5" fillId="2" borderId="37" xfId="1" applyFont="1" applyFill="1" applyBorder="1" applyAlignment="1">
      <alignment horizontal="center" vertical="center" shrinkToFit="1"/>
    </xf>
    <xf numFmtId="0" fontId="5" fillId="2" borderId="36" xfId="1" applyFont="1" applyFill="1" applyBorder="1" applyAlignment="1">
      <alignment horizontal="center" vertical="center" shrinkToFit="1"/>
    </xf>
    <xf numFmtId="0" fontId="5" fillId="2" borderId="35" xfId="1" applyFont="1" applyFill="1" applyBorder="1" applyAlignment="1">
      <alignment horizontal="center" vertical="center" shrinkToFit="1"/>
    </xf>
    <xf numFmtId="0" fontId="5" fillId="2" borderId="30" xfId="1" applyFont="1" applyFill="1" applyBorder="1" applyAlignment="1">
      <alignment horizontal="center" vertical="center" shrinkToFit="1"/>
    </xf>
    <xf numFmtId="0" fontId="5" fillId="0" borderId="21" xfId="1" applyFont="1" applyBorder="1" applyAlignment="1">
      <alignment horizontal="center" vertical="center"/>
    </xf>
    <xf numFmtId="0" fontId="5" fillId="0" borderId="55" xfId="1" applyFont="1" applyBorder="1" applyAlignment="1">
      <alignment horizontal="center" vertical="center"/>
    </xf>
    <xf numFmtId="0" fontId="5" fillId="5" borderId="24" xfId="1" applyFont="1" applyFill="1" applyBorder="1" applyAlignment="1">
      <alignment horizontal="center" vertical="center"/>
    </xf>
    <xf numFmtId="0" fontId="5" fillId="5" borderId="13" xfId="1" applyFont="1" applyFill="1" applyBorder="1" applyAlignment="1">
      <alignment horizontal="center" vertical="center"/>
    </xf>
    <xf numFmtId="0" fontId="8" fillId="4" borderId="39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/>
    </xf>
    <xf numFmtId="0" fontId="8" fillId="4" borderId="38" xfId="1" applyFont="1" applyFill="1" applyBorder="1" applyAlignment="1">
      <alignment horizontal="center" vertical="center"/>
    </xf>
    <xf numFmtId="0" fontId="5" fillId="8" borderId="24" xfId="1" applyFont="1" applyFill="1" applyBorder="1" applyAlignment="1">
      <alignment horizontal="center" vertical="center"/>
    </xf>
    <xf numFmtId="0" fontId="5" fillId="8" borderId="13" xfId="1" applyFont="1" applyFill="1" applyBorder="1" applyAlignment="1">
      <alignment horizontal="center" vertical="center"/>
    </xf>
    <xf numFmtId="0" fontId="5" fillId="5" borderId="17" xfId="1" applyFont="1" applyFill="1" applyBorder="1" applyAlignment="1">
      <alignment horizontal="center" vertical="center"/>
    </xf>
    <xf numFmtId="0" fontId="5" fillId="5" borderId="9" xfId="1" applyFont="1" applyFill="1" applyBorder="1" applyAlignment="1">
      <alignment horizontal="center" vertical="center"/>
    </xf>
    <xf numFmtId="0" fontId="5" fillId="0" borderId="37" xfId="1" applyFont="1" applyBorder="1" applyAlignment="1">
      <alignment horizontal="center" vertical="center"/>
    </xf>
  </cellXfs>
  <cellStyles count="5">
    <cellStyle name="백분율" xfId="4" builtinId="5"/>
    <cellStyle name="표준" xfId="0" builtinId="0"/>
    <cellStyle name="표준 2" xfId="1" xr:uid="{3C4CB365-5F3C-43A0-91B9-6FFB97B0D617}"/>
    <cellStyle name="표준 2 2" xfId="3" xr:uid="{D19E6D23-64BB-4600-8E2E-DEACE5989A87}"/>
    <cellStyle name="표준 3" xfId="2" xr:uid="{8550D0AC-ACBE-40F9-81AA-5B86E379C5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203200</xdr:colOff>
      <xdr:row>1</xdr:row>
      <xdr:rowOff>133350</xdr:rowOff>
    </xdr:from>
    <xdr:to>
      <xdr:col>19</xdr:col>
      <xdr:colOff>387350</xdr:colOff>
      <xdr:row>35</xdr:row>
      <xdr:rowOff>25400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15996909-0156-8E39-D396-62EC2166456C}"/>
            </a:ext>
          </a:extLst>
        </xdr:cNvPr>
        <xdr:cNvGrpSpPr/>
      </xdr:nvGrpSpPr>
      <xdr:grpSpPr>
        <a:xfrm>
          <a:off x="863600" y="349250"/>
          <a:ext cx="12071350" cy="7232650"/>
          <a:chOff x="1141722" y="225023"/>
          <a:chExt cx="10747095" cy="6351090"/>
        </a:xfrm>
      </xdr:grpSpPr>
      <xdr:cxnSp macro="">
        <xdr:nvCxnSpPr>
          <xdr:cNvPr id="3" name="직선 연결선 2">
            <a:extLst>
              <a:ext uri="{FF2B5EF4-FFF2-40B4-BE49-F238E27FC236}">
                <a16:creationId xmlns:a16="http://schemas.microsoft.com/office/drawing/2014/main" id="{09F7CB1A-8ECB-1044-B19A-27787A7DC5EF}"/>
              </a:ext>
            </a:extLst>
          </xdr:cNvPr>
          <xdr:cNvCxnSpPr>
            <a:cxnSpLocks/>
          </xdr:cNvCxnSpPr>
        </xdr:nvCxnSpPr>
        <xdr:spPr>
          <a:xfrm flipV="1">
            <a:off x="3451058" y="972552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A028092B-D113-3AB5-2801-5975F05140B7}"/>
              </a:ext>
            </a:extLst>
          </xdr:cNvPr>
          <xdr:cNvSpPr/>
        </xdr:nvSpPr>
        <xdr:spPr>
          <a:xfrm>
            <a:off x="3219282" y="418832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AE1C29A6-E4EB-D847-0E92-D083E363CE6F}"/>
              </a:ext>
            </a:extLst>
          </xdr:cNvPr>
          <xdr:cNvCxnSpPr>
            <a:cxnSpLocks/>
          </xdr:cNvCxnSpPr>
        </xdr:nvCxnSpPr>
        <xdr:spPr>
          <a:xfrm flipV="1">
            <a:off x="4060658" y="972552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0AA8F802-4F1F-9896-3B59-069BA9B57EAF}"/>
              </a:ext>
            </a:extLst>
          </xdr:cNvPr>
          <xdr:cNvSpPr/>
        </xdr:nvSpPr>
        <xdr:spPr>
          <a:xfrm>
            <a:off x="3828882" y="418832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7" name="직선 연결선 6">
            <a:extLst>
              <a:ext uri="{FF2B5EF4-FFF2-40B4-BE49-F238E27FC236}">
                <a16:creationId xmlns:a16="http://schemas.microsoft.com/office/drawing/2014/main" id="{FA9E1576-F8DA-BAA8-C37B-3AC256F3BB50}"/>
              </a:ext>
            </a:extLst>
          </xdr:cNvPr>
          <xdr:cNvCxnSpPr>
            <a:cxnSpLocks/>
          </xdr:cNvCxnSpPr>
        </xdr:nvCxnSpPr>
        <xdr:spPr>
          <a:xfrm flipV="1">
            <a:off x="4670258" y="972552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20D58091-5697-408E-1C76-611D57DF415C}"/>
              </a:ext>
            </a:extLst>
          </xdr:cNvPr>
          <xdr:cNvSpPr/>
        </xdr:nvSpPr>
        <xdr:spPr>
          <a:xfrm>
            <a:off x="4438482" y="418832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FA8702BF-7678-B0E5-D9B9-43A9E86AF14E}"/>
              </a:ext>
            </a:extLst>
          </xdr:cNvPr>
          <xdr:cNvCxnSpPr>
            <a:cxnSpLocks/>
          </xdr:cNvCxnSpPr>
        </xdr:nvCxnSpPr>
        <xdr:spPr>
          <a:xfrm flipV="1">
            <a:off x="5279858" y="972552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1809F586-C6CF-345A-6375-EF91D50FC00B}"/>
              </a:ext>
            </a:extLst>
          </xdr:cNvPr>
          <xdr:cNvSpPr/>
        </xdr:nvSpPr>
        <xdr:spPr>
          <a:xfrm>
            <a:off x="5048082" y="418832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11" name="직선 연결선 10">
            <a:extLst>
              <a:ext uri="{FF2B5EF4-FFF2-40B4-BE49-F238E27FC236}">
                <a16:creationId xmlns:a16="http://schemas.microsoft.com/office/drawing/2014/main" id="{B30F6F27-883A-FD05-DD41-E08A188BB6E7}"/>
              </a:ext>
            </a:extLst>
          </xdr:cNvPr>
          <xdr:cNvCxnSpPr>
            <a:cxnSpLocks/>
          </xdr:cNvCxnSpPr>
        </xdr:nvCxnSpPr>
        <xdr:spPr>
          <a:xfrm flipV="1">
            <a:off x="5874856" y="978757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6ECB7BDB-76AA-F1E9-7B7B-0ED00D1AFED7}"/>
              </a:ext>
            </a:extLst>
          </xdr:cNvPr>
          <xdr:cNvSpPr/>
        </xdr:nvSpPr>
        <xdr:spPr>
          <a:xfrm>
            <a:off x="5643080" y="425037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13" name="직선 연결선 12">
            <a:extLst>
              <a:ext uri="{FF2B5EF4-FFF2-40B4-BE49-F238E27FC236}">
                <a16:creationId xmlns:a16="http://schemas.microsoft.com/office/drawing/2014/main" id="{5B9275CA-86F0-5702-3D54-992E7F57C582}"/>
              </a:ext>
            </a:extLst>
          </xdr:cNvPr>
          <xdr:cNvCxnSpPr>
            <a:cxnSpLocks/>
          </xdr:cNvCxnSpPr>
        </xdr:nvCxnSpPr>
        <xdr:spPr>
          <a:xfrm flipV="1">
            <a:off x="6484456" y="978757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A6012450-68C7-CF5B-BFC7-1CAC166DA607}"/>
              </a:ext>
            </a:extLst>
          </xdr:cNvPr>
          <xdr:cNvSpPr/>
        </xdr:nvSpPr>
        <xdr:spPr>
          <a:xfrm>
            <a:off x="6252680" y="425037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15" name="직선 연결선 14">
            <a:extLst>
              <a:ext uri="{FF2B5EF4-FFF2-40B4-BE49-F238E27FC236}">
                <a16:creationId xmlns:a16="http://schemas.microsoft.com/office/drawing/2014/main" id="{47716BA7-491F-9145-12A7-79F9D2C4BFDF}"/>
              </a:ext>
            </a:extLst>
          </xdr:cNvPr>
          <xdr:cNvCxnSpPr>
            <a:cxnSpLocks/>
          </xdr:cNvCxnSpPr>
        </xdr:nvCxnSpPr>
        <xdr:spPr>
          <a:xfrm flipV="1">
            <a:off x="3444708" y="5424192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36A5BC90-D978-890C-C04F-43FC3F90A451}"/>
              </a:ext>
            </a:extLst>
          </xdr:cNvPr>
          <xdr:cNvSpPr/>
        </xdr:nvSpPr>
        <xdr:spPr>
          <a:xfrm>
            <a:off x="3205630" y="5735197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17" name="직선 연결선 16">
            <a:extLst>
              <a:ext uri="{FF2B5EF4-FFF2-40B4-BE49-F238E27FC236}">
                <a16:creationId xmlns:a16="http://schemas.microsoft.com/office/drawing/2014/main" id="{FCF2FAB3-961D-812F-D00F-7EF8CF5300EF}"/>
              </a:ext>
            </a:extLst>
          </xdr:cNvPr>
          <xdr:cNvCxnSpPr>
            <a:cxnSpLocks/>
          </xdr:cNvCxnSpPr>
        </xdr:nvCxnSpPr>
        <xdr:spPr>
          <a:xfrm flipV="1">
            <a:off x="4060658" y="5417842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DD5ABC89-6FCB-24EA-2B45-90D8E20CE632}"/>
              </a:ext>
            </a:extLst>
          </xdr:cNvPr>
          <xdr:cNvSpPr/>
        </xdr:nvSpPr>
        <xdr:spPr>
          <a:xfrm>
            <a:off x="3821580" y="5728847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4C7E726E-4D6A-6BE2-BFC1-FAE5F04E877B}"/>
              </a:ext>
            </a:extLst>
          </xdr:cNvPr>
          <xdr:cNvCxnSpPr>
            <a:cxnSpLocks/>
          </xdr:cNvCxnSpPr>
        </xdr:nvCxnSpPr>
        <xdr:spPr>
          <a:xfrm flipV="1">
            <a:off x="4670258" y="5417842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8CD239C1-2B83-B82D-ACF6-B9D60960AB4A}"/>
              </a:ext>
            </a:extLst>
          </xdr:cNvPr>
          <xdr:cNvSpPr/>
        </xdr:nvSpPr>
        <xdr:spPr>
          <a:xfrm>
            <a:off x="4431180" y="5728847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21" name="직선 연결선 20">
            <a:extLst>
              <a:ext uri="{FF2B5EF4-FFF2-40B4-BE49-F238E27FC236}">
                <a16:creationId xmlns:a16="http://schemas.microsoft.com/office/drawing/2014/main" id="{4F22FB4E-2803-BD8F-CFF5-86C50221C1F3}"/>
              </a:ext>
            </a:extLst>
          </xdr:cNvPr>
          <xdr:cNvCxnSpPr>
            <a:cxnSpLocks/>
          </xdr:cNvCxnSpPr>
        </xdr:nvCxnSpPr>
        <xdr:spPr>
          <a:xfrm flipV="1">
            <a:off x="5273508" y="5417842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" name="직사각형 21">
            <a:extLst>
              <a:ext uri="{FF2B5EF4-FFF2-40B4-BE49-F238E27FC236}">
                <a16:creationId xmlns:a16="http://schemas.microsoft.com/office/drawing/2014/main" id="{09E94AEF-CFA7-D7E8-56E9-2FC3CA189290}"/>
              </a:ext>
            </a:extLst>
          </xdr:cNvPr>
          <xdr:cNvSpPr/>
        </xdr:nvSpPr>
        <xdr:spPr>
          <a:xfrm>
            <a:off x="5034430" y="5728847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23" name="직선 연결선 22">
            <a:extLst>
              <a:ext uri="{FF2B5EF4-FFF2-40B4-BE49-F238E27FC236}">
                <a16:creationId xmlns:a16="http://schemas.microsoft.com/office/drawing/2014/main" id="{7E8A0498-40AD-A666-9CC2-A94476C23A7B}"/>
              </a:ext>
            </a:extLst>
          </xdr:cNvPr>
          <xdr:cNvCxnSpPr>
            <a:cxnSpLocks/>
          </xdr:cNvCxnSpPr>
        </xdr:nvCxnSpPr>
        <xdr:spPr>
          <a:xfrm flipV="1">
            <a:off x="5868506" y="5424047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62D12144-DB0A-9B52-CD40-1011C2FD056B}"/>
              </a:ext>
            </a:extLst>
          </xdr:cNvPr>
          <xdr:cNvSpPr/>
        </xdr:nvSpPr>
        <xdr:spPr>
          <a:xfrm>
            <a:off x="5629428" y="5735052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8A933A47-4728-395A-2D7A-E95EC5D5A8FF}"/>
              </a:ext>
            </a:extLst>
          </xdr:cNvPr>
          <xdr:cNvCxnSpPr>
            <a:cxnSpLocks/>
          </xdr:cNvCxnSpPr>
        </xdr:nvCxnSpPr>
        <xdr:spPr>
          <a:xfrm flipV="1">
            <a:off x="6478106" y="5424047"/>
            <a:ext cx="0" cy="311005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BDB02345-289C-3C48-32BB-4A197E2DDC58}"/>
              </a:ext>
            </a:extLst>
          </xdr:cNvPr>
          <xdr:cNvSpPr/>
        </xdr:nvSpPr>
        <xdr:spPr>
          <a:xfrm>
            <a:off x="6239028" y="5735052"/>
            <a:ext cx="478155" cy="55372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~24V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~100mA</a:t>
            </a:r>
          </a:p>
          <a:p>
            <a:pPr algn="ctr"/>
            <a:r>
              <a:rPr lang="en-US" altLang="ko-KR" sz="600">
                <a:solidFill>
                  <a:srgbClr val="FF0000"/>
                </a:solidFill>
              </a:rPr>
              <a:t>PWM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1E0BB2E9-9EA3-6126-05F4-64FCDB2D7915}"/>
              </a:ext>
            </a:extLst>
          </xdr:cNvPr>
          <xdr:cNvSpPr/>
        </xdr:nvSpPr>
        <xdr:spPr>
          <a:xfrm>
            <a:off x="7578877" y="4543084"/>
            <a:ext cx="1642214" cy="39624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3.3V Pulse 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3.3V Pulse / </a:t>
            </a:r>
            <a:r>
              <a:rPr lang="en-US" altLang="ko-KR" sz="600">
                <a:solidFill>
                  <a:srgbClr val="FF0000"/>
                </a:solidFill>
              </a:rPr>
              <a:t>3.3V Frequency ( ~ 10MHz)</a:t>
            </a:r>
            <a:endParaRPr lang="ko-KR" altLang="en-US" sz="600">
              <a:solidFill>
                <a:srgbClr val="FF0000"/>
              </a:solidFill>
            </a:endParaRPr>
          </a:p>
        </xdr:txBody>
      </xdr:sp>
      <xdr:cxnSp macro="">
        <xdr:nvCxnSpPr>
          <xdr:cNvPr id="28" name="직선 연결선 27">
            <a:extLst>
              <a:ext uri="{FF2B5EF4-FFF2-40B4-BE49-F238E27FC236}">
                <a16:creationId xmlns:a16="http://schemas.microsoft.com/office/drawing/2014/main" id="{09843A17-A875-7E32-650E-696643F5BECD}"/>
              </a:ext>
            </a:extLst>
          </xdr:cNvPr>
          <xdr:cNvCxnSpPr>
            <a:cxnSpLocks/>
          </xdr:cNvCxnSpPr>
        </xdr:nvCxnSpPr>
        <xdr:spPr>
          <a:xfrm>
            <a:off x="7236617" y="4741204"/>
            <a:ext cx="34226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id="{D108AB37-0BA2-57D0-3ED4-AF1508B94E9B}"/>
              </a:ext>
            </a:extLst>
          </xdr:cNvPr>
          <xdr:cNvSpPr/>
        </xdr:nvSpPr>
        <xdr:spPr>
          <a:xfrm>
            <a:off x="7578878" y="3994444"/>
            <a:ext cx="1196020" cy="39624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3.3V Pulse 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3.3V Pulse</a:t>
            </a:r>
            <a:endParaRPr lang="ko-KR" altLang="en-US" sz="600">
              <a:solidFill>
                <a:schemeClr val="tx1"/>
              </a:solidFill>
            </a:endParaRPr>
          </a:p>
        </xdr:txBody>
      </xdr:sp>
      <xdr:cxnSp macro="">
        <xdr:nvCxnSpPr>
          <xdr:cNvPr id="30" name="직선 연결선 29">
            <a:extLst>
              <a:ext uri="{FF2B5EF4-FFF2-40B4-BE49-F238E27FC236}">
                <a16:creationId xmlns:a16="http://schemas.microsoft.com/office/drawing/2014/main" id="{25AA077D-1A3A-C624-EF8A-0CE36C976C5A}"/>
              </a:ext>
            </a:extLst>
          </xdr:cNvPr>
          <xdr:cNvCxnSpPr>
            <a:cxnSpLocks/>
          </xdr:cNvCxnSpPr>
        </xdr:nvCxnSpPr>
        <xdr:spPr>
          <a:xfrm>
            <a:off x="7236617" y="4192564"/>
            <a:ext cx="34226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5C25B615-81BD-43CB-6BEF-893A4F5D0466}"/>
              </a:ext>
            </a:extLst>
          </xdr:cNvPr>
          <xdr:cNvSpPr/>
        </xdr:nvSpPr>
        <xdr:spPr>
          <a:xfrm>
            <a:off x="1141722" y="4536734"/>
            <a:ext cx="1196020" cy="39624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3.3V Pulse 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3.3V Pulse</a:t>
            </a:r>
            <a:endParaRPr lang="ko-KR" altLang="en-US" sz="600">
              <a:solidFill>
                <a:schemeClr val="tx1"/>
              </a:solidFill>
            </a:endParaRPr>
          </a:p>
        </xdr:txBody>
      </xdr:sp>
      <xdr:sp macro="" textlink="">
        <xdr:nvSpPr>
          <xdr:cNvPr id="32" name="직사각형 31">
            <a:extLst>
              <a:ext uri="{FF2B5EF4-FFF2-40B4-BE49-F238E27FC236}">
                <a16:creationId xmlns:a16="http://schemas.microsoft.com/office/drawing/2014/main" id="{19712607-075D-B59B-0D5F-8C092E0D8FAD}"/>
              </a:ext>
            </a:extLst>
          </xdr:cNvPr>
          <xdr:cNvSpPr/>
        </xdr:nvSpPr>
        <xdr:spPr>
          <a:xfrm>
            <a:off x="1141722" y="3988094"/>
            <a:ext cx="1196020" cy="39624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3.3V Pulse 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3.3V Pulse</a:t>
            </a:r>
            <a:endParaRPr lang="ko-KR" altLang="en-US" sz="600">
              <a:solidFill>
                <a:schemeClr val="tx1"/>
              </a:solidFill>
            </a:endParaRPr>
          </a:p>
        </xdr:txBody>
      </xdr:sp>
      <xdr:cxnSp macro="">
        <xdr:nvCxnSpPr>
          <xdr:cNvPr id="33" name="직선 연결선 32">
            <a:extLst>
              <a:ext uri="{FF2B5EF4-FFF2-40B4-BE49-F238E27FC236}">
                <a16:creationId xmlns:a16="http://schemas.microsoft.com/office/drawing/2014/main" id="{200EF638-9E86-6E1C-AED2-BB54DBA39FE3}"/>
              </a:ext>
            </a:extLst>
          </xdr:cNvPr>
          <xdr:cNvCxnSpPr>
            <a:cxnSpLocks/>
          </xdr:cNvCxnSpPr>
        </xdr:nvCxnSpPr>
        <xdr:spPr>
          <a:xfrm>
            <a:off x="2337742" y="4734146"/>
            <a:ext cx="34226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직선 연결선 33">
            <a:extLst>
              <a:ext uri="{FF2B5EF4-FFF2-40B4-BE49-F238E27FC236}">
                <a16:creationId xmlns:a16="http://schemas.microsoft.com/office/drawing/2014/main" id="{A917A7FB-E367-0075-15EE-4D321E285180}"/>
              </a:ext>
            </a:extLst>
          </xdr:cNvPr>
          <xdr:cNvCxnSpPr>
            <a:cxnSpLocks/>
          </xdr:cNvCxnSpPr>
        </xdr:nvCxnSpPr>
        <xdr:spPr>
          <a:xfrm>
            <a:off x="2337742" y="4185506"/>
            <a:ext cx="34226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" name="직사각형 34">
            <a:extLst>
              <a:ext uri="{FF2B5EF4-FFF2-40B4-BE49-F238E27FC236}">
                <a16:creationId xmlns:a16="http://schemas.microsoft.com/office/drawing/2014/main" id="{C699BFE1-43B2-E6E7-AE47-A8ADF46ED4C9}"/>
              </a:ext>
            </a:extLst>
          </xdr:cNvPr>
          <xdr:cNvSpPr/>
        </xdr:nvSpPr>
        <xdr:spPr>
          <a:xfrm>
            <a:off x="1141722" y="1789724"/>
            <a:ext cx="1196020" cy="39624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0 ~ 5.5V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0 ~ 100mA </a:t>
            </a:r>
            <a:endParaRPr lang="ko-KR" altLang="en-US" sz="600">
              <a:solidFill>
                <a:schemeClr val="tx1"/>
              </a:solidFill>
            </a:endParaRPr>
          </a:p>
        </xdr:txBody>
      </xdr:sp>
      <xdr:cxnSp macro="">
        <xdr:nvCxnSpPr>
          <xdr:cNvPr id="36" name="직선 연결선 35">
            <a:extLst>
              <a:ext uri="{FF2B5EF4-FFF2-40B4-BE49-F238E27FC236}">
                <a16:creationId xmlns:a16="http://schemas.microsoft.com/office/drawing/2014/main" id="{B4DB3599-C36F-AFA6-14B7-02F7A144A847}"/>
              </a:ext>
            </a:extLst>
          </xdr:cNvPr>
          <xdr:cNvCxnSpPr>
            <a:cxnSpLocks/>
          </xdr:cNvCxnSpPr>
        </xdr:nvCxnSpPr>
        <xdr:spPr>
          <a:xfrm>
            <a:off x="2337742" y="1987136"/>
            <a:ext cx="34226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" name="직사각형 36">
            <a:extLst>
              <a:ext uri="{FF2B5EF4-FFF2-40B4-BE49-F238E27FC236}">
                <a16:creationId xmlns:a16="http://schemas.microsoft.com/office/drawing/2014/main" id="{82C0A274-9C50-4918-12C0-A2792E81A7B8}"/>
              </a:ext>
            </a:extLst>
          </xdr:cNvPr>
          <xdr:cNvSpPr/>
        </xdr:nvSpPr>
        <xdr:spPr>
          <a:xfrm>
            <a:off x="7578878" y="2322771"/>
            <a:ext cx="1196020" cy="39624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0 ~ 5.5V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0 ~ 5.5V / 0 ~ 1mA</a:t>
            </a:r>
            <a:endParaRPr lang="ko-KR" altLang="en-US" sz="600">
              <a:solidFill>
                <a:schemeClr val="tx1"/>
              </a:solidFill>
            </a:endParaRPr>
          </a:p>
        </xdr:txBody>
      </xdr:sp>
      <xdr:cxnSp macro="">
        <xdr:nvCxnSpPr>
          <xdr:cNvPr id="38" name="직선 연결선 37">
            <a:extLst>
              <a:ext uri="{FF2B5EF4-FFF2-40B4-BE49-F238E27FC236}">
                <a16:creationId xmlns:a16="http://schemas.microsoft.com/office/drawing/2014/main" id="{D7087D77-7AAF-40BE-E350-A1116F18A41D}"/>
              </a:ext>
            </a:extLst>
          </xdr:cNvPr>
          <xdr:cNvCxnSpPr>
            <a:cxnSpLocks/>
          </xdr:cNvCxnSpPr>
        </xdr:nvCxnSpPr>
        <xdr:spPr>
          <a:xfrm>
            <a:off x="7236617" y="2520891"/>
            <a:ext cx="342261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" name="직선 연결선 38">
            <a:extLst>
              <a:ext uri="{FF2B5EF4-FFF2-40B4-BE49-F238E27FC236}">
                <a16:creationId xmlns:a16="http://schemas.microsoft.com/office/drawing/2014/main" id="{9A8C40C7-F757-4363-8B35-F4EAF2BF57E3}"/>
              </a:ext>
            </a:extLst>
          </xdr:cNvPr>
          <xdr:cNvCxnSpPr>
            <a:cxnSpLocks/>
          </xdr:cNvCxnSpPr>
        </xdr:nvCxnSpPr>
        <xdr:spPr>
          <a:xfrm>
            <a:off x="1836332" y="990584"/>
            <a:ext cx="0" cy="245256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" name="직선 연결선 39">
            <a:extLst>
              <a:ext uri="{FF2B5EF4-FFF2-40B4-BE49-F238E27FC236}">
                <a16:creationId xmlns:a16="http://schemas.microsoft.com/office/drawing/2014/main" id="{8903E4DF-9C68-3614-6347-DEEEFF6DA6F5}"/>
              </a:ext>
            </a:extLst>
          </xdr:cNvPr>
          <xdr:cNvCxnSpPr>
            <a:cxnSpLocks/>
          </xdr:cNvCxnSpPr>
        </xdr:nvCxnSpPr>
        <xdr:spPr>
          <a:xfrm>
            <a:off x="1755898" y="1235840"/>
            <a:ext cx="160867" cy="0"/>
          </a:xfrm>
          <a:prstGeom prst="line">
            <a:avLst/>
          </a:prstGeom>
          <a:ln w="254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1" name="직선 연결선 40">
            <a:extLst>
              <a:ext uri="{FF2B5EF4-FFF2-40B4-BE49-F238E27FC236}">
                <a16:creationId xmlns:a16="http://schemas.microsoft.com/office/drawing/2014/main" id="{ED189935-07CB-925C-4DFD-13088BB8FF94}"/>
              </a:ext>
            </a:extLst>
          </xdr:cNvPr>
          <xdr:cNvCxnSpPr>
            <a:cxnSpLocks/>
          </xdr:cNvCxnSpPr>
        </xdr:nvCxnSpPr>
        <xdr:spPr>
          <a:xfrm>
            <a:off x="1755898" y="1280290"/>
            <a:ext cx="160867" cy="0"/>
          </a:xfrm>
          <a:prstGeom prst="line">
            <a:avLst/>
          </a:prstGeom>
          <a:ln w="254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2" name="직선 연결선 41">
            <a:extLst>
              <a:ext uri="{FF2B5EF4-FFF2-40B4-BE49-F238E27FC236}">
                <a16:creationId xmlns:a16="http://schemas.microsoft.com/office/drawing/2014/main" id="{3C2DC24E-101D-B9C0-46A8-A22D99646C43}"/>
              </a:ext>
            </a:extLst>
          </xdr:cNvPr>
          <xdr:cNvCxnSpPr>
            <a:cxnSpLocks/>
          </xdr:cNvCxnSpPr>
        </xdr:nvCxnSpPr>
        <xdr:spPr>
          <a:xfrm>
            <a:off x="1836332" y="1280290"/>
            <a:ext cx="0" cy="151977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3" name="이등변 삼각형 42">
            <a:extLst>
              <a:ext uri="{FF2B5EF4-FFF2-40B4-BE49-F238E27FC236}">
                <a16:creationId xmlns:a16="http://schemas.microsoft.com/office/drawing/2014/main" id="{3315BDBC-6889-3D9C-0953-1C67E18B3608}"/>
              </a:ext>
            </a:extLst>
          </xdr:cNvPr>
          <xdr:cNvSpPr/>
        </xdr:nvSpPr>
        <xdr:spPr>
          <a:xfrm rot="10800000">
            <a:off x="1803548" y="1432267"/>
            <a:ext cx="65566" cy="64553"/>
          </a:xfrm>
          <a:prstGeom prst="triangle">
            <a:avLst/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4" name="TextBox 66">
            <a:extLst>
              <a:ext uri="{FF2B5EF4-FFF2-40B4-BE49-F238E27FC236}">
                <a16:creationId xmlns:a16="http://schemas.microsoft.com/office/drawing/2014/main" id="{9AE757C5-8B7D-D2B4-4973-969C9C766CB6}"/>
              </a:ext>
            </a:extLst>
          </xdr:cNvPr>
          <xdr:cNvSpPr txBox="1"/>
        </xdr:nvSpPr>
        <xdr:spPr>
          <a:xfrm>
            <a:off x="1459751" y="1254556"/>
            <a:ext cx="407721" cy="184666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600"/>
              <a:t>100nF</a:t>
            </a:r>
            <a:endParaRPr lang="ko-KR" altLang="en-US" sz="600"/>
          </a:p>
        </xdr:txBody>
      </xdr:sp>
      <xdr:cxnSp macro="">
        <xdr:nvCxnSpPr>
          <xdr:cNvPr id="45" name="직선 연결선 44">
            <a:extLst>
              <a:ext uri="{FF2B5EF4-FFF2-40B4-BE49-F238E27FC236}">
                <a16:creationId xmlns:a16="http://schemas.microsoft.com/office/drawing/2014/main" id="{1833C3C4-29D8-B3B9-3333-85958D6AA02A}"/>
              </a:ext>
            </a:extLst>
          </xdr:cNvPr>
          <xdr:cNvCxnSpPr>
            <a:cxnSpLocks/>
          </xdr:cNvCxnSpPr>
        </xdr:nvCxnSpPr>
        <xdr:spPr>
          <a:xfrm>
            <a:off x="1771777" y="990016"/>
            <a:ext cx="144988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6" name="TextBox 68">
            <a:extLst>
              <a:ext uri="{FF2B5EF4-FFF2-40B4-BE49-F238E27FC236}">
                <a16:creationId xmlns:a16="http://schemas.microsoft.com/office/drawing/2014/main" id="{DEAFBBBC-D890-3B90-4E24-32B3C8FE6C84}"/>
              </a:ext>
            </a:extLst>
          </xdr:cNvPr>
          <xdr:cNvSpPr txBox="1"/>
        </xdr:nvSpPr>
        <xdr:spPr>
          <a:xfrm>
            <a:off x="1692134" y="851124"/>
            <a:ext cx="449262" cy="16927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500"/>
              <a:t>VDD</a:t>
            </a:r>
            <a:endParaRPr lang="ko-KR" altLang="en-US" sz="500"/>
          </a:p>
        </xdr:txBody>
      </xdr:sp>
      <xdr:cxnSp macro="">
        <xdr:nvCxnSpPr>
          <xdr:cNvPr id="47" name="직선 연결선 46">
            <a:extLst>
              <a:ext uri="{FF2B5EF4-FFF2-40B4-BE49-F238E27FC236}">
                <a16:creationId xmlns:a16="http://schemas.microsoft.com/office/drawing/2014/main" id="{63364EE7-CA34-649F-F4DE-8AFA6531C355}"/>
              </a:ext>
            </a:extLst>
          </xdr:cNvPr>
          <xdr:cNvCxnSpPr>
            <a:cxnSpLocks/>
          </xdr:cNvCxnSpPr>
        </xdr:nvCxnSpPr>
        <xdr:spPr>
          <a:xfrm>
            <a:off x="2396319" y="3068928"/>
            <a:ext cx="283684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8" name="이등변 삼각형 47">
            <a:extLst>
              <a:ext uri="{FF2B5EF4-FFF2-40B4-BE49-F238E27FC236}">
                <a16:creationId xmlns:a16="http://schemas.microsoft.com/office/drawing/2014/main" id="{C0625EC8-4B59-D5E6-B68F-1A92B6530128}"/>
              </a:ext>
            </a:extLst>
          </xdr:cNvPr>
          <xdr:cNvSpPr/>
        </xdr:nvSpPr>
        <xdr:spPr>
          <a:xfrm rot="16200000">
            <a:off x="2293721" y="3022842"/>
            <a:ext cx="107282" cy="92172"/>
          </a:xfrm>
          <a:prstGeom prst="triangle">
            <a:avLst/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F0E36B03-7DF7-7944-B2B8-87E379820566}"/>
              </a:ext>
            </a:extLst>
          </xdr:cNvPr>
          <xdr:cNvSpPr/>
        </xdr:nvSpPr>
        <xdr:spPr>
          <a:xfrm>
            <a:off x="9472475" y="762521"/>
            <a:ext cx="831545" cy="419539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3.3V Pulse 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3.3V Pulse</a:t>
            </a:r>
            <a:endParaRPr lang="ko-KR" altLang="en-US" sz="600">
              <a:solidFill>
                <a:schemeClr val="tx1"/>
              </a:solidFill>
            </a:endParaRPr>
          </a:p>
        </xdr:txBody>
      </xdr:sp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75D4AADF-753C-A15C-AAC2-47036F28C66D}"/>
              </a:ext>
            </a:extLst>
          </xdr:cNvPr>
          <xdr:cNvCxnSpPr>
            <a:cxnSpLocks/>
          </xdr:cNvCxnSpPr>
        </xdr:nvCxnSpPr>
        <xdr:spPr>
          <a:xfrm>
            <a:off x="10304020" y="960642"/>
            <a:ext cx="283684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1" name="직사각형 50">
            <a:extLst>
              <a:ext uri="{FF2B5EF4-FFF2-40B4-BE49-F238E27FC236}">
                <a16:creationId xmlns:a16="http://schemas.microsoft.com/office/drawing/2014/main" id="{833E6540-105D-1ECA-D70F-78432EAF49EA}"/>
              </a:ext>
            </a:extLst>
          </xdr:cNvPr>
          <xdr:cNvSpPr/>
        </xdr:nvSpPr>
        <xdr:spPr>
          <a:xfrm>
            <a:off x="10587704" y="762523"/>
            <a:ext cx="756350" cy="419538"/>
          </a:xfrm>
          <a:prstGeom prst="rect">
            <a:avLst/>
          </a:prstGeom>
          <a:solidFill>
            <a:srgbClr val="FFFF00"/>
          </a:solidFill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SRSTN</a:t>
            </a:r>
          </a:p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STEST</a:t>
            </a:r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217485D5-8454-EEEE-F532-D509A37C8406}"/>
              </a:ext>
            </a:extLst>
          </xdr:cNvPr>
          <xdr:cNvSpPr/>
        </xdr:nvSpPr>
        <xdr:spPr>
          <a:xfrm>
            <a:off x="9472475" y="1519088"/>
            <a:ext cx="1196020" cy="396240"/>
          </a:xfrm>
          <a:prstGeom prst="rect">
            <a:avLst/>
          </a:prstGeom>
          <a:noFill/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Input</a:t>
            </a:r>
          </a:p>
          <a:p>
            <a:pPr algn="ctr"/>
            <a:r>
              <a:rPr lang="en-US" altLang="ko-KR" sz="600">
                <a:solidFill>
                  <a:schemeClr val="tx1"/>
                </a:solidFill>
              </a:rPr>
              <a:t>0 ~ 5.5V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 b="1">
                <a:solidFill>
                  <a:schemeClr val="tx1"/>
                </a:solidFill>
              </a:rPr>
              <a:t>Meas</a:t>
            </a:r>
            <a:br>
              <a:rPr lang="en-US" altLang="ko-KR" sz="600">
                <a:solidFill>
                  <a:schemeClr val="tx1"/>
                </a:solidFill>
              </a:rPr>
            </a:br>
            <a:r>
              <a:rPr lang="en-US" altLang="ko-KR" sz="600">
                <a:solidFill>
                  <a:schemeClr val="tx1"/>
                </a:solidFill>
              </a:rPr>
              <a:t>0 ~ 100mA </a:t>
            </a:r>
            <a:endParaRPr lang="ko-KR" altLang="en-US" sz="600">
              <a:solidFill>
                <a:schemeClr val="tx1"/>
              </a:solidFill>
            </a:endParaRPr>
          </a:p>
        </xdr:txBody>
      </xdr:sp>
      <xdr:cxnSp macro="">
        <xdr:nvCxnSpPr>
          <xdr:cNvPr id="53" name="직선 연결선 52">
            <a:extLst>
              <a:ext uri="{FF2B5EF4-FFF2-40B4-BE49-F238E27FC236}">
                <a16:creationId xmlns:a16="http://schemas.microsoft.com/office/drawing/2014/main" id="{89296CB0-F587-8484-9F80-6AE031FCE5C2}"/>
              </a:ext>
            </a:extLst>
          </xdr:cNvPr>
          <xdr:cNvCxnSpPr>
            <a:cxnSpLocks/>
          </xdr:cNvCxnSpPr>
        </xdr:nvCxnSpPr>
        <xdr:spPr>
          <a:xfrm>
            <a:off x="10682195" y="1693909"/>
            <a:ext cx="283684" cy="0"/>
          </a:xfrm>
          <a:prstGeom prst="line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" name="직사각형 53">
            <a:extLst>
              <a:ext uri="{FF2B5EF4-FFF2-40B4-BE49-F238E27FC236}">
                <a16:creationId xmlns:a16="http://schemas.microsoft.com/office/drawing/2014/main" id="{4E5177A2-F0D5-4D59-AFA0-A790B4CAFDAA}"/>
              </a:ext>
            </a:extLst>
          </xdr:cNvPr>
          <xdr:cNvSpPr/>
        </xdr:nvSpPr>
        <xdr:spPr>
          <a:xfrm>
            <a:off x="10965879" y="1495790"/>
            <a:ext cx="756350" cy="419538"/>
          </a:xfrm>
          <a:prstGeom prst="rect">
            <a:avLst/>
          </a:prstGeom>
          <a:solidFill>
            <a:srgbClr val="FFFF00"/>
          </a:solidFill>
          <a:ln w="1270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600" b="1">
                <a:solidFill>
                  <a:schemeClr val="tx1"/>
                </a:solidFill>
              </a:rPr>
              <a:t>VDD1P5</a:t>
            </a:r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1EA8B997-102A-9551-21B9-1580D298F3B3}"/>
              </a:ext>
            </a:extLst>
          </xdr:cNvPr>
          <xdr:cNvSpPr/>
        </xdr:nvSpPr>
        <xdr:spPr>
          <a:xfrm>
            <a:off x="9311608" y="225023"/>
            <a:ext cx="2577209" cy="2129478"/>
          </a:xfrm>
          <a:prstGeom prst="rect">
            <a:avLst/>
          </a:prstGeom>
          <a:noFill/>
          <a:ln w="12700"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56" name="TextBox 41">
            <a:extLst>
              <a:ext uri="{FF2B5EF4-FFF2-40B4-BE49-F238E27FC236}">
                <a16:creationId xmlns:a16="http://schemas.microsoft.com/office/drawing/2014/main" id="{3CD2914F-D7D6-6D5A-F02F-3137A8B9D7D3}"/>
              </a:ext>
            </a:extLst>
          </xdr:cNvPr>
          <xdr:cNvSpPr txBox="1"/>
        </xdr:nvSpPr>
        <xdr:spPr>
          <a:xfrm>
            <a:off x="9422174" y="281887"/>
            <a:ext cx="1590076" cy="246221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000" b="1"/>
              <a:t>Wafer Test (PT) Only</a:t>
            </a:r>
            <a:endParaRPr lang="ko-KR" altLang="en-US" sz="1000" b="1"/>
          </a:p>
        </xdr:txBody>
      </xdr:sp>
      <xdr:pic>
        <xdr:nvPicPr>
          <xdr:cNvPr id="57" name="그림 56">
            <a:extLst>
              <a:ext uri="{FF2B5EF4-FFF2-40B4-BE49-F238E27FC236}">
                <a16:creationId xmlns:a16="http://schemas.microsoft.com/office/drawing/2014/main" id="{EC0F1D98-41AB-A1AF-8EDB-B65EF21089D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684483" y="1280289"/>
            <a:ext cx="4556564" cy="4155885"/>
          </a:xfrm>
          <a:prstGeom prst="rect">
            <a:avLst/>
          </a:prstGeom>
        </xdr:spPr>
      </xdr:pic>
      <xdr:pic>
        <xdr:nvPicPr>
          <xdr:cNvPr id="58" name="그림 57">
            <a:extLst>
              <a:ext uri="{FF2B5EF4-FFF2-40B4-BE49-F238E27FC236}">
                <a16:creationId xmlns:a16="http://schemas.microsoft.com/office/drawing/2014/main" id="{18F78401-2BF8-7998-77B8-DA2D8356544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955832" y="2635486"/>
            <a:ext cx="1573858" cy="3621916"/>
          </a:xfrm>
          <a:prstGeom prst="rect">
            <a:avLst/>
          </a:prstGeom>
        </xdr:spPr>
      </xdr:pic>
      <xdr:sp macro="" textlink="">
        <xdr:nvSpPr>
          <xdr:cNvPr id="59" name="TextBox 33">
            <a:extLst>
              <a:ext uri="{FF2B5EF4-FFF2-40B4-BE49-F238E27FC236}">
                <a16:creationId xmlns:a16="http://schemas.microsoft.com/office/drawing/2014/main" id="{54144E77-84C7-AF6D-102A-09DD1CEDC766}"/>
              </a:ext>
            </a:extLst>
          </xdr:cNvPr>
          <xdr:cNvSpPr txBox="1"/>
        </xdr:nvSpPr>
        <xdr:spPr>
          <a:xfrm>
            <a:off x="10076838" y="6237559"/>
            <a:ext cx="1359245" cy="33855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60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ID601(TSSOP)</a:t>
            </a:r>
            <a:endParaRPr lang="ko-KR" altLang="en-US" sz="1600">
              <a:latin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김 영훈" id="{F065B05B-CA85-4840-87FF-78FF21AE852E}" userId="S::yhkim@solutionkorea.onmicrosoft.com::46bb9006-9f41-4d9d-9f9a-475cd2c881b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6-09-08T04:50:17.09" personId="{F065B05B-CA85-4840-87FF-78FF21AE852E}" id="{BCDE67D4-6E4B-4E4E-97C2-0DA889103730}">
    <text>실제 하드웨어 에서는 해당 기능 삭제됨
(의미없는 Bit)</text>
  </threadedComment>
  <threadedComment ref="I99" dT="2026-09-08T04:41:34.67" personId="{F065B05B-CA85-4840-87FF-78FF21AE852E}" id="{631C2C6D-3128-49D8-A0D7-75AB7E42B908}">
    <text>TEST_EN:1 시에
LD_TYPE을 무시하고 12채널에
VREF, FB , SHORT 데이터를 입력
01 : R
10 : G
11 : B</text>
  </threadedComment>
  <threadedComment ref="M99" dT="2026-09-08T04:46:18.00" personId="{F065B05B-CA85-4840-87FF-78FF21AE852E}" id="{0B386130-2AF5-4F7B-95B6-4D0EDC0E6880}">
    <text>READ 동작 가능하려면 = 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D722-D190-4E87-8866-4C2F1A334060}">
  <sheetPr codeName="Sheet7"/>
  <dimension ref="A1:R173"/>
  <sheetViews>
    <sheetView showGridLines="0" zoomScale="85" zoomScaleNormal="85" workbookViewId="0">
      <pane ySplit="2" topLeftCell="A86" activePane="bottomLeft" state="frozen"/>
      <selection pane="bottomLeft" activeCell="U118" sqref="U118"/>
    </sheetView>
  </sheetViews>
  <sheetFormatPr defaultColWidth="8.83203125" defaultRowHeight="16" x14ac:dyDescent="0.45"/>
  <cols>
    <col min="1" max="1" width="28.08203125" style="1" customWidth="1"/>
    <col min="2" max="3" width="7.6640625" style="1" customWidth="1"/>
    <col min="4" max="15" width="11.58203125" style="1" customWidth="1"/>
    <col min="16" max="17" width="7.6640625" style="1" customWidth="1"/>
    <col min="18" max="18" width="29.5" style="1" customWidth="1"/>
    <col min="19" max="16384" width="8.83203125" style="1"/>
  </cols>
  <sheetData>
    <row r="1" spans="1:18" ht="16.5" thickBot="1" x14ac:dyDescent="0.5"/>
    <row r="2" spans="1:18" ht="16.5" thickBot="1" x14ac:dyDescent="0.5">
      <c r="A2" s="68" t="s">
        <v>376</v>
      </c>
      <c r="B2" s="64" t="s">
        <v>375</v>
      </c>
      <c r="C2" s="67" t="s">
        <v>374</v>
      </c>
      <c r="D2" s="66" t="s">
        <v>373</v>
      </c>
      <c r="E2" s="65" t="s">
        <v>372</v>
      </c>
      <c r="F2" s="65" t="s">
        <v>371</v>
      </c>
      <c r="G2" s="65" t="s">
        <v>370</v>
      </c>
      <c r="H2" s="65" t="s">
        <v>369</v>
      </c>
      <c r="I2" s="65" t="s">
        <v>368</v>
      </c>
      <c r="J2" s="65" t="s">
        <v>367</v>
      </c>
      <c r="K2" s="65" t="s">
        <v>366</v>
      </c>
      <c r="L2" s="65" t="s">
        <v>365</v>
      </c>
      <c r="M2" s="65" t="s">
        <v>364</v>
      </c>
      <c r="N2" s="65" t="s">
        <v>363</v>
      </c>
      <c r="O2" s="63" t="s">
        <v>362</v>
      </c>
      <c r="P2" s="64" t="s">
        <v>361</v>
      </c>
      <c r="Q2" s="63" t="s">
        <v>360</v>
      </c>
      <c r="R2" s="62" t="s">
        <v>359</v>
      </c>
    </row>
    <row r="3" spans="1:18" ht="17.5" customHeight="1" x14ac:dyDescent="0.45">
      <c r="A3" s="194" t="s">
        <v>358</v>
      </c>
      <c r="B3" s="196" t="s">
        <v>71</v>
      </c>
      <c r="C3" s="207" t="s">
        <v>357</v>
      </c>
      <c r="D3" s="39" t="s">
        <v>356</v>
      </c>
      <c r="E3" s="32" t="s">
        <v>355</v>
      </c>
      <c r="F3" s="32" t="s">
        <v>354</v>
      </c>
      <c r="G3" s="32" t="s">
        <v>353</v>
      </c>
      <c r="H3" s="26" t="s">
        <v>1</v>
      </c>
      <c r="I3" s="26" t="s">
        <v>1</v>
      </c>
      <c r="J3" s="26" t="s">
        <v>1</v>
      </c>
      <c r="K3" s="201" t="s">
        <v>352</v>
      </c>
      <c r="L3" s="201"/>
      <c r="M3" s="201"/>
      <c r="N3" s="201"/>
      <c r="O3" s="198"/>
      <c r="P3" s="203" cm="1">
        <f t="array" ref="P3">SUMPRODUCT($D4:$O4, 2^(COLUMN($O4)-COLUMN($D4:$O4)))</f>
        <v>256</v>
      </c>
      <c r="Q3" s="189" t="str">
        <f>"0x"&amp;DEC2HEX($P3, 3)</f>
        <v>0x100</v>
      </c>
      <c r="R3" s="174"/>
    </row>
    <row r="4" spans="1:18" ht="17" customHeight="1" thickBot="1" x14ac:dyDescent="0.5">
      <c r="A4" s="206"/>
      <c r="B4" s="197"/>
      <c r="C4" s="200"/>
      <c r="D4" s="55">
        <v>0</v>
      </c>
      <c r="E4" s="44">
        <v>0</v>
      </c>
      <c r="F4" s="44">
        <v>0</v>
      </c>
      <c r="G4" s="90">
        <v>1</v>
      </c>
      <c r="H4" s="45">
        <v>0</v>
      </c>
      <c r="I4" s="45">
        <v>0</v>
      </c>
      <c r="J4" s="45">
        <v>0</v>
      </c>
      <c r="K4" s="44">
        <v>0</v>
      </c>
      <c r="L4" s="44">
        <v>0</v>
      </c>
      <c r="M4" s="44">
        <v>0</v>
      </c>
      <c r="N4" s="44">
        <v>0</v>
      </c>
      <c r="O4" s="54">
        <v>0</v>
      </c>
      <c r="P4" s="204"/>
      <c r="Q4" s="190"/>
      <c r="R4" s="175"/>
    </row>
    <row r="5" spans="1:18" ht="17" customHeight="1" x14ac:dyDescent="0.45">
      <c r="A5" s="194" t="s">
        <v>351</v>
      </c>
      <c r="B5" s="196" t="s">
        <v>350</v>
      </c>
      <c r="C5" s="199" t="s">
        <v>2</v>
      </c>
      <c r="D5" s="186" t="s">
        <v>349</v>
      </c>
      <c r="E5" s="201"/>
      <c r="F5" s="201"/>
      <c r="G5" s="201"/>
      <c r="H5" s="201"/>
      <c r="I5" s="201"/>
      <c r="J5" s="32" t="s">
        <v>348</v>
      </c>
      <c r="K5" s="32" t="s">
        <v>347</v>
      </c>
      <c r="L5" s="32" t="s">
        <v>346</v>
      </c>
      <c r="M5" s="32" t="s">
        <v>345</v>
      </c>
      <c r="N5" s="32" t="s">
        <v>344</v>
      </c>
      <c r="O5" s="31" t="s">
        <v>343</v>
      </c>
      <c r="P5" s="203" cm="1">
        <f t="array" ref="P5">SUMPRODUCT($D6:$O6, 2^(COLUMN($O6)-COLUMN($D6:$O6)))</f>
        <v>0</v>
      </c>
      <c r="Q5" s="187" t="str">
        <f>"0x"&amp;DEC2HEX($P5, 3)</f>
        <v>0x000</v>
      </c>
      <c r="R5" s="174"/>
    </row>
    <row r="6" spans="1:18" ht="16.5" thickBot="1" x14ac:dyDescent="0.5">
      <c r="A6" s="195"/>
      <c r="B6" s="197"/>
      <c r="C6" s="200"/>
      <c r="D6" s="20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61">
        <v>0</v>
      </c>
      <c r="P6" s="204"/>
      <c r="Q6" s="188"/>
      <c r="R6" s="175"/>
    </row>
    <row r="7" spans="1:18" ht="17" customHeight="1" x14ac:dyDescent="0.45">
      <c r="A7" s="194" t="s">
        <v>342</v>
      </c>
      <c r="B7" s="196" t="s">
        <v>66</v>
      </c>
      <c r="C7" s="199" t="s">
        <v>2</v>
      </c>
      <c r="D7" s="35" t="s">
        <v>1</v>
      </c>
      <c r="E7" s="26" t="s">
        <v>1</v>
      </c>
      <c r="F7" s="26" t="s">
        <v>1</v>
      </c>
      <c r="G7" s="26" t="s">
        <v>1</v>
      </c>
      <c r="H7" s="26" t="s">
        <v>1</v>
      </c>
      <c r="I7" s="26" t="s">
        <v>1</v>
      </c>
      <c r="J7" s="198" t="s">
        <v>341</v>
      </c>
      <c r="K7" s="182"/>
      <c r="L7" s="182"/>
      <c r="M7" s="182"/>
      <c r="N7" s="182"/>
      <c r="O7" s="183"/>
      <c r="P7" s="203" cm="1">
        <f t="array" ref="P7">SUMPRODUCT($D8:$O8, 2^(COLUMN($O8)-COLUMN($D8:$O8)))</f>
        <v>0</v>
      </c>
      <c r="Q7" s="187" t="str">
        <f>"0x"&amp;DEC2HEX($P7, 3)</f>
        <v>0x000</v>
      </c>
      <c r="R7" s="174"/>
    </row>
    <row r="8" spans="1:18" ht="16.5" thickBot="1" x14ac:dyDescent="0.5">
      <c r="A8" s="195"/>
      <c r="B8" s="197"/>
      <c r="C8" s="200"/>
      <c r="D8" s="30">
        <v>0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61">
        <v>0</v>
      </c>
      <c r="P8" s="204"/>
      <c r="Q8" s="188"/>
      <c r="R8" s="175"/>
    </row>
    <row r="9" spans="1:18" ht="17" customHeight="1" x14ac:dyDescent="0.45">
      <c r="A9" s="205" t="s">
        <v>340</v>
      </c>
      <c r="B9" s="196" t="s">
        <v>62</v>
      </c>
      <c r="C9" s="199" t="s">
        <v>2</v>
      </c>
      <c r="D9" s="181" t="s">
        <v>339</v>
      </c>
      <c r="E9" s="182"/>
      <c r="F9" s="182"/>
      <c r="G9" s="186"/>
      <c r="H9" s="198" t="s">
        <v>338</v>
      </c>
      <c r="I9" s="182"/>
      <c r="J9" s="182"/>
      <c r="K9" s="182"/>
      <c r="L9" s="182"/>
      <c r="M9" s="182"/>
      <c r="N9" s="182"/>
      <c r="O9" s="183"/>
      <c r="P9" s="203" cm="1">
        <f t="array" ref="P9">SUMPRODUCT($D10:$O10, 2^(COLUMN($O10)-COLUMN($D10:$O10)))</f>
        <v>0</v>
      </c>
      <c r="Q9" s="187" t="str">
        <f>"0x"&amp;DEC2HEX($P9, 3)</f>
        <v>0x000</v>
      </c>
      <c r="R9" s="174"/>
    </row>
    <row r="10" spans="1:18" ht="17.5" customHeight="1" thickBot="1" x14ac:dyDescent="0.5">
      <c r="A10" s="180"/>
      <c r="B10" s="197"/>
      <c r="C10" s="200"/>
      <c r="D10" s="20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61">
        <v>0</v>
      </c>
      <c r="P10" s="204"/>
      <c r="Q10" s="188"/>
      <c r="R10" s="175"/>
    </row>
    <row r="11" spans="1:18" ht="17" customHeight="1" x14ac:dyDescent="0.45">
      <c r="A11" s="208" t="s">
        <v>337</v>
      </c>
      <c r="B11" s="196" t="s">
        <v>59</v>
      </c>
      <c r="C11" s="199" t="s">
        <v>2</v>
      </c>
      <c r="D11" s="181" t="s">
        <v>336</v>
      </c>
      <c r="E11" s="182"/>
      <c r="F11" s="182"/>
      <c r="G11" s="186"/>
      <c r="H11" s="198" t="s">
        <v>335</v>
      </c>
      <c r="I11" s="182"/>
      <c r="J11" s="182"/>
      <c r="K11" s="182"/>
      <c r="L11" s="182"/>
      <c r="M11" s="182"/>
      <c r="N11" s="182"/>
      <c r="O11" s="183"/>
      <c r="P11" s="203" cm="1">
        <f t="array" ref="P11">SUMPRODUCT($D12:$O12, 2^(COLUMN($O12)-COLUMN($D12:$O12)))</f>
        <v>0</v>
      </c>
      <c r="Q11" s="187" t="str">
        <f>"0x"&amp;DEC2HEX($P11, 3)</f>
        <v>0x000</v>
      </c>
      <c r="R11" s="174"/>
    </row>
    <row r="12" spans="1:18" ht="17.5" customHeight="1" thickBot="1" x14ac:dyDescent="0.5">
      <c r="A12" s="180"/>
      <c r="B12" s="197"/>
      <c r="C12" s="200"/>
      <c r="D12" s="55">
        <v>0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v>0</v>
      </c>
      <c r="L12" s="44">
        <v>0</v>
      </c>
      <c r="M12" s="44">
        <v>0</v>
      </c>
      <c r="N12" s="44">
        <v>0</v>
      </c>
      <c r="O12" s="54">
        <v>0</v>
      </c>
      <c r="P12" s="204"/>
      <c r="Q12" s="188"/>
      <c r="R12" s="175"/>
    </row>
    <row r="13" spans="1:18" x14ac:dyDescent="0.45">
      <c r="A13" s="194" t="s">
        <v>334</v>
      </c>
      <c r="B13" s="196" t="s">
        <v>55</v>
      </c>
      <c r="C13" s="199" t="s">
        <v>2</v>
      </c>
      <c r="D13" s="40" t="s">
        <v>333</v>
      </c>
      <c r="E13" s="32" t="s">
        <v>332</v>
      </c>
      <c r="F13" s="32" t="s">
        <v>331</v>
      </c>
      <c r="G13" s="32" t="s">
        <v>330</v>
      </c>
      <c r="H13" s="32" t="s">
        <v>329</v>
      </c>
      <c r="I13" s="32" t="s">
        <v>328</v>
      </c>
      <c r="J13" s="32" t="s">
        <v>327</v>
      </c>
      <c r="K13" s="32" t="s">
        <v>326</v>
      </c>
      <c r="L13" s="32" t="s">
        <v>325</v>
      </c>
      <c r="M13" s="32" t="s">
        <v>324</v>
      </c>
      <c r="N13" s="32" t="s">
        <v>323</v>
      </c>
      <c r="O13" s="36" t="s">
        <v>322</v>
      </c>
      <c r="P13" s="184" cm="1">
        <f t="array" ref="P13">SUMPRODUCT($D14:$O14, 2^(COLUMN($O14)-COLUMN($D14:$O14)))</f>
        <v>0</v>
      </c>
      <c r="Q13" s="187" t="str">
        <f>"0x"&amp;DEC2HEX($P13, 3)</f>
        <v>0x000</v>
      </c>
      <c r="R13" s="174"/>
    </row>
    <row r="14" spans="1:18" ht="16.5" thickBot="1" x14ac:dyDescent="0.5">
      <c r="A14" s="195"/>
      <c r="B14" s="197"/>
      <c r="C14" s="200"/>
      <c r="D14" s="37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29">
        <v>0</v>
      </c>
      <c r="P14" s="185"/>
      <c r="Q14" s="188"/>
      <c r="R14" s="175"/>
    </row>
    <row r="15" spans="1:18" ht="17" customHeight="1" x14ac:dyDescent="0.45">
      <c r="A15" s="194" t="s">
        <v>321</v>
      </c>
      <c r="B15" s="196" t="s">
        <v>52</v>
      </c>
      <c r="C15" s="199" t="s">
        <v>320</v>
      </c>
      <c r="D15" s="42" t="s">
        <v>1</v>
      </c>
      <c r="E15" s="198" t="s">
        <v>319</v>
      </c>
      <c r="F15" s="186"/>
      <c r="G15" s="198" t="s">
        <v>318</v>
      </c>
      <c r="H15" s="186"/>
      <c r="I15" s="32" t="s">
        <v>317</v>
      </c>
      <c r="J15" s="32" t="s">
        <v>316</v>
      </c>
      <c r="K15" s="32" t="s">
        <v>315</v>
      </c>
      <c r="L15" s="32" t="s">
        <v>314</v>
      </c>
      <c r="M15" s="32" t="s">
        <v>313</v>
      </c>
      <c r="N15" s="32" t="s">
        <v>312</v>
      </c>
      <c r="O15" s="36" t="s">
        <v>311</v>
      </c>
      <c r="P15" s="184" cm="1">
        <f t="array" ref="P15">SUMPRODUCT($D16:$O16, 2^(COLUMN($O16)-COLUMN($D16:$O16)))</f>
        <v>63</v>
      </c>
      <c r="Q15" s="189" t="str">
        <f>"0x"&amp;DEC2HEX($P15, 3)</f>
        <v>0x03F</v>
      </c>
      <c r="R15" s="174"/>
    </row>
    <row r="16" spans="1:18" ht="16.5" thickBot="1" x14ac:dyDescent="0.5">
      <c r="A16" s="195"/>
      <c r="B16" s="197"/>
      <c r="C16" s="200"/>
      <c r="D16" s="60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90">
        <v>1</v>
      </c>
      <c r="K16" s="90">
        <v>1</v>
      </c>
      <c r="L16" s="90">
        <v>1</v>
      </c>
      <c r="M16" s="90">
        <v>1</v>
      </c>
      <c r="N16" s="90">
        <v>1</v>
      </c>
      <c r="O16" s="91">
        <v>1</v>
      </c>
      <c r="P16" s="185"/>
      <c r="Q16" s="190"/>
      <c r="R16" s="175"/>
    </row>
    <row r="17" spans="1:18" ht="17" customHeight="1" x14ac:dyDescent="0.45">
      <c r="A17" s="205" t="s">
        <v>310</v>
      </c>
      <c r="B17" s="196" t="s">
        <v>50</v>
      </c>
      <c r="C17" s="199" t="s">
        <v>2</v>
      </c>
      <c r="D17" s="42" t="s">
        <v>1</v>
      </c>
      <c r="E17" s="26" t="s">
        <v>1</v>
      </c>
      <c r="F17" s="26" t="s">
        <v>1</v>
      </c>
      <c r="G17" s="201" t="s">
        <v>309</v>
      </c>
      <c r="H17" s="201"/>
      <c r="I17" s="201"/>
      <c r="J17" s="201" t="s">
        <v>308</v>
      </c>
      <c r="K17" s="201"/>
      <c r="L17" s="201"/>
      <c r="M17" s="201" t="s">
        <v>307</v>
      </c>
      <c r="N17" s="201"/>
      <c r="O17" s="202"/>
      <c r="P17" s="184" cm="1">
        <f t="array" ref="P17">SUMPRODUCT($D18:$O18, 2^(COLUMN($O18)-COLUMN($D18:$O18)))</f>
        <v>0</v>
      </c>
      <c r="Q17" s="187" t="str">
        <f>"0x"&amp;DEC2HEX($P17, 3)</f>
        <v>0x000</v>
      </c>
      <c r="R17" s="174"/>
    </row>
    <row r="18" spans="1:18" ht="17.5" customHeight="1" thickBot="1" x14ac:dyDescent="0.5">
      <c r="A18" s="180"/>
      <c r="B18" s="197"/>
      <c r="C18" s="200"/>
      <c r="D18" s="41">
        <v>0</v>
      </c>
      <c r="E18" s="23">
        <v>0</v>
      </c>
      <c r="F18" s="23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29">
        <v>0</v>
      </c>
      <c r="P18" s="185"/>
      <c r="Q18" s="188"/>
      <c r="R18" s="175"/>
    </row>
    <row r="19" spans="1:18" ht="17" customHeight="1" x14ac:dyDescent="0.45">
      <c r="A19" s="208" t="s">
        <v>306</v>
      </c>
      <c r="B19" s="196" t="s">
        <v>48</v>
      </c>
      <c r="C19" s="199" t="s">
        <v>2</v>
      </c>
      <c r="D19" s="42" t="s">
        <v>1</v>
      </c>
      <c r="E19" s="26" t="s">
        <v>1</v>
      </c>
      <c r="F19" s="26" t="s">
        <v>1</v>
      </c>
      <c r="G19" s="201" t="s">
        <v>305</v>
      </c>
      <c r="H19" s="201"/>
      <c r="I19" s="201"/>
      <c r="J19" s="201" t="s">
        <v>304</v>
      </c>
      <c r="K19" s="201"/>
      <c r="L19" s="201"/>
      <c r="M19" s="201" t="s">
        <v>303</v>
      </c>
      <c r="N19" s="201"/>
      <c r="O19" s="202"/>
      <c r="P19" s="184" cm="1">
        <f t="array" ref="P19">SUMPRODUCT($D20:$O20, 2^(COLUMN($O20)-COLUMN($D20:$O20)))</f>
        <v>0</v>
      </c>
      <c r="Q19" s="187" t="str">
        <f>"0x"&amp;DEC2HEX($P19, 3)</f>
        <v>0x000</v>
      </c>
      <c r="R19" s="174"/>
    </row>
    <row r="20" spans="1:18" ht="17.5" customHeight="1" thickBot="1" x14ac:dyDescent="0.5">
      <c r="A20" s="180"/>
      <c r="B20" s="197"/>
      <c r="C20" s="200"/>
      <c r="D20" s="60">
        <v>0</v>
      </c>
      <c r="E20" s="45">
        <v>0</v>
      </c>
      <c r="F20" s="45">
        <v>0</v>
      </c>
      <c r="G20" s="44">
        <v>0</v>
      </c>
      <c r="H20" s="44">
        <v>0</v>
      </c>
      <c r="I20" s="44">
        <v>0</v>
      </c>
      <c r="J20" s="44">
        <v>0</v>
      </c>
      <c r="K20" s="44">
        <v>0</v>
      </c>
      <c r="L20" s="44">
        <v>0</v>
      </c>
      <c r="M20" s="44">
        <v>0</v>
      </c>
      <c r="N20" s="44">
        <v>0</v>
      </c>
      <c r="O20" s="43">
        <v>0</v>
      </c>
      <c r="P20" s="185"/>
      <c r="Q20" s="188"/>
      <c r="R20" s="175"/>
    </row>
    <row r="21" spans="1:18" x14ac:dyDescent="0.45">
      <c r="A21" s="194" t="s">
        <v>302</v>
      </c>
      <c r="B21" s="196" t="s">
        <v>46</v>
      </c>
      <c r="C21" s="199" t="s">
        <v>2</v>
      </c>
      <c r="D21" s="42" t="s">
        <v>1</v>
      </c>
      <c r="E21" s="59" t="s">
        <v>1</v>
      </c>
      <c r="F21" s="26" t="s">
        <v>1</v>
      </c>
      <c r="G21" s="59" t="s">
        <v>1</v>
      </c>
      <c r="H21" s="35" t="s">
        <v>1</v>
      </c>
      <c r="I21" s="26" t="s">
        <v>1</v>
      </c>
      <c r="J21" s="26" t="s">
        <v>1</v>
      </c>
      <c r="K21" s="32" t="s">
        <v>301</v>
      </c>
      <c r="L21" s="32" t="s">
        <v>300</v>
      </c>
      <c r="M21" s="32" t="s">
        <v>299</v>
      </c>
      <c r="N21" s="32" t="s">
        <v>298</v>
      </c>
      <c r="O21" s="36" t="s">
        <v>297</v>
      </c>
      <c r="P21" s="184" cm="1">
        <f t="array" ref="P21">SUMPRODUCT($D22:$O22, 2^(COLUMN($O22)-COLUMN($D22:$O22)))</f>
        <v>0</v>
      </c>
      <c r="Q21" s="187" t="str">
        <f>"0x"&amp;DEC2HEX($P21, 3)</f>
        <v>0x000</v>
      </c>
      <c r="R21" s="174"/>
    </row>
    <row r="22" spans="1:18" ht="16.5" thickBot="1" x14ac:dyDescent="0.5">
      <c r="A22" s="195"/>
      <c r="B22" s="197"/>
      <c r="C22" s="200"/>
      <c r="D22" s="41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19">
        <v>0</v>
      </c>
      <c r="L22" s="19">
        <v>0</v>
      </c>
      <c r="M22" s="19">
        <v>0</v>
      </c>
      <c r="N22" s="19">
        <v>0</v>
      </c>
      <c r="O22" s="29">
        <v>0</v>
      </c>
      <c r="P22" s="185"/>
      <c r="Q22" s="188"/>
      <c r="R22" s="175"/>
    </row>
    <row r="23" spans="1:18" ht="26" x14ac:dyDescent="0.45">
      <c r="A23" s="194" t="s">
        <v>296</v>
      </c>
      <c r="B23" s="196" t="s">
        <v>44</v>
      </c>
      <c r="C23" s="199" t="s">
        <v>2</v>
      </c>
      <c r="D23" s="40" t="s">
        <v>295</v>
      </c>
      <c r="E23" s="32" t="s">
        <v>294</v>
      </c>
      <c r="F23" s="32" t="s">
        <v>293</v>
      </c>
      <c r="G23" s="32" t="s">
        <v>292</v>
      </c>
      <c r="H23" s="38" t="s">
        <v>291</v>
      </c>
      <c r="I23" s="32" t="s">
        <v>290</v>
      </c>
      <c r="J23" s="32" t="s">
        <v>289</v>
      </c>
      <c r="K23" s="32" t="s">
        <v>288</v>
      </c>
      <c r="L23" s="32" t="s">
        <v>287</v>
      </c>
      <c r="M23" s="32" t="s">
        <v>286</v>
      </c>
      <c r="N23" s="32" t="s">
        <v>285</v>
      </c>
      <c r="O23" s="36" t="s">
        <v>284</v>
      </c>
      <c r="P23" s="184" cm="1">
        <f t="array" ref="P23">SUMPRODUCT($D24:$O24, 2^(COLUMN($O24)-COLUMN($D24:$O24)))</f>
        <v>0</v>
      </c>
      <c r="Q23" s="187" t="str">
        <f>"0x"&amp;DEC2HEX($P23, 3)</f>
        <v>0x000</v>
      </c>
      <c r="R23" s="174"/>
    </row>
    <row r="24" spans="1:18" ht="16.5" thickBot="1" x14ac:dyDescent="0.5">
      <c r="A24" s="195"/>
      <c r="B24" s="197"/>
      <c r="C24" s="200"/>
      <c r="D24" s="46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v>0</v>
      </c>
      <c r="L24" s="44">
        <v>0</v>
      </c>
      <c r="M24" s="44">
        <v>0</v>
      </c>
      <c r="N24" s="44">
        <v>0</v>
      </c>
      <c r="O24" s="43">
        <v>0</v>
      </c>
      <c r="P24" s="185"/>
      <c r="Q24" s="188"/>
      <c r="R24" s="175"/>
    </row>
    <row r="25" spans="1:18" x14ac:dyDescent="0.45">
      <c r="A25" s="194" t="s">
        <v>283</v>
      </c>
      <c r="B25" s="196" t="s">
        <v>42</v>
      </c>
      <c r="C25" s="199" t="s">
        <v>2</v>
      </c>
      <c r="D25" s="40" t="s">
        <v>282</v>
      </c>
      <c r="E25" s="32" t="s">
        <v>281</v>
      </c>
      <c r="F25" s="32" t="s">
        <v>280</v>
      </c>
      <c r="G25" s="32" t="s">
        <v>279</v>
      </c>
      <c r="H25" s="32" t="s">
        <v>278</v>
      </c>
      <c r="I25" s="32" t="s">
        <v>277</v>
      </c>
      <c r="J25" s="32" t="s">
        <v>276</v>
      </c>
      <c r="K25" s="32" t="s">
        <v>275</v>
      </c>
      <c r="L25" s="32" t="s">
        <v>274</v>
      </c>
      <c r="M25" s="32" t="s">
        <v>273</v>
      </c>
      <c r="N25" s="32" t="s">
        <v>272</v>
      </c>
      <c r="O25" s="36" t="s">
        <v>271</v>
      </c>
      <c r="P25" s="184" cm="1">
        <f t="array" ref="P25">SUMPRODUCT($D26:$O26, 2^(COLUMN($O26)-COLUMN($D26:$O26)))</f>
        <v>0</v>
      </c>
      <c r="Q25" s="187" t="str">
        <f>"0x"&amp;DEC2HEX($P25, 3)</f>
        <v>0x000</v>
      </c>
      <c r="R25" s="174"/>
    </row>
    <row r="26" spans="1:18" ht="16.5" thickBot="1" x14ac:dyDescent="0.5">
      <c r="A26" s="195"/>
      <c r="B26" s="197"/>
      <c r="C26" s="200"/>
      <c r="D26" s="46">
        <v>0</v>
      </c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4">
        <v>0</v>
      </c>
      <c r="K26" s="44">
        <v>0</v>
      </c>
      <c r="L26" s="44">
        <v>0</v>
      </c>
      <c r="M26" s="44">
        <v>0</v>
      </c>
      <c r="N26" s="44">
        <v>0</v>
      </c>
      <c r="O26" s="43">
        <v>0</v>
      </c>
      <c r="P26" s="185"/>
      <c r="Q26" s="188"/>
      <c r="R26" s="175"/>
    </row>
    <row r="27" spans="1:18" x14ac:dyDescent="0.45">
      <c r="A27" s="194" t="s">
        <v>270</v>
      </c>
      <c r="B27" s="196" t="s">
        <v>40</v>
      </c>
      <c r="C27" s="199" t="s">
        <v>2</v>
      </c>
      <c r="D27" s="40" t="s">
        <v>269</v>
      </c>
      <c r="E27" s="32" t="s">
        <v>268</v>
      </c>
      <c r="F27" s="32" t="s">
        <v>267</v>
      </c>
      <c r="G27" s="32" t="s">
        <v>266</v>
      </c>
      <c r="H27" s="32" t="s">
        <v>265</v>
      </c>
      <c r="I27" s="32" t="s">
        <v>264</v>
      </c>
      <c r="J27" s="32" t="s">
        <v>263</v>
      </c>
      <c r="K27" s="32" t="s">
        <v>262</v>
      </c>
      <c r="L27" s="32" t="s">
        <v>261</v>
      </c>
      <c r="M27" s="32" t="s">
        <v>260</v>
      </c>
      <c r="N27" s="32" t="s">
        <v>259</v>
      </c>
      <c r="O27" s="36" t="s">
        <v>258</v>
      </c>
      <c r="P27" s="184" cm="1">
        <f t="array" ref="P27">SUMPRODUCT($D28:$O28, 2^(COLUMN($O28)-COLUMN($D28:$O28)))</f>
        <v>0</v>
      </c>
      <c r="Q27" s="187" t="str">
        <f>"0x"&amp;DEC2HEX($P27, 3)</f>
        <v>0x000</v>
      </c>
      <c r="R27" s="174"/>
    </row>
    <row r="28" spans="1:18" ht="16.5" thickBot="1" x14ac:dyDescent="0.5">
      <c r="A28" s="195"/>
      <c r="B28" s="197"/>
      <c r="C28" s="200"/>
      <c r="D28" s="37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29">
        <v>0</v>
      </c>
      <c r="P28" s="185"/>
      <c r="Q28" s="188"/>
      <c r="R28" s="175"/>
    </row>
    <row r="29" spans="1:18" ht="17" customHeight="1" x14ac:dyDescent="0.45">
      <c r="A29" s="194" t="s">
        <v>257</v>
      </c>
      <c r="B29" s="196" t="s">
        <v>38</v>
      </c>
      <c r="C29" s="199" t="s">
        <v>2</v>
      </c>
      <c r="D29" s="181" t="s">
        <v>256</v>
      </c>
      <c r="E29" s="182"/>
      <c r="F29" s="182"/>
      <c r="G29" s="186"/>
      <c r="H29" s="198" t="s">
        <v>255</v>
      </c>
      <c r="I29" s="182"/>
      <c r="J29" s="182"/>
      <c r="K29" s="186"/>
      <c r="L29" s="198" t="s">
        <v>254</v>
      </c>
      <c r="M29" s="182"/>
      <c r="N29" s="182"/>
      <c r="O29" s="183"/>
      <c r="P29" s="184" cm="1">
        <f t="array" ref="P29">SUMPRODUCT($D30:$O30, 2^(COLUMN($O30)-COLUMN($D30:$O30)))</f>
        <v>0</v>
      </c>
      <c r="Q29" s="187" t="str">
        <f>"0x"&amp;DEC2HEX($P29, 3)</f>
        <v>0x000</v>
      </c>
      <c r="R29" s="205" t="s">
        <v>253</v>
      </c>
    </row>
    <row r="30" spans="1:18" ht="16.5" thickBot="1" x14ac:dyDescent="0.5">
      <c r="A30" s="195"/>
      <c r="B30" s="197"/>
      <c r="C30" s="200"/>
      <c r="D30" s="37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29">
        <v>0</v>
      </c>
      <c r="P30" s="185"/>
      <c r="Q30" s="188"/>
      <c r="R30" s="180"/>
    </row>
    <row r="31" spans="1:18" ht="17" customHeight="1" x14ac:dyDescent="0.45">
      <c r="A31" s="205" t="s">
        <v>252</v>
      </c>
      <c r="B31" s="196" t="s">
        <v>36</v>
      </c>
      <c r="C31" s="199" t="s">
        <v>2</v>
      </c>
      <c r="D31" s="181" t="s">
        <v>251</v>
      </c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3"/>
      <c r="P31" s="184" cm="1">
        <f t="array" ref="P31">SUMPRODUCT($D32:$O32, 2^(COLUMN($O32)-COLUMN($D32:$O32)))</f>
        <v>0</v>
      </c>
      <c r="Q31" s="187" t="str">
        <f>"0x"&amp;DEC2HEX($P31, 3)</f>
        <v>0x000</v>
      </c>
      <c r="R31" s="174"/>
    </row>
    <row r="32" spans="1:18" ht="17.5" customHeight="1" thickBot="1" x14ac:dyDescent="0.5">
      <c r="A32" s="180"/>
      <c r="B32" s="197"/>
      <c r="C32" s="200"/>
      <c r="D32" s="37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29">
        <v>0</v>
      </c>
      <c r="P32" s="185"/>
      <c r="Q32" s="188"/>
      <c r="R32" s="175"/>
    </row>
    <row r="33" spans="1:18" ht="17" customHeight="1" x14ac:dyDescent="0.45">
      <c r="A33" s="205" t="s">
        <v>250</v>
      </c>
      <c r="B33" s="196" t="s">
        <v>34</v>
      </c>
      <c r="C33" s="199" t="s">
        <v>2</v>
      </c>
      <c r="D33" s="181" t="s">
        <v>249</v>
      </c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83"/>
      <c r="P33" s="184" cm="1">
        <f t="array" ref="P33">SUMPRODUCT($D34:$O34, 2^(COLUMN($O34)-COLUMN($D34:$O34)))</f>
        <v>0</v>
      </c>
      <c r="Q33" s="187" t="str">
        <f>"0x"&amp;DEC2HEX($P33, 3)</f>
        <v>0x000</v>
      </c>
      <c r="R33" s="174"/>
    </row>
    <row r="34" spans="1:18" ht="17.5" customHeight="1" thickBot="1" x14ac:dyDescent="0.5">
      <c r="A34" s="180"/>
      <c r="B34" s="197"/>
      <c r="C34" s="200"/>
      <c r="D34" s="37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29">
        <v>0</v>
      </c>
      <c r="P34" s="185"/>
      <c r="Q34" s="188"/>
      <c r="R34" s="175"/>
    </row>
    <row r="35" spans="1:18" ht="17" customHeight="1" x14ac:dyDescent="0.45">
      <c r="A35" s="208" t="s">
        <v>248</v>
      </c>
      <c r="B35" s="196" t="s">
        <v>32</v>
      </c>
      <c r="C35" s="199" t="s">
        <v>2</v>
      </c>
      <c r="D35" s="181" t="s">
        <v>247</v>
      </c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183"/>
      <c r="P35" s="184" cm="1">
        <f t="array" ref="P35">SUMPRODUCT($D36:$O36, 2^(COLUMN($O36)-COLUMN($D36:$O36)))</f>
        <v>0</v>
      </c>
      <c r="Q35" s="187" t="str">
        <f>"0x"&amp;DEC2HEX($P35, 3)</f>
        <v>0x000</v>
      </c>
      <c r="R35" s="174"/>
    </row>
    <row r="36" spans="1:18" ht="17.5" customHeight="1" thickBot="1" x14ac:dyDescent="0.5">
      <c r="A36" s="180"/>
      <c r="B36" s="197"/>
      <c r="C36" s="200"/>
      <c r="D36" s="46">
        <v>0</v>
      </c>
      <c r="E36" s="44">
        <v>0</v>
      </c>
      <c r="F36" s="44">
        <v>0</v>
      </c>
      <c r="G36" s="44">
        <v>0</v>
      </c>
      <c r="H36" s="44">
        <v>0</v>
      </c>
      <c r="I36" s="44">
        <v>0</v>
      </c>
      <c r="J36" s="44">
        <v>0</v>
      </c>
      <c r="K36" s="44">
        <v>0</v>
      </c>
      <c r="L36" s="44">
        <v>0</v>
      </c>
      <c r="M36" s="44">
        <v>0</v>
      </c>
      <c r="N36" s="44">
        <v>0</v>
      </c>
      <c r="O36" s="43">
        <v>0</v>
      </c>
      <c r="P36" s="185"/>
      <c r="Q36" s="188"/>
      <c r="R36" s="175"/>
    </row>
    <row r="37" spans="1:18" x14ac:dyDescent="0.45">
      <c r="A37" s="194" t="s">
        <v>246</v>
      </c>
      <c r="B37" s="196" t="s">
        <v>30</v>
      </c>
      <c r="C37" s="199" t="s">
        <v>2</v>
      </c>
      <c r="D37" s="40" t="s">
        <v>245</v>
      </c>
      <c r="E37" s="32" t="s">
        <v>244</v>
      </c>
      <c r="F37" s="32" t="s">
        <v>243</v>
      </c>
      <c r="G37" s="32" t="s">
        <v>242</v>
      </c>
      <c r="H37" s="32" t="s">
        <v>241</v>
      </c>
      <c r="I37" s="32" t="s">
        <v>240</v>
      </c>
      <c r="J37" s="32" t="s">
        <v>239</v>
      </c>
      <c r="K37" s="32" t="s">
        <v>238</v>
      </c>
      <c r="L37" s="32" t="s">
        <v>237</v>
      </c>
      <c r="M37" s="32" t="s">
        <v>236</v>
      </c>
      <c r="N37" s="32" t="s">
        <v>235</v>
      </c>
      <c r="O37" s="36" t="s">
        <v>234</v>
      </c>
      <c r="P37" s="184" cm="1">
        <f t="array" ref="P37">SUMPRODUCT($D38:$O38, 2^(COLUMN($O38)-COLUMN($D38:$O38)))</f>
        <v>0</v>
      </c>
      <c r="Q37" s="187" t="str">
        <f>"0x"&amp;DEC2HEX($P37, 3)</f>
        <v>0x000</v>
      </c>
      <c r="R37" s="174"/>
    </row>
    <row r="38" spans="1:18" ht="16.5" thickBot="1" x14ac:dyDescent="0.5">
      <c r="A38" s="195"/>
      <c r="B38" s="197"/>
      <c r="C38" s="200"/>
      <c r="D38" s="37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29">
        <v>0</v>
      </c>
      <c r="P38" s="185"/>
      <c r="Q38" s="188"/>
      <c r="R38" s="175"/>
    </row>
    <row r="39" spans="1:18" ht="17" customHeight="1" x14ac:dyDescent="0.45">
      <c r="A39" s="205" t="s">
        <v>233</v>
      </c>
      <c r="B39" s="196" t="s">
        <v>28</v>
      </c>
      <c r="C39" s="199" t="s">
        <v>2</v>
      </c>
      <c r="D39" s="42" t="s">
        <v>1</v>
      </c>
      <c r="E39" s="26" t="s">
        <v>1</v>
      </c>
      <c r="F39" s="198" t="s">
        <v>232</v>
      </c>
      <c r="G39" s="182"/>
      <c r="H39" s="182"/>
      <c r="I39" s="182"/>
      <c r="J39" s="186"/>
      <c r="K39" s="201" t="s">
        <v>231</v>
      </c>
      <c r="L39" s="201"/>
      <c r="M39" s="201"/>
      <c r="N39" s="201"/>
      <c r="O39" s="202"/>
      <c r="P39" s="203" cm="1">
        <f t="array" ref="P39">SUMPRODUCT($D40:$O40, 2^(COLUMN($O40)-COLUMN($D40:$O40)))</f>
        <v>0</v>
      </c>
      <c r="Q39" s="187" t="str">
        <f>"0x"&amp;DEC2HEX($P39, 3)</f>
        <v>0x000</v>
      </c>
      <c r="R39" s="174"/>
    </row>
    <row r="40" spans="1:18" ht="17.5" customHeight="1" thickBot="1" x14ac:dyDescent="0.5">
      <c r="A40" s="180"/>
      <c r="B40" s="197"/>
      <c r="C40" s="200"/>
      <c r="D40" s="41">
        <v>0</v>
      </c>
      <c r="E40" s="23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29">
        <v>0</v>
      </c>
      <c r="P40" s="204"/>
      <c r="Q40" s="188"/>
      <c r="R40" s="175"/>
    </row>
    <row r="41" spans="1:18" ht="17" customHeight="1" x14ac:dyDescent="0.45">
      <c r="A41" s="205" t="s">
        <v>230</v>
      </c>
      <c r="B41" s="196" t="s">
        <v>26</v>
      </c>
      <c r="C41" s="199" t="s">
        <v>2</v>
      </c>
      <c r="D41" s="42" t="s">
        <v>1</v>
      </c>
      <c r="E41" s="26" t="s">
        <v>1</v>
      </c>
      <c r="F41" s="198" t="s">
        <v>229</v>
      </c>
      <c r="G41" s="182"/>
      <c r="H41" s="182"/>
      <c r="I41" s="182"/>
      <c r="J41" s="186"/>
      <c r="K41" s="201" t="s">
        <v>228</v>
      </c>
      <c r="L41" s="201"/>
      <c r="M41" s="201"/>
      <c r="N41" s="201"/>
      <c r="O41" s="202"/>
      <c r="P41" s="203" cm="1">
        <f t="array" ref="P41">SUMPRODUCT($D42:$O42, 2^(COLUMN($O42)-COLUMN($D42:$O42)))</f>
        <v>0</v>
      </c>
      <c r="Q41" s="187" t="str">
        <f>"0x"&amp;DEC2HEX($P41, 3)</f>
        <v>0x000</v>
      </c>
      <c r="R41" s="174"/>
    </row>
    <row r="42" spans="1:18" ht="17.5" customHeight="1" thickBot="1" x14ac:dyDescent="0.5">
      <c r="A42" s="180"/>
      <c r="B42" s="197"/>
      <c r="C42" s="200"/>
      <c r="D42" s="41">
        <v>0</v>
      </c>
      <c r="E42" s="23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29">
        <v>0</v>
      </c>
      <c r="P42" s="204"/>
      <c r="Q42" s="188"/>
      <c r="R42" s="175"/>
    </row>
    <row r="43" spans="1:18" ht="17" customHeight="1" x14ac:dyDescent="0.45">
      <c r="A43" s="205" t="s">
        <v>227</v>
      </c>
      <c r="B43" s="196" t="s">
        <v>24</v>
      </c>
      <c r="C43" s="199" t="s">
        <v>2</v>
      </c>
      <c r="D43" s="42" t="s">
        <v>1</v>
      </c>
      <c r="E43" s="26" t="s">
        <v>1</v>
      </c>
      <c r="F43" s="198" t="s">
        <v>226</v>
      </c>
      <c r="G43" s="182"/>
      <c r="H43" s="182"/>
      <c r="I43" s="182"/>
      <c r="J43" s="186"/>
      <c r="K43" s="201" t="s">
        <v>225</v>
      </c>
      <c r="L43" s="201"/>
      <c r="M43" s="201"/>
      <c r="N43" s="201"/>
      <c r="O43" s="202"/>
      <c r="P43" s="203" cm="1">
        <f t="array" ref="P43">SUMPRODUCT($D44:$O44, 2^(COLUMN($O44)-COLUMN($D44:$O44)))</f>
        <v>0</v>
      </c>
      <c r="Q43" s="187" t="str">
        <f>"0x"&amp;DEC2HEX($P43, 3)</f>
        <v>0x000</v>
      </c>
      <c r="R43" s="174"/>
    </row>
    <row r="44" spans="1:18" ht="17.5" customHeight="1" thickBot="1" x14ac:dyDescent="0.5">
      <c r="A44" s="180"/>
      <c r="B44" s="197"/>
      <c r="C44" s="200"/>
      <c r="D44" s="41">
        <v>0</v>
      </c>
      <c r="E44" s="23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29">
        <v>0</v>
      </c>
      <c r="P44" s="204"/>
      <c r="Q44" s="188"/>
      <c r="R44" s="175"/>
    </row>
    <row r="45" spans="1:18" ht="17" customHeight="1" x14ac:dyDescent="0.45">
      <c r="A45" s="205" t="s">
        <v>224</v>
      </c>
      <c r="B45" s="196" t="s">
        <v>22</v>
      </c>
      <c r="C45" s="199" t="s">
        <v>2</v>
      </c>
      <c r="D45" s="42" t="s">
        <v>1</v>
      </c>
      <c r="E45" s="26" t="s">
        <v>1</v>
      </c>
      <c r="F45" s="198" t="s">
        <v>223</v>
      </c>
      <c r="G45" s="182"/>
      <c r="H45" s="182"/>
      <c r="I45" s="182"/>
      <c r="J45" s="186"/>
      <c r="K45" s="201" t="s">
        <v>222</v>
      </c>
      <c r="L45" s="201"/>
      <c r="M45" s="201"/>
      <c r="N45" s="201"/>
      <c r="O45" s="202"/>
      <c r="P45" s="203" cm="1">
        <f t="array" ref="P45">SUMPRODUCT($D46:$O46, 2^(COLUMN($O46)-COLUMN($D46:$O46)))</f>
        <v>0</v>
      </c>
      <c r="Q45" s="187" t="str">
        <f>"0x"&amp;DEC2HEX($P45, 3)</f>
        <v>0x000</v>
      </c>
      <c r="R45" s="174"/>
    </row>
    <row r="46" spans="1:18" ht="17.5" customHeight="1" thickBot="1" x14ac:dyDescent="0.5">
      <c r="A46" s="180"/>
      <c r="B46" s="197"/>
      <c r="C46" s="200"/>
      <c r="D46" s="41">
        <v>0</v>
      </c>
      <c r="E46" s="23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29">
        <v>0</v>
      </c>
      <c r="P46" s="204"/>
      <c r="Q46" s="188"/>
      <c r="R46" s="175"/>
    </row>
    <row r="47" spans="1:18" ht="17" customHeight="1" x14ac:dyDescent="0.45">
      <c r="A47" s="205" t="s">
        <v>221</v>
      </c>
      <c r="B47" s="196" t="s">
        <v>20</v>
      </c>
      <c r="C47" s="199" t="s">
        <v>2</v>
      </c>
      <c r="D47" s="42" t="s">
        <v>1</v>
      </c>
      <c r="E47" s="26" t="s">
        <v>1</v>
      </c>
      <c r="F47" s="198" t="s">
        <v>220</v>
      </c>
      <c r="G47" s="182"/>
      <c r="H47" s="182"/>
      <c r="I47" s="182"/>
      <c r="J47" s="186"/>
      <c r="K47" s="201" t="s">
        <v>219</v>
      </c>
      <c r="L47" s="201"/>
      <c r="M47" s="201"/>
      <c r="N47" s="201"/>
      <c r="O47" s="202"/>
      <c r="P47" s="203" cm="1">
        <f t="array" ref="P47">SUMPRODUCT($D48:$O48, 2^(COLUMN($O48)-COLUMN($D48:$O48)))</f>
        <v>0</v>
      </c>
      <c r="Q47" s="187" t="str">
        <f>"0x"&amp;DEC2HEX($P47, 3)</f>
        <v>0x000</v>
      </c>
      <c r="R47" s="174"/>
    </row>
    <row r="48" spans="1:18" ht="17.5" customHeight="1" thickBot="1" x14ac:dyDescent="0.5">
      <c r="A48" s="180"/>
      <c r="B48" s="197"/>
      <c r="C48" s="200"/>
      <c r="D48" s="41">
        <v>0</v>
      </c>
      <c r="E48" s="23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29">
        <v>0</v>
      </c>
      <c r="P48" s="204"/>
      <c r="Q48" s="188"/>
      <c r="R48" s="175"/>
    </row>
    <row r="49" spans="1:18" ht="17" customHeight="1" x14ac:dyDescent="0.45">
      <c r="A49" s="208" t="s">
        <v>218</v>
      </c>
      <c r="B49" s="196" t="s">
        <v>18</v>
      </c>
      <c r="C49" s="199" t="s">
        <v>2</v>
      </c>
      <c r="D49" s="42" t="s">
        <v>1</v>
      </c>
      <c r="E49" s="26" t="s">
        <v>1</v>
      </c>
      <c r="F49" s="198" t="s">
        <v>217</v>
      </c>
      <c r="G49" s="182"/>
      <c r="H49" s="182"/>
      <c r="I49" s="182"/>
      <c r="J49" s="186"/>
      <c r="K49" s="201" t="s">
        <v>216</v>
      </c>
      <c r="L49" s="201"/>
      <c r="M49" s="201"/>
      <c r="N49" s="201"/>
      <c r="O49" s="202"/>
      <c r="P49" s="203" cm="1">
        <f t="array" ref="P49">SUMPRODUCT($D50:$O50, 2^(COLUMN($O50)-COLUMN($D50:$O50)))</f>
        <v>0</v>
      </c>
      <c r="Q49" s="187" t="str">
        <f>"0x"&amp;DEC2HEX($P49, 3)</f>
        <v>0x000</v>
      </c>
      <c r="R49" s="174"/>
    </row>
    <row r="50" spans="1:18" ht="17.5" customHeight="1" thickBot="1" x14ac:dyDescent="0.5">
      <c r="A50" s="180"/>
      <c r="B50" s="197"/>
      <c r="C50" s="200"/>
      <c r="D50" s="41">
        <v>0</v>
      </c>
      <c r="E50" s="23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29">
        <v>0</v>
      </c>
      <c r="P50" s="204"/>
      <c r="Q50" s="188"/>
      <c r="R50" s="175"/>
    </row>
    <row r="51" spans="1:18" ht="39" x14ac:dyDescent="0.45">
      <c r="A51" s="194" t="s">
        <v>215</v>
      </c>
      <c r="B51" s="196" t="s">
        <v>16</v>
      </c>
      <c r="C51" s="199" t="s">
        <v>214</v>
      </c>
      <c r="D51" s="40" t="s">
        <v>213</v>
      </c>
      <c r="E51" s="32" t="s">
        <v>212</v>
      </c>
      <c r="F51" s="198" t="s">
        <v>211</v>
      </c>
      <c r="G51" s="186"/>
      <c r="H51" s="32" t="s">
        <v>210</v>
      </c>
      <c r="I51" s="38" t="s">
        <v>209</v>
      </c>
      <c r="J51" s="38" t="s">
        <v>208</v>
      </c>
      <c r="K51" s="38" t="s">
        <v>207</v>
      </c>
      <c r="L51" s="38" t="s">
        <v>206</v>
      </c>
      <c r="M51" s="38" t="s">
        <v>205</v>
      </c>
      <c r="N51" s="38" t="s">
        <v>204</v>
      </c>
      <c r="O51" s="49" t="s">
        <v>203</v>
      </c>
      <c r="P51" s="184" cm="1">
        <f t="array" ref="P51">SUMPRODUCT($D52:$O52, 2^(COLUMN($O52)-COLUMN($D52:$O52)))</f>
        <v>799</v>
      </c>
      <c r="Q51" s="189" t="str">
        <f>"0x"&amp;DEC2HEX($P51, 3)</f>
        <v>0x31F</v>
      </c>
      <c r="R51" s="174"/>
    </row>
    <row r="52" spans="1:18" ht="16.5" thickBot="1" x14ac:dyDescent="0.5">
      <c r="A52" s="195"/>
      <c r="B52" s="197"/>
      <c r="C52" s="200"/>
      <c r="D52" s="37">
        <v>0</v>
      </c>
      <c r="E52" s="19">
        <v>0</v>
      </c>
      <c r="F52" s="92">
        <v>1</v>
      </c>
      <c r="G52" s="92">
        <v>1</v>
      </c>
      <c r="H52" s="19">
        <v>0</v>
      </c>
      <c r="I52" s="19">
        <v>0</v>
      </c>
      <c r="J52" s="19">
        <v>0</v>
      </c>
      <c r="K52" s="92">
        <v>1</v>
      </c>
      <c r="L52" s="92">
        <v>1</v>
      </c>
      <c r="M52" s="92">
        <v>1</v>
      </c>
      <c r="N52" s="92">
        <v>1</v>
      </c>
      <c r="O52" s="93">
        <v>1</v>
      </c>
      <c r="P52" s="185"/>
      <c r="Q52" s="190"/>
      <c r="R52" s="175"/>
    </row>
    <row r="53" spans="1:18" ht="26" x14ac:dyDescent="0.45">
      <c r="A53" s="194" t="s">
        <v>202</v>
      </c>
      <c r="B53" s="196" t="s">
        <v>14</v>
      </c>
      <c r="C53" s="199" t="s">
        <v>2</v>
      </c>
      <c r="D53" s="40" t="s">
        <v>201</v>
      </c>
      <c r="E53" s="26" t="s">
        <v>1</v>
      </c>
      <c r="F53" s="26" t="s">
        <v>1</v>
      </c>
      <c r="G53" s="26" t="s">
        <v>1</v>
      </c>
      <c r="H53" s="26" t="s">
        <v>1</v>
      </c>
      <c r="I53" s="26" t="s">
        <v>1</v>
      </c>
      <c r="J53" s="26" t="s">
        <v>1</v>
      </c>
      <c r="K53" s="26" t="s">
        <v>1</v>
      </c>
      <c r="L53" s="26" t="s">
        <v>1</v>
      </c>
      <c r="M53" s="38" t="s">
        <v>200</v>
      </c>
      <c r="N53" s="38" t="s">
        <v>199</v>
      </c>
      <c r="O53" s="49" t="s">
        <v>198</v>
      </c>
      <c r="P53" s="184" cm="1">
        <f t="array" ref="P53">SUMPRODUCT($D54:$O54, 2^(COLUMN($O54)-COLUMN($D54:$O54)))</f>
        <v>0</v>
      </c>
      <c r="Q53" s="187" t="str">
        <f>"0x"&amp;DEC2HEX($P53, 3)</f>
        <v>0x000</v>
      </c>
      <c r="R53" s="174"/>
    </row>
    <row r="54" spans="1:18" ht="16.5" thickBot="1" x14ac:dyDescent="0.5">
      <c r="A54" s="195"/>
      <c r="B54" s="197"/>
      <c r="C54" s="200"/>
      <c r="D54" s="37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19">
        <v>0</v>
      </c>
      <c r="N54" s="19">
        <v>0</v>
      </c>
      <c r="O54" s="29">
        <v>0</v>
      </c>
      <c r="P54" s="185"/>
      <c r="Q54" s="188"/>
      <c r="R54" s="175"/>
    </row>
    <row r="55" spans="1:18" x14ac:dyDescent="0.45">
      <c r="A55" s="194" t="s">
        <v>197</v>
      </c>
      <c r="B55" s="196" t="s">
        <v>12</v>
      </c>
      <c r="C55" s="199" t="s">
        <v>2</v>
      </c>
      <c r="D55" s="58" t="s">
        <v>1</v>
      </c>
      <c r="E55" s="27" t="s">
        <v>1</v>
      </c>
      <c r="F55" s="27" t="s">
        <v>1</v>
      </c>
      <c r="G55" s="27" t="s">
        <v>1</v>
      </c>
      <c r="H55" s="27" t="s">
        <v>1</v>
      </c>
      <c r="I55" s="27" t="s">
        <v>1</v>
      </c>
      <c r="J55" s="27" t="s">
        <v>1</v>
      </c>
      <c r="K55" s="218" t="s">
        <v>196</v>
      </c>
      <c r="L55" s="220"/>
      <c r="M55" s="220"/>
      <c r="N55" s="220"/>
      <c r="O55" s="221"/>
      <c r="P55" s="184" cm="1">
        <f t="array" ref="P55">SUMPRODUCT($D56:$O56, 2^(COLUMN($O56)-COLUMN($D56:$O56)))</f>
        <v>0</v>
      </c>
      <c r="Q55" s="187" t="str">
        <f>"0x"&amp;DEC2HEX($P55, 3)</f>
        <v>0x000</v>
      </c>
      <c r="R55" s="174"/>
    </row>
    <row r="56" spans="1:18" ht="16.5" thickBot="1" x14ac:dyDescent="0.5">
      <c r="A56" s="195"/>
      <c r="B56" s="197"/>
      <c r="C56" s="200"/>
      <c r="D56" s="57">
        <v>0</v>
      </c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2">
        <v>0</v>
      </c>
      <c r="L56" s="22">
        <v>0</v>
      </c>
      <c r="M56" s="22">
        <v>0</v>
      </c>
      <c r="N56" s="22">
        <v>0</v>
      </c>
      <c r="O56" s="21">
        <v>0</v>
      </c>
      <c r="P56" s="185"/>
      <c r="Q56" s="188"/>
      <c r="R56" s="175"/>
    </row>
    <row r="57" spans="1:18" ht="26" x14ac:dyDescent="0.45">
      <c r="A57" s="194" t="s">
        <v>195</v>
      </c>
      <c r="B57" s="196" t="s">
        <v>10</v>
      </c>
      <c r="C57" s="199" t="s">
        <v>2</v>
      </c>
      <c r="D57" s="51" t="s">
        <v>194</v>
      </c>
      <c r="E57" s="27" t="s">
        <v>1</v>
      </c>
      <c r="F57" s="27" t="s">
        <v>1</v>
      </c>
      <c r="G57" s="27" t="s">
        <v>1</v>
      </c>
      <c r="H57" s="27" t="s">
        <v>1</v>
      </c>
      <c r="I57" s="27" t="s">
        <v>1</v>
      </c>
      <c r="J57" s="27" t="s">
        <v>1</v>
      </c>
      <c r="K57" s="27" t="s">
        <v>1</v>
      </c>
      <c r="L57" s="27" t="s">
        <v>1</v>
      </c>
      <c r="M57" s="27" t="s">
        <v>1</v>
      </c>
      <c r="N57" s="27" t="s">
        <v>1</v>
      </c>
      <c r="O57" s="56" t="s">
        <v>193</v>
      </c>
      <c r="P57" s="184" cm="1">
        <f t="array" ref="P57">SUMPRODUCT($D58:$O58, 2^(COLUMN($O58)-COLUMN($D58:$O58)))</f>
        <v>0</v>
      </c>
      <c r="Q57" s="187" t="str">
        <f>"0x"&amp;DEC2HEX($P57, 3)</f>
        <v>0x000</v>
      </c>
      <c r="R57" s="174"/>
    </row>
    <row r="58" spans="1:18" ht="16.5" thickBot="1" x14ac:dyDescent="0.5">
      <c r="A58" s="195"/>
      <c r="B58" s="197"/>
      <c r="C58" s="200"/>
      <c r="D58" s="50">
        <v>0</v>
      </c>
      <c r="E58" s="24">
        <v>0</v>
      </c>
      <c r="F58" s="24">
        <v>0</v>
      </c>
      <c r="G58" s="24">
        <v>0</v>
      </c>
      <c r="H58" s="24">
        <v>0</v>
      </c>
      <c r="I58" s="24">
        <v>0</v>
      </c>
      <c r="J58" s="24">
        <v>0</v>
      </c>
      <c r="K58" s="24">
        <v>0</v>
      </c>
      <c r="L58" s="24">
        <v>0</v>
      </c>
      <c r="M58" s="24">
        <v>0</v>
      </c>
      <c r="N58" s="24">
        <v>0</v>
      </c>
      <c r="O58" s="21">
        <v>0</v>
      </c>
      <c r="P58" s="185"/>
      <c r="Q58" s="188"/>
      <c r="R58" s="175"/>
    </row>
    <row r="59" spans="1:18" ht="17" customHeight="1" x14ac:dyDescent="0.45">
      <c r="A59" s="194" t="s">
        <v>192</v>
      </c>
      <c r="B59" s="196" t="s">
        <v>8</v>
      </c>
      <c r="C59" s="199" t="s">
        <v>191</v>
      </c>
      <c r="D59" s="181" t="s">
        <v>190</v>
      </c>
      <c r="E59" s="182"/>
      <c r="F59" s="182"/>
      <c r="G59" s="182"/>
      <c r="H59" s="182"/>
      <c r="I59" s="186"/>
      <c r="J59" s="198" t="s">
        <v>189</v>
      </c>
      <c r="K59" s="182"/>
      <c r="L59" s="182"/>
      <c r="M59" s="182"/>
      <c r="N59" s="182"/>
      <c r="O59" s="183"/>
      <c r="P59" s="203" cm="1">
        <f t="array" ref="P59">SUMPRODUCT($D60:$O60, 2^(COLUMN($O60)-COLUMN($D60:$O60)))</f>
        <v>792</v>
      </c>
      <c r="Q59" s="189" t="str">
        <f>"0x"&amp;DEC2HEX($P59, 3)</f>
        <v>0x318</v>
      </c>
      <c r="R59" s="174"/>
    </row>
    <row r="60" spans="1:18" ht="16.5" thickBot="1" x14ac:dyDescent="0.5">
      <c r="A60" s="195"/>
      <c r="B60" s="197"/>
      <c r="C60" s="200"/>
      <c r="D60" s="55">
        <v>0</v>
      </c>
      <c r="E60" s="44">
        <v>0</v>
      </c>
      <c r="F60" s="90">
        <v>1</v>
      </c>
      <c r="G60" s="90">
        <v>1</v>
      </c>
      <c r="H60" s="44">
        <v>0</v>
      </c>
      <c r="I60" s="44">
        <v>0</v>
      </c>
      <c r="J60" s="44">
        <v>0</v>
      </c>
      <c r="K60" s="90">
        <v>1</v>
      </c>
      <c r="L60" s="90">
        <v>1</v>
      </c>
      <c r="M60" s="44">
        <v>0</v>
      </c>
      <c r="N60" s="44">
        <v>0</v>
      </c>
      <c r="O60" s="54">
        <v>0</v>
      </c>
      <c r="P60" s="204"/>
      <c r="Q60" s="190"/>
      <c r="R60" s="175"/>
    </row>
    <row r="61" spans="1:18" ht="17" customHeight="1" x14ac:dyDescent="0.45">
      <c r="A61" s="205" t="s">
        <v>188</v>
      </c>
      <c r="B61" s="203" t="s">
        <v>6</v>
      </c>
      <c r="C61" s="199" t="s">
        <v>187</v>
      </c>
      <c r="D61" s="42" t="s">
        <v>1</v>
      </c>
      <c r="E61" s="26" t="s">
        <v>1</v>
      </c>
      <c r="F61" s="26" t="s">
        <v>1</v>
      </c>
      <c r="G61" s="198" t="s">
        <v>186</v>
      </c>
      <c r="H61" s="182"/>
      <c r="I61" s="182"/>
      <c r="J61" s="182"/>
      <c r="K61" s="182"/>
      <c r="L61" s="182"/>
      <c r="M61" s="182"/>
      <c r="N61" s="182"/>
      <c r="O61" s="183"/>
      <c r="P61" s="203" cm="1">
        <f t="array" ref="P61">SUMPRODUCT($D62:$O62, 2^(COLUMN($O62)-COLUMN($D62:$O62)))</f>
        <v>128</v>
      </c>
      <c r="Q61" s="189" t="str">
        <f>"0x"&amp;DEC2HEX($P61, 3)</f>
        <v>0x080</v>
      </c>
      <c r="R61" s="174"/>
    </row>
    <row r="62" spans="1:18" ht="16.5" thickBot="1" x14ac:dyDescent="0.5">
      <c r="A62" s="180"/>
      <c r="B62" s="204"/>
      <c r="C62" s="200"/>
      <c r="D62" s="41">
        <v>0</v>
      </c>
      <c r="E62" s="23">
        <v>0</v>
      </c>
      <c r="F62" s="23">
        <v>0</v>
      </c>
      <c r="G62" s="19">
        <v>0</v>
      </c>
      <c r="H62" s="92">
        <v>1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29">
        <v>0</v>
      </c>
      <c r="P62" s="204"/>
      <c r="Q62" s="190"/>
      <c r="R62" s="175"/>
    </row>
    <row r="63" spans="1:18" ht="17" customHeight="1" x14ac:dyDescent="0.45">
      <c r="A63" s="194" t="s">
        <v>185</v>
      </c>
      <c r="B63" s="196" t="s">
        <v>3</v>
      </c>
      <c r="C63" s="199" t="s">
        <v>2</v>
      </c>
      <c r="D63" s="53" t="s">
        <v>1</v>
      </c>
      <c r="E63" s="52" t="s">
        <v>1</v>
      </c>
      <c r="F63" s="209" t="s">
        <v>184</v>
      </c>
      <c r="G63" s="210"/>
      <c r="H63" s="210"/>
      <c r="I63" s="210"/>
      <c r="J63" s="210"/>
      <c r="K63" s="210"/>
      <c r="L63" s="210"/>
      <c r="M63" s="210"/>
      <c r="N63" s="210"/>
      <c r="O63" s="211"/>
      <c r="P63" s="184" cm="1">
        <f t="array" ref="P63">SUMPRODUCT($D64:$O64, 2^(COLUMN($O64)-COLUMN($D64:$O64)))</f>
        <v>0</v>
      </c>
      <c r="Q63" s="187" t="str">
        <f>"0x"&amp;DEC2HEX($P63, 3)</f>
        <v>0x000</v>
      </c>
      <c r="R63" s="174"/>
    </row>
    <row r="64" spans="1:18" ht="16.5" thickBot="1" x14ac:dyDescent="0.5">
      <c r="A64" s="195"/>
      <c r="B64" s="197"/>
      <c r="C64" s="200"/>
      <c r="D64" s="41">
        <v>0</v>
      </c>
      <c r="E64" s="23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29">
        <v>0</v>
      </c>
      <c r="P64" s="185"/>
      <c r="Q64" s="188"/>
      <c r="R64" s="175"/>
    </row>
    <row r="65" spans="1:18" x14ac:dyDescent="0.45">
      <c r="A65" s="194" t="s">
        <v>183</v>
      </c>
      <c r="B65" s="196" t="s">
        <v>182</v>
      </c>
      <c r="C65" s="199" t="s">
        <v>2</v>
      </c>
      <c r="D65" s="51" t="s">
        <v>181</v>
      </c>
      <c r="E65" s="26" t="s">
        <v>1</v>
      </c>
      <c r="F65" s="198" t="s">
        <v>180</v>
      </c>
      <c r="G65" s="182"/>
      <c r="H65" s="182"/>
      <c r="I65" s="182"/>
      <c r="J65" s="182"/>
      <c r="K65" s="182"/>
      <c r="L65" s="182"/>
      <c r="M65" s="182"/>
      <c r="N65" s="182"/>
      <c r="O65" s="183"/>
      <c r="P65" s="184" cm="1">
        <f t="array" ref="P65">SUMPRODUCT($D66:$O66, 2^(COLUMN($O66)-COLUMN($D66:$O66)))</f>
        <v>0</v>
      </c>
      <c r="Q65" s="212" t="str">
        <f>"0x"&amp;DEC2HEX($P65, 3)</f>
        <v>0x000</v>
      </c>
      <c r="R65" s="174"/>
    </row>
    <row r="66" spans="1:18" ht="16.5" thickBot="1" x14ac:dyDescent="0.5">
      <c r="A66" s="195"/>
      <c r="B66" s="197"/>
      <c r="C66" s="200"/>
      <c r="D66" s="50">
        <v>0</v>
      </c>
      <c r="E66" s="23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29">
        <v>0</v>
      </c>
      <c r="P66" s="185"/>
      <c r="Q66" s="213"/>
      <c r="R66" s="175"/>
    </row>
    <row r="67" spans="1:18" x14ac:dyDescent="0.45">
      <c r="A67" s="194" t="s">
        <v>179</v>
      </c>
      <c r="B67" s="196" t="s">
        <v>178</v>
      </c>
      <c r="C67" s="199" t="s">
        <v>2</v>
      </c>
      <c r="D67" s="42" t="s">
        <v>1</v>
      </c>
      <c r="E67" s="26" t="s">
        <v>1</v>
      </c>
      <c r="F67" s="198" t="s">
        <v>177</v>
      </c>
      <c r="G67" s="182"/>
      <c r="H67" s="182"/>
      <c r="I67" s="182"/>
      <c r="J67" s="182"/>
      <c r="K67" s="182"/>
      <c r="L67" s="182"/>
      <c r="M67" s="182"/>
      <c r="N67" s="182"/>
      <c r="O67" s="183"/>
      <c r="P67" s="184" cm="1">
        <f t="array" ref="P67">SUMPRODUCT($D68:$O68, 2^(COLUMN($O68)-COLUMN($D68:$O68)))</f>
        <v>0</v>
      </c>
      <c r="Q67" s="187" t="str">
        <f>"0x"&amp;DEC2HEX($P67, 3)</f>
        <v>0x000</v>
      </c>
      <c r="R67" s="174"/>
    </row>
    <row r="68" spans="1:18" ht="16.5" thickBot="1" x14ac:dyDescent="0.5">
      <c r="A68" s="195"/>
      <c r="B68" s="197"/>
      <c r="C68" s="200"/>
      <c r="D68" s="41">
        <v>0</v>
      </c>
      <c r="E68" s="23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29">
        <v>0</v>
      </c>
      <c r="P68" s="185"/>
      <c r="Q68" s="188"/>
      <c r="R68" s="175"/>
    </row>
    <row r="69" spans="1:18" ht="17" customHeight="1" x14ac:dyDescent="0.45">
      <c r="A69" s="194" t="s">
        <v>176</v>
      </c>
      <c r="B69" s="196" t="s">
        <v>175</v>
      </c>
      <c r="C69" s="199" t="s">
        <v>88</v>
      </c>
      <c r="D69" s="42" t="s">
        <v>1</v>
      </c>
      <c r="E69" s="198" t="s">
        <v>174</v>
      </c>
      <c r="F69" s="182"/>
      <c r="G69" s="182"/>
      <c r="H69" s="182"/>
      <c r="I69" s="182"/>
      <c r="J69" s="182"/>
      <c r="K69" s="182"/>
      <c r="L69" s="182"/>
      <c r="M69" s="182"/>
      <c r="N69" s="182"/>
      <c r="O69" s="183"/>
      <c r="P69" s="184" cm="1">
        <f t="array" ref="P69">SUMPRODUCT($D70:$O70, 2^(COLUMN($O70)-COLUMN($D70:$O70)))</f>
        <v>1023</v>
      </c>
      <c r="Q69" s="189" t="str">
        <f>"0x"&amp;DEC2HEX($P69, 3)</f>
        <v>0x3FF</v>
      </c>
      <c r="R69" s="174"/>
    </row>
    <row r="70" spans="1:18" ht="16.5" thickBot="1" x14ac:dyDescent="0.5">
      <c r="A70" s="195"/>
      <c r="B70" s="197"/>
      <c r="C70" s="200"/>
      <c r="D70" s="41">
        <v>0</v>
      </c>
      <c r="E70" s="19">
        <v>0</v>
      </c>
      <c r="F70" s="92">
        <v>1</v>
      </c>
      <c r="G70" s="92">
        <v>1</v>
      </c>
      <c r="H70" s="92">
        <v>1</v>
      </c>
      <c r="I70" s="92">
        <v>1</v>
      </c>
      <c r="J70" s="92">
        <v>1</v>
      </c>
      <c r="K70" s="92">
        <v>1</v>
      </c>
      <c r="L70" s="92">
        <v>1</v>
      </c>
      <c r="M70" s="92">
        <v>1</v>
      </c>
      <c r="N70" s="92">
        <v>1</v>
      </c>
      <c r="O70" s="93">
        <v>1</v>
      </c>
      <c r="P70" s="185"/>
      <c r="Q70" s="190"/>
      <c r="R70" s="175"/>
    </row>
    <row r="71" spans="1:18" ht="17" customHeight="1" x14ac:dyDescent="0.45">
      <c r="A71" s="205" t="s">
        <v>173</v>
      </c>
      <c r="B71" s="196" t="s">
        <v>172</v>
      </c>
      <c r="C71" s="199" t="s">
        <v>2</v>
      </c>
      <c r="D71" s="181" t="s">
        <v>171</v>
      </c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3"/>
      <c r="P71" s="184" cm="1">
        <f t="array" ref="P71">SUMPRODUCT($D72:$O72, 2^(COLUMN($O72)-COLUMN($D72:$O72)))</f>
        <v>0</v>
      </c>
      <c r="Q71" s="187" t="str">
        <f>"0x"&amp;DEC2HEX($P71, 3)</f>
        <v>0x000</v>
      </c>
      <c r="R71" s="174"/>
    </row>
    <row r="72" spans="1:18" ht="17.5" customHeight="1" thickBot="1" x14ac:dyDescent="0.5">
      <c r="A72" s="180"/>
      <c r="B72" s="197"/>
      <c r="C72" s="200"/>
      <c r="D72" s="46">
        <v>0</v>
      </c>
      <c r="E72" s="44">
        <v>0</v>
      </c>
      <c r="F72" s="44">
        <v>0</v>
      </c>
      <c r="G72" s="44">
        <v>0</v>
      </c>
      <c r="H72" s="44">
        <v>0</v>
      </c>
      <c r="I72" s="44">
        <v>0</v>
      </c>
      <c r="J72" s="44">
        <v>0</v>
      </c>
      <c r="K72" s="44">
        <v>0</v>
      </c>
      <c r="L72" s="44">
        <v>0</v>
      </c>
      <c r="M72" s="44">
        <v>0</v>
      </c>
      <c r="N72" s="44">
        <v>0</v>
      </c>
      <c r="O72" s="43">
        <v>0</v>
      </c>
      <c r="P72" s="185"/>
      <c r="Q72" s="188"/>
      <c r="R72" s="175"/>
    </row>
    <row r="73" spans="1:18" ht="17" customHeight="1" x14ac:dyDescent="0.45">
      <c r="A73" s="208" t="s">
        <v>170</v>
      </c>
      <c r="B73" s="196" t="s">
        <v>169</v>
      </c>
      <c r="C73" s="199" t="s">
        <v>168</v>
      </c>
      <c r="D73" s="40" t="s">
        <v>167</v>
      </c>
      <c r="E73" s="201" t="s">
        <v>166</v>
      </c>
      <c r="F73" s="201"/>
      <c r="G73" s="26" t="s">
        <v>1</v>
      </c>
      <c r="H73" s="201" t="s">
        <v>165</v>
      </c>
      <c r="I73" s="201"/>
      <c r="J73" s="201"/>
      <c r="K73" s="201"/>
      <c r="L73" s="201"/>
      <c r="M73" s="201"/>
      <c r="N73" s="201"/>
      <c r="O73" s="202"/>
      <c r="P73" s="184" cm="1">
        <f t="array" ref="P73">SUMPRODUCT($D74:$O74, 2^(COLUMN($O74)-COLUMN($D74:$O74)))</f>
        <v>3122</v>
      </c>
      <c r="Q73" s="189" t="str">
        <f>"0x"&amp;DEC2HEX($P73, 3)</f>
        <v>0xC32</v>
      </c>
      <c r="R73" s="174"/>
    </row>
    <row r="74" spans="1:18" ht="17.5" customHeight="1" thickBot="1" x14ac:dyDescent="0.5">
      <c r="A74" s="180"/>
      <c r="B74" s="197"/>
      <c r="C74" s="200"/>
      <c r="D74" s="94">
        <v>1</v>
      </c>
      <c r="E74" s="92">
        <v>1</v>
      </c>
      <c r="F74" s="19">
        <v>0</v>
      </c>
      <c r="G74" s="23">
        <v>0</v>
      </c>
      <c r="H74" s="19">
        <v>0</v>
      </c>
      <c r="I74" s="19">
        <v>0</v>
      </c>
      <c r="J74" s="92">
        <v>1</v>
      </c>
      <c r="K74" s="92">
        <v>1</v>
      </c>
      <c r="L74" s="19">
        <v>0</v>
      </c>
      <c r="M74" s="19">
        <v>0</v>
      </c>
      <c r="N74" s="92">
        <v>1</v>
      </c>
      <c r="O74" s="29">
        <v>0</v>
      </c>
      <c r="P74" s="185"/>
      <c r="Q74" s="190"/>
      <c r="R74" s="175"/>
    </row>
    <row r="75" spans="1:18" ht="17" customHeight="1" x14ac:dyDescent="0.45">
      <c r="A75" s="194" t="s">
        <v>164</v>
      </c>
      <c r="B75" s="196" t="s">
        <v>163</v>
      </c>
      <c r="C75" s="199" t="s">
        <v>74</v>
      </c>
      <c r="D75" s="181" t="s">
        <v>162</v>
      </c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3"/>
      <c r="P75" s="184" cm="1">
        <f t="array" ref="P75">SUMPRODUCT($D76:$O76, 2^(COLUMN($O76)-COLUMN($D76:$O76)))</f>
        <v>1365</v>
      </c>
      <c r="Q75" s="189" t="str">
        <f>"0x"&amp;DEC2HEX($P75, 3)</f>
        <v>0x555</v>
      </c>
      <c r="R75" s="174"/>
    </row>
    <row r="76" spans="1:18" ht="16.5" thickBot="1" x14ac:dyDescent="0.5">
      <c r="A76" s="195"/>
      <c r="B76" s="197"/>
      <c r="C76" s="200"/>
      <c r="D76" s="37">
        <v>0</v>
      </c>
      <c r="E76" s="92">
        <v>1</v>
      </c>
      <c r="F76" s="19">
        <v>0</v>
      </c>
      <c r="G76" s="92">
        <v>1</v>
      </c>
      <c r="H76" s="19">
        <v>0</v>
      </c>
      <c r="I76" s="92">
        <v>1</v>
      </c>
      <c r="J76" s="19">
        <v>0</v>
      </c>
      <c r="K76" s="92">
        <v>1</v>
      </c>
      <c r="L76" s="19">
        <v>0</v>
      </c>
      <c r="M76" s="92">
        <v>1</v>
      </c>
      <c r="N76" s="19">
        <v>0</v>
      </c>
      <c r="O76" s="93">
        <v>1</v>
      </c>
      <c r="P76" s="185"/>
      <c r="Q76" s="190"/>
      <c r="R76" s="175"/>
    </row>
    <row r="77" spans="1:18" ht="17" customHeight="1" x14ac:dyDescent="0.45">
      <c r="A77" s="194" t="s">
        <v>161</v>
      </c>
      <c r="B77" s="196" t="s">
        <v>160</v>
      </c>
      <c r="C77" s="199" t="s">
        <v>2</v>
      </c>
      <c r="D77" s="181" t="s">
        <v>159</v>
      </c>
      <c r="E77" s="182"/>
      <c r="F77" s="182"/>
      <c r="G77" s="182"/>
      <c r="H77" s="182"/>
      <c r="I77" s="186"/>
      <c r="J77" s="32" t="s">
        <v>158</v>
      </c>
      <c r="K77" s="32" t="s">
        <v>157</v>
      </c>
      <c r="L77" s="32" t="s">
        <v>156</v>
      </c>
      <c r="M77" s="32" t="s">
        <v>155</v>
      </c>
      <c r="N77" s="32" t="s">
        <v>154</v>
      </c>
      <c r="O77" s="36" t="s">
        <v>153</v>
      </c>
      <c r="P77" s="184" cm="1">
        <f t="array" ref="P77">SUMPRODUCT($D78:$O78, 2^(COLUMN($O78)-COLUMN($D78:$O78)))</f>
        <v>0</v>
      </c>
      <c r="Q77" s="187" t="str">
        <f>"0x"&amp;DEC2HEX($P77, 3)</f>
        <v>0x000</v>
      </c>
      <c r="R77" s="174"/>
    </row>
    <row r="78" spans="1:18" ht="16.5" thickBot="1" x14ac:dyDescent="0.5">
      <c r="A78" s="195"/>
      <c r="B78" s="197"/>
      <c r="C78" s="200"/>
      <c r="D78" s="37">
        <v>0</v>
      </c>
      <c r="E78" s="19">
        <v>0</v>
      </c>
      <c r="F78" s="19">
        <v>0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29">
        <v>0</v>
      </c>
      <c r="P78" s="185"/>
      <c r="Q78" s="188"/>
      <c r="R78" s="175"/>
    </row>
    <row r="79" spans="1:18" ht="26" x14ac:dyDescent="0.45">
      <c r="A79" s="194" t="s">
        <v>150</v>
      </c>
      <c r="B79" s="196" t="s">
        <v>152</v>
      </c>
      <c r="C79" s="199" t="s">
        <v>2</v>
      </c>
      <c r="D79" s="47" t="s">
        <v>151</v>
      </c>
      <c r="E79" s="26" t="s">
        <v>1</v>
      </c>
      <c r="F79" s="26" t="s">
        <v>1</v>
      </c>
      <c r="G79" s="26" t="s">
        <v>1</v>
      </c>
      <c r="H79" s="26" t="s">
        <v>1</v>
      </c>
      <c r="I79" s="26" t="s">
        <v>1</v>
      </c>
      <c r="J79" s="38" t="s">
        <v>150</v>
      </c>
      <c r="K79" s="38" t="s">
        <v>149</v>
      </c>
      <c r="L79" s="38" t="s">
        <v>148</v>
      </c>
      <c r="M79" s="38" t="s">
        <v>147</v>
      </c>
      <c r="N79" s="38" t="s">
        <v>146</v>
      </c>
      <c r="O79" s="49" t="s">
        <v>145</v>
      </c>
      <c r="P79" s="184" cm="1">
        <f t="array" ref="P79">SUMPRODUCT($D80:$O80, 2^(COLUMN($O80)-COLUMN($D80:$O80)))</f>
        <v>0</v>
      </c>
      <c r="Q79" s="212" t="str">
        <f>"0x"&amp;DEC2HEX($P79, 3)</f>
        <v>0x000</v>
      </c>
      <c r="R79" s="174"/>
    </row>
    <row r="80" spans="1:18" ht="16.5" thickBot="1" x14ac:dyDescent="0.5">
      <c r="A80" s="195"/>
      <c r="B80" s="197"/>
      <c r="C80" s="200"/>
      <c r="D80" s="48">
        <v>0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4">
        <v>0</v>
      </c>
      <c r="K80" s="44">
        <v>0</v>
      </c>
      <c r="L80" s="44">
        <v>0</v>
      </c>
      <c r="M80" s="44">
        <v>0</v>
      </c>
      <c r="N80" s="44">
        <v>0</v>
      </c>
      <c r="O80" s="43">
        <v>0</v>
      </c>
      <c r="P80" s="185"/>
      <c r="Q80" s="213"/>
      <c r="R80" s="175"/>
    </row>
    <row r="81" spans="1:18" ht="17" customHeight="1" x14ac:dyDescent="0.45">
      <c r="A81" s="194" t="s">
        <v>144</v>
      </c>
      <c r="B81" s="196" t="s">
        <v>143</v>
      </c>
      <c r="C81" s="199" t="s">
        <v>142</v>
      </c>
      <c r="D81" s="42" t="s">
        <v>1</v>
      </c>
      <c r="E81" s="26" t="s">
        <v>1</v>
      </c>
      <c r="F81" s="26" t="s">
        <v>1</v>
      </c>
      <c r="G81" s="26" t="s">
        <v>1</v>
      </c>
      <c r="H81" s="32" t="s">
        <v>141</v>
      </c>
      <c r="I81" s="32" t="s">
        <v>140</v>
      </c>
      <c r="J81" s="198" t="s">
        <v>139</v>
      </c>
      <c r="K81" s="186"/>
      <c r="L81" s="198" t="s">
        <v>138</v>
      </c>
      <c r="M81" s="186"/>
      <c r="N81" s="198" t="s">
        <v>137</v>
      </c>
      <c r="O81" s="183"/>
      <c r="P81" s="184" cm="1">
        <f t="array" ref="P81">SUMPRODUCT($D82:$O82, 2^(COLUMN($O82)-COLUMN($D82:$O82)))</f>
        <v>41</v>
      </c>
      <c r="Q81" s="189" t="str">
        <f>"0x"&amp;DEC2HEX($P81, 3)</f>
        <v>0x029</v>
      </c>
      <c r="R81" s="174"/>
    </row>
    <row r="82" spans="1:18" ht="16.5" thickBot="1" x14ac:dyDescent="0.5">
      <c r="A82" s="195"/>
      <c r="B82" s="197"/>
      <c r="C82" s="200"/>
      <c r="D82" s="41">
        <v>0</v>
      </c>
      <c r="E82" s="23">
        <v>0</v>
      </c>
      <c r="F82" s="23">
        <v>0</v>
      </c>
      <c r="G82" s="23">
        <v>0</v>
      </c>
      <c r="H82" s="19">
        <v>0</v>
      </c>
      <c r="I82" s="19">
        <v>0</v>
      </c>
      <c r="J82" s="92">
        <v>1</v>
      </c>
      <c r="K82" s="19">
        <v>0</v>
      </c>
      <c r="L82" s="92">
        <v>1</v>
      </c>
      <c r="M82" s="19">
        <v>0</v>
      </c>
      <c r="N82" s="19">
        <v>0</v>
      </c>
      <c r="O82" s="93">
        <v>1</v>
      </c>
      <c r="P82" s="185"/>
      <c r="Q82" s="190"/>
      <c r="R82" s="175"/>
    </row>
    <row r="83" spans="1:18" x14ac:dyDescent="0.45">
      <c r="A83" s="205" t="s">
        <v>136</v>
      </c>
      <c r="B83" s="196" t="s">
        <v>135</v>
      </c>
      <c r="C83" s="199" t="s">
        <v>2</v>
      </c>
      <c r="D83" s="181" t="s">
        <v>134</v>
      </c>
      <c r="E83" s="182"/>
      <c r="F83" s="182"/>
      <c r="G83" s="182"/>
      <c r="H83" s="182"/>
      <c r="I83" s="182"/>
      <c r="J83" s="182"/>
      <c r="K83" s="182"/>
      <c r="L83" s="182"/>
      <c r="M83" s="182"/>
      <c r="N83" s="182"/>
      <c r="O83" s="183"/>
      <c r="P83" s="184" cm="1">
        <f t="array" ref="P83">SUMPRODUCT($D84:$O84, 2^(COLUMN($O84)-COLUMN($D84:$O84)))</f>
        <v>0</v>
      </c>
      <c r="Q83" s="187" t="str">
        <f>"0x"&amp;DEC2HEX($P83, 3)</f>
        <v>0x000</v>
      </c>
      <c r="R83" s="174"/>
    </row>
    <row r="84" spans="1:18" ht="16.5" thickBot="1" x14ac:dyDescent="0.5">
      <c r="A84" s="180"/>
      <c r="B84" s="197"/>
      <c r="C84" s="200"/>
      <c r="D84" s="46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0</v>
      </c>
      <c r="N84" s="44">
        <v>0</v>
      </c>
      <c r="O84" s="43">
        <v>0</v>
      </c>
      <c r="P84" s="185"/>
      <c r="Q84" s="188"/>
      <c r="R84" s="175"/>
    </row>
    <row r="85" spans="1:18" ht="26" x14ac:dyDescent="0.45">
      <c r="A85" s="208" t="s">
        <v>133</v>
      </c>
      <c r="B85" s="196" t="s">
        <v>132</v>
      </c>
      <c r="C85" s="199" t="s">
        <v>2</v>
      </c>
      <c r="D85" s="47" t="s">
        <v>131</v>
      </c>
      <c r="E85" s="27" t="s">
        <v>1</v>
      </c>
      <c r="F85" s="27" t="s">
        <v>1</v>
      </c>
      <c r="G85" s="27" t="s">
        <v>1</v>
      </c>
      <c r="H85" s="27" t="s">
        <v>1</v>
      </c>
      <c r="I85" s="27" t="s">
        <v>1</v>
      </c>
      <c r="J85" s="218" t="s">
        <v>130</v>
      </c>
      <c r="K85" s="219"/>
      <c r="L85" s="218" t="s">
        <v>129</v>
      </c>
      <c r="M85" s="220"/>
      <c r="N85" s="220"/>
      <c r="O85" s="221"/>
      <c r="P85" s="214" cm="1">
        <f t="array" ref="P85">SUMPRODUCT($D86:$O86, 2^(COLUMN($O86)-COLUMN($D86:$O86)))</f>
        <v>2056</v>
      </c>
      <c r="Q85" s="216" t="str">
        <f>"0x"&amp;DEC2HEX($P85, 3)</f>
        <v>0x808</v>
      </c>
      <c r="R85" s="179" t="s">
        <v>460</v>
      </c>
    </row>
    <row r="86" spans="1:18" ht="17.5" customHeight="1" thickBot="1" x14ac:dyDescent="0.5">
      <c r="A86" s="180"/>
      <c r="B86" s="197"/>
      <c r="C86" s="200"/>
      <c r="D86" s="96">
        <v>1</v>
      </c>
      <c r="E86" s="24">
        <v>0</v>
      </c>
      <c r="F86" s="24">
        <v>0</v>
      </c>
      <c r="G86" s="24">
        <v>0</v>
      </c>
      <c r="H86" s="24">
        <v>0</v>
      </c>
      <c r="I86" s="24">
        <v>0</v>
      </c>
      <c r="J86" s="22">
        <v>0</v>
      </c>
      <c r="K86" s="22">
        <v>0</v>
      </c>
      <c r="L86" s="95">
        <v>1</v>
      </c>
      <c r="M86" s="22">
        <v>0</v>
      </c>
      <c r="N86" s="22">
        <v>0</v>
      </c>
      <c r="O86" s="21">
        <v>0</v>
      </c>
      <c r="P86" s="215"/>
      <c r="Q86" s="217"/>
      <c r="R86" s="180"/>
    </row>
    <row r="87" spans="1:18" ht="17" customHeight="1" x14ac:dyDescent="0.45">
      <c r="A87" s="194" t="s">
        <v>128</v>
      </c>
      <c r="B87" s="196" t="s">
        <v>127</v>
      </c>
      <c r="C87" s="199" t="s">
        <v>2</v>
      </c>
      <c r="D87" s="40" t="s">
        <v>126</v>
      </c>
      <c r="E87" s="26" t="s">
        <v>1</v>
      </c>
      <c r="F87" s="26" t="s">
        <v>1</v>
      </c>
      <c r="G87" s="26" t="s">
        <v>1</v>
      </c>
      <c r="H87" s="26" t="s">
        <v>1</v>
      </c>
      <c r="I87" s="198" t="s">
        <v>125</v>
      </c>
      <c r="J87" s="182"/>
      <c r="K87" s="186"/>
      <c r="L87" s="26" t="s">
        <v>1</v>
      </c>
      <c r="M87" s="198" t="s">
        <v>124</v>
      </c>
      <c r="N87" s="182"/>
      <c r="O87" s="183"/>
      <c r="P87" s="184" cm="1">
        <f t="array" ref="P87">SUMPRODUCT($D88:$O88, 2^(COLUMN($O88)-COLUMN($D88:$O88)))</f>
        <v>0</v>
      </c>
      <c r="Q87" s="187" t="str">
        <f>"0x"&amp;DEC2HEX($P87, 3)</f>
        <v>0x000</v>
      </c>
      <c r="R87" s="174"/>
    </row>
    <row r="88" spans="1:18" ht="16.5" thickBot="1" x14ac:dyDescent="0.5">
      <c r="A88" s="195"/>
      <c r="B88" s="197"/>
      <c r="C88" s="200"/>
      <c r="D88" s="46">
        <v>0</v>
      </c>
      <c r="E88" s="45">
        <v>0</v>
      </c>
      <c r="F88" s="45">
        <v>0</v>
      </c>
      <c r="G88" s="45">
        <v>0</v>
      </c>
      <c r="H88" s="45">
        <v>0</v>
      </c>
      <c r="I88" s="44">
        <v>0</v>
      </c>
      <c r="J88" s="44">
        <v>0</v>
      </c>
      <c r="K88" s="44">
        <v>0</v>
      </c>
      <c r="L88" s="45">
        <v>0</v>
      </c>
      <c r="M88" s="44">
        <v>0</v>
      </c>
      <c r="N88" s="44">
        <v>0</v>
      </c>
      <c r="O88" s="43">
        <v>0</v>
      </c>
      <c r="P88" s="185"/>
      <c r="Q88" s="188"/>
      <c r="R88" s="175"/>
    </row>
    <row r="89" spans="1:18" x14ac:dyDescent="0.45">
      <c r="A89" s="194" t="s">
        <v>123</v>
      </c>
      <c r="B89" s="196" t="s">
        <v>122</v>
      </c>
      <c r="C89" s="199" t="s">
        <v>121</v>
      </c>
      <c r="D89" s="42" t="s">
        <v>1</v>
      </c>
      <c r="E89" s="26" t="s">
        <v>1</v>
      </c>
      <c r="F89" s="26" t="s">
        <v>1</v>
      </c>
      <c r="G89" s="26" t="s">
        <v>1</v>
      </c>
      <c r="H89" s="26" t="s">
        <v>1</v>
      </c>
      <c r="I89" s="26" t="s">
        <v>1</v>
      </c>
      <c r="J89" s="26" t="s">
        <v>1</v>
      </c>
      <c r="K89" s="32" t="s">
        <v>120</v>
      </c>
      <c r="L89" s="26" t="s">
        <v>1</v>
      </c>
      <c r="M89" s="32" t="s">
        <v>119</v>
      </c>
      <c r="N89" s="32" t="s">
        <v>118</v>
      </c>
      <c r="O89" s="36" t="s">
        <v>117</v>
      </c>
      <c r="P89" s="184" cm="1">
        <f t="array" ref="P89">SUMPRODUCT($D90:$O90, 2^(COLUMN($O90)-COLUMN($D90:$O90)))</f>
        <v>23</v>
      </c>
      <c r="Q89" s="189" t="str">
        <f>"0x"&amp;DEC2HEX($P89, 3)</f>
        <v>0x017</v>
      </c>
      <c r="R89" s="174"/>
    </row>
    <row r="90" spans="1:18" ht="16.5" thickBot="1" x14ac:dyDescent="0.5">
      <c r="A90" s="195"/>
      <c r="B90" s="197"/>
      <c r="C90" s="200"/>
      <c r="D90" s="41">
        <v>0</v>
      </c>
      <c r="E90" s="23">
        <v>0</v>
      </c>
      <c r="F90" s="23">
        <v>0</v>
      </c>
      <c r="G90" s="23">
        <v>0</v>
      </c>
      <c r="H90" s="23">
        <v>0</v>
      </c>
      <c r="I90" s="23">
        <v>0</v>
      </c>
      <c r="J90" s="23">
        <v>0</v>
      </c>
      <c r="K90" s="92">
        <v>1</v>
      </c>
      <c r="L90" s="23">
        <v>0</v>
      </c>
      <c r="M90" s="92">
        <v>1</v>
      </c>
      <c r="N90" s="92">
        <v>1</v>
      </c>
      <c r="O90" s="93">
        <v>1</v>
      </c>
      <c r="P90" s="185"/>
      <c r="Q90" s="190"/>
      <c r="R90" s="175"/>
    </row>
    <row r="91" spans="1:18" ht="17" customHeight="1" x14ac:dyDescent="0.45">
      <c r="A91" s="194" t="s">
        <v>116</v>
      </c>
      <c r="B91" s="196" t="s">
        <v>115</v>
      </c>
      <c r="C91" s="199" t="s">
        <v>2</v>
      </c>
      <c r="D91" s="181" t="s">
        <v>114</v>
      </c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3"/>
      <c r="P91" s="184" cm="1">
        <f t="array" ref="P91">SUMPRODUCT($D92:$O92, 2^(COLUMN($O92)-COLUMN($D92:$O92)))</f>
        <v>0</v>
      </c>
      <c r="Q91" s="187" t="str">
        <f>"0x"&amp;DEC2HEX($P91, 3)</f>
        <v>0x000</v>
      </c>
      <c r="R91" s="174"/>
    </row>
    <row r="92" spans="1:18" ht="16.5" thickBot="1" x14ac:dyDescent="0.5">
      <c r="A92" s="195"/>
      <c r="B92" s="197"/>
      <c r="C92" s="200"/>
      <c r="D92" s="37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29">
        <v>0</v>
      </c>
      <c r="P92" s="185"/>
      <c r="Q92" s="188"/>
      <c r="R92" s="175"/>
    </row>
    <row r="93" spans="1:18" x14ac:dyDescent="0.45">
      <c r="A93" s="194" t="s">
        <v>113</v>
      </c>
      <c r="B93" s="196" t="s">
        <v>112</v>
      </c>
      <c r="C93" s="199" t="s">
        <v>2</v>
      </c>
      <c r="D93" s="181" t="s">
        <v>111</v>
      </c>
      <c r="E93" s="182"/>
      <c r="F93" s="182"/>
      <c r="G93" s="182"/>
      <c r="H93" s="182"/>
      <c r="I93" s="182"/>
      <c r="J93" s="182"/>
      <c r="K93" s="182"/>
      <c r="L93" s="182"/>
      <c r="M93" s="182"/>
      <c r="N93" s="182"/>
      <c r="O93" s="183"/>
      <c r="P93" s="184" cm="1">
        <f t="array" ref="P93">SUMPRODUCT($D94:$O94, 2^(COLUMN($O94)-COLUMN($D94:$O94)))</f>
        <v>0</v>
      </c>
      <c r="Q93" s="187" t="str">
        <f>"0x"&amp;DEC2HEX($P93, 3)</f>
        <v>0x000</v>
      </c>
      <c r="R93" s="174"/>
    </row>
    <row r="94" spans="1:18" ht="16.5" thickBot="1" x14ac:dyDescent="0.5">
      <c r="A94" s="195"/>
      <c r="B94" s="197"/>
      <c r="C94" s="200"/>
      <c r="D94" s="37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29">
        <v>0</v>
      </c>
      <c r="P94" s="185"/>
      <c r="Q94" s="188"/>
      <c r="R94" s="175"/>
    </row>
    <row r="95" spans="1:18" x14ac:dyDescent="0.45">
      <c r="A95" s="194" t="s">
        <v>110</v>
      </c>
      <c r="B95" s="196" t="s">
        <v>109</v>
      </c>
      <c r="C95" s="199" t="s">
        <v>2</v>
      </c>
      <c r="D95" s="181" t="s">
        <v>108</v>
      </c>
      <c r="E95" s="182"/>
      <c r="F95" s="182"/>
      <c r="G95" s="182"/>
      <c r="H95" s="182"/>
      <c r="I95" s="182"/>
      <c r="J95" s="182"/>
      <c r="K95" s="182"/>
      <c r="L95" s="182"/>
      <c r="M95" s="182"/>
      <c r="N95" s="182"/>
      <c r="O95" s="183"/>
      <c r="P95" s="184" cm="1">
        <f t="array" ref="P95">SUMPRODUCT($D96:$O96, 2^(COLUMN($O96)-COLUMN($D96:$O96)))</f>
        <v>0</v>
      </c>
      <c r="Q95" s="187" t="str">
        <f>"0x"&amp;DEC2HEX($P95, 3)</f>
        <v>0x000</v>
      </c>
      <c r="R95" s="174"/>
    </row>
    <row r="96" spans="1:18" ht="16.5" thickBot="1" x14ac:dyDescent="0.5">
      <c r="A96" s="195"/>
      <c r="B96" s="197"/>
      <c r="C96" s="200"/>
      <c r="D96" s="37">
        <v>0</v>
      </c>
      <c r="E96" s="19">
        <v>0</v>
      </c>
      <c r="F96" s="19">
        <v>0</v>
      </c>
      <c r="G96" s="19">
        <v>0</v>
      </c>
      <c r="H96" s="19">
        <v>0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29">
        <v>0</v>
      </c>
      <c r="P96" s="185"/>
      <c r="Q96" s="188"/>
      <c r="R96" s="175"/>
    </row>
    <row r="97" spans="1:18" ht="17.5" customHeight="1" thickBot="1" x14ac:dyDescent="0.5">
      <c r="A97" s="191" t="s">
        <v>107</v>
      </c>
      <c r="B97" s="192"/>
      <c r="C97" s="192"/>
      <c r="D97" s="192"/>
      <c r="E97" s="192"/>
      <c r="F97" s="192"/>
      <c r="G97" s="192"/>
      <c r="H97" s="192"/>
      <c r="I97" s="192"/>
      <c r="J97" s="192"/>
      <c r="K97" s="192"/>
      <c r="L97" s="192"/>
      <c r="M97" s="192"/>
      <c r="N97" s="192"/>
      <c r="O97" s="192"/>
      <c r="P97" s="192"/>
      <c r="Q97" s="192"/>
      <c r="R97" s="193"/>
    </row>
    <row r="98" spans="1:18" ht="26" x14ac:dyDescent="0.45">
      <c r="A98" s="222" t="s">
        <v>106</v>
      </c>
      <c r="B98" s="223" t="s">
        <v>105</v>
      </c>
      <c r="C98" s="199" t="s">
        <v>84</v>
      </c>
      <c r="D98" s="40" t="s">
        <v>104</v>
      </c>
      <c r="E98" s="26" t="s">
        <v>1</v>
      </c>
      <c r="F98" s="26" t="s">
        <v>1</v>
      </c>
      <c r="G98" s="26" t="s">
        <v>1</v>
      </c>
      <c r="H98" s="198" t="s">
        <v>103</v>
      </c>
      <c r="I98" s="186"/>
      <c r="J98" s="32" t="s">
        <v>102</v>
      </c>
      <c r="K98" s="32" t="s">
        <v>101</v>
      </c>
      <c r="L98" s="38" t="s">
        <v>100</v>
      </c>
      <c r="M98" s="32" t="s">
        <v>99</v>
      </c>
      <c r="N98" s="32" t="s">
        <v>98</v>
      </c>
      <c r="O98" s="36" t="s">
        <v>97</v>
      </c>
      <c r="P98" s="184" cm="1">
        <f t="array" ref="P98">SUMPRODUCT($D99:$O99, 2^(COLUMN($O99)-COLUMN($D99:$O99)))</f>
        <v>2084</v>
      </c>
      <c r="Q98" s="189" t="str">
        <f>"0x"&amp;DEC2HEX($P98, 3)</f>
        <v>0x824</v>
      </c>
      <c r="R98" s="174"/>
    </row>
    <row r="99" spans="1:18" ht="16.5" thickBot="1" x14ac:dyDescent="0.5">
      <c r="A99" s="195"/>
      <c r="B99" s="197"/>
      <c r="C99" s="200"/>
      <c r="D99" s="37">
        <v>1</v>
      </c>
      <c r="E99" s="23">
        <v>0</v>
      </c>
      <c r="F99" s="23">
        <v>0</v>
      </c>
      <c r="G99" s="23">
        <v>0</v>
      </c>
      <c r="H99" s="19">
        <v>0</v>
      </c>
      <c r="I99" s="19">
        <v>0</v>
      </c>
      <c r="J99" s="19">
        <v>1</v>
      </c>
      <c r="K99" s="19">
        <v>0</v>
      </c>
      <c r="L99" s="19">
        <v>0</v>
      </c>
      <c r="M99" s="92">
        <v>1</v>
      </c>
      <c r="N99" s="19">
        <v>0</v>
      </c>
      <c r="O99" s="29">
        <v>0</v>
      </c>
      <c r="P99" s="185"/>
      <c r="Q99" s="190"/>
      <c r="R99" s="175"/>
    </row>
    <row r="100" spans="1:18" x14ac:dyDescent="0.45">
      <c r="A100" s="194" t="s">
        <v>96</v>
      </c>
      <c r="B100" s="196" t="s">
        <v>95</v>
      </c>
      <c r="C100" s="199" t="s">
        <v>2</v>
      </c>
      <c r="D100" s="35" t="s">
        <v>1</v>
      </c>
      <c r="E100" s="26" t="s">
        <v>1</v>
      </c>
      <c r="F100" s="26" t="s">
        <v>1</v>
      </c>
      <c r="G100" s="26" t="s">
        <v>1</v>
      </c>
      <c r="H100" s="26" t="s">
        <v>1</v>
      </c>
      <c r="I100" s="26" t="s">
        <v>1</v>
      </c>
      <c r="J100" s="26" t="s">
        <v>1</v>
      </c>
      <c r="K100" s="201" t="s">
        <v>94</v>
      </c>
      <c r="L100" s="201"/>
      <c r="M100" s="201"/>
      <c r="N100" s="201"/>
      <c r="O100" s="202"/>
      <c r="P100" s="203" cm="1">
        <f t="array" ref="P100">SUMPRODUCT($D101:$O101, 2^(COLUMN($O101)-COLUMN($D101:$O101)))</f>
        <v>0</v>
      </c>
      <c r="Q100" s="187" t="str">
        <f>"0x"&amp;DEC2HEX($P100, 3)</f>
        <v>0x000</v>
      </c>
      <c r="R100" s="174"/>
    </row>
    <row r="101" spans="1:18" ht="16.5" thickBot="1" x14ac:dyDescent="0.5">
      <c r="A101" s="195"/>
      <c r="B101" s="197"/>
      <c r="C101" s="200"/>
      <c r="D101" s="30">
        <v>0</v>
      </c>
      <c r="E101" s="23">
        <v>0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19">
        <v>0</v>
      </c>
      <c r="L101" s="19">
        <v>0</v>
      </c>
      <c r="M101" s="19">
        <v>0</v>
      </c>
      <c r="N101" s="19">
        <v>0</v>
      </c>
      <c r="O101" s="29">
        <v>0</v>
      </c>
      <c r="P101" s="204"/>
      <c r="Q101" s="188"/>
      <c r="R101" s="175"/>
    </row>
    <row r="102" spans="1:18" ht="17" customHeight="1" x14ac:dyDescent="0.45">
      <c r="A102" s="194" t="s">
        <v>93</v>
      </c>
      <c r="B102" s="196" t="s">
        <v>92</v>
      </c>
      <c r="C102" s="199" t="s">
        <v>2</v>
      </c>
      <c r="D102" s="35" t="s">
        <v>1</v>
      </c>
      <c r="E102" s="26" t="s">
        <v>1</v>
      </c>
      <c r="F102" s="26" t="s">
        <v>1</v>
      </c>
      <c r="G102" s="26" t="s">
        <v>1</v>
      </c>
      <c r="H102" s="26" t="s">
        <v>1</v>
      </c>
      <c r="I102" s="26" t="s">
        <v>1</v>
      </c>
      <c r="J102" s="26" t="s">
        <v>1</v>
      </c>
      <c r="K102" s="34"/>
      <c r="L102" s="198" t="s">
        <v>91</v>
      </c>
      <c r="M102" s="182"/>
      <c r="N102" s="182"/>
      <c r="O102" s="183"/>
      <c r="P102" s="203" cm="1">
        <f t="array" ref="P102">SUMPRODUCT($D103:$O103, 2^(COLUMN($O103)-COLUMN($D103:$O103)))</f>
        <v>0</v>
      </c>
      <c r="Q102" s="187" t="str">
        <f>"0x"&amp;DEC2HEX($P102, 3)</f>
        <v>0x000</v>
      </c>
      <c r="R102" s="174"/>
    </row>
    <row r="103" spans="1:18" ht="16.5" thickBot="1" x14ac:dyDescent="0.5">
      <c r="A103" s="195"/>
      <c r="B103" s="197"/>
      <c r="C103" s="200"/>
      <c r="D103" s="30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19">
        <v>0</v>
      </c>
      <c r="L103" s="19">
        <v>0</v>
      </c>
      <c r="M103" s="19">
        <v>0</v>
      </c>
      <c r="N103" s="19">
        <v>0</v>
      </c>
      <c r="O103" s="29">
        <v>0</v>
      </c>
      <c r="P103" s="204"/>
      <c r="Q103" s="188"/>
      <c r="R103" s="175"/>
    </row>
    <row r="104" spans="1:18" ht="17" customHeight="1" x14ac:dyDescent="0.45">
      <c r="A104" s="194" t="s">
        <v>90</v>
      </c>
      <c r="B104" s="196" t="s">
        <v>89</v>
      </c>
      <c r="C104" s="199" t="s">
        <v>88</v>
      </c>
      <c r="D104" s="181" t="s">
        <v>87</v>
      </c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3"/>
      <c r="P104" s="203" cm="1">
        <f t="array" ref="P104">SUMPRODUCT($D105:$O105, 2^(COLUMN($O105)-COLUMN($D105:$O105)))</f>
        <v>1023</v>
      </c>
      <c r="Q104" s="189" t="str">
        <f>"0x"&amp;DEC2HEX($P104, 3)</f>
        <v>0x3FF</v>
      </c>
      <c r="R104" s="174"/>
    </row>
    <row r="105" spans="1:18" ht="16.5" thickBot="1" x14ac:dyDescent="0.5">
      <c r="A105" s="195"/>
      <c r="B105" s="197"/>
      <c r="C105" s="200"/>
      <c r="D105" s="20">
        <v>0</v>
      </c>
      <c r="E105" s="19">
        <v>0</v>
      </c>
      <c r="F105" s="92">
        <v>1</v>
      </c>
      <c r="G105" s="92">
        <v>1</v>
      </c>
      <c r="H105" s="92">
        <v>1</v>
      </c>
      <c r="I105" s="92">
        <v>1</v>
      </c>
      <c r="J105" s="92">
        <v>1</v>
      </c>
      <c r="K105" s="92">
        <v>1</v>
      </c>
      <c r="L105" s="92">
        <v>1</v>
      </c>
      <c r="M105" s="92">
        <v>1</v>
      </c>
      <c r="N105" s="92">
        <v>1</v>
      </c>
      <c r="O105" s="93">
        <v>1</v>
      </c>
      <c r="P105" s="204"/>
      <c r="Q105" s="190"/>
      <c r="R105" s="175"/>
    </row>
    <row r="106" spans="1:18" x14ac:dyDescent="0.45">
      <c r="A106" s="194" t="s">
        <v>86</v>
      </c>
      <c r="B106" s="196" t="s">
        <v>85</v>
      </c>
      <c r="C106" s="199" t="s">
        <v>84</v>
      </c>
      <c r="D106" s="33" t="s">
        <v>1</v>
      </c>
      <c r="E106" s="33" t="s">
        <v>1</v>
      </c>
      <c r="F106" s="33" t="s">
        <v>1</v>
      </c>
      <c r="G106" s="33" t="s">
        <v>1</v>
      </c>
      <c r="H106" s="33" t="s">
        <v>1</v>
      </c>
      <c r="I106" s="33" t="s">
        <v>1</v>
      </c>
      <c r="J106" s="201" t="s">
        <v>83</v>
      </c>
      <c r="K106" s="201"/>
      <c r="L106" s="198" t="s">
        <v>82</v>
      </c>
      <c r="M106" s="182"/>
      <c r="N106" s="182"/>
      <c r="O106" s="183"/>
      <c r="P106" s="203" cm="1">
        <f t="array" ref="P106">SUMPRODUCT($D107:$O107, 2^(COLUMN($O107)-COLUMN($D107:$O107)))</f>
        <v>4</v>
      </c>
      <c r="Q106" s="189" t="str">
        <f>"0x"&amp;DEC2HEX($P106, 3)</f>
        <v>0x004</v>
      </c>
      <c r="R106" s="174"/>
    </row>
    <row r="107" spans="1:18" ht="16.5" thickBot="1" x14ac:dyDescent="0.5">
      <c r="A107" s="195"/>
      <c r="B107" s="197"/>
      <c r="C107" s="200"/>
      <c r="D107" s="30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19">
        <v>0</v>
      </c>
      <c r="K107" s="19">
        <v>0</v>
      </c>
      <c r="L107" s="19">
        <v>0</v>
      </c>
      <c r="M107" s="92">
        <v>1</v>
      </c>
      <c r="N107" s="19">
        <v>0</v>
      </c>
      <c r="O107" s="29">
        <v>0</v>
      </c>
      <c r="P107" s="204"/>
      <c r="Q107" s="190"/>
      <c r="R107" s="175"/>
    </row>
    <row r="108" spans="1:18" x14ac:dyDescent="0.45">
      <c r="A108" s="194" t="s">
        <v>81</v>
      </c>
      <c r="B108" s="196" t="s">
        <v>80</v>
      </c>
      <c r="C108" s="199" t="s">
        <v>2</v>
      </c>
      <c r="D108" s="28" t="s">
        <v>79</v>
      </c>
      <c r="E108" s="27" t="s">
        <v>1</v>
      </c>
      <c r="F108" s="26" t="s">
        <v>1</v>
      </c>
      <c r="G108" s="26" t="s">
        <v>1</v>
      </c>
      <c r="H108" s="26" t="s">
        <v>1</v>
      </c>
      <c r="I108" s="26" t="s">
        <v>1</v>
      </c>
      <c r="J108" s="26" t="s">
        <v>1</v>
      </c>
      <c r="K108" s="26" t="s">
        <v>1</v>
      </c>
      <c r="L108" s="26" t="s">
        <v>1</v>
      </c>
      <c r="M108" s="26" t="s">
        <v>1</v>
      </c>
      <c r="N108" s="25" t="s">
        <v>78</v>
      </c>
      <c r="O108" s="25" t="s">
        <v>77</v>
      </c>
      <c r="P108" s="203" cm="1">
        <f t="array" ref="P108">SUMPRODUCT($D109:$O109, 2^(COLUMN($O109)-COLUMN($D109:$O109)))</f>
        <v>0</v>
      </c>
      <c r="Q108" s="212" t="str">
        <f>"0x"&amp;DEC2HEX($P108, 3)</f>
        <v>0x000</v>
      </c>
      <c r="R108" s="174"/>
    </row>
    <row r="109" spans="1:18" ht="16.5" thickBot="1" x14ac:dyDescent="0.5">
      <c r="A109" s="195"/>
      <c r="B109" s="197"/>
      <c r="C109" s="200"/>
      <c r="D109" s="20">
        <v>0</v>
      </c>
      <c r="E109" s="24">
        <v>0</v>
      </c>
      <c r="F109" s="23">
        <v>0</v>
      </c>
      <c r="G109" s="23">
        <v>0</v>
      </c>
      <c r="H109" s="23">
        <v>0</v>
      </c>
      <c r="I109" s="23">
        <v>0</v>
      </c>
      <c r="J109" s="23">
        <v>0</v>
      </c>
      <c r="K109" s="23">
        <v>0</v>
      </c>
      <c r="L109" s="23">
        <v>0</v>
      </c>
      <c r="M109" s="23">
        <v>0</v>
      </c>
      <c r="N109" s="22">
        <v>0</v>
      </c>
      <c r="O109" s="21">
        <v>0</v>
      </c>
      <c r="P109" s="204"/>
      <c r="Q109" s="213"/>
      <c r="R109" s="175"/>
    </row>
    <row r="110" spans="1:18" x14ac:dyDescent="0.45">
      <c r="A110" s="194" t="s">
        <v>76</v>
      </c>
      <c r="B110" s="196" t="s">
        <v>75</v>
      </c>
      <c r="C110" s="199" t="s">
        <v>74</v>
      </c>
      <c r="D110" s="181" t="s">
        <v>73</v>
      </c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3"/>
      <c r="P110" s="203" cm="1">
        <f t="array" ref="P110">SUMPRODUCT($D111:$O111, 2^(COLUMN($O111)-COLUMN($D111:$O111)))</f>
        <v>1365</v>
      </c>
      <c r="Q110" s="189" t="str">
        <f>"0x"&amp;DEC2HEX($P110, 3)</f>
        <v>0x555</v>
      </c>
      <c r="R110" s="174"/>
    </row>
    <row r="111" spans="1:18" ht="16.5" thickBot="1" x14ac:dyDescent="0.5">
      <c r="A111" s="195"/>
      <c r="B111" s="197"/>
      <c r="C111" s="200"/>
      <c r="D111" s="20">
        <v>0</v>
      </c>
      <c r="E111" s="92">
        <v>1</v>
      </c>
      <c r="F111" s="19">
        <v>0</v>
      </c>
      <c r="G111" s="92">
        <v>1</v>
      </c>
      <c r="H111" s="19">
        <v>0</v>
      </c>
      <c r="I111" s="92">
        <v>1</v>
      </c>
      <c r="J111" s="19">
        <v>0</v>
      </c>
      <c r="K111" s="92">
        <v>1</v>
      </c>
      <c r="L111" s="19">
        <v>0</v>
      </c>
      <c r="M111" s="92">
        <v>1</v>
      </c>
      <c r="N111" s="19">
        <v>0</v>
      </c>
      <c r="O111" s="93">
        <v>1</v>
      </c>
      <c r="P111" s="204"/>
      <c r="Q111" s="190"/>
      <c r="R111" s="175"/>
    </row>
    <row r="112" spans="1:18" ht="17.5" customHeight="1" thickBot="1" x14ac:dyDescent="0.5">
      <c r="A112" s="176" t="s">
        <v>72</v>
      </c>
      <c r="B112" s="177"/>
      <c r="C112" s="177"/>
      <c r="D112" s="177"/>
      <c r="E112" s="177"/>
      <c r="F112" s="177"/>
      <c r="G112" s="177"/>
      <c r="H112" s="177"/>
      <c r="I112" s="177"/>
      <c r="J112" s="177"/>
      <c r="K112" s="177"/>
      <c r="L112" s="177"/>
      <c r="M112" s="177"/>
      <c r="N112" s="177"/>
      <c r="O112" s="177"/>
      <c r="P112" s="177"/>
      <c r="Q112" s="177"/>
      <c r="R112" s="178"/>
    </row>
    <row r="113" spans="1:18" ht="17" customHeight="1" x14ac:dyDescent="0.45">
      <c r="A113" s="18"/>
      <c r="B113" s="227" t="s">
        <v>71</v>
      </c>
      <c r="C113" s="199" t="s">
        <v>2</v>
      </c>
      <c r="D113" s="14" t="s">
        <v>1</v>
      </c>
      <c r="E113" s="14" t="s">
        <v>1</v>
      </c>
      <c r="F113" s="14" t="s">
        <v>1</v>
      </c>
      <c r="G113" s="14" t="s">
        <v>1</v>
      </c>
      <c r="H113" s="240" t="s">
        <v>70</v>
      </c>
      <c r="I113" s="240"/>
      <c r="J113" s="240"/>
      <c r="K113" s="240"/>
      <c r="L113" s="240"/>
      <c r="M113" s="240"/>
      <c r="N113" s="240"/>
      <c r="O113" s="240"/>
      <c r="P113" s="184" cm="1">
        <f t="array" ref="P113">SUMPRODUCT($D114:$O114, 2^(COLUMN($O114)-COLUMN($D114:$O114)))</f>
        <v>0</v>
      </c>
      <c r="Q113" s="187" t="str">
        <f>"0x"&amp;DEC2HEX($P113, 3)</f>
        <v>0x000</v>
      </c>
      <c r="R113" s="174"/>
    </row>
    <row r="114" spans="1:18" ht="17.5" customHeight="1" thickBot="1" x14ac:dyDescent="0.5">
      <c r="A114" s="13"/>
      <c r="B114" s="228"/>
      <c r="C114" s="200"/>
      <c r="D114" s="17">
        <v>0</v>
      </c>
      <c r="E114" s="17">
        <v>0</v>
      </c>
      <c r="F114" s="17">
        <v>0</v>
      </c>
      <c r="G114" s="17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237"/>
      <c r="Q114" s="238"/>
      <c r="R114" s="175"/>
    </row>
    <row r="115" spans="1:18" ht="17" customHeight="1" x14ac:dyDescent="0.45">
      <c r="A115" s="13"/>
      <c r="B115" s="227" t="s">
        <v>69</v>
      </c>
      <c r="C115" s="199" t="s">
        <v>65</v>
      </c>
      <c r="D115" s="14" t="s">
        <v>1</v>
      </c>
      <c r="E115" s="14" t="s">
        <v>1</v>
      </c>
      <c r="F115" s="240" t="s">
        <v>68</v>
      </c>
      <c r="G115" s="240"/>
      <c r="H115" s="240"/>
      <c r="I115" s="240"/>
      <c r="J115" s="240"/>
      <c r="K115" s="240" t="s">
        <v>67</v>
      </c>
      <c r="L115" s="240"/>
      <c r="M115" s="240"/>
      <c r="N115" s="240"/>
      <c r="O115" s="240"/>
      <c r="P115" s="184" cm="1">
        <f t="array" ref="P115">SUMPRODUCT($D116:$O116, 2^(COLUMN($O116)-COLUMN($D116:$O116)))</f>
        <v>528</v>
      </c>
      <c r="Q115" s="189" t="str">
        <f>"0x"&amp;DEC2HEX($P115, 3)</f>
        <v>0x210</v>
      </c>
      <c r="R115" s="174"/>
    </row>
    <row r="116" spans="1:18" ht="17.5" customHeight="1" thickBot="1" x14ac:dyDescent="0.5">
      <c r="A116" s="13"/>
      <c r="B116" s="233"/>
      <c r="C116" s="200"/>
      <c r="D116" s="11">
        <v>0</v>
      </c>
      <c r="E116" s="11">
        <v>0</v>
      </c>
      <c r="F116" s="97">
        <v>1</v>
      </c>
      <c r="G116" s="10">
        <v>0</v>
      </c>
      <c r="H116" s="10">
        <v>0</v>
      </c>
      <c r="I116" s="10">
        <v>0</v>
      </c>
      <c r="J116" s="10">
        <v>0</v>
      </c>
      <c r="K116" s="97">
        <v>1</v>
      </c>
      <c r="L116" s="10">
        <v>0</v>
      </c>
      <c r="M116" s="10">
        <v>0</v>
      </c>
      <c r="N116" s="10">
        <v>0</v>
      </c>
      <c r="O116" s="10">
        <v>0</v>
      </c>
      <c r="P116" s="185"/>
      <c r="Q116" s="190"/>
      <c r="R116" s="175"/>
    </row>
    <row r="117" spans="1:18" ht="17" customHeight="1" x14ac:dyDescent="0.45">
      <c r="A117" s="13"/>
      <c r="B117" s="227" t="s">
        <v>66</v>
      </c>
      <c r="C117" s="199" t="s">
        <v>65</v>
      </c>
      <c r="D117" s="14" t="s">
        <v>1</v>
      </c>
      <c r="E117" s="14" t="s">
        <v>1</v>
      </c>
      <c r="F117" s="240" t="s">
        <v>64</v>
      </c>
      <c r="G117" s="240"/>
      <c r="H117" s="240"/>
      <c r="I117" s="240"/>
      <c r="J117" s="240"/>
      <c r="K117" s="240" t="s">
        <v>63</v>
      </c>
      <c r="L117" s="240"/>
      <c r="M117" s="240"/>
      <c r="N117" s="240"/>
      <c r="O117" s="240"/>
      <c r="P117" s="184" cm="1">
        <f t="array" ref="P117">SUMPRODUCT($D118:$O118, 2^(COLUMN($O118)-COLUMN($D118:$O118)))</f>
        <v>528</v>
      </c>
      <c r="Q117" s="189" t="str">
        <f>"0x"&amp;DEC2HEX($P117, 3)</f>
        <v>0x210</v>
      </c>
      <c r="R117" s="174"/>
    </row>
    <row r="118" spans="1:18" ht="17.5" customHeight="1" thickBot="1" x14ac:dyDescent="0.5">
      <c r="A118" s="13"/>
      <c r="B118" s="233"/>
      <c r="C118" s="200"/>
      <c r="D118" s="11">
        <v>0</v>
      </c>
      <c r="E118" s="11">
        <v>0</v>
      </c>
      <c r="F118" s="97">
        <v>1</v>
      </c>
      <c r="G118" s="10">
        <v>0</v>
      </c>
      <c r="H118" s="10">
        <v>0</v>
      </c>
      <c r="I118" s="10">
        <v>0</v>
      </c>
      <c r="J118" s="10">
        <v>0</v>
      </c>
      <c r="K118" s="97">
        <v>1</v>
      </c>
      <c r="L118" s="10">
        <v>0</v>
      </c>
      <c r="M118" s="10">
        <v>0</v>
      </c>
      <c r="N118" s="10">
        <v>0</v>
      </c>
      <c r="O118" s="10">
        <v>0</v>
      </c>
      <c r="P118" s="185"/>
      <c r="Q118" s="190"/>
      <c r="R118" s="175"/>
    </row>
    <row r="119" spans="1:18" ht="17" customHeight="1" x14ac:dyDescent="0.45">
      <c r="A119" s="13"/>
      <c r="B119" s="227" t="s">
        <v>62</v>
      </c>
      <c r="C119" s="199" t="s">
        <v>58</v>
      </c>
      <c r="D119" s="241" t="s">
        <v>61</v>
      </c>
      <c r="E119" s="242"/>
      <c r="F119" s="242"/>
      <c r="G119" s="243"/>
      <c r="H119" s="14" t="s">
        <v>1</v>
      </c>
      <c r="I119" s="14" t="s">
        <v>1</v>
      </c>
      <c r="J119" s="14" t="s">
        <v>1</v>
      </c>
      <c r="K119" s="229" t="s">
        <v>60</v>
      </c>
      <c r="L119" s="229"/>
      <c r="M119" s="229"/>
      <c r="N119" s="229"/>
      <c r="O119" s="229"/>
      <c r="P119" s="237" cm="1">
        <f t="array" ref="P119">SUMPRODUCT($D120:$O120, 2^(COLUMN($O120)-COLUMN($D120:$O120)))</f>
        <v>2064</v>
      </c>
      <c r="Q119" s="239" t="str">
        <f>"0x"&amp;DEC2HEX($P119, 3)</f>
        <v>0x810</v>
      </c>
      <c r="R119" s="174"/>
    </row>
    <row r="120" spans="1:18" ht="17.5" customHeight="1" thickBot="1" x14ac:dyDescent="0.5">
      <c r="A120" s="13"/>
      <c r="B120" s="233"/>
      <c r="C120" s="200"/>
      <c r="D120" s="97">
        <v>1</v>
      </c>
      <c r="E120" s="10">
        <v>0</v>
      </c>
      <c r="F120" s="10">
        <v>0</v>
      </c>
      <c r="G120" s="10">
        <v>0</v>
      </c>
      <c r="H120" s="11">
        <v>0</v>
      </c>
      <c r="I120" s="11">
        <v>0</v>
      </c>
      <c r="J120" s="11">
        <v>0</v>
      </c>
      <c r="K120" s="97">
        <v>1</v>
      </c>
      <c r="L120" s="10">
        <v>0</v>
      </c>
      <c r="M120" s="10">
        <v>0</v>
      </c>
      <c r="N120" s="10">
        <v>0</v>
      </c>
      <c r="O120" s="10">
        <v>0</v>
      </c>
      <c r="P120" s="185"/>
      <c r="Q120" s="190"/>
      <c r="R120" s="175"/>
    </row>
    <row r="121" spans="1:18" ht="17" customHeight="1" x14ac:dyDescent="0.45">
      <c r="A121" s="13"/>
      <c r="B121" s="227" t="s">
        <v>59</v>
      </c>
      <c r="C121" s="199" t="s">
        <v>58</v>
      </c>
      <c r="D121" s="230" t="s">
        <v>57</v>
      </c>
      <c r="E121" s="231"/>
      <c r="F121" s="231"/>
      <c r="G121" s="231"/>
      <c r="H121" s="232"/>
      <c r="I121" s="14" t="s">
        <v>1</v>
      </c>
      <c r="J121" s="14" t="s">
        <v>1</v>
      </c>
      <c r="K121" s="230" t="s">
        <v>56</v>
      </c>
      <c r="L121" s="231"/>
      <c r="M121" s="231"/>
      <c r="N121" s="231"/>
      <c r="O121" s="232"/>
      <c r="P121" s="184" cm="1">
        <f t="array" ref="P121">SUMPRODUCT($D122:$O122, 2^(COLUMN($O122)-COLUMN($D122:$O122)))</f>
        <v>2064</v>
      </c>
      <c r="Q121" s="189" t="str">
        <f>"0x"&amp;DEC2HEX($P121, 3)</f>
        <v>0x810</v>
      </c>
      <c r="R121" s="174"/>
    </row>
    <row r="122" spans="1:18" ht="17.5" customHeight="1" thickBot="1" x14ac:dyDescent="0.5">
      <c r="A122" s="13"/>
      <c r="B122" s="233"/>
      <c r="C122" s="200"/>
      <c r="D122" s="97">
        <v>1</v>
      </c>
      <c r="E122" s="10">
        <v>0</v>
      </c>
      <c r="F122" s="10">
        <v>0</v>
      </c>
      <c r="G122" s="10">
        <v>0</v>
      </c>
      <c r="H122" s="10">
        <v>0</v>
      </c>
      <c r="I122" s="11">
        <v>0</v>
      </c>
      <c r="J122" s="11">
        <v>0</v>
      </c>
      <c r="K122" s="97">
        <v>1</v>
      </c>
      <c r="L122" s="10">
        <v>0</v>
      </c>
      <c r="M122" s="10">
        <v>0</v>
      </c>
      <c r="N122" s="10">
        <v>0</v>
      </c>
      <c r="O122" s="10">
        <v>0</v>
      </c>
      <c r="P122" s="185"/>
      <c r="Q122" s="190"/>
      <c r="R122" s="175"/>
    </row>
    <row r="123" spans="1:18" ht="17" customHeight="1" x14ac:dyDescent="0.45">
      <c r="A123" s="13"/>
      <c r="B123" s="227" t="s">
        <v>55</v>
      </c>
      <c r="C123" s="199" t="s">
        <v>2</v>
      </c>
      <c r="D123" s="14" t="s">
        <v>1</v>
      </c>
      <c r="E123" s="14" t="s">
        <v>1</v>
      </c>
      <c r="F123" s="14" t="s">
        <v>1</v>
      </c>
      <c r="G123" s="14" t="s">
        <v>1</v>
      </c>
      <c r="H123" s="244" t="s">
        <v>54</v>
      </c>
      <c r="I123" s="244"/>
      <c r="J123" s="244"/>
      <c r="K123" s="244"/>
      <c r="L123" s="244" t="s">
        <v>53</v>
      </c>
      <c r="M123" s="244"/>
      <c r="N123" s="244"/>
      <c r="O123" s="244"/>
      <c r="P123" s="184" cm="1">
        <f t="array" ref="P123">SUMPRODUCT($D124:$O124, 2^(COLUMN($O124)-COLUMN($D124:$O124)))</f>
        <v>128</v>
      </c>
      <c r="Q123" s="189" t="str">
        <f>"0x"&amp;DEC2HEX($P123, 3)</f>
        <v>0x080</v>
      </c>
      <c r="R123" s="174"/>
    </row>
    <row r="124" spans="1:18" ht="17.5" customHeight="1" thickBot="1" x14ac:dyDescent="0.5">
      <c r="A124" s="13"/>
      <c r="B124" s="233"/>
      <c r="C124" s="200"/>
      <c r="D124" s="17">
        <v>0</v>
      </c>
      <c r="E124" s="17">
        <v>0</v>
      </c>
      <c r="F124" s="17">
        <v>0</v>
      </c>
      <c r="G124" s="17">
        <v>0</v>
      </c>
      <c r="H124" s="98">
        <v>1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237"/>
      <c r="Q124" s="239"/>
      <c r="R124" s="175"/>
    </row>
    <row r="125" spans="1:18" ht="17" customHeight="1" x14ac:dyDescent="0.45">
      <c r="A125" s="13"/>
      <c r="B125" s="227" t="s">
        <v>52</v>
      </c>
      <c r="C125" s="199" t="s">
        <v>2</v>
      </c>
      <c r="D125" s="15" t="s">
        <v>1</v>
      </c>
      <c r="E125" s="14" t="s">
        <v>1</v>
      </c>
      <c r="F125" s="14" t="s">
        <v>1</v>
      </c>
      <c r="G125" s="224" t="s">
        <v>51</v>
      </c>
      <c r="H125" s="225"/>
      <c r="I125" s="225"/>
      <c r="J125" s="225"/>
      <c r="K125" s="225"/>
      <c r="L125" s="225"/>
      <c r="M125" s="225"/>
      <c r="N125" s="225"/>
      <c r="O125" s="226"/>
      <c r="P125" s="184" cm="1">
        <f t="array" ref="P125">SUMPRODUCT($D126:$O126, 2^(COLUMN($O126)-COLUMN($D126:$O126)))</f>
        <v>0</v>
      </c>
      <c r="Q125" s="187" t="str">
        <f>"0x"&amp;DEC2HEX($P125, 3)</f>
        <v>0x000</v>
      </c>
      <c r="R125" s="174"/>
    </row>
    <row r="126" spans="1:18" ht="17.5" customHeight="1" thickBot="1" x14ac:dyDescent="0.5">
      <c r="A126" s="13"/>
      <c r="B126" s="233"/>
      <c r="C126" s="200"/>
      <c r="D126" s="12">
        <v>0</v>
      </c>
      <c r="E126" s="11">
        <v>0</v>
      </c>
      <c r="F126" s="11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85"/>
      <c r="Q126" s="188"/>
      <c r="R126" s="175"/>
    </row>
    <row r="127" spans="1:18" ht="17" customHeight="1" x14ac:dyDescent="0.45">
      <c r="A127" s="13"/>
      <c r="B127" s="227" t="s">
        <v>50</v>
      </c>
      <c r="C127" s="199" t="s">
        <v>2</v>
      </c>
      <c r="D127" s="15" t="s">
        <v>1</v>
      </c>
      <c r="E127" s="14" t="s">
        <v>1</v>
      </c>
      <c r="F127" s="14" t="s">
        <v>1</v>
      </c>
      <c r="G127" s="224" t="s">
        <v>49</v>
      </c>
      <c r="H127" s="225"/>
      <c r="I127" s="225"/>
      <c r="J127" s="225"/>
      <c r="K127" s="225"/>
      <c r="L127" s="225"/>
      <c r="M127" s="225"/>
      <c r="N127" s="225"/>
      <c r="O127" s="226"/>
      <c r="P127" s="184" cm="1">
        <f t="array" ref="P127">SUMPRODUCT($D128:$O128, 2^(COLUMN($O128)-COLUMN($D128:$O128)))</f>
        <v>0</v>
      </c>
      <c r="Q127" s="187" t="str">
        <f>"0x"&amp;DEC2HEX($P127, 3)</f>
        <v>0x000</v>
      </c>
      <c r="R127" s="174"/>
    </row>
    <row r="128" spans="1:18" ht="17.5" customHeight="1" thickBot="1" x14ac:dyDescent="0.5">
      <c r="A128" s="13"/>
      <c r="B128" s="233"/>
      <c r="C128" s="200"/>
      <c r="D128" s="12">
        <v>0</v>
      </c>
      <c r="E128" s="11">
        <v>0</v>
      </c>
      <c r="F128" s="11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85"/>
      <c r="Q128" s="188"/>
      <c r="R128" s="175"/>
    </row>
    <row r="129" spans="1:18" x14ac:dyDescent="0.45">
      <c r="A129" s="13"/>
      <c r="B129" s="227" t="s">
        <v>48</v>
      </c>
      <c r="C129" s="199" t="s">
        <v>2</v>
      </c>
      <c r="D129" s="15" t="s">
        <v>1</v>
      </c>
      <c r="E129" s="14" t="s">
        <v>1</v>
      </c>
      <c r="F129" s="14" t="s">
        <v>1</v>
      </c>
      <c r="G129" s="224" t="s">
        <v>47</v>
      </c>
      <c r="H129" s="225"/>
      <c r="I129" s="225"/>
      <c r="J129" s="225"/>
      <c r="K129" s="225"/>
      <c r="L129" s="225"/>
      <c r="M129" s="225"/>
      <c r="N129" s="225"/>
      <c r="O129" s="226"/>
      <c r="P129" s="184" cm="1">
        <f t="array" ref="P129">SUMPRODUCT($D130:$O130, 2^(COLUMN($O130)-COLUMN($D130:$O130)))</f>
        <v>0</v>
      </c>
      <c r="Q129" s="187" t="str">
        <f>"0x"&amp;DEC2HEX($P129, 3)</f>
        <v>0x000</v>
      </c>
      <c r="R129" s="174"/>
    </row>
    <row r="130" spans="1:18" ht="16.5" thickBot="1" x14ac:dyDescent="0.5">
      <c r="A130" s="13"/>
      <c r="B130" s="233"/>
      <c r="C130" s="200"/>
      <c r="D130" s="12">
        <v>0</v>
      </c>
      <c r="E130" s="11">
        <v>0</v>
      </c>
      <c r="F130" s="11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85"/>
      <c r="Q130" s="188"/>
      <c r="R130" s="175"/>
    </row>
    <row r="131" spans="1:18" x14ac:dyDescent="0.45">
      <c r="A131" s="13"/>
      <c r="B131" s="227" t="s">
        <v>46</v>
      </c>
      <c r="C131" s="199" t="s">
        <v>2</v>
      </c>
      <c r="D131" s="15" t="s">
        <v>1</v>
      </c>
      <c r="E131" s="14" t="s">
        <v>1</v>
      </c>
      <c r="F131" s="14" t="s">
        <v>1</v>
      </c>
      <c r="G131" s="224" t="s">
        <v>45</v>
      </c>
      <c r="H131" s="225"/>
      <c r="I131" s="225"/>
      <c r="J131" s="225"/>
      <c r="K131" s="225"/>
      <c r="L131" s="225"/>
      <c r="M131" s="225"/>
      <c r="N131" s="225"/>
      <c r="O131" s="226"/>
      <c r="P131" s="184" cm="1">
        <f t="array" ref="P131">SUMPRODUCT($D132:$O132, 2^(COLUMN($O132)-COLUMN($D132:$O132)))</f>
        <v>0</v>
      </c>
      <c r="Q131" s="187" t="str">
        <f>"0x"&amp;DEC2HEX($P131, 3)</f>
        <v>0x000</v>
      </c>
      <c r="R131" s="174"/>
    </row>
    <row r="132" spans="1:18" ht="16.5" thickBot="1" x14ac:dyDescent="0.5">
      <c r="A132" s="13"/>
      <c r="B132" s="233"/>
      <c r="C132" s="200"/>
      <c r="D132" s="12">
        <v>0</v>
      </c>
      <c r="E132" s="11">
        <v>0</v>
      </c>
      <c r="F132" s="11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85"/>
      <c r="Q132" s="188"/>
      <c r="R132" s="175"/>
    </row>
    <row r="133" spans="1:18" x14ac:dyDescent="0.45">
      <c r="A133" s="13"/>
      <c r="B133" s="227" t="s">
        <v>44</v>
      </c>
      <c r="C133" s="199" t="s">
        <v>2</v>
      </c>
      <c r="D133" s="15" t="s">
        <v>1</v>
      </c>
      <c r="E133" s="14" t="s">
        <v>1</v>
      </c>
      <c r="F133" s="14" t="s">
        <v>1</v>
      </c>
      <c r="G133" s="224" t="s">
        <v>43</v>
      </c>
      <c r="H133" s="225"/>
      <c r="I133" s="225"/>
      <c r="J133" s="225"/>
      <c r="K133" s="225"/>
      <c r="L133" s="225"/>
      <c r="M133" s="225"/>
      <c r="N133" s="225"/>
      <c r="O133" s="226"/>
      <c r="P133" s="184" cm="1">
        <f t="array" ref="P133">SUMPRODUCT($D134:$O134, 2^(COLUMN($O134)-COLUMN($D134:$O134)))</f>
        <v>0</v>
      </c>
      <c r="Q133" s="187" t="str">
        <f>"0x"&amp;DEC2HEX($P133, 3)</f>
        <v>0x000</v>
      </c>
      <c r="R133" s="174"/>
    </row>
    <row r="134" spans="1:18" ht="16.5" thickBot="1" x14ac:dyDescent="0.5">
      <c r="A134" s="13"/>
      <c r="B134" s="233"/>
      <c r="C134" s="200"/>
      <c r="D134" s="12">
        <v>0</v>
      </c>
      <c r="E134" s="11">
        <v>0</v>
      </c>
      <c r="F134" s="11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85"/>
      <c r="Q134" s="188"/>
      <c r="R134" s="175"/>
    </row>
    <row r="135" spans="1:18" x14ac:dyDescent="0.45">
      <c r="A135" s="13"/>
      <c r="B135" s="227" t="s">
        <v>42</v>
      </c>
      <c r="C135" s="199" t="s">
        <v>2</v>
      </c>
      <c r="D135" s="15" t="s">
        <v>1</v>
      </c>
      <c r="E135" s="14" t="s">
        <v>1</v>
      </c>
      <c r="F135" s="14" t="s">
        <v>1</v>
      </c>
      <c r="G135" s="224" t="s">
        <v>41</v>
      </c>
      <c r="H135" s="225"/>
      <c r="I135" s="225"/>
      <c r="J135" s="225"/>
      <c r="K135" s="225"/>
      <c r="L135" s="225"/>
      <c r="M135" s="225"/>
      <c r="N135" s="225"/>
      <c r="O135" s="226"/>
      <c r="P135" s="184" cm="1">
        <f t="array" ref="P135">SUMPRODUCT($D136:$O136, 2^(COLUMN($O136)-COLUMN($D136:$O136)))</f>
        <v>0</v>
      </c>
      <c r="Q135" s="187" t="str">
        <f>"0x"&amp;DEC2HEX($P135, 3)</f>
        <v>0x000</v>
      </c>
      <c r="R135" s="174"/>
    </row>
    <row r="136" spans="1:18" ht="16.5" thickBot="1" x14ac:dyDescent="0.5">
      <c r="A136" s="13"/>
      <c r="B136" s="233"/>
      <c r="C136" s="200"/>
      <c r="D136" s="12">
        <v>0</v>
      </c>
      <c r="E136" s="11">
        <v>0</v>
      </c>
      <c r="F136" s="11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85"/>
      <c r="Q136" s="188"/>
      <c r="R136" s="175"/>
    </row>
    <row r="137" spans="1:18" x14ac:dyDescent="0.45">
      <c r="A137" s="13"/>
      <c r="B137" s="227" t="s">
        <v>40</v>
      </c>
      <c r="C137" s="199" t="s">
        <v>2</v>
      </c>
      <c r="D137" s="15" t="s">
        <v>1</v>
      </c>
      <c r="E137" s="14" t="s">
        <v>1</v>
      </c>
      <c r="F137" s="14" t="s">
        <v>1</v>
      </c>
      <c r="G137" s="224" t="s">
        <v>39</v>
      </c>
      <c r="H137" s="225"/>
      <c r="I137" s="225"/>
      <c r="J137" s="225"/>
      <c r="K137" s="225"/>
      <c r="L137" s="225"/>
      <c r="M137" s="225"/>
      <c r="N137" s="225"/>
      <c r="O137" s="226"/>
      <c r="P137" s="184" cm="1">
        <f t="array" ref="P137">SUMPRODUCT($D138:$O138, 2^(COLUMN($O138)-COLUMN($D138:$O138)))</f>
        <v>0</v>
      </c>
      <c r="Q137" s="187" t="str">
        <f>"0x"&amp;DEC2HEX($P137, 3)</f>
        <v>0x000</v>
      </c>
      <c r="R137" s="174"/>
    </row>
    <row r="138" spans="1:18" ht="16.5" thickBot="1" x14ac:dyDescent="0.5">
      <c r="A138" s="13"/>
      <c r="B138" s="233"/>
      <c r="C138" s="200"/>
      <c r="D138" s="12">
        <v>0</v>
      </c>
      <c r="E138" s="11">
        <v>0</v>
      </c>
      <c r="F138" s="11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85"/>
      <c r="Q138" s="188"/>
      <c r="R138" s="175"/>
    </row>
    <row r="139" spans="1:18" x14ac:dyDescent="0.45">
      <c r="A139" s="13"/>
      <c r="B139" s="227" t="s">
        <v>38</v>
      </c>
      <c r="C139" s="199" t="s">
        <v>2</v>
      </c>
      <c r="D139" s="15" t="s">
        <v>1</v>
      </c>
      <c r="E139" s="14" t="s">
        <v>1</v>
      </c>
      <c r="F139" s="14" t="s">
        <v>1</v>
      </c>
      <c r="G139" s="224" t="s">
        <v>37</v>
      </c>
      <c r="H139" s="225"/>
      <c r="I139" s="225"/>
      <c r="J139" s="225"/>
      <c r="K139" s="225"/>
      <c r="L139" s="225"/>
      <c r="M139" s="225"/>
      <c r="N139" s="225"/>
      <c r="O139" s="226"/>
      <c r="P139" s="184" cm="1">
        <f t="array" ref="P139">SUMPRODUCT($D140:$O140, 2^(COLUMN($O140)-COLUMN($D140:$O140)))</f>
        <v>0</v>
      </c>
      <c r="Q139" s="187" t="str">
        <f>"0x"&amp;DEC2HEX($P139, 3)</f>
        <v>0x000</v>
      </c>
      <c r="R139" s="174"/>
    </row>
    <row r="140" spans="1:18" ht="16.5" thickBot="1" x14ac:dyDescent="0.5">
      <c r="A140" s="13"/>
      <c r="B140" s="233"/>
      <c r="C140" s="200"/>
      <c r="D140" s="12">
        <v>0</v>
      </c>
      <c r="E140" s="11">
        <v>0</v>
      </c>
      <c r="F140" s="11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85"/>
      <c r="Q140" s="188"/>
      <c r="R140" s="175"/>
    </row>
    <row r="141" spans="1:18" x14ac:dyDescent="0.45">
      <c r="A141" s="13"/>
      <c r="B141" s="227" t="s">
        <v>36</v>
      </c>
      <c r="C141" s="199" t="s">
        <v>2</v>
      </c>
      <c r="D141" s="15" t="s">
        <v>1</v>
      </c>
      <c r="E141" s="14" t="s">
        <v>1</v>
      </c>
      <c r="F141" s="14" t="s">
        <v>1</v>
      </c>
      <c r="G141" s="224" t="s">
        <v>35</v>
      </c>
      <c r="H141" s="225"/>
      <c r="I141" s="225"/>
      <c r="J141" s="225"/>
      <c r="K141" s="225"/>
      <c r="L141" s="225"/>
      <c r="M141" s="225"/>
      <c r="N141" s="225"/>
      <c r="O141" s="226"/>
      <c r="P141" s="184" cm="1">
        <f t="array" ref="P141">SUMPRODUCT($D142:$O142, 2^(COLUMN($O142)-COLUMN($D142:$O142)))</f>
        <v>0</v>
      </c>
      <c r="Q141" s="187" t="str">
        <f>"0x"&amp;DEC2HEX($P141, 3)</f>
        <v>0x000</v>
      </c>
      <c r="R141" s="174"/>
    </row>
    <row r="142" spans="1:18" ht="16.5" thickBot="1" x14ac:dyDescent="0.5">
      <c r="A142" s="13"/>
      <c r="B142" s="233"/>
      <c r="C142" s="200"/>
      <c r="D142" s="12">
        <v>0</v>
      </c>
      <c r="E142" s="11">
        <v>0</v>
      </c>
      <c r="F142" s="11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85"/>
      <c r="Q142" s="188"/>
      <c r="R142" s="175"/>
    </row>
    <row r="143" spans="1:18" x14ac:dyDescent="0.45">
      <c r="A143" s="13"/>
      <c r="B143" s="227" t="s">
        <v>34</v>
      </c>
      <c r="C143" s="199" t="s">
        <v>2</v>
      </c>
      <c r="D143" s="15" t="s">
        <v>1</v>
      </c>
      <c r="E143" s="14" t="s">
        <v>1</v>
      </c>
      <c r="F143" s="14" t="s">
        <v>1</v>
      </c>
      <c r="G143" s="224" t="s">
        <v>33</v>
      </c>
      <c r="H143" s="225"/>
      <c r="I143" s="225"/>
      <c r="J143" s="225"/>
      <c r="K143" s="225"/>
      <c r="L143" s="225"/>
      <c r="M143" s="225"/>
      <c r="N143" s="225"/>
      <c r="O143" s="226"/>
      <c r="P143" s="184" cm="1">
        <f t="array" ref="P143">SUMPRODUCT($D144:$O144, 2^(COLUMN($O144)-COLUMN($D144:$O144)))</f>
        <v>0</v>
      </c>
      <c r="Q143" s="187" t="str">
        <f>"0x"&amp;DEC2HEX($P143, 3)</f>
        <v>0x000</v>
      </c>
      <c r="R143" s="174"/>
    </row>
    <row r="144" spans="1:18" ht="16.5" thickBot="1" x14ac:dyDescent="0.5">
      <c r="A144" s="13"/>
      <c r="B144" s="233"/>
      <c r="C144" s="200"/>
      <c r="D144" s="12">
        <v>0</v>
      </c>
      <c r="E144" s="11">
        <v>0</v>
      </c>
      <c r="F144" s="11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85"/>
      <c r="Q144" s="188"/>
      <c r="R144" s="175"/>
    </row>
    <row r="145" spans="1:18" x14ac:dyDescent="0.45">
      <c r="A145" s="13"/>
      <c r="B145" s="227" t="s">
        <v>32</v>
      </c>
      <c r="C145" s="199" t="s">
        <v>2</v>
      </c>
      <c r="D145" s="15" t="s">
        <v>1</v>
      </c>
      <c r="E145" s="14" t="s">
        <v>1</v>
      </c>
      <c r="F145" s="14" t="s">
        <v>1</v>
      </c>
      <c r="G145" s="224" t="s">
        <v>31</v>
      </c>
      <c r="H145" s="225"/>
      <c r="I145" s="225"/>
      <c r="J145" s="225"/>
      <c r="K145" s="225"/>
      <c r="L145" s="225"/>
      <c r="M145" s="225"/>
      <c r="N145" s="225"/>
      <c r="O145" s="226"/>
      <c r="P145" s="184" cm="1">
        <f t="array" ref="P145">SUMPRODUCT($D146:$O146, 2^(COLUMN($O146)-COLUMN($D146:$O146)))</f>
        <v>0</v>
      </c>
      <c r="Q145" s="187" t="str">
        <f>"0x"&amp;DEC2HEX($P145, 3)</f>
        <v>0x000</v>
      </c>
      <c r="R145" s="174"/>
    </row>
    <row r="146" spans="1:18" ht="16.5" thickBot="1" x14ac:dyDescent="0.5">
      <c r="A146" s="13"/>
      <c r="B146" s="233"/>
      <c r="C146" s="200"/>
      <c r="D146" s="12">
        <v>0</v>
      </c>
      <c r="E146" s="11">
        <v>0</v>
      </c>
      <c r="F146" s="11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85"/>
      <c r="Q146" s="188"/>
      <c r="R146" s="175"/>
    </row>
    <row r="147" spans="1:18" x14ac:dyDescent="0.45">
      <c r="A147" s="13"/>
      <c r="B147" s="227" t="s">
        <v>30</v>
      </c>
      <c r="C147" s="199" t="s">
        <v>2</v>
      </c>
      <c r="D147" s="15" t="s">
        <v>1</v>
      </c>
      <c r="E147" s="14" t="s">
        <v>1</v>
      </c>
      <c r="F147" s="14" t="s">
        <v>1</v>
      </c>
      <c r="G147" s="224" t="s">
        <v>29</v>
      </c>
      <c r="H147" s="225"/>
      <c r="I147" s="225"/>
      <c r="J147" s="225"/>
      <c r="K147" s="225"/>
      <c r="L147" s="225"/>
      <c r="M147" s="225"/>
      <c r="N147" s="225"/>
      <c r="O147" s="226"/>
      <c r="P147" s="184" cm="1">
        <f t="array" ref="P147">SUMPRODUCT($D148:$O148, 2^(COLUMN($O148)-COLUMN($D148:$O148)))</f>
        <v>0</v>
      </c>
      <c r="Q147" s="187" t="str">
        <f>"0x"&amp;DEC2HEX($P147, 3)</f>
        <v>0x000</v>
      </c>
      <c r="R147" s="174"/>
    </row>
    <row r="148" spans="1:18" ht="16.5" thickBot="1" x14ac:dyDescent="0.5">
      <c r="A148" s="13"/>
      <c r="B148" s="233"/>
      <c r="C148" s="200"/>
      <c r="D148" s="12">
        <v>0</v>
      </c>
      <c r="E148" s="11">
        <v>0</v>
      </c>
      <c r="F148" s="11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85"/>
      <c r="Q148" s="188"/>
      <c r="R148" s="175"/>
    </row>
    <row r="149" spans="1:18" x14ac:dyDescent="0.45">
      <c r="A149" s="13"/>
      <c r="B149" s="227" t="s">
        <v>28</v>
      </c>
      <c r="C149" s="199" t="s">
        <v>5</v>
      </c>
      <c r="D149" s="15" t="s">
        <v>1</v>
      </c>
      <c r="E149" s="14" t="s">
        <v>1</v>
      </c>
      <c r="F149" s="14" t="s">
        <v>1</v>
      </c>
      <c r="G149" s="14" t="s">
        <v>1</v>
      </c>
      <c r="H149" s="14" t="s">
        <v>1</v>
      </c>
      <c r="I149" s="224" t="s">
        <v>27</v>
      </c>
      <c r="J149" s="225"/>
      <c r="K149" s="225"/>
      <c r="L149" s="225"/>
      <c r="M149" s="225"/>
      <c r="N149" s="225"/>
      <c r="O149" s="226"/>
      <c r="P149" s="184" cm="1">
        <f t="array" ref="P149">SUMPRODUCT($D150:$O150, 2^(COLUMN($O150)-COLUMN($D150:$O150)))</f>
        <v>64</v>
      </c>
      <c r="Q149" s="189" t="str">
        <f>"0x"&amp;DEC2HEX($P149, 3)</f>
        <v>0x040</v>
      </c>
      <c r="R149" s="174"/>
    </row>
    <row r="150" spans="1:18" ht="16.5" thickBot="1" x14ac:dyDescent="0.5">
      <c r="A150" s="13"/>
      <c r="B150" s="233"/>
      <c r="C150" s="200"/>
      <c r="D150" s="12">
        <v>0</v>
      </c>
      <c r="E150" s="11">
        <v>0</v>
      </c>
      <c r="F150" s="11">
        <v>0</v>
      </c>
      <c r="G150" s="11">
        <v>0</v>
      </c>
      <c r="H150" s="11">
        <v>0</v>
      </c>
      <c r="I150" s="97">
        <v>1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85"/>
      <c r="Q150" s="190"/>
      <c r="R150" s="175"/>
    </row>
    <row r="151" spans="1:18" x14ac:dyDescent="0.45">
      <c r="A151" s="13"/>
      <c r="B151" s="227" t="s">
        <v>26</v>
      </c>
      <c r="C151" s="199" t="s">
        <v>5</v>
      </c>
      <c r="D151" s="15" t="s">
        <v>1</v>
      </c>
      <c r="E151" s="14" t="s">
        <v>1</v>
      </c>
      <c r="F151" s="14" t="s">
        <v>1</v>
      </c>
      <c r="G151" s="14" t="s">
        <v>1</v>
      </c>
      <c r="H151" s="14" t="s">
        <v>1</v>
      </c>
      <c r="I151" s="224" t="s">
        <v>25</v>
      </c>
      <c r="J151" s="225"/>
      <c r="K151" s="225"/>
      <c r="L151" s="225"/>
      <c r="M151" s="225"/>
      <c r="N151" s="225"/>
      <c r="O151" s="226"/>
      <c r="P151" s="184" cm="1">
        <f t="array" ref="P151">SUMPRODUCT($D152:$O152, 2^(COLUMN($O152)-COLUMN($D152:$O152)))</f>
        <v>64</v>
      </c>
      <c r="Q151" s="189" t="str">
        <f>"0x"&amp;DEC2HEX($P151, 3)</f>
        <v>0x040</v>
      </c>
      <c r="R151" s="174"/>
    </row>
    <row r="152" spans="1:18" ht="16.5" thickBot="1" x14ac:dyDescent="0.5">
      <c r="A152" s="13"/>
      <c r="B152" s="233"/>
      <c r="C152" s="200"/>
      <c r="D152" s="12">
        <v>0</v>
      </c>
      <c r="E152" s="11">
        <v>0</v>
      </c>
      <c r="F152" s="11">
        <v>0</v>
      </c>
      <c r="G152" s="11">
        <v>0</v>
      </c>
      <c r="H152" s="11">
        <v>0</v>
      </c>
      <c r="I152" s="97">
        <v>1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85"/>
      <c r="Q152" s="190"/>
      <c r="R152" s="175"/>
    </row>
    <row r="153" spans="1:18" x14ac:dyDescent="0.45">
      <c r="A153" s="13"/>
      <c r="B153" s="227" t="s">
        <v>24</v>
      </c>
      <c r="C153" s="199" t="s">
        <v>5</v>
      </c>
      <c r="D153" s="15" t="s">
        <v>1</v>
      </c>
      <c r="E153" s="14" t="s">
        <v>1</v>
      </c>
      <c r="F153" s="14" t="s">
        <v>1</v>
      </c>
      <c r="G153" s="14" t="s">
        <v>1</v>
      </c>
      <c r="H153" s="14" t="s">
        <v>1</v>
      </c>
      <c r="I153" s="224" t="s">
        <v>23</v>
      </c>
      <c r="J153" s="225"/>
      <c r="K153" s="225"/>
      <c r="L153" s="225"/>
      <c r="M153" s="225"/>
      <c r="N153" s="225"/>
      <c r="O153" s="226"/>
      <c r="P153" s="184" cm="1">
        <f t="array" ref="P153">SUMPRODUCT($D154:$O154, 2^(COLUMN($O154)-COLUMN($D154:$O154)))</f>
        <v>64</v>
      </c>
      <c r="Q153" s="189" t="str">
        <f>"0x"&amp;DEC2HEX($P153, 3)</f>
        <v>0x040</v>
      </c>
      <c r="R153" s="174"/>
    </row>
    <row r="154" spans="1:18" ht="16.5" thickBot="1" x14ac:dyDescent="0.5">
      <c r="A154" s="13"/>
      <c r="B154" s="233"/>
      <c r="C154" s="200"/>
      <c r="D154" s="12">
        <v>0</v>
      </c>
      <c r="E154" s="11">
        <v>0</v>
      </c>
      <c r="F154" s="11">
        <v>0</v>
      </c>
      <c r="G154" s="11">
        <v>0</v>
      </c>
      <c r="H154" s="11">
        <v>0</v>
      </c>
      <c r="I154" s="97">
        <v>1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85"/>
      <c r="Q154" s="190"/>
      <c r="R154" s="175"/>
    </row>
    <row r="155" spans="1:18" x14ac:dyDescent="0.45">
      <c r="A155" s="13"/>
      <c r="B155" s="227" t="s">
        <v>22</v>
      </c>
      <c r="C155" s="199" t="s">
        <v>5</v>
      </c>
      <c r="D155" s="15" t="s">
        <v>1</v>
      </c>
      <c r="E155" s="14" t="s">
        <v>1</v>
      </c>
      <c r="F155" s="14" t="s">
        <v>1</v>
      </c>
      <c r="G155" s="14" t="s">
        <v>1</v>
      </c>
      <c r="H155" s="14" t="s">
        <v>1</v>
      </c>
      <c r="I155" s="224" t="s">
        <v>21</v>
      </c>
      <c r="J155" s="225"/>
      <c r="K155" s="225"/>
      <c r="L155" s="225"/>
      <c r="M155" s="225"/>
      <c r="N155" s="225"/>
      <c r="O155" s="226"/>
      <c r="P155" s="184" cm="1">
        <f t="array" ref="P155">SUMPRODUCT($D156:$O156, 2^(COLUMN($O156)-COLUMN($D156:$O156)))</f>
        <v>64</v>
      </c>
      <c r="Q155" s="189" t="str">
        <f>"0x"&amp;DEC2HEX($P155, 3)</f>
        <v>0x040</v>
      </c>
      <c r="R155" s="174"/>
    </row>
    <row r="156" spans="1:18" ht="16.5" thickBot="1" x14ac:dyDescent="0.5">
      <c r="A156" s="13"/>
      <c r="B156" s="233"/>
      <c r="C156" s="200"/>
      <c r="D156" s="12">
        <v>0</v>
      </c>
      <c r="E156" s="11">
        <v>0</v>
      </c>
      <c r="F156" s="11">
        <v>0</v>
      </c>
      <c r="G156" s="11">
        <v>0</v>
      </c>
      <c r="H156" s="11">
        <v>0</v>
      </c>
      <c r="I156" s="97">
        <v>1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85"/>
      <c r="Q156" s="190"/>
      <c r="R156" s="175"/>
    </row>
    <row r="157" spans="1:18" x14ac:dyDescent="0.45">
      <c r="A157" s="13"/>
      <c r="B157" s="227" t="s">
        <v>20</v>
      </c>
      <c r="C157" s="199" t="s">
        <v>5</v>
      </c>
      <c r="D157" s="15" t="s">
        <v>1</v>
      </c>
      <c r="E157" s="14" t="s">
        <v>1</v>
      </c>
      <c r="F157" s="14" t="s">
        <v>1</v>
      </c>
      <c r="G157" s="14" t="s">
        <v>1</v>
      </c>
      <c r="H157" s="14" t="s">
        <v>1</v>
      </c>
      <c r="I157" s="224" t="s">
        <v>19</v>
      </c>
      <c r="J157" s="225"/>
      <c r="K157" s="225"/>
      <c r="L157" s="225"/>
      <c r="M157" s="225"/>
      <c r="N157" s="225"/>
      <c r="O157" s="226"/>
      <c r="P157" s="184" cm="1">
        <f t="array" ref="P157">SUMPRODUCT($D158:$O158, 2^(COLUMN($O158)-COLUMN($D158:$O158)))</f>
        <v>64</v>
      </c>
      <c r="Q157" s="189" t="str">
        <f>"0x"&amp;DEC2HEX($P157, 3)</f>
        <v>0x040</v>
      </c>
      <c r="R157" s="174"/>
    </row>
    <row r="158" spans="1:18" ht="16.5" thickBot="1" x14ac:dyDescent="0.5">
      <c r="A158" s="13"/>
      <c r="B158" s="233"/>
      <c r="C158" s="200"/>
      <c r="D158" s="12">
        <v>0</v>
      </c>
      <c r="E158" s="11">
        <v>0</v>
      </c>
      <c r="F158" s="11">
        <v>0</v>
      </c>
      <c r="G158" s="11">
        <v>0</v>
      </c>
      <c r="H158" s="11">
        <v>0</v>
      </c>
      <c r="I158" s="97">
        <v>1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85"/>
      <c r="Q158" s="190"/>
      <c r="R158" s="175"/>
    </row>
    <row r="159" spans="1:18" x14ac:dyDescent="0.45">
      <c r="A159" s="13"/>
      <c r="B159" s="227" t="s">
        <v>18</v>
      </c>
      <c r="C159" s="199" t="s">
        <v>5</v>
      </c>
      <c r="D159" s="15" t="s">
        <v>1</v>
      </c>
      <c r="E159" s="14" t="s">
        <v>1</v>
      </c>
      <c r="F159" s="14" t="s">
        <v>1</v>
      </c>
      <c r="G159" s="14" t="s">
        <v>1</v>
      </c>
      <c r="H159" s="14" t="s">
        <v>1</v>
      </c>
      <c r="I159" s="224" t="s">
        <v>17</v>
      </c>
      <c r="J159" s="225"/>
      <c r="K159" s="225"/>
      <c r="L159" s="225"/>
      <c r="M159" s="225"/>
      <c r="N159" s="225"/>
      <c r="O159" s="226"/>
      <c r="P159" s="184" cm="1">
        <f t="array" ref="P159">SUMPRODUCT($D160:$O160, 2^(COLUMN($O160)-COLUMN($D160:$O160)))</f>
        <v>64</v>
      </c>
      <c r="Q159" s="189" t="str">
        <f>"0x"&amp;DEC2HEX($P159, 3)</f>
        <v>0x040</v>
      </c>
      <c r="R159" s="174"/>
    </row>
    <row r="160" spans="1:18" ht="16.5" thickBot="1" x14ac:dyDescent="0.5">
      <c r="A160" s="13"/>
      <c r="B160" s="233"/>
      <c r="C160" s="200"/>
      <c r="D160" s="12">
        <v>0</v>
      </c>
      <c r="E160" s="11">
        <v>0</v>
      </c>
      <c r="F160" s="11">
        <v>0</v>
      </c>
      <c r="G160" s="11">
        <v>0</v>
      </c>
      <c r="H160" s="11">
        <v>0</v>
      </c>
      <c r="I160" s="97">
        <v>1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85"/>
      <c r="Q160" s="190"/>
      <c r="R160" s="175"/>
    </row>
    <row r="161" spans="1:18" x14ac:dyDescent="0.45">
      <c r="A161" s="13"/>
      <c r="B161" s="227" t="s">
        <v>16</v>
      </c>
      <c r="C161" s="199" t="s">
        <v>5</v>
      </c>
      <c r="D161" s="15" t="s">
        <v>1</v>
      </c>
      <c r="E161" s="14" t="s">
        <v>1</v>
      </c>
      <c r="F161" s="14" t="s">
        <v>1</v>
      </c>
      <c r="G161" s="14" t="s">
        <v>1</v>
      </c>
      <c r="H161" s="14" t="s">
        <v>1</v>
      </c>
      <c r="I161" s="224" t="s">
        <v>15</v>
      </c>
      <c r="J161" s="225"/>
      <c r="K161" s="225"/>
      <c r="L161" s="225"/>
      <c r="M161" s="225"/>
      <c r="N161" s="225"/>
      <c r="O161" s="226"/>
      <c r="P161" s="184" cm="1">
        <f t="array" ref="P161">SUMPRODUCT($D162:$O162, 2^(COLUMN($O162)-COLUMN($D162:$O162)))</f>
        <v>64</v>
      </c>
      <c r="Q161" s="189" t="str">
        <f>"0x"&amp;DEC2HEX($P161, 3)</f>
        <v>0x040</v>
      </c>
      <c r="R161" s="174"/>
    </row>
    <row r="162" spans="1:18" ht="16.5" thickBot="1" x14ac:dyDescent="0.5">
      <c r="A162" s="13"/>
      <c r="B162" s="233"/>
      <c r="C162" s="200"/>
      <c r="D162" s="12">
        <v>0</v>
      </c>
      <c r="E162" s="11">
        <v>0</v>
      </c>
      <c r="F162" s="11">
        <v>0</v>
      </c>
      <c r="G162" s="11">
        <v>0</v>
      </c>
      <c r="H162" s="11">
        <v>0</v>
      </c>
      <c r="I162" s="97">
        <v>1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85"/>
      <c r="Q162" s="190"/>
      <c r="R162" s="175"/>
    </row>
    <row r="163" spans="1:18" x14ac:dyDescent="0.45">
      <c r="A163" s="13"/>
      <c r="B163" s="227" t="s">
        <v>14</v>
      </c>
      <c r="C163" s="199" t="s">
        <v>5</v>
      </c>
      <c r="D163" s="15" t="s">
        <v>1</v>
      </c>
      <c r="E163" s="14" t="s">
        <v>1</v>
      </c>
      <c r="F163" s="14" t="s">
        <v>1</v>
      </c>
      <c r="G163" s="14" t="s">
        <v>1</v>
      </c>
      <c r="H163" s="14" t="s">
        <v>1</v>
      </c>
      <c r="I163" s="224" t="s">
        <v>13</v>
      </c>
      <c r="J163" s="225"/>
      <c r="K163" s="225"/>
      <c r="L163" s="225"/>
      <c r="M163" s="225"/>
      <c r="N163" s="225"/>
      <c r="O163" s="226"/>
      <c r="P163" s="184" cm="1">
        <f t="array" ref="P163">SUMPRODUCT($D164:$O164, 2^(COLUMN($O164)-COLUMN($D164:$O164)))</f>
        <v>64</v>
      </c>
      <c r="Q163" s="189" t="str">
        <f>"0x"&amp;DEC2HEX($P163, 3)</f>
        <v>0x040</v>
      </c>
      <c r="R163" s="174"/>
    </row>
    <row r="164" spans="1:18" ht="16.5" thickBot="1" x14ac:dyDescent="0.5">
      <c r="A164" s="13"/>
      <c r="B164" s="233"/>
      <c r="C164" s="200"/>
      <c r="D164" s="12">
        <v>0</v>
      </c>
      <c r="E164" s="11">
        <v>0</v>
      </c>
      <c r="F164" s="11">
        <v>0</v>
      </c>
      <c r="G164" s="11">
        <v>0</v>
      </c>
      <c r="H164" s="11">
        <v>0</v>
      </c>
      <c r="I164" s="97">
        <v>1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85"/>
      <c r="Q164" s="190"/>
      <c r="R164" s="175"/>
    </row>
    <row r="165" spans="1:18" x14ac:dyDescent="0.45">
      <c r="A165" s="13"/>
      <c r="B165" s="227" t="s">
        <v>12</v>
      </c>
      <c r="C165" s="199" t="s">
        <v>5</v>
      </c>
      <c r="D165" s="15" t="s">
        <v>1</v>
      </c>
      <c r="E165" s="14" t="s">
        <v>1</v>
      </c>
      <c r="F165" s="14" t="s">
        <v>1</v>
      </c>
      <c r="G165" s="14" t="s">
        <v>1</v>
      </c>
      <c r="H165" s="14" t="s">
        <v>1</v>
      </c>
      <c r="I165" s="224" t="s">
        <v>11</v>
      </c>
      <c r="J165" s="225"/>
      <c r="K165" s="225"/>
      <c r="L165" s="225"/>
      <c r="M165" s="225"/>
      <c r="N165" s="225"/>
      <c r="O165" s="226"/>
      <c r="P165" s="184" cm="1">
        <f t="array" ref="P165">SUMPRODUCT($D166:$O166, 2^(COLUMN($O166)-COLUMN($D166:$O166)))</f>
        <v>64</v>
      </c>
      <c r="Q165" s="189" t="str">
        <f>"0x"&amp;DEC2HEX($P165, 3)</f>
        <v>0x040</v>
      </c>
      <c r="R165" s="174"/>
    </row>
    <row r="166" spans="1:18" ht="16.5" thickBot="1" x14ac:dyDescent="0.5">
      <c r="A166" s="13"/>
      <c r="B166" s="233"/>
      <c r="C166" s="200"/>
      <c r="D166" s="12">
        <v>0</v>
      </c>
      <c r="E166" s="11">
        <v>0</v>
      </c>
      <c r="F166" s="11">
        <v>0</v>
      </c>
      <c r="G166" s="11">
        <v>0</v>
      </c>
      <c r="H166" s="11">
        <v>0</v>
      </c>
      <c r="I166" s="97">
        <v>1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85"/>
      <c r="Q166" s="190"/>
      <c r="R166" s="175"/>
    </row>
    <row r="167" spans="1:18" x14ac:dyDescent="0.45">
      <c r="A167" s="13"/>
      <c r="B167" s="227" t="s">
        <v>10</v>
      </c>
      <c r="C167" s="199" t="s">
        <v>5</v>
      </c>
      <c r="D167" s="15" t="s">
        <v>1</v>
      </c>
      <c r="E167" s="14" t="s">
        <v>1</v>
      </c>
      <c r="F167" s="14" t="s">
        <v>1</v>
      </c>
      <c r="G167" s="14" t="s">
        <v>1</v>
      </c>
      <c r="H167" s="14" t="s">
        <v>1</v>
      </c>
      <c r="I167" s="224" t="s">
        <v>9</v>
      </c>
      <c r="J167" s="225"/>
      <c r="K167" s="225"/>
      <c r="L167" s="225"/>
      <c r="M167" s="225"/>
      <c r="N167" s="225"/>
      <c r="O167" s="226"/>
      <c r="P167" s="184" cm="1">
        <f t="array" ref="P167">SUMPRODUCT($D168:$O168, 2^(COLUMN($O168)-COLUMN($D168:$O168)))</f>
        <v>64</v>
      </c>
      <c r="Q167" s="189" t="str">
        <f>"0x"&amp;DEC2HEX($P167, 3)</f>
        <v>0x040</v>
      </c>
      <c r="R167" s="174"/>
    </row>
    <row r="168" spans="1:18" ht="16.5" thickBot="1" x14ac:dyDescent="0.5">
      <c r="A168" s="13"/>
      <c r="B168" s="233"/>
      <c r="C168" s="200"/>
      <c r="D168" s="12">
        <v>0</v>
      </c>
      <c r="E168" s="11">
        <v>0</v>
      </c>
      <c r="F168" s="11">
        <v>0</v>
      </c>
      <c r="G168" s="11">
        <v>0</v>
      </c>
      <c r="H168" s="11">
        <v>0</v>
      </c>
      <c r="I168" s="97">
        <v>1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85"/>
      <c r="Q168" s="190"/>
      <c r="R168" s="175"/>
    </row>
    <row r="169" spans="1:18" x14ac:dyDescent="0.45">
      <c r="A169" s="13"/>
      <c r="B169" s="227" t="s">
        <v>8</v>
      </c>
      <c r="C169" s="199" t="s">
        <v>5</v>
      </c>
      <c r="D169" s="15" t="s">
        <v>1</v>
      </c>
      <c r="E169" s="14" t="s">
        <v>1</v>
      </c>
      <c r="F169" s="14" t="s">
        <v>1</v>
      </c>
      <c r="G169" s="14" t="s">
        <v>1</v>
      </c>
      <c r="H169" s="14" t="s">
        <v>1</v>
      </c>
      <c r="I169" s="224" t="s">
        <v>7</v>
      </c>
      <c r="J169" s="225"/>
      <c r="K169" s="225"/>
      <c r="L169" s="225"/>
      <c r="M169" s="225"/>
      <c r="N169" s="225"/>
      <c r="O169" s="226"/>
      <c r="P169" s="184" cm="1">
        <f t="array" ref="P169">SUMPRODUCT($D170:$O170, 2^(COLUMN($O170)-COLUMN($D170:$O170)))</f>
        <v>64</v>
      </c>
      <c r="Q169" s="189" t="str">
        <f>"0x"&amp;DEC2HEX($P169, 3)</f>
        <v>0x040</v>
      </c>
      <c r="R169" s="174"/>
    </row>
    <row r="170" spans="1:18" ht="16.5" thickBot="1" x14ac:dyDescent="0.5">
      <c r="A170" s="13"/>
      <c r="B170" s="233"/>
      <c r="C170" s="200"/>
      <c r="D170" s="12">
        <v>0</v>
      </c>
      <c r="E170" s="11">
        <v>0</v>
      </c>
      <c r="F170" s="11">
        <v>0</v>
      </c>
      <c r="G170" s="11">
        <v>0</v>
      </c>
      <c r="H170" s="11">
        <v>0</v>
      </c>
      <c r="I170" s="97">
        <v>1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85"/>
      <c r="Q170" s="190"/>
      <c r="R170" s="175"/>
    </row>
    <row r="171" spans="1:18" x14ac:dyDescent="0.45">
      <c r="A171" s="13"/>
      <c r="B171" s="227" t="s">
        <v>6</v>
      </c>
      <c r="C171" s="199" t="s">
        <v>5</v>
      </c>
      <c r="D171" s="15" t="s">
        <v>1</v>
      </c>
      <c r="E171" s="14" t="s">
        <v>1</v>
      </c>
      <c r="F171" s="14" t="s">
        <v>1</v>
      </c>
      <c r="G171" s="14" t="s">
        <v>1</v>
      </c>
      <c r="H171" s="14" t="s">
        <v>1</v>
      </c>
      <c r="I171" s="224" t="s">
        <v>4</v>
      </c>
      <c r="J171" s="225"/>
      <c r="K171" s="225"/>
      <c r="L171" s="225"/>
      <c r="M171" s="225"/>
      <c r="N171" s="225"/>
      <c r="O171" s="226"/>
      <c r="P171" s="184" cm="1">
        <f t="array" ref="P171">SUMPRODUCT($D172:$O172, 2^(COLUMN($O172)-COLUMN($D172:$O172)))</f>
        <v>64</v>
      </c>
      <c r="Q171" s="189" t="str">
        <f>"0x"&amp;DEC2HEX($P171, 3)</f>
        <v>0x040</v>
      </c>
      <c r="R171" s="174"/>
    </row>
    <row r="172" spans="1:18" ht="16.5" thickBot="1" x14ac:dyDescent="0.5">
      <c r="A172" s="13"/>
      <c r="B172" s="228"/>
      <c r="C172" s="200"/>
      <c r="D172" s="12">
        <v>0</v>
      </c>
      <c r="E172" s="11">
        <v>0</v>
      </c>
      <c r="F172" s="11">
        <v>0</v>
      </c>
      <c r="G172" s="11">
        <v>0</v>
      </c>
      <c r="H172" s="11">
        <v>0</v>
      </c>
      <c r="I172" s="97">
        <v>1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85"/>
      <c r="Q172" s="190"/>
      <c r="R172" s="175"/>
    </row>
    <row r="173" spans="1:18" ht="16.5" thickBot="1" x14ac:dyDescent="0.5">
      <c r="A173" s="9"/>
      <c r="B173" s="8" t="s">
        <v>3</v>
      </c>
      <c r="C173" s="7" t="s">
        <v>2</v>
      </c>
      <c r="D173" s="6" t="s">
        <v>1</v>
      </c>
      <c r="E173" s="5" t="s">
        <v>1</v>
      </c>
      <c r="F173" s="5" t="s">
        <v>1</v>
      </c>
      <c r="G173" s="5" t="s">
        <v>1</v>
      </c>
      <c r="H173" s="234" t="s">
        <v>0</v>
      </c>
      <c r="I173" s="235"/>
      <c r="J173" s="235"/>
      <c r="K173" s="235"/>
      <c r="L173" s="235"/>
      <c r="M173" s="235"/>
      <c r="N173" s="235"/>
      <c r="O173" s="236"/>
      <c r="P173" s="4"/>
      <c r="Q173" s="3"/>
      <c r="R173" s="2"/>
    </row>
  </sheetData>
  <mergeCells count="577">
    <mergeCell ref="B153:B154"/>
    <mergeCell ref="C153:C154"/>
    <mergeCell ref="B155:B156"/>
    <mergeCell ref="C155:C156"/>
    <mergeCell ref="B157:B158"/>
    <mergeCell ref="C157:C158"/>
    <mergeCell ref="B159:B160"/>
    <mergeCell ref="C159:C160"/>
    <mergeCell ref="B151:B152"/>
    <mergeCell ref="C151:C152"/>
    <mergeCell ref="B161:B162"/>
    <mergeCell ref="C161:C162"/>
    <mergeCell ref="B163:B164"/>
    <mergeCell ref="C163:C164"/>
    <mergeCell ref="B171:B172"/>
    <mergeCell ref="C171:C172"/>
    <mergeCell ref="B165:B166"/>
    <mergeCell ref="C165:C166"/>
    <mergeCell ref="B167:B168"/>
    <mergeCell ref="C167:C168"/>
    <mergeCell ref="B169:B170"/>
    <mergeCell ref="C169:C170"/>
    <mergeCell ref="B135:B136"/>
    <mergeCell ref="C135:C136"/>
    <mergeCell ref="B137:B138"/>
    <mergeCell ref="C137:C138"/>
    <mergeCell ref="B139:B140"/>
    <mergeCell ref="C139:C140"/>
    <mergeCell ref="B141:B142"/>
    <mergeCell ref="C141:C142"/>
    <mergeCell ref="C149:C150"/>
    <mergeCell ref="B143:B144"/>
    <mergeCell ref="C143:C144"/>
    <mergeCell ref="B145:B146"/>
    <mergeCell ref="C145:C146"/>
    <mergeCell ref="B147:B148"/>
    <mergeCell ref="C147:C148"/>
    <mergeCell ref="B149:B150"/>
    <mergeCell ref="R125:R126"/>
    <mergeCell ref="R127:R128"/>
    <mergeCell ref="R123:R124"/>
    <mergeCell ref="C113:C114"/>
    <mergeCell ref="R113:R114"/>
    <mergeCell ref="C115:C116"/>
    <mergeCell ref="C117:C118"/>
    <mergeCell ref="C119:C120"/>
    <mergeCell ref="C121:C122"/>
    <mergeCell ref="R117:R118"/>
    <mergeCell ref="R119:R120"/>
    <mergeCell ref="R121:R122"/>
    <mergeCell ref="H113:O113"/>
    <mergeCell ref="H123:K123"/>
    <mergeCell ref="Q155:Q156"/>
    <mergeCell ref="P157:P158"/>
    <mergeCell ref="Q157:Q158"/>
    <mergeCell ref="P159:P160"/>
    <mergeCell ref="Q159:Q160"/>
    <mergeCell ref="Q149:Q150"/>
    <mergeCell ref="P151:P152"/>
    <mergeCell ref="Q151:Q152"/>
    <mergeCell ref="P153:P154"/>
    <mergeCell ref="Q153:Q154"/>
    <mergeCell ref="Q167:Q168"/>
    <mergeCell ref="P169:P170"/>
    <mergeCell ref="Q169:Q170"/>
    <mergeCell ref="P171:P172"/>
    <mergeCell ref="Q171:Q172"/>
    <mergeCell ref="Q161:Q162"/>
    <mergeCell ref="P163:P164"/>
    <mergeCell ref="Q163:Q164"/>
    <mergeCell ref="P165:P166"/>
    <mergeCell ref="Q165:Q166"/>
    <mergeCell ref="P141:P142"/>
    <mergeCell ref="Q141:Q142"/>
    <mergeCell ref="B115:B116"/>
    <mergeCell ref="B117:B118"/>
    <mergeCell ref="B119:B120"/>
    <mergeCell ref="B121:B122"/>
    <mergeCell ref="B129:B130"/>
    <mergeCell ref="C123:C124"/>
    <mergeCell ref="C125:C126"/>
    <mergeCell ref="C127:C128"/>
    <mergeCell ref="K121:O121"/>
    <mergeCell ref="F115:J115"/>
    <mergeCell ref="K115:O115"/>
    <mergeCell ref="F117:J117"/>
    <mergeCell ref="K117:O117"/>
    <mergeCell ref="D119:G119"/>
    <mergeCell ref="L123:O123"/>
    <mergeCell ref="G125:O125"/>
    <mergeCell ref="G127:O127"/>
    <mergeCell ref="C129:C130"/>
    <mergeCell ref="B131:B132"/>
    <mergeCell ref="C131:C132"/>
    <mergeCell ref="B133:B134"/>
    <mergeCell ref="C133:C134"/>
    <mergeCell ref="Q139:Q140"/>
    <mergeCell ref="Q121:Q122"/>
    <mergeCell ref="P123:P124"/>
    <mergeCell ref="Q123:Q124"/>
    <mergeCell ref="P125:P126"/>
    <mergeCell ref="Q125:Q126"/>
    <mergeCell ref="P127:P128"/>
    <mergeCell ref="Q127:Q128"/>
    <mergeCell ref="P129:P130"/>
    <mergeCell ref="Q129:Q130"/>
    <mergeCell ref="H173:O173"/>
    <mergeCell ref="P113:P114"/>
    <mergeCell ref="Q113:Q114"/>
    <mergeCell ref="P115:P116"/>
    <mergeCell ref="Q115:Q116"/>
    <mergeCell ref="P117:P118"/>
    <mergeCell ref="Q117:Q118"/>
    <mergeCell ref="P119:P120"/>
    <mergeCell ref="Q119:Q120"/>
    <mergeCell ref="P121:P122"/>
    <mergeCell ref="G141:O141"/>
    <mergeCell ref="G143:O143"/>
    <mergeCell ref="G145:O145"/>
    <mergeCell ref="G147:O147"/>
    <mergeCell ref="I149:O149"/>
    <mergeCell ref="I171:O171"/>
    <mergeCell ref="P167:P168"/>
    <mergeCell ref="I151:O151"/>
    <mergeCell ref="I153:O153"/>
    <mergeCell ref="I155:O155"/>
    <mergeCell ref="I157:O157"/>
    <mergeCell ref="I159:O159"/>
    <mergeCell ref="I161:O161"/>
    <mergeCell ref="I163:O163"/>
    <mergeCell ref="I165:O165"/>
    <mergeCell ref="I167:O167"/>
    <mergeCell ref="I169:O169"/>
    <mergeCell ref="P137:P138"/>
    <mergeCell ref="P143:P144"/>
    <mergeCell ref="P149:P150"/>
    <mergeCell ref="P155:P156"/>
    <mergeCell ref="P161:P162"/>
    <mergeCell ref="Q131:Q132"/>
    <mergeCell ref="P133:P134"/>
    <mergeCell ref="Q133:Q134"/>
    <mergeCell ref="P135:P136"/>
    <mergeCell ref="Q135:Q136"/>
    <mergeCell ref="G137:O137"/>
    <mergeCell ref="G139:O139"/>
    <mergeCell ref="G133:O133"/>
    <mergeCell ref="G135:O135"/>
    <mergeCell ref="Q143:Q144"/>
    <mergeCell ref="P145:P146"/>
    <mergeCell ref="Q145:Q146"/>
    <mergeCell ref="P147:P148"/>
    <mergeCell ref="Q147:Q148"/>
    <mergeCell ref="Q137:Q138"/>
    <mergeCell ref="P139:P140"/>
    <mergeCell ref="Q110:Q111"/>
    <mergeCell ref="A110:A111"/>
    <mergeCell ref="B110:B111"/>
    <mergeCell ref="C110:C111"/>
    <mergeCell ref="D110:O110"/>
    <mergeCell ref="P110:P111"/>
    <mergeCell ref="G129:O129"/>
    <mergeCell ref="P131:P132"/>
    <mergeCell ref="B106:B107"/>
    <mergeCell ref="C106:C107"/>
    <mergeCell ref="L106:O106"/>
    <mergeCell ref="P106:P107"/>
    <mergeCell ref="G131:O131"/>
    <mergeCell ref="B113:B114"/>
    <mergeCell ref="K119:O119"/>
    <mergeCell ref="D121:H121"/>
    <mergeCell ref="B123:B124"/>
    <mergeCell ref="B125:B126"/>
    <mergeCell ref="B127:B128"/>
    <mergeCell ref="C102:C103"/>
    <mergeCell ref="P102:P103"/>
    <mergeCell ref="Q106:Q107"/>
    <mergeCell ref="J106:K106"/>
    <mergeCell ref="A108:A109"/>
    <mergeCell ref="B108:B109"/>
    <mergeCell ref="C108:C109"/>
    <mergeCell ref="P108:P109"/>
    <mergeCell ref="Q108:Q109"/>
    <mergeCell ref="A106:A107"/>
    <mergeCell ref="Q102:Q103"/>
    <mergeCell ref="L102:O102"/>
    <mergeCell ref="A104:A105"/>
    <mergeCell ref="B104:B105"/>
    <mergeCell ref="C104:C105"/>
    <mergeCell ref="P104:P105"/>
    <mergeCell ref="Q104:Q105"/>
    <mergeCell ref="D104:O104"/>
    <mergeCell ref="A102:A103"/>
    <mergeCell ref="B102:B103"/>
    <mergeCell ref="A87:A88"/>
    <mergeCell ref="B87:B88"/>
    <mergeCell ref="C87:C88"/>
    <mergeCell ref="C98:C99"/>
    <mergeCell ref="P98:P99"/>
    <mergeCell ref="Q98:Q99"/>
    <mergeCell ref="H98:I98"/>
    <mergeCell ref="P91:P92"/>
    <mergeCell ref="A98:A99"/>
    <mergeCell ref="B98:B99"/>
    <mergeCell ref="C95:C96"/>
    <mergeCell ref="D95:O95"/>
    <mergeCell ref="P95:P96"/>
    <mergeCell ref="Q95:Q96"/>
    <mergeCell ref="A93:A94"/>
    <mergeCell ref="B93:B94"/>
    <mergeCell ref="C93:C94"/>
    <mergeCell ref="B55:B56"/>
    <mergeCell ref="C55:C56"/>
    <mergeCell ref="A89:A90"/>
    <mergeCell ref="B89:B90"/>
    <mergeCell ref="C89:C90"/>
    <mergeCell ref="P89:P90"/>
    <mergeCell ref="K55:O55"/>
    <mergeCell ref="Q91:Q92"/>
    <mergeCell ref="D91:O91"/>
    <mergeCell ref="P55:P56"/>
    <mergeCell ref="Q55:Q56"/>
    <mergeCell ref="A57:A58"/>
    <mergeCell ref="B57:B58"/>
    <mergeCell ref="C57:C58"/>
    <mergeCell ref="P57:P58"/>
    <mergeCell ref="Q57:Q58"/>
    <mergeCell ref="A55:A56"/>
    <mergeCell ref="B83:B84"/>
    <mergeCell ref="C83:C84"/>
    <mergeCell ref="D83:O83"/>
    <mergeCell ref="P83:P84"/>
    <mergeCell ref="A91:A92"/>
    <mergeCell ref="B91:B92"/>
    <mergeCell ref="C91:C92"/>
    <mergeCell ref="A79:A80"/>
    <mergeCell ref="B79:B80"/>
    <mergeCell ref="C79:C80"/>
    <mergeCell ref="P79:P80"/>
    <mergeCell ref="Q79:Q80"/>
    <mergeCell ref="A77:A78"/>
    <mergeCell ref="B77:B78"/>
    <mergeCell ref="C77:C78"/>
    <mergeCell ref="P77:P78"/>
    <mergeCell ref="Q77:Q78"/>
    <mergeCell ref="A83:A84"/>
    <mergeCell ref="A85:A86"/>
    <mergeCell ref="P81:P82"/>
    <mergeCell ref="Q81:Q82"/>
    <mergeCell ref="N81:O81"/>
    <mergeCell ref="L81:M81"/>
    <mergeCell ref="A81:A82"/>
    <mergeCell ref="B81:B82"/>
    <mergeCell ref="C81:C82"/>
    <mergeCell ref="B85:B86"/>
    <mergeCell ref="C85:C86"/>
    <mergeCell ref="P85:P86"/>
    <mergeCell ref="Q85:Q86"/>
    <mergeCell ref="J85:K85"/>
    <mergeCell ref="L85:O85"/>
    <mergeCell ref="J81:K81"/>
    <mergeCell ref="Q83:Q84"/>
    <mergeCell ref="D71:O71"/>
    <mergeCell ref="B69:B70"/>
    <mergeCell ref="C69:C70"/>
    <mergeCell ref="P69:P70"/>
    <mergeCell ref="Q73:Q74"/>
    <mergeCell ref="E73:F73"/>
    <mergeCell ref="H73:O73"/>
    <mergeCell ref="A75:A76"/>
    <mergeCell ref="B75:B76"/>
    <mergeCell ref="C75:C76"/>
    <mergeCell ref="P75:P76"/>
    <mergeCell ref="Q75:Q76"/>
    <mergeCell ref="D75:O75"/>
    <mergeCell ref="F65:O65"/>
    <mergeCell ref="P65:P66"/>
    <mergeCell ref="A71:A72"/>
    <mergeCell ref="A73:A74"/>
    <mergeCell ref="B73:B74"/>
    <mergeCell ref="C73:C74"/>
    <mergeCell ref="P73:P74"/>
    <mergeCell ref="A69:A70"/>
    <mergeCell ref="Q65:Q66"/>
    <mergeCell ref="A67:A68"/>
    <mergeCell ref="B67:B68"/>
    <mergeCell ref="C67:C68"/>
    <mergeCell ref="F67:O67"/>
    <mergeCell ref="P67:P68"/>
    <mergeCell ref="Q67:Q68"/>
    <mergeCell ref="A65:A66"/>
    <mergeCell ref="B65:B66"/>
    <mergeCell ref="C65:C66"/>
    <mergeCell ref="Q69:Q70"/>
    <mergeCell ref="E69:O69"/>
    <mergeCell ref="B71:B72"/>
    <mergeCell ref="C71:C72"/>
    <mergeCell ref="P71:P72"/>
    <mergeCell ref="Q71:Q72"/>
    <mergeCell ref="A63:A64"/>
    <mergeCell ref="B63:B64"/>
    <mergeCell ref="C63:C64"/>
    <mergeCell ref="P63:P64"/>
    <mergeCell ref="Q63:Q64"/>
    <mergeCell ref="F63:O63"/>
    <mergeCell ref="A61:A62"/>
    <mergeCell ref="B61:B62"/>
    <mergeCell ref="Q53:Q54"/>
    <mergeCell ref="A53:A54"/>
    <mergeCell ref="B53:B54"/>
    <mergeCell ref="C53:C54"/>
    <mergeCell ref="P53:P54"/>
    <mergeCell ref="C61:C62"/>
    <mergeCell ref="P61:P62"/>
    <mergeCell ref="Q61:Q62"/>
    <mergeCell ref="G61:O61"/>
    <mergeCell ref="A59:A60"/>
    <mergeCell ref="B59:B60"/>
    <mergeCell ref="C59:C60"/>
    <mergeCell ref="J59:O59"/>
    <mergeCell ref="P59:P60"/>
    <mergeCell ref="Q59:Q60"/>
    <mergeCell ref="D59:I59"/>
    <mergeCell ref="A51:A52"/>
    <mergeCell ref="B51:B52"/>
    <mergeCell ref="C51:C52"/>
    <mergeCell ref="P51:P52"/>
    <mergeCell ref="Q51:Q52"/>
    <mergeCell ref="F51:G51"/>
    <mergeCell ref="C47:C48"/>
    <mergeCell ref="F47:J47"/>
    <mergeCell ref="K47:O47"/>
    <mergeCell ref="P47:P48"/>
    <mergeCell ref="P49:P50"/>
    <mergeCell ref="Q49:Q50"/>
    <mergeCell ref="B47:B48"/>
    <mergeCell ref="B45:B46"/>
    <mergeCell ref="C45:C46"/>
    <mergeCell ref="F45:J45"/>
    <mergeCell ref="K45:O45"/>
    <mergeCell ref="P45:P46"/>
    <mergeCell ref="Q45:Q46"/>
    <mergeCell ref="B43:B44"/>
    <mergeCell ref="C43:C44"/>
    <mergeCell ref="F43:J43"/>
    <mergeCell ref="A45:A46"/>
    <mergeCell ref="A47:A48"/>
    <mergeCell ref="A49:A50"/>
    <mergeCell ref="A39:A40"/>
    <mergeCell ref="B39:B40"/>
    <mergeCell ref="C39:C40"/>
    <mergeCell ref="K39:O39"/>
    <mergeCell ref="P39:P40"/>
    <mergeCell ref="Q39:Q40"/>
    <mergeCell ref="F39:J39"/>
    <mergeCell ref="A41:A42"/>
    <mergeCell ref="B41:B42"/>
    <mergeCell ref="C41:C42"/>
    <mergeCell ref="F41:J41"/>
    <mergeCell ref="K41:O41"/>
    <mergeCell ref="P41:P42"/>
    <mergeCell ref="Q41:Q42"/>
    <mergeCell ref="K43:O43"/>
    <mergeCell ref="P43:P44"/>
    <mergeCell ref="Q47:Q48"/>
    <mergeCell ref="B49:B50"/>
    <mergeCell ref="C49:C50"/>
    <mergeCell ref="F49:J49"/>
    <mergeCell ref="K49:O49"/>
    <mergeCell ref="A33:A34"/>
    <mergeCell ref="B33:B34"/>
    <mergeCell ref="C33:C34"/>
    <mergeCell ref="D33:O33"/>
    <mergeCell ref="P33:P34"/>
    <mergeCell ref="Q33:Q34"/>
    <mergeCell ref="D35:O35"/>
    <mergeCell ref="P35:P36"/>
    <mergeCell ref="A43:A44"/>
    <mergeCell ref="Q35:Q36"/>
    <mergeCell ref="A37:A38"/>
    <mergeCell ref="B37:B38"/>
    <mergeCell ref="C37:C38"/>
    <mergeCell ref="P37:P38"/>
    <mergeCell ref="Q37:Q38"/>
    <mergeCell ref="A35:A36"/>
    <mergeCell ref="B35:B36"/>
    <mergeCell ref="C35:C36"/>
    <mergeCell ref="Q43:Q44"/>
    <mergeCell ref="A27:A28"/>
    <mergeCell ref="B27:B28"/>
    <mergeCell ref="C27:C28"/>
    <mergeCell ref="P27:P28"/>
    <mergeCell ref="Q27:Q28"/>
    <mergeCell ref="P31:P32"/>
    <mergeCell ref="Q31:Q32"/>
    <mergeCell ref="D31:O31"/>
    <mergeCell ref="A31:A32"/>
    <mergeCell ref="B31:B32"/>
    <mergeCell ref="A29:A30"/>
    <mergeCell ref="B29:B30"/>
    <mergeCell ref="C29:C30"/>
    <mergeCell ref="P29:P30"/>
    <mergeCell ref="Q29:Q30"/>
    <mergeCell ref="L29:O29"/>
    <mergeCell ref="H29:K29"/>
    <mergeCell ref="D29:G29"/>
    <mergeCell ref="C31:C32"/>
    <mergeCell ref="Q21:Q22"/>
    <mergeCell ref="A19:A20"/>
    <mergeCell ref="B19:B20"/>
    <mergeCell ref="C19:C20"/>
    <mergeCell ref="G19:I19"/>
    <mergeCell ref="J19:L19"/>
    <mergeCell ref="A25:A26"/>
    <mergeCell ref="B25:B26"/>
    <mergeCell ref="C25:C26"/>
    <mergeCell ref="P25:P26"/>
    <mergeCell ref="Q25:Q26"/>
    <mergeCell ref="A23:A24"/>
    <mergeCell ref="B23:B24"/>
    <mergeCell ref="C23:C24"/>
    <mergeCell ref="P23:P24"/>
    <mergeCell ref="Q23:Q24"/>
    <mergeCell ref="P13:P14"/>
    <mergeCell ref="M19:O19"/>
    <mergeCell ref="P19:P20"/>
    <mergeCell ref="A17:A18"/>
    <mergeCell ref="B17:B18"/>
    <mergeCell ref="C17:C18"/>
    <mergeCell ref="P17:P18"/>
    <mergeCell ref="A21:A22"/>
    <mergeCell ref="B21:B22"/>
    <mergeCell ref="C21:C22"/>
    <mergeCell ref="P21:P22"/>
    <mergeCell ref="P3:P4"/>
    <mergeCell ref="Q3:Q4"/>
    <mergeCell ref="A3:A4"/>
    <mergeCell ref="B3:B4"/>
    <mergeCell ref="C3:C4"/>
    <mergeCell ref="K3:O3"/>
    <mergeCell ref="Q17:Q18"/>
    <mergeCell ref="M17:O17"/>
    <mergeCell ref="J17:L17"/>
    <mergeCell ref="G17:I17"/>
    <mergeCell ref="G15:H15"/>
    <mergeCell ref="A11:A12"/>
    <mergeCell ref="B11:B12"/>
    <mergeCell ref="C11:C12"/>
    <mergeCell ref="P11:P12"/>
    <mergeCell ref="Q11:Q12"/>
    <mergeCell ref="D11:G11"/>
    <mergeCell ref="H11:O11"/>
    <mergeCell ref="Q13:Q14"/>
    <mergeCell ref="A15:A16"/>
    <mergeCell ref="B15:B16"/>
    <mergeCell ref="C15:C16"/>
    <mergeCell ref="P15:P16"/>
    <mergeCell ref="Q15:Q16"/>
    <mergeCell ref="P7:P8"/>
    <mergeCell ref="Q7:Q8"/>
    <mergeCell ref="J7:O7"/>
    <mergeCell ref="P5:P6"/>
    <mergeCell ref="Q5:Q6"/>
    <mergeCell ref="Q9:Q10"/>
    <mergeCell ref="Q19:Q20"/>
    <mergeCell ref="A5:A6"/>
    <mergeCell ref="B5:B6"/>
    <mergeCell ref="C5:C6"/>
    <mergeCell ref="D5:I5"/>
    <mergeCell ref="A7:A8"/>
    <mergeCell ref="B7:B8"/>
    <mergeCell ref="C7:C8"/>
    <mergeCell ref="E15:F15"/>
    <mergeCell ref="B9:B10"/>
    <mergeCell ref="C9:C10"/>
    <mergeCell ref="P9:P10"/>
    <mergeCell ref="D9:G9"/>
    <mergeCell ref="H9:O9"/>
    <mergeCell ref="A9:A10"/>
    <mergeCell ref="A13:A14"/>
    <mergeCell ref="B13:B14"/>
    <mergeCell ref="C13:C14"/>
    <mergeCell ref="R33:R34"/>
    <mergeCell ref="R35:R36"/>
    <mergeCell ref="R37:R38"/>
    <mergeCell ref="R3:R4"/>
    <mergeCell ref="R5:R6"/>
    <mergeCell ref="R7:R8"/>
    <mergeCell ref="R9:R10"/>
    <mergeCell ref="R11:R12"/>
    <mergeCell ref="R13:R14"/>
    <mergeCell ref="R15:R16"/>
    <mergeCell ref="R21:R22"/>
    <mergeCell ref="R23:R24"/>
    <mergeCell ref="R25:R26"/>
    <mergeCell ref="R27:R28"/>
    <mergeCell ref="R29:R30"/>
    <mergeCell ref="R31:R32"/>
    <mergeCell ref="R17:R18"/>
    <mergeCell ref="R19:R20"/>
    <mergeCell ref="R73:R74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R65:R66"/>
    <mergeCell ref="R67:R68"/>
    <mergeCell ref="R69:R70"/>
    <mergeCell ref="R71:R72"/>
    <mergeCell ref="R102:R103"/>
    <mergeCell ref="R104:R105"/>
    <mergeCell ref="R106:R107"/>
    <mergeCell ref="R108:R109"/>
    <mergeCell ref="R110:R111"/>
    <mergeCell ref="R87:R88"/>
    <mergeCell ref="R89:R90"/>
    <mergeCell ref="R91:R92"/>
    <mergeCell ref="R93:R94"/>
    <mergeCell ref="R95:R96"/>
    <mergeCell ref="R98:R99"/>
    <mergeCell ref="A97:R97"/>
    <mergeCell ref="Q93:Q94"/>
    <mergeCell ref="A95:A96"/>
    <mergeCell ref="B95:B96"/>
    <mergeCell ref="P87:P88"/>
    <mergeCell ref="Q87:Q88"/>
    <mergeCell ref="I87:K87"/>
    <mergeCell ref="M87:O87"/>
    <mergeCell ref="A100:A101"/>
    <mergeCell ref="B100:B101"/>
    <mergeCell ref="C100:C101"/>
    <mergeCell ref="K100:O100"/>
    <mergeCell ref="P100:P101"/>
    <mergeCell ref="R75:R76"/>
    <mergeCell ref="R77:R78"/>
    <mergeCell ref="R79:R80"/>
    <mergeCell ref="R81:R82"/>
    <mergeCell ref="R83:R84"/>
    <mergeCell ref="R85:R86"/>
    <mergeCell ref="D93:O93"/>
    <mergeCell ref="P93:P94"/>
    <mergeCell ref="R100:R101"/>
    <mergeCell ref="D77:I77"/>
    <mergeCell ref="Q100:Q101"/>
    <mergeCell ref="Q89:Q90"/>
    <mergeCell ref="R165:R166"/>
    <mergeCell ref="R167:R168"/>
    <mergeCell ref="R169:R170"/>
    <mergeCell ref="R171:R172"/>
    <mergeCell ref="A112:R112"/>
    <mergeCell ref="R147:R148"/>
    <mergeCell ref="R149:R150"/>
    <mergeCell ref="R151:R152"/>
    <mergeCell ref="R153:R154"/>
    <mergeCell ref="R155:R156"/>
    <mergeCell ref="R157:R158"/>
    <mergeCell ref="R159:R160"/>
    <mergeCell ref="R161:R162"/>
    <mergeCell ref="R163:R164"/>
    <mergeCell ref="R129:R130"/>
    <mergeCell ref="R131:R132"/>
    <mergeCell ref="R133:R134"/>
    <mergeCell ref="R135:R136"/>
    <mergeCell ref="R137:R138"/>
    <mergeCell ref="R139:R140"/>
    <mergeCell ref="R141:R142"/>
    <mergeCell ref="R143:R144"/>
    <mergeCell ref="R145:R146"/>
    <mergeCell ref="R115:R116"/>
  </mergeCells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EA921-AC40-4072-924C-7D127A1BAFFC}">
  <sheetPr codeName="Sheet8"/>
  <dimension ref="A1:R35"/>
  <sheetViews>
    <sheetView showGridLines="0" tabSelected="1" zoomScale="70" zoomScaleNormal="70" workbookViewId="0">
      <pane ySplit="2" topLeftCell="A3" activePane="bottomLeft" state="frozen"/>
      <selection pane="bottomLeft" activeCell="O45" sqref="O45"/>
    </sheetView>
  </sheetViews>
  <sheetFormatPr defaultColWidth="8.83203125" defaultRowHeight="16" x14ac:dyDescent="0.45"/>
  <cols>
    <col min="1" max="1" width="28.08203125" style="1" customWidth="1"/>
    <col min="2" max="3" width="7.6640625" style="1" customWidth="1"/>
    <col min="4" max="15" width="11.58203125" style="1" customWidth="1"/>
    <col min="16" max="17" width="7.6640625" style="1" customWidth="1"/>
    <col min="18" max="18" width="15" style="1" customWidth="1"/>
    <col min="19" max="16384" width="8.83203125" style="1"/>
  </cols>
  <sheetData>
    <row r="1" spans="1:18" ht="16.5" thickBot="1" x14ac:dyDescent="0.5"/>
    <row r="2" spans="1:18" ht="16.5" thickBot="1" x14ac:dyDescent="0.5">
      <c r="A2" s="82" t="s">
        <v>376</v>
      </c>
      <c r="B2" s="78" t="s">
        <v>375</v>
      </c>
      <c r="C2" s="81" t="s">
        <v>374</v>
      </c>
      <c r="D2" s="80" t="s">
        <v>373</v>
      </c>
      <c r="E2" s="79" t="s">
        <v>372</v>
      </c>
      <c r="F2" s="79" t="s">
        <v>371</v>
      </c>
      <c r="G2" s="79" t="s">
        <v>370</v>
      </c>
      <c r="H2" s="79" t="s">
        <v>369</v>
      </c>
      <c r="I2" s="79" t="s">
        <v>368</v>
      </c>
      <c r="J2" s="79" t="s">
        <v>367</v>
      </c>
      <c r="K2" s="79" t="s">
        <v>366</v>
      </c>
      <c r="L2" s="79" t="s">
        <v>365</v>
      </c>
      <c r="M2" s="79" t="s">
        <v>364</v>
      </c>
      <c r="N2" s="79" t="s">
        <v>363</v>
      </c>
      <c r="O2" s="62" t="s">
        <v>362</v>
      </c>
      <c r="P2" s="78" t="s">
        <v>361</v>
      </c>
      <c r="Q2" s="62" t="s">
        <v>360</v>
      </c>
      <c r="R2" s="62" t="s">
        <v>359</v>
      </c>
    </row>
    <row r="3" spans="1:18" ht="17.5" customHeight="1" thickBot="1" x14ac:dyDescent="0.5">
      <c r="A3" s="249" t="s">
        <v>378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1"/>
    </row>
    <row r="4" spans="1:18" ht="17.5" customHeight="1" x14ac:dyDescent="0.45">
      <c r="A4" s="194" t="s">
        <v>358</v>
      </c>
      <c r="B4" s="196" t="s">
        <v>71</v>
      </c>
      <c r="C4" s="207" t="s">
        <v>357</v>
      </c>
      <c r="D4" s="39" t="s">
        <v>356</v>
      </c>
      <c r="E4" s="32" t="s">
        <v>355</v>
      </c>
      <c r="F4" s="32" t="s">
        <v>354</v>
      </c>
      <c r="G4" s="32" t="s">
        <v>353</v>
      </c>
      <c r="H4" s="26" t="s">
        <v>1</v>
      </c>
      <c r="I4" s="26" t="s">
        <v>1</v>
      </c>
      <c r="J4" s="26" t="s">
        <v>1</v>
      </c>
      <c r="K4" s="201" t="s">
        <v>352</v>
      </c>
      <c r="L4" s="201"/>
      <c r="M4" s="201"/>
      <c r="N4" s="201"/>
      <c r="O4" s="198"/>
      <c r="P4" s="203" cm="1">
        <f t="array" ref="P4">SUMPRODUCT($D5:$O5, 2^(COLUMN($O5)-COLUMN($D5:$O5)))</f>
        <v>2048</v>
      </c>
      <c r="Q4" s="247" t="str">
        <f>"0x"&amp;DEC2HEX($P4, 3)</f>
        <v>0x800</v>
      </c>
      <c r="R4" s="174"/>
    </row>
    <row r="5" spans="1:18" ht="17" customHeight="1" thickBot="1" x14ac:dyDescent="0.5">
      <c r="A5" s="206"/>
      <c r="B5" s="197"/>
      <c r="C5" s="200"/>
      <c r="D5" s="76">
        <v>1</v>
      </c>
      <c r="E5" s="44">
        <v>0</v>
      </c>
      <c r="F5" s="44">
        <v>0</v>
      </c>
      <c r="G5" s="44">
        <v>0</v>
      </c>
      <c r="H5" s="45">
        <v>0</v>
      </c>
      <c r="I5" s="45">
        <v>0</v>
      </c>
      <c r="J5" s="45">
        <v>0</v>
      </c>
      <c r="K5" s="44">
        <v>0</v>
      </c>
      <c r="L5" s="44">
        <v>0</v>
      </c>
      <c r="M5" s="44">
        <v>0</v>
      </c>
      <c r="N5" s="44">
        <v>0</v>
      </c>
      <c r="O5" s="54">
        <v>0</v>
      </c>
      <c r="P5" s="204"/>
      <c r="Q5" s="248"/>
      <c r="R5" s="175"/>
    </row>
    <row r="6" spans="1:18" ht="17" customHeight="1" x14ac:dyDescent="0.45">
      <c r="A6" s="194" t="s">
        <v>321</v>
      </c>
      <c r="B6" s="196" t="s">
        <v>52</v>
      </c>
      <c r="C6" s="199" t="s">
        <v>320</v>
      </c>
      <c r="D6" s="42" t="s">
        <v>1</v>
      </c>
      <c r="E6" s="198" t="s">
        <v>319</v>
      </c>
      <c r="F6" s="186"/>
      <c r="G6" s="198" t="s">
        <v>318</v>
      </c>
      <c r="H6" s="186"/>
      <c r="I6" s="32" t="s">
        <v>317</v>
      </c>
      <c r="J6" s="32" t="s">
        <v>316</v>
      </c>
      <c r="K6" s="32" t="s">
        <v>315</v>
      </c>
      <c r="L6" s="32" t="s">
        <v>314</v>
      </c>
      <c r="M6" s="32" t="s">
        <v>313</v>
      </c>
      <c r="N6" s="32" t="s">
        <v>312</v>
      </c>
      <c r="O6" s="36" t="s">
        <v>311</v>
      </c>
      <c r="P6" s="184" cm="1">
        <f t="array" ref="P6">SUMPRODUCT($D7:$O7, 2^(COLUMN($O7)-COLUMN($D7:$O7)))</f>
        <v>255</v>
      </c>
      <c r="Q6" s="254" t="str">
        <f>"0x"&amp;DEC2HEX($P6, 3)</f>
        <v>0x0FF</v>
      </c>
      <c r="R6" s="174"/>
    </row>
    <row r="7" spans="1:18" ht="16.5" thickBot="1" x14ac:dyDescent="0.5">
      <c r="A7" s="195"/>
      <c r="B7" s="197"/>
      <c r="C7" s="200"/>
      <c r="D7" s="60">
        <v>0</v>
      </c>
      <c r="E7" s="44">
        <v>0</v>
      </c>
      <c r="F7" s="44">
        <v>0</v>
      </c>
      <c r="G7" s="44">
        <v>0</v>
      </c>
      <c r="H7" s="74">
        <v>1</v>
      </c>
      <c r="I7" s="74">
        <v>1</v>
      </c>
      <c r="J7" s="90">
        <v>1</v>
      </c>
      <c r="K7" s="90">
        <v>1</v>
      </c>
      <c r="L7" s="90">
        <v>1</v>
      </c>
      <c r="M7" s="90">
        <v>1</v>
      </c>
      <c r="N7" s="90">
        <v>1</v>
      </c>
      <c r="O7" s="91">
        <v>1</v>
      </c>
      <c r="P7" s="185"/>
      <c r="Q7" s="255"/>
      <c r="R7" s="175"/>
    </row>
    <row r="8" spans="1:18" ht="39" x14ac:dyDescent="0.45">
      <c r="A8" s="194" t="s">
        <v>215</v>
      </c>
      <c r="B8" s="196" t="s">
        <v>16</v>
      </c>
      <c r="C8" s="245" t="s">
        <v>2</v>
      </c>
      <c r="D8" s="40" t="s">
        <v>213</v>
      </c>
      <c r="E8" s="32" t="s">
        <v>212</v>
      </c>
      <c r="F8" s="198" t="s">
        <v>211</v>
      </c>
      <c r="G8" s="186"/>
      <c r="H8" s="32" t="s">
        <v>210</v>
      </c>
      <c r="I8" s="77" t="s">
        <v>377</v>
      </c>
      <c r="J8" s="25" t="s">
        <v>208</v>
      </c>
      <c r="K8" s="77" t="s">
        <v>207</v>
      </c>
      <c r="L8" s="38" t="s">
        <v>206</v>
      </c>
      <c r="M8" s="38" t="s">
        <v>205</v>
      </c>
      <c r="N8" s="38" t="s">
        <v>204</v>
      </c>
      <c r="O8" s="49" t="s">
        <v>203</v>
      </c>
      <c r="P8" s="184" cm="1">
        <f t="array" ref="P8">SUMPRODUCT($D9:$O9, 2^(COLUMN($O9)-COLUMN($D9:$O9)))</f>
        <v>4095</v>
      </c>
      <c r="Q8" s="252" t="str">
        <f>"0x"&amp;DEC2HEX($P8, 3)</f>
        <v>0xFFF</v>
      </c>
      <c r="R8" s="174"/>
    </row>
    <row r="9" spans="1:18" ht="16.5" thickBot="1" x14ac:dyDescent="0.5">
      <c r="A9" s="195"/>
      <c r="B9" s="197"/>
      <c r="C9" s="246"/>
      <c r="D9" s="69">
        <v>1</v>
      </c>
      <c r="E9" s="72">
        <v>1</v>
      </c>
      <c r="F9" s="92">
        <v>1</v>
      </c>
      <c r="G9" s="92">
        <v>1</v>
      </c>
      <c r="H9" s="72">
        <v>1</v>
      </c>
      <c r="I9" s="72">
        <v>1</v>
      </c>
      <c r="J9" s="72">
        <v>1</v>
      </c>
      <c r="K9" s="95">
        <v>1</v>
      </c>
      <c r="L9" s="92">
        <v>1</v>
      </c>
      <c r="M9" s="92">
        <v>1</v>
      </c>
      <c r="N9" s="92">
        <v>1</v>
      </c>
      <c r="O9" s="93">
        <v>1</v>
      </c>
      <c r="P9" s="185"/>
      <c r="Q9" s="253"/>
      <c r="R9" s="175"/>
    </row>
    <row r="10" spans="1:18" ht="17" customHeight="1" x14ac:dyDescent="0.45">
      <c r="A10" s="205" t="s">
        <v>173</v>
      </c>
      <c r="B10" s="196" t="s">
        <v>172</v>
      </c>
      <c r="C10" s="199" t="s">
        <v>2</v>
      </c>
      <c r="D10" s="181" t="s">
        <v>171</v>
      </c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3"/>
      <c r="P10" s="184" cm="1">
        <f t="array" ref="P10">SUMPRODUCT($D11:$O11, 2^(COLUMN($O11)-COLUMN($D11:$O11)))</f>
        <v>3533</v>
      </c>
      <c r="Q10" s="247" t="str">
        <f>"0x"&amp;DEC2HEX($P10, 3)</f>
        <v>0xDCD</v>
      </c>
      <c r="R10" s="174"/>
    </row>
    <row r="11" spans="1:18" ht="17.5" customHeight="1" thickBot="1" x14ac:dyDescent="0.5">
      <c r="A11" s="180"/>
      <c r="B11" s="197"/>
      <c r="C11" s="200"/>
      <c r="D11" s="75">
        <v>1</v>
      </c>
      <c r="E11" s="74">
        <v>1</v>
      </c>
      <c r="F11" s="44">
        <v>0</v>
      </c>
      <c r="G11" s="74">
        <v>1</v>
      </c>
      <c r="H11" s="74">
        <v>1</v>
      </c>
      <c r="I11" s="74">
        <v>1</v>
      </c>
      <c r="J11" s="44">
        <v>0</v>
      </c>
      <c r="K11" s="44">
        <v>0</v>
      </c>
      <c r="L11" s="74">
        <v>1</v>
      </c>
      <c r="M11" s="74">
        <v>1</v>
      </c>
      <c r="N11" s="44">
        <v>0</v>
      </c>
      <c r="O11" s="73">
        <v>1</v>
      </c>
      <c r="P11" s="185"/>
      <c r="Q11" s="248"/>
      <c r="R11" s="175"/>
    </row>
    <row r="12" spans="1:18" ht="26" x14ac:dyDescent="0.45">
      <c r="A12" s="194" t="s">
        <v>150</v>
      </c>
      <c r="B12" s="196" t="s">
        <v>152</v>
      </c>
      <c r="C12" s="199" t="s">
        <v>2</v>
      </c>
      <c r="D12" s="42" t="s">
        <v>1</v>
      </c>
      <c r="E12" s="26" t="s">
        <v>1</v>
      </c>
      <c r="F12" s="26" t="s">
        <v>1</v>
      </c>
      <c r="G12" s="26" t="s">
        <v>1</v>
      </c>
      <c r="H12" s="26" t="s">
        <v>1</v>
      </c>
      <c r="I12" s="26" t="s">
        <v>1</v>
      </c>
      <c r="J12" s="38" t="s">
        <v>150</v>
      </c>
      <c r="K12" s="38" t="s">
        <v>149</v>
      </c>
      <c r="L12" s="38" t="s">
        <v>148</v>
      </c>
      <c r="M12" s="38" t="s">
        <v>147</v>
      </c>
      <c r="N12" s="38" t="s">
        <v>146</v>
      </c>
      <c r="O12" s="49" t="s">
        <v>145</v>
      </c>
      <c r="P12" s="184" cm="1">
        <f t="array" ref="P12">SUMPRODUCT($D13:$O13, 2^(COLUMN($O13)-COLUMN($D13:$O13)))</f>
        <v>63</v>
      </c>
      <c r="Q12" s="247" t="str">
        <f>"0x"&amp;DEC2HEX($P12, 3)</f>
        <v>0x03F</v>
      </c>
      <c r="R12" s="174"/>
    </row>
    <row r="13" spans="1:18" ht="16.5" thickBot="1" x14ac:dyDescent="0.5">
      <c r="A13" s="195"/>
      <c r="B13" s="197"/>
      <c r="C13" s="200"/>
      <c r="D13" s="60">
        <v>0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74">
        <v>1</v>
      </c>
      <c r="K13" s="74">
        <v>1</v>
      </c>
      <c r="L13" s="74">
        <v>1</v>
      </c>
      <c r="M13" s="74">
        <v>1</v>
      </c>
      <c r="N13" s="74">
        <v>1</v>
      </c>
      <c r="O13" s="73">
        <v>1</v>
      </c>
      <c r="P13" s="185"/>
      <c r="Q13" s="248"/>
      <c r="R13" s="175"/>
    </row>
    <row r="14" spans="1:18" ht="26" x14ac:dyDescent="0.45">
      <c r="A14" s="222" t="s">
        <v>106</v>
      </c>
      <c r="B14" s="223" t="s">
        <v>105</v>
      </c>
      <c r="C14" s="256" t="s">
        <v>2</v>
      </c>
      <c r="D14" s="40" t="s">
        <v>104</v>
      </c>
      <c r="E14" s="26" t="s">
        <v>1</v>
      </c>
      <c r="F14" s="26" t="s">
        <v>1</v>
      </c>
      <c r="G14" s="26" t="s">
        <v>1</v>
      </c>
      <c r="H14" s="198" t="s">
        <v>103</v>
      </c>
      <c r="I14" s="186"/>
      <c r="J14" s="32" t="s">
        <v>102</v>
      </c>
      <c r="K14" s="32" t="s">
        <v>101</v>
      </c>
      <c r="L14" s="38" t="s">
        <v>100</v>
      </c>
      <c r="M14" s="32" t="s">
        <v>99</v>
      </c>
      <c r="N14" s="32" t="s">
        <v>98</v>
      </c>
      <c r="O14" s="36" t="s">
        <v>97</v>
      </c>
      <c r="P14" s="184" cm="1">
        <f t="array" ref="P14">SUMPRODUCT($D15:$O15, 2^(COLUMN($O15)-COLUMN($D15:$O15)))</f>
        <v>2148</v>
      </c>
      <c r="Q14" s="247" t="str">
        <f>"0x"&amp;DEC2HEX($P14, 3)</f>
        <v>0x864</v>
      </c>
      <c r="R14" s="174"/>
    </row>
    <row r="15" spans="1:18" ht="16.5" thickBot="1" x14ac:dyDescent="0.5">
      <c r="A15" s="195"/>
      <c r="B15" s="197"/>
      <c r="C15" s="246"/>
      <c r="D15" s="69">
        <v>1</v>
      </c>
      <c r="E15" s="23">
        <v>0</v>
      </c>
      <c r="F15" s="23">
        <v>0</v>
      </c>
      <c r="G15" s="23">
        <v>0</v>
      </c>
      <c r="H15" s="19">
        <v>0</v>
      </c>
      <c r="I15" s="72">
        <v>1</v>
      </c>
      <c r="J15" s="72">
        <v>1</v>
      </c>
      <c r="K15" s="19">
        <v>0</v>
      </c>
      <c r="L15" s="19">
        <v>0</v>
      </c>
      <c r="M15" s="92">
        <v>1</v>
      </c>
      <c r="N15" s="19">
        <v>0</v>
      </c>
      <c r="O15" s="29">
        <v>0</v>
      </c>
      <c r="P15" s="185"/>
      <c r="Q15" s="248"/>
      <c r="R15" s="175"/>
    </row>
    <row r="17" spans="1:18" ht="16.5" thickBot="1" x14ac:dyDescent="0.5"/>
    <row r="18" spans="1:18" ht="17.5" customHeight="1" thickBot="1" x14ac:dyDescent="0.5">
      <c r="A18" s="249" t="s">
        <v>462</v>
      </c>
      <c r="B18" s="250"/>
      <c r="C18" s="250"/>
      <c r="D18" s="250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1"/>
    </row>
    <row r="19" spans="1:18" x14ac:dyDescent="0.45">
      <c r="A19" s="194" t="s">
        <v>358</v>
      </c>
      <c r="B19" s="196" t="s">
        <v>71</v>
      </c>
      <c r="C19" s="207" t="s">
        <v>357</v>
      </c>
      <c r="D19" s="39" t="s">
        <v>356</v>
      </c>
      <c r="E19" s="32" t="s">
        <v>355</v>
      </c>
      <c r="F19" s="32" t="s">
        <v>354</v>
      </c>
      <c r="G19" s="32" t="s">
        <v>353</v>
      </c>
      <c r="H19" s="26" t="s">
        <v>1</v>
      </c>
      <c r="I19" s="26" t="s">
        <v>1</v>
      </c>
      <c r="J19" s="26" t="s">
        <v>1</v>
      </c>
      <c r="K19" s="201" t="s">
        <v>352</v>
      </c>
      <c r="L19" s="201"/>
      <c r="M19" s="201"/>
      <c r="N19" s="201"/>
      <c r="O19" s="198"/>
      <c r="P19" s="203" cm="1">
        <f t="array" ref="P19">SUMPRODUCT($D20:$O20, 2^(COLUMN($O20)-COLUMN($D20:$O20)))</f>
        <v>2048</v>
      </c>
      <c r="Q19" s="247" t="str">
        <f>"0x"&amp;DEC2HEX($P19, 3)</f>
        <v>0x800</v>
      </c>
      <c r="R19" s="174"/>
    </row>
    <row r="20" spans="1:18" ht="16.5" thickBot="1" x14ac:dyDescent="0.5">
      <c r="A20" s="206"/>
      <c r="B20" s="197"/>
      <c r="C20" s="200"/>
      <c r="D20" s="76">
        <v>1</v>
      </c>
      <c r="E20" s="44">
        <v>0</v>
      </c>
      <c r="F20" s="44">
        <v>0</v>
      </c>
      <c r="G20" s="44">
        <v>0</v>
      </c>
      <c r="H20" s="45">
        <v>0</v>
      </c>
      <c r="I20" s="45">
        <v>0</v>
      </c>
      <c r="J20" s="45">
        <v>0</v>
      </c>
      <c r="K20" s="44">
        <v>0</v>
      </c>
      <c r="L20" s="44">
        <v>0</v>
      </c>
      <c r="M20" s="44">
        <v>0</v>
      </c>
      <c r="N20" s="44">
        <v>0</v>
      </c>
      <c r="O20" s="54">
        <v>0</v>
      </c>
      <c r="P20" s="204"/>
      <c r="Q20" s="248"/>
      <c r="R20" s="175"/>
    </row>
    <row r="21" spans="1:18" ht="26" x14ac:dyDescent="0.45">
      <c r="A21" s="194" t="s">
        <v>150</v>
      </c>
      <c r="B21" s="196" t="s">
        <v>152</v>
      </c>
      <c r="C21" s="199" t="s">
        <v>2</v>
      </c>
      <c r="D21" s="42" t="s">
        <v>1</v>
      </c>
      <c r="E21" s="26" t="s">
        <v>1</v>
      </c>
      <c r="F21" s="26" t="s">
        <v>1</v>
      </c>
      <c r="G21" s="26" t="s">
        <v>1</v>
      </c>
      <c r="H21" s="26" t="s">
        <v>1</v>
      </c>
      <c r="I21" s="26" t="s">
        <v>1</v>
      </c>
      <c r="J21" s="38" t="s">
        <v>150</v>
      </c>
      <c r="K21" s="38" t="s">
        <v>149</v>
      </c>
      <c r="L21" s="38" t="s">
        <v>148</v>
      </c>
      <c r="M21" s="38" t="s">
        <v>147</v>
      </c>
      <c r="N21" s="38" t="s">
        <v>146</v>
      </c>
      <c r="O21" s="49" t="s">
        <v>145</v>
      </c>
      <c r="P21" s="184" cm="1">
        <f t="array" ref="P21">SUMPRODUCT($D22:$O22, 2^(COLUMN($O22)-COLUMN($D22:$O22)))</f>
        <v>63</v>
      </c>
      <c r="Q21" s="247" t="str">
        <f>"0x"&amp;DEC2HEX($P21, 3)</f>
        <v>0x03F</v>
      </c>
      <c r="R21" s="174"/>
    </row>
    <row r="22" spans="1:18" ht="16.5" thickBot="1" x14ac:dyDescent="0.5">
      <c r="A22" s="195"/>
      <c r="B22" s="197"/>
      <c r="C22" s="200"/>
      <c r="D22" s="41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72">
        <v>1</v>
      </c>
      <c r="K22" s="72">
        <v>1</v>
      </c>
      <c r="L22" s="72">
        <v>1</v>
      </c>
      <c r="M22" s="72">
        <v>1</v>
      </c>
      <c r="N22" s="72">
        <v>1</v>
      </c>
      <c r="O22" s="71">
        <v>1</v>
      </c>
      <c r="P22" s="185"/>
      <c r="Q22" s="248"/>
      <c r="R22" s="175"/>
    </row>
    <row r="23" spans="1:18" ht="26" x14ac:dyDescent="0.45">
      <c r="A23" s="208" t="s">
        <v>133</v>
      </c>
      <c r="B23" s="196" t="s">
        <v>132</v>
      </c>
      <c r="C23" s="245" t="s">
        <v>2</v>
      </c>
      <c r="D23" s="70" t="s">
        <v>131</v>
      </c>
      <c r="E23" s="26" t="s">
        <v>1</v>
      </c>
      <c r="F23" s="26" t="s">
        <v>1</v>
      </c>
      <c r="G23" s="26" t="s">
        <v>1</v>
      </c>
      <c r="H23" s="26" t="s">
        <v>1</v>
      </c>
      <c r="I23" s="26" t="s">
        <v>1</v>
      </c>
      <c r="J23" s="198" t="s">
        <v>130</v>
      </c>
      <c r="K23" s="186"/>
      <c r="L23" s="198" t="s">
        <v>129</v>
      </c>
      <c r="M23" s="182"/>
      <c r="N23" s="182"/>
      <c r="O23" s="183"/>
      <c r="P23" s="184" cm="1">
        <f t="array" ref="P23">SUMPRODUCT($D24:$O24, 2^(COLUMN($O24)-COLUMN($D24:$O24)))</f>
        <v>8</v>
      </c>
      <c r="Q23" s="247" t="str">
        <f>"0x"&amp;DEC2HEX($P23, 3)</f>
        <v>0x008</v>
      </c>
      <c r="R23" s="174"/>
    </row>
    <row r="24" spans="1:18" ht="16.5" thickBot="1" x14ac:dyDescent="0.5">
      <c r="A24" s="180"/>
      <c r="B24" s="197"/>
      <c r="C24" s="246"/>
      <c r="D24" s="69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19">
        <v>0</v>
      </c>
      <c r="K24" s="19">
        <v>0</v>
      </c>
      <c r="L24" s="92">
        <v>1</v>
      </c>
      <c r="M24" s="19">
        <v>0</v>
      </c>
      <c r="N24" s="19">
        <v>0</v>
      </c>
      <c r="O24" s="29">
        <v>0</v>
      </c>
      <c r="P24" s="185"/>
      <c r="Q24" s="248"/>
      <c r="R24" s="175"/>
    </row>
    <row r="25" spans="1:18" ht="26" x14ac:dyDescent="0.45">
      <c r="A25" s="222" t="s">
        <v>106</v>
      </c>
      <c r="B25" s="223" t="s">
        <v>105</v>
      </c>
      <c r="C25" s="256" t="s">
        <v>2</v>
      </c>
      <c r="D25" s="40" t="s">
        <v>104</v>
      </c>
      <c r="E25" s="26" t="s">
        <v>1</v>
      </c>
      <c r="F25" s="26" t="s">
        <v>1</v>
      </c>
      <c r="G25" s="26" t="s">
        <v>1</v>
      </c>
      <c r="H25" s="198" t="s">
        <v>103</v>
      </c>
      <c r="I25" s="186"/>
      <c r="J25" s="32" t="s">
        <v>102</v>
      </c>
      <c r="K25" s="32" t="s">
        <v>101</v>
      </c>
      <c r="L25" s="38" t="s">
        <v>100</v>
      </c>
      <c r="M25" s="32" t="s">
        <v>99</v>
      </c>
      <c r="N25" s="32" t="s">
        <v>98</v>
      </c>
      <c r="O25" s="36" t="s">
        <v>97</v>
      </c>
      <c r="P25" s="184" cm="1">
        <f t="array" ref="P25">SUMPRODUCT($D26:$O26, 2^(COLUMN($O26)-COLUMN($D26:$O26)))</f>
        <v>2164</v>
      </c>
      <c r="Q25" s="247" t="str">
        <f>"0x"&amp;DEC2HEX($P25, 3)</f>
        <v>0x874</v>
      </c>
      <c r="R25" s="174"/>
    </row>
    <row r="26" spans="1:18" ht="16.5" thickBot="1" x14ac:dyDescent="0.5">
      <c r="A26" s="195"/>
      <c r="B26" s="197"/>
      <c r="C26" s="246"/>
      <c r="D26" s="69">
        <v>1</v>
      </c>
      <c r="E26" s="23">
        <v>0</v>
      </c>
      <c r="F26" s="23">
        <v>0</v>
      </c>
      <c r="G26" s="23">
        <v>0</v>
      </c>
      <c r="H26" s="19">
        <v>0</v>
      </c>
      <c r="I26" s="72">
        <v>1</v>
      </c>
      <c r="J26" s="72">
        <v>1</v>
      </c>
      <c r="K26" s="72">
        <v>1</v>
      </c>
      <c r="L26" s="19">
        <v>0</v>
      </c>
      <c r="M26" s="92">
        <v>1</v>
      </c>
      <c r="N26" s="19">
        <v>0</v>
      </c>
      <c r="O26" s="29">
        <v>0</v>
      </c>
      <c r="P26" s="185"/>
      <c r="Q26" s="248"/>
      <c r="R26" s="175"/>
    </row>
    <row r="28" spans="1:18" ht="16.5" thickBot="1" x14ac:dyDescent="0.5"/>
    <row r="29" spans="1:18" ht="16.5" thickBot="1" x14ac:dyDescent="0.5">
      <c r="A29" s="249" t="s">
        <v>461</v>
      </c>
      <c r="B29" s="250"/>
      <c r="C29" s="250"/>
      <c r="D29" s="250"/>
      <c r="E29" s="250"/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1"/>
    </row>
    <row r="30" spans="1:18" x14ac:dyDescent="0.45">
      <c r="A30" s="194" t="s">
        <v>358</v>
      </c>
      <c r="B30" s="196" t="s">
        <v>71</v>
      </c>
      <c r="C30" s="207" t="s">
        <v>357</v>
      </c>
      <c r="D30" s="39" t="s">
        <v>356</v>
      </c>
      <c r="E30" s="32" t="s">
        <v>355</v>
      </c>
      <c r="F30" s="32" t="s">
        <v>354</v>
      </c>
      <c r="G30" s="32" t="s">
        <v>353</v>
      </c>
      <c r="H30" s="26" t="s">
        <v>1</v>
      </c>
      <c r="I30" s="26" t="s">
        <v>1</v>
      </c>
      <c r="J30" s="26" t="s">
        <v>1</v>
      </c>
      <c r="K30" s="201" t="s">
        <v>352</v>
      </c>
      <c r="L30" s="201"/>
      <c r="M30" s="201"/>
      <c r="N30" s="201"/>
      <c r="O30" s="198"/>
      <c r="P30" s="203" cm="1">
        <f t="array" ref="P30">SUMPRODUCT($D31:$O31, 2^(COLUMN($O31)-COLUMN($D31:$O31)))</f>
        <v>2048</v>
      </c>
      <c r="Q30" s="247" t="str">
        <f>"0x"&amp;DEC2HEX($P30, 3)</f>
        <v>0x800</v>
      </c>
      <c r="R30" s="174"/>
    </row>
    <row r="31" spans="1:18" ht="16.5" thickBot="1" x14ac:dyDescent="0.5">
      <c r="A31" s="206"/>
      <c r="B31" s="197"/>
      <c r="C31" s="200"/>
      <c r="D31" s="76">
        <v>1</v>
      </c>
      <c r="E31" s="44">
        <v>0</v>
      </c>
      <c r="F31" s="44">
        <v>0</v>
      </c>
      <c r="G31" s="44">
        <v>0</v>
      </c>
      <c r="H31" s="45">
        <v>0</v>
      </c>
      <c r="I31" s="45">
        <v>0</v>
      </c>
      <c r="J31" s="45">
        <v>0</v>
      </c>
      <c r="K31" s="44">
        <v>0</v>
      </c>
      <c r="L31" s="44">
        <v>0</v>
      </c>
      <c r="M31" s="44">
        <v>0</v>
      </c>
      <c r="N31" s="44">
        <v>0</v>
      </c>
      <c r="O31" s="54">
        <v>0</v>
      </c>
      <c r="P31" s="204"/>
      <c r="Q31" s="248"/>
      <c r="R31" s="175"/>
    </row>
    <row r="32" spans="1:18" ht="26" x14ac:dyDescent="0.45">
      <c r="A32" s="194" t="s">
        <v>150</v>
      </c>
      <c r="B32" s="196" t="s">
        <v>152</v>
      </c>
      <c r="C32" s="199" t="s">
        <v>2</v>
      </c>
      <c r="D32" s="42" t="s">
        <v>1</v>
      </c>
      <c r="E32" s="26" t="s">
        <v>1</v>
      </c>
      <c r="F32" s="26" t="s">
        <v>1</v>
      </c>
      <c r="G32" s="26" t="s">
        <v>1</v>
      </c>
      <c r="H32" s="26" t="s">
        <v>1</v>
      </c>
      <c r="I32" s="26" t="s">
        <v>1</v>
      </c>
      <c r="J32" s="38" t="s">
        <v>150</v>
      </c>
      <c r="K32" s="38" t="s">
        <v>149</v>
      </c>
      <c r="L32" s="38" t="s">
        <v>148</v>
      </c>
      <c r="M32" s="38" t="s">
        <v>147</v>
      </c>
      <c r="N32" s="38" t="s">
        <v>146</v>
      </c>
      <c r="O32" s="49" t="s">
        <v>145</v>
      </c>
      <c r="P32" s="184" cm="1">
        <f t="array" ref="P32">SUMPRODUCT($D33:$O33, 2^(COLUMN($O33)-COLUMN($D33:$O33)))</f>
        <v>63</v>
      </c>
      <c r="Q32" s="247" t="str">
        <f>"0x"&amp;DEC2HEX($P32, 3)</f>
        <v>0x03F</v>
      </c>
      <c r="R32" s="174"/>
    </row>
    <row r="33" spans="1:18" ht="16.5" thickBot="1" x14ac:dyDescent="0.5">
      <c r="A33" s="195"/>
      <c r="B33" s="197"/>
      <c r="C33" s="200"/>
      <c r="D33" s="41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72">
        <v>1</v>
      </c>
      <c r="K33" s="72">
        <v>1</v>
      </c>
      <c r="L33" s="72">
        <v>1</v>
      </c>
      <c r="M33" s="72">
        <v>1</v>
      </c>
      <c r="N33" s="72">
        <v>1</v>
      </c>
      <c r="O33" s="71">
        <v>1</v>
      </c>
      <c r="P33" s="185"/>
      <c r="Q33" s="248"/>
      <c r="R33" s="175"/>
    </row>
    <row r="34" spans="1:18" ht="26" x14ac:dyDescent="0.45">
      <c r="A34" s="208" t="s">
        <v>133</v>
      </c>
      <c r="B34" s="196" t="s">
        <v>132</v>
      </c>
      <c r="C34" s="245" t="s">
        <v>2</v>
      </c>
      <c r="D34" s="70" t="s">
        <v>131</v>
      </c>
      <c r="E34" s="26" t="s">
        <v>1</v>
      </c>
      <c r="F34" s="26" t="s">
        <v>1</v>
      </c>
      <c r="G34" s="26" t="s">
        <v>1</v>
      </c>
      <c r="H34" s="26" t="s">
        <v>1</v>
      </c>
      <c r="I34" s="26" t="s">
        <v>1</v>
      </c>
      <c r="J34" s="198" t="s">
        <v>130</v>
      </c>
      <c r="K34" s="186"/>
      <c r="L34" s="198" t="s">
        <v>129</v>
      </c>
      <c r="M34" s="182"/>
      <c r="N34" s="182"/>
      <c r="O34" s="183"/>
      <c r="P34" s="184" cm="1">
        <f t="array" ref="P34">SUMPRODUCT($D35:$O35, 2^(COLUMN($O35)-COLUMN($D35:$O35)))</f>
        <v>8</v>
      </c>
      <c r="Q34" s="247" t="str">
        <f>"0x"&amp;DEC2HEX($P34, 3)</f>
        <v>0x008</v>
      </c>
      <c r="R34" s="174"/>
    </row>
    <row r="35" spans="1:18" ht="16.5" thickBot="1" x14ac:dyDescent="0.5">
      <c r="A35" s="180"/>
      <c r="B35" s="197"/>
      <c r="C35" s="246"/>
      <c r="D35" s="69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19">
        <v>0</v>
      </c>
      <c r="K35" s="19">
        <v>0</v>
      </c>
      <c r="L35" s="92">
        <v>1</v>
      </c>
      <c r="M35" s="19">
        <v>0</v>
      </c>
      <c r="N35" s="19">
        <v>0</v>
      </c>
      <c r="O35" s="29">
        <v>0</v>
      </c>
      <c r="P35" s="185"/>
      <c r="Q35" s="248"/>
      <c r="R35" s="175"/>
    </row>
  </sheetData>
  <mergeCells count="94">
    <mergeCell ref="Q25:Q26"/>
    <mergeCell ref="R25:R26"/>
    <mergeCell ref="A25:A26"/>
    <mergeCell ref="B25:B26"/>
    <mergeCell ref="C25:C26"/>
    <mergeCell ref="H25:I25"/>
    <mergeCell ref="P25:P26"/>
    <mergeCell ref="R23:R24"/>
    <mergeCell ref="A21:A22"/>
    <mergeCell ref="B21:B22"/>
    <mergeCell ref="P21:P22"/>
    <mergeCell ref="C21:C22"/>
    <mergeCell ref="A23:A24"/>
    <mergeCell ref="B23:B24"/>
    <mergeCell ref="Q21:Q22"/>
    <mergeCell ref="C23:C24"/>
    <mergeCell ref="J23:K23"/>
    <mergeCell ref="L23:O23"/>
    <mergeCell ref="P23:P24"/>
    <mergeCell ref="Q23:Q24"/>
    <mergeCell ref="R21:R22"/>
    <mergeCell ref="A10:A11"/>
    <mergeCell ref="B10:B11"/>
    <mergeCell ref="C10:C11"/>
    <mergeCell ref="D10:O10"/>
    <mergeCell ref="P10:P11"/>
    <mergeCell ref="Q14:Q15"/>
    <mergeCell ref="Q19:Q20"/>
    <mergeCell ref="Q12:Q13"/>
    <mergeCell ref="A12:A13"/>
    <mergeCell ref="B12:B13"/>
    <mergeCell ref="C12:C13"/>
    <mergeCell ref="P12:P13"/>
    <mergeCell ref="A19:A20"/>
    <mergeCell ref="B19:B20"/>
    <mergeCell ref="C19:C20"/>
    <mergeCell ref="B14:B15"/>
    <mergeCell ref="C14:C15"/>
    <mergeCell ref="H14:I14"/>
    <mergeCell ref="P14:P15"/>
    <mergeCell ref="A3:R3"/>
    <mergeCell ref="R6:R7"/>
    <mergeCell ref="R4:R5"/>
    <mergeCell ref="Q4:Q5"/>
    <mergeCell ref="Q6:Q7"/>
    <mergeCell ref="A4:A5"/>
    <mergeCell ref="B4:B5"/>
    <mergeCell ref="C4:C5"/>
    <mergeCell ref="K4:O4"/>
    <mergeCell ref="P4:P5"/>
    <mergeCell ref="P6:P7"/>
    <mergeCell ref="A6:A7"/>
    <mergeCell ref="B6:B7"/>
    <mergeCell ref="C6:C7"/>
    <mergeCell ref="E6:F6"/>
    <mergeCell ref="G6:H6"/>
    <mergeCell ref="Q8:Q9"/>
    <mergeCell ref="K19:O19"/>
    <mergeCell ref="P19:P20"/>
    <mergeCell ref="A18:R18"/>
    <mergeCell ref="A14:A15"/>
    <mergeCell ref="R12:R13"/>
    <mergeCell ref="R14:R15"/>
    <mergeCell ref="R19:R20"/>
    <mergeCell ref="R8:R9"/>
    <mergeCell ref="R10:R11"/>
    <mergeCell ref="Q10:Q11"/>
    <mergeCell ref="A8:A9"/>
    <mergeCell ref="B8:B9"/>
    <mergeCell ref="C8:C9"/>
    <mergeCell ref="P8:P9"/>
    <mergeCell ref="F8:G8"/>
    <mergeCell ref="A29:R29"/>
    <mergeCell ref="A30:A31"/>
    <mergeCell ref="B30:B31"/>
    <mergeCell ref="C30:C31"/>
    <mergeCell ref="K30:O30"/>
    <mergeCell ref="P30:P31"/>
    <mergeCell ref="Q30:Q31"/>
    <mergeCell ref="R30:R31"/>
    <mergeCell ref="R32:R33"/>
    <mergeCell ref="A34:A35"/>
    <mergeCell ref="B34:B35"/>
    <mergeCell ref="C34:C35"/>
    <mergeCell ref="J34:K34"/>
    <mergeCell ref="L34:O34"/>
    <mergeCell ref="P34:P35"/>
    <mergeCell ref="Q34:Q35"/>
    <mergeCell ref="R34:R35"/>
    <mergeCell ref="A32:A33"/>
    <mergeCell ref="B32:B33"/>
    <mergeCell ref="C32:C33"/>
    <mergeCell ref="P32:P33"/>
    <mergeCell ref="Q32:Q33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9F118-3376-49A9-A351-AB00EFC42420}">
  <dimension ref="B2:G34"/>
  <sheetViews>
    <sheetView zoomScale="85" zoomScaleNormal="85" workbookViewId="0">
      <selection activeCell="G43" sqref="G43"/>
    </sheetView>
  </sheetViews>
  <sheetFormatPr defaultColWidth="9" defaultRowHeight="17" x14ac:dyDescent="0.45"/>
  <cols>
    <col min="1" max="1" width="9" style="83"/>
    <col min="2" max="3" width="16.58203125" style="83" customWidth="1"/>
    <col min="4" max="4" width="36.58203125" style="83" bestFit="1" customWidth="1"/>
    <col min="5" max="5" width="9" style="83"/>
    <col min="6" max="6" width="16.58203125" style="83" customWidth="1"/>
    <col min="7" max="7" width="36.58203125" style="83" bestFit="1" customWidth="1"/>
    <col min="8" max="16384" width="9" style="83"/>
  </cols>
  <sheetData>
    <row r="2" spans="2:7" ht="17.5" thickBot="1" x14ac:dyDescent="0.5">
      <c r="B2" s="87" t="s">
        <v>94</v>
      </c>
      <c r="C2" s="87" t="s">
        <v>459</v>
      </c>
      <c r="D2" s="87" t="s">
        <v>458</v>
      </c>
      <c r="E2" s="86"/>
      <c r="F2" s="85" t="s">
        <v>196</v>
      </c>
      <c r="G2" s="85" t="s">
        <v>457</v>
      </c>
    </row>
    <row r="3" spans="2:7" ht="17.25" customHeight="1" thickBot="1" x14ac:dyDescent="0.5">
      <c r="B3" s="87">
        <v>0</v>
      </c>
      <c r="C3" s="84" t="s">
        <v>456</v>
      </c>
      <c r="D3" s="84" t="s">
        <v>455</v>
      </c>
      <c r="E3" s="86"/>
      <c r="F3" s="85">
        <v>0</v>
      </c>
      <c r="G3" s="84" t="s">
        <v>454</v>
      </c>
    </row>
    <row r="4" spans="2:7" ht="17.25" customHeight="1" thickBot="1" x14ac:dyDescent="0.5">
      <c r="B4" s="87">
        <v>1</v>
      </c>
      <c r="C4" s="84" t="s">
        <v>453</v>
      </c>
      <c r="D4" s="84" t="s">
        <v>452</v>
      </c>
      <c r="E4" s="86"/>
      <c r="F4" s="85">
        <v>1</v>
      </c>
      <c r="G4" s="84" t="s">
        <v>451</v>
      </c>
    </row>
    <row r="5" spans="2:7" ht="17.25" customHeight="1" thickBot="1" x14ac:dyDescent="0.5">
      <c r="B5" s="87">
        <v>2</v>
      </c>
      <c r="C5" s="84" t="s">
        <v>450</v>
      </c>
      <c r="D5" s="84" t="s">
        <v>449</v>
      </c>
      <c r="E5" s="86"/>
      <c r="F5" s="85">
        <v>2</v>
      </c>
      <c r="G5" s="84" t="s">
        <v>448</v>
      </c>
    </row>
    <row r="6" spans="2:7" ht="17.25" customHeight="1" thickBot="1" x14ac:dyDescent="0.5">
      <c r="B6" s="87">
        <v>3</v>
      </c>
      <c r="C6" s="84" t="s">
        <v>447</v>
      </c>
      <c r="D6" s="89" t="s">
        <v>446</v>
      </c>
      <c r="E6" s="86"/>
      <c r="F6" s="85">
        <v>3</v>
      </c>
      <c r="G6" s="88" t="s">
        <v>445</v>
      </c>
    </row>
    <row r="7" spans="2:7" ht="17.25" customHeight="1" thickBot="1" x14ac:dyDescent="0.5">
      <c r="B7" s="87">
        <v>4</v>
      </c>
      <c r="C7" s="84" t="s">
        <v>444</v>
      </c>
      <c r="D7" s="84" t="s">
        <v>443</v>
      </c>
      <c r="E7" s="86"/>
      <c r="F7" s="85">
        <v>4</v>
      </c>
      <c r="G7" s="84" t="s">
        <v>442</v>
      </c>
    </row>
    <row r="8" spans="2:7" ht="17.25" customHeight="1" thickBot="1" x14ac:dyDescent="0.5">
      <c r="B8" s="87">
        <v>5</v>
      </c>
      <c r="C8" s="84" t="s">
        <v>441</v>
      </c>
      <c r="D8" s="84" t="s">
        <v>440</v>
      </c>
      <c r="E8" s="86"/>
      <c r="F8" s="85">
        <v>5</v>
      </c>
      <c r="G8" s="84" t="s">
        <v>439</v>
      </c>
    </row>
    <row r="9" spans="2:7" ht="17.25" customHeight="1" thickBot="1" x14ac:dyDescent="0.5">
      <c r="B9" s="87">
        <v>6</v>
      </c>
      <c r="C9" s="84" t="s">
        <v>438</v>
      </c>
      <c r="D9" s="84" t="s">
        <v>437</v>
      </c>
      <c r="E9" s="86"/>
      <c r="F9" s="85">
        <v>6</v>
      </c>
      <c r="G9" s="84" t="s">
        <v>436</v>
      </c>
    </row>
    <row r="10" spans="2:7" ht="17.25" customHeight="1" thickBot="1" x14ac:dyDescent="0.5">
      <c r="B10" s="87">
        <v>7</v>
      </c>
      <c r="C10" s="84" t="s">
        <v>435</v>
      </c>
      <c r="D10" s="84" t="s">
        <v>434</v>
      </c>
      <c r="E10" s="86"/>
      <c r="F10" s="85">
        <v>7</v>
      </c>
      <c r="G10" s="84" t="s">
        <v>433</v>
      </c>
    </row>
    <row r="11" spans="2:7" ht="17.25" customHeight="1" thickBot="1" x14ac:dyDescent="0.5">
      <c r="B11" s="87">
        <v>8</v>
      </c>
      <c r="C11" s="84" t="s">
        <v>432</v>
      </c>
      <c r="D11" s="84" t="s">
        <v>429</v>
      </c>
      <c r="E11" s="86"/>
      <c r="F11" s="85">
        <v>8</v>
      </c>
      <c r="G11" s="84" t="s">
        <v>431</v>
      </c>
    </row>
    <row r="12" spans="2:7" ht="17.25" customHeight="1" thickBot="1" x14ac:dyDescent="0.5">
      <c r="B12" s="87">
        <v>9</v>
      </c>
      <c r="C12" s="84" t="s">
        <v>430</v>
      </c>
      <c r="D12" s="84" t="s">
        <v>429</v>
      </c>
      <c r="E12" s="86"/>
      <c r="F12" s="85">
        <v>9</v>
      </c>
      <c r="G12" s="84" t="s">
        <v>428</v>
      </c>
    </row>
    <row r="13" spans="2:7" ht="17.25" customHeight="1" thickBot="1" x14ac:dyDescent="0.5">
      <c r="B13" s="87">
        <v>10</v>
      </c>
      <c r="C13" s="84" t="s">
        <v>427</v>
      </c>
      <c r="D13" s="84" t="s">
        <v>426</v>
      </c>
      <c r="E13" s="86"/>
      <c r="F13" s="85">
        <v>10</v>
      </c>
      <c r="G13" s="84" t="s">
        <v>425</v>
      </c>
    </row>
    <row r="14" spans="2:7" ht="17.25" customHeight="1" thickBot="1" x14ac:dyDescent="0.5">
      <c r="B14" s="87">
        <v>11</v>
      </c>
      <c r="C14" s="84" t="s">
        <v>424</v>
      </c>
      <c r="D14" s="84" t="s">
        <v>380</v>
      </c>
      <c r="E14" s="86"/>
      <c r="F14" s="85">
        <v>11</v>
      </c>
      <c r="G14" s="84" t="s">
        <v>423</v>
      </c>
    </row>
    <row r="15" spans="2:7" ht="17.25" customHeight="1" thickBot="1" x14ac:dyDescent="0.5">
      <c r="B15" s="87">
        <v>12</v>
      </c>
      <c r="C15" s="84" t="s">
        <v>422</v>
      </c>
      <c r="D15" s="84" t="s">
        <v>380</v>
      </c>
      <c r="E15" s="86"/>
      <c r="F15" s="85">
        <v>12</v>
      </c>
      <c r="G15" s="84" t="s">
        <v>421</v>
      </c>
    </row>
    <row r="16" spans="2:7" ht="17.25" customHeight="1" thickBot="1" x14ac:dyDescent="0.5">
      <c r="B16" s="87">
        <v>13</v>
      </c>
      <c r="C16" s="84" t="s">
        <v>420</v>
      </c>
      <c r="D16" s="84" t="s">
        <v>419</v>
      </c>
      <c r="E16" s="86"/>
      <c r="F16" s="85">
        <v>13</v>
      </c>
      <c r="G16" s="84" t="s">
        <v>418</v>
      </c>
    </row>
    <row r="17" spans="2:7" ht="17.25" customHeight="1" thickBot="1" x14ac:dyDescent="0.5">
      <c r="B17" s="87">
        <v>14</v>
      </c>
      <c r="C17" s="84" t="s">
        <v>417</v>
      </c>
      <c r="D17" s="84" t="s">
        <v>416</v>
      </c>
      <c r="E17" s="86"/>
      <c r="F17" s="85">
        <v>14</v>
      </c>
      <c r="G17" s="84" t="s">
        <v>415</v>
      </c>
    </row>
    <row r="18" spans="2:7" ht="17.25" customHeight="1" thickBot="1" x14ac:dyDescent="0.5">
      <c r="B18" s="87">
        <v>15</v>
      </c>
      <c r="C18" s="84" t="s">
        <v>414</v>
      </c>
      <c r="D18" s="84" t="s">
        <v>413</v>
      </c>
      <c r="E18" s="86"/>
      <c r="F18" s="85">
        <v>15</v>
      </c>
      <c r="G18" s="84" t="s">
        <v>379</v>
      </c>
    </row>
    <row r="19" spans="2:7" ht="17.25" customHeight="1" thickBot="1" x14ac:dyDescent="0.5">
      <c r="B19" s="87">
        <v>16</v>
      </c>
      <c r="C19" s="84" t="s">
        <v>412</v>
      </c>
      <c r="D19" s="84" t="s">
        <v>380</v>
      </c>
      <c r="E19" s="86"/>
      <c r="F19" s="85">
        <v>16</v>
      </c>
      <c r="G19" s="84" t="s">
        <v>411</v>
      </c>
    </row>
    <row r="20" spans="2:7" ht="17.25" customHeight="1" thickBot="1" x14ac:dyDescent="0.5">
      <c r="B20" s="87">
        <v>17</v>
      </c>
      <c r="C20" s="84" t="s">
        <v>410</v>
      </c>
      <c r="D20" s="84" t="s">
        <v>401</v>
      </c>
      <c r="E20" s="86"/>
      <c r="F20" s="85">
        <v>17</v>
      </c>
      <c r="G20" s="84" t="s">
        <v>409</v>
      </c>
    </row>
    <row r="21" spans="2:7" ht="17.25" customHeight="1" thickBot="1" x14ac:dyDescent="0.5">
      <c r="B21" s="87">
        <v>18</v>
      </c>
      <c r="C21" s="84" t="s">
        <v>408</v>
      </c>
      <c r="D21" s="84" t="s">
        <v>401</v>
      </c>
      <c r="E21" s="86"/>
      <c r="F21" s="85">
        <v>18</v>
      </c>
      <c r="G21" s="84" t="s">
        <v>407</v>
      </c>
    </row>
    <row r="22" spans="2:7" ht="17.25" customHeight="1" thickBot="1" x14ac:dyDescent="0.5">
      <c r="B22" s="87">
        <v>19</v>
      </c>
      <c r="C22" s="84" t="s">
        <v>406</v>
      </c>
      <c r="D22" s="84" t="s">
        <v>401</v>
      </c>
      <c r="E22" s="86"/>
      <c r="F22" s="85">
        <v>19</v>
      </c>
      <c r="G22" s="84" t="s">
        <v>405</v>
      </c>
    </row>
    <row r="23" spans="2:7" ht="17.25" customHeight="1" thickBot="1" x14ac:dyDescent="0.5">
      <c r="B23" s="87">
        <v>20</v>
      </c>
      <c r="C23" s="84" t="s">
        <v>404</v>
      </c>
      <c r="D23" s="84" t="s">
        <v>401</v>
      </c>
      <c r="E23" s="86"/>
      <c r="F23" s="85">
        <v>20</v>
      </c>
      <c r="G23" s="84" t="s">
        <v>403</v>
      </c>
    </row>
    <row r="24" spans="2:7" ht="17.25" customHeight="1" thickBot="1" x14ac:dyDescent="0.5">
      <c r="B24" s="87">
        <v>21</v>
      </c>
      <c r="C24" s="84" t="s">
        <v>402</v>
      </c>
      <c r="D24" s="84" t="s">
        <v>401</v>
      </c>
      <c r="E24" s="86"/>
      <c r="F24" s="85">
        <v>21</v>
      </c>
      <c r="G24" s="84" t="s">
        <v>400</v>
      </c>
    </row>
    <row r="25" spans="2:7" ht="17.25" customHeight="1" thickBot="1" x14ac:dyDescent="0.5">
      <c r="B25" s="87">
        <v>22</v>
      </c>
      <c r="C25" s="84" t="s">
        <v>399</v>
      </c>
      <c r="D25" s="84" t="s">
        <v>398</v>
      </c>
      <c r="E25" s="86"/>
      <c r="F25" s="85">
        <v>22</v>
      </c>
      <c r="G25" s="84" t="s">
        <v>397</v>
      </c>
    </row>
    <row r="26" spans="2:7" ht="17.25" customHeight="1" thickBot="1" x14ac:dyDescent="0.5">
      <c r="B26" s="87">
        <v>23</v>
      </c>
      <c r="C26" s="84" t="s">
        <v>396</v>
      </c>
      <c r="D26" s="84" t="s">
        <v>395</v>
      </c>
      <c r="E26" s="86"/>
      <c r="F26" s="85">
        <v>23</v>
      </c>
      <c r="G26" s="84" t="s">
        <v>394</v>
      </c>
    </row>
    <row r="27" spans="2:7" ht="17.25" customHeight="1" thickBot="1" x14ac:dyDescent="0.5">
      <c r="B27" s="87">
        <v>24</v>
      </c>
      <c r="C27" s="84" t="s">
        <v>393</v>
      </c>
      <c r="D27" s="84" t="s">
        <v>392</v>
      </c>
      <c r="E27" s="86"/>
      <c r="F27" s="85">
        <v>24</v>
      </c>
      <c r="G27" s="84" t="s">
        <v>379</v>
      </c>
    </row>
    <row r="28" spans="2:7" ht="17.25" customHeight="1" thickBot="1" x14ac:dyDescent="0.5">
      <c r="B28" s="87">
        <v>25</v>
      </c>
      <c r="C28" s="84" t="s">
        <v>391</v>
      </c>
      <c r="D28" s="84" t="s">
        <v>390</v>
      </c>
      <c r="E28" s="86"/>
      <c r="F28" s="85">
        <v>25</v>
      </c>
      <c r="G28" s="84" t="s">
        <v>379</v>
      </c>
    </row>
    <row r="29" spans="2:7" ht="17.25" customHeight="1" thickBot="1" x14ac:dyDescent="0.5">
      <c r="B29" s="87">
        <v>26</v>
      </c>
      <c r="C29" s="84" t="s">
        <v>389</v>
      </c>
      <c r="D29" s="84" t="s">
        <v>388</v>
      </c>
      <c r="E29" s="86"/>
      <c r="F29" s="85">
        <v>26</v>
      </c>
      <c r="G29" s="84" t="s">
        <v>379</v>
      </c>
    </row>
    <row r="30" spans="2:7" ht="17.25" customHeight="1" thickBot="1" x14ac:dyDescent="0.5">
      <c r="B30" s="87">
        <v>27</v>
      </c>
      <c r="C30" s="84" t="s">
        <v>387</v>
      </c>
      <c r="D30" s="84" t="s">
        <v>386</v>
      </c>
      <c r="E30" s="86"/>
      <c r="F30" s="85">
        <v>27</v>
      </c>
      <c r="G30" s="84" t="s">
        <v>379</v>
      </c>
    </row>
    <row r="31" spans="2:7" ht="17.25" customHeight="1" thickBot="1" x14ac:dyDescent="0.5">
      <c r="B31" s="87">
        <v>28</v>
      </c>
      <c r="C31" s="84" t="s">
        <v>385</v>
      </c>
      <c r="D31" s="84" t="s">
        <v>384</v>
      </c>
      <c r="E31" s="86"/>
      <c r="F31" s="85">
        <v>28</v>
      </c>
      <c r="G31" s="84" t="s">
        <v>379</v>
      </c>
    </row>
    <row r="32" spans="2:7" ht="17.25" customHeight="1" thickBot="1" x14ac:dyDescent="0.5">
      <c r="B32" s="87">
        <v>29</v>
      </c>
      <c r="C32" s="84" t="s">
        <v>383</v>
      </c>
      <c r="D32" s="84" t="s">
        <v>380</v>
      </c>
      <c r="E32" s="86"/>
      <c r="F32" s="85">
        <v>29</v>
      </c>
      <c r="G32" s="84" t="s">
        <v>379</v>
      </c>
    </row>
    <row r="33" spans="2:7" ht="17.25" customHeight="1" thickBot="1" x14ac:dyDescent="0.5">
      <c r="B33" s="87">
        <v>30</v>
      </c>
      <c r="C33" s="84" t="s">
        <v>382</v>
      </c>
      <c r="D33" s="84" t="s">
        <v>380</v>
      </c>
      <c r="E33" s="86"/>
      <c r="F33" s="85">
        <v>30</v>
      </c>
      <c r="G33" s="84" t="s">
        <v>379</v>
      </c>
    </row>
    <row r="34" spans="2:7" ht="17.25" customHeight="1" thickBot="1" x14ac:dyDescent="0.5">
      <c r="B34" s="87">
        <v>31</v>
      </c>
      <c r="C34" s="84" t="s">
        <v>381</v>
      </c>
      <c r="D34" s="84" t="s">
        <v>380</v>
      </c>
      <c r="E34" s="86"/>
      <c r="F34" s="85">
        <v>31</v>
      </c>
      <c r="G34" s="84" t="s">
        <v>379</v>
      </c>
    </row>
  </sheetData>
  <phoneticPr fontId="4" type="noConversion"/>
  <pageMargins left="0.7" right="0.7" top="0.75" bottom="0.75" header="0.3" footer="0.3"/>
  <headerFooter>
    <oddHeader>&amp;C&amp;G</oddHeader>
    <oddFooter xml:space="preserve">&amp;C_x000D_&amp;1#&amp;"맑은 고딕"&amp;6&amp;K737373 이태헌( LEE Taeheon ) 전원구동반도체팀 / 1634503@mobis.com / 본 문서는 현대모비스의 대외비 정보자산이므로 무단 전재 및 복제할 수 없으며, 위반 시 당사 사규 및 관련 법규에 의해 제재될 수 있습니다. 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C836A-44C6-43A8-B1DF-1590C3F36038}">
  <dimension ref="A1"/>
  <sheetViews>
    <sheetView workbookViewId="0">
      <selection activeCell="L38" sqref="L38"/>
    </sheetView>
  </sheetViews>
  <sheetFormatPr defaultRowHeight="17" x14ac:dyDescent="0.45"/>
  <sheetData/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7B22-00B4-4773-B3E1-B21269BE2503}">
  <dimension ref="B1:BE411"/>
  <sheetViews>
    <sheetView zoomScale="85" zoomScaleNormal="85" workbookViewId="0">
      <selection activeCell="P45" sqref="P45"/>
    </sheetView>
  </sheetViews>
  <sheetFormatPr defaultRowHeight="17" x14ac:dyDescent="0.45"/>
  <cols>
    <col min="2" max="2" width="13.1640625" customWidth="1"/>
    <col min="3" max="3" width="18.58203125" style="99" hidden="1" customWidth="1"/>
    <col min="4" max="4" width="18.58203125" style="99" customWidth="1"/>
    <col min="5" max="8" width="18.58203125" style="99" hidden="1" customWidth="1"/>
    <col min="9" max="9" width="18.58203125" style="99" customWidth="1"/>
    <col min="10" max="12" width="18.58203125" style="99" hidden="1" customWidth="1"/>
    <col min="13" max="25" width="18.58203125" style="99" customWidth="1"/>
    <col min="26" max="26" width="10.4140625" customWidth="1"/>
    <col min="27" max="31" width="18.58203125" style="141" customWidth="1"/>
    <col min="32" max="65" width="18.58203125" customWidth="1"/>
  </cols>
  <sheetData>
    <row r="1" spans="2:57" x14ac:dyDescent="0.45">
      <c r="AA1"/>
      <c r="AB1" s="99"/>
      <c r="AC1" s="99"/>
      <c r="AD1" s="99"/>
      <c r="AE1" s="99"/>
    </row>
    <row r="2" spans="2:57" ht="17.5" x14ac:dyDescent="0.45"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1" t="s">
        <v>463</v>
      </c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2"/>
      <c r="AB2" s="102"/>
      <c r="AC2" s="102"/>
      <c r="AD2" s="102"/>
      <c r="AE2" s="102"/>
      <c r="AF2" s="103"/>
    </row>
    <row r="3" spans="2:57" ht="17.5" x14ac:dyDescent="0.45">
      <c r="B3" s="104" t="s">
        <v>464</v>
      </c>
      <c r="C3" s="105" t="s">
        <v>465</v>
      </c>
      <c r="D3" s="105" t="s">
        <v>465</v>
      </c>
      <c r="E3" s="105" t="s">
        <v>465</v>
      </c>
      <c r="F3" s="105" t="s">
        <v>465</v>
      </c>
      <c r="G3" s="105" t="s">
        <v>465</v>
      </c>
      <c r="H3" s="105" t="s">
        <v>466</v>
      </c>
      <c r="I3" s="105" t="s">
        <v>466</v>
      </c>
      <c r="J3" s="105" t="s">
        <v>466</v>
      </c>
      <c r="K3" s="105" t="s">
        <v>466</v>
      </c>
      <c r="L3" s="105" t="s">
        <v>466</v>
      </c>
      <c r="M3" s="105" t="s">
        <v>467</v>
      </c>
      <c r="N3" s="105" t="s">
        <v>468</v>
      </c>
      <c r="O3" s="105" t="s">
        <v>469</v>
      </c>
      <c r="P3" s="105" t="s">
        <v>470</v>
      </c>
      <c r="Q3" s="105" t="s">
        <v>471</v>
      </c>
      <c r="R3" s="105" t="s">
        <v>472</v>
      </c>
      <c r="S3" s="105" t="s">
        <v>473</v>
      </c>
      <c r="T3" s="105" t="s">
        <v>474</v>
      </c>
      <c r="U3" s="105" t="s">
        <v>475</v>
      </c>
      <c r="V3" s="105" t="s">
        <v>476</v>
      </c>
      <c r="W3" s="105" t="s">
        <v>477</v>
      </c>
      <c r="X3" s="105" t="s">
        <v>478</v>
      </c>
      <c r="Y3" s="105" t="s">
        <v>479</v>
      </c>
      <c r="Z3" s="100"/>
      <c r="AA3" s="173" t="s">
        <v>480</v>
      </c>
      <c r="AB3" s="173"/>
      <c r="AC3" s="173"/>
      <c r="AD3" s="173"/>
      <c r="AE3" s="173"/>
      <c r="AF3" s="106"/>
      <c r="AG3" s="103"/>
      <c r="AH3" s="106"/>
      <c r="AI3" s="106"/>
      <c r="AJ3" s="106"/>
      <c r="AL3" s="107"/>
      <c r="AM3" s="107"/>
      <c r="AN3" s="107"/>
    </row>
    <row r="4" spans="2:57" ht="17.5" x14ac:dyDescent="0.45">
      <c r="B4" s="104" t="s">
        <v>481</v>
      </c>
      <c r="C4" s="108">
        <v>5</v>
      </c>
      <c r="D4" s="108">
        <v>5</v>
      </c>
      <c r="E4" s="108">
        <v>5</v>
      </c>
      <c r="F4" s="108">
        <v>5</v>
      </c>
      <c r="G4" s="108">
        <v>5</v>
      </c>
      <c r="H4" s="109">
        <v>5</v>
      </c>
      <c r="I4" s="109">
        <v>5</v>
      </c>
      <c r="J4" s="109">
        <v>5</v>
      </c>
      <c r="K4" s="109">
        <v>5</v>
      </c>
      <c r="L4" s="109">
        <v>5</v>
      </c>
      <c r="M4" s="110">
        <v>5</v>
      </c>
      <c r="N4" s="110">
        <v>5</v>
      </c>
      <c r="O4" s="110">
        <v>5</v>
      </c>
      <c r="P4" s="110">
        <v>4</v>
      </c>
      <c r="Q4" s="110">
        <v>5</v>
      </c>
      <c r="R4" s="110">
        <v>4</v>
      </c>
      <c r="S4" s="110">
        <v>5</v>
      </c>
      <c r="T4" s="110">
        <v>32</v>
      </c>
      <c r="U4" s="111">
        <v>4</v>
      </c>
      <c r="V4" s="111">
        <v>7</v>
      </c>
      <c r="W4" s="111">
        <v>4</v>
      </c>
      <c r="X4" s="111">
        <v>3</v>
      </c>
      <c r="Y4" s="111">
        <v>3</v>
      </c>
      <c r="Z4" s="100"/>
      <c r="AA4" s="105" t="s">
        <v>482</v>
      </c>
      <c r="AB4" s="105" t="s">
        <v>483</v>
      </c>
      <c r="AC4" s="105" t="s">
        <v>484</v>
      </c>
      <c r="AD4" s="105" t="s">
        <v>485</v>
      </c>
      <c r="AE4" s="105" t="s">
        <v>486</v>
      </c>
      <c r="AF4" s="106"/>
      <c r="AG4" s="103"/>
      <c r="AH4" s="106"/>
      <c r="AI4" s="106"/>
      <c r="AJ4" s="106"/>
      <c r="AL4" s="107"/>
      <c r="AM4" s="107"/>
      <c r="AN4" s="107"/>
      <c r="AX4" s="106"/>
      <c r="BA4" s="106"/>
      <c r="BB4" s="106"/>
      <c r="BE4" s="106"/>
    </row>
    <row r="5" spans="2:57" ht="17.5" x14ac:dyDescent="0.45">
      <c r="B5" s="104" t="s">
        <v>487</v>
      </c>
      <c r="C5" s="108" t="s">
        <v>488</v>
      </c>
      <c r="D5" s="108" t="s">
        <v>488</v>
      </c>
      <c r="E5" s="108" t="s">
        <v>488</v>
      </c>
      <c r="F5" s="108" t="s">
        <v>488</v>
      </c>
      <c r="G5" s="108" t="s">
        <v>488</v>
      </c>
      <c r="H5" s="108" t="s">
        <v>488</v>
      </c>
      <c r="I5" s="108" t="s">
        <v>488</v>
      </c>
      <c r="J5" s="108" t="s">
        <v>488</v>
      </c>
      <c r="K5" s="108" t="s">
        <v>488</v>
      </c>
      <c r="L5" s="108" t="s">
        <v>488</v>
      </c>
      <c r="M5" s="110"/>
      <c r="N5" s="110"/>
      <c r="O5" s="110"/>
      <c r="P5" s="110"/>
      <c r="Q5" s="110"/>
      <c r="R5" s="110"/>
      <c r="S5" s="110"/>
      <c r="T5" s="110"/>
      <c r="U5" s="111"/>
      <c r="V5" s="111"/>
      <c r="W5" s="111"/>
      <c r="X5" s="111"/>
      <c r="Y5" s="111"/>
      <c r="Z5" s="100"/>
      <c r="AA5" s="112" t="s">
        <v>489</v>
      </c>
      <c r="AB5" s="113">
        <v>36.68</v>
      </c>
      <c r="AC5" s="113">
        <v>51.62</v>
      </c>
      <c r="AD5" s="113">
        <v>53.48</v>
      </c>
      <c r="AE5" s="113">
        <v>33.69</v>
      </c>
      <c r="AF5" s="106"/>
      <c r="AG5" s="103"/>
      <c r="AH5" s="106"/>
      <c r="AI5" s="106"/>
      <c r="AJ5" s="106"/>
      <c r="AL5" s="107"/>
      <c r="AM5" s="107"/>
      <c r="AN5" s="107"/>
      <c r="AX5" s="106"/>
      <c r="BA5" s="106"/>
      <c r="BB5" s="106"/>
      <c r="BE5" s="106"/>
    </row>
    <row r="6" spans="2:57" ht="18" thickBot="1" x14ac:dyDescent="0.5">
      <c r="B6" s="105" t="s">
        <v>490</v>
      </c>
      <c r="C6" s="114" t="s">
        <v>491</v>
      </c>
      <c r="D6" s="114" t="s">
        <v>492</v>
      </c>
      <c r="E6" s="114" t="s">
        <v>493</v>
      </c>
      <c r="F6" s="114" t="s">
        <v>494</v>
      </c>
      <c r="G6" s="114" t="s">
        <v>495</v>
      </c>
      <c r="H6" s="114" t="s">
        <v>491</v>
      </c>
      <c r="I6" s="114" t="s">
        <v>492</v>
      </c>
      <c r="J6" s="114" t="s">
        <v>493</v>
      </c>
      <c r="K6" s="114" t="s">
        <v>494</v>
      </c>
      <c r="L6" s="114" t="s">
        <v>495</v>
      </c>
      <c r="M6" s="105" t="s">
        <v>496</v>
      </c>
      <c r="N6" s="105" t="s">
        <v>497</v>
      </c>
      <c r="O6" s="105"/>
      <c r="P6" s="105"/>
      <c r="Q6" s="105"/>
      <c r="R6" s="105"/>
      <c r="S6" s="105"/>
      <c r="T6" s="115" t="s">
        <v>498</v>
      </c>
      <c r="U6" s="105"/>
      <c r="V6" s="115" t="s">
        <v>499</v>
      </c>
      <c r="W6" s="105"/>
      <c r="X6" s="116" t="s">
        <v>500</v>
      </c>
      <c r="Y6" s="105"/>
      <c r="Z6" s="100"/>
      <c r="AA6" s="112" t="s">
        <v>501</v>
      </c>
      <c r="AB6" s="113">
        <v>85.32</v>
      </c>
      <c r="AC6" s="113">
        <v>85.32</v>
      </c>
      <c r="AD6" s="113">
        <v>92.97</v>
      </c>
      <c r="AE6" s="113">
        <v>45.27</v>
      </c>
      <c r="AF6" s="106"/>
      <c r="AG6" s="103"/>
      <c r="AH6" s="106"/>
      <c r="AI6" s="106"/>
      <c r="AJ6" s="106"/>
      <c r="AL6" s="107"/>
      <c r="AM6" s="107"/>
      <c r="AN6" s="107"/>
      <c r="AX6" s="106"/>
      <c r="BA6" s="106"/>
      <c r="BB6" s="106"/>
      <c r="BE6" s="106"/>
    </row>
    <row r="7" spans="2:57" ht="17.5" x14ac:dyDescent="0.45">
      <c r="B7" s="117">
        <v>0</v>
      </c>
      <c r="C7" s="118">
        <v>1.1279999999999999</v>
      </c>
      <c r="D7" s="119">
        <v>1.0980000000000001</v>
      </c>
      <c r="E7" s="119">
        <v>1.0640000000000001</v>
      </c>
      <c r="F7" s="119">
        <v>1.054</v>
      </c>
      <c r="G7" s="120">
        <v>1.038</v>
      </c>
      <c r="H7" s="121">
        <v>1.1319999999999999</v>
      </c>
      <c r="I7" s="122">
        <v>1.1040000000000001</v>
      </c>
      <c r="J7" s="122">
        <v>1.0720000000000001</v>
      </c>
      <c r="K7" s="122">
        <v>1.0620000000000001</v>
      </c>
      <c r="L7" s="123">
        <v>1.0620000000000001</v>
      </c>
      <c r="M7" s="124">
        <v>6.5579999999999998</v>
      </c>
      <c r="N7" s="124">
        <v>6.5739999999999998</v>
      </c>
      <c r="O7" s="125">
        <v>1.258</v>
      </c>
      <c r="P7" s="126">
        <v>1.5509999999999999</v>
      </c>
      <c r="Q7" s="124">
        <v>1.2569999999999999</v>
      </c>
      <c r="R7" s="124">
        <v>1.2509999999999999</v>
      </c>
      <c r="S7" s="127">
        <v>18.440000000000001</v>
      </c>
      <c r="T7" s="127">
        <v>15.31</v>
      </c>
      <c r="U7" s="128">
        <v>118</v>
      </c>
      <c r="V7" s="129">
        <v>11.42</v>
      </c>
      <c r="W7" s="130">
        <v>4</v>
      </c>
      <c r="X7" s="131">
        <v>0.45</v>
      </c>
      <c r="Y7" s="131">
        <v>3.45</v>
      </c>
      <c r="Z7" s="100"/>
      <c r="AA7" s="112" t="s">
        <v>502</v>
      </c>
      <c r="AB7" s="113">
        <v>15.94</v>
      </c>
      <c r="AC7" s="113">
        <v>15.94</v>
      </c>
      <c r="AD7" s="113">
        <v>16.010000000000002</v>
      </c>
      <c r="AE7" s="113">
        <v>15.94</v>
      </c>
      <c r="AF7" s="106"/>
      <c r="AG7" s="103"/>
      <c r="AH7" s="106"/>
      <c r="AI7" s="106"/>
      <c r="AJ7" s="106"/>
      <c r="AL7" s="107"/>
      <c r="AM7" s="107"/>
      <c r="AN7" s="107"/>
      <c r="AX7" s="106"/>
      <c r="BA7" s="106"/>
      <c r="BB7" s="106"/>
      <c r="BE7" s="106"/>
    </row>
    <row r="8" spans="2:57" ht="17.5" x14ac:dyDescent="0.45">
      <c r="B8" s="117">
        <v>1</v>
      </c>
      <c r="C8" s="132">
        <v>1.1339999999999999</v>
      </c>
      <c r="D8" s="133">
        <v>1.1060000000000001</v>
      </c>
      <c r="E8" s="133">
        <v>1.075</v>
      </c>
      <c r="F8" s="133">
        <v>1.0649999999999999</v>
      </c>
      <c r="G8" s="134">
        <v>1.05</v>
      </c>
      <c r="H8" s="135">
        <v>1.1379999999999999</v>
      </c>
      <c r="I8" s="136">
        <v>1.1120000000000001</v>
      </c>
      <c r="J8" s="136">
        <v>1.0820000000000001</v>
      </c>
      <c r="K8" s="136">
        <v>1.073</v>
      </c>
      <c r="L8" s="137">
        <v>1.073</v>
      </c>
      <c r="M8" s="124">
        <v>6.6989999999999998</v>
      </c>
      <c r="N8" s="124">
        <v>6.7159999999999993</v>
      </c>
      <c r="O8" s="125">
        <v>1.2729999999999999</v>
      </c>
      <c r="P8" s="125">
        <v>1.5840000000000001</v>
      </c>
      <c r="Q8" s="124">
        <v>1.272</v>
      </c>
      <c r="R8" s="124">
        <v>1.282</v>
      </c>
      <c r="S8" s="127">
        <v>19.25</v>
      </c>
      <c r="T8" s="127">
        <v>16.36</v>
      </c>
      <c r="U8" s="128">
        <v>122</v>
      </c>
      <c r="V8" s="129">
        <v>11.48</v>
      </c>
      <c r="W8" s="130">
        <v>8</v>
      </c>
      <c r="X8" s="131">
        <v>0.55000000000000004</v>
      </c>
      <c r="Y8" s="131">
        <v>6.55</v>
      </c>
      <c r="Z8" s="100"/>
      <c r="AA8" s="112" t="s">
        <v>503</v>
      </c>
      <c r="AB8" s="113">
        <v>18.829999999999998</v>
      </c>
      <c r="AC8" s="113">
        <v>18.829999999999998</v>
      </c>
      <c r="AD8" s="138">
        <v>20.399999999999999</v>
      </c>
      <c r="AE8" s="139">
        <v>0</v>
      </c>
      <c r="AF8" s="106"/>
      <c r="AG8" s="103"/>
      <c r="AH8" s="106"/>
      <c r="AI8" s="106"/>
      <c r="AJ8" s="106"/>
      <c r="AL8" s="107"/>
      <c r="AM8" s="107"/>
      <c r="AN8" s="107"/>
      <c r="AX8" s="106"/>
      <c r="BA8" s="106"/>
      <c r="BB8" s="106"/>
      <c r="BE8" s="106"/>
    </row>
    <row r="9" spans="2:57" ht="17.5" x14ac:dyDescent="0.45">
      <c r="B9" s="117">
        <v>2</v>
      </c>
      <c r="C9" s="132">
        <v>1.141</v>
      </c>
      <c r="D9" s="133">
        <v>1.115</v>
      </c>
      <c r="E9" s="133">
        <v>1.085</v>
      </c>
      <c r="F9" s="133">
        <v>1.0760000000000001</v>
      </c>
      <c r="G9" s="134">
        <v>1.0620000000000001</v>
      </c>
      <c r="H9" s="135">
        <v>1.145</v>
      </c>
      <c r="I9" s="136">
        <v>1.1200000000000001</v>
      </c>
      <c r="J9" s="136">
        <v>1.0920000000000001</v>
      </c>
      <c r="K9" s="136">
        <v>1.0840000000000001</v>
      </c>
      <c r="L9" s="137">
        <v>1.0840000000000001</v>
      </c>
      <c r="M9" s="124">
        <v>6.8490000000000002</v>
      </c>
      <c r="N9" s="124">
        <v>6.8650000000000002</v>
      </c>
      <c r="O9" s="125">
        <v>1.288</v>
      </c>
      <c r="P9" s="125">
        <v>1.6180000000000001</v>
      </c>
      <c r="Q9" s="124">
        <v>1.288</v>
      </c>
      <c r="R9" s="124">
        <v>1.3129999999999999</v>
      </c>
      <c r="S9" s="127">
        <v>20.34</v>
      </c>
      <c r="T9" s="127">
        <v>17.48</v>
      </c>
      <c r="U9" s="128">
        <v>126</v>
      </c>
      <c r="V9" s="129">
        <v>11.53</v>
      </c>
      <c r="W9" s="130">
        <v>12</v>
      </c>
      <c r="X9" s="140">
        <v>0.65</v>
      </c>
      <c r="Y9" s="131">
        <v>9.65</v>
      </c>
      <c r="Z9" s="100"/>
      <c r="AA9" s="112" t="s">
        <v>504</v>
      </c>
      <c r="AB9" s="113">
        <v>49.07</v>
      </c>
      <c r="AC9" s="113">
        <v>49.07</v>
      </c>
      <c r="AD9" s="113">
        <v>52.47</v>
      </c>
      <c r="AE9" s="139">
        <v>0</v>
      </c>
      <c r="AF9" s="106"/>
      <c r="AG9" s="103"/>
      <c r="AH9" s="106"/>
      <c r="AI9" s="106"/>
      <c r="AJ9" s="106"/>
      <c r="AL9" s="107"/>
      <c r="AM9" s="107"/>
      <c r="AN9" s="107"/>
      <c r="AX9" s="106"/>
      <c r="BA9" s="106"/>
      <c r="BB9" s="106"/>
      <c r="BE9" s="106"/>
    </row>
    <row r="10" spans="2:57" ht="17.5" x14ac:dyDescent="0.45">
      <c r="B10" s="117">
        <v>3</v>
      </c>
      <c r="C10" s="132">
        <v>1.147</v>
      </c>
      <c r="D10" s="133">
        <v>1.123</v>
      </c>
      <c r="E10" s="133">
        <v>1.0960000000000001</v>
      </c>
      <c r="F10" s="133">
        <v>1.087</v>
      </c>
      <c r="G10" s="134">
        <v>1.0740000000000001</v>
      </c>
      <c r="H10" s="135">
        <v>1.1519999999999999</v>
      </c>
      <c r="I10" s="136">
        <v>1.129</v>
      </c>
      <c r="J10" s="136">
        <v>1.103</v>
      </c>
      <c r="K10" s="136">
        <v>1.095</v>
      </c>
      <c r="L10" s="137">
        <v>1.095</v>
      </c>
      <c r="M10" s="124">
        <v>7.0040000000000004</v>
      </c>
      <c r="N10" s="124">
        <v>7.0209999999999999</v>
      </c>
      <c r="O10" s="125">
        <v>1.3029999999999999</v>
      </c>
      <c r="P10" s="125">
        <v>1.651</v>
      </c>
      <c r="Q10" s="124">
        <v>1.3029999999999999</v>
      </c>
      <c r="R10" s="124">
        <v>1.3440000000000001</v>
      </c>
      <c r="S10" s="127">
        <v>21.2</v>
      </c>
      <c r="T10" s="127">
        <v>18.66</v>
      </c>
      <c r="U10" s="128">
        <v>130</v>
      </c>
      <c r="V10" s="129">
        <v>11.58</v>
      </c>
      <c r="W10" s="130">
        <v>16</v>
      </c>
      <c r="X10" s="140">
        <v>0.75</v>
      </c>
      <c r="Y10" s="131">
        <v>12.75</v>
      </c>
      <c r="Z10" s="100"/>
      <c r="AA10" s="112" t="s">
        <v>505</v>
      </c>
      <c r="AB10" s="113">
        <v>138.47</v>
      </c>
      <c r="AC10" s="113">
        <v>138.47</v>
      </c>
      <c r="AD10" s="113">
        <v>139.46</v>
      </c>
      <c r="AE10" s="139">
        <v>0</v>
      </c>
      <c r="AF10" s="106"/>
      <c r="AG10" s="103"/>
      <c r="AH10" s="106"/>
      <c r="AI10" s="106"/>
      <c r="AJ10" s="106"/>
      <c r="AL10" s="107"/>
      <c r="AM10" s="107"/>
      <c r="AN10" s="107"/>
      <c r="AX10" s="106"/>
      <c r="BA10" s="106"/>
      <c r="BB10" s="106"/>
      <c r="BE10" s="106"/>
    </row>
    <row r="11" spans="2:57" ht="17.5" x14ac:dyDescent="0.45">
      <c r="B11" s="117">
        <v>4</v>
      </c>
      <c r="C11" s="132">
        <v>1.1539999999999999</v>
      </c>
      <c r="D11" s="133">
        <v>1.1319999999999999</v>
      </c>
      <c r="E11" s="133">
        <v>1.1060000000000001</v>
      </c>
      <c r="F11" s="133">
        <v>1.0980000000000001</v>
      </c>
      <c r="G11" s="134">
        <v>1.0860000000000001</v>
      </c>
      <c r="H11" s="135">
        <v>1.1579999999999999</v>
      </c>
      <c r="I11" s="136">
        <v>1.137</v>
      </c>
      <c r="J11" s="136">
        <v>1.113</v>
      </c>
      <c r="K11" s="136">
        <v>1.105</v>
      </c>
      <c r="L11" s="137">
        <v>1.105</v>
      </c>
      <c r="M11" s="124">
        <v>7.1659999999999995</v>
      </c>
      <c r="N11" s="124">
        <v>7.1829999999999998</v>
      </c>
      <c r="O11" s="125">
        <v>1.3180000000000001</v>
      </c>
      <c r="P11" s="125">
        <v>1.6859999999999999</v>
      </c>
      <c r="Q11" s="124">
        <v>1.3180000000000001</v>
      </c>
      <c r="R11" s="124">
        <v>1.3759999999999999</v>
      </c>
      <c r="S11" s="127">
        <v>22.48</v>
      </c>
      <c r="T11" s="127">
        <v>19.91</v>
      </c>
      <c r="U11" s="128">
        <v>135</v>
      </c>
      <c r="V11" s="129">
        <v>11.63</v>
      </c>
      <c r="W11" s="130">
        <v>20</v>
      </c>
      <c r="X11" s="140">
        <v>0.9</v>
      </c>
      <c r="Y11" s="131">
        <v>16.45</v>
      </c>
      <c r="Z11" s="100"/>
      <c r="AA11" s="112" t="s">
        <v>506</v>
      </c>
      <c r="AB11" s="113">
        <v>22.86</v>
      </c>
      <c r="AC11" s="113">
        <v>222.55</v>
      </c>
      <c r="AD11" s="113">
        <v>245.44</v>
      </c>
      <c r="AE11" s="139">
        <v>0</v>
      </c>
      <c r="AF11" s="106"/>
      <c r="AG11" s="103"/>
      <c r="AH11" s="106"/>
      <c r="AI11" s="106"/>
      <c r="AJ11" s="106"/>
      <c r="AL11" s="107"/>
      <c r="AM11" s="107"/>
      <c r="AN11" s="107"/>
      <c r="AX11" s="106"/>
      <c r="BA11" s="106"/>
      <c r="BB11" s="106"/>
      <c r="BE11" s="106"/>
    </row>
    <row r="12" spans="2:57" ht="17.5" x14ac:dyDescent="0.45">
      <c r="B12" s="117">
        <v>5</v>
      </c>
      <c r="C12" s="132">
        <v>1.161</v>
      </c>
      <c r="D12" s="133">
        <v>1.1399999999999999</v>
      </c>
      <c r="E12" s="133">
        <v>1.1160000000000001</v>
      </c>
      <c r="F12" s="133">
        <v>1.109</v>
      </c>
      <c r="G12" s="134">
        <v>1.097</v>
      </c>
      <c r="H12" s="135">
        <v>1.165</v>
      </c>
      <c r="I12" s="136">
        <v>1.1459999999999999</v>
      </c>
      <c r="J12" s="136">
        <v>1.123</v>
      </c>
      <c r="K12" s="136">
        <v>1.1160000000000001</v>
      </c>
      <c r="L12" s="137">
        <v>1.1160000000000001</v>
      </c>
      <c r="M12" s="124">
        <v>7.3359999999999994</v>
      </c>
      <c r="N12" s="124">
        <v>7.3529999999999998</v>
      </c>
      <c r="O12" s="125">
        <v>1.333</v>
      </c>
      <c r="P12" s="125">
        <v>1.7190000000000001</v>
      </c>
      <c r="Q12" s="124">
        <v>1.333</v>
      </c>
      <c r="R12" s="124">
        <v>1.407</v>
      </c>
      <c r="S12" s="127">
        <v>23.44</v>
      </c>
      <c r="T12" s="127">
        <v>21.22</v>
      </c>
      <c r="U12" s="128">
        <v>139</v>
      </c>
      <c r="V12" s="129">
        <v>11.68</v>
      </c>
      <c r="W12" s="130">
        <v>24</v>
      </c>
      <c r="X12" s="140">
        <v>1.05</v>
      </c>
      <c r="Y12" s="131">
        <v>16.45</v>
      </c>
      <c r="Z12" s="100"/>
      <c r="AA12" s="112" t="s">
        <v>507</v>
      </c>
      <c r="AB12" s="138">
        <v>263.39999999999998</v>
      </c>
      <c r="AC12" s="138">
        <v>263.39999999999998</v>
      </c>
      <c r="AD12" s="138">
        <v>277.10000000000002</v>
      </c>
      <c r="AE12" s="139">
        <v>0</v>
      </c>
      <c r="AF12" s="106"/>
      <c r="AG12" s="103"/>
      <c r="AH12" s="106"/>
      <c r="AI12" s="106"/>
      <c r="AJ12" s="106"/>
      <c r="AL12" s="107"/>
      <c r="AM12" s="107"/>
      <c r="AN12" s="107"/>
      <c r="AX12" s="106"/>
      <c r="BA12" s="106"/>
      <c r="BB12" s="106"/>
      <c r="BE12" s="106"/>
    </row>
    <row r="13" spans="2:57" ht="17.5" x14ac:dyDescent="0.45">
      <c r="B13" s="117">
        <v>6</v>
      </c>
      <c r="C13" s="132">
        <v>1.167</v>
      </c>
      <c r="D13" s="133">
        <v>1.149</v>
      </c>
      <c r="E13" s="133">
        <v>1.127</v>
      </c>
      <c r="F13" s="133">
        <v>1.1200000000000001</v>
      </c>
      <c r="G13" s="134">
        <v>1.109</v>
      </c>
      <c r="H13" s="135">
        <v>1.171</v>
      </c>
      <c r="I13" s="136">
        <v>1.1539999999999999</v>
      </c>
      <c r="J13" s="136">
        <v>1.1339999999999999</v>
      </c>
      <c r="K13" s="136">
        <v>1.127</v>
      </c>
      <c r="L13" s="137">
        <v>1.127</v>
      </c>
      <c r="M13" s="124">
        <v>7.5140000000000002</v>
      </c>
      <c r="N13" s="124">
        <v>7.532</v>
      </c>
      <c r="O13" s="125">
        <v>1.3480000000000001</v>
      </c>
      <c r="P13" s="125">
        <v>1.7529999999999999</v>
      </c>
      <c r="Q13" s="124">
        <v>1.3480000000000001</v>
      </c>
      <c r="R13" s="124">
        <v>1.4379999999999999</v>
      </c>
      <c r="S13" s="127">
        <v>24.7</v>
      </c>
      <c r="T13" s="127">
        <v>22.6</v>
      </c>
      <c r="U13" s="128">
        <v>143</v>
      </c>
      <c r="V13" s="129">
        <v>11.73</v>
      </c>
      <c r="W13" s="130">
        <v>28</v>
      </c>
      <c r="X13" s="140">
        <v>1.2</v>
      </c>
      <c r="Y13" s="131">
        <v>16.45</v>
      </c>
      <c r="Z13" s="100"/>
      <c r="AA13" s="112" t="s">
        <v>508</v>
      </c>
      <c r="AB13" s="113">
        <f xml:space="preserve"> SUM(AB5:AB10,AB12) + (AB11*2)</f>
        <v>653.42999999999995</v>
      </c>
      <c r="AC13" s="113">
        <f xml:space="preserve"> SUM(AC5:AC10,AC12) + (AC11*2)</f>
        <v>1067.75</v>
      </c>
      <c r="AD13" s="113">
        <f xml:space="preserve"> SUM(AD5:AD10,AD12) + (AD11*2)</f>
        <v>1142.77</v>
      </c>
      <c r="AE13" s="113">
        <f xml:space="preserve"> SUM(AE5:AE10,AE12) + (AE11*2)</f>
        <v>94.9</v>
      </c>
      <c r="AF13" s="106"/>
      <c r="AG13" s="103"/>
      <c r="AH13" s="106"/>
      <c r="AI13" s="106"/>
      <c r="AJ13" s="106"/>
      <c r="AL13" s="107"/>
      <c r="AM13" s="107"/>
      <c r="AN13" s="107"/>
    </row>
    <row r="14" spans="2:57" ht="17.5" x14ac:dyDescent="0.45">
      <c r="B14" s="117">
        <v>7</v>
      </c>
      <c r="C14" s="132">
        <v>1.1739999999999999</v>
      </c>
      <c r="D14" s="133">
        <v>1.157</v>
      </c>
      <c r="E14" s="133">
        <v>1.137</v>
      </c>
      <c r="F14" s="133">
        <v>1.131</v>
      </c>
      <c r="G14" s="134">
        <v>1.121</v>
      </c>
      <c r="H14" s="135">
        <v>1.1779999999999999</v>
      </c>
      <c r="I14" s="136">
        <v>1.1619999999999999</v>
      </c>
      <c r="J14" s="136">
        <v>1.1439999999999999</v>
      </c>
      <c r="K14" s="136">
        <v>1.1379999999999999</v>
      </c>
      <c r="L14" s="137">
        <v>1.1379999999999999</v>
      </c>
      <c r="M14" s="124">
        <v>7.702</v>
      </c>
      <c r="N14" s="124">
        <v>7.7200000000000006</v>
      </c>
      <c r="O14" s="125">
        <v>1.363</v>
      </c>
      <c r="P14" s="125">
        <v>1.786</v>
      </c>
      <c r="Q14" s="124">
        <v>1.363</v>
      </c>
      <c r="R14" s="124">
        <v>1.4690000000000001</v>
      </c>
      <c r="S14" s="127">
        <v>25.73</v>
      </c>
      <c r="T14" s="127">
        <v>24.04</v>
      </c>
      <c r="U14" s="128">
        <v>147</v>
      </c>
      <c r="V14" s="129">
        <v>11.79</v>
      </c>
      <c r="W14" s="130">
        <v>32</v>
      </c>
      <c r="X14" s="140">
        <v>1.35</v>
      </c>
      <c r="Y14" s="131">
        <v>16.45</v>
      </c>
      <c r="Z14" s="100"/>
      <c r="AF14" s="106"/>
      <c r="AG14" s="103"/>
      <c r="AH14" s="106"/>
      <c r="AI14" s="106"/>
      <c r="AJ14" s="106"/>
      <c r="AL14" s="107"/>
      <c r="AM14" s="107"/>
      <c r="AN14" s="107"/>
    </row>
    <row r="15" spans="2:57" ht="17.5" x14ac:dyDescent="0.45">
      <c r="B15" s="117">
        <v>8</v>
      </c>
      <c r="C15" s="132">
        <v>1.18</v>
      </c>
      <c r="D15" s="133">
        <v>1.1659999999999999</v>
      </c>
      <c r="E15" s="133">
        <v>1.1479999999999999</v>
      </c>
      <c r="F15" s="133">
        <v>1.1419999999999999</v>
      </c>
      <c r="G15" s="134">
        <v>1.133</v>
      </c>
      <c r="H15" s="135">
        <v>1.1839999999999999</v>
      </c>
      <c r="I15" s="136">
        <v>1.171</v>
      </c>
      <c r="J15" s="136">
        <v>1.1539999999999999</v>
      </c>
      <c r="K15" s="136">
        <v>1.1479999999999999</v>
      </c>
      <c r="L15" s="137">
        <v>1.1479999999999999</v>
      </c>
      <c r="M15" s="124">
        <v>7.8979999999999997</v>
      </c>
      <c r="N15" s="124">
        <v>7.915</v>
      </c>
      <c r="O15" s="125">
        <v>1.379</v>
      </c>
      <c r="P15" s="125">
        <v>1.278</v>
      </c>
      <c r="Q15" s="125">
        <v>1.379</v>
      </c>
      <c r="R15" s="126">
        <v>1.5029999999999999</v>
      </c>
      <c r="S15" s="127">
        <v>27.32</v>
      </c>
      <c r="T15" s="127">
        <v>25.55</v>
      </c>
      <c r="U15" s="142">
        <v>151</v>
      </c>
      <c r="V15" s="129">
        <v>11.84</v>
      </c>
      <c r="W15" s="130">
        <v>36</v>
      </c>
      <c r="X15" s="143"/>
      <c r="Y15" s="144"/>
      <c r="Z15" s="100"/>
      <c r="AA15" s="145"/>
      <c r="AB15" s="145"/>
      <c r="AC15" s="145"/>
      <c r="AD15" s="145"/>
      <c r="AE15" s="145"/>
      <c r="AF15" s="106"/>
      <c r="AG15" s="106"/>
      <c r="AH15" s="106"/>
      <c r="AI15" s="106"/>
      <c r="AJ15" s="106"/>
      <c r="AL15" s="107"/>
      <c r="AM15" s="107"/>
      <c r="AN15" s="107"/>
    </row>
    <row r="16" spans="2:57" ht="17.5" x14ac:dyDescent="0.45">
      <c r="B16" s="117">
        <v>9</v>
      </c>
      <c r="C16" s="132">
        <v>1.1870000000000001</v>
      </c>
      <c r="D16" s="133">
        <v>1.1739999999999999</v>
      </c>
      <c r="E16" s="133">
        <v>1.1579999999999999</v>
      </c>
      <c r="F16" s="133">
        <v>1.153</v>
      </c>
      <c r="G16" s="134">
        <v>1.145</v>
      </c>
      <c r="H16" s="135">
        <v>1.19</v>
      </c>
      <c r="I16" s="136">
        <v>1.179</v>
      </c>
      <c r="J16" s="136">
        <v>1.1639999999999999</v>
      </c>
      <c r="K16" s="136">
        <v>1.159</v>
      </c>
      <c r="L16" s="137">
        <v>1.159</v>
      </c>
      <c r="M16" s="124">
        <v>8.1049999999999986</v>
      </c>
      <c r="N16" s="124">
        <v>8.1229999999999993</v>
      </c>
      <c r="O16" s="125">
        <v>1.3939999999999999</v>
      </c>
      <c r="P16" s="125">
        <v>1.3109999999999999</v>
      </c>
      <c r="Q16" s="124">
        <v>1.3939999999999999</v>
      </c>
      <c r="R16" s="124">
        <v>1.534</v>
      </c>
      <c r="S16" s="127">
        <v>28.53</v>
      </c>
      <c r="T16" s="127">
        <v>27.12</v>
      </c>
      <c r="U16" s="128">
        <v>156</v>
      </c>
      <c r="V16" s="129">
        <v>11.9</v>
      </c>
      <c r="W16" s="130">
        <v>40</v>
      </c>
      <c r="X16" s="143"/>
      <c r="Y16" s="144"/>
      <c r="Z16" s="100"/>
      <c r="AA16" s="145"/>
      <c r="AB16" s="145"/>
      <c r="AC16" s="145"/>
      <c r="AD16" s="145"/>
      <c r="AE16" s="145"/>
      <c r="AF16" s="106"/>
      <c r="AG16" s="106"/>
      <c r="AH16" s="106"/>
      <c r="AI16" s="106"/>
      <c r="AJ16" s="106"/>
      <c r="AL16" s="107"/>
      <c r="AM16" s="107"/>
      <c r="AN16" s="107"/>
    </row>
    <row r="17" spans="2:40" ht="17.5" x14ac:dyDescent="0.45">
      <c r="B17" s="117">
        <v>10</v>
      </c>
      <c r="C17" s="132">
        <v>1.1930000000000001</v>
      </c>
      <c r="D17" s="133">
        <v>1.1830000000000001</v>
      </c>
      <c r="E17" s="133">
        <v>1.169</v>
      </c>
      <c r="F17" s="133">
        <v>1.1639999999999999</v>
      </c>
      <c r="G17" s="134">
        <v>1.1559999999999999</v>
      </c>
      <c r="H17" s="135">
        <v>1.1970000000000001</v>
      </c>
      <c r="I17" s="136">
        <v>1.1870000000000001</v>
      </c>
      <c r="J17" s="136">
        <v>1.1739999999999999</v>
      </c>
      <c r="K17" s="136">
        <v>1.17</v>
      </c>
      <c r="L17" s="137">
        <v>1.17</v>
      </c>
      <c r="M17" s="124">
        <v>8.3230000000000004</v>
      </c>
      <c r="N17" s="124">
        <v>8.3410000000000011</v>
      </c>
      <c r="O17" s="125">
        <v>1.409</v>
      </c>
      <c r="P17" s="125">
        <v>1.345</v>
      </c>
      <c r="Q17" s="124">
        <v>1.409</v>
      </c>
      <c r="R17" s="124">
        <v>1.5649999999999999</v>
      </c>
      <c r="S17" s="127">
        <v>29.99</v>
      </c>
      <c r="T17" s="127">
        <v>28.75</v>
      </c>
      <c r="U17" s="128">
        <v>160</v>
      </c>
      <c r="V17" s="129">
        <v>11.95</v>
      </c>
      <c r="W17" s="130">
        <v>44</v>
      </c>
      <c r="X17" s="143"/>
      <c r="Y17" s="144"/>
      <c r="Z17" s="100"/>
      <c r="AA17" s="145"/>
      <c r="AB17" s="145"/>
      <c r="AC17" s="145"/>
      <c r="AD17" s="145"/>
      <c r="AE17" s="145"/>
      <c r="AF17" s="106"/>
      <c r="AG17" s="106"/>
      <c r="AH17" s="106"/>
      <c r="AI17" s="106"/>
      <c r="AJ17" s="106"/>
      <c r="AL17" s="107"/>
      <c r="AM17" s="107"/>
      <c r="AN17" s="107"/>
    </row>
    <row r="18" spans="2:40" ht="17.5" x14ac:dyDescent="0.45">
      <c r="B18" s="117">
        <v>11</v>
      </c>
      <c r="C18" s="132">
        <v>1.2</v>
      </c>
      <c r="D18" s="133">
        <v>1.1910000000000001</v>
      </c>
      <c r="E18" s="133">
        <v>1.179</v>
      </c>
      <c r="F18" s="133">
        <v>1.175</v>
      </c>
      <c r="G18" s="134">
        <v>1.1679999999999999</v>
      </c>
      <c r="H18" s="135">
        <v>1.2030000000000001</v>
      </c>
      <c r="I18" s="136">
        <v>1.196</v>
      </c>
      <c r="J18" s="136">
        <v>1.1850000000000001</v>
      </c>
      <c r="K18" s="136">
        <v>1.181</v>
      </c>
      <c r="L18" s="137">
        <v>1.181</v>
      </c>
      <c r="M18" s="124">
        <v>8.5540000000000003</v>
      </c>
      <c r="N18" s="124">
        <v>8.572000000000001</v>
      </c>
      <c r="O18" s="125">
        <v>1.4239999999999999</v>
      </c>
      <c r="P18" s="125">
        <v>1.3779999999999999</v>
      </c>
      <c r="Q18" s="124">
        <v>1.4239999999999999</v>
      </c>
      <c r="R18" s="124">
        <v>1.5960000000000001</v>
      </c>
      <c r="S18" s="127">
        <v>31.28</v>
      </c>
      <c r="T18" s="127">
        <v>30.46</v>
      </c>
      <c r="U18" s="128">
        <v>164</v>
      </c>
      <c r="V18" s="129">
        <v>12.01</v>
      </c>
      <c r="W18" s="130">
        <v>48</v>
      </c>
      <c r="X18" s="146"/>
      <c r="Y18" s="146"/>
      <c r="Z18" s="100"/>
      <c r="AA18" s="145"/>
      <c r="AB18" s="145"/>
      <c r="AC18" s="145"/>
      <c r="AD18" s="145"/>
      <c r="AE18" s="145"/>
      <c r="AF18" s="106"/>
      <c r="AG18" s="106"/>
      <c r="AH18" s="106"/>
      <c r="AI18" s="106"/>
      <c r="AJ18" s="106"/>
      <c r="AL18" s="107"/>
      <c r="AM18" s="107"/>
      <c r="AN18" s="107"/>
    </row>
    <row r="19" spans="2:40" ht="17.5" x14ac:dyDescent="0.45">
      <c r="B19" s="117">
        <v>12</v>
      </c>
      <c r="C19" s="132">
        <v>1.2070000000000001</v>
      </c>
      <c r="D19" s="133">
        <v>1.2</v>
      </c>
      <c r="E19" s="133">
        <v>1.1890000000000001</v>
      </c>
      <c r="F19" s="133">
        <v>1.1859999999999999</v>
      </c>
      <c r="G19" s="134">
        <v>1.18</v>
      </c>
      <c r="H19" s="135">
        <v>1.21</v>
      </c>
      <c r="I19" s="136">
        <v>1.204</v>
      </c>
      <c r="J19" s="136">
        <v>1.1950000000000001</v>
      </c>
      <c r="K19" s="136">
        <v>1.1919999999999999</v>
      </c>
      <c r="L19" s="137">
        <v>1.1919999999999999</v>
      </c>
      <c r="M19" s="124">
        <v>8.798</v>
      </c>
      <c r="N19" s="124">
        <v>8.8160000000000007</v>
      </c>
      <c r="O19" s="125">
        <v>1.4390000000000001</v>
      </c>
      <c r="P19" s="125">
        <v>1.413</v>
      </c>
      <c r="Q19" s="124">
        <v>1.44</v>
      </c>
      <c r="R19" s="124">
        <v>1.6279999999999999</v>
      </c>
      <c r="S19" s="127">
        <v>32.97</v>
      </c>
      <c r="T19" s="127">
        <v>32.229999999999997</v>
      </c>
      <c r="U19" s="128">
        <v>168</v>
      </c>
      <c r="V19" s="129">
        <v>12.06</v>
      </c>
      <c r="W19" s="130">
        <v>52</v>
      </c>
      <c r="X19" s="146"/>
      <c r="Y19" s="146"/>
      <c r="Z19" s="100"/>
      <c r="AA19" s="145"/>
      <c r="AB19" s="106"/>
      <c r="AC19" s="106"/>
      <c r="AD19" s="106"/>
      <c r="AE19" s="106"/>
      <c r="AF19" s="106"/>
      <c r="AG19" s="106"/>
      <c r="AH19" s="106"/>
      <c r="AI19" s="106"/>
      <c r="AJ19" s="106"/>
      <c r="AL19" s="107"/>
      <c r="AM19" s="107"/>
      <c r="AN19" s="107"/>
    </row>
    <row r="20" spans="2:40" ht="17.5" x14ac:dyDescent="0.45">
      <c r="B20" s="117">
        <v>13</v>
      </c>
      <c r="C20" s="132">
        <v>1.2130000000000001</v>
      </c>
      <c r="D20" s="133">
        <v>1.208</v>
      </c>
      <c r="E20" s="133">
        <v>1.2</v>
      </c>
      <c r="F20" s="133">
        <v>1.1970000000000001</v>
      </c>
      <c r="G20" s="134">
        <v>1.1919999999999999</v>
      </c>
      <c r="H20" s="135">
        <v>1.216</v>
      </c>
      <c r="I20" s="136">
        <v>1.2130000000000001</v>
      </c>
      <c r="J20" s="136">
        <v>1.2050000000000001</v>
      </c>
      <c r="K20" s="136">
        <v>1.202</v>
      </c>
      <c r="L20" s="137">
        <v>1.202</v>
      </c>
      <c r="M20" s="124">
        <v>9.0559999999999992</v>
      </c>
      <c r="N20" s="124">
        <v>9.0739999999999998</v>
      </c>
      <c r="O20" s="125">
        <v>1.454</v>
      </c>
      <c r="P20" s="125">
        <v>1.446</v>
      </c>
      <c r="Q20" s="124">
        <v>1.454</v>
      </c>
      <c r="R20" s="124">
        <v>1.659</v>
      </c>
      <c r="S20" s="127">
        <v>34.42</v>
      </c>
      <c r="T20" s="127">
        <v>34.07</v>
      </c>
      <c r="U20" s="128">
        <v>172</v>
      </c>
      <c r="V20" s="129">
        <v>12.12</v>
      </c>
      <c r="W20" s="130">
        <v>56</v>
      </c>
      <c r="X20" s="146"/>
      <c r="Y20" s="146"/>
      <c r="Z20" s="100"/>
      <c r="AA20" s="145"/>
      <c r="AB20" s="106"/>
      <c r="AC20" s="106"/>
      <c r="AD20" s="106"/>
      <c r="AE20" s="106"/>
      <c r="AF20" s="106"/>
      <c r="AG20" s="106"/>
      <c r="AH20" s="106"/>
      <c r="AI20" s="106"/>
      <c r="AJ20" s="106"/>
      <c r="AL20" s="107"/>
      <c r="AM20" s="107"/>
      <c r="AN20" s="107"/>
    </row>
    <row r="21" spans="2:40" ht="17.5" x14ac:dyDescent="0.45">
      <c r="B21" s="117">
        <v>14</v>
      </c>
      <c r="C21" s="132">
        <v>1.22</v>
      </c>
      <c r="D21" s="133">
        <v>1.2170000000000001</v>
      </c>
      <c r="E21" s="133">
        <v>1.21</v>
      </c>
      <c r="F21" s="133">
        <v>1.208</v>
      </c>
      <c r="G21" s="134">
        <v>1.2030000000000001</v>
      </c>
      <c r="H21" s="135">
        <v>1.2230000000000001</v>
      </c>
      <c r="I21" s="136">
        <v>1.2210000000000001</v>
      </c>
      <c r="J21" s="136">
        <v>1.2150000000000001</v>
      </c>
      <c r="K21" s="136">
        <v>1.2130000000000001</v>
      </c>
      <c r="L21" s="137">
        <v>1.2130000000000001</v>
      </c>
      <c r="M21" s="124">
        <v>9.33</v>
      </c>
      <c r="N21" s="124">
        <v>9.3490000000000002</v>
      </c>
      <c r="O21" s="125">
        <v>1.47</v>
      </c>
      <c r="P21" s="125">
        <v>1.4790000000000001</v>
      </c>
      <c r="Q21" s="124">
        <v>1.47</v>
      </c>
      <c r="R21" s="124">
        <v>1.69</v>
      </c>
      <c r="S21" s="127">
        <v>36.159999999999997</v>
      </c>
      <c r="T21" s="127">
        <v>35.979999999999997</v>
      </c>
      <c r="U21" s="128">
        <v>177</v>
      </c>
      <c r="V21" s="129">
        <v>12.17</v>
      </c>
      <c r="W21" s="130">
        <v>60</v>
      </c>
      <c r="X21" s="146"/>
      <c r="Y21" s="146"/>
      <c r="Z21" s="100"/>
      <c r="AA21" s="145"/>
      <c r="AB21" s="106"/>
      <c r="AC21" s="106"/>
      <c r="AD21" s="106"/>
      <c r="AE21" s="106"/>
      <c r="AF21" s="106"/>
      <c r="AG21" s="106"/>
      <c r="AH21" s="106"/>
      <c r="AI21" s="106"/>
      <c r="AJ21" s="106"/>
      <c r="AL21" s="107"/>
      <c r="AM21" s="107"/>
      <c r="AN21" s="107"/>
    </row>
    <row r="22" spans="2:40" ht="17.5" x14ac:dyDescent="0.45">
      <c r="B22" s="117">
        <v>15</v>
      </c>
      <c r="C22" s="132">
        <v>1.226</v>
      </c>
      <c r="D22" s="133">
        <v>1.2250000000000001</v>
      </c>
      <c r="E22" s="133">
        <v>1.2210000000000001</v>
      </c>
      <c r="F22" s="133">
        <v>1.2190000000000001</v>
      </c>
      <c r="G22" s="134">
        <v>1.2150000000000001</v>
      </c>
      <c r="H22" s="135">
        <v>1.2290000000000001</v>
      </c>
      <c r="I22" s="136">
        <v>1.2290000000000001</v>
      </c>
      <c r="J22" s="136">
        <v>1.226</v>
      </c>
      <c r="K22" s="136">
        <v>1.224</v>
      </c>
      <c r="L22" s="137">
        <v>1.224</v>
      </c>
      <c r="M22" s="124">
        <v>9.6210000000000004</v>
      </c>
      <c r="N22" s="124">
        <v>9.6399999999999988</v>
      </c>
      <c r="O22" s="125">
        <v>1.484</v>
      </c>
      <c r="P22" s="125">
        <v>1.512</v>
      </c>
      <c r="Q22" s="124">
        <v>1.4850000000000001</v>
      </c>
      <c r="R22" s="124">
        <v>1.722</v>
      </c>
      <c r="S22" s="127">
        <v>37.72</v>
      </c>
      <c r="T22" s="127">
        <v>37.979999999999997</v>
      </c>
      <c r="U22" s="128">
        <v>181</v>
      </c>
      <c r="V22" s="129">
        <v>12.23</v>
      </c>
      <c r="W22" s="130">
        <v>64</v>
      </c>
      <c r="X22" s="146"/>
      <c r="Y22" s="146"/>
      <c r="Z22" s="100"/>
      <c r="AA22" s="145"/>
      <c r="AB22" s="106"/>
      <c r="AC22" s="106"/>
      <c r="AD22" s="106"/>
      <c r="AE22" s="106"/>
      <c r="AF22" s="106"/>
      <c r="AG22" s="106"/>
      <c r="AH22" s="106"/>
      <c r="AI22" s="106"/>
      <c r="AJ22" s="106"/>
      <c r="AL22" s="107"/>
      <c r="AM22" s="107"/>
      <c r="AN22" s="107"/>
    </row>
    <row r="23" spans="2:40" ht="17.5" x14ac:dyDescent="0.45">
      <c r="B23" s="117">
        <v>16</v>
      </c>
      <c r="C23" s="147">
        <v>1.2330000000000001</v>
      </c>
      <c r="D23" s="148">
        <v>1.234</v>
      </c>
      <c r="E23" s="148">
        <v>1.2310000000000001</v>
      </c>
      <c r="F23" s="148">
        <v>1.2290000000000001</v>
      </c>
      <c r="G23" s="149">
        <v>1.2270000000000001</v>
      </c>
      <c r="H23" s="150">
        <v>1.2370000000000001</v>
      </c>
      <c r="I23" s="151">
        <v>1.2390000000000001</v>
      </c>
      <c r="J23" s="151">
        <v>1.238</v>
      </c>
      <c r="K23" s="151">
        <v>1.2370000000000001</v>
      </c>
      <c r="L23" s="152">
        <v>1.2370000000000001</v>
      </c>
      <c r="M23" s="153">
        <v>9.9429999999999996</v>
      </c>
      <c r="N23" s="153">
        <v>9.9619999999999997</v>
      </c>
      <c r="O23" s="126">
        <v>1.5009999999999999</v>
      </c>
      <c r="P23" s="154"/>
      <c r="Q23" s="153">
        <v>1.5009999999999999</v>
      </c>
      <c r="R23" s="155"/>
      <c r="S23" s="156">
        <v>40.049999999999997</v>
      </c>
      <c r="T23" s="156">
        <v>40.049999999999997</v>
      </c>
      <c r="U23" s="144"/>
      <c r="V23" s="129">
        <v>12.3</v>
      </c>
      <c r="W23" s="157"/>
      <c r="X23" s="146"/>
      <c r="Y23" s="146"/>
      <c r="Z23" s="100"/>
      <c r="AA23" s="145"/>
      <c r="AB23" s="106"/>
      <c r="AC23" s="106"/>
      <c r="AD23" s="106"/>
      <c r="AE23" s="106"/>
      <c r="AF23" s="106"/>
      <c r="AG23" s="106"/>
      <c r="AH23" s="106"/>
      <c r="AI23" s="106"/>
      <c r="AJ23" s="106"/>
      <c r="AL23" s="107"/>
      <c r="AM23" s="107"/>
      <c r="AN23" s="107"/>
    </row>
    <row r="24" spans="2:40" ht="17.5" x14ac:dyDescent="0.45">
      <c r="B24" s="117">
        <v>17</v>
      </c>
      <c r="C24" s="132">
        <v>1.2390000000000001</v>
      </c>
      <c r="D24" s="133">
        <v>1.242</v>
      </c>
      <c r="E24" s="133">
        <v>1.2410000000000001</v>
      </c>
      <c r="F24" s="133">
        <v>1.2410000000000001</v>
      </c>
      <c r="G24" s="134">
        <v>1.2390000000000001</v>
      </c>
      <c r="H24" s="135">
        <v>1.2430000000000001</v>
      </c>
      <c r="I24" s="136">
        <v>1.248</v>
      </c>
      <c r="J24" s="136">
        <v>1.248</v>
      </c>
      <c r="K24" s="136">
        <v>1.248</v>
      </c>
      <c r="L24" s="137">
        <v>1.248</v>
      </c>
      <c r="M24" s="124">
        <v>10.27</v>
      </c>
      <c r="N24" s="124">
        <v>10.29</v>
      </c>
      <c r="O24" s="125">
        <v>1.516</v>
      </c>
      <c r="P24" s="154"/>
      <c r="Q24" s="124">
        <v>1.516</v>
      </c>
      <c r="R24" s="155"/>
      <c r="S24" s="127">
        <v>41.95</v>
      </c>
      <c r="T24" s="127">
        <v>42.22</v>
      </c>
      <c r="U24" s="144"/>
      <c r="V24" s="129">
        <v>12.36</v>
      </c>
      <c r="W24" s="146"/>
      <c r="X24" s="146"/>
      <c r="Y24" s="146"/>
      <c r="Z24" s="100"/>
      <c r="AA24" s="145"/>
      <c r="AB24" s="106"/>
      <c r="AC24" s="106"/>
      <c r="AD24" s="106"/>
      <c r="AE24" s="106"/>
      <c r="AF24" s="106"/>
      <c r="AG24" s="106"/>
      <c r="AH24" s="106"/>
      <c r="AI24" s="106"/>
      <c r="AJ24" s="106"/>
      <c r="AL24" s="107"/>
      <c r="AM24" s="107"/>
      <c r="AN24" s="107"/>
    </row>
    <row r="25" spans="2:40" ht="17.5" x14ac:dyDescent="0.45">
      <c r="B25" s="117">
        <v>18</v>
      </c>
      <c r="C25" s="132">
        <v>1.246</v>
      </c>
      <c r="D25" s="133">
        <v>1.2509999999999999</v>
      </c>
      <c r="E25" s="133">
        <v>1.252</v>
      </c>
      <c r="F25" s="133">
        <v>1.2509999999999999</v>
      </c>
      <c r="G25" s="134">
        <v>1.25</v>
      </c>
      <c r="H25" s="135">
        <v>1.25</v>
      </c>
      <c r="I25" s="136">
        <v>1.256</v>
      </c>
      <c r="J25" s="136">
        <v>1.2589999999999999</v>
      </c>
      <c r="K25" s="136">
        <v>1.2589999999999999</v>
      </c>
      <c r="L25" s="137">
        <v>1.2589999999999999</v>
      </c>
      <c r="M25" s="124">
        <v>10.629999999999999</v>
      </c>
      <c r="N25" s="124">
        <v>10.65</v>
      </c>
      <c r="O25" s="125">
        <v>1.5309999999999999</v>
      </c>
      <c r="P25" s="154"/>
      <c r="Q25" s="124">
        <v>1.532</v>
      </c>
      <c r="R25" s="155"/>
      <c r="S25" s="127">
        <v>44.07</v>
      </c>
      <c r="T25" s="127">
        <v>44.47</v>
      </c>
      <c r="U25" s="144"/>
      <c r="V25" s="129">
        <v>12.42</v>
      </c>
      <c r="W25" s="146"/>
      <c r="X25" s="146"/>
      <c r="Y25" s="146"/>
      <c r="Z25" s="100"/>
      <c r="AA25" s="145"/>
      <c r="AB25" s="106"/>
      <c r="AC25" s="106"/>
      <c r="AD25" s="106"/>
      <c r="AE25" s="106"/>
      <c r="AF25" s="106"/>
      <c r="AG25" s="106"/>
      <c r="AH25" s="106"/>
      <c r="AI25" s="106"/>
      <c r="AJ25" s="106"/>
      <c r="AL25" s="107"/>
      <c r="AM25" s="107"/>
      <c r="AN25" s="107"/>
    </row>
    <row r="26" spans="2:40" ht="17.5" x14ac:dyDescent="0.45">
      <c r="B26" s="117">
        <v>19</v>
      </c>
      <c r="C26" s="132">
        <v>1.2529999999999999</v>
      </c>
      <c r="D26" s="133">
        <v>1.2589999999999999</v>
      </c>
      <c r="E26" s="133">
        <v>1.262</v>
      </c>
      <c r="F26" s="133">
        <v>1.262</v>
      </c>
      <c r="G26" s="134">
        <v>1.262</v>
      </c>
      <c r="H26" s="135">
        <v>1.256</v>
      </c>
      <c r="I26" s="136">
        <v>1.264</v>
      </c>
      <c r="J26" s="136">
        <v>1.2689999999999999</v>
      </c>
      <c r="K26" s="136">
        <v>1.2689999999999999</v>
      </c>
      <c r="L26" s="137">
        <v>1.2689999999999999</v>
      </c>
      <c r="M26" s="124">
        <v>11.01</v>
      </c>
      <c r="N26" s="124">
        <v>11.03</v>
      </c>
      <c r="O26" s="125">
        <v>1.546</v>
      </c>
      <c r="P26" s="154"/>
      <c r="Q26" s="124">
        <v>1.546</v>
      </c>
      <c r="R26" s="155"/>
      <c r="S26" s="127">
        <v>46.19</v>
      </c>
      <c r="T26" s="127">
        <v>46.83</v>
      </c>
      <c r="U26" s="144"/>
      <c r="V26" s="129">
        <v>12.48</v>
      </c>
      <c r="W26" s="146"/>
      <c r="X26" s="146"/>
      <c r="Y26" s="146"/>
      <c r="Z26" s="100"/>
      <c r="AA26" s="145"/>
      <c r="AB26" s="106"/>
      <c r="AC26" s="106"/>
      <c r="AD26" s="106"/>
      <c r="AE26" s="106"/>
      <c r="AF26" s="106"/>
      <c r="AG26" s="106"/>
      <c r="AH26" s="106"/>
      <c r="AI26" s="106"/>
      <c r="AJ26" s="106"/>
      <c r="AL26" s="107"/>
      <c r="AM26" s="107"/>
      <c r="AN26" s="107"/>
    </row>
    <row r="27" spans="2:40" ht="17.5" x14ac:dyDescent="0.45">
      <c r="B27" s="117">
        <v>20</v>
      </c>
      <c r="C27" s="132">
        <v>1.2589999999999999</v>
      </c>
      <c r="D27" s="133">
        <v>1.268</v>
      </c>
      <c r="E27" s="133">
        <v>1.2729999999999999</v>
      </c>
      <c r="F27" s="133">
        <v>1.2729999999999999</v>
      </c>
      <c r="G27" s="134">
        <v>1.274</v>
      </c>
      <c r="H27" s="135">
        <v>1.2629999999999999</v>
      </c>
      <c r="I27" s="136">
        <v>1.2729999999999999</v>
      </c>
      <c r="J27" s="136">
        <v>1.2789999999999999</v>
      </c>
      <c r="K27" s="136">
        <v>1.28</v>
      </c>
      <c r="L27" s="137">
        <v>1.28</v>
      </c>
      <c r="M27" s="124">
        <v>11.409999999999998</v>
      </c>
      <c r="N27" s="124">
        <v>11.430000000000001</v>
      </c>
      <c r="O27" s="125">
        <v>1.5609999999999999</v>
      </c>
      <c r="P27" s="154"/>
      <c r="Q27" s="124">
        <v>1.5620000000000001</v>
      </c>
      <c r="R27" s="155"/>
      <c r="S27" s="127">
        <v>48.54</v>
      </c>
      <c r="T27" s="127">
        <v>49.28</v>
      </c>
      <c r="U27" s="146"/>
      <c r="V27" s="129">
        <v>12.54</v>
      </c>
      <c r="W27" s="146"/>
      <c r="X27" s="146"/>
      <c r="Y27" s="146"/>
      <c r="Z27" s="100"/>
      <c r="AA27" s="145"/>
      <c r="AB27" s="106"/>
      <c r="AC27" s="106"/>
      <c r="AD27" s="106"/>
      <c r="AE27" s="106"/>
      <c r="AF27" s="106"/>
      <c r="AG27" s="106"/>
      <c r="AH27" s="106"/>
      <c r="AI27" s="106"/>
      <c r="AJ27" s="106"/>
      <c r="AL27" s="107"/>
      <c r="AM27" s="107"/>
      <c r="AN27" s="107"/>
    </row>
    <row r="28" spans="2:40" ht="17.5" x14ac:dyDescent="0.45">
      <c r="B28" s="117">
        <v>21</v>
      </c>
      <c r="C28" s="132">
        <v>1.266</v>
      </c>
      <c r="D28" s="133">
        <v>1.276</v>
      </c>
      <c r="E28" s="133">
        <v>1.2829999999999999</v>
      </c>
      <c r="F28" s="133">
        <v>1.284</v>
      </c>
      <c r="G28" s="134">
        <v>1.286</v>
      </c>
      <c r="H28" s="135">
        <v>1.2689999999999999</v>
      </c>
      <c r="I28" s="136">
        <v>1.2809999999999999</v>
      </c>
      <c r="J28" s="136">
        <v>1.2889999999999999</v>
      </c>
      <c r="K28" s="136">
        <v>1.2909999999999999</v>
      </c>
      <c r="L28" s="137">
        <v>1.2909999999999999</v>
      </c>
      <c r="M28" s="124">
        <v>11.85</v>
      </c>
      <c r="N28" s="124">
        <v>11.87</v>
      </c>
      <c r="O28" s="125">
        <v>1.5760000000000001</v>
      </c>
      <c r="P28" s="154"/>
      <c r="Q28" s="124">
        <v>1.577</v>
      </c>
      <c r="R28" s="155"/>
      <c r="S28" s="127">
        <v>50.96</v>
      </c>
      <c r="T28" s="127">
        <v>51.85</v>
      </c>
      <c r="U28" s="146"/>
      <c r="V28" s="129">
        <v>12.6</v>
      </c>
      <c r="W28" s="146"/>
      <c r="X28" s="146"/>
      <c r="Y28" s="146"/>
      <c r="Z28" s="100"/>
      <c r="AA28" s="145"/>
      <c r="AB28" s="106"/>
      <c r="AC28" s="106"/>
      <c r="AD28" s="106"/>
      <c r="AE28" s="106"/>
      <c r="AF28" s="106"/>
      <c r="AG28" s="106"/>
      <c r="AH28" s="106"/>
      <c r="AI28" s="106"/>
      <c r="AJ28" s="106"/>
      <c r="AL28" s="107"/>
      <c r="AM28" s="107"/>
      <c r="AN28" s="107"/>
    </row>
    <row r="29" spans="2:40" ht="17.5" x14ac:dyDescent="0.45">
      <c r="B29" s="117">
        <v>22</v>
      </c>
      <c r="C29" s="132">
        <v>1.272</v>
      </c>
      <c r="D29" s="133">
        <v>1.2849999999999999</v>
      </c>
      <c r="E29" s="133">
        <v>1.2929999999999999</v>
      </c>
      <c r="F29" s="133">
        <v>1.2949999999999999</v>
      </c>
      <c r="G29" s="134">
        <v>1.2969999999999999</v>
      </c>
      <c r="H29" s="135">
        <v>1.276</v>
      </c>
      <c r="I29" s="136">
        <v>1.29</v>
      </c>
      <c r="J29" s="136">
        <v>1.3</v>
      </c>
      <c r="K29" s="136">
        <v>1.302</v>
      </c>
      <c r="L29" s="137">
        <v>1.302</v>
      </c>
      <c r="M29" s="124">
        <v>12.33</v>
      </c>
      <c r="N29" s="124">
        <v>12.34</v>
      </c>
      <c r="O29" s="125">
        <v>1.5920000000000001</v>
      </c>
      <c r="P29" s="154"/>
      <c r="Q29" s="124">
        <v>1.5920000000000001</v>
      </c>
      <c r="R29" s="155"/>
      <c r="S29" s="127">
        <v>53.64</v>
      </c>
      <c r="T29" s="127">
        <v>54.53</v>
      </c>
      <c r="U29" s="146"/>
      <c r="V29" s="129">
        <v>12.66</v>
      </c>
      <c r="W29" s="146"/>
      <c r="X29" s="146"/>
      <c r="Y29" s="146"/>
      <c r="Z29" s="100"/>
      <c r="AA29" s="145"/>
      <c r="AB29" s="106"/>
      <c r="AC29" s="106"/>
      <c r="AD29" s="106"/>
      <c r="AE29" s="106"/>
      <c r="AF29" s="106"/>
      <c r="AG29" s="106"/>
      <c r="AH29" s="106"/>
      <c r="AI29" s="106"/>
      <c r="AJ29" s="106"/>
      <c r="AL29" s="107"/>
      <c r="AM29" s="107"/>
      <c r="AN29" s="107"/>
    </row>
    <row r="30" spans="2:40" ht="17.5" x14ac:dyDescent="0.45">
      <c r="B30" s="117">
        <v>23</v>
      </c>
      <c r="C30" s="132">
        <v>1.2789999999999999</v>
      </c>
      <c r="D30" s="133">
        <v>1.2929999999999999</v>
      </c>
      <c r="E30" s="133">
        <v>1.304</v>
      </c>
      <c r="F30" s="133">
        <v>1.306</v>
      </c>
      <c r="G30" s="134">
        <v>1.3089999999999999</v>
      </c>
      <c r="H30" s="135">
        <v>1.282</v>
      </c>
      <c r="I30" s="136">
        <v>1.298</v>
      </c>
      <c r="J30" s="136">
        <v>1.31</v>
      </c>
      <c r="K30" s="136">
        <v>1.3129999999999999</v>
      </c>
      <c r="L30" s="137">
        <v>1.3129999999999999</v>
      </c>
      <c r="M30" s="124">
        <v>12.84</v>
      </c>
      <c r="N30" s="124">
        <v>12.860000000000001</v>
      </c>
      <c r="O30" s="125">
        <v>1.6060000000000001</v>
      </c>
      <c r="P30" s="154"/>
      <c r="Q30" s="124">
        <v>1.607</v>
      </c>
      <c r="R30" s="155"/>
      <c r="S30" s="127">
        <v>56.39</v>
      </c>
      <c r="T30" s="127">
        <v>57.34</v>
      </c>
      <c r="U30" s="146"/>
      <c r="V30" s="129">
        <v>12.72</v>
      </c>
      <c r="W30" s="146"/>
      <c r="X30" s="146"/>
      <c r="Y30" s="146"/>
      <c r="Z30" s="100"/>
      <c r="AA30" s="145"/>
      <c r="AB30" s="106"/>
      <c r="AC30" s="106"/>
      <c r="AD30" s="106"/>
      <c r="AE30" s="106"/>
      <c r="AF30" s="106"/>
      <c r="AG30" s="106"/>
      <c r="AH30" s="106"/>
      <c r="AI30" s="106"/>
      <c r="AJ30" s="106"/>
      <c r="AL30" s="107"/>
      <c r="AM30" s="107"/>
      <c r="AN30" s="107"/>
    </row>
    <row r="31" spans="2:40" ht="17.5" x14ac:dyDescent="0.45">
      <c r="B31" s="117">
        <v>24</v>
      </c>
      <c r="C31" s="132">
        <v>1.2849999999999999</v>
      </c>
      <c r="D31" s="133">
        <v>1.302</v>
      </c>
      <c r="E31" s="133">
        <v>1.3140000000000001</v>
      </c>
      <c r="F31" s="133">
        <v>1.3169999999999999</v>
      </c>
      <c r="G31" s="134">
        <v>1.321</v>
      </c>
      <c r="H31" s="135">
        <v>1.2889999999999999</v>
      </c>
      <c r="I31" s="136">
        <v>1.306</v>
      </c>
      <c r="J31" s="136">
        <v>1.32</v>
      </c>
      <c r="K31" s="136">
        <v>1.323</v>
      </c>
      <c r="L31" s="137">
        <v>1.323</v>
      </c>
      <c r="M31" s="124">
        <v>13.39</v>
      </c>
      <c r="N31" s="124">
        <v>13.41</v>
      </c>
      <c r="O31" s="125">
        <v>1.6220000000000001</v>
      </c>
      <c r="P31" s="154"/>
      <c r="Q31" s="124">
        <v>1.623</v>
      </c>
      <c r="R31" s="155"/>
      <c r="S31" s="127">
        <v>59.41</v>
      </c>
      <c r="T31" s="127">
        <v>60.28</v>
      </c>
      <c r="U31" s="146"/>
      <c r="V31" s="129">
        <v>12.79</v>
      </c>
      <c r="W31" s="146"/>
      <c r="X31" s="146"/>
      <c r="Y31" s="146"/>
      <c r="Z31" s="100"/>
      <c r="AA31" s="145"/>
      <c r="AB31" s="106"/>
      <c r="AC31" s="106"/>
      <c r="AD31" s="106"/>
      <c r="AE31" s="106"/>
      <c r="AF31" s="106"/>
      <c r="AG31" s="106"/>
      <c r="AH31" s="106"/>
      <c r="AI31" s="106"/>
      <c r="AJ31" s="106"/>
      <c r="AL31" s="107"/>
      <c r="AM31" s="107"/>
      <c r="AN31" s="107"/>
    </row>
    <row r="32" spans="2:40" ht="17.5" x14ac:dyDescent="0.45">
      <c r="B32" s="117">
        <v>25</v>
      </c>
      <c r="C32" s="132">
        <v>1.292</v>
      </c>
      <c r="D32" s="133">
        <v>1.31</v>
      </c>
      <c r="E32" s="133">
        <v>1.325</v>
      </c>
      <c r="F32" s="133">
        <v>1.3280000000000001</v>
      </c>
      <c r="G32" s="134">
        <v>1.333</v>
      </c>
      <c r="H32" s="135">
        <v>1.2949999999999999</v>
      </c>
      <c r="I32" s="136">
        <v>1.3149999999999999</v>
      </c>
      <c r="J32" s="136">
        <v>1.33</v>
      </c>
      <c r="K32" s="136">
        <v>1.3340000000000001</v>
      </c>
      <c r="L32" s="137">
        <v>1.3340000000000001</v>
      </c>
      <c r="M32" s="124">
        <v>14</v>
      </c>
      <c r="N32" s="124">
        <v>14.02</v>
      </c>
      <c r="O32" s="125">
        <v>1.637</v>
      </c>
      <c r="P32" s="154"/>
      <c r="Q32" s="124">
        <v>1.6379999999999999</v>
      </c>
      <c r="R32" s="155"/>
      <c r="S32" s="127">
        <v>62.67</v>
      </c>
      <c r="T32" s="127">
        <v>63.37</v>
      </c>
      <c r="U32" s="146"/>
      <c r="V32" s="129">
        <v>12.85</v>
      </c>
      <c r="W32" s="146"/>
      <c r="X32" s="146"/>
      <c r="Y32" s="146"/>
      <c r="Z32" s="100"/>
      <c r="AA32" s="145"/>
      <c r="AB32" s="106"/>
      <c r="AC32" s="106"/>
      <c r="AD32" s="106"/>
      <c r="AE32" s="106"/>
      <c r="AF32" s="106"/>
      <c r="AG32" s="106"/>
      <c r="AH32" s="106"/>
      <c r="AI32" s="106"/>
      <c r="AJ32" s="106"/>
      <c r="AL32" s="107"/>
      <c r="AM32" s="107"/>
      <c r="AN32" s="107"/>
    </row>
    <row r="33" spans="2:40" ht="17.5" x14ac:dyDescent="0.45">
      <c r="B33" s="117">
        <v>26</v>
      </c>
      <c r="C33" s="132">
        <v>1.2989999999999999</v>
      </c>
      <c r="D33" s="133">
        <v>1.319</v>
      </c>
      <c r="E33" s="133">
        <v>1.335</v>
      </c>
      <c r="F33" s="133">
        <v>1.339</v>
      </c>
      <c r="G33" s="134">
        <v>1.3440000000000001</v>
      </c>
      <c r="H33" s="135">
        <v>1.302</v>
      </c>
      <c r="I33" s="136">
        <v>1.323</v>
      </c>
      <c r="J33" s="136">
        <v>1.34</v>
      </c>
      <c r="K33" s="136">
        <v>1.345</v>
      </c>
      <c r="L33" s="137">
        <v>1.345</v>
      </c>
      <c r="M33" s="124">
        <v>14.67</v>
      </c>
      <c r="N33" s="124">
        <v>14.68</v>
      </c>
      <c r="O33" s="125">
        <v>1.6519999999999999</v>
      </c>
      <c r="P33" s="154"/>
      <c r="Q33" s="124">
        <v>1.653</v>
      </c>
      <c r="R33" s="155"/>
      <c r="S33" s="127">
        <v>66.13</v>
      </c>
      <c r="T33" s="127">
        <v>66.64</v>
      </c>
      <c r="U33" s="146"/>
      <c r="V33" s="129">
        <v>12.91</v>
      </c>
      <c r="W33" s="146"/>
      <c r="X33" s="146"/>
      <c r="Y33" s="146"/>
      <c r="Z33" s="100"/>
      <c r="AA33" s="145"/>
      <c r="AB33" s="106"/>
      <c r="AC33" s="106"/>
      <c r="AD33" s="106"/>
      <c r="AE33" s="106"/>
      <c r="AF33" s="106"/>
      <c r="AG33" s="106"/>
      <c r="AH33" s="106"/>
      <c r="AI33" s="106"/>
      <c r="AJ33" s="106"/>
      <c r="AL33" s="107"/>
      <c r="AM33" s="107"/>
      <c r="AN33" s="107"/>
    </row>
    <row r="34" spans="2:40" ht="17.5" x14ac:dyDescent="0.45">
      <c r="B34" s="117">
        <v>27</v>
      </c>
      <c r="C34" s="132">
        <v>1.3049999999999999</v>
      </c>
      <c r="D34" s="133">
        <v>1.327</v>
      </c>
      <c r="E34" s="133">
        <v>1.345</v>
      </c>
      <c r="F34" s="133">
        <v>1.35</v>
      </c>
      <c r="G34" s="134">
        <v>1.3560000000000001</v>
      </c>
      <c r="H34" s="135">
        <v>1.3080000000000001</v>
      </c>
      <c r="I34" s="136">
        <v>1.331</v>
      </c>
      <c r="J34" s="136">
        <v>1.351</v>
      </c>
      <c r="K34" s="136">
        <v>1.355</v>
      </c>
      <c r="L34" s="137">
        <v>1.355</v>
      </c>
      <c r="M34" s="124">
        <v>15.41</v>
      </c>
      <c r="N34" s="124">
        <v>15.41</v>
      </c>
      <c r="O34" s="125">
        <v>1.667</v>
      </c>
      <c r="P34" s="154"/>
      <c r="Q34" s="124">
        <v>1.6679999999999999</v>
      </c>
      <c r="R34" s="155"/>
      <c r="S34" s="127">
        <v>69.94</v>
      </c>
      <c r="T34" s="127">
        <v>70.11</v>
      </c>
      <c r="U34" s="146"/>
      <c r="V34" s="129">
        <v>12.98</v>
      </c>
      <c r="W34" s="146"/>
      <c r="X34" s="146"/>
      <c r="Y34" s="146"/>
      <c r="Z34" s="100"/>
      <c r="AA34" s="145"/>
      <c r="AB34" s="106"/>
      <c r="AC34" s="106"/>
      <c r="AD34" s="106"/>
      <c r="AE34" s="106"/>
      <c r="AF34" s="106"/>
      <c r="AG34" s="106"/>
      <c r="AH34" s="106"/>
      <c r="AI34" s="106"/>
      <c r="AJ34" s="106"/>
      <c r="AL34" s="107"/>
      <c r="AM34" s="107"/>
      <c r="AN34" s="107"/>
    </row>
    <row r="35" spans="2:40" ht="17.5" x14ac:dyDescent="0.45">
      <c r="B35" s="117">
        <v>28</v>
      </c>
      <c r="C35" s="132">
        <v>1.3120000000000001</v>
      </c>
      <c r="D35" s="133">
        <v>1.3360000000000001</v>
      </c>
      <c r="E35" s="133">
        <v>1.3560000000000001</v>
      </c>
      <c r="F35" s="133">
        <v>1.361</v>
      </c>
      <c r="G35" s="134">
        <v>1.3680000000000001</v>
      </c>
      <c r="H35" s="135">
        <v>1.3149999999999999</v>
      </c>
      <c r="I35" s="136">
        <v>1.34</v>
      </c>
      <c r="J35" s="136">
        <v>1.361</v>
      </c>
      <c r="K35" s="136">
        <v>1.3660000000000001</v>
      </c>
      <c r="L35" s="137">
        <v>1.3660000000000001</v>
      </c>
      <c r="M35" s="124">
        <v>16.22</v>
      </c>
      <c r="N35" s="124">
        <v>16.22</v>
      </c>
      <c r="O35" s="125">
        <v>1.6830000000000001</v>
      </c>
      <c r="P35" s="154"/>
      <c r="Q35" s="124">
        <v>1.6839999999999999</v>
      </c>
      <c r="R35" s="155"/>
      <c r="S35" s="127">
        <v>73.97</v>
      </c>
      <c r="T35" s="127">
        <v>73.83</v>
      </c>
      <c r="U35" s="146"/>
      <c r="V35" s="129">
        <v>13.05</v>
      </c>
      <c r="W35" s="146"/>
      <c r="X35" s="146"/>
      <c r="Y35" s="146"/>
      <c r="Z35" s="100"/>
      <c r="AA35" s="145"/>
      <c r="AB35" s="106"/>
      <c r="AC35" s="106"/>
      <c r="AD35" s="106"/>
      <c r="AE35" s="106"/>
      <c r="AF35" s="106"/>
      <c r="AG35" s="106"/>
      <c r="AH35" s="106"/>
      <c r="AI35" s="106"/>
      <c r="AJ35" s="106"/>
      <c r="AL35" s="107"/>
      <c r="AM35" s="107"/>
      <c r="AN35" s="107"/>
    </row>
    <row r="36" spans="2:40" ht="17.5" x14ac:dyDescent="0.45">
      <c r="B36" s="117">
        <v>29</v>
      </c>
      <c r="C36" s="132">
        <v>1.3180000000000001</v>
      </c>
      <c r="D36" s="133">
        <v>1.3440000000000001</v>
      </c>
      <c r="E36" s="133">
        <v>1.3660000000000001</v>
      </c>
      <c r="F36" s="133">
        <v>1.3720000000000001</v>
      </c>
      <c r="G36" s="134">
        <v>1.38</v>
      </c>
      <c r="H36" s="135">
        <v>1.321</v>
      </c>
      <c r="I36" s="136">
        <v>1.3480000000000001</v>
      </c>
      <c r="J36" s="136">
        <v>1.371</v>
      </c>
      <c r="K36" s="136">
        <v>1.377</v>
      </c>
      <c r="L36" s="137">
        <v>1.377</v>
      </c>
      <c r="M36" s="124">
        <v>17.119999999999997</v>
      </c>
      <c r="N36" s="124">
        <v>17.119999999999997</v>
      </c>
      <c r="O36" s="125">
        <v>1.6970000000000001</v>
      </c>
      <c r="P36" s="154"/>
      <c r="Q36" s="124">
        <v>1.6990000000000001</v>
      </c>
      <c r="R36" s="155"/>
      <c r="S36" s="127">
        <v>78.540000000000006</v>
      </c>
      <c r="T36" s="127">
        <v>77.819999999999993</v>
      </c>
      <c r="U36" s="146"/>
      <c r="V36" s="129">
        <v>13.11</v>
      </c>
      <c r="W36" s="146"/>
      <c r="X36" s="146"/>
      <c r="Y36" s="146"/>
      <c r="Z36" s="100"/>
      <c r="AA36" s="145"/>
      <c r="AB36" s="106"/>
      <c r="AC36" s="106"/>
      <c r="AD36" s="106"/>
      <c r="AE36" s="106"/>
      <c r="AF36" s="106"/>
      <c r="AG36" s="106"/>
      <c r="AH36" s="106"/>
      <c r="AI36" s="106"/>
      <c r="AJ36" s="106"/>
      <c r="AL36" s="107"/>
      <c r="AM36" s="107"/>
      <c r="AN36" s="107"/>
    </row>
    <row r="37" spans="2:40" ht="17.5" x14ac:dyDescent="0.45">
      <c r="B37" s="117">
        <v>30</v>
      </c>
      <c r="C37" s="132">
        <v>1.325</v>
      </c>
      <c r="D37" s="133">
        <v>1.353</v>
      </c>
      <c r="E37" s="133">
        <v>1.377</v>
      </c>
      <c r="F37" s="133">
        <v>1.383</v>
      </c>
      <c r="G37" s="134">
        <v>1.391</v>
      </c>
      <c r="H37" s="135">
        <v>1.3280000000000001</v>
      </c>
      <c r="I37" s="136">
        <v>1.3560000000000001</v>
      </c>
      <c r="J37" s="136">
        <v>1.381</v>
      </c>
      <c r="K37" s="136">
        <v>1.3879999999999999</v>
      </c>
      <c r="L37" s="137">
        <v>1.3879999999999999</v>
      </c>
      <c r="M37" s="124">
        <v>18.130000000000003</v>
      </c>
      <c r="N37" s="124">
        <v>18.130000000000003</v>
      </c>
      <c r="O37" s="125">
        <v>1.7130000000000001</v>
      </c>
      <c r="P37" s="154"/>
      <c r="Q37" s="124">
        <v>1.714</v>
      </c>
      <c r="R37" s="155"/>
      <c r="S37" s="127">
        <v>83.59</v>
      </c>
      <c r="T37" s="127">
        <v>82.11</v>
      </c>
      <c r="U37" s="146"/>
      <c r="V37" s="129">
        <v>13.18</v>
      </c>
      <c r="W37" s="146"/>
      <c r="X37" s="146"/>
      <c r="Y37" s="146"/>
      <c r="Z37" s="100"/>
      <c r="AA37" s="145"/>
      <c r="AB37" s="106"/>
      <c r="AC37" s="106"/>
      <c r="AD37" s="106"/>
      <c r="AE37" s="106"/>
      <c r="AF37" s="106"/>
      <c r="AG37" s="106"/>
      <c r="AH37" s="106"/>
      <c r="AI37" s="106"/>
      <c r="AJ37" s="106"/>
      <c r="AL37" s="107"/>
      <c r="AM37" s="107"/>
      <c r="AN37" s="107"/>
    </row>
    <row r="38" spans="2:40" ht="18" thickBot="1" x14ac:dyDescent="0.5">
      <c r="B38" s="117">
        <v>31</v>
      </c>
      <c r="C38" s="158">
        <v>1.331</v>
      </c>
      <c r="D38" s="159">
        <v>1.361</v>
      </c>
      <c r="E38" s="159">
        <v>1.387</v>
      </c>
      <c r="F38" s="159">
        <v>1.3939999999999999</v>
      </c>
      <c r="G38" s="160">
        <v>1.403</v>
      </c>
      <c r="H38" s="161">
        <v>1.3340000000000001</v>
      </c>
      <c r="I38" s="162">
        <v>1.365</v>
      </c>
      <c r="J38" s="163">
        <v>1.391</v>
      </c>
      <c r="K38" s="163">
        <v>1.3979999999999999</v>
      </c>
      <c r="L38" s="164">
        <v>1.3979999999999999</v>
      </c>
      <c r="M38" s="124">
        <v>19.27</v>
      </c>
      <c r="N38" s="124">
        <v>19.259999999999998</v>
      </c>
      <c r="O38" s="125">
        <v>1.728</v>
      </c>
      <c r="P38" s="154"/>
      <c r="Q38" s="124">
        <v>1.7290000000000001</v>
      </c>
      <c r="R38" s="155"/>
      <c r="S38" s="127">
        <v>89.17</v>
      </c>
      <c r="T38" s="127">
        <v>86.75</v>
      </c>
      <c r="U38" s="146"/>
      <c r="V38" s="129">
        <v>13.25</v>
      </c>
      <c r="W38" s="146"/>
      <c r="X38" s="146"/>
      <c r="Y38" s="146"/>
      <c r="Z38" s="100"/>
      <c r="AA38" s="145"/>
      <c r="AB38" s="106"/>
      <c r="AC38" s="106"/>
      <c r="AD38" s="106"/>
      <c r="AE38" s="106"/>
      <c r="AF38" s="106"/>
      <c r="AG38" s="106"/>
      <c r="AH38" s="106"/>
      <c r="AI38" s="106"/>
      <c r="AJ38" s="106"/>
      <c r="AL38" s="107"/>
      <c r="AM38" s="107"/>
      <c r="AN38" s="107"/>
    </row>
    <row r="39" spans="2:40" ht="17.5" x14ac:dyDescent="0.45">
      <c r="B39" s="165">
        <v>32</v>
      </c>
      <c r="C39" s="166"/>
      <c r="D39" s="167"/>
      <c r="E39" s="167"/>
      <c r="F39" s="167"/>
      <c r="G39" s="167"/>
      <c r="H39" s="167"/>
      <c r="I39" s="167"/>
      <c r="J39" s="166"/>
      <c r="K39" s="166"/>
      <c r="L39" s="166"/>
      <c r="M39" s="168"/>
      <c r="N39" s="168"/>
      <c r="O39" s="169"/>
      <c r="P39" s="167"/>
      <c r="Q39" s="168"/>
      <c r="R39" s="168"/>
      <c r="S39" s="167"/>
      <c r="T39" s="167"/>
      <c r="U39" s="167"/>
      <c r="V39" s="129">
        <v>13.34</v>
      </c>
      <c r="W39" s="167"/>
      <c r="X39" s="167"/>
      <c r="Y39" s="167"/>
      <c r="Z39" s="100"/>
      <c r="AA39" s="145"/>
      <c r="AB39" s="106"/>
      <c r="AC39" s="106"/>
      <c r="AD39" s="106"/>
      <c r="AE39" s="106"/>
      <c r="AF39" s="106"/>
      <c r="AG39" s="106"/>
      <c r="AH39" s="106"/>
      <c r="AI39" s="106"/>
      <c r="AJ39" s="106"/>
      <c r="AL39" s="107"/>
      <c r="AM39" s="107"/>
      <c r="AN39" s="107"/>
    </row>
    <row r="40" spans="2:40" ht="17.5" x14ac:dyDescent="0.45">
      <c r="B40" s="165">
        <v>33</v>
      </c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8"/>
      <c r="N40" s="168"/>
      <c r="O40" s="169"/>
      <c r="P40" s="167"/>
      <c r="Q40" s="168"/>
      <c r="R40" s="168"/>
      <c r="S40" s="167"/>
      <c r="T40" s="167"/>
      <c r="U40" s="167"/>
      <c r="V40" s="129">
        <v>13.41</v>
      </c>
      <c r="W40" s="167"/>
      <c r="X40" s="167"/>
      <c r="Y40" s="167"/>
      <c r="Z40" s="100"/>
      <c r="AA40" s="145"/>
      <c r="AB40" s="106"/>
      <c r="AC40" s="106"/>
      <c r="AD40" s="106"/>
      <c r="AE40" s="106"/>
      <c r="AF40" s="106"/>
      <c r="AG40" s="106"/>
      <c r="AH40" s="106"/>
      <c r="AI40" s="106"/>
      <c r="AJ40" s="106"/>
      <c r="AL40" s="107"/>
      <c r="AM40" s="107"/>
      <c r="AN40" s="107"/>
    </row>
    <row r="41" spans="2:40" ht="17.5" x14ac:dyDescent="0.45">
      <c r="B41" s="165">
        <v>34</v>
      </c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8"/>
      <c r="N41" s="168"/>
      <c r="O41" s="169"/>
      <c r="P41" s="167"/>
      <c r="Q41" s="168"/>
      <c r="R41" s="168"/>
      <c r="S41" s="167"/>
      <c r="T41" s="167"/>
      <c r="U41" s="167"/>
      <c r="V41" s="129">
        <v>13.48</v>
      </c>
      <c r="W41" s="167"/>
      <c r="X41" s="167"/>
      <c r="Y41" s="167"/>
      <c r="Z41" s="100"/>
      <c r="AA41" s="145"/>
      <c r="AB41" s="106"/>
      <c r="AC41" s="106"/>
      <c r="AD41" s="106"/>
      <c r="AE41" s="106"/>
      <c r="AF41" s="106"/>
      <c r="AG41" s="106"/>
      <c r="AH41" s="106"/>
      <c r="AI41" s="106"/>
      <c r="AJ41" s="106"/>
      <c r="AL41" s="107"/>
      <c r="AM41" s="107"/>
      <c r="AN41" s="107"/>
    </row>
    <row r="42" spans="2:40" ht="17.5" x14ac:dyDescent="0.45">
      <c r="B42" s="165">
        <v>35</v>
      </c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8"/>
      <c r="N42" s="168"/>
      <c r="O42" s="169"/>
      <c r="P42" s="167"/>
      <c r="Q42" s="168"/>
      <c r="R42" s="168"/>
      <c r="S42" s="167"/>
      <c r="T42" s="167"/>
      <c r="U42" s="167"/>
      <c r="V42" s="129">
        <v>13.55</v>
      </c>
      <c r="W42" s="167"/>
      <c r="X42" s="167"/>
      <c r="Y42" s="167"/>
      <c r="Z42" s="100"/>
      <c r="AA42" s="145"/>
      <c r="AB42" s="106"/>
      <c r="AC42" s="106"/>
      <c r="AD42" s="106"/>
      <c r="AE42" s="106"/>
      <c r="AF42" s="106"/>
      <c r="AG42" s="106"/>
      <c r="AH42" s="106"/>
      <c r="AI42" s="106"/>
      <c r="AJ42" s="106"/>
      <c r="AL42" s="107"/>
      <c r="AM42" s="107"/>
      <c r="AN42" s="107"/>
    </row>
    <row r="43" spans="2:40" ht="17.5" x14ac:dyDescent="0.45">
      <c r="B43" s="165">
        <v>36</v>
      </c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8"/>
      <c r="N43" s="168"/>
      <c r="O43" s="169"/>
      <c r="P43" s="167"/>
      <c r="Q43" s="168"/>
      <c r="R43" s="168"/>
      <c r="S43" s="167"/>
      <c r="T43" s="167"/>
      <c r="U43" s="167"/>
      <c r="V43" s="129">
        <v>13.62</v>
      </c>
      <c r="W43" s="167"/>
      <c r="X43" s="167"/>
      <c r="Y43" s="167"/>
      <c r="Z43" s="100"/>
      <c r="AA43" s="145"/>
      <c r="AB43" s="106"/>
      <c r="AC43" s="106"/>
      <c r="AD43" s="106"/>
      <c r="AE43" s="106"/>
      <c r="AF43" s="106"/>
      <c r="AG43" s="106"/>
      <c r="AH43" s="106"/>
      <c r="AI43" s="106"/>
      <c r="AJ43" s="106"/>
      <c r="AL43" s="107"/>
      <c r="AM43" s="107"/>
      <c r="AN43" s="107"/>
    </row>
    <row r="44" spans="2:40" ht="17.5" x14ac:dyDescent="0.45">
      <c r="B44" s="165">
        <v>37</v>
      </c>
      <c r="C44" s="167"/>
      <c r="D44" s="167"/>
      <c r="E44" s="167"/>
      <c r="F44" s="167"/>
      <c r="G44" s="167"/>
      <c r="H44" s="167"/>
      <c r="I44" s="167"/>
      <c r="J44" s="167"/>
      <c r="K44" s="167"/>
      <c r="L44" s="167"/>
      <c r="M44" s="168"/>
      <c r="N44" s="168"/>
      <c r="O44" s="169"/>
      <c r="P44" s="167"/>
      <c r="Q44" s="168"/>
      <c r="R44" s="168"/>
      <c r="S44" s="167"/>
      <c r="T44" s="167"/>
      <c r="U44" s="167"/>
      <c r="V44" s="129">
        <v>13.69</v>
      </c>
      <c r="W44" s="167"/>
      <c r="X44" s="167"/>
      <c r="Y44" s="167"/>
      <c r="Z44" s="100"/>
      <c r="AA44" s="145"/>
      <c r="AB44" s="106"/>
      <c r="AC44" s="106"/>
      <c r="AD44" s="106"/>
      <c r="AE44" s="106"/>
      <c r="AF44" s="106"/>
      <c r="AG44" s="106"/>
      <c r="AH44" s="106"/>
      <c r="AI44" s="106"/>
      <c r="AJ44" s="106"/>
      <c r="AL44" s="107"/>
      <c r="AM44" s="107"/>
      <c r="AN44" s="107"/>
    </row>
    <row r="45" spans="2:40" ht="17.5" x14ac:dyDescent="0.45">
      <c r="B45" s="165">
        <v>38</v>
      </c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8"/>
      <c r="N45" s="168"/>
      <c r="O45" s="169"/>
      <c r="P45" s="167"/>
      <c r="Q45" s="168"/>
      <c r="R45" s="168"/>
      <c r="S45" s="167"/>
      <c r="T45" s="167"/>
      <c r="U45" s="167"/>
      <c r="V45" s="129">
        <v>13.76</v>
      </c>
      <c r="W45" s="167"/>
      <c r="X45" s="167"/>
      <c r="Y45" s="167"/>
      <c r="Z45" s="100"/>
      <c r="AA45" s="145"/>
      <c r="AB45" s="106"/>
      <c r="AC45" s="106"/>
      <c r="AD45" s="106"/>
      <c r="AE45" s="106"/>
      <c r="AF45" s="106"/>
      <c r="AG45" s="106"/>
      <c r="AH45" s="106"/>
      <c r="AI45" s="106"/>
      <c r="AJ45" s="106"/>
      <c r="AL45" s="107"/>
      <c r="AM45" s="107"/>
      <c r="AN45" s="107"/>
    </row>
    <row r="46" spans="2:40" ht="17.5" x14ac:dyDescent="0.45">
      <c r="B46" s="165">
        <v>39</v>
      </c>
      <c r="C46" s="167"/>
      <c r="D46" s="167"/>
      <c r="E46" s="167"/>
      <c r="F46" s="167"/>
      <c r="G46" s="167"/>
      <c r="H46" s="167"/>
      <c r="I46" s="167"/>
      <c r="J46" s="167"/>
      <c r="K46" s="167"/>
      <c r="L46" s="167"/>
      <c r="M46" s="168"/>
      <c r="N46" s="168"/>
      <c r="O46" s="169"/>
      <c r="P46" s="167"/>
      <c r="Q46" s="168"/>
      <c r="R46" s="168"/>
      <c r="S46" s="167"/>
      <c r="T46" s="167"/>
      <c r="U46" s="167"/>
      <c r="V46" s="129">
        <v>13.84</v>
      </c>
      <c r="W46" s="167"/>
      <c r="X46" s="167"/>
      <c r="Y46" s="167"/>
      <c r="Z46" s="100"/>
      <c r="AA46" s="145"/>
      <c r="AB46" s="106"/>
      <c r="AC46" s="106"/>
      <c r="AD46" s="106"/>
      <c r="AE46" s="106"/>
      <c r="AF46" s="106"/>
      <c r="AG46" s="106"/>
      <c r="AH46" s="106"/>
      <c r="AI46" s="106"/>
      <c r="AJ46" s="106"/>
      <c r="AL46" s="107"/>
      <c r="AM46" s="107"/>
      <c r="AN46" s="107"/>
    </row>
    <row r="47" spans="2:40" ht="17.5" x14ac:dyDescent="0.45">
      <c r="B47" s="165">
        <v>40</v>
      </c>
      <c r="C47" s="167"/>
      <c r="D47" s="167"/>
      <c r="E47" s="167"/>
      <c r="F47" s="167"/>
      <c r="G47" s="167"/>
      <c r="H47" s="167"/>
      <c r="I47" s="167"/>
      <c r="J47" s="167"/>
      <c r="K47" s="167"/>
      <c r="L47" s="167"/>
      <c r="M47" s="168"/>
      <c r="N47" s="168"/>
      <c r="O47" s="169"/>
      <c r="P47" s="167"/>
      <c r="Q47" s="168"/>
      <c r="R47" s="168"/>
      <c r="S47" s="167"/>
      <c r="T47" s="167"/>
      <c r="U47" s="167"/>
      <c r="V47" s="129">
        <v>13.91</v>
      </c>
      <c r="W47" s="167"/>
      <c r="X47" s="167"/>
      <c r="Y47" s="167"/>
      <c r="Z47" s="100"/>
      <c r="AA47" s="145"/>
      <c r="AB47" s="106"/>
      <c r="AC47" s="106"/>
      <c r="AD47" s="106"/>
      <c r="AE47" s="106"/>
      <c r="AF47" s="106"/>
      <c r="AG47" s="106"/>
      <c r="AH47" s="106"/>
      <c r="AI47" s="106"/>
      <c r="AJ47" s="106"/>
      <c r="AL47" s="107"/>
      <c r="AM47" s="107"/>
      <c r="AN47" s="107"/>
    </row>
    <row r="48" spans="2:40" ht="17.5" x14ac:dyDescent="0.45">
      <c r="B48" s="165">
        <v>41</v>
      </c>
      <c r="C48" s="167"/>
      <c r="D48" s="167"/>
      <c r="E48" s="167"/>
      <c r="F48" s="167"/>
      <c r="G48" s="167"/>
      <c r="H48" s="167"/>
      <c r="I48" s="167"/>
      <c r="J48" s="167"/>
      <c r="K48" s="167"/>
      <c r="L48" s="167"/>
      <c r="M48" s="168"/>
      <c r="N48" s="168"/>
      <c r="O48" s="169"/>
      <c r="P48" s="167"/>
      <c r="Q48" s="168"/>
      <c r="R48" s="168"/>
      <c r="S48" s="167"/>
      <c r="T48" s="167"/>
      <c r="U48" s="167"/>
      <c r="V48" s="129">
        <v>13.99</v>
      </c>
      <c r="W48" s="167"/>
      <c r="X48" s="167"/>
      <c r="Y48" s="167"/>
      <c r="Z48" s="100"/>
      <c r="AA48" s="145"/>
      <c r="AB48" s="106"/>
      <c r="AC48" s="106"/>
      <c r="AD48" s="106"/>
      <c r="AE48" s="106"/>
      <c r="AF48" s="106"/>
      <c r="AG48" s="106"/>
      <c r="AH48" s="106"/>
      <c r="AI48" s="106"/>
      <c r="AJ48" s="106"/>
      <c r="AL48" s="107"/>
      <c r="AM48" s="107"/>
      <c r="AN48" s="107"/>
    </row>
    <row r="49" spans="2:40" ht="17.5" x14ac:dyDescent="0.45">
      <c r="B49" s="165">
        <v>42</v>
      </c>
      <c r="C49" s="167"/>
      <c r="D49" s="167"/>
      <c r="E49" s="167"/>
      <c r="F49" s="167"/>
      <c r="G49" s="167"/>
      <c r="H49" s="167"/>
      <c r="I49" s="167"/>
      <c r="J49" s="167"/>
      <c r="K49" s="167"/>
      <c r="L49" s="167"/>
      <c r="M49" s="168"/>
      <c r="N49" s="168"/>
      <c r="O49" s="169"/>
      <c r="P49" s="167"/>
      <c r="Q49" s="168"/>
      <c r="R49" s="168"/>
      <c r="S49" s="167"/>
      <c r="T49" s="167"/>
      <c r="U49" s="167"/>
      <c r="V49" s="129">
        <v>14.06</v>
      </c>
      <c r="W49" s="167"/>
      <c r="X49" s="167"/>
      <c r="Y49" s="167"/>
      <c r="Z49" s="100"/>
      <c r="AA49" s="145"/>
      <c r="AB49" s="106"/>
      <c r="AC49" s="106"/>
      <c r="AD49" s="106"/>
      <c r="AE49" s="106"/>
      <c r="AF49" s="106"/>
      <c r="AG49" s="106"/>
      <c r="AH49" s="106"/>
      <c r="AI49" s="106"/>
      <c r="AJ49" s="106"/>
      <c r="AL49" s="107"/>
      <c r="AM49" s="107"/>
      <c r="AN49" s="107"/>
    </row>
    <row r="50" spans="2:40" ht="17.5" x14ac:dyDescent="0.45">
      <c r="B50" s="165">
        <v>43</v>
      </c>
      <c r="C50" s="167"/>
      <c r="D50" s="167"/>
      <c r="E50" s="167"/>
      <c r="F50" s="167"/>
      <c r="G50" s="167"/>
      <c r="H50" s="167"/>
      <c r="I50" s="167"/>
      <c r="J50" s="167"/>
      <c r="K50" s="167"/>
      <c r="L50" s="167"/>
      <c r="M50" s="168"/>
      <c r="N50" s="168"/>
      <c r="O50" s="169"/>
      <c r="P50" s="167"/>
      <c r="Q50" s="168"/>
      <c r="R50" s="168"/>
      <c r="S50" s="167"/>
      <c r="T50" s="167"/>
      <c r="U50" s="167"/>
      <c r="V50" s="129">
        <v>14.14</v>
      </c>
      <c r="W50" s="167"/>
      <c r="X50" s="167"/>
      <c r="Y50" s="167"/>
      <c r="Z50" s="100"/>
      <c r="AA50" s="145"/>
      <c r="AB50" s="106"/>
      <c r="AC50" s="106"/>
      <c r="AD50" s="106"/>
      <c r="AE50" s="106"/>
      <c r="AF50" s="106"/>
      <c r="AG50" s="106"/>
      <c r="AH50" s="106"/>
      <c r="AI50" s="106"/>
      <c r="AJ50" s="106"/>
      <c r="AL50" s="107"/>
      <c r="AM50" s="107"/>
      <c r="AN50" s="107"/>
    </row>
    <row r="51" spans="2:40" ht="17.5" x14ac:dyDescent="0.45">
      <c r="B51" s="165">
        <v>44</v>
      </c>
      <c r="C51" s="167"/>
      <c r="D51" s="167"/>
      <c r="E51" s="167"/>
      <c r="F51" s="167"/>
      <c r="G51" s="167"/>
      <c r="H51" s="167"/>
      <c r="I51" s="167"/>
      <c r="J51" s="167"/>
      <c r="K51" s="167"/>
      <c r="L51" s="167"/>
      <c r="M51" s="168"/>
      <c r="N51" s="168"/>
      <c r="O51" s="169"/>
      <c r="P51" s="167"/>
      <c r="Q51" s="168"/>
      <c r="R51" s="168"/>
      <c r="S51" s="167"/>
      <c r="T51" s="167"/>
      <c r="U51" s="167"/>
      <c r="V51" s="129">
        <v>14.22</v>
      </c>
      <c r="W51" s="167"/>
      <c r="X51" s="167"/>
      <c r="Y51" s="167"/>
      <c r="Z51" s="100"/>
      <c r="AA51" s="145"/>
      <c r="AB51" s="106"/>
      <c r="AC51" s="106"/>
      <c r="AD51" s="106"/>
      <c r="AE51" s="106"/>
      <c r="AF51" s="106"/>
      <c r="AG51" s="106"/>
      <c r="AH51" s="106"/>
      <c r="AI51" s="106"/>
      <c r="AJ51" s="106"/>
      <c r="AL51" s="107"/>
      <c r="AM51" s="107"/>
      <c r="AN51" s="107"/>
    </row>
    <row r="52" spans="2:40" ht="17.5" x14ac:dyDescent="0.45">
      <c r="B52" s="165">
        <v>45</v>
      </c>
      <c r="C52" s="167"/>
      <c r="D52" s="167"/>
      <c r="E52" s="167"/>
      <c r="F52" s="167"/>
      <c r="G52" s="167"/>
      <c r="H52" s="167"/>
      <c r="I52" s="167"/>
      <c r="J52" s="167"/>
      <c r="K52" s="167"/>
      <c r="L52" s="167"/>
      <c r="M52" s="168"/>
      <c r="N52" s="168"/>
      <c r="O52" s="169"/>
      <c r="P52" s="167"/>
      <c r="Q52" s="168"/>
      <c r="R52" s="168"/>
      <c r="S52" s="167"/>
      <c r="T52" s="167"/>
      <c r="U52" s="167"/>
      <c r="V52" s="129">
        <v>14.3</v>
      </c>
      <c r="W52" s="167"/>
      <c r="X52" s="167"/>
      <c r="Y52" s="167"/>
      <c r="Z52" s="100"/>
      <c r="AA52" s="145"/>
      <c r="AB52" s="145"/>
      <c r="AC52" s="145"/>
      <c r="AD52" s="145"/>
      <c r="AE52" s="145"/>
      <c r="AF52" s="106"/>
      <c r="AG52" s="106"/>
      <c r="AH52" s="106"/>
      <c r="AI52" s="106"/>
      <c r="AJ52" s="106"/>
      <c r="AL52" s="107"/>
      <c r="AM52" s="107"/>
      <c r="AN52" s="107"/>
    </row>
    <row r="53" spans="2:40" ht="17.5" x14ac:dyDescent="0.45">
      <c r="B53" s="165">
        <v>46</v>
      </c>
      <c r="C53" s="167"/>
      <c r="D53" s="167"/>
      <c r="E53" s="167"/>
      <c r="F53" s="167"/>
      <c r="G53" s="167"/>
      <c r="H53" s="167"/>
      <c r="I53" s="167"/>
      <c r="J53" s="167"/>
      <c r="K53" s="167"/>
      <c r="L53" s="167"/>
      <c r="M53" s="168"/>
      <c r="N53" s="168"/>
      <c r="O53" s="169"/>
      <c r="P53" s="167"/>
      <c r="Q53" s="168"/>
      <c r="R53" s="168"/>
      <c r="S53" s="167"/>
      <c r="T53" s="167"/>
      <c r="U53" s="167"/>
      <c r="V53" s="129">
        <v>14.38</v>
      </c>
      <c r="W53" s="167"/>
      <c r="X53" s="167"/>
      <c r="Y53" s="167"/>
      <c r="Z53" s="100"/>
      <c r="AA53" s="145"/>
      <c r="AB53" s="145"/>
      <c r="AC53" s="145"/>
      <c r="AD53" s="145"/>
      <c r="AE53" s="145"/>
      <c r="AF53" s="106"/>
      <c r="AG53" s="106"/>
      <c r="AH53" s="106"/>
      <c r="AI53" s="106"/>
      <c r="AJ53" s="106"/>
      <c r="AL53" s="107"/>
      <c r="AM53" s="107"/>
      <c r="AN53" s="107"/>
    </row>
    <row r="54" spans="2:40" ht="17.5" x14ac:dyDescent="0.45">
      <c r="B54" s="165">
        <v>47</v>
      </c>
      <c r="C54" s="167"/>
      <c r="D54" s="167"/>
      <c r="E54" s="167"/>
      <c r="F54" s="167"/>
      <c r="G54" s="167"/>
      <c r="H54" s="167"/>
      <c r="I54" s="167"/>
      <c r="J54" s="167"/>
      <c r="K54" s="167"/>
      <c r="L54" s="167"/>
      <c r="M54" s="168"/>
      <c r="N54" s="168"/>
      <c r="O54" s="169"/>
      <c r="P54" s="167"/>
      <c r="Q54" s="168"/>
      <c r="R54" s="168"/>
      <c r="S54" s="167"/>
      <c r="T54" s="167"/>
      <c r="U54" s="167"/>
      <c r="V54" s="129">
        <v>14.46</v>
      </c>
      <c r="W54" s="167"/>
      <c r="X54" s="167"/>
      <c r="Y54" s="167"/>
      <c r="Z54" s="100"/>
      <c r="AA54" s="145"/>
      <c r="AB54" s="145"/>
      <c r="AC54" s="145"/>
      <c r="AD54" s="145"/>
      <c r="AE54" s="145"/>
      <c r="AF54" s="106"/>
      <c r="AG54" s="106"/>
      <c r="AH54" s="106"/>
      <c r="AI54" s="106"/>
      <c r="AJ54" s="106"/>
      <c r="AL54" s="107"/>
      <c r="AM54" s="107"/>
      <c r="AN54" s="107"/>
    </row>
    <row r="55" spans="2:40" ht="17.5" x14ac:dyDescent="0.45">
      <c r="B55" s="165">
        <v>48</v>
      </c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8"/>
      <c r="N55" s="168"/>
      <c r="O55" s="169"/>
      <c r="P55" s="167"/>
      <c r="Q55" s="168"/>
      <c r="R55" s="168"/>
      <c r="S55" s="167"/>
      <c r="T55" s="167"/>
      <c r="U55" s="167"/>
      <c r="V55" s="129">
        <v>14.55</v>
      </c>
      <c r="W55" s="167"/>
      <c r="X55" s="167"/>
      <c r="Y55" s="167"/>
      <c r="Z55" s="100"/>
      <c r="AA55" s="145"/>
      <c r="AB55" s="145"/>
      <c r="AC55" s="145"/>
      <c r="AD55" s="145"/>
      <c r="AE55" s="145"/>
      <c r="AF55" s="106"/>
      <c r="AG55" s="106"/>
      <c r="AH55" s="106"/>
      <c r="AI55" s="106"/>
      <c r="AJ55" s="106"/>
      <c r="AL55" s="107"/>
      <c r="AM55" s="107"/>
      <c r="AN55" s="107"/>
    </row>
    <row r="56" spans="2:40" ht="17.5" x14ac:dyDescent="0.45">
      <c r="B56" s="165">
        <v>49</v>
      </c>
      <c r="C56" s="167"/>
      <c r="D56" s="167"/>
      <c r="E56" s="167"/>
      <c r="F56" s="167"/>
      <c r="G56" s="167"/>
      <c r="H56" s="167"/>
      <c r="I56" s="167"/>
      <c r="J56" s="167"/>
      <c r="K56" s="167"/>
      <c r="L56" s="167"/>
      <c r="M56" s="168"/>
      <c r="N56" s="168"/>
      <c r="O56" s="169"/>
      <c r="P56" s="167"/>
      <c r="Q56" s="168"/>
      <c r="R56" s="168"/>
      <c r="S56" s="167"/>
      <c r="T56" s="167"/>
      <c r="U56" s="167"/>
      <c r="V56" s="129">
        <v>14.64</v>
      </c>
      <c r="W56" s="167"/>
      <c r="X56" s="167"/>
      <c r="Y56" s="167"/>
      <c r="Z56" s="100"/>
      <c r="AA56" s="145"/>
      <c r="AB56" s="145"/>
      <c r="AC56" s="145"/>
      <c r="AD56" s="145"/>
      <c r="AE56" s="145"/>
      <c r="AF56" s="106"/>
      <c r="AG56" s="106"/>
      <c r="AH56" s="106"/>
      <c r="AI56" s="106"/>
      <c r="AJ56" s="106"/>
      <c r="AL56" s="107"/>
      <c r="AM56" s="107"/>
      <c r="AN56" s="107"/>
    </row>
    <row r="57" spans="2:40" ht="17.5" x14ac:dyDescent="0.45">
      <c r="B57" s="165">
        <v>50</v>
      </c>
      <c r="C57" s="167"/>
      <c r="D57" s="167"/>
      <c r="E57" s="167"/>
      <c r="F57" s="167"/>
      <c r="G57" s="167"/>
      <c r="H57" s="167"/>
      <c r="I57" s="167"/>
      <c r="J57" s="167"/>
      <c r="K57" s="167"/>
      <c r="L57" s="167"/>
      <c r="M57" s="168"/>
      <c r="N57" s="168"/>
      <c r="O57" s="169"/>
      <c r="P57" s="167"/>
      <c r="Q57" s="168"/>
      <c r="R57" s="168"/>
      <c r="S57" s="167"/>
      <c r="T57" s="167"/>
      <c r="U57" s="167"/>
      <c r="V57" s="129">
        <v>14.72</v>
      </c>
      <c r="W57" s="167"/>
      <c r="X57" s="167"/>
      <c r="Y57" s="167"/>
      <c r="Z57" s="100"/>
      <c r="AA57" s="145"/>
      <c r="AB57" s="145"/>
      <c r="AC57" s="145"/>
      <c r="AD57" s="145"/>
      <c r="AE57" s="145"/>
      <c r="AF57" s="106"/>
      <c r="AG57" s="106"/>
      <c r="AH57" s="106"/>
      <c r="AI57" s="106"/>
      <c r="AJ57" s="106"/>
      <c r="AL57" s="107"/>
      <c r="AM57" s="107"/>
      <c r="AN57" s="107"/>
    </row>
    <row r="58" spans="2:40" ht="17.5" x14ac:dyDescent="0.45">
      <c r="B58" s="165">
        <v>51</v>
      </c>
      <c r="C58" s="167"/>
      <c r="D58" s="167"/>
      <c r="E58" s="167"/>
      <c r="F58" s="167"/>
      <c r="G58" s="167"/>
      <c r="H58" s="167"/>
      <c r="I58" s="167"/>
      <c r="J58" s="167"/>
      <c r="K58" s="167"/>
      <c r="L58" s="167"/>
      <c r="M58" s="168"/>
      <c r="N58" s="168"/>
      <c r="O58" s="169"/>
      <c r="P58" s="167"/>
      <c r="Q58" s="168"/>
      <c r="R58" s="168"/>
      <c r="S58" s="167"/>
      <c r="T58" s="167"/>
      <c r="U58" s="167"/>
      <c r="V58" s="129">
        <v>14.8</v>
      </c>
      <c r="W58" s="167"/>
      <c r="X58" s="167"/>
      <c r="Y58" s="167"/>
      <c r="Z58" s="100"/>
      <c r="AA58" s="145"/>
      <c r="AB58" s="145"/>
      <c r="AC58" s="145"/>
      <c r="AD58" s="145"/>
      <c r="AE58" s="145"/>
      <c r="AF58" s="106"/>
      <c r="AG58" s="106"/>
      <c r="AH58" s="106"/>
      <c r="AI58" s="106"/>
      <c r="AJ58" s="106"/>
      <c r="AL58" s="107"/>
      <c r="AM58" s="107"/>
      <c r="AN58" s="107"/>
    </row>
    <row r="59" spans="2:40" ht="17.5" x14ac:dyDescent="0.45">
      <c r="B59" s="165">
        <v>52</v>
      </c>
      <c r="C59" s="167"/>
      <c r="D59" s="167"/>
      <c r="E59" s="167"/>
      <c r="F59" s="167"/>
      <c r="G59" s="167"/>
      <c r="H59" s="167"/>
      <c r="I59" s="167"/>
      <c r="J59" s="167"/>
      <c r="K59" s="167"/>
      <c r="L59" s="167"/>
      <c r="M59" s="168"/>
      <c r="N59" s="168"/>
      <c r="O59" s="169"/>
      <c r="P59" s="167"/>
      <c r="Q59" s="168"/>
      <c r="R59" s="168"/>
      <c r="S59" s="167"/>
      <c r="T59" s="167"/>
      <c r="U59" s="167"/>
      <c r="V59" s="129">
        <v>14.89</v>
      </c>
      <c r="W59" s="167"/>
      <c r="X59" s="167"/>
      <c r="Y59" s="167"/>
      <c r="Z59" s="100"/>
      <c r="AA59" s="145"/>
      <c r="AB59" s="145"/>
      <c r="AC59" s="145"/>
      <c r="AD59" s="145"/>
      <c r="AE59" s="145"/>
      <c r="AF59" s="106"/>
      <c r="AG59" s="106"/>
      <c r="AH59" s="106"/>
      <c r="AI59" s="106"/>
      <c r="AJ59" s="106"/>
      <c r="AL59" s="107"/>
      <c r="AM59" s="107"/>
      <c r="AN59" s="107"/>
    </row>
    <row r="60" spans="2:40" ht="17.5" x14ac:dyDescent="0.45">
      <c r="B60" s="165">
        <v>53</v>
      </c>
      <c r="C60" s="167"/>
      <c r="D60" s="167"/>
      <c r="E60" s="167"/>
      <c r="F60" s="167"/>
      <c r="G60" s="167"/>
      <c r="H60" s="167"/>
      <c r="I60" s="167"/>
      <c r="J60" s="167"/>
      <c r="K60" s="167"/>
      <c r="L60" s="167"/>
      <c r="M60" s="168"/>
      <c r="N60" s="168"/>
      <c r="O60" s="169"/>
      <c r="P60" s="167"/>
      <c r="Q60" s="168"/>
      <c r="R60" s="168"/>
      <c r="S60" s="167"/>
      <c r="T60" s="167"/>
      <c r="U60" s="167"/>
      <c r="V60" s="129">
        <v>14.98</v>
      </c>
      <c r="W60" s="167"/>
      <c r="X60" s="167"/>
      <c r="Y60" s="167"/>
      <c r="Z60" s="100"/>
      <c r="AA60" s="145"/>
      <c r="AB60" s="145"/>
      <c r="AC60" s="145"/>
      <c r="AD60" s="145"/>
      <c r="AE60" s="145"/>
      <c r="AF60" s="106"/>
      <c r="AG60" s="106"/>
      <c r="AH60" s="106"/>
      <c r="AI60" s="106"/>
      <c r="AJ60" s="106"/>
      <c r="AL60" s="107"/>
      <c r="AM60" s="107"/>
      <c r="AN60" s="107"/>
    </row>
    <row r="61" spans="2:40" ht="17.5" x14ac:dyDescent="0.45">
      <c r="B61" s="165">
        <v>54</v>
      </c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8"/>
      <c r="N61" s="168"/>
      <c r="O61" s="169"/>
      <c r="P61" s="167"/>
      <c r="Q61" s="168"/>
      <c r="R61" s="168"/>
      <c r="S61" s="167"/>
      <c r="T61" s="167"/>
      <c r="U61" s="167"/>
      <c r="V61" s="129">
        <v>15.06</v>
      </c>
      <c r="W61" s="167"/>
      <c r="X61" s="167"/>
      <c r="Y61" s="167"/>
      <c r="Z61" s="100"/>
      <c r="AA61" s="145"/>
      <c r="AB61" s="145"/>
      <c r="AC61" s="145"/>
      <c r="AD61" s="145"/>
      <c r="AE61" s="145"/>
      <c r="AF61" s="106"/>
      <c r="AG61" s="106"/>
      <c r="AH61" s="106"/>
      <c r="AI61" s="106"/>
      <c r="AJ61" s="106"/>
      <c r="AL61" s="107"/>
      <c r="AM61" s="107"/>
      <c r="AN61" s="107"/>
    </row>
    <row r="62" spans="2:40" ht="17.5" x14ac:dyDescent="0.45">
      <c r="B62" s="165">
        <v>55</v>
      </c>
      <c r="C62" s="167"/>
      <c r="D62" s="167"/>
      <c r="E62" s="167"/>
      <c r="F62" s="167"/>
      <c r="G62" s="167"/>
      <c r="H62" s="167"/>
      <c r="I62" s="167"/>
      <c r="J62" s="167"/>
      <c r="K62" s="167"/>
      <c r="L62" s="167"/>
      <c r="M62" s="168"/>
      <c r="N62" s="168"/>
      <c r="O62" s="169"/>
      <c r="P62" s="167"/>
      <c r="Q62" s="168"/>
      <c r="R62" s="168"/>
      <c r="S62" s="167"/>
      <c r="T62" s="167"/>
      <c r="U62" s="167"/>
      <c r="V62" s="129">
        <v>15.15</v>
      </c>
      <c r="W62" s="167"/>
      <c r="X62" s="167"/>
      <c r="Y62" s="167"/>
      <c r="Z62" s="100"/>
      <c r="AA62" s="145"/>
      <c r="AB62" s="145"/>
      <c r="AC62" s="145"/>
      <c r="AD62" s="145"/>
      <c r="AE62" s="145"/>
      <c r="AF62" s="106"/>
      <c r="AG62" s="106"/>
      <c r="AH62" s="106"/>
      <c r="AI62" s="106"/>
      <c r="AJ62" s="106"/>
      <c r="AL62" s="107"/>
      <c r="AM62" s="107"/>
      <c r="AN62" s="107"/>
    </row>
    <row r="63" spans="2:40" ht="17.5" x14ac:dyDescent="0.45">
      <c r="B63" s="165">
        <v>56</v>
      </c>
      <c r="C63" s="167"/>
      <c r="D63" s="167"/>
      <c r="E63" s="167"/>
      <c r="F63" s="167"/>
      <c r="G63" s="167"/>
      <c r="H63" s="167"/>
      <c r="I63" s="167"/>
      <c r="J63" s="167"/>
      <c r="K63" s="167"/>
      <c r="L63" s="167"/>
      <c r="M63" s="168"/>
      <c r="N63" s="168"/>
      <c r="O63" s="169"/>
      <c r="P63" s="167"/>
      <c r="Q63" s="168"/>
      <c r="R63" s="168"/>
      <c r="S63" s="167"/>
      <c r="T63" s="167"/>
      <c r="U63" s="167"/>
      <c r="V63" s="129">
        <v>15.24</v>
      </c>
      <c r="W63" s="167"/>
      <c r="X63" s="167"/>
      <c r="Y63" s="167"/>
      <c r="Z63" s="100"/>
      <c r="AA63" s="145"/>
      <c r="AB63" s="145"/>
      <c r="AC63" s="145"/>
      <c r="AD63" s="145"/>
      <c r="AE63" s="145"/>
      <c r="AF63" s="106"/>
      <c r="AG63" s="106"/>
      <c r="AH63" s="106"/>
      <c r="AI63" s="106"/>
      <c r="AJ63" s="106"/>
      <c r="AL63" s="107"/>
      <c r="AM63" s="107"/>
      <c r="AN63" s="107"/>
    </row>
    <row r="64" spans="2:40" ht="17.5" x14ac:dyDescent="0.45">
      <c r="B64" s="165">
        <v>57</v>
      </c>
      <c r="C64" s="167"/>
      <c r="D64" s="167"/>
      <c r="E64" s="167"/>
      <c r="F64" s="167"/>
      <c r="G64" s="167"/>
      <c r="H64" s="167"/>
      <c r="I64" s="167"/>
      <c r="J64" s="167"/>
      <c r="K64" s="167"/>
      <c r="L64" s="167"/>
      <c r="M64" s="168"/>
      <c r="N64" s="168"/>
      <c r="O64" s="169"/>
      <c r="P64" s="167"/>
      <c r="Q64" s="168"/>
      <c r="R64" s="168"/>
      <c r="S64" s="167"/>
      <c r="T64" s="167"/>
      <c r="U64" s="167"/>
      <c r="V64" s="129">
        <v>15.33</v>
      </c>
      <c r="W64" s="167"/>
      <c r="X64" s="167"/>
      <c r="Y64" s="167"/>
      <c r="Z64" s="100"/>
      <c r="AA64" s="145"/>
      <c r="AB64" s="145"/>
      <c r="AC64" s="145"/>
      <c r="AD64" s="145"/>
      <c r="AE64" s="145"/>
      <c r="AF64" s="106"/>
      <c r="AG64" s="106"/>
      <c r="AH64" s="106"/>
      <c r="AI64" s="106"/>
      <c r="AJ64" s="106"/>
      <c r="AL64" s="107"/>
      <c r="AM64" s="107"/>
      <c r="AN64" s="107"/>
    </row>
    <row r="65" spans="2:40" ht="17.5" x14ac:dyDescent="0.45">
      <c r="B65" s="165">
        <v>58</v>
      </c>
      <c r="C65" s="167"/>
      <c r="D65" s="167"/>
      <c r="E65" s="167"/>
      <c r="F65" s="167"/>
      <c r="G65" s="167"/>
      <c r="H65" s="167"/>
      <c r="I65" s="167"/>
      <c r="J65" s="167"/>
      <c r="K65" s="167"/>
      <c r="L65" s="167"/>
      <c r="M65" s="168"/>
      <c r="N65" s="168"/>
      <c r="O65" s="169"/>
      <c r="P65" s="167"/>
      <c r="Q65" s="168"/>
      <c r="R65" s="168"/>
      <c r="S65" s="167"/>
      <c r="T65" s="167"/>
      <c r="U65" s="167"/>
      <c r="V65" s="129">
        <v>15.42</v>
      </c>
      <c r="W65" s="167"/>
      <c r="X65" s="167"/>
      <c r="Y65" s="167"/>
      <c r="Z65" s="100"/>
      <c r="AA65" s="145"/>
      <c r="AB65" s="145"/>
      <c r="AC65" s="145"/>
      <c r="AD65" s="145"/>
      <c r="AE65" s="145"/>
      <c r="AF65" s="106"/>
      <c r="AG65" s="106"/>
      <c r="AH65" s="106"/>
      <c r="AI65" s="106"/>
      <c r="AJ65" s="106"/>
      <c r="AL65" s="107"/>
      <c r="AM65" s="107"/>
      <c r="AN65" s="107"/>
    </row>
    <row r="66" spans="2:40" ht="17.5" x14ac:dyDescent="0.45">
      <c r="B66" s="165">
        <v>59</v>
      </c>
      <c r="C66" s="167"/>
      <c r="D66" s="167"/>
      <c r="E66" s="167"/>
      <c r="F66" s="167"/>
      <c r="G66" s="167"/>
      <c r="H66" s="167"/>
      <c r="I66" s="167"/>
      <c r="J66" s="167"/>
      <c r="K66" s="167"/>
      <c r="L66" s="167"/>
      <c r="M66" s="168"/>
      <c r="N66" s="168"/>
      <c r="O66" s="169"/>
      <c r="P66" s="167"/>
      <c r="Q66" s="168"/>
      <c r="R66" s="168"/>
      <c r="S66" s="167"/>
      <c r="T66" s="167"/>
      <c r="U66" s="167"/>
      <c r="V66" s="129">
        <v>15.52</v>
      </c>
      <c r="W66" s="167"/>
      <c r="X66" s="167"/>
      <c r="Y66" s="167"/>
      <c r="Z66" s="100"/>
      <c r="AA66" s="145"/>
      <c r="AB66" s="145"/>
      <c r="AC66" s="145"/>
      <c r="AD66" s="145"/>
      <c r="AE66" s="145"/>
      <c r="AF66" s="106"/>
      <c r="AG66" s="106"/>
      <c r="AH66" s="106"/>
      <c r="AI66" s="106"/>
      <c r="AJ66" s="106"/>
      <c r="AL66" s="107"/>
      <c r="AM66" s="107"/>
      <c r="AN66" s="107"/>
    </row>
    <row r="67" spans="2:40" ht="17.5" x14ac:dyDescent="0.45">
      <c r="B67" s="165">
        <v>60</v>
      </c>
      <c r="C67" s="167"/>
      <c r="D67" s="167"/>
      <c r="E67" s="167"/>
      <c r="F67" s="167"/>
      <c r="G67" s="167"/>
      <c r="H67" s="167"/>
      <c r="I67" s="167"/>
      <c r="J67" s="167"/>
      <c r="K67" s="167"/>
      <c r="L67" s="167"/>
      <c r="M67" s="168"/>
      <c r="N67" s="168"/>
      <c r="O67" s="169"/>
      <c r="P67" s="167"/>
      <c r="Q67" s="168"/>
      <c r="R67" s="168"/>
      <c r="S67" s="167"/>
      <c r="T67" s="167"/>
      <c r="U67" s="167"/>
      <c r="V67" s="129">
        <v>15.61</v>
      </c>
      <c r="W67" s="167"/>
      <c r="X67" s="167"/>
      <c r="Y67" s="167"/>
      <c r="Z67" s="100"/>
      <c r="AA67" s="145"/>
      <c r="AB67" s="145"/>
      <c r="AC67" s="145"/>
      <c r="AD67" s="145"/>
      <c r="AE67" s="145"/>
      <c r="AF67" s="106"/>
      <c r="AG67" s="106"/>
      <c r="AH67" s="106"/>
      <c r="AI67" s="106"/>
      <c r="AJ67" s="106"/>
      <c r="AL67" s="107"/>
      <c r="AM67" s="107"/>
      <c r="AN67" s="107"/>
    </row>
    <row r="68" spans="2:40" ht="17.5" x14ac:dyDescent="0.45">
      <c r="B68" s="165">
        <v>61</v>
      </c>
      <c r="C68" s="167"/>
      <c r="D68" s="167"/>
      <c r="E68" s="167"/>
      <c r="F68" s="167"/>
      <c r="G68" s="167"/>
      <c r="H68" s="167"/>
      <c r="I68" s="167"/>
      <c r="J68" s="167"/>
      <c r="K68" s="167"/>
      <c r="L68" s="167"/>
      <c r="M68" s="168"/>
      <c r="N68" s="168"/>
      <c r="O68" s="169"/>
      <c r="P68" s="167"/>
      <c r="Q68" s="168"/>
      <c r="R68" s="168"/>
      <c r="S68" s="167"/>
      <c r="T68" s="167"/>
      <c r="U68" s="167"/>
      <c r="V68" s="129">
        <v>15.7</v>
      </c>
      <c r="W68" s="167"/>
      <c r="X68" s="167"/>
      <c r="Y68" s="167"/>
      <c r="Z68" s="100"/>
      <c r="AA68" s="145"/>
      <c r="AB68" s="145"/>
      <c r="AC68" s="145"/>
      <c r="AD68" s="145"/>
      <c r="AE68" s="145"/>
      <c r="AF68" s="106"/>
      <c r="AG68" s="106"/>
      <c r="AH68" s="106"/>
      <c r="AI68" s="106"/>
      <c r="AJ68" s="106"/>
      <c r="AL68" s="107"/>
      <c r="AM68" s="107"/>
      <c r="AN68" s="107"/>
    </row>
    <row r="69" spans="2:40" ht="17.5" x14ac:dyDescent="0.45">
      <c r="B69" s="165">
        <v>62</v>
      </c>
      <c r="C69" s="167"/>
      <c r="D69" s="167"/>
      <c r="E69" s="167"/>
      <c r="F69" s="167"/>
      <c r="G69" s="167"/>
      <c r="H69" s="167"/>
      <c r="I69" s="167"/>
      <c r="J69" s="167"/>
      <c r="K69" s="167"/>
      <c r="L69" s="167"/>
      <c r="M69" s="168"/>
      <c r="N69" s="168"/>
      <c r="O69" s="169"/>
      <c r="P69" s="167"/>
      <c r="Q69" s="168"/>
      <c r="R69" s="168"/>
      <c r="S69" s="167"/>
      <c r="T69" s="167"/>
      <c r="U69" s="167"/>
      <c r="V69" s="129">
        <v>15.8</v>
      </c>
      <c r="W69" s="167"/>
      <c r="X69" s="167"/>
      <c r="Y69" s="167"/>
      <c r="Z69" s="100"/>
      <c r="AA69" s="145"/>
      <c r="AB69" s="145"/>
      <c r="AC69" s="145"/>
      <c r="AD69" s="145"/>
      <c r="AE69" s="145"/>
      <c r="AF69" s="106"/>
      <c r="AG69" s="106"/>
      <c r="AH69" s="106"/>
      <c r="AI69" s="106"/>
      <c r="AJ69" s="106"/>
      <c r="AL69" s="107"/>
      <c r="AM69" s="107"/>
      <c r="AN69" s="107"/>
    </row>
    <row r="70" spans="2:40" ht="17.5" x14ac:dyDescent="0.45">
      <c r="B70" s="165">
        <v>63</v>
      </c>
      <c r="C70" s="167"/>
      <c r="D70" s="167"/>
      <c r="E70" s="167"/>
      <c r="F70" s="167"/>
      <c r="G70" s="167"/>
      <c r="H70" s="167"/>
      <c r="I70" s="167"/>
      <c r="J70" s="167"/>
      <c r="K70" s="167"/>
      <c r="L70" s="167"/>
      <c r="M70" s="168"/>
      <c r="N70" s="168"/>
      <c r="O70" s="169"/>
      <c r="P70" s="167"/>
      <c r="Q70" s="168"/>
      <c r="R70" s="168"/>
      <c r="S70" s="167"/>
      <c r="T70" s="167"/>
      <c r="U70" s="167"/>
      <c r="V70" s="129">
        <v>15.9</v>
      </c>
      <c r="W70" s="167"/>
      <c r="X70" s="167"/>
      <c r="Y70" s="167"/>
      <c r="Z70" s="100"/>
      <c r="AA70" s="145"/>
      <c r="AB70" s="145"/>
      <c r="AC70" s="145"/>
      <c r="AD70" s="145"/>
      <c r="AE70" s="145"/>
      <c r="AF70" s="106"/>
      <c r="AG70" s="106"/>
      <c r="AH70" s="106"/>
      <c r="AI70" s="106"/>
      <c r="AJ70" s="106"/>
      <c r="AL70" s="107"/>
      <c r="AM70" s="107"/>
      <c r="AN70" s="107"/>
    </row>
    <row r="71" spans="2:40" ht="17.5" x14ac:dyDescent="0.45">
      <c r="B71" s="165">
        <v>64</v>
      </c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8"/>
      <c r="N71" s="168"/>
      <c r="O71" s="170"/>
      <c r="P71" s="167"/>
      <c r="Q71" s="167"/>
      <c r="R71" s="167"/>
      <c r="S71" s="167"/>
      <c r="T71" s="167"/>
      <c r="U71" s="167"/>
      <c r="V71" s="171">
        <v>16.010000000000002</v>
      </c>
      <c r="W71" s="167"/>
      <c r="X71" s="167"/>
      <c r="Y71" s="167"/>
      <c r="Z71" s="100"/>
      <c r="AA71" s="145"/>
      <c r="AB71" s="145"/>
      <c r="AC71" s="145"/>
      <c r="AD71" s="145"/>
      <c r="AE71" s="145"/>
      <c r="AF71" s="106"/>
      <c r="AG71" s="106"/>
      <c r="AH71" s="106"/>
      <c r="AI71" s="106"/>
      <c r="AJ71" s="106"/>
      <c r="AL71" s="107"/>
      <c r="AM71" s="107"/>
      <c r="AN71" s="107"/>
    </row>
    <row r="72" spans="2:40" ht="17.5" x14ac:dyDescent="0.45">
      <c r="B72" s="165">
        <v>65</v>
      </c>
      <c r="C72" s="167"/>
      <c r="D72" s="167"/>
      <c r="E72" s="167"/>
      <c r="F72" s="167"/>
      <c r="G72" s="167"/>
      <c r="H72" s="167"/>
      <c r="I72" s="167"/>
      <c r="J72" s="167"/>
      <c r="K72" s="167"/>
      <c r="L72" s="167"/>
      <c r="M72" s="168"/>
      <c r="N72" s="168"/>
      <c r="O72" s="170"/>
      <c r="P72" s="167"/>
      <c r="Q72" s="167"/>
      <c r="R72" s="167"/>
      <c r="S72" s="167"/>
      <c r="T72" s="167"/>
      <c r="U72" s="167"/>
      <c r="V72" s="129">
        <v>16.11</v>
      </c>
      <c r="W72" s="167"/>
      <c r="X72" s="167"/>
      <c r="Y72" s="167"/>
      <c r="Z72" s="100"/>
      <c r="AA72" s="145"/>
      <c r="AB72" s="145"/>
      <c r="AC72" s="145"/>
      <c r="AD72" s="145"/>
      <c r="AE72" s="145"/>
      <c r="AF72" s="106"/>
      <c r="AG72" s="106"/>
      <c r="AH72" s="106"/>
      <c r="AI72" s="106"/>
      <c r="AJ72" s="106"/>
      <c r="AL72" s="107"/>
      <c r="AM72" s="107"/>
      <c r="AN72" s="107"/>
    </row>
    <row r="73" spans="2:40" ht="17.5" x14ac:dyDescent="0.45">
      <c r="B73" s="165">
        <v>66</v>
      </c>
      <c r="C73" s="167"/>
      <c r="D73" s="167"/>
      <c r="E73" s="167"/>
      <c r="F73" s="167"/>
      <c r="G73" s="167"/>
      <c r="H73" s="167"/>
      <c r="I73" s="167"/>
      <c r="J73" s="167"/>
      <c r="K73" s="167"/>
      <c r="L73" s="167"/>
      <c r="M73" s="168"/>
      <c r="N73" s="168"/>
      <c r="O73" s="170"/>
      <c r="P73" s="167"/>
      <c r="Q73" s="167"/>
      <c r="R73" s="167"/>
      <c r="S73" s="167"/>
      <c r="T73" s="167"/>
      <c r="U73" s="167"/>
      <c r="V73" s="129">
        <v>16.21</v>
      </c>
      <c r="W73" s="167"/>
      <c r="X73" s="167"/>
      <c r="Y73" s="167"/>
      <c r="Z73" s="100"/>
      <c r="AA73" s="145"/>
      <c r="AB73" s="145"/>
      <c r="AC73" s="145"/>
      <c r="AD73" s="145"/>
      <c r="AE73" s="145"/>
      <c r="AF73" s="106"/>
      <c r="AG73" s="106"/>
      <c r="AH73" s="106"/>
      <c r="AI73" s="106"/>
      <c r="AJ73" s="106"/>
      <c r="AL73" s="107"/>
      <c r="AM73" s="107"/>
      <c r="AN73" s="107"/>
    </row>
    <row r="74" spans="2:40" ht="17.5" x14ac:dyDescent="0.45">
      <c r="B74" s="165">
        <v>67</v>
      </c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8"/>
      <c r="N74" s="168"/>
      <c r="O74" s="170"/>
      <c r="P74" s="167"/>
      <c r="Q74" s="167"/>
      <c r="R74" s="167"/>
      <c r="S74" s="167"/>
      <c r="T74" s="167"/>
      <c r="U74" s="167"/>
      <c r="V74" s="129">
        <v>16.32</v>
      </c>
      <c r="W74" s="167"/>
      <c r="X74" s="167"/>
      <c r="Y74" s="167"/>
      <c r="Z74" s="100"/>
      <c r="AA74" s="145"/>
      <c r="AB74" s="145"/>
      <c r="AC74" s="145"/>
      <c r="AD74" s="145"/>
      <c r="AE74" s="145"/>
      <c r="AF74" s="106"/>
      <c r="AG74" s="106"/>
      <c r="AH74" s="106"/>
      <c r="AI74" s="106"/>
      <c r="AJ74" s="106"/>
      <c r="AL74" s="107"/>
      <c r="AM74" s="107"/>
      <c r="AN74" s="107"/>
    </row>
    <row r="75" spans="2:40" ht="17.5" x14ac:dyDescent="0.45">
      <c r="B75" s="165">
        <v>68</v>
      </c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8"/>
      <c r="N75" s="168"/>
      <c r="O75" s="170"/>
      <c r="P75" s="167"/>
      <c r="Q75" s="167"/>
      <c r="R75" s="167"/>
      <c r="S75" s="167"/>
      <c r="T75" s="167"/>
      <c r="U75" s="167"/>
      <c r="V75" s="129">
        <v>16.420000000000002</v>
      </c>
      <c r="W75" s="167"/>
      <c r="X75" s="167"/>
      <c r="Y75" s="167"/>
      <c r="Z75" s="100"/>
      <c r="AA75" s="145"/>
      <c r="AB75" s="145"/>
      <c r="AC75" s="145"/>
      <c r="AD75" s="145"/>
      <c r="AE75" s="145"/>
      <c r="AF75" s="106"/>
      <c r="AG75" s="106"/>
      <c r="AH75" s="106"/>
      <c r="AI75" s="106"/>
      <c r="AJ75" s="106"/>
      <c r="AL75" s="107"/>
      <c r="AM75" s="107"/>
      <c r="AN75" s="107"/>
    </row>
    <row r="76" spans="2:40" ht="17.5" x14ac:dyDescent="0.45">
      <c r="B76" s="165">
        <v>69</v>
      </c>
      <c r="C76" s="167"/>
      <c r="D76" s="167"/>
      <c r="E76" s="167"/>
      <c r="F76" s="167"/>
      <c r="G76" s="167"/>
      <c r="H76" s="167"/>
      <c r="I76" s="167"/>
      <c r="J76" s="167"/>
      <c r="K76" s="167"/>
      <c r="L76" s="167"/>
      <c r="M76" s="168"/>
      <c r="N76" s="168"/>
      <c r="O76" s="170"/>
      <c r="P76" s="167"/>
      <c r="Q76" s="167"/>
      <c r="R76" s="167"/>
      <c r="S76" s="167"/>
      <c r="T76" s="167"/>
      <c r="U76" s="167"/>
      <c r="V76" s="129">
        <v>16.53</v>
      </c>
      <c r="W76" s="167"/>
      <c r="X76" s="167"/>
      <c r="Y76" s="167"/>
      <c r="Z76" s="100"/>
      <c r="AA76" s="145"/>
      <c r="AB76" s="145"/>
      <c r="AC76" s="145"/>
      <c r="AD76" s="145"/>
      <c r="AE76" s="145"/>
      <c r="AF76" s="106"/>
      <c r="AG76" s="106"/>
      <c r="AH76" s="106"/>
      <c r="AI76" s="106"/>
      <c r="AJ76" s="106"/>
      <c r="AL76" s="107"/>
      <c r="AM76" s="107"/>
      <c r="AN76" s="107"/>
    </row>
    <row r="77" spans="2:40" ht="17.5" x14ac:dyDescent="0.45">
      <c r="B77" s="165">
        <v>70</v>
      </c>
      <c r="C77" s="167"/>
      <c r="D77" s="167"/>
      <c r="E77" s="167"/>
      <c r="F77" s="167"/>
      <c r="G77" s="167"/>
      <c r="H77" s="167"/>
      <c r="I77" s="167"/>
      <c r="J77" s="167"/>
      <c r="K77" s="167"/>
      <c r="L77" s="167"/>
      <c r="M77" s="168"/>
      <c r="N77" s="168"/>
      <c r="O77" s="170"/>
      <c r="P77" s="167"/>
      <c r="Q77" s="167"/>
      <c r="R77" s="167"/>
      <c r="S77" s="167"/>
      <c r="T77" s="167"/>
      <c r="U77" s="167"/>
      <c r="V77" s="129">
        <v>16.64</v>
      </c>
      <c r="W77" s="167"/>
      <c r="X77" s="167"/>
      <c r="Y77" s="167"/>
      <c r="Z77" s="100"/>
      <c r="AA77" s="145"/>
      <c r="AB77" s="145"/>
      <c r="AC77" s="145"/>
      <c r="AD77" s="145"/>
      <c r="AE77" s="145"/>
      <c r="AF77" s="106"/>
      <c r="AG77" s="106"/>
      <c r="AH77" s="106"/>
      <c r="AI77" s="106"/>
      <c r="AJ77" s="106"/>
      <c r="AL77" s="107"/>
      <c r="AM77" s="107"/>
      <c r="AN77" s="107"/>
    </row>
    <row r="78" spans="2:40" ht="17.5" x14ac:dyDescent="0.45">
      <c r="B78" s="165">
        <v>71</v>
      </c>
      <c r="C78" s="167"/>
      <c r="D78" s="167"/>
      <c r="E78" s="167"/>
      <c r="F78" s="167"/>
      <c r="G78" s="167"/>
      <c r="H78" s="167"/>
      <c r="I78" s="167"/>
      <c r="J78" s="167"/>
      <c r="K78" s="167"/>
      <c r="L78" s="167"/>
      <c r="M78" s="168"/>
      <c r="N78" s="168"/>
      <c r="O78" s="170"/>
      <c r="P78" s="167"/>
      <c r="Q78" s="167"/>
      <c r="R78" s="167"/>
      <c r="S78" s="167"/>
      <c r="T78" s="167"/>
      <c r="U78" s="167"/>
      <c r="V78" s="129">
        <v>16.75</v>
      </c>
      <c r="W78" s="167"/>
      <c r="X78" s="167"/>
      <c r="Y78" s="167"/>
      <c r="Z78" s="100"/>
      <c r="AA78" s="145"/>
      <c r="AB78" s="145"/>
      <c r="AC78" s="145"/>
      <c r="AD78" s="145"/>
      <c r="AE78" s="145"/>
      <c r="AF78" s="106"/>
      <c r="AG78" s="106"/>
      <c r="AH78" s="106"/>
      <c r="AI78" s="106"/>
      <c r="AJ78" s="106"/>
      <c r="AL78" s="107"/>
      <c r="AM78" s="107"/>
      <c r="AN78" s="107"/>
    </row>
    <row r="79" spans="2:40" ht="17.5" x14ac:dyDescent="0.45">
      <c r="B79" s="165">
        <v>72</v>
      </c>
      <c r="C79" s="167"/>
      <c r="D79" s="167"/>
      <c r="E79" s="167"/>
      <c r="F79" s="167"/>
      <c r="G79" s="167"/>
      <c r="H79" s="167"/>
      <c r="I79" s="167"/>
      <c r="J79" s="167"/>
      <c r="K79" s="167"/>
      <c r="L79" s="167"/>
      <c r="M79" s="168"/>
      <c r="N79" s="168"/>
      <c r="O79" s="170"/>
      <c r="P79" s="167"/>
      <c r="Q79" s="167"/>
      <c r="R79" s="167"/>
      <c r="S79" s="167"/>
      <c r="T79" s="167"/>
      <c r="U79" s="167"/>
      <c r="V79" s="129">
        <v>16.850000000000001</v>
      </c>
      <c r="W79" s="167"/>
      <c r="X79" s="167"/>
      <c r="Y79" s="167"/>
      <c r="Z79" s="100"/>
      <c r="AA79" s="145"/>
      <c r="AB79" s="145"/>
      <c r="AC79" s="145"/>
      <c r="AD79" s="145"/>
      <c r="AE79" s="145"/>
      <c r="AF79" s="106"/>
      <c r="AG79" s="106"/>
      <c r="AH79" s="106"/>
      <c r="AI79" s="106"/>
      <c r="AJ79" s="106"/>
      <c r="AL79" s="107"/>
      <c r="AM79" s="107"/>
      <c r="AN79" s="107"/>
    </row>
    <row r="80" spans="2:40" ht="17.5" x14ac:dyDescent="0.45">
      <c r="B80" s="165">
        <v>73</v>
      </c>
      <c r="C80" s="167"/>
      <c r="D80" s="167"/>
      <c r="E80" s="167"/>
      <c r="F80" s="167"/>
      <c r="G80" s="167"/>
      <c r="H80" s="167"/>
      <c r="I80" s="167"/>
      <c r="J80" s="167"/>
      <c r="K80" s="167"/>
      <c r="L80" s="167"/>
      <c r="M80" s="168"/>
      <c r="N80" s="168"/>
      <c r="O80" s="170"/>
      <c r="P80" s="167"/>
      <c r="Q80" s="167"/>
      <c r="R80" s="167"/>
      <c r="S80" s="167"/>
      <c r="T80" s="167"/>
      <c r="U80" s="167"/>
      <c r="V80" s="129">
        <v>16.97</v>
      </c>
      <c r="W80" s="167"/>
      <c r="X80" s="167"/>
      <c r="Y80" s="167"/>
      <c r="Z80" s="100"/>
      <c r="AA80" s="145"/>
      <c r="AB80" s="145"/>
      <c r="AC80" s="145"/>
      <c r="AD80" s="145"/>
      <c r="AE80" s="145"/>
      <c r="AF80" s="106"/>
      <c r="AG80" s="106"/>
      <c r="AH80" s="106"/>
      <c r="AI80" s="106"/>
      <c r="AJ80" s="106"/>
      <c r="AL80" s="107"/>
      <c r="AM80" s="107"/>
      <c r="AN80" s="107"/>
    </row>
    <row r="81" spans="2:40" ht="17.5" x14ac:dyDescent="0.45">
      <c r="B81" s="165">
        <v>74</v>
      </c>
      <c r="C81" s="167"/>
      <c r="D81" s="167"/>
      <c r="E81" s="167"/>
      <c r="F81" s="167"/>
      <c r="G81" s="167"/>
      <c r="H81" s="167"/>
      <c r="I81" s="167"/>
      <c r="J81" s="167"/>
      <c r="K81" s="167"/>
      <c r="L81" s="167"/>
      <c r="M81" s="168"/>
      <c r="N81" s="168"/>
      <c r="O81" s="170"/>
      <c r="P81" s="167"/>
      <c r="Q81" s="167"/>
      <c r="R81" s="167"/>
      <c r="S81" s="167"/>
      <c r="T81" s="167"/>
      <c r="U81" s="167"/>
      <c r="V81" s="129">
        <v>17.079999999999998</v>
      </c>
      <c r="W81" s="167"/>
      <c r="X81" s="167"/>
      <c r="Y81" s="167"/>
      <c r="Z81" s="100"/>
      <c r="AA81" s="145"/>
      <c r="AB81" s="145"/>
      <c r="AC81" s="145"/>
      <c r="AD81" s="145"/>
      <c r="AE81" s="145"/>
      <c r="AF81" s="106"/>
      <c r="AG81" s="106"/>
      <c r="AH81" s="106"/>
      <c r="AI81" s="106"/>
      <c r="AJ81" s="106"/>
      <c r="AL81" s="107"/>
      <c r="AM81" s="107"/>
      <c r="AN81" s="107"/>
    </row>
    <row r="82" spans="2:40" ht="17.5" x14ac:dyDescent="0.45">
      <c r="B82" s="165">
        <v>75</v>
      </c>
      <c r="C82" s="167"/>
      <c r="D82" s="167"/>
      <c r="E82" s="167"/>
      <c r="F82" s="167"/>
      <c r="G82" s="167"/>
      <c r="H82" s="167"/>
      <c r="I82" s="167"/>
      <c r="J82" s="167"/>
      <c r="K82" s="167"/>
      <c r="L82" s="167"/>
      <c r="M82" s="168"/>
      <c r="N82" s="168"/>
      <c r="O82" s="170"/>
      <c r="P82" s="167"/>
      <c r="Q82" s="167"/>
      <c r="R82" s="167"/>
      <c r="S82" s="167"/>
      <c r="T82" s="167"/>
      <c r="U82" s="167"/>
      <c r="V82" s="129">
        <v>17.190000000000001</v>
      </c>
      <c r="W82" s="167"/>
      <c r="X82" s="167"/>
      <c r="Y82" s="167"/>
      <c r="Z82" s="100"/>
      <c r="AA82" s="145"/>
      <c r="AB82" s="145"/>
      <c r="AC82" s="145"/>
      <c r="AD82" s="145"/>
      <c r="AE82" s="145"/>
      <c r="AF82" s="106"/>
      <c r="AG82" s="106"/>
      <c r="AH82" s="106"/>
      <c r="AI82" s="106"/>
      <c r="AJ82" s="106"/>
      <c r="AL82" s="107"/>
      <c r="AM82" s="107"/>
      <c r="AN82" s="107"/>
    </row>
    <row r="83" spans="2:40" ht="17.5" x14ac:dyDescent="0.45">
      <c r="B83" s="165">
        <v>76</v>
      </c>
      <c r="C83" s="167"/>
      <c r="D83" s="167"/>
      <c r="E83" s="167"/>
      <c r="F83" s="167"/>
      <c r="G83" s="167"/>
      <c r="H83" s="167"/>
      <c r="I83" s="167"/>
      <c r="J83" s="167"/>
      <c r="K83" s="167"/>
      <c r="L83" s="167"/>
      <c r="M83" s="168"/>
      <c r="N83" s="168"/>
      <c r="O83" s="170"/>
      <c r="P83" s="167"/>
      <c r="Q83" s="167"/>
      <c r="R83" s="167"/>
      <c r="S83" s="167"/>
      <c r="T83" s="167"/>
      <c r="U83" s="167"/>
      <c r="V83" s="129">
        <v>17.309999999999999</v>
      </c>
      <c r="W83" s="167"/>
      <c r="X83" s="167"/>
      <c r="Y83" s="167"/>
      <c r="Z83" s="100"/>
      <c r="AA83" s="145"/>
      <c r="AB83" s="145"/>
      <c r="AC83" s="145"/>
      <c r="AD83" s="145"/>
      <c r="AE83" s="145"/>
      <c r="AF83" s="106"/>
      <c r="AG83" s="106"/>
      <c r="AH83" s="106"/>
      <c r="AI83" s="106"/>
      <c r="AJ83" s="106"/>
      <c r="AL83" s="107"/>
      <c r="AM83" s="107"/>
      <c r="AN83" s="107"/>
    </row>
    <row r="84" spans="2:40" ht="17.5" x14ac:dyDescent="0.45">
      <c r="B84" s="165">
        <v>77</v>
      </c>
      <c r="C84" s="167"/>
      <c r="D84" s="167"/>
      <c r="E84" s="167"/>
      <c r="F84" s="167"/>
      <c r="G84" s="167"/>
      <c r="H84" s="167"/>
      <c r="I84" s="167"/>
      <c r="J84" s="167"/>
      <c r="K84" s="167"/>
      <c r="L84" s="167"/>
      <c r="M84" s="168"/>
      <c r="N84" s="168"/>
      <c r="O84" s="170"/>
      <c r="P84" s="167"/>
      <c r="Q84" s="167"/>
      <c r="R84" s="167"/>
      <c r="S84" s="167"/>
      <c r="T84" s="167"/>
      <c r="U84" s="167"/>
      <c r="V84" s="129">
        <v>17.43</v>
      </c>
      <c r="W84" s="167"/>
      <c r="X84" s="167"/>
      <c r="Y84" s="167"/>
      <c r="Z84" s="100"/>
      <c r="AA84" s="145"/>
      <c r="AB84" s="145"/>
      <c r="AC84" s="145"/>
      <c r="AD84" s="145"/>
      <c r="AE84" s="145"/>
      <c r="AF84" s="106"/>
      <c r="AG84" s="106"/>
      <c r="AH84" s="106"/>
      <c r="AI84" s="106"/>
      <c r="AJ84" s="106"/>
      <c r="AL84" s="107"/>
      <c r="AM84" s="107"/>
      <c r="AN84" s="107"/>
    </row>
    <row r="85" spans="2:40" ht="17.5" x14ac:dyDescent="0.45">
      <c r="B85" s="165">
        <v>78</v>
      </c>
      <c r="C85" s="167"/>
      <c r="D85" s="167"/>
      <c r="E85" s="167"/>
      <c r="F85" s="167"/>
      <c r="G85" s="167"/>
      <c r="H85" s="167"/>
      <c r="I85" s="167"/>
      <c r="J85" s="167"/>
      <c r="K85" s="167"/>
      <c r="L85" s="167"/>
      <c r="M85" s="168"/>
      <c r="N85" s="168"/>
      <c r="O85" s="170"/>
      <c r="P85" s="167"/>
      <c r="Q85" s="167"/>
      <c r="R85" s="167"/>
      <c r="S85" s="167"/>
      <c r="T85" s="167"/>
      <c r="U85" s="167"/>
      <c r="V85" s="129">
        <v>17.55</v>
      </c>
      <c r="W85" s="167"/>
      <c r="X85" s="167"/>
      <c r="Y85" s="167"/>
      <c r="Z85" s="100"/>
      <c r="AA85" s="145"/>
      <c r="AB85" s="145"/>
      <c r="AC85" s="145"/>
      <c r="AD85" s="145"/>
      <c r="AE85" s="145"/>
      <c r="AF85" s="106"/>
      <c r="AG85" s="106"/>
      <c r="AH85" s="106"/>
      <c r="AI85" s="106"/>
      <c r="AJ85" s="106"/>
      <c r="AL85" s="107"/>
      <c r="AM85" s="107"/>
      <c r="AN85" s="107"/>
    </row>
    <row r="86" spans="2:40" ht="17.5" x14ac:dyDescent="0.45">
      <c r="B86" s="165">
        <v>79</v>
      </c>
      <c r="C86" s="167"/>
      <c r="D86" s="167"/>
      <c r="E86" s="167"/>
      <c r="F86" s="167"/>
      <c r="G86" s="167"/>
      <c r="H86" s="167"/>
      <c r="I86" s="167"/>
      <c r="J86" s="167"/>
      <c r="K86" s="167"/>
      <c r="L86" s="167"/>
      <c r="M86" s="168"/>
      <c r="N86" s="168"/>
      <c r="O86" s="170"/>
      <c r="P86" s="167"/>
      <c r="Q86" s="167"/>
      <c r="R86" s="167"/>
      <c r="S86" s="167"/>
      <c r="T86" s="167"/>
      <c r="U86" s="167"/>
      <c r="V86" s="129">
        <v>17.670000000000002</v>
      </c>
      <c r="W86" s="167"/>
      <c r="X86" s="167"/>
      <c r="Y86" s="167"/>
      <c r="Z86" s="100"/>
      <c r="AA86" s="145"/>
      <c r="AB86" s="145"/>
      <c r="AC86" s="145"/>
      <c r="AD86" s="145"/>
      <c r="AE86" s="145"/>
      <c r="AF86" s="106"/>
      <c r="AG86" s="106"/>
      <c r="AH86" s="106"/>
      <c r="AI86" s="106"/>
      <c r="AJ86" s="106"/>
      <c r="AL86" s="107"/>
      <c r="AM86" s="107"/>
      <c r="AN86" s="107"/>
    </row>
    <row r="87" spans="2:40" ht="17.5" x14ac:dyDescent="0.45">
      <c r="B87" s="165">
        <v>80</v>
      </c>
      <c r="C87" s="167"/>
      <c r="D87" s="167"/>
      <c r="E87" s="167"/>
      <c r="F87" s="167"/>
      <c r="G87" s="167"/>
      <c r="H87" s="167"/>
      <c r="I87" s="167"/>
      <c r="J87" s="167"/>
      <c r="K87" s="167"/>
      <c r="L87" s="167"/>
      <c r="M87" s="168"/>
      <c r="N87" s="168"/>
      <c r="O87" s="170"/>
      <c r="P87" s="167"/>
      <c r="Q87" s="167"/>
      <c r="R87" s="167"/>
      <c r="S87" s="167"/>
      <c r="T87" s="167"/>
      <c r="U87" s="167"/>
      <c r="V87" s="129">
        <v>17.82</v>
      </c>
      <c r="W87" s="167"/>
      <c r="X87" s="167"/>
      <c r="Y87" s="167"/>
      <c r="Z87" s="100"/>
      <c r="AA87" s="145"/>
      <c r="AB87" s="145"/>
      <c r="AC87" s="145"/>
      <c r="AD87" s="145"/>
      <c r="AE87" s="145"/>
      <c r="AF87" s="106"/>
      <c r="AG87" s="106"/>
      <c r="AH87" s="106"/>
      <c r="AI87" s="106"/>
      <c r="AJ87" s="106"/>
      <c r="AL87" s="107"/>
      <c r="AM87" s="107"/>
      <c r="AN87" s="107"/>
    </row>
    <row r="88" spans="2:40" ht="17.5" x14ac:dyDescent="0.45">
      <c r="B88" s="165">
        <v>81</v>
      </c>
      <c r="C88" s="167"/>
      <c r="D88" s="167"/>
      <c r="E88" s="167"/>
      <c r="F88" s="167"/>
      <c r="G88" s="167"/>
      <c r="H88" s="167"/>
      <c r="I88" s="167"/>
      <c r="J88" s="167"/>
      <c r="K88" s="167"/>
      <c r="L88" s="167"/>
      <c r="M88" s="168"/>
      <c r="N88" s="168"/>
      <c r="O88" s="170"/>
      <c r="P88" s="167"/>
      <c r="Q88" s="167"/>
      <c r="R88" s="167"/>
      <c r="S88" s="167"/>
      <c r="T88" s="167"/>
      <c r="U88" s="167"/>
      <c r="V88" s="129">
        <v>17.940000000000001</v>
      </c>
      <c r="W88" s="167"/>
      <c r="X88" s="167"/>
      <c r="Y88" s="167"/>
      <c r="Z88" s="100"/>
      <c r="AA88" s="145"/>
      <c r="AB88" s="145"/>
      <c r="AC88" s="145"/>
      <c r="AD88" s="145"/>
      <c r="AE88" s="145"/>
      <c r="AF88" s="106"/>
      <c r="AG88" s="106"/>
      <c r="AH88" s="106"/>
      <c r="AI88" s="106"/>
      <c r="AJ88" s="106"/>
      <c r="AL88" s="107"/>
      <c r="AM88" s="107"/>
      <c r="AN88" s="107"/>
    </row>
    <row r="89" spans="2:40" ht="17.5" x14ac:dyDescent="0.45">
      <c r="B89" s="165">
        <v>82</v>
      </c>
      <c r="C89" s="167"/>
      <c r="D89" s="167"/>
      <c r="E89" s="167"/>
      <c r="F89" s="167"/>
      <c r="G89" s="167"/>
      <c r="H89" s="167"/>
      <c r="I89" s="167"/>
      <c r="J89" s="167"/>
      <c r="K89" s="167"/>
      <c r="L89" s="167"/>
      <c r="M89" s="168"/>
      <c r="N89" s="168"/>
      <c r="O89" s="170"/>
      <c r="P89" s="167"/>
      <c r="Q89" s="167"/>
      <c r="R89" s="167"/>
      <c r="S89" s="167"/>
      <c r="T89" s="167"/>
      <c r="U89" s="167"/>
      <c r="V89" s="129">
        <v>18.07</v>
      </c>
      <c r="W89" s="167"/>
      <c r="X89" s="167"/>
      <c r="Y89" s="167"/>
      <c r="Z89" s="100"/>
      <c r="AA89" s="145"/>
      <c r="AB89" s="145"/>
      <c r="AC89" s="145"/>
      <c r="AD89" s="145"/>
      <c r="AE89" s="145"/>
      <c r="AF89" s="106"/>
      <c r="AG89" s="106"/>
      <c r="AH89" s="106"/>
      <c r="AI89" s="106"/>
      <c r="AJ89" s="106"/>
      <c r="AL89" s="107"/>
      <c r="AM89" s="107"/>
      <c r="AN89" s="107"/>
    </row>
    <row r="90" spans="2:40" ht="17.5" x14ac:dyDescent="0.45">
      <c r="B90" s="165">
        <v>83</v>
      </c>
      <c r="C90" s="167"/>
      <c r="D90" s="167"/>
      <c r="E90" s="167"/>
      <c r="F90" s="167"/>
      <c r="G90" s="167"/>
      <c r="H90" s="167"/>
      <c r="I90" s="167"/>
      <c r="J90" s="167"/>
      <c r="K90" s="167"/>
      <c r="L90" s="167"/>
      <c r="M90" s="168"/>
      <c r="N90" s="168"/>
      <c r="O90" s="170"/>
      <c r="P90" s="167"/>
      <c r="Q90" s="167"/>
      <c r="R90" s="167"/>
      <c r="S90" s="167"/>
      <c r="T90" s="167"/>
      <c r="U90" s="167"/>
      <c r="V90" s="129">
        <v>18.2</v>
      </c>
      <c r="W90" s="167"/>
      <c r="X90" s="167"/>
      <c r="Y90" s="167"/>
      <c r="Z90" s="100"/>
      <c r="AA90" s="145"/>
      <c r="AB90" s="145"/>
      <c r="AC90" s="145"/>
      <c r="AD90" s="145"/>
      <c r="AE90" s="145"/>
      <c r="AF90" s="106"/>
      <c r="AG90" s="106"/>
      <c r="AH90" s="106"/>
      <c r="AI90" s="106"/>
      <c r="AJ90" s="106"/>
      <c r="AL90" s="107"/>
      <c r="AM90" s="107"/>
      <c r="AN90" s="107"/>
    </row>
    <row r="91" spans="2:40" ht="17.5" x14ac:dyDescent="0.45">
      <c r="B91" s="165">
        <v>84</v>
      </c>
      <c r="C91" s="167"/>
      <c r="D91" s="167"/>
      <c r="E91" s="167"/>
      <c r="F91" s="167"/>
      <c r="G91" s="167"/>
      <c r="H91" s="167"/>
      <c r="I91" s="167"/>
      <c r="J91" s="167"/>
      <c r="K91" s="167"/>
      <c r="L91" s="167"/>
      <c r="M91" s="168"/>
      <c r="N91" s="168"/>
      <c r="O91" s="170"/>
      <c r="P91" s="167"/>
      <c r="Q91" s="167"/>
      <c r="R91" s="167"/>
      <c r="S91" s="167"/>
      <c r="T91" s="167"/>
      <c r="U91" s="167"/>
      <c r="V91" s="129">
        <v>18.32</v>
      </c>
      <c r="W91" s="167"/>
      <c r="X91" s="167"/>
      <c r="Y91" s="167"/>
      <c r="Z91" s="100"/>
      <c r="AA91" s="145"/>
      <c r="AB91" s="145"/>
      <c r="AC91" s="145"/>
      <c r="AD91" s="145"/>
      <c r="AE91" s="145"/>
      <c r="AF91" s="106"/>
      <c r="AG91" s="106"/>
      <c r="AH91" s="106"/>
      <c r="AI91" s="106"/>
      <c r="AJ91" s="106"/>
      <c r="AL91" s="107"/>
      <c r="AM91" s="107"/>
      <c r="AN91" s="107"/>
    </row>
    <row r="92" spans="2:40" ht="17.5" x14ac:dyDescent="0.45">
      <c r="B92" s="165">
        <v>85</v>
      </c>
      <c r="C92" s="167"/>
      <c r="D92" s="167"/>
      <c r="E92" s="167"/>
      <c r="F92" s="167"/>
      <c r="G92" s="167"/>
      <c r="H92" s="167"/>
      <c r="I92" s="167"/>
      <c r="J92" s="167"/>
      <c r="K92" s="167"/>
      <c r="L92" s="167"/>
      <c r="M92" s="168"/>
      <c r="N92" s="168"/>
      <c r="O92" s="170"/>
      <c r="P92" s="167"/>
      <c r="Q92" s="167"/>
      <c r="R92" s="167"/>
      <c r="S92" s="167"/>
      <c r="T92" s="167"/>
      <c r="U92" s="167"/>
      <c r="V92" s="129">
        <v>18.46</v>
      </c>
      <c r="W92" s="167"/>
      <c r="X92" s="167"/>
      <c r="Y92" s="167"/>
      <c r="Z92" s="100"/>
      <c r="AA92" s="145"/>
      <c r="AB92" s="145"/>
      <c r="AC92" s="145"/>
      <c r="AD92" s="145"/>
      <c r="AE92" s="145"/>
      <c r="AF92" s="106"/>
      <c r="AG92" s="106"/>
      <c r="AH92" s="106"/>
      <c r="AI92" s="106"/>
      <c r="AJ92" s="106"/>
      <c r="AL92" s="107"/>
      <c r="AM92" s="107"/>
      <c r="AN92" s="107"/>
    </row>
    <row r="93" spans="2:40" ht="17.5" x14ac:dyDescent="0.45">
      <c r="B93" s="165">
        <v>86</v>
      </c>
      <c r="C93" s="167"/>
      <c r="D93" s="167"/>
      <c r="E93" s="167"/>
      <c r="F93" s="167"/>
      <c r="G93" s="167"/>
      <c r="H93" s="167"/>
      <c r="I93" s="167"/>
      <c r="J93" s="167"/>
      <c r="K93" s="167"/>
      <c r="L93" s="167"/>
      <c r="M93" s="168"/>
      <c r="N93" s="168"/>
      <c r="O93" s="170"/>
      <c r="P93" s="167"/>
      <c r="Q93" s="167"/>
      <c r="R93" s="167"/>
      <c r="S93" s="167"/>
      <c r="T93" s="167"/>
      <c r="U93" s="167"/>
      <c r="V93" s="129">
        <v>18.59</v>
      </c>
      <c r="W93" s="167"/>
      <c r="X93" s="167"/>
      <c r="Y93" s="167"/>
      <c r="Z93" s="100"/>
      <c r="AA93" s="145"/>
      <c r="AB93" s="145"/>
      <c r="AC93" s="145"/>
      <c r="AD93" s="145"/>
      <c r="AE93" s="145"/>
      <c r="AF93" s="106"/>
      <c r="AG93" s="106"/>
      <c r="AH93" s="106"/>
      <c r="AI93" s="106"/>
      <c r="AJ93" s="106"/>
      <c r="AL93" s="107"/>
      <c r="AM93" s="107"/>
      <c r="AN93" s="107"/>
    </row>
    <row r="94" spans="2:40" ht="17.5" x14ac:dyDescent="0.45">
      <c r="B94" s="165">
        <v>87</v>
      </c>
      <c r="C94" s="167"/>
      <c r="D94" s="167"/>
      <c r="E94" s="167"/>
      <c r="F94" s="167"/>
      <c r="G94" s="167"/>
      <c r="H94" s="167"/>
      <c r="I94" s="167"/>
      <c r="J94" s="167"/>
      <c r="K94" s="167"/>
      <c r="L94" s="167"/>
      <c r="M94" s="168"/>
      <c r="N94" s="168"/>
      <c r="O94" s="170"/>
      <c r="P94" s="167"/>
      <c r="Q94" s="167"/>
      <c r="R94" s="167"/>
      <c r="S94" s="167"/>
      <c r="T94" s="167"/>
      <c r="U94" s="167"/>
      <c r="V94" s="129">
        <v>18.73</v>
      </c>
      <c r="W94" s="167"/>
      <c r="X94" s="167"/>
      <c r="Y94" s="167"/>
      <c r="Z94" s="100"/>
      <c r="AA94" s="145"/>
      <c r="AB94" s="145"/>
      <c r="AC94" s="145"/>
      <c r="AD94" s="145"/>
      <c r="AE94" s="145"/>
      <c r="AF94" s="106"/>
      <c r="AG94" s="106"/>
      <c r="AH94" s="106"/>
      <c r="AI94" s="106"/>
      <c r="AJ94" s="106"/>
      <c r="AL94" s="107"/>
      <c r="AM94" s="107"/>
      <c r="AN94" s="107"/>
    </row>
    <row r="95" spans="2:40" ht="17.5" x14ac:dyDescent="0.45">
      <c r="B95" s="165">
        <v>88</v>
      </c>
      <c r="C95" s="167"/>
      <c r="D95" s="167"/>
      <c r="E95" s="167"/>
      <c r="F95" s="167"/>
      <c r="G95" s="167"/>
      <c r="H95" s="167"/>
      <c r="I95" s="167"/>
      <c r="J95" s="167"/>
      <c r="K95" s="167"/>
      <c r="L95" s="167"/>
      <c r="M95" s="168"/>
      <c r="N95" s="168"/>
      <c r="O95" s="170"/>
      <c r="P95" s="167"/>
      <c r="Q95" s="167"/>
      <c r="R95" s="167"/>
      <c r="S95" s="167"/>
      <c r="T95" s="167"/>
      <c r="U95" s="167"/>
      <c r="V95" s="129">
        <v>18.86</v>
      </c>
      <c r="W95" s="167"/>
      <c r="X95" s="167"/>
      <c r="Y95" s="167"/>
      <c r="Z95" s="100"/>
      <c r="AA95" s="145"/>
      <c r="AB95" s="145"/>
      <c r="AC95" s="145"/>
      <c r="AD95" s="145"/>
      <c r="AE95" s="145"/>
      <c r="AF95" s="106"/>
      <c r="AG95" s="106"/>
      <c r="AH95" s="106"/>
      <c r="AI95" s="106"/>
      <c r="AJ95" s="106"/>
      <c r="AL95" s="107"/>
      <c r="AM95" s="107"/>
      <c r="AN95" s="107"/>
    </row>
    <row r="96" spans="2:40" ht="17.5" x14ac:dyDescent="0.45">
      <c r="B96" s="165">
        <v>89</v>
      </c>
      <c r="C96" s="167"/>
      <c r="D96" s="167"/>
      <c r="E96" s="167"/>
      <c r="F96" s="167"/>
      <c r="G96" s="167"/>
      <c r="H96" s="167"/>
      <c r="I96" s="167"/>
      <c r="J96" s="167"/>
      <c r="K96" s="167"/>
      <c r="L96" s="167"/>
      <c r="M96" s="168"/>
      <c r="N96" s="168"/>
      <c r="O96" s="170"/>
      <c r="P96" s="167"/>
      <c r="Q96" s="167"/>
      <c r="R96" s="167"/>
      <c r="S96" s="167"/>
      <c r="T96" s="167"/>
      <c r="U96" s="167"/>
      <c r="V96" s="129">
        <v>19</v>
      </c>
      <c r="W96" s="167"/>
      <c r="X96" s="167"/>
      <c r="Y96" s="167"/>
      <c r="Z96" s="100"/>
      <c r="AA96" s="145"/>
      <c r="AB96" s="145"/>
      <c r="AC96" s="145"/>
      <c r="AD96" s="145"/>
      <c r="AE96" s="145"/>
      <c r="AF96" s="106"/>
      <c r="AG96" s="106"/>
      <c r="AH96" s="106"/>
      <c r="AI96" s="106"/>
      <c r="AJ96" s="106"/>
      <c r="AL96" s="107"/>
      <c r="AM96" s="107"/>
      <c r="AN96" s="107"/>
    </row>
    <row r="97" spans="2:40" ht="17.5" x14ac:dyDescent="0.45">
      <c r="B97" s="165">
        <v>90</v>
      </c>
      <c r="C97" s="167"/>
      <c r="D97" s="167"/>
      <c r="E97" s="167"/>
      <c r="F97" s="167"/>
      <c r="G97" s="167"/>
      <c r="H97" s="167"/>
      <c r="I97" s="167"/>
      <c r="J97" s="167"/>
      <c r="K97" s="167"/>
      <c r="L97" s="167"/>
      <c r="M97" s="168"/>
      <c r="N97" s="168"/>
      <c r="O97" s="170"/>
      <c r="P97" s="167"/>
      <c r="Q97" s="167"/>
      <c r="R97" s="167"/>
      <c r="S97" s="167"/>
      <c r="T97" s="167"/>
      <c r="U97" s="167"/>
      <c r="V97" s="129">
        <v>19.14</v>
      </c>
      <c r="W97" s="167"/>
      <c r="X97" s="167"/>
      <c r="Y97" s="167"/>
      <c r="Z97" s="100"/>
      <c r="AA97" s="145"/>
      <c r="AB97" s="145"/>
      <c r="AC97" s="145"/>
      <c r="AD97" s="145"/>
      <c r="AE97" s="145"/>
      <c r="AF97" s="106"/>
      <c r="AG97" s="106"/>
      <c r="AH97" s="106"/>
      <c r="AI97" s="106"/>
      <c r="AJ97" s="106"/>
      <c r="AL97" s="107"/>
      <c r="AM97" s="107"/>
      <c r="AN97" s="107"/>
    </row>
    <row r="98" spans="2:40" ht="17.5" x14ac:dyDescent="0.45">
      <c r="B98" s="165">
        <v>91</v>
      </c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8"/>
      <c r="N98" s="168"/>
      <c r="O98" s="170"/>
      <c r="P98" s="167"/>
      <c r="Q98" s="167"/>
      <c r="R98" s="167"/>
      <c r="S98" s="167"/>
      <c r="T98" s="167"/>
      <c r="U98" s="167"/>
      <c r="V98" s="129">
        <v>19.29</v>
      </c>
      <c r="W98" s="167"/>
      <c r="X98" s="167"/>
      <c r="Y98" s="167"/>
      <c r="Z98" s="100"/>
      <c r="AA98" s="145"/>
      <c r="AB98" s="145"/>
      <c r="AC98" s="145"/>
      <c r="AD98" s="145"/>
      <c r="AE98" s="145"/>
      <c r="AF98" s="106"/>
      <c r="AG98" s="106"/>
      <c r="AH98" s="106"/>
      <c r="AI98" s="106"/>
      <c r="AJ98" s="106"/>
      <c r="AL98" s="107"/>
      <c r="AM98" s="107"/>
      <c r="AN98" s="107"/>
    </row>
    <row r="99" spans="2:40" ht="17.5" x14ac:dyDescent="0.45">
      <c r="B99" s="165">
        <v>92</v>
      </c>
      <c r="C99" s="167"/>
      <c r="D99" s="167"/>
      <c r="E99" s="167"/>
      <c r="F99" s="167"/>
      <c r="G99" s="167"/>
      <c r="H99" s="167"/>
      <c r="I99" s="167"/>
      <c r="J99" s="167"/>
      <c r="K99" s="167"/>
      <c r="L99" s="167"/>
      <c r="M99" s="168"/>
      <c r="N99" s="168"/>
      <c r="O99" s="170"/>
      <c r="P99" s="167"/>
      <c r="Q99" s="167"/>
      <c r="R99" s="167"/>
      <c r="S99" s="167"/>
      <c r="T99" s="167"/>
      <c r="U99" s="167"/>
      <c r="V99" s="129">
        <v>19.440000000000001</v>
      </c>
      <c r="W99" s="167"/>
      <c r="X99" s="167"/>
      <c r="Y99" s="167"/>
      <c r="Z99" s="100"/>
      <c r="AA99" s="145"/>
      <c r="AB99" s="145"/>
      <c r="AC99" s="145"/>
      <c r="AD99" s="145"/>
      <c r="AE99" s="145"/>
      <c r="AF99" s="106"/>
      <c r="AG99" s="106"/>
      <c r="AH99" s="106"/>
      <c r="AI99" s="106"/>
      <c r="AJ99" s="106"/>
      <c r="AL99" s="107"/>
      <c r="AM99" s="107"/>
      <c r="AN99" s="107"/>
    </row>
    <row r="100" spans="2:40" ht="17.5" x14ac:dyDescent="0.45">
      <c r="B100" s="165">
        <v>93</v>
      </c>
      <c r="C100" s="167"/>
      <c r="D100" s="167"/>
      <c r="E100" s="167"/>
      <c r="F100" s="167"/>
      <c r="G100" s="167"/>
      <c r="H100" s="167"/>
      <c r="I100" s="167"/>
      <c r="J100" s="167"/>
      <c r="K100" s="167"/>
      <c r="L100" s="167"/>
      <c r="M100" s="168"/>
      <c r="N100" s="168"/>
      <c r="O100" s="170"/>
      <c r="P100" s="167"/>
      <c r="Q100" s="167"/>
      <c r="R100" s="167"/>
      <c r="S100" s="167"/>
      <c r="T100" s="167"/>
      <c r="U100" s="167"/>
      <c r="V100" s="129">
        <v>19.579999999999998</v>
      </c>
      <c r="W100" s="167"/>
      <c r="X100" s="167"/>
      <c r="Y100" s="167"/>
      <c r="Z100" s="100"/>
      <c r="AA100" s="145"/>
      <c r="AB100" s="145"/>
      <c r="AC100" s="145"/>
      <c r="AD100" s="145"/>
      <c r="AE100" s="145"/>
      <c r="AF100" s="106"/>
      <c r="AG100" s="106"/>
      <c r="AH100" s="106"/>
      <c r="AI100" s="106"/>
      <c r="AJ100" s="106"/>
      <c r="AL100" s="107"/>
      <c r="AM100" s="107"/>
      <c r="AN100" s="107"/>
    </row>
    <row r="101" spans="2:40" ht="17.5" x14ac:dyDescent="0.45">
      <c r="B101" s="165">
        <v>94</v>
      </c>
      <c r="C101" s="167"/>
      <c r="D101" s="167"/>
      <c r="E101" s="167"/>
      <c r="F101" s="167"/>
      <c r="G101" s="167"/>
      <c r="H101" s="167"/>
      <c r="I101" s="167"/>
      <c r="J101" s="167"/>
      <c r="K101" s="167"/>
      <c r="L101" s="167"/>
      <c r="M101" s="168"/>
      <c r="N101" s="168"/>
      <c r="O101" s="170"/>
      <c r="P101" s="167"/>
      <c r="Q101" s="167"/>
      <c r="R101" s="167"/>
      <c r="S101" s="167"/>
      <c r="T101" s="167"/>
      <c r="U101" s="167"/>
      <c r="V101" s="129">
        <v>19.739999999999998</v>
      </c>
      <c r="W101" s="167"/>
      <c r="X101" s="167"/>
      <c r="Y101" s="167"/>
      <c r="Z101" s="100"/>
      <c r="AA101" s="145"/>
      <c r="AB101" s="145"/>
      <c r="AC101" s="145"/>
      <c r="AD101" s="145"/>
      <c r="AE101" s="145"/>
      <c r="AF101" s="106"/>
      <c r="AG101" s="106"/>
      <c r="AH101" s="106"/>
      <c r="AI101" s="106"/>
      <c r="AJ101" s="106"/>
      <c r="AL101" s="107"/>
      <c r="AM101" s="107"/>
      <c r="AN101" s="107"/>
    </row>
    <row r="102" spans="2:40" ht="17.5" x14ac:dyDescent="0.45">
      <c r="B102" s="165">
        <v>95</v>
      </c>
      <c r="C102" s="167"/>
      <c r="D102" s="167"/>
      <c r="E102" s="167"/>
      <c r="F102" s="167"/>
      <c r="G102" s="167"/>
      <c r="H102" s="167"/>
      <c r="I102" s="167"/>
      <c r="J102" s="167"/>
      <c r="K102" s="167"/>
      <c r="L102" s="167"/>
      <c r="M102" s="168"/>
      <c r="N102" s="168"/>
      <c r="O102" s="170"/>
      <c r="P102" s="167"/>
      <c r="Q102" s="167"/>
      <c r="R102" s="167"/>
      <c r="S102" s="167"/>
      <c r="T102" s="167"/>
      <c r="U102" s="167"/>
      <c r="V102" s="129">
        <v>19.89</v>
      </c>
      <c r="W102" s="167"/>
      <c r="X102" s="167"/>
      <c r="Y102" s="167"/>
      <c r="Z102" s="100"/>
      <c r="AA102" s="145"/>
      <c r="AB102" s="145"/>
      <c r="AC102" s="145"/>
      <c r="AD102" s="145"/>
      <c r="AE102" s="145"/>
      <c r="AF102" s="106"/>
      <c r="AG102" s="106"/>
      <c r="AH102" s="106"/>
      <c r="AI102" s="106"/>
      <c r="AJ102" s="106"/>
      <c r="AL102" s="107"/>
      <c r="AM102" s="107"/>
      <c r="AN102" s="107"/>
    </row>
    <row r="103" spans="2:40" ht="17.5" x14ac:dyDescent="0.45">
      <c r="B103" s="165">
        <v>96</v>
      </c>
      <c r="C103" s="167"/>
      <c r="D103" s="167"/>
      <c r="E103" s="167"/>
      <c r="F103" s="167"/>
      <c r="G103" s="167"/>
      <c r="H103" s="167"/>
      <c r="I103" s="167"/>
      <c r="J103" s="167"/>
      <c r="K103" s="167"/>
      <c r="L103" s="167"/>
      <c r="M103" s="168"/>
      <c r="N103" s="168"/>
      <c r="O103" s="170"/>
      <c r="P103" s="167"/>
      <c r="Q103" s="167"/>
      <c r="R103" s="167"/>
      <c r="S103" s="167"/>
      <c r="T103" s="167"/>
      <c r="U103" s="167"/>
      <c r="V103" s="129">
        <v>20.09</v>
      </c>
      <c r="W103" s="167"/>
      <c r="X103" s="167"/>
      <c r="Y103" s="167"/>
      <c r="Z103" s="100"/>
      <c r="AA103" s="145"/>
      <c r="AB103" s="145"/>
      <c r="AC103" s="145"/>
      <c r="AD103" s="145"/>
      <c r="AE103" s="145"/>
      <c r="AF103" s="106"/>
      <c r="AG103" s="106"/>
      <c r="AH103" s="106"/>
      <c r="AI103" s="106"/>
      <c r="AJ103" s="106"/>
      <c r="AL103" s="107"/>
      <c r="AM103" s="107"/>
      <c r="AN103" s="107"/>
    </row>
    <row r="104" spans="2:40" ht="17.5" x14ac:dyDescent="0.45">
      <c r="B104" s="165">
        <v>97</v>
      </c>
      <c r="C104" s="167"/>
      <c r="D104" s="167"/>
      <c r="E104" s="167"/>
      <c r="F104" s="167"/>
      <c r="G104" s="167"/>
      <c r="H104" s="167"/>
      <c r="I104" s="167"/>
      <c r="J104" s="167"/>
      <c r="K104" s="167"/>
      <c r="L104" s="167"/>
      <c r="M104" s="168"/>
      <c r="N104" s="168"/>
      <c r="O104" s="170"/>
      <c r="P104" s="167"/>
      <c r="Q104" s="167"/>
      <c r="R104" s="167"/>
      <c r="S104" s="167"/>
      <c r="T104" s="167"/>
      <c r="U104" s="167"/>
      <c r="V104" s="129">
        <v>20.25</v>
      </c>
      <c r="W104" s="167"/>
      <c r="X104" s="167"/>
      <c r="Y104" s="167"/>
      <c r="Z104" s="100"/>
      <c r="AA104" s="145"/>
      <c r="AB104" s="145"/>
      <c r="AC104" s="145"/>
      <c r="AD104" s="145"/>
      <c r="AE104" s="145"/>
    </row>
    <row r="105" spans="2:40" ht="17.5" x14ac:dyDescent="0.45">
      <c r="B105" s="165">
        <v>98</v>
      </c>
      <c r="C105" s="167"/>
      <c r="D105" s="167"/>
      <c r="E105" s="167"/>
      <c r="F105" s="167"/>
      <c r="G105" s="167"/>
      <c r="H105" s="167"/>
      <c r="I105" s="167"/>
      <c r="J105" s="167"/>
      <c r="K105" s="167"/>
      <c r="L105" s="167"/>
      <c r="M105" s="168"/>
      <c r="N105" s="168"/>
      <c r="O105" s="170"/>
      <c r="P105" s="167"/>
      <c r="Q105" s="167"/>
      <c r="R105" s="167"/>
      <c r="S105" s="167"/>
      <c r="T105" s="167"/>
      <c r="U105" s="167"/>
      <c r="V105" s="129">
        <v>20.41</v>
      </c>
      <c r="W105" s="167"/>
      <c r="X105" s="167"/>
      <c r="Y105" s="167"/>
      <c r="Z105" s="100"/>
      <c r="AA105" s="145"/>
      <c r="AB105" s="145"/>
      <c r="AC105" s="145"/>
      <c r="AD105" s="145"/>
      <c r="AE105" s="145"/>
    </row>
    <row r="106" spans="2:40" ht="17.5" x14ac:dyDescent="0.45">
      <c r="B106" s="165">
        <v>99</v>
      </c>
      <c r="C106" s="167"/>
      <c r="D106" s="167"/>
      <c r="E106" s="167"/>
      <c r="F106" s="167"/>
      <c r="G106" s="167"/>
      <c r="H106" s="167"/>
      <c r="I106" s="167"/>
      <c r="J106" s="167"/>
      <c r="K106" s="167"/>
      <c r="L106" s="167"/>
      <c r="M106" s="168"/>
      <c r="N106" s="168"/>
      <c r="O106" s="170"/>
      <c r="P106" s="167"/>
      <c r="Q106" s="167"/>
      <c r="R106" s="167"/>
      <c r="S106" s="167"/>
      <c r="T106" s="167"/>
      <c r="U106" s="167"/>
      <c r="V106" s="129">
        <v>20.58</v>
      </c>
      <c r="W106" s="167"/>
      <c r="X106" s="167"/>
      <c r="Y106" s="167"/>
      <c r="Z106" s="100"/>
      <c r="AA106" s="145"/>
      <c r="AB106" s="145"/>
      <c r="AC106" s="145"/>
      <c r="AD106" s="145"/>
      <c r="AE106" s="145"/>
    </row>
    <row r="107" spans="2:40" ht="17.5" x14ac:dyDescent="0.45">
      <c r="B107" s="165">
        <v>100</v>
      </c>
      <c r="C107" s="167"/>
      <c r="D107" s="167"/>
      <c r="E107" s="167"/>
      <c r="F107" s="167"/>
      <c r="G107" s="167"/>
      <c r="H107" s="167"/>
      <c r="I107" s="167"/>
      <c r="J107" s="167"/>
      <c r="K107" s="167"/>
      <c r="L107" s="167"/>
      <c r="M107" s="168"/>
      <c r="N107" s="168"/>
      <c r="O107" s="170"/>
      <c r="P107" s="167"/>
      <c r="Q107" s="167"/>
      <c r="R107" s="167"/>
      <c r="S107" s="167"/>
      <c r="T107" s="167"/>
      <c r="U107" s="167"/>
      <c r="V107" s="129">
        <v>20.74</v>
      </c>
      <c r="W107" s="167"/>
      <c r="X107" s="167"/>
      <c r="Y107" s="167"/>
      <c r="Z107" s="100"/>
      <c r="AA107" s="145"/>
      <c r="AB107" s="145"/>
      <c r="AC107" s="145"/>
      <c r="AD107" s="145"/>
      <c r="AE107" s="145"/>
    </row>
    <row r="108" spans="2:40" ht="17.5" x14ac:dyDescent="0.45">
      <c r="B108" s="165">
        <v>101</v>
      </c>
      <c r="C108" s="167"/>
      <c r="D108" s="167"/>
      <c r="E108" s="167"/>
      <c r="F108" s="167"/>
      <c r="G108" s="167"/>
      <c r="H108" s="167"/>
      <c r="I108" s="167"/>
      <c r="J108" s="167"/>
      <c r="K108" s="167"/>
      <c r="L108" s="167"/>
      <c r="M108" s="168"/>
      <c r="N108" s="168"/>
      <c r="O108" s="170"/>
      <c r="P108" s="167"/>
      <c r="Q108" s="167"/>
      <c r="R108" s="167"/>
      <c r="S108" s="167"/>
      <c r="T108" s="167"/>
      <c r="U108" s="167"/>
      <c r="V108" s="129">
        <v>20.91</v>
      </c>
      <c r="W108" s="167"/>
      <c r="X108" s="167"/>
      <c r="Y108" s="167"/>
      <c r="Z108" s="100"/>
      <c r="AA108" s="145"/>
      <c r="AB108" s="145"/>
      <c r="AC108" s="145"/>
      <c r="AD108" s="145"/>
      <c r="AE108" s="145"/>
    </row>
    <row r="109" spans="2:40" ht="17.5" x14ac:dyDescent="0.45">
      <c r="B109" s="165">
        <v>102</v>
      </c>
      <c r="C109" s="167"/>
      <c r="D109" s="167"/>
      <c r="E109" s="167"/>
      <c r="F109" s="167"/>
      <c r="G109" s="167"/>
      <c r="H109" s="167"/>
      <c r="I109" s="167"/>
      <c r="J109" s="167"/>
      <c r="K109" s="167"/>
      <c r="L109" s="167"/>
      <c r="M109" s="168"/>
      <c r="N109" s="168"/>
      <c r="O109" s="170"/>
      <c r="P109" s="167"/>
      <c r="Q109" s="167"/>
      <c r="R109" s="167"/>
      <c r="S109" s="167"/>
      <c r="T109" s="167"/>
      <c r="U109" s="167"/>
      <c r="V109" s="129">
        <v>21.08</v>
      </c>
      <c r="W109" s="167"/>
      <c r="X109" s="167"/>
      <c r="Y109" s="167"/>
      <c r="Z109" s="100"/>
      <c r="AA109" s="145"/>
      <c r="AB109" s="145"/>
      <c r="AC109" s="145"/>
      <c r="AD109" s="145"/>
      <c r="AE109" s="145"/>
    </row>
    <row r="110" spans="2:40" ht="17.5" x14ac:dyDescent="0.45">
      <c r="B110" s="165">
        <v>103</v>
      </c>
      <c r="C110" s="167"/>
      <c r="D110" s="167"/>
      <c r="E110" s="167"/>
      <c r="F110" s="167"/>
      <c r="G110" s="167"/>
      <c r="H110" s="167"/>
      <c r="I110" s="167"/>
      <c r="J110" s="167"/>
      <c r="K110" s="167"/>
      <c r="L110" s="167"/>
      <c r="M110" s="168"/>
      <c r="N110" s="168"/>
      <c r="O110" s="170"/>
      <c r="P110" s="167"/>
      <c r="Q110" s="167"/>
      <c r="R110" s="167"/>
      <c r="S110" s="167"/>
      <c r="T110" s="167"/>
      <c r="U110" s="167"/>
      <c r="V110" s="129">
        <v>21.26</v>
      </c>
      <c r="W110" s="167"/>
      <c r="X110" s="167"/>
      <c r="Y110" s="167"/>
      <c r="Z110" s="100"/>
      <c r="AA110" s="145"/>
      <c r="AB110" s="145"/>
      <c r="AC110" s="145"/>
      <c r="AD110" s="145"/>
      <c r="AE110" s="145"/>
    </row>
    <row r="111" spans="2:40" ht="17.5" x14ac:dyDescent="0.45">
      <c r="B111" s="165">
        <v>104</v>
      </c>
      <c r="C111" s="167"/>
      <c r="D111" s="167"/>
      <c r="E111" s="167"/>
      <c r="F111" s="167"/>
      <c r="G111" s="167"/>
      <c r="H111" s="167"/>
      <c r="I111" s="167"/>
      <c r="J111" s="167"/>
      <c r="K111" s="167"/>
      <c r="L111" s="167"/>
      <c r="M111" s="168"/>
      <c r="N111" s="168"/>
      <c r="O111" s="170"/>
      <c r="P111" s="167"/>
      <c r="Q111" s="167"/>
      <c r="R111" s="167"/>
      <c r="S111" s="167"/>
      <c r="T111" s="167"/>
      <c r="U111" s="167"/>
      <c r="V111" s="129">
        <v>21.43</v>
      </c>
      <c r="W111" s="167"/>
      <c r="X111" s="167"/>
      <c r="Y111" s="167"/>
      <c r="Z111" s="100"/>
      <c r="AA111" s="145"/>
      <c r="AB111" s="145"/>
      <c r="AC111" s="145"/>
      <c r="AD111" s="145"/>
      <c r="AE111" s="145"/>
    </row>
    <row r="112" spans="2:40" ht="17.5" x14ac:dyDescent="0.45">
      <c r="B112" s="165">
        <v>105</v>
      </c>
      <c r="C112" s="167"/>
      <c r="D112" s="167"/>
      <c r="E112" s="167"/>
      <c r="F112" s="167"/>
      <c r="G112" s="167"/>
      <c r="H112" s="167"/>
      <c r="I112" s="167"/>
      <c r="J112" s="167"/>
      <c r="K112" s="167"/>
      <c r="L112" s="167"/>
      <c r="M112" s="168"/>
      <c r="N112" s="168"/>
      <c r="O112" s="170"/>
      <c r="P112" s="167"/>
      <c r="Q112" s="167"/>
      <c r="R112" s="167"/>
      <c r="S112" s="167"/>
      <c r="T112" s="167"/>
      <c r="U112" s="167"/>
      <c r="V112" s="129">
        <v>21.61</v>
      </c>
      <c r="W112" s="167"/>
      <c r="X112" s="167"/>
      <c r="Y112" s="167"/>
      <c r="Z112" s="100"/>
      <c r="AA112" s="145"/>
      <c r="AB112" s="145"/>
      <c r="AC112" s="145"/>
      <c r="AD112" s="145"/>
      <c r="AE112" s="145"/>
    </row>
    <row r="113" spans="2:31" ht="17.5" x14ac:dyDescent="0.45">
      <c r="B113" s="165">
        <v>106</v>
      </c>
      <c r="C113" s="167"/>
      <c r="D113" s="167"/>
      <c r="E113" s="167"/>
      <c r="F113" s="167"/>
      <c r="G113" s="167"/>
      <c r="H113" s="167"/>
      <c r="I113" s="167"/>
      <c r="J113" s="167"/>
      <c r="K113" s="167"/>
      <c r="L113" s="167"/>
      <c r="M113" s="168"/>
      <c r="N113" s="168"/>
      <c r="O113" s="170"/>
      <c r="P113" s="167"/>
      <c r="Q113" s="167"/>
      <c r="R113" s="167"/>
      <c r="S113" s="167"/>
      <c r="T113" s="167"/>
      <c r="U113" s="167"/>
      <c r="V113" s="129">
        <v>21.8</v>
      </c>
      <c r="W113" s="167"/>
      <c r="X113" s="167"/>
      <c r="Y113" s="167"/>
      <c r="Z113" s="100"/>
      <c r="AA113" s="145"/>
      <c r="AB113" s="145"/>
      <c r="AC113" s="145"/>
      <c r="AD113" s="145"/>
      <c r="AE113" s="145"/>
    </row>
    <row r="114" spans="2:31" ht="17.5" x14ac:dyDescent="0.45">
      <c r="B114" s="165">
        <v>107</v>
      </c>
      <c r="C114" s="167"/>
      <c r="D114" s="167"/>
      <c r="E114" s="167"/>
      <c r="F114" s="167"/>
      <c r="G114" s="167"/>
      <c r="H114" s="167"/>
      <c r="I114" s="167"/>
      <c r="J114" s="167"/>
      <c r="K114" s="167"/>
      <c r="L114" s="167"/>
      <c r="M114" s="168"/>
      <c r="N114" s="168"/>
      <c r="O114" s="170"/>
      <c r="P114" s="167"/>
      <c r="Q114" s="167"/>
      <c r="R114" s="167"/>
      <c r="S114" s="167"/>
      <c r="T114" s="167"/>
      <c r="U114" s="167"/>
      <c r="V114" s="129">
        <v>21.98</v>
      </c>
      <c r="W114" s="167"/>
      <c r="X114" s="167"/>
      <c r="Y114" s="167"/>
      <c r="Z114" s="100"/>
      <c r="AA114" s="145"/>
      <c r="AB114" s="145"/>
      <c r="AC114" s="145"/>
      <c r="AD114" s="145"/>
      <c r="AE114" s="145"/>
    </row>
    <row r="115" spans="2:31" ht="17.5" x14ac:dyDescent="0.45">
      <c r="B115" s="165">
        <v>108</v>
      </c>
      <c r="C115" s="167"/>
      <c r="D115" s="167"/>
      <c r="E115" s="167"/>
      <c r="F115" s="167"/>
      <c r="G115" s="167"/>
      <c r="H115" s="167"/>
      <c r="I115" s="167"/>
      <c r="J115" s="167"/>
      <c r="K115" s="167"/>
      <c r="L115" s="167"/>
      <c r="M115" s="168"/>
      <c r="N115" s="168"/>
      <c r="O115" s="170"/>
      <c r="P115" s="167"/>
      <c r="Q115" s="167"/>
      <c r="R115" s="167"/>
      <c r="S115" s="167"/>
      <c r="T115" s="167"/>
      <c r="U115" s="167"/>
      <c r="V115" s="129">
        <v>22.17</v>
      </c>
      <c r="W115" s="167"/>
      <c r="X115" s="167"/>
      <c r="Y115" s="167"/>
      <c r="Z115" s="100"/>
      <c r="AA115" s="145"/>
      <c r="AB115" s="145"/>
      <c r="AC115" s="145"/>
      <c r="AD115" s="145"/>
      <c r="AE115" s="145"/>
    </row>
    <row r="116" spans="2:31" ht="17.5" x14ac:dyDescent="0.45">
      <c r="B116" s="165">
        <v>109</v>
      </c>
      <c r="C116" s="167"/>
      <c r="D116" s="167"/>
      <c r="E116" s="167"/>
      <c r="F116" s="167"/>
      <c r="G116" s="167"/>
      <c r="H116" s="167"/>
      <c r="I116" s="167"/>
      <c r="J116" s="167"/>
      <c r="K116" s="167"/>
      <c r="L116" s="167"/>
      <c r="M116" s="168"/>
      <c r="N116" s="168"/>
      <c r="O116" s="170"/>
      <c r="P116" s="167"/>
      <c r="Q116" s="167"/>
      <c r="R116" s="167"/>
      <c r="S116" s="167"/>
      <c r="T116" s="167"/>
      <c r="U116" s="167"/>
      <c r="V116" s="129">
        <v>22.37</v>
      </c>
      <c r="W116" s="167"/>
      <c r="X116" s="167"/>
      <c r="Y116" s="167"/>
      <c r="Z116" s="100"/>
      <c r="AA116" s="145"/>
      <c r="AB116" s="145"/>
      <c r="AC116" s="145"/>
      <c r="AD116" s="145"/>
      <c r="AE116" s="145"/>
    </row>
    <row r="117" spans="2:31" ht="17.5" x14ac:dyDescent="0.45">
      <c r="B117" s="165">
        <v>110</v>
      </c>
      <c r="C117" s="167"/>
      <c r="D117" s="167"/>
      <c r="E117" s="167"/>
      <c r="F117" s="167"/>
      <c r="G117" s="167"/>
      <c r="H117" s="167"/>
      <c r="I117" s="167"/>
      <c r="J117" s="167"/>
      <c r="K117" s="167"/>
      <c r="L117" s="167"/>
      <c r="M117" s="168"/>
      <c r="N117" s="168"/>
      <c r="O117" s="170"/>
      <c r="P117" s="167"/>
      <c r="Q117" s="167"/>
      <c r="R117" s="167"/>
      <c r="S117" s="167"/>
      <c r="T117" s="167"/>
      <c r="U117" s="167"/>
      <c r="V117" s="129">
        <v>22.57</v>
      </c>
      <c r="W117" s="167"/>
      <c r="X117" s="167"/>
      <c r="Y117" s="167"/>
      <c r="Z117" s="100"/>
      <c r="AA117" s="145"/>
      <c r="AB117" s="145"/>
      <c r="AC117" s="145"/>
      <c r="AD117" s="145"/>
      <c r="AE117" s="145"/>
    </row>
    <row r="118" spans="2:31" ht="17.5" x14ac:dyDescent="0.45">
      <c r="B118" s="165">
        <v>111</v>
      </c>
      <c r="C118" s="167"/>
      <c r="D118" s="167"/>
      <c r="E118" s="167"/>
      <c r="F118" s="167"/>
      <c r="G118" s="167"/>
      <c r="H118" s="167"/>
      <c r="I118" s="167"/>
      <c r="J118" s="167"/>
      <c r="K118" s="167"/>
      <c r="L118" s="167"/>
      <c r="M118" s="168"/>
      <c r="N118" s="168"/>
      <c r="O118" s="170"/>
      <c r="P118" s="167"/>
      <c r="Q118" s="167"/>
      <c r="R118" s="167"/>
      <c r="S118" s="167"/>
      <c r="T118" s="167"/>
      <c r="U118" s="167"/>
      <c r="V118" s="129">
        <v>22.77</v>
      </c>
      <c r="W118" s="167"/>
      <c r="X118" s="167"/>
      <c r="Y118" s="167"/>
      <c r="Z118" s="100"/>
      <c r="AA118" s="145"/>
      <c r="AB118" s="145"/>
      <c r="AC118" s="145"/>
      <c r="AD118" s="145"/>
      <c r="AE118" s="145"/>
    </row>
    <row r="119" spans="2:31" ht="17.5" x14ac:dyDescent="0.45">
      <c r="B119" s="165">
        <v>112</v>
      </c>
      <c r="C119" s="167"/>
      <c r="D119" s="167"/>
      <c r="E119" s="167"/>
      <c r="F119" s="167"/>
      <c r="G119" s="167"/>
      <c r="H119" s="167"/>
      <c r="I119" s="167"/>
      <c r="J119" s="167"/>
      <c r="K119" s="167"/>
      <c r="L119" s="167"/>
      <c r="M119" s="168"/>
      <c r="N119" s="168"/>
      <c r="O119" s="170"/>
      <c r="P119" s="167"/>
      <c r="Q119" s="167"/>
      <c r="R119" s="167"/>
      <c r="S119" s="167"/>
      <c r="T119" s="167"/>
      <c r="U119" s="167"/>
      <c r="V119" s="129">
        <v>23.01</v>
      </c>
      <c r="W119" s="167"/>
      <c r="X119" s="167"/>
      <c r="Y119" s="167"/>
      <c r="Z119" s="100"/>
      <c r="AA119" s="145"/>
      <c r="AB119" s="145"/>
      <c r="AC119" s="145"/>
      <c r="AD119" s="145"/>
      <c r="AE119" s="145"/>
    </row>
    <row r="120" spans="2:31" ht="17.5" x14ac:dyDescent="0.45">
      <c r="B120" s="165">
        <v>113</v>
      </c>
      <c r="C120" s="167"/>
      <c r="D120" s="167"/>
      <c r="E120" s="167"/>
      <c r="F120" s="167"/>
      <c r="G120" s="167"/>
      <c r="H120" s="167"/>
      <c r="I120" s="167"/>
      <c r="J120" s="167"/>
      <c r="K120" s="167"/>
      <c r="L120" s="167"/>
      <c r="M120" s="168"/>
      <c r="N120" s="168"/>
      <c r="O120" s="170"/>
      <c r="P120" s="167"/>
      <c r="Q120" s="167"/>
      <c r="R120" s="167"/>
      <c r="S120" s="167"/>
      <c r="T120" s="167"/>
      <c r="U120" s="167"/>
      <c r="V120" s="129">
        <v>23.21</v>
      </c>
      <c r="W120" s="167"/>
      <c r="X120" s="167"/>
      <c r="Y120" s="167"/>
      <c r="Z120" s="100"/>
      <c r="AA120" s="145"/>
      <c r="AB120" s="145"/>
      <c r="AC120" s="145"/>
      <c r="AD120" s="145"/>
      <c r="AE120" s="145"/>
    </row>
    <row r="121" spans="2:31" ht="17.5" x14ac:dyDescent="0.45">
      <c r="B121" s="165">
        <v>114</v>
      </c>
      <c r="C121" s="167"/>
      <c r="D121" s="167"/>
      <c r="E121" s="167"/>
      <c r="F121" s="167"/>
      <c r="G121" s="167"/>
      <c r="H121" s="167"/>
      <c r="I121" s="167"/>
      <c r="J121" s="167"/>
      <c r="K121" s="167"/>
      <c r="L121" s="167"/>
      <c r="M121" s="168"/>
      <c r="N121" s="168"/>
      <c r="O121" s="170"/>
      <c r="P121" s="167"/>
      <c r="Q121" s="167"/>
      <c r="R121" s="167"/>
      <c r="S121" s="167"/>
      <c r="T121" s="167"/>
      <c r="U121" s="167"/>
      <c r="V121" s="129">
        <v>23.42</v>
      </c>
      <c r="W121" s="167"/>
      <c r="X121" s="167"/>
      <c r="Y121" s="167"/>
      <c r="Z121" s="100"/>
      <c r="AA121" s="145"/>
      <c r="AB121" s="145"/>
      <c r="AC121" s="145"/>
      <c r="AD121" s="145"/>
      <c r="AE121" s="145"/>
    </row>
    <row r="122" spans="2:31" ht="17.5" x14ac:dyDescent="0.45">
      <c r="B122" s="165">
        <v>115</v>
      </c>
      <c r="C122" s="167"/>
      <c r="D122" s="167"/>
      <c r="E122" s="167"/>
      <c r="F122" s="167"/>
      <c r="G122" s="167"/>
      <c r="H122" s="167"/>
      <c r="I122" s="167"/>
      <c r="J122" s="167"/>
      <c r="K122" s="167"/>
      <c r="L122" s="167"/>
      <c r="M122" s="168"/>
      <c r="N122" s="168"/>
      <c r="O122" s="170"/>
      <c r="P122" s="167"/>
      <c r="Q122" s="167"/>
      <c r="R122" s="167"/>
      <c r="S122" s="167"/>
      <c r="T122" s="167"/>
      <c r="U122" s="167"/>
      <c r="V122" s="129">
        <v>23.64</v>
      </c>
      <c r="W122" s="167"/>
      <c r="X122" s="167"/>
      <c r="Y122" s="167"/>
      <c r="Z122" s="100"/>
      <c r="AA122" s="145"/>
      <c r="AB122" s="145"/>
      <c r="AC122" s="145"/>
      <c r="AD122" s="145"/>
      <c r="AE122" s="145"/>
    </row>
    <row r="123" spans="2:31" ht="17.5" x14ac:dyDescent="0.45">
      <c r="B123" s="165">
        <v>116</v>
      </c>
      <c r="C123" s="167"/>
      <c r="D123" s="167"/>
      <c r="E123" s="167"/>
      <c r="F123" s="167"/>
      <c r="G123" s="167"/>
      <c r="H123" s="167"/>
      <c r="I123" s="167"/>
      <c r="J123" s="167"/>
      <c r="K123" s="167"/>
      <c r="L123" s="167"/>
      <c r="M123" s="168"/>
      <c r="N123" s="168"/>
      <c r="O123" s="170"/>
      <c r="P123" s="167"/>
      <c r="Q123" s="167"/>
      <c r="R123" s="167"/>
      <c r="S123" s="167"/>
      <c r="T123" s="167"/>
      <c r="U123" s="167"/>
      <c r="V123" s="129">
        <v>23.86</v>
      </c>
      <c r="W123" s="167"/>
      <c r="X123" s="167"/>
      <c r="Y123" s="167"/>
      <c r="Z123" s="100"/>
      <c r="AA123" s="145"/>
      <c r="AB123" s="145"/>
      <c r="AC123" s="145"/>
      <c r="AD123" s="145"/>
      <c r="AE123" s="145"/>
    </row>
    <row r="124" spans="2:31" ht="17.5" x14ac:dyDescent="0.45">
      <c r="B124" s="165">
        <v>117</v>
      </c>
      <c r="C124" s="167"/>
      <c r="D124" s="167"/>
      <c r="E124" s="167"/>
      <c r="F124" s="167"/>
      <c r="G124" s="167"/>
      <c r="H124" s="167"/>
      <c r="I124" s="167"/>
      <c r="J124" s="167"/>
      <c r="K124" s="167"/>
      <c r="L124" s="167"/>
      <c r="M124" s="168"/>
      <c r="N124" s="168"/>
      <c r="O124" s="170"/>
      <c r="P124" s="167"/>
      <c r="Q124" s="167"/>
      <c r="R124" s="167"/>
      <c r="S124" s="167"/>
      <c r="T124" s="167"/>
      <c r="U124" s="167"/>
      <c r="V124" s="129">
        <v>24.08</v>
      </c>
      <c r="W124" s="167"/>
      <c r="X124" s="167"/>
      <c r="Y124" s="167"/>
      <c r="Z124" s="100"/>
      <c r="AA124" s="145"/>
      <c r="AB124" s="145"/>
      <c r="AC124" s="145"/>
      <c r="AD124" s="145"/>
      <c r="AE124" s="145"/>
    </row>
    <row r="125" spans="2:31" ht="17.5" x14ac:dyDescent="0.45">
      <c r="B125" s="165">
        <v>118</v>
      </c>
      <c r="C125" s="167"/>
      <c r="D125" s="167"/>
      <c r="E125" s="167"/>
      <c r="F125" s="167"/>
      <c r="G125" s="167"/>
      <c r="H125" s="167"/>
      <c r="I125" s="167"/>
      <c r="J125" s="167"/>
      <c r="K125" s="167"/>
      <c r="L125" s="167"/>
      <c r="M125" s="168"/>
      <c r="N125" s="168"/>
      <c r="O125" s="170"/>
      <c r="P125" s="167"/>
      <c r="Q125" s="167"/>
      <c r="R125" s="167"/>
      <c r="S125" s="167"/>
      <c r="T125" s="167"/>
      <c r="U125" s="167"/>
      <c r="V125" s="129">
        <v>24.31</v>
      </c>
      <c r="W125" s="167"/>
      <c r="X125" s="167"/>
      <c r="Y125" s="167"/>
      <c r="Z125" s="100"/>
      <c r="AA125" s="145"/>
      <c r="AB125" s="145"/>
      <c r="AC125" s="145"/>
      <c r="AD125" s="145"/>
      <c r="AE125" s="145"/>
    </row>
    <row r="126" spans="2:31" ht="17.5" x14ac:dyDescent="0.45">
      <c r="B126" s="165">
        <v>119</v>
      </c>
      <c r="C126" s="167"/>
      <c r="D126" s="167"/>
      <c r="E126" s="167"/>
      <c r="F126" s="167"/>
      <c r="G126" s="167"/>
      <c r="H126" s="167"/>
      <c r="I126" s="167"/>
      <c r="J126" s="167"/>
      <c r="K126" s="167"/>
      <c r="L126" s="167"/>
      <c r="M126" s="168"/>
      <c r="N126" s="168"/>
      <c r="O126" s="170"/>
      <c r="P126" s="167"/>
      <c r="Q126" s="167"/>
      <c r="R126" s="167"/>
      <c r="S126" s="167"/>
      <c r="T126" s="167"/>
      <c r="U126" s="167"/>
      <c r="V126" s="129">
        <v>24.55</v>
      </c>
      <c r="W126" s="167"/>
      <c r="X126" s="167"/>
      <c r="Y126" s="167"/>
      <c r="Z126" s="100"/>
      <c r="AA126" s="145"/>
      <c r="AB126" s="145"/>
      <c r="AC126" s="145"/>
      <c r="AD126" s="145"/>
      <c r="AE126" s="145"/>
    </row>
    <row r="127" spans="2:31" ht="17.5" x14ac:dyDescent="0.45">
      <c r="B127" s="165">
        <v>120</v>
      </c>
      <c r="C127" s="167"/>
      <c r="D127" s="167"/>
      <c r="E127" s="167"/>
      <c r="F127" s="167"/>
      <c r="G127" s="167"/>
      <c r="H127" s="167"/>
      <c r="I127" s="167"/>
      <c r="J127" s="167"/>
      <c r="K127" s="167"/>
      <c r="L127" s="167"/>
      <c r="M127" s="168"/>
      <c r="N127" s="168"/>
      <c r="O127" s="170"/>
      <c r="P127" s="167"/>
      <c r="Q127" s="167"/>
      <c r="R127" s="167"/>
      <c r="S127" s="167"/>
      <c r="T127" s="167"/>
      <c r="U127" s="167"/>
      <c r="V127" s="129">
        <v>24.78</v>
      </c>
      <c r="W127" s="167"/>
      <c r="X127" s="167"/>
      <c r="Y127" s="167"/>
      <c r="Z127" s="100"/>
      <c r="AA127" s="145"/>
      <c r="AB127" s="145"/>
      <c r="AC127" s="145"/>
      <c r="AD127" s="145"/>
      <c r="AE127" s="145"/>
    </row>
    <row r="128" spans="2:31" ht="17.5" x14ac:dyDescent="0.45">
      <c r="B128" s="165">
        <v>121</v>
      </c>
      <c r="C128" s="167"/>
      <c r="D128" s="167"/>
      <c r="E128" s="167"/>
      <c r="F128" s="167"/>
      <c r="G128" s="167"/>
      <c r="H128" s="167"/>
      <c r="I128" s="167"/>
      <c r="J128" s="167"/>
      <c r="K128" s="167"/>
      <c r="L128" s="167"/>
      <c r="M128" s="168"/>
      <c r="N128" s="168"/>
      <c r="O128" s="170"/>
      <c r="P128" s="167"/>
      <c r="Q128" s="167"/>
      <c r="R128" s="167"/>
      <c r="S128" s="167"/>
      <c r="T128" s="167"/>
      <c r="U128" s="167"/>
      <c r="V128" s="129">
        <v>25.02</v>
      </c>
      <c r="W128" s="167"/>
      <c r="X128" s="167"/>
      <c r="Y128" s="167"/>
      <c r="Z128" s="100"/>
      <c r="AA128" s="145"/>
      <c r="AB128" s="145"/>
      <c r="AC128" s="145"/>
      <c r="AD128" s="145"/>
      <c r="AE128" s="145"/>
    </row>
    <row r="129" spans="2:31" ht="17.5" x14ac:dyDescent="0.45">
      <c r="B129" s="165">
        <v>122</v>
      </c>
      <c r="C129" s="167"/>
      <c r="D129" s="167"/>
      <c r="E129" s="167"/>
      <c r="F129" s="167"/>
      <c r="G129" s="167"/>
      <c r="H129" s="167"/>
      <c r="I129" s="167"/>
      <c r="J129" s="167"/>
      <c r="K129" s="167"/>
      <c r="L129" s="167"/>
      <c r="M129" s="168"/>
      <c r="N129" s="168"/>
      <c r="O129" s="170"/>
      <c r="P129" s="167"/>
      <c r="Q129" s="167"/>
      <c r="R129" s="167"/>
      <c r="S129" s="167"/>
      <c r="T129" s="167"/>
      <c r="U129" s="167"/>
      <c r="V129" s="129">
        <v>25.27</v>
      </c>
      <c r="W129" s="167"/>
      <c r="X129" s="167"/>
      <c r="Y129" s="167"/>
      <c r="Z129" s="100"/>
      <c r="AA129" s="145"/>
      <c r="AB129" s="145"/>
      <c r="AC129" s="145"/>
      <c r="AD129" s="145"/>
      <c r="AE129" s="145"/>
    </row>
    <row r="130" spans="2:31" ht="17.5" x14ac:dyDescent="0.45">
      <c r="B130" s="165">
        <v>123</v>
      </c>
      <c r="C130" s="167"/>
      <c r="D130" s="167"/>
      <c r="E130" s="167"/>
      <c r="F130" s="167"/>
      <c r="G130" s="167"/>
      <c r="H130" s="167"/>
      <c r="I130" s="167"/>
      <c r="J130" s="167"/>
      <c r="K130" s="167"/>
      <c r="L130" s="167"/>
      <c r="M130" s="168"/>
      <c r="N130" s="168"/>
      <c r="O130" s="170"/>
      <c r="P130" s="167"/>
      <c r="Q130" s="167"/>
      <c r="R130" s="167"/>
      <c r="S130" s="167"/>
      <c r="T130" s="167"/>
      <c r="U130" s="167"/>
      <c r="V130" s="129">
        <v>25.52</v>
      </c>
      <c r="W130" s="167"/>
      <c r="X130" s="167"/>
      <c r="Y130" s="167"/>
      <c r="Z130" s="100"/>
      <c r="AA130" s="145"/>
      <c r="AB130" s="145"/>
      <c r="AC130" s="145"/>
      <c r="AD130" s="145"/>
      <c r="AE130" s="145"/>
    </row>
    <row r="131" spans="2:31" ht="17.5" x14ac:dyDescent="0.45">
      <c r="B131" s="165">
        <v>124</v>
      </c>
      <c r="C131" s="167"/>
      <c r="D131" s="167"/>
      <c r="E131" s="167"/>
      <c r="F131" s="167"/>
      <c r="G131" s="167"/>
      <c r="H131" s="167"/>
      <c r="I131" s="167"/>
      <c r="J131" s="167"/>
      <c r="K131" s="167"/>
      <c r="L131" s="167"/>
      <c r="M131" s="168"/>
      <c r="N131" s="168"/>
      <c r="O131" s="170"/>
      <c r="P131" s="167"/>
      <c r="Q131" s="167"/>
      <c r="R131" s="167"/>
      <c r="S131" s="167"/>
      <c r="T131" s="167"/>
      <c r="U131" s="167"/>
      <c r="V131" s="129">
        <v>25.78</v>
      </c>
      <c r="W131" s="167"/>
      <c r="X131" s="167"/>
      <c r="Y131" s="167"/>
      <c r="Z131" s="100"/>
      <c r="AA131" s="145"/>
      <c r="AB131" s="145"/>
      <c r="AC131" s="145"/>
      <c r="AD131" s="145"/>
      <c r="AE131" s="145"/>
    </row>
    <row r="132" spans="2:31" ht="17.5" x14ac:dyDescent="0.45">
      <c r="B132" s="165">
        <v>125</v>
      </c>
      <c r="C132" s="167"/>
      <c r="D132" s="167"/>
      <c r="E132" s="167"/>
      <c r="F132" s="167"/>
      <c r="G132" s="167"/>
      <c r="H132" s="167"/>
      <c r="I132" s="167"/>
      <c r="J132" s="167"/>
      <c r="K132" s="167"/>
      <c r="L132" s="167"/>
      <c r="M132" s="168"/>
      <c r="N132" s="168"/>
      <c r="O132" s="170"/>
      <c r="P132" s="167"/>
      <c r="Q132" s="167"/>
      <c r="R132" s="167"/>
      <c r="S132" s="167"/>
      <c r="T132" s="167"/>
      <c r="U132" s="167"/>
      <c r="V132" s="129">
        <v>26.04</v>
      </c>
      <c r="W132" s="167"/>
      <c r="X132" s="167"/>
      <c r="Y132" s="167"/>
      <c r="Z132" s="100"/>
      <c r="AA132" s="145"/>
      <c r="AB132" s="145"/>
      <c r="AC132" s="145"/>
      <c r="AD132" s="145"/>
      <c r="AE132" s="145"/>
    </row>
    <row r="133" spans="2:31" ht="17.5" x14ac:dyDescent="0.45">
      <c r="B133" s="165">
        <v>126</v>
      </c>
      <c r="C133" s="167"/>
      <c r="D133" s="167"/>
      <c r="E133" s="167"/>
      <c r="F133" s="167"/>
      <c r="G133" s="167"/>
      <c r="H133" s="167"/>
      <c r="I133" s="167"/>
      <c r="J133" s="167"/>
      <c r="K133" s="167"/>
      <c r="L133" s="167"/>
      <c r="M133" s="168"/>
      <c r="N133" s="168"/>
      <c r="O133" s="170"/>
      <c r="P133" s="167"/>
      <c r="Q133" s="167"/>
      <c r="R133" s="167"/>
      <c r="S133" s="167"/>
      <c r="T133" s="167"/>
      <c r="U133" s="167"/>
      <c r="V133" s="129">
        <v>26.31</v>
      </c>
      <c r="W133" s="167"/>
      <c r="X133" s="167"/>
      <c r="Y133" s="167"/>
      <c r="Z133" s="100"/>
      <c r="AA133" s="145"/>
      <c r="AB133" s="145"/>
      <c r="AC133" s="145"/>
      <c r="AD133" s="145"/>
      <c r="AE133" s="145"/>
    </row>
    <row r="134" spans="2:31" ht="17.5" x14ac:dyDescent="0.45">
      <c r="B134" s="165">
        <v>127</v>
      </c>
      <c r="C134" s="167"/>
      <c r="D134" s="167"/>
      <c r="E134" s="167"/>
      <c r="F134" s="167"/>
      <c r="G134" s="167"/>
      <c r="H134" s="167"/>
      <c r="I134" s="167"/>
      <c r="J134" s="167"/>
      <c r="K134" s="167"/>
      <c r="L134" s="167"/>
      <c r="M134" s="168"/>
      <c r="N134" s="168"/>
      <c r="O134" s="170"/>
      <c r="P134" s="167"/>
      <c r="Q134" s="167"/>
      <c r="R134" s="167"/>
      <c r="S134" s="167"/>
      <c r="T134" s="167"/>
      <c r="U134" s="167"/>
      <c r="V134" s="129">
        <v>26.59</v>
      </c>
      <c r="W134" s="167"/>
      <c r="X134" s="167"/>
      <c r="Y134" s="167"/>
      <c r="Z134" s="100"/>
      <c r="AA134" s="145"/>
      <c r="AB134" s="145"/>
      <c r="AC134" s="145"/>
      <c r="AD134" s="145"/>
      <c r="AE134" s="145"/>
    </row>
    <row r="135" spans="2:31" ht="17.5" x14ac:dyDescent="0.45">
      <c r="B135" s="165">
        <v>128</v>
      </c>
      <c r="C135" s="172"/>
      <c r="D135" s="172"/>
      <c r="E135" s="172"/>
      <c r="F135" s="172"/>
      <c r="G135" s="172"/>
      <c r="H135" s="172"/>
      <c r="I135" s="172"/>
      <c r="J135" s="172"/>
      <c r="K135" s="172"/>
      <c r="L135" s="172"/>
      <c r="M135" s="172"/>
      <c r="N135" s="172"/>
      <c r="O135" s="172"/>
      <c r="P135" s="172"/>
      <c r="Q135" s="172"/>
      <c r="R135" s="172"/>
      <c r="S135" s="172"/>
      <c r="T135" s="172"/>
      <c r="U135" s="172"/>
      <c r="V135" s="172"/>
      <c r="W135" s="172"/>
      <c r="X135" s="172"/>
      <c r="Y135" s="172"/>
      <c r="Z135" s="100"/>
      <c r="AA135" s="145"/>
      <c r="AB135" s="145"/>
      <c r="AC135" s="145"/>
      <c r="AD135" s="145"/>
      <c r="AE135" s="145"/>
    </row>
    <row r="136" spans="2:31" ht="17.5" x14ac:dyDescent="0.45">
      <c r="B136" s="165">
        <v>129</v>
      </c>
      <c r="C136" s="172"/>
      <c r="D136" s="172"/>
      <c r="E136" s="172"/>
      <c r="F136" s="172"/>
      <c r="G136" s="172"/>
      <c r="H136" s="172"/>
      <c r="I136" s="172"/>
      <c r="J136" s="172"/>
      <c r="K136" s="172"/>
      <c r="L136" s="172"/>
      <c r="M136" s="172"/>
      <c r="N136" s="172"/>
      <c r="O136" s="172"/>
      <c r="P136" s="172"/>
      <c r="Q136" s="172"/>
      <c r="R136" s="172"/>
      <c r="S136" s="172"/>
      <c r="T136" s="172"/>
      <c r="U136" s="172"/>
      <c r="V136" s="172"/>
      <c r="W136" s="172"/>
      <c r="X136" s="172"/>
      <c r="Y136" s="172"/>
      <c r="Z136" s="100"/>
      <c r="AA136" s="145"/>
      <c r="AB136" s="145"/>
      <c r="AC136" s="145"/>
      <c r="AD136" s="145"/>
      <c r="AE136" s="145"/>
    </row>
    <row r="137" spans="2:31" ht="17.5" x14ac:dyDescent="0.45">
      <c r="B137" s="165">
        <v>130</v>
      </c>
      <c r="C137" s="172"/>
      <c r="D137" s="172"/>
      <c r="E137" s="172"/>
      <c r="F137" s="172"/>
      <c r="G137" s="172"/>
      <c r="H137" s="172"/>
      <c r="I137" s="172"/>
      <c r="J137" s="172"/>
      <c r="K137" s="172"/>
      <c r="L137" s="172"/>
      <c r="M137" s="172"/>
      <c r="N137" s="172"/>
      <c r="O137" s="172"/>
      <c r="P137" s="172"/>
      <c r="Q137" s="172"/>
      <c r="R137" s="172"/>
      <c r="S137" s="172"/>
      <c r="T137" s="172"/>
      <c r="U137" s="172"/>
      <c r="V137" s="172"/>
      <c r="W137" s="172"/>
      <c r="X137" s="172"/>
      <c r="Y137" s="172"/>
      <c r="Z137" s="100"/>
      <c r="AA137" s="145"/>
      <c r="AB137" s="145"/>
      <c r="AC137" s="145"/>
      <c r="AD137" s="145"/>
      <c r="AE137" s="145"/>
    </row>
    <row r="138" spans="2:31" ht="17.5" x14ac:dyDescent="0.45">
      <c r="B138" s="165">
        <v>131</v>
      </c>
      <c r="C138" s="172"/>
      <c r="D138" s="172"/>
      <c r="E138" s="172"/>
      <c r="F138" s="172"/>
      <c r="G138" s="172"/>
      <c r="H138" s="172"/>
      <c r="I138" s="172"/>
      <c r="J138" s="172"/>
      <c r="K138" s="172"/>
      <c r="L138" s="172"/>
      <c r="M138" s="172"/>
      <c r="N138" s="172"/>
      <c r="O138" s="172"/>
      <c r="P138" s="172"/>
      <c r="Q138" s="172"/>
      <c r="R138" s="172"/>
      <c r="S138" s="172"/>
      <c r="T138" s="172"/>
      <c r="U138" s="172"/>
      <c r="V138" s="172"/>
      <c r="W138" s="172"/>
      <c r="X138" s="172"/>
      <c r="Y138" s="172"/>
      <c r="Z138" s="100"/>
      <c r="AA138" s="145"/>
      <c r="AB138" s="145"/>
      <c r="AC138" s="145"/>
      <c r="AD138" s="145"/>
      <c r="AE138" s="145"/>
    </row>
    <row r="139" spans="2:31" ht="17.5" x14ac:dyDescent="0.45">
      <c r="B139" s="165">
        <v>132</v>
      </c>
      <c r="C139" s="172"/>
      <c r="D139" s="172"/>
      <c r="E139" s="172"/>
      <c r="F139" s="172"/>
      <c r="G139" s="172"/>
      <c r="H139" s="172"/>
      <c r="I139" s="172"/>
      <c r="J139" s="172"/>
      <c r="K139" s="172"/>
      <c r="L139" s="172"/>
      <c r="M139" s="172"/>
      <c r="N139" s="172"/>
      <c r="O139" s="172"/>
      <c r="P139" s="172"/>
      <c r="Q139" s="172"/>
      <c r="R139" s="172"/>
      <c r="S139" s="172"/>
      <c r="T139" s="172"/>
      <c r="U139" s="172"/>
      <c r="V139" s="172"/>
      <c r="W139" s="172"/>
      <c r="X139" s="172"/>
      <c r="Y139" s="172"/>
      <c r="Z139" s="100"/>
      <c r="AA139" s="145"/>
      <c r="AB139" s="145"/>
      <c r="AC139" s="145"/>
      <c r="AD139" s="145"/>
      <c r="AE139" s="145"/>
    </row>
    <row r="140" spans="2:31" ht="17.5" x14ac:dyDescent="0.45">
      <c r="B140" s="165">
        <v>133</v>
      </c>
      <c r="C140" s="172"/>
      <c r="D140" s="172"/>
      <c r="E140" s="172"/>
      <c r="F140" s="172"/>
      <c r="G140" s="172"/>
      <c r="H140" s="172"/>
      <c r="I140" s="172"/>
      <c r="J140" s="172"/>
      <c r="K140" s="172"/>
      <c r="L140" s="172"/>
      <c r="M140" s="172"/>
      <c r="N140" s="172"/>
      <c r="O140" s="172"/>
      <c r="P140" s="172"/>
      <c r="Q140" s="172"/>
      <c r="R140" s="172"/>
      <c r="S140" s="172"/>
      <c r="T140" s="172"/>
      <c r="U140" s="172"/>
      <c r="V140" s="172"/>
      <c r="W140" s="172"/>
      <c r="X140" s="172"/>
      <c r="Y140" s="172"/>
      <c r="Z140" s="100"/>
      <c r="AA140" s="145"/>
      <c r="AB140" s="145"/>
      <c r="AC140" s="145"/>
      <c r="AD140" s="145"/>
      <c r="AE140" s="145"/>
    </row>
    <row r="141" spans="2:31" ht="17.5" x14ac:dyDescent="0.45">
      <c r="B141" s="165">
        <v>134</v>
      </c>
      <c r="C141" s="172"/>
      <c r="D141" s="172"/>
      <c r="E141" s="172"/>
      <c r="F141" s="172"/>
      <c r="G141" s="172"/>
      <c r="H141" s="172"/>
      <c r="I141" s="172"/>
      <c r="J141" s="172"/>
      <c r="K141" s="172"/>
      <c r="L141" s="172"/>
      <c r="M141" s="172"/>
      <c r="N141" s="172"/>
      <c r="O141" s="172"/>
      <c r="P141" s="172"/>
      <c r="Q141" s="172"/>
      <c r="R141" s="172"/>
      <c r="S141" s="172"/>
      <c r="T141" s="172"/>
      <c r="U141" s="172"/>
      <c r="V141" s="172"/>
      <c r="W141" s="172"/>
      <c r="X141" s="172"/>
      <c r="Y141" s="172"/>
      <c r="Z141" s="100"/>
      <c r="AA141" s="145"/>
      <c r="AB141" s="145"/>
      <c r="AC141" s="145"/>
      <c r="AD141" s="145"/>
      <c r="AE141" s="145"/>
    </row>
    <row r="142" spans="2:31" ht="17.5" x14ac:dyDescent="0.45">
      <c r="B142" s="165">
        <v>135</v>
      </c>
      <c r="C142" s="172"/>
      <c r="D142" s="172"/>
      <c r="E142" s="172"/>
      <c r="F142" s="172"/>
      <c r="G142" s="172"/>
      <c r="H142" s="172"/>
      <c r="I142" s="172"/>
      <c r="J142" s="172"/>
      <c r="K142" s="172"/>
      <c r="L142" s="172"/>
      <c r="M142" s="172"/>
      <c r="N142" s="172"/>
      <c r="O142" s="172"/>
      <c r="P142" s="172"/>
      <c r="Q142" s="172"/>
      <c r="R142" s="172"/>
      <c r="S142" s="172"/>
      <c r="T142" s="172"/>
      <c r="U142" s="172"/>
      <c r="V142" s="172"/>
      <c r="W142" s="172"/>
      <c r="X142" s="172"/>
      <c r="Y142" s="172"/>
      <c r="Z142" s="100"/>
      <c r="AA142" s="145"/>
      <c r="AB142" s="145"/>
      <c r="AC142" s="145"/>
      <c r="AD142" s="145"/>
      <c r="AE142" s="145"/>
    </row>
    <row r="143" spans="2:31" ht="17.5" x14ac:dyDescent="0.45">
      <c r="B143" s="165">
        <v>136</v>
      </c>
      <c r="C143" s="172"/>
      <c r="D143" s="172"/>
      <c r="E143" s="172"/>
      <c r="F143" s="172"/>
      <c r="G143" s="172"/>
      <c r="H143" s="172"/>
      <c r="I143" s="172"/>
      <c r="J143" s="172"/>
      <c r="K143" s="172"/>
      <c r="L143" s="172"/>
      <c r="M143" s="172"/>
      <c r="N143" s="172"/>
      <c r="O143" s="172"/>
      <c r="P143" s="172"/>
      <c r="Q143" s="172"/>
      <c r="R143" s="172"/>
      <c r="S143" s="172"/>
      <c r="T143" s="172"/>
      <c r="U143" s="172"/>
      <c r="V143" s="172"/>
      <c r="W143" s="172"/>
      <c r="X143" s="172"/>
      <c r="Y143" s="172"/>
      <c r="Z143" s="100"/>
      <c r="AA143" s="145"/>
      <c r="AB143" s="145"/>
      <c r="AC143" s="145"/>
      <c r="AD143" s="145"/>
      <c r="AE143" s="145"/>
    </row>
    <row r="144" spans="2:31" ht="17.5" x14ac:dyDescent="0.45">
      <c r="B144" s="165">
        <v>137</v>
      </c>
      <c r="C144" s="172"/>
      <c r="D144" s="172"/>
      <c r="E144" s="172"/>
      <c r="F144" s="172"/>
      <c r="G144" s="172"/>
      <c r="H144" s="172"/>
      <c r="I144" s="172"/>
      <c r="J144" s="172"/>
      <c r="K144" s="172"/>
      <c r="L144" s="172"/>
      <c r="M144" s="172"/>
      <c r="N144" s="172"/>
      <c r="O144" s="172"/>
      <c r="P144" s="172"/>
      <c r="Q144" s="172"/>
      <c r="R144" s="172"/>
      <c r="S144" s="172"/>
      <c r="T144" s="172"/>
      <c r="U144" s="172"/>
      <c r="V144" s="172"/>
      <c r="W144" s="172"/>
      <c r="X144" s="172"/>
      <c r="Y144" s="172"/>
      <c r="Z144" s="100"/>
      <c r="AA144" s="145"/>
      <c r="AB144" s="145"/>
      <c r="AC144" s="145"/>
      <c r="AD144" s="145"/>
      <c r="AE144" s="145"/>
    </row>
    <row r="145" spans="2:31" ht="17.5" x14ac:dyDescent="0.45">
      <c r="B145" s="165">
        <v>138</v>
      </c>
      <c r="C145" s="172"/>
      <c r="D145" s="172"/>
      <c r="E145" s="172"/>
      <c r="F145" s="172"/>
      <c r="G145" s="172"/>
      <c r="H145" s="172"/>
      <c r="I145" s="172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Z145" s="100"/>
      <c r="AA145" s="145"/>
      <c r="AB145" s="145"/>
      <c r="AC145" s="145"/>
      <c r="AD145" s="145"/>
      <c r="AE145" s="145"/>
    </row>
    <row r="146" spans="2:31" ht="17.5" x14ac:dyDescent="0.45">
      <c r="B146" s="165">
        <v>139</v>
      </c>
      <c r="C146" s="172"/>
      <c r="D146" s="172"/>
      <c r="E146" s="172"/>
      <c r="F146" s="172"/>
      <c r="G146" s="172"/>
      <c r="H146" s="172"/>
      <c r="I146" s="172"/>
      <c r="J146" s="172"/>
      <c r="K146" s="172"/>
      <c r="L146" s="172"/>
      <c r="M146" s="172"/>
      <c r="N146" s="172"/>
      <c r="O146" s="172"/>
      <c r="P146" s="172"/>
      <c r="Q146" s="172"/>
      <c r="R146" s="172"/>
      <c r="S146" s="172"/>
      <c r="T146" s="172"/>
      <c r="U146" s="172"/>
      <c r="V146" s="172"/>
      <c r="W146" s="172"/>
      <c r="X146" s="172"/>
      <c r="Y146" s="172"/>
      <c r="Z146" s="100"/>
      <c r="AA146" s="145"/>
      <c r="AB146" s="145"/>
      <c r="AC146" s="145"/>
      <c r="AD146" s="145"/>
      <c r="AE146" s="145"/>
    </row>
    <row r="147" spans="2:31" ht="17.5" x14ac:dyDescent="0.45">
      <c r="B147" s="165">
        <v>140</v>
      </c>
      <c r="C147" s="172"/>
      <c r="D147" s="172"/>
      <c r="E147" s="172"/>
      <c r="F147" s="172"/>
      <c r="G147" s="172"/>
      <c r="H147" s="172"/>
      <c r="I147" s="172"/>
      <c r="J147" s="172"/>
      <c r="K147" s="172"/>
      <c r="L147" s="172"/>
      <c r="M147" s="172"/>
      <c r="N147" s="172"/>
      <c r="O147" s="172"/>
      <c r="P147" s="172"/>
      <c r="Q147" s="172"/>
      <c r="R147" s="172"/>
      <c r="S147" s="172"/>
      <c r="T147" s="172"/>
      <c r="U147" s="172"/>
      <c r="V147" s="172"/>
      <c r="W147" s="172"/>
      <c r="X147" s="172"/>
      <c r="Y147" s="172"/>
      <c r="Z147" s="100"/>
      <c r="AA147" s="145"/>
      <c r="AB147" s="145"/>
      <c r="AC147" s="145"/>
      <c r="AD147" s="145"/>
      <c r="AE147" s="145"/>
    </row>
    <row r="148" spans="2:31" ht="17.5" x14ac:dyDescent="0.45">
      <c r="B148" s="165">
        <v>141</v>
      </c>
      <c r="C148" s="172"/>
      <c r="D148" s="172"/>
      <c r="E148" s="172"/>
      <c r="F148" s="172"/>
      <c r="G148" s="172"/>
      <c r="H148" s="172"/>
      <c r="I148" s="172"/>
      <c r="J148" s="172"/>
      <c r="K148" s="172"/>
      <c r="L148" s="172"/>
      <c r="M148" s="172"/>
      <c r="N148" s="172"/>
      <c r="O148" s="172"/>
      <c r="P148" s="172"/>
      <c r="Q148" s="172"/>
      <c r="R148" s="172"/>
      <c r="S148" s="172"/>
      <c r="T148" s="172"/>
      <c r="U148" s="172"/>
      <c r="V148" s="172"/>
      <c r="W148" s="172"/>
      <c r="X148" s="172"/>
      <c r="Y148" s="172"/>
      <c r="Z148" s="100"/>
      <c r="AA148" s="145"/>
      <c r="AB148" s="145"/>
      <c r="AC148" s="145"/>
      <c r="AD148" s="145"/>
      <c r="AE148" s="145"/>
    </row>
    <row r="149" spans="2:31" ht="17.5" x14ac:dyDescent="0.45">
      <c r="B149" s="165">
        <v>142</v>
      </c>
      <c r="C149" s="172"/>
      <c r="D149" s="172"/>
      <c r="E149" s="172"/>
      <c r="F149" s="172"/>
      <c r="G149" s="172"/>
      <c r="H149" s="172"/>
      <c r="I149" s="172"/>
      <c r="J149" s="172"/>
      <c r="K149" s="172"/>
      <c r="L149" s="172"/>
      <c r="M149" s="172"/>
      <c r="N149" s="172"/>
      <c r="O149" s="172"/>
      <c r="P149" s="172"/>
      <c r="Q149" s="172"/>
      <c r="R149" s="172"/>
      <c r="S149" s="172"/>
      <c r="T149" s="172"/>
      <c r="U149" s="172"/>
      <c r="V149" s="172"/>
      <c r="W149" s="172"/>
      <c r="X149" s="172"/>
      <c r="Y149" s="172"/>
      <c r="Z149" s="100"/>
      <c r="AA149" s="145"/>
      <c r="AB149" s="145"/>
      <c r="AC149" s="145"/>
      <c r="AD149" s="145"/>
      <c r="AE149" s="145"/>
    </row>
    <row r="150" spans="2:31" ht="17.5" x14ac:dyDescent="0.45">
      <c r="B150" s="165">
        <v>143</v>
      </c>
      <c r="C150" s="172"/>
      <c r="D150" s="172"/>
      <c r="E150" s="172"/>
      <c r="F150" s="172"/>
      <c r="G150" s="172"/>
      <c r="H150" s="172"/>
      <c r="I150" s="172"/>
      <c r="J150" s="172"/>
      <c r="K150" s="172"/>
      <c r="L150" s="172"/>
      <c r="M150" s="172"/>
      <c r="N150" s="172"/>
      <c r="O150" s="172"/>
      <c r="P150" s="172"/>
      <c r="Q150" s="172"/>
      <c r="R150" s="172"/>
      <c r="S150" s="172"/>
      <c r="T150" s="172"/>
      <c r="U150" s="172"/>
      <c r="V150" s="172"/>
      <c r="W150" s="172"/>
      <c r="X150" s="172"/>
      <c r="Y150" s="172"/>
      <c r="Z150" s="100"/>
      <c r="AA150" s="145"/>
      <c r="AB150" s="145"/>
      <c r="AC150" s="145"/>
      <c r="AD150" s="145"/>
      <c r="AE150" s="145"/>
    </row>
    <row r="151" spans="2:31" ht="17.5" x14ac:dyDescent="0.45">
      <c r="B151" s="165">
        <v>144</v>
      </c>
      <c r="C151" s="172"/>
      <c r="D151" s="172"/>
      <c r="E151" s="172"/>
      <c r="F151" s="172"/>
      <c r="G151" s="172"/>
      <c r="H151" s="172"/>
      <c r="I151" s="172"/>
      <c r="J151" s="172"/>
      <c r="K151" s="172"/>
      <c r="L151" s="172"/>
      <c r="M151" s="172"/>
      <c r="N151" s="172"/>
      <c r="O151" s="172"/>
      <c r="P151" s="172"/>
      <c r="Q151" s="172"/>
      <c r="R151" s="172"/>
      <c r="S151" s="172"/>
      <c r="T151" s="172"/>
      <c r="U151" s="172"/>
      <c r="V151" s="172"/>
      <c r="W151" s="172"/>
      <c r="X151" s="172"/>
      <c r="Y151" s="172"/>
      <c r="Z151" s="100"/>
      <c r="AA151" s="145"/>
      <c r="AB151" s="145"/>
      <c r="AC151" s="145"/>
      <c r="AD151" s="145"/>
      <c r="AE151" s="145"/>
    </row>
    <row r="152" spans="2:31" ht="17.5" x14ac:dyDescent="0.45">
      <c r="B152" s="165">
        <v>145</v>
      </c>
      <c r="C152" s="172"/>
      <c r="D152" s="172"/>
      <c r="E152" s="172"/>
      <c r="F152" s="172"/>
      <c r="G152" s="172"/>
      <c r="H152" s="172"/>
      <c r="I152" s="172"/>
      <c r="J152" s="172"/>
      <c r="K152" s="172"/>
      <c r="L152" s="172"/>
      <c r="M152" s="172"/>
      <c r="N152" s="172"/>
      <c r="O152" s="172"/>
      <c r="P152" s="172"/>
      <c r="Q152" s="172"/>
      <c r="R152" s="172"/>
      <c r="S152" s="172"/>
      <c r="T152" s="172"/>
      <c r="U152" s="172"/>
      <c r="V152" s="172"/>
      <c r="W152" s="172"/>
      <c r="X152" s="172"/>
      <c r="Y152" s="172"/>
      <c r="Z152" s="100"/>
      <c r="AA152" s="145"/>
      <c r="AB152" s="145"/>
      <c r="AC152" s="145"/>
      <c r="AD152" s="145"/>
      <c r="AE152" s="145"/>
    </row>
    <row r="153" spans="2:31" ht="17.5" x14ac:dyDescent="0.45">
      <c r="B153" s="165">
        <v>146</v>
      </c>
      <c r="C153" s="172"/>
      <c r="D153" s="172"/>
      <c r="E153" s="172"/>
      <c r="F153" s="172"/>
      <c r="G153" s="172"/>
      <c r="H153" s="172"/>
      <c r="I153" s="172"/>
      <c r="J153" s="172"/>
      <c r="K153" s="172"/>
      <c r="L153" s="172"/>
      <c r="M153" s="172"/>
      <c r="N153" s="172"/>
      <c r="O153" s="172"/>
      <c r="P153" s="172"/>
      <c r="Q153" s="172"/>
      <c r="R153" s="172"/>
      <c r="S153" s="172"/>
      <c r="T153" s="172"/>
      <c r="U153" s="172"/>
      <c r="V153" s="172"/>
      <c r="W153" s="172"/>
      <c r="X153" s="172"/>
      <c r="Y153" s="172"/>
      <c r="Z153" s="100"/>
      <c r="AA153" s="145"/>
      <c r="AB153" s="145"/>
      <c r="AC153" s="145"/>
      <c r="AD153" s="145"/>
      <c r="AE153" s="145"/>
    </row>
    <row r="154" spans="2:31" ht="17.5" x14ac:dyDescent="0.45">
      <c r="B154" s="165">
        <v>147</v>
      </c>
      <c r="C154" s="172"/>
      <c r="D154" s="172"/>
      <c r="E154" s="172"/>
      <c r="F154" s="172"/>
      <c r="G154" s="172"/>
      <c r="H154" s="172"/>
      <c r="I154" s="172"/>
      <c r="J154" s="172"/>
      <c r="K154" s="172"/>
      <c r="L154" s="172"/>
      <c r="M154" s="172"/>
      <c r="N154" s="172"/>
      <c r="O154" s="172"/>
      <c r="P154" s="172"/>
      <c r="Q154" s="172"/>
      <c r="R154" s="172"/>
      <c r="S154" s="172"/>
      <c r="T154" s="172"/>
      <c r="U154" s="172"/>
      <c r="V154" s="172"/>
      <c r="W154" s="172"/>
      <c r="X154" s="172"/>
      <c r="Y154" s="172"/>
      <c r="Z154" s="100"/>
      <c r="AA154" s="145"/>
      <c r="AB154" s="145"/>
      <c r="AC154" s="145"/>
      <c r="AD154" s="145"/>
      <c r="AE154" s="145"/>
    </row>
    <row r="155" spans="2:31" ht="17.5" x14ac:dyDescent="0.45">
      <c r="B155" s="165">
        <v>148</v>
      </c>
      <c r="C155" s="172"/>
      <c r="D155" s="172"/>
      <c r="E155" s="172"/>
      <c r="F155" s="172"/>
      <c r="G155" s="172"/>
      <c r="H155" s="172"/>
      <c r="I155" s="172"/>
      <c r="J155" s="172"/>
      <c r="K155" s="172"/>
      <c r="L155" s="172"/>
      <c r="M155" s="172"/>
      <c r="N155" s="172"/>
      <c r="O155" s="172"/>
      <c r="P155" s="172"/>
      <c r="Q155" s="172"/>
      <c r="R155" s="172"/>
      <c r="S155" s="172"/>
      <c r="T155" s="172"/>
      <c r="U155" s="172"/>
      <c r="V155" s="172"/>
      <c r="W155" s="172"/>
      <c r="X155" s="172"/>
      <c r="Y155" s="172"/>
      <c r="Z155" s="100"/>
      <c r="AA155" s="145"/>
      <c r="AB155" s="145"/>
      <c r="AC155" s="145"/>
      <c r="AD155" s="145"/>
      <c r="AE155" s="145"/>
    </row>
    <row r="156" spans="2:31" ht="17.5" x14ac:dyDescent="0.45">
      <c r="B156" s="165">
        <v>149</v>
      </c>
      <c r="C156" s="172"/>
      <c r="D156" s="172"/>
      <c r="E156" s="172"/>
      <c r="F156" s="172"/>
      <c r="G156" s="172"/>
      <c r="H156" s="172"/>
      <c r="I156" s="172"/>
      <c r="J156" s="172"/>
      <c r="K156" s="172"/>
      <c r="L156" s="172"/>
      <c r="M156" s="172"/>
      <c r="N156" s="172"/>
      <c r="O156" s="172"/>
      <c r="P156" s="172"/>
      <c r="Q156" s="172"/>
      <c r="R156" s="172"/>
      <c r="S156" s="172"/>
      <c r="T156" s="172"/>
      <c r="U156" s="172"/>
      <c r="V156" s="172"/>
      <c r="W156" s="172"/>
      <c r="X156" s="172"/>
      <c r="Y156" s="172"/>
      <c r="Z156" s="100"/>
      <c r="AA156" s="145"/>
      <c r="AB156" s="145"/>
      <c r="AC156" s="145"/>
      <c r="AD156" s="145"/>
      <c r="AE156" s="145"/>
    </row>
    <row r="157" spans="2:31" ht="17.5" x14ac:dyDescent="0.45">
      <c r="B157" s="165">
        <v>150</v>
      </c>
      <c r="C157" s="172"/>
      <c r="D157" s="172"/>
      <c r="E157" s="172"/>
      <c r="F157" s="172"/>
      <c r="G157" s="172"/>
      <c r="H157" s="172"/>
      <c r="I157" s="172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Z157" s="100"/>
      <c r="AA157" s="145"/>
      <c r="AB157" s="145"/>
      <c r="AC157" s="145"/>
      <c r="AD157" s="145"/>
      <c r="AE157" s="145"/>
    </row>
    <row r="158" spans="2:31" ht="17.5" x14ac:dyDescent="0.45">
      <c r="B158" s="165">
        <v>151</v>
      </c>
      <c r="C158" s="172"/>
      <c r="D158" s="172"/>
      <c r="E158" s="172"/>
      <c r="F158" s="172"/>
      <c r="G158" s="172"/>
      <c r="H158" s="172"/>
      <c r="I158" s="172"/>
      <c r="J158" s="172"/>
      <c r="K158" s="172"/>
      <c r="L158" s="172"/>
      <c r="M158" s="172"/>
      <c r="N158" s="172"/>
      <c r="O158" s="172"/>
      <c r="P158" s="172"/>
      <c r="Q158" s="172"/>
      <c r="R158" s="172"/>
      <c r="S158" s="172"/>
      <c r="T158" s="172"/>
      <c r="U158" s="172"/>
      <c r="V158" s="172"/>
      <c r="W158" s="172"/>
      <c r="X158" s="172"/>
      <c r="Y158" s="172"/>
      <c r="Z158" s="100"/>
      <c r="AA158" s="145"/>
      <c r="AB158" s="145"/>
      <c r="AC158" s="145"/>
      <c r="AD158" s="145"/>
      <c r="AE158" s="145"/>
    </row>
    <row r="159" spans="2:31" ht="17.5" x14ac:dyDescent="0.45">
      <c r="B159" s="165">
        <v>152</v>
      </c>
      <c r="C159" s="172"/>
      <c r="D159" s="172"/>
      <c r="E159" s="172"/>
      <c r="F159" s="172"/>
      <c r="G159" s="172"/>
      <c r="H159" s="172"/>
      <c r="I159" s="172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Z159" s="100"/>
      <c r="AA159" s="145"/>
      <c r="AB159" s="145"/>
      <c r="AC159" s="145"/>
      <c r="AD159" s="145"/>
      <c r="AE159" s="145"/>
    </row>
    <row r="160" spans="2:31" ht="17.5" x14ac:dyDescent="0.45">
      <c r="B160" s="165">
        <v>153</v>
      </c>
      <c r="C160" s="172"/>
      <c r="D160" s="172"/>
      <c r="E160" s="172"/>
      <c r="F160" s="172"/>
      <c r="G160" s="172"/>
      <c r="H160" s="172"/>
      <c r="I160" s="172"/>
      <c r="J160" s="172"/>
      <c r="K160" s="172"/>
      <c r="L160" s="172"/>
      <c r="M160" s="172"/>
      <c r="N160" s="172"/>
      <c r="O160" s="172"/>
      <c r="P160" s="172"/>
      <c r="Q160" s="172"/>
      <c r="R160" s="172"/>
      <c r="S160" s="172"/>
      <c r="T160" s="172"/>
      <c r="U160" s="172"/>
      <c r="V160" s="172"/>
      <c r="W160" s="172"/>
      <c r="X160" s="172"/>
      <c r="Y160" s="172"/>
      <c r="Z160" s="100"/>
      <c r="AA160" s="145"/>
      <c r="AB160" s="145"/>
      <c r="AC160" s="145"/>
      <c r="AD160" s="145"/>
      <c r="AE160" s="145"/>
    </row>
    <row r="161" spans="2:31" ht="17.5" x14ac:dyDescent="0.45">
      <c r="B161" s="165">
        <v>154</v>
      </c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  <c r="Z161" s="100"/>
      <c r="AA161" s="145"/>
      <c r="AB161" s="145"/>
      <c r="AC161" s="145"/>
      <c r="AD161" s="145"/>
      <c r="AE161" s="145"/>
    </row>
    <row r="162" spans="2:31" ht="17.5" x14ac:dyDescent="0.45">
      <c r="B162" s="165">
        <v>155</v>
      </c>
      <c r="C162" s="172"/>
      <c r="D162" s="172"/>
      <c r="E162" s="172"/>
      <c r="F162" s="172"/>
      <c r="G162" s="172"/>
      <c r="H162" s="172"/>
      <c r="I162" s="172"/>
      <c r="J162" s="172"/>
      <c r="K162" s="172"/>
      <c r="L162" s="172"/>
      <c r="M162" s="172"/>
      <c r="N162" s="172"/>
      <c r="O162" s="172"/>
      <c r="P162" s="172"/>
      <c r="Q162" s="172"/>
      <c r="R162" s="172"/>
      <c r="S162" s="172"/>
      <c r="T162" s="172"/>
      <c r="U162" s="172"/>
      <c r="V162" s="172"/>
      <c r="W162" s="172"/>
      <c r="X162" s="172"/>
      <c r="Y162" s="172"/>
      <c r="Z162" s="100"/>
      <c r="AA162" s="145"/>
      <c r="AB162" s="145"/>
      <c r="AC162" s="145"/>
      <c r="AD162" s="145"/>
      <c r="AE162" s="145"/>
    </row>
    <row r="163" spans="2:31" ht="17.5" x14ac:dyDescent="0.45">
      <c r="B163" s="165">
        <v>156</v>
      </c>
      <c r="C163" s="172"/>
      <c r="D163" s="172"/>
      <c r="E163" s="172"/>
      <c r="F163" s="172"/>
      <c r="G163" s="172"/>
      <c r="H163" s="172"/>
      <c r="I163" s="172"/>
      <c r="J163" s="172"/>
      <c r="K163" s="172"/>
      <c r="L163" s="172"/>
      <c r="M163" s="172"/>
      <c r="N163" s="172"/>
      <c r="O163" s="172"/>
      <c r="P163" s="172"/>
      <c r="Q163" s="172"/>
      <c r="R163" s="172"/>
      <c r="S163" s="172"/>
      <c r="T163" s="172"/>
      <c r="U163" s="172"/>
      <c r="V163" s="172"/>
      <c r="W163" s="172"/>
      <c r="X163" s="172"/>
      <c r="Y163" s="172"/>
      <c r="Z163" s="100"/>
      <c r="AA163" s="145"/>
      <c r="AB163" s="145"/>
      <c r="AC163" s="145"/>
      <c r="AD163" s="145"/>
      <c r="AE163" s="145"/>
    </row>
    <row r="164" spans="2:31" ht="17.5" x14ac:dyDescent="0.45">
      <c r="B164" s="165">
        <v>157</v>
      </c>
      <c r="C164" s="172"/>
      <c r="D164" s="172"/>
      <c r="E164" s="172"/>
      <c r="F164" s="172"/>
      <c r="G164" s="172"/>
      <c r="H164" s="172"/>
      <c r="I164" s="172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Z164" s="100"/>
      <c r="AA164" s="145"/>
      <c r="AB164" s="145"/>
      <c r="AC164" s="145"/>
      <c r="AD164" s="145"/>
      <c r="AE164" s="145"/>
    </row>
    <row r="165" spans="2:31" ht="17.5" x14ac:dyDescent="0.45">
      <c r="B165" s="165">
        <v>158</v>
      </c>
      <c r="C165" s="172"/>
      <c r="D165" s="172"/>
      <c r="E165" s="172"/>
      <c r="F165" s="172"/>
      <c r="G165" s="172"/>
      <c r="H165" s="172"/>
      <c r="I165" s="172"/>
      <c r="J165" s="172"/>
      <c r="K165" s="172"/>
      <c r="L165" s="172"/>
      <c r="M165" s="172"/>
      <c r="N165" s="172"/>
      <c r="O165" s="172"/>
      <c r="P165" s="172"/>
      <c r="Q165" s="172"/>
      <c r="R165" s="172"/>
      <c r="S165" s="172"/>
      <c r="T165" s="172"/>
      <c r="U165" s="172"/>
      <c r="V165" s="172"/>
      <c r="W165" s="172"/>
      <c r="X165" s="172"/>
      <c r="Y165" s="172"/>
      <c r="Z165" s="100"/>
      <c r="AA165" s="145"/>
      <c r="AB165" s="145"/>
      <c r="AC165" s="145"/>
      <c r="AD165" s="145"/>
      <c r="AE165" s="145"/>
    </row>
    <row r="166" spans="2:31" ht="17.5" x14ac:dyDescent="0.45">
      <c r="B166" s="165">
        <v>159</v>
      </c>
      <c r="C166" s="172"/>
      <c r="D166" s="172"/>
      <c r="E166" s="172"/>
      <c r="F166" s="172"/>
      <c r="G166" s="172"/>
      <c r="H166" s="172"/>
      <c r="I166" s="172"/>
      <c r="J166" s="172"/>
      <c r="K166" s="172"/>
      <c r="L166" s="172"/>
      <c r="M166" s="172"/>
      <c r="N166" s="172"/>
      <c r="O166" s="172"/>
      <c r="P166" s="172"/>
      <c r="Q166" s="172"/>
      <c r="R166" s="172"/>
      <c r="S166" s="172"/>
      <c r="T166" s="172"/>
      <c r="U166" s="172"/>
      <c r="V166" s="172"/>
      <c r="W166" s="172"/>
      <c r="X166" s="172"/>
      <c r="Y166" s="172"/>
      <c r="Z166" s="100"/>
      <c r="AA166" s="145"/>
      <c r="AB166" s="145"/>
      <c r="AC166" s="145"/>
      <c r="AD166" s="145"/>
      <c r="AE166" s="145"/>
    </row>
    <row r="167" spans="2:31" ht="17.5" x14ac:dyDescent="0.45">
      <c r="B167" s="165">
        <v>160</v>
      </c>
      <c r="C167" s="172"/>
      <c r="D167" s="172"/>
      <c r="E167" s="172"/>
      <c r="F167" s="172"/>
      <c r="G167" s="172"/>
      <c r="H167" s="172"/>
      <c r="I167" s="172"/>
      <c r="J167" s="172"/>
      <c r="K167" s="172"/>
      <c r="L167" s="172"/>
      <c r="M167" s="172"/>
      <c r="N167" s="172"/>
      <c r="O167" s="172"/>
      <c r="P167" s="172"/>
      <c r="Q167" s="172"/>
      <c r="R167" s="172"/>
      <c r="S167" s="172"/>
      <c r="T167" s="172"/>
      <c r="U167" s="172"/>
      <c r="V167" s="172"/>
      <c r="W167" s="172"/>
      <c r="X167" s="172"/>
      <c r="Y167" s="172"/>
      <c r="Z167" s="100"/>
      <c r="AA167" s="145"/>
      <c r="AB167" s="145"/>
      <c r="AC167" s="145"/>
      <c r="AD167" s="145"/>
      <c r="AE167" s="145"/>
    </row>
    <row r="168" spans="2:31" ht="17.5" x14ac:dyDescent="0.45">
      <c r="B168" s="165">
        <v>161</v>
      </c>
      <c r="C168" s="172"/>
      <c r="D168" s="172"/>
      <c r="E168" s="172"/>
      <c r="F168" s="172"/>
      <c r="G168" s="172"/>
      <c r="H168" s="172"/>
      <c r="I168" s="172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00"/>
      <c r="AA168" s="145"/>
      <c r="AB168" s="145"/>
      <c r="AC168" s="145"/>
      <c r="AD168" s="145"/>
      <c r="AE168" s="145"/>
    </row>
    <row r="169" spans="2:31" ht="17.5" x14ac:dyDescent="0.45">
      <c r="B169" s="165">
        <v>162</v>
      </c>
      <c r="C169" s="172"/>
      <c r="D169" s="172"/>
      <c r="E169" s="172"/>
      <c r="F169" s="172"/>
      <c r="G169" s="172"/>
      <c r="H169" s="172"/>
      <c r="I169" s="172"/>
      <c r="J169" s="172"/>
      <c r="K169" s="172"/>
      <c r="L169" s="172"/>
      <c r="M169" s="172"/>
      <c r="N169" s="172"/>
      <c r="O169" s="172"/>
      <c r="P169" s="172"/>
      <c r="Q169" s="172"/>
      <c r="R169" s="172"/>
      <c r="S169" s="172"/>
      <c r="T169" s="172"/>
      <c r="U169" s="172"/>
      <c r="V169" s="172"/>
      <c r="W169" s="172"/>
      <c r="X169" s="172"/>
      <c r="Y169" s="172"/>
      <c r="Z169" s="100"/>
      <c r="AA169" s="145"/>
      <c r="AB169" s="145"/>
      <c r="AC169" s="145"/>
      <c r="AD169" s="145"/>
      <c r="AE169" s="145"/>
    </row>
    <row r="170" spans="2:31" ht="17.5" x14ac:dyDescent="0.45">
      <c r="B170" s="165">
        <v>163</v>
      </c>
      <c r="C170" s="172"/>
      <c r="D170" s="172"/>
      <c r="E170" s="172"/>
      <c r="F170" s="172"/>
      <c r="G170" s="172"/>
      <c r="H170" s="172"/>
      <c r="I170" s="172"/>
      <c r="J170" s="172"/>
      <c r="K170" s="172"/>
      <c r="L170" s="172"/>
      <c r="M170" s="172"/>
      <c r="N170" s="172"/>
      <c r="O170" s="172"/>
      <c r="P170" s="172"/>
      <c r="Q170" s="172"/>
      <c r="R170" s="172"/>
      <c r="S170" s="172"/>
      <c r="T170" s="172"/>
      <c r="U170" s="172"/>
      <c r="V170" s="172"/>
      <c r="W170" s="172"/>
      <c r="X170" s="172"/>
      <c r="Y170" s="172"/>
      <c r="Z170" s="100"/>
      <c r="AA170" s="145"/>
      <c r="AB170" s="145"/>
      <c r="AC170" s="145"/>
      <c r="AD170" s="145"/>
      <c r="AE170" s="145"/>
    </row>
    <row r="171" spans="2:31" ht="17.5" x14ac:dyDescent="0.45">
      <c r="B171" s="165">
        <v>164</v>
      </c>
      <c r="C171" s="172"/>
      <c r="D171" s="172"/>
      <c r="E171" s="172"/>
      <c r="F171" s="172"/>
      <c r="G171" s="172"/>
      <c r="H171" s="172"/>
      <c r="I171" s="172"/>
      <c r="J171" s="172"/>
      <c r="K171" s="172"/>
      <c r="L171" s="172"/>
      <c r="M171" s="172"/>
      <c r="N171" s="172"/>
      <c r="O171" s="172"/>
      <c r="P171" s="172"/>
      <c r="Q171" s="172"/>
      <c r="R171" s="172"/>
      <c r="S171" s="172"/>
      <c r="T171" s="172"/>
      <c r="U171" s="172"/>
      <c r="V171" s="172"/>
      <c r="W171" s="172"/>
      <c r="X171" s="172"/>
      <c r="Y171" s="172"/>
      <c r="Z171" s="100"/>
      <c r="AA171" s="145"/>
      <c r="AB171" s="145"/>
      <c r="AC171" s="145"/>
      <c r="AD171" s="145"/>
      <c r="AE171" s="145"/>
    </row>
    <row r="172" spans="2:31" ht="17.5" x14ac:dyDescent="0.45">
      <c r="B172" s="165">
        <v>165</v>
      </c>
      <c r="C172" s="172"/>
      <c r="D172" s="172"/>
      <c r="E172" s="172"/>
      <c r="F172" s="172"/>
      <c r="G172" s="172"/>
      <c r="H172" s="172"/>
      <c r="I172" s="172"/>
      <c r="J172" s="172"/>
      <c r="K172" s="172"/>
      <c r="L172" s="172"/>
      <c r="M172" s="172"/>
      <c r="N172" s="172"/>
      <c r="O172" s="172"/>
      <c r="P172" s="172"/>
      <c r="Q172" s="172"/>
      <c r="R172" s="172"/>
      <c r="S172" s="172"/>
      <c r="T172" s="172"/>
      <c r="U172" s="172"/>
      <c r="V172" s="172"/>
      <c r="W172" s="172"/>
      <c r="X172" s="172"/>
      <c r="Y172" s="172"/>
      <c r="Z172" s="100"/>
      <c r="AA172" s="145"/>
      <c r="AB172" s="145"/>
      <c r="AC172" s="145"/>
      <c r="AD172" s="145"/>
      <c r="AE172" s="145"/>
    </row>
    <row r="173" spans="2:31" ht="17.5" x14ac:dyDescent="0.45">
      <c r="B173" s="165">
        <v>166</v>
      </c>
      <c r="C173" s="172"/>
      <c r="D173" s="172"/>
      <c r="E173" s="172"/>
      <c r="F173" s="172"/>
      <c r="G173" s="172"/>
      <c r="H173" s="172"/>
      <c r="I173" s="172"/>
      <c r="J173" s="172"/>
      <c r="K173" s="172"/>
      <c r="L173" s="172"/>
      <c r="M173" s="172"/>
      <c r="N173" s="172"/>
      <c r="O173" s="172"/>
      <c r="P173" s="172"/>
      <c r="Q173" s="172"/>
      <c r="R173" s="172"/>
      <c r="S173" s="172"/>
      <c r="T173" s="172"/>
      <c r="U173" s="172"/>
      <c r="V173" s="172"/>
      <c r="W173" s="172"/>
      <c r="X173" s="172"/>
      <c r="Y173" s="172"/>
      <c r="Z173" s="100"/>
      <c r="AA173" s="145"/>
      <c r="AB173" s="145"/>
      <c r="AC173" s="145"/>
      <c r="AD173" s="145"/>
      <c r="AE173" s="145"/>
    </row>
    <row r="174" spans="2:31" ht="17.5" x14ac:dyDescent="0.45">
      <c r="B174" s="165">
        <v>167</v>
      </c>
      <c r="C174" s="172"/>
      <c r="D174" s="172"/>
      <c r="E174" s="172"/>
      <c r="F174" s="172"/>
      <c r="G174" s="172"/>
      <c r="H174" s="172"/>
      <c r="I174" s="172"/>
      <c r="J174" s="172"/>
      <c r="K174" s="172"/>
      <c r="L174" s="172"/>
      <c r="M174" s="172"/>
      <c r="N174" s="172"/>
      <c r="O174" s="172"/>
      <c r="P174" s="172"/>
      <c r="Q174" s="172"/>
      <c r="R174" s="172"/>
      <c r="S174" s="172"/>
      <c r="T174" s="172"/>
      <c r="U174" s="172"/>
      <c r="V174" s="172"/>
      <c r="W174" s="172"/>
      <c r="X174" s="172"/>
      <c r="Y174" s="172"/>
      <c r="Z174" s="100"/>
      <c r="AA174" s="145"/>
      <c r="AB174" s="145"/>
      <c r="AC174" s="145"/>
      <c r="AD174" s="145"/>
      <c r="AE174" s="145"/>
    </row>
    <row r="175" spans="2:31" ht="17.5" x14ac:dyDescent="0.45">
      <c r="B175" s="165">
        <v>168</v>
      </c>
      <c r="C175" s="172"/>
      <c r="D175" s="172"/>
      <c r="E175" s="172"/>
      <c r="F175" s="172"/>
      <c r="G175" s="172"/>
      <c r="H175" s="172"/>
      <c r="I175" s="172"/>
      <c r="J175" s="172"/>
      <c r="K175" s="172"/>
      <c r="L175" s="172"/>
      <c r="M175" s="172"/>
      <c r="N175" s="172"/>
      <c r="O175" s="172"/>
      <c r="P175" s="172"/>
      <c r="Q175" s="172"/>
      <c r="R175" s="172"/>
      <c r="S175" s="172"/>
      <c r="T175" s="172"/>
      <c r="U175" s="172"/>
      <c r="V175" s="172"/>
      <c r="W175" s="172"/>
      <c r="X175" s="172"/>
      <c r="Y175" s="172"/>
      <c r="Z175" s="100"/>
      <c r="AA175" s="145"/>
      <c r="AB175" s="145"/>
      <c r="AC175" s="145"/>
      <c r="AD175" s="145"/>
      <c r="AE175" s="145"/>
    </row>
    <row r="176" spans="2:31" ht="17.5" x14ac:dyDescent="0.45">
      <c r="B176" s="165">
        <v>169</v>
      </c>
      <c r="C176" s="172"/>
      <c r="D176" s="172"/>
      <c r="E176" s="172"/>
      <c r="F176" s="172"/>
      <c r="G176" s="172"/>
      <c r="H176" s="172"/>
      <c r="I176" s="172"/>
      <c r="J176" s="172"/>
      <c r="K176" s="172"/>
      <c r="L176" s="172"/>
      <c r="M176" s="172"/>
      <c r="N176" s="172"/>
      <c r="O176" s="172"/>
      <c r="P176" s="172"/>
      <c r="Q176" s="172"/>
      <c r="R176" s="172"/>
      <c r="S176" s="172"/>
      <c r="T176" s="172"/>
      <c r="U176" s="172"/>
      <c r="V176" s="172"/>
      <c r="W176" s="172"/>
      <c r="X176" s="172"/>
      <c r="Y176" s="172"/>
      <c r="Z176" s="100"/>
      <c r="AA176" s="145"/>
      <c r="AB176" s="145"/>
      <c r="AC176" s="145"/>
      <c r="AD176" s="145"/>
      <c r="AE176" s="145"/>
    </row>
    <row r="177" spans="2:31" ht="17.5" x14ac:dyDescent="0.45">
      <c r="B177" s="165">
        <v>170</v>
      </c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Z177" s="100"/>
      <c r="AA177" s="145"/>
      <c r="AB177" s="145"/>
      <c r="AC177" s="145"/>
      <c r="AD177" s="145"/>
      <c r="AE177" s="145"/>
    </row>
    <row r="178" spans="2:31" ht="17.5" x14ac:dyDescent="0.45">
      <c r="B178" s="165">
        <v>171</v>
      </c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00"/>
      <c r="AA178" s="145"/>
      <c r="AB178" s="145"/>
      <c r="AC178" s="145"/>
      <c r="AD178" s="145"/>
      <c r="AE178" s="145"/>
    </row>
    <row r="179" spans="2:31" ht="17.5" x14ac:dyDescent="0.45">
      <c r="B179" s="165">
        <v>172</v>
      </c>
      <c r="C179" s="172"/>
      <c r="D179" s="172"/>
      <c r="E179" s="172"/>
      <c r="F179" s="172"/>
      <c r="G179" s="172"/>
      <c r="H179" s="172"/>
      <c r="I179" s="172"/>
      <c r="J179" s="172"/>
      <c r="K179" s="172"/>
      <c r="L179" s="172"/>
      <c r="M179" s="172"/>
      <c r="N179" s="172"/>
      <c r="O179" s="172"/>
      <c r="P179" s="172"/>
      <c r="Q179" s="172"/>
      <c r="R179" s="172"/>
      <c r="S179" s="172"/>
      <c r="T179" s="172"/>
      <c r="U179" s="172"/>
      <c r="V179" s="172"/>
      <c r="W179" s="172"/>
      <c r="X179" s="172"/>
      <c r="Y179" s="172"/>
      <c r="Z179" s="100"/>
      <c r="AA179" s="145"/>
      <c r="AB179" s="145"/>
      <c r="AC179" s="145"/>
      <c r="AD179" s="145"/>
      <c r="AE179" s="145"/>
    </row>
    <row r="180" spans="2:31" ht="17.5" x14ac:dyDescent="0.45">
      <c r="B180" s="165">
        <v>173</v>
      </c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Z180" s="100"/>
      <c r="AA180" s="145"/>
      <c r="AB180" s="145"/>
      <c r="AC180" s="145"/>
      <c r="AD180" s="145"/>
      <c r="AE180" s="145"/>
    </row>
    <row r="181" spans="2:31" ht="17.5" x14ac:dyDescent="0.45">
      <c r="B181" s="165">
        <v>174</v>
      </c>
      <c r="C181" s="172"/>
      <c r="D181" s="172"/>
      <c r="E181" s="172"/>
      <c r="F181" s="172"/>
      <c r="G181" s="172"/>
      <c r="H181" s="172"/>
      <c r="I181" s="172"/>
      <c r="J181" s="172"/>
      <c r="K181" s="172"/>
      <c r="L181" s="172"/>
      <c r="M181" s="172"/>
      <c r="N181" s="172"/>
      <c r="O181" s="172"/>
      <c r="P181" s="172"/>
      <c r="Q181" s="172"/>
      <c r="R181" s="172"/>
      <c r="S181" s="172"/>
      <c r="T181" s="172"/>
      <c r="U181" s="172"/>
      <c r="V181" s="172"/>
      <c r="W181" s="172"/>
      <c r="X181" s="172"/>
      <c r="Y181" s="172"/>
      <c r="Z181" s="100"/>
      <c r="AA181" s="145"/>
      <c r="AB181" s="145"/>
      <c r="AC181" s="145"/>
      <c r="AD181" s="145"/>
      <c r="AE181" s="145"/>
    </row>
    <row r="182" spans="2:31" ht="17.5" x14ac:dyDescent="0.45">
      <c r="B182" s="165">
        <v>175</v>
      </c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Z182" s="100"/>
      <c r="AA182" s="145"/>
      <c r="AB182" s="145"/>
      <c r="AC182" s="145"/>
      <c r="AD182" s="145"/>
      <c r="AE182" s="145"/>
    </row>
    <row r="183" spans="2:31" ht="17.5" x14ac:dyDescent="0.45">
      <c r="B183" s="165">
        <v>176</v>
      </c>
      <c r="C183" s="172"/>
      <c r="D183" s="172"/>
      <c r="E183" s="172"/>
      <c r="F183" s="172"/>
      <c r="G183" s="172"/>
      <c r="H183" s="172"/>
      <c r="I183" s="172"/>
      <c r="J183" s="172"/>
      <c r="K183" s="172"/>
      <c r="L183" s="172"/>
      <c r="M183" s="172"/>
      <c r="N183" s="172"/>
      <c r="O183" s="172"/>
      <c r="P183" s="172"/>
      <c r="Q183" s="172"/>
      <c r="R183" s="172"/>
      <c r="S183" s="172"/>
      <c r="T183" s="172"/>
      <c r="U183" s="172"/>
      <c r="V183" s="172"/>
      <c r="W183" s="172"/>
      <c r="X183" s="172"/>
      <c r="Y183" s="172"/>
      <c r="Z183" s="100"/>
      <c r="AA183" s="145"/>
      <c r="AB183" s="145"/>
      <c r="AC183" s="145"/>
      <c r="AD183" s="145"/>
      <c r="AE183" s="145"/>
    </row>
    <row r="184" spans="2:31" ht="17.5" x14ac:dyDescent="0.45">
      <c r="B184" s="165">
        <v>177</v>
      </c>
      <c r="C184" s="172"/>
      <c r="D184" s="172"/>
      <c r="E184" s="172"/>
      <c r="F184" s="172"/>
      <c r="G184" s="172"/>
      <c r="H184" s="172"/>
      <c r="I184" s="172"/>
      <c r="J184" s="172"/>
      <c r="K184" s="172"/>
      <c r="L184" s="172"/>
      <c r="M184" s="172"/>
      <c r="N184" s="172"/>
      <c r="O184" s="172"/>
      <c r="P184" s="172"/>
      <c r="Q184" s="172"/>
      <c r="R184" s="172"/>
      <c r="S184" s="172"/>
      <c r="T184" s="172"/>
      <c r="U184" s="172"/>
      <c r="V184" s="172"/>
      <c r="W184" s="172"/>
      <c r="X184" s="172"/>
      <c r="Y184" s="172"/>
      <c r="Z184" s="100"/>
      <c r="AA184" s="145"/>
      <c r="AB184" s="145"/>
      <c r="AC184" s="145"/>
      <c r="AD184" s="145"/>
      <c r="AE184" s="145"/>
    </row>
    <row r="185" spans="2:31" ht="17.5" x14ac:dyDescent="0.45">
      <c r="B185" s="165">
        <v>178</v>
      </c>
      <c r="C185" s="172"/>
      <c r="D185" s="172"/>
      <c r="E185" s="172"/>
      <c r="F185" s="172"/>
      <c r="G185" s="172"/>
      <c r="H185" s="172"/>
      <c r="I185" s="172"/>
      <c r="J185" s="172"/>
      <c r="K185" s="172"/>
      <c r="L185" s="172"/>
      <c r="M185" s="172"/>
      <c r="N185" s="172"/>
      <c r="O185" s="172"/>
      <c r="P185" s="172"/>
      <c r="Q185" s="172"/>
      <c r="R185" s="172"/>
      <c r="S185" s="172"/>
      <c r="T185" s="172"/>
      <c r="U185" s="172"/>
      <c r="V185" s="172"/>
      <c r="W185" s="172"/>
      <c r="X185" s="172"/>
      <c r="Y185" s="172"/>
      <c r="Z185" s="100"/>
      <c r="AA185" s="145"/>
      <c r="AB185" s="145"/>
      <c r="AC185" s="145"/>
      <c r="AD185" s="145"/>
      <c r="AE185" s="145"/>
    </row>
    <row r="186" spans="2:31" ht="17.5" x14ac:dyDescent="0.45">
      <c r="B186" s="165">
        <v>179</v>
      </c>
      <c r="C186" s="172"/>
      <c r="D186" s="172"/>
      <c r="E186" s="172"/>
      <c r="F186" s="172"/>
      <c r="G186" s="172"/>
      <c r="H186" s="172"/>
      <c r="I186" s="172"/>
      <c r="J186" s="172"/>
      <c r="K186" s="172"/>
      <c r="L186" s="172"/>
      <c r="M186" s="172"/>
      <c r="N186" s="172"/>
      <c r="O186" s="172"/>
      <c r="P186" s="172"/>
      <c r="Q186" s="172"/>
      <c r="R186" s="172"/>
      <c r="S186" s="172"/>
      <c r="T186" s="172"/>
      <c r="U186" s="172"/>
      <c r="V186" s="172"/>
      <c r="W186" s="172"/>
      <c r="X186" s="172"/>
      <c r="Y186" s="172"/>
      <c r="Z186" s="100"/>
      <c r="AA186" s="145"/>
      <c r="AB186" s="145"/>
      <c r="AC186" s="145"/>
      <c r="AD186" s="145"/>
      <c r="AE186" s="145"/>
    </row>
    <row r="187" spans="2:31" ht="17.5" x14ac:dyDescent="0.45">
      <c r="B187" s="165">
        <v>180</v>
      </c>
      <c r="C187" s="172"/>
      <c r="D187" s="172"/>
      <c r="E187" s="172"/>
      <c r="F187" s="172"/>
      <c r="G187" s="172"/>
      <c r="H187" s="172"/>
      <c r="I187" s="172"/>
      <c r="J187" s="172"/>
      <c r="K187" s="172"/>
      <c r="L187" s="172"/>
      <c r="M187" s="172"/>
      <c r="N187" s="172"/>
      <c r="O187" s="172"/>
      <c r="P187" s="172"/>
      <c r="Q187" s="172"/>
      <c r="R187" s="172"/>
      <c r="S187" s="172"/>
      <c r="T187" s="172"/>
      <c r="U187" s="172"/>
      <c r="V187" s="172"/>
      <c r="W187" s="172"/>
      <c r="X187" s="172"/>
      <c r="Y187" s="172"/>
      <c r="Z187" s="100"/>
      <c r="AA187" s="145"/>
      <c r="AB187" s="145"/>
      <c r="AC187" s="145"/>
      <c r="AD187" s="145"/>
      <c r="AE187" s="145"/>
    </row>
    <row r="188" spans="2:31" ht="17.5" x14ac:dyDescent="0.45">
      <c r="B188" s="165">
        <v>181</v>
      </c>
      <c r="C188" s="172"/>
      <c r="D188" s="172"/>
      <c r="E188" s="172"/>
      <c r="F188" s="172"/>
      <c r="G188" s="172"/>
      <c r="H188" s="172"/>
      <c r="I188" s="172"/>
      <c r="J188" s="172"/>
      <c r="K188" s="172"/>
      <c r="L188" s="172"/>
      <c r="M188" s="172"/>
      <c r="N188" s="172"/>
      <c r="O188" s="172"/>
      <c r="P188" s="172"/>
      <c r="Q188" s="172"/>
      <c r="R188" s="172"/>
      <c r="S188" s="172"/>
      <c r="T188" s="172"/>
      <c r="U188" s="172"/>
      <c r="V188" s="172"/>
      <c r="W188" s="172"/>
      <c r="X188" s="172"/>
      <c r="Y188" s="172"/>
      <c r="Z188" s="100"/>
      <c r="AA188" s="145"/>
      <c r="AB188" s="145"/>
      <c r="AC188" s="145"/>
      <c r="AD188" s="145"/>
      <c r="AE188" s="145"/>
    </row>
    <row r="189" spans="2:31" ht="17.5" x14ac:dyDescent="0.45">
      <c r="B189" s="165">
        <v>182</v>
      </c>
      <c r="C189" s="172"/>
      <c r="D189" s="172"/>
      <c r="E189" s="172"/>
      <c r="F189" s="172"/>
      <c r="G189" s="172"/>
      <c r="H189" s="172"/>
      <c r="I189" s="172"/>
      <c r="J189" s="172"/>
      <c r="K189" s="172"/>
      <c r="L189" s="172"/>
      <c r="M189" s="172"/>
      <c r="N189" s="172"/>
      <c r="O189" s="172"/>
      <c r="P189" s="172"/>
      <c r="Q189" s="172"/>
      <c r="R189" s="172"/>
      <c r="S189" s="172"/>
      <c r="T189" s="172"/>
      <c r="U189" s="172"/>
      <c r="V189" s="172"/>
      <c r="W189" s="172"/>
      <c r="X189" s="172"/>
      <c r="Y189" s="172"/>
      <c r="Z189" s="100"/>
      <c r="AA189" s="145"/>
      <c r="AB189" s="145"/>
      <c r="AC189" s="145"/>
      <c r="AD189" s="145"/>
      <c r="AE189" s="145"/>
    </row>
    <row r="190" spans="2:31" ht="17.5" x14ac:dyDescent="0.45">
      <c r="B190" s="165">
        <v>183</v>
      </c>
      <c r="C190" s="172"/>
      <c r="D190" s="172"/>
      <c r="E190" s="172"/>
      <c r="F190" s="172"/>
      <c r="G190" s="172"/>
      <c r="H190" s="172"/>
      <c r="I190" s="172"/>
      <c r="J190" s="172"/>
      <c r="K190" s="172"/>
      <c r="L190" s="172"/>
      <c r="M190" s="172"/>
      <c r="N190" s="172"/>
      <c r="O190" s="172"/>
      <c r="P190" s="172"/>
      <c r="Q190" s="172"/>
      <c r="R190" s="172"/>
      <c r="S190" s="172"/>
      <c r="T190" s="172"/>
      <c r="U190" s="172"/>
      <c r="V190" s="172"/>
      <c r="W190" s="172"/>
      <c r="X190" s="172"/>
      <c r="Y190" s="172"/>
      <c r="Z190" s="100"/>
      <c r="AA190" s="145"/>
      <c r="AB190" s="145"/>
      <c r="AC190" s="145"/>
      <c r="AD190" s="145"/>
      <c r="AE190" s="145"/>
    </row>
    <row r="191" spans="2:31" ht="17.5" x14ac:dyDescent="0.45">
      <c r="B191" s="165">
        <v>184</v>
      </c>
      <c r="C191" s="172"/>
      <c r="D191" s="172"/>
      <c r="E191" s="172"/>
      <c r="F191" s="172"/>
      <c r="G191" s="172"/>
      <c r="H191" s="172"/>
      <c r="I191" s="172"/>
      <c r="J191" s="172"/>
      <c r="K191" s="172"/>
      <c r="L191" s="172"/>
      <c r="M191" s="172"/>
      <c r="N191" s="172"/>
      <c r="O191" s="172"/>
      <c r="P191" s="172"/>
      <c r="Q191" s="172"/>
      <c r="R191" s="172"/>
      <c r="S191" s="172"/>
      <c r="T191" s="172"/>
      <c r="U191" s="172"/>
      <c r="V191" s="172"/>
      <c r="W191" s="172"/>
      <c r="X191" s="172"/>
      <c r="Y191" s="172"/>
      <c r="Z191" s="100"/>
      <c r="AA191" s="145"/>
      <c r="AB191" s="145"/>
      <c r="AC191" s="145"/>
      <c r="AD191" s="145"/>
      <c r="AE191" s="145"/>
    </row>
    <row r="192" spans="2:31" ht="17.5" x14ac:dyDescent="0.45">
      <c r="B192" s="165">
        <v>185</v>
      </c>
      <c r="C192" s="172"/>
      <c r="D192" s="172"/>
      <c r="E192" s="172"/>
      <c r="F192" s="172"/>
      <c r="G192" s="172"/>
      <c r="H192" s="172"/>
      <c r="I192" s="172"/>
      <c r="J192" s="172"/>
      <c r="K192" s="172"/>
      <c r="L192" s="172"/>
      <c r="M192" s="172"/>
      <c r="N192" s="172"/>
      <c r="O192" s="172"/>
      <c r="P192" s="172"/>
      <c r="Q192" s="172"/>
      <c r="R192" s="172"/>
      <c r="S192" s="172"/>
      <c r="T192" s="172"/>
      <c r="U192" s="172"/>
      <c r="V192" s="172"/>
      <c r="W192" s="172"/>
      <c r="X192" s="172"/>
      <c r="Y192" s="172"/>
      <c r="Z192" s="100"/>
      <c r="AA192" s="145"/>
      <c r="AB192" s="145"/>
      <c r="AC192" s="145"/>
      <c r="AD192" s="145"/>
      <c r="AE192" s="145"/>
    </row>
    <row r="193" spans="2:31" ht="17.5" x14ac:dyDescent="0.45">
      <c r="B193" s="165">
        <v>186</v>
      </c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Z193" s="100"/>
      <c r="AA193" s="145"/>
      <c r="AB193" s="145"/>
      <c r="AC193" s="145"/>
      <c r="AD193" s="145"/>
      <c r="AE193" s="145"/>
    </row>
    <row r="194" spans="2:31" ht="17.5" x14ac:dyDescent="0.45">
      <c r="B194" s="165">
        <v>187</v>
      </c>
      <c r="C194" s="172"/>
      <c r="D194" s="172"/>
      <c r="E194" s="172"/>
      <c r="F194" s="172"/>
      <c r="G194" s="172"/>
      <c r="H194" s="172"/>
      <c r="I194" s="172"/>
      <c r="J194" s="172"/>
      <c r="K194" s="172"/>
      <c r="L194" s="172"/>
      <c r="M194" s="172"/>
      <c r="N194" s="172"/>
      <c r="O194" s="172"/>
      <c r="P194" s="172"/>
      <c r="Q194" s="172"/>
      <c r="R194" s="172"/>
      <c r="S194" s="172"/>
      <c r="T194" s="172"/>
      <c r="U194" s="172"/>
      <c r="V194" s="172"/>
      <c r="W194" s="172"/>
      <c r="X194" s="172"/>
      <c r="Y194" s="172"/>
      <c r="Z194" s="100"/>
      <c r="AA194" s="145"/>
      <c r="AB194" s="145"/>
      <c r="AC194" s="145"/>
      <c r="AD194" s="145"/>
      <c r="AE194" s="145"/>
    </row>
    <row r="195" spans="2:31" ht="17.5" x14ac:dyDescent="0.45">
      <c r="B195" s="165">
        <v>188</v>
      </c>
      <c r="C195" s="172"/>
      <c r="D195" s="172"/>
      <c r="E195" s="172"/>
      <c r="F195" s="172"/>
      <c r="G195" s="172"/>
      <c r="H195" s="172"/>
      <c r="I195" s="172"/>
      <c r="J195" s="172"/>
      <c r="K195" s="172"/>
      <c r="L195" s="172"/>
      <c r="M195" s="172"/>
      <c r="N195" s="172"/>
      <c r="O195" s="172"/>
      <c r="P195" s="172"/>
      <c r="Q195" s="172"/>
      <c r="R195" s="172"/>
      <c r="S195" s="172"/>
      <c r="T195" s="172"/>
      <c r="U195" s="172"/>
      <c r="V195" s="172"/>
      <c r="W195" s="172"/>
      <c r="X195" s="172"/>
      <c r="Y195" s="172"/>
      <c r="Z195" s="100"/>
      <c r="AA195" s="145"/>
      <c r="AB195" s="145"/>
      <c r="AC195" s="145"/>
      <c r="AD195" s="145"/>
      <c r="AE195" s="145"/>
    </row>
    <row r="196" spans="2:31" ht="17.5" x14ac:dyDescent="0.45">
      <c r="B196" s="165">
        <v>189</v>
      </c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Z196" s="100"/>
      <c r="AA196" s="145"/>
      <c r="AB196" s="145"/>
      <c r="AC196" s="145"/>
      <c r="AD196" s="145"/>
      <c r="AE196" s="145"/>
    </row>
    <row r="197" spans="2:31" ht="17.5" x14ac:dyDescent="0.45">
      <c r="B197" s="165">
        <v>190</v>
      </c>
      <c r="C197" s="172"/>
      <c r="D197" s="172"/>
      <c r="E197" s="172"/>
      <c r="F197" s="172"/>
      <c r="G197" s="172"/>
      <c r="H197" s="172"/>
      <c r="I197" s="172"/>
      <c r="J197" s="172"/>
      <c r="K197" s="172"/>
      <c r="L197" s="172"/>
      <c r="M197" s="172"/>
      <c r="N197" s="172"/>
      <c r="O197" s="172"/>
      <c r="P197" s="172"/>
      <c r="Q197" s="172"/>
      <c r="R197" s="172"/>
      <c r="S197" s="172"/>
      <c r="T197" s="172"/>
      <c r="U197" s="172"/>
      <c r="V197" s="172"/>
      <c r="W197" s="172"/>
      <c r="X197" s="172"/>
      <c r="Y197" s="172"/>
      <c r="Z197" s="100"/>
      <c r="AA197" s="145"/>
      <c r="AB197" s="145"/>
      <c r="AC197" s="145"/>
      <c r="AD197" s="145"/>
      <c r="AE197" s="145"/>
    </row>
    <row r="198" spans="2:31" ht="17.5" x14ac:dyDescent="0.45">
      <c r="B198" s="165">
        <v>191</v>
      </c>
      <c r="C198" s="172"/>
      <c r="D198" s="172"/>
      <c r="E198" s="172"/>
      <c r="F198" s="172"/>
      <c r="G198" s="172"/>
      <c r="H198" s="172"/>
      <c r="I198" s="172"/>
      <c r="J198" s="172"/>
      <c r="K198" s="172"/>
      <c r="L198" s="172"/>
      <c r="M198" s="172"/>
      <c r="N198" s="172"/>
      <c r="O198" s="172"/>
      <c r="P198" s="172"/>
      <c r="Q198" s="172"/>
      <c r="R198" s="172"/>
      <c r="S198" s="172"/>
      <c r="T198" s="172"/>
      <c r="U198" s="172"/>
      <c r="V198" s="172"/>
      <c r="W198" s="172"/>
      <c r="X198" s="172"/>
      <c r="Y198" s="172"/>
      <c r="Z198" s="100"/>
      <c r="AA198" s="145"/>
      <c r="AB198" s="145"/>
      <c r="AC198" s="145"/>
      <c r="AD198" s="145"/>
      <c r="AE198" s="145"/>
    </row>
    <row r="199" spans="2:31" ht="17.5" x14ac:dyDescent="0.45">
      <c r="B199" s="165">
        <v>192</v>
      </c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00"/>
      <c r="AA199" s="145"/>
      <c r="AB199" s="145"/>
      <c r="AC199" s="145"/>
      <c r="AD199" s="145"/>
      <c r="AE199" s="145"/>
    </row>
    <row r="200" spans="2:31" ht="17.5" x14ac:dyDescent="0.45">
      <c r="B200" s="165">
        <v>193</v>
      </c>
      <c r="C200" s="172"/>
      <c r="D200" s="172"/>
      <c r="E200" s="172"/>
      <c r="F200" s="172"/>
      <c r="G200" s="172"/>
      <c r="H200" s="172"/>
      <c r="I200" s="172"/>
      <c r="J200" s="172"/>
      <c r="K200" s="172"/>
      <c r="L200" s="172"/>
      <c r="M200" s="172"/>
      <c r="N200" s="172"/>
      <c r="O200" s="172"/>
      <c r="P200" s="172"/>
      <c r="Q200" s="172"/>
      <c r="R200" s="172"/>
      <c r="S200" s="172"/>
      <c r="T200" s="172"/>
      <c r="U200" s="172"/>
      <c r="V200" s="172"/>
      <c r="W200" s="172"/>
      <c r="X200" s="172"/>
      <c r="Y200" s="172"/>
      <c r="Z200" s="100"/>
      <c r="AA200" s="145"/>
      <c r="AB200" s="145"/>
      <c r="AC200" s="145"/>
      <c r="AD200" s="145"/>
      <c r="AE200" s="145"/>
    </row>
    <row r="201" spans="2:31" ht="17.5" x14ac:dyDescent="0.45">
      <c r="B201" s="165">
        <v>194</v>
      </c>
      <c r="C201" s="172"/>
      <c r="D201" s="172"/>
      <c r="E201" s="172"/>
      <c r="F201" s="172"/>
      <c r="G201" s="172"/>
      <c r="H201" s="172"/>
      <c r="I201" s="172"/>
      <c r="J201" s="172"/>
      <c r="K201" s="172"/>
      <c r="L201" s="172"/>
      <c r="M201" s="172"/>
      <c r="N201" s="172"/>
      <c r="O201" s="172"/>
      <c r="P201" s="172"/>
      <c r="Q201" s="172"/>
      <c r="R201" s="172"/>
      <c r="S201" s="172"/>
      <c r="T201" s="172"/>
      <c r="U201" s="172"/>
      <c r="V201" s="172"/>
      <c r="W201" s="172"/>
      <c r="X201" s="172"/>
      <c r="Y201" s="172"/>
      <c r="Z201" s="100"/>
      <c r="AA201" s="145"/>
      <c r="AB201" s="145"/>
      <c r="AC201" s="145"/>
      <c r="AD201" s="145"/>
      <c r="AE201" s="145"/>
    </row>
    <row r="202" spans="2:31" ht="17.5" x14ac:dyDescent="0.45">
      <c r="B202" s="165">
        <v>195</v>
      </c>
      <c r="C202" s="172"/>
      <c r="D202" s="172"/>
      <c r="E202" s="172"/>
      <c r="F202" s="172"/>
      <c r="G202" s="172"/>
      <c r="H202" s="172"/>
      <c r="I202" s="172"/>
      <c r="J202" s="172"/>
      <c r="K202" s="172"/>
      <c r="L202" s="172"/>
      <c r="M202" s="172"/>
      <c r="N202" s="172"/>
      <c r="O202" s="172"/>
      <c r="P202" s="172"/>
      <c r="Q202" s="172"/>
      <c r="R202" s="172"/>
      <c r="S202" s="172"/>
      <c r="T202" s="172"/>
      <c r="U202" s="172"/>
      <c r="V202" s="172"/>
      <c r="W202" s="172"/>
      <c r="X202" s="172"/>
      <c r="Y202" s="172"/>
      <c r="Z202" s="100"/>
      <c r="AA202" s="145"/>
      <c r="AB202" s="145"/>
      <c r="AC202" s="145"/>
      <c r="AD202" s="145"/>
      <c r="AE202" s="145"/>
    </row>
    <row r="203" spans="2:31" ht="17.5" x14ac:dyDescent="0.45">
      <c r="B203" s="165">
        <v>196</v>
      </c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  <c r="Z203" s="100"/>
      <c r="AA203" s="145"/>
      <c r="AB203" s="145"/>
      <c r="AC203" s="145"/>
      <c r="AD203" s="145"/>
      <c r="AE203" s="145"/>
    </row>
    <row r="204" spans="2:31" ht="17.5" x14ac:dyDescent="0.45">
      <c r="B204" s="165">
        <v>197</v>
      </c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Z204" s="100"/>
      <c r="AA204" s="145"/>
      <c r="AB204" s="145"/>
      <c r="AC204" s="145"/>
      <c r="AD204" s="145"/>
      <c r="AE204" s="145"/>
    </row>
    <row r="205" spans="2:31" ht="17.5" x14ac:dyDescent="0.45">
      <c r="B205" s="165">
        <v>198</v>
      </c>
      <c r="C205" s="172"/>
      <c r="D205" s="172"/>
      <c r="E205" s="172"/>
      <c r="F205" s="172"/>
      <c r="G205" s="172"/>
      <c r="H205" s="172"/>
      <c r="I205" s="172"/>
      <c r="J205" s="172"/>
      <c r="K205" s="172"/>
      <c r="L205" s="172"/>
      <c r="M205" s="172"/>
      <c r="N205" s="172"/>
      <c r="O205" s="172"/>
      <c r="P205" s="172"/>
      <c r="Q205" s="172"/>
      <c r="R205" s="172"/>
      <c r="S205" s="172"/>
      <c r="T205" s="172"/>
      <c r="U205" s="172"/>
      <c r="V205" s="172"/>
      <c r="W205" s="172"/>
      <c r="X205" s="172"/>
      <c r="Y205" s="172"/>
      <c r="Z205" s="100"/>
      <c r="AA205" s="145"/>
      <c r="AB205" s="145"/>
      <c r="AC205" s="145"/>
      <c r="AD205" s="145"/>
      <c r="AE205" s="145"/>
    </row>
    <row r="206" spans="2:31" ht="17.5" x14ac:dyDescent="0.45">
      <c r="B206" s="165">
        <v>199</v>
      </c>
      <c r="C206" s="172"/>
      <c r="D206" s="172"/>
      <c r="E206" s="172"/>
      <c r="F206" s="172"/>
      <c r="G206" s="172"/>
      <c r="H206" s="172"/>
      <c r="I206" s="172"/>
      <c r="J206" s="172"/>
      <c r="K206" s="172"/>
      <c r="L206" s="172"/>
      <c r="M206" s="172"/>
      <c r="N206" s="172"/>
      <c r="O206" s="172"/>
      <c r="P206" s="172"/>
      <c r="Q206" s="172"/>
      <c r="R206" s="172"/>
      <c r="S206" s="172"/>
      <c r="T206" s="172"/>
      <c r="U206" s="172"/>
      <c r="V206" s="172"/>
      <c r="W206" s="172"/>
      <c r="X206" s="172"/>
      <c r="Y206" s="172"/>
      <c r="Z206" s="100"/>
      <c r="AA206" s="145"/>
      <c r="AB206" s="145"/>
      <c r="AC206" s="145"/>
      <c r="AD206" s="145"/>
      <c r="AE206" s="145"/>
    </row>
    <row r="207" spans="2:31" ht="17.5" x14ac:dyDescent="0.45">
      <c r="B207" s="165">
        <v>200</v>
      </c>
      <c r="C207" s="172"/>
      <c r="D207" s="172"/>
      <c r="E207" s="172"/>
      <c r="F207" s="172"/>
      <c r="G207" s="172"/>
      <c r="H207" s="172"/>
      <c r="I207" s="172"/>
      <c r="J207" s="172"/>
      <c r="K207" s="172"/>
      <c r="L207" s="172"/>
      <c r="M207" s="172"/>
      <c r="N207" s="172"/>
      <c r="O207" s="172"/>
      <c r="P207" s="172"/>
      <c r="Q207" s="172"/>
      <c r="R207" s="172"/>
      <c r="S207" s="172"/>
      <c r="T207" s="172"/>
      <c r="U207" s="172"/>
      <c r="V207" s="172"/>
      <c r="W207" s="172"/>
      <c r="X207" s="172"/>
      <c r="Y207" s="172"/>
      <c r="Z207" s="100"/>
      <c r="AA207" s="145"/>
      <c r="AB207" s="145"/>
      <c r="AC207" s="145"/>
      <c r="AD207" s="145"/>
      <c r="AE207" s="145"/>
    </row>
    <row r="208" spans="2:31" ht="17.5" x14ac:dyDescent="0.45">
      <c r="B208" s="165">
        <v>201</v>
      </c>
      <c r="C208" s="172"/>
      <c r="D208" s="172"/>
      <c r="E208" s="172"/>
      <c r="F208" s="172"/>
      <c r="G208" s="172"/>
      <c r="H208" s="172"/>
      <c r="I208" s="172"/>
      <c r="J208" s="172"/>
      <c r="K208" s="172"/>
      <c r="L208" s="172"/>
      <c r="M208" s="172"/>
      <c r="N208" s="172"/>
      <c r="O208" s="172"/>
      <c r="P208" s="172"/>
      <c r="Q208" s="172"/>
      <c r="R208" s="172"/>
      <c r="S208" s="172"/>
      <c r="T208" s="172"/>
      <c r="U208" s="172"/>
      <c r="V208" s="172"/>
      <c r="W208" s="172"/>
      <c r="X208" s="172"/>
      <c r="Y208" s="172"/>
      <c r="Z208" s="100"/>
      <c r="AA208" s="145"/>
      <c r="AB208" s="145"/>
      <c r="AC208" s="145"/>
      <c r="AD208" s="145"/>
      <c r="AE208" s="145"/>
    </row>
    <row r="209" spans="2:31" ht="17.5" x14ac:dyDescent="0.45">
      <c r="B209" s="165">
        <v>202</v>
      </c>
      <c r="C209" s="172"/>
      <c r="D209" s="172"/>
      <c r="E209" s="172"/>
      <c r="F209" s="172"/>
      <c r="G209" s="172"/>
      <c r="H209" s="172"/>
      <c r="I209" s="172"/>
      <c r="J209" s="172"/>
      <c r="K209" s="172"/>
      <c r="L209" s="172"/>
      <c r="M209" s="172"/>
      <c r="N209" s="172"/>
      <c r="O209" s="172"/>
      <c r="P209" s="172"/>
      <c r="Q209" s="172"/>
      <c r="R209" s="172"/>
      <c r="S209" s="172"/>
      <c r="T209" s="172"/>
      <c r="U209" s="172"/>
      <c r="V209" s="172"/>
      <c r="W209" s="172"/>
      <c r="X209" s="172"/>
      <c r="Y209" s="172"/>
      <c r="Z209" s="100"/>
      <c r="AA209" s="145"/>
      <c r="AB209" s="145"/>
      <c r="AC209" s="145"/>
      <c r="AD209" s="145"/>
      <c r="AE209" s="145"/>
    </row>
    <row r="210" spans="2:31" ht="17.5" x14ac:dyDescent="0.45">
      <c r="B210" s="165">
        <v>203</v>
      </c>
      <c r="C210" s="172"/>
      <c r="D210" s="172"/>
      <c r="E210" s="172"/>
      <c r="F210" s="172"/>
      <c r="G210" s="172"/>
      <c r="H210" s="172"/>
      <c r="I210" s="172"/>
      <c r="J210" s="172"/>
      <c r="K210" s="172"/>
      <c r="L210" s="172"/>
      <c r="M210" s="172"/>
      <c r="N210" s="172"/>
      <c r="O210" s="172"/>
      <c r="P210" s="172"/>
      <c r="Q210" s="172"/>
      <c r="R210" s="172"/>
      <c r="S210" s="172"/>
      <c r="T210" s="172"/>
      <c r="U210" s="172"/>
      <c r="V210" s="172"/>
      <c r="W210" s="172"/>
      <c r="X210" s="172"/>
      <c r="Y210" s="172"/>
      <c r="Z210" s="100"/>
      <c r="AA210" s="145"/>
      <c r="AB210" s="145"/>
      <c r="AC210" s="145"/>
      <c r="AD210" s="145"/>
      <c r="AE210" s="145"/>
    </row>
    <row r="211" spans="2:31" ht="17.5" x14ac:dyDescent="0.45">
      <c r="B211" s="165">
        <v>204</v>
      </c>
      <c r="C211" s="172"/>
      <c r="D211" s="172"/>
      <c r="E211" s="172"/>
      <c r="F211" s="172"/>
      <c r="G211" s="172"/>
      <c r="H211" s="172"/>
      <c r="I211" s="172"/>
      <c r="J211" s="172"/>
      <c r="K211" s="172"/>
      <c r="L211" s="172"/>
      <c r="M211" s="172"/>
      <c r="N211" s="172"/>
      <c r="O211" s="172"/>
      <c r="P211" s="172"/>
      <c r="Q211" s="172"/>
      <c r="R211" s="172"/>
      <c r="S211" s="172"/>
      <c r="T211" s="172"/>
      <c r="U211" s="172"/>
      <c r="V211" s="172"/>
      <c r="W211" s="172"/>
      <c r="X211" s="172"/>
      <c r="Y211" s="172"/>
      <c r="Z211" s="100"/>
      <c r="AA211" s="145"/>
      <c r="AB211" s="145"/>
      <c r="AC211" s="145"/>
      <c r="AD211" s="145"/>
      <c r="AE211" s="145"/>
    </row>
    <row r="212" spans="2:31" ht="17.5" x14ac:dyDescent="0.45">
      <c r="B212" s="165">
        <v>205</v>
      </c>
      <c r="C212" s="172"/>
      <c r="D212" s="172"/>
      <c r="E212" s="172"/>
      <c r="F212" s="172"/>
      <c r="G212" s="172"/>
      <c r="H212" s="172"/>
      <c r="I212" s="172"/>
      <c r="J212" s="172"/>
      <c r="K212" s="172"/>
      <c r="L212" s="172"/>
      <c r="M212" s="172"/>
      <c r="N212" s="172"/>
      <c r="O212" s="172"/>
      <c r="P212" s="172"/>
      <c r="Q212" s="172"/>
      <c r="R212" s="172"/>
      <c r="S212" s="172"/>
      <c r="T212" s="172"/>
      <c r="U212" s="172"/>
      <c r="V212" s="172"/>
      <c r="W212" s="172"/>
      <c r="X212" s="172"/>
      <c r="Y212" s="172"/>
      <c r="Z212" s="100"/>
      <c r="AA212" s="145"/>
      <c r="AB212" s="145"/>
      <c r="AC212" s="145"/>
      <c r="AD212" s="145"/>
      <c r="AE212" s="145"/>
    </row>
    <row r="213" spans="2:31" ht="17.5" x14ac:dyDescent="0.45">
      <c r="B213" s="165">
        <v>206</v>
      </c>
      <c r="C213" s="172"/>
      <c r="D213" s="172"/>
      <c r="E213" s="172"/>
      <c r="F213" s="172"/>
      <c r="G213" s="172"/>
      <c r="H213" s="172"/>
      <c r="I213" s="172"/>
      <c r="J213" s="172"/>
      <c r="K213" s="172"/>
      <c r="L213" s="172"/>
      <c r="M213" s="172"/>
      <c r="N213" s="172"/>
      <c r="O213" s="172"/>
      <c r="P213" s="172"/>
      <c r="Q213" s="172"/>
      <c r="R213" s="172"/>
      <c r="S213" s="172"/>
      <c r="T213" s="172"/>
      <c r="U213" s="172"/>
      <c r="V213" s="172"/>
      <c r="W213" s="172"/>
      <c r="X213" s="172"/>
      <c r="Y213" s="172"/>
      <c r="Z213" s="100"/>
      <c r="AA213" s="145"/>
      <c r="AB213" s="145"/>
      <c r="AC213" s="145"/>
      <c r="AD213" s="145"/>
      <c r="AE213" s="145"/>
    </row>
    <row r="214" spans="2:31" ht="17.5" x14ac:dyDescent="0.45">
      <c r="B214" s="165">
        <v>207</v>
      </c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Z214" s="100"/>
      <c r="AA214" s="145"/>
      <c r="AB214" s="145"/>
      <c r="AC214" s="145"/>
      <c r="AD214" s="145"/>
      <c r="AE214" s="145"/>
    </row>
    <row r="215" spans="2:31" ht="17.5" x14ac:dyDescent="0.45">
      <c r="B215" s="165">
        <v>208</v>
      </c>
      <c r="C215" s="172"/>
      <c r="D215" s="172"/>
      <c r="E215" s="172"/>
      <c r="F215" s="172"/>
      <c r="G215" s="172"/>
      <c r="H215" s="172"/>
      <c r="I215" s="172"/>
      <c r="J215" s="172"/>
      <c r="K215" s="172"/>
      <c r="L215" s="172"/>
      <c r="M215" s="172"/>
      <c r="N215" s="172"/>
      <c r="O215" s="172"/>
      <c r="P215" s="172"/>
      <c r="Q215" s="172"/>
      <c r="R215" s="172"/>
      <c r="S215" s="172"/>
      <c r="T215" s="172"/>
      <c r="U215" s="172"/>
      <c r="V215" s="172"/>
      <c r="W215" s="172"/>
      <c r="X215" s="172"/>
      <c r="Y215" s="172"/>
      <c r="Z215" s="100"/>
      <c r="AA215" s="145"/>
      <c r="AB215" s="145"/>
      <c r="AC215" s="145"/>
      <c r="AD215" s="145"/>
      <c r="AE215" s="145"/>
    </row>
    <row r="216" spans="2:31" ht="17.5" x14ac:dyDescent="0.45">
      <c r="B216" s="165">
        <v>209</v>
      </c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Z216" s="100"/>
      <c r="AA216" s="145"/>
      <c r="AB216" s="145"/>
      <c r="AC216" s="145"/>
      <c r="AD216" s="145"/>
      <c r="AE216" s="145"/>
    </row>
    <row r="217" spans="2:31" ht="17.5" x14ac:dyDescent="0.45">
      <c r="B217" s="165">
        <v>210</v>
      </c>
      <c r="C217" s="172"/>
      <c r="D217" s="172"/>
      <c r="E217" s="172"/>
      <c r="F217" s="172"/>
      <c r="G217" s="172"/>
      <c r="H217" s="172"/>
      <c r="I217" s="172"/>
      <c r="J217" s="172"/>
      <c r="K217" s="172"/>
      <c r="L217" s="172"/>
      <c r="M217" s="172"/>
      <c r="N217" s="172"/>
      <c r="O217" s="172"/>
      <c r="P217" s="172"/>
      <c r="Q217" s="172"/>
      <c r="R217" s="172"/>
      <c r="S217" s="172"/>
      <c r="T217" s="172"/>
      <c r="U217" s="172"/>
      <c r="V217" s="172"/>
      <c r="W217" s="172"/>
      <c r="X217" s="172"/>
      <c r="Y217" s="172"/>
      <c r="Z217" s="100"/>
      <c r="AA217" s="145"/>
      <c r="AB217" s="145"/>
      <c r="AC217" s="145"/>
      <c r="AD217" s="145"/>
      <c r="AE217" s="145"/>
    </row>
    <row r="218" spans="2:31" ht="17.5" x14ac:dyDescent="0.45">
      <c r="B218" s="165">
        <v>211</v>
      </c>
      <c r="C218" s="172"/>
      <c r="D218" s="172"/>
      <c r="E218" s="172"/>
      <c r="F218" s="172"/>
      <c r="G218" s="172"/>
      <c r="H218" s="172"/>
      <c r="I218" s="172"/>
      <c r="J218" s="172"/>
      <c r="K218" s="172"/>
      <c r="L218" s="172"/>
      <c r="M218" s="172"/>
      <c r="N218" s="172"/>
      <c r="O218" s="172"/>
      <c r="P218" s="172"/>
      <c r="Q218" s="172"/>
      <c r="R218" s="172"/>
      <c r="S218" s="172"/>
      <c r="T218" s="172"/>
      <c r="U218" s="172"/>
      <c r="V218" s="172"/>
      <c r="W218" s="172"/>
      <c r="X218" s="172"/>
      <c r="Y218" s="172"/>
      <c r="Z218" s="100"/>
      <c r="AA218" s="145"/>
      <c r="AB218" s="145"/>
      <c r="AC218" s="145"/>
      <c r="AD218" s="145"/>
      <c r="AE218" s="145"/>
    </row>
    <row r="219" spans="2:31" ht="17.5" x14ac:dyDescent="0.45">
      <c r="B219" s="165">
        <v>212</v>
      </c>
      <c r="C219" s="172"/>
      <c r="D219" s="172"/>
      <c r="E219" s="172"/>
      <c r="F219" s="172"/>
      <c r="G219" s="172"/>
      <c r="H219" s="172"/>
      <c r="I219" s="172"/>
      <c r="J219" s="172"/>
      <c r="K219" s="172"/>
      <c r="L219" s="172"/>
      <c r="M219" s="172"/>
      <c r="N219" s="172"/>
      <c r="O219" s="172"/>
      <c r="P219" s="172"/>
      <c r="Q219" s="172"/>
      <c r="R219" s="172"/>
      <c r="S219" s="172"/>
      <c r="T219" s="172"/>
      <c r="U219" s="172"/>
      <c r="V219" s="172"/>
      <c r="W219" s="172"/>
      <c r="X219" s="172"/>
      <c r="Y219" s="172"/>
      <c r="Z219" s="100"/>
      <c r="AA219" s="145"/>
      <c r="AB219" s="145"/>
      <c r="AC219" s="145"/>
      <c r="AD219" s="145"/>
      <c r="AE219" s="145"/>
    </row>
    <row r="220" spans="2:31" ht="17.5" x14ac:dyDescent="0.45">
      <c r="B220" s="165">
        <v>213</v>
      </c>
      <c r="C220" s="172"/>
      <c r="D220" s="172"/>
      <c r="E220" s="172"/>
      <c r="F220" s="172"/>
      <c r="G220" s="172"/>
      <c r="H220" s="172"/>
      <c r="I220" s="172"/>
      <c r="J220" s="172"/>
      <c r="K220" s="172"/>
      <c r="L220" s="172"/>
      <c r="M220" s="172"/>
      <c r="N220" s="172"/>
      <c r="O220" s="172"/>
      <c r="P220" s="172"/>
      <c r="Q220" s="172"/>
      <c r="R220" s="172"/>
      <c r="S220" s="172"/>
      <c r="T220" s="172"/>
      <c r="U220" s="172"/>
      <c r="V220" s="172"/>
      <c r="W220" s="172"/>
      <c r="X220" s="172"/>
      <c r="Y220" s="172"/>
      <c r="Z220" s="100"/>
      <c r="AA220" s="145"/>
      <c r="AB220" s="145"/>
      <c r="AC220" s="145"/>
      <c r="AD220" s="145"/>
      <c r="AE220" s="145"/>
    </row>
    <row r="221" spans="2:31" ht="17.5" x14ac:dyDescent="0.45">
      <c r="B221" s="165">
        <v>214</v>
      </c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  <c r="Z221" s="100"/>
      <c r="AA221" s="145"/>
      <c r="AB221" s="145"/>
      <c r="AC221" s="145"/>
      <c r="AD221" s="145"/>
      <c r="AE221" s="145"/>
    </row>
    <row r="222" spans="2:31" ht="17.5" x14ac:dyDescent="0.45">
      <c r="B222" s="165">
        <v>215</v>
      </c>
      <c r="C222" s="172"/>
      <c r="D222" s="172"/>
      <c r="E222" s="172"/>
      <c r="F222" s="172"/>
      <c r="G222" s="172"/>
      <c r="H222" s="172"/>
      <c r="I222" s="172"/>
      <c r="J222" s="172"/>
      <c r="K222" s="172"/>
      <c r="L222" s="172"/>
      <c r="M222" s="172"/>
      <c r="N222" s="172"/>
      <c r="O222" s="172"/>
      <c r="P222" s="172"/>
      <c r="Q222" s="172"/>
      <c r="R222" s="172"/>
      <c r="S222" s="172"/>
      <c r="T222" s="172"/>
      <c r="U222" s="172"/>
      <c r="V222" s="172"/>
      <c r="W222" s="172"/>
      <c r="X222" s="172"/>
      <c r="Y222" s="172"/>
      <c r="Z222" s="100"/>
      <c r="AA222" s="145"/>
      <c r="AB222" s="145"/>
      <c r="AC222" s="145"/>
      <c r="AD222" s="145"/>
      <c r="AE222" s="145"/>
    </row>
    <row r="223" spans="2:31" ht="17.5" x14ac:dyDescent="0.45">
      <c r="B223" s="165">
        <v>216</v>
      </c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  <c r="Z223" s="100"/>
      <c r="AA223" s="145"/>
      <c r="AB223" s="145"/>
      <c r="AC223" s="145"/>
      <c r="AD223" s="145"/>
      <c r="AE223" s="145"/>
    </row>
    <row r="224" spans="2:31" ht="17.5" x14ac:dyDescent="0.45">
      <c r="B224" s="165">
        <v>217</v>
      </c>
      <c r="C224" s="172"/>
      <c r="D224" s="172"/>
      <c r="E224" s="172"/>
      <c r="F224" s="172"/>
      <c r="G224" s="172"/>
      <c r="H224" s="172"/>
      <c r="I224" s="172"/>
      <c r="J224" s="172"/>
      <c r="K224" s="172"/>
      <c r="L224" s="172"/>
      <c r="M224" s="172"/>
      <c r="N224" s="172"/>
      <c r="O224" s="172"/>
      <c r="P224" s="172"/>
      <c r="Q224" s="172"/>
      <c r="R224" s="172"/>
      <c r="S224" s="172"/>
      <c r="T224" s="172"/>
      <c r="U224" s="172"/>
      <c r="V224" s="172"/>
      <c r="W224" s="172"/>
      <c r="X224" s="172"/>
      <c r="Y224" s="172"/>
      <c r="Z224" s="100"/>
      <c r="AA224" s="145"/>
      <c r="AB224" s="145"/>
      <c r="AC224" s="145"/>
      <c r="AD224" s="145"/>
      <c r="AE224" s="145"/>
    </row>
    <row r="225" spans="2:31" ht="17.5" x14ac:dyDescent="0.45">
      <c r="B225" s="165">
        <v>218</v>
      </c>
      <c r="C225" s="172"/>
      <c r="D225" s="172"/>
      <c r="E225" s="172"/>
      <c r="F225" s="172"/>
      <c r="G225" s="172"/>
      <c r="H225" s="172"/>
      <c r="I225" s="172"/>
      <c r="J225" s="172"/>
      <c r="K225" s="172"/>
      <c r="L225" s="172"/>
      <c r="M225" s="172"/>
      <c r="N225" s="172"/>
      <c r="O225" s="172"/>
      <c r="P225" s="172"/>
      <c r="Q225" s="172"/>
      <c r="R225" s="172"/>
      <c r="S225" s="172"/>
      <c r="T225" s="172"/>
      <c r="U225" s="172"/>
      <c r="V225" s="172"/>
      <c r="W225" s="172"/>
      <c r="X225" s="172"/>
      <c r="Y225" s="172"/>
      <c r="Z225" s="100"/>
      <c r="AA225" s="145"/>
      <c r="AB225" s="145"/>
      <c r="AC225" s="145"/>
      <c r="AD225" s="145"/>
      <c r="AE225" s="145"/>
    </row>
    <row r="226" spans="2:31" ht="17.5" x14ac:dyDescent="0.45">
      <c r="B226" s="165">
        <v>219</v>
      </c>
      <c r="C226" s="172"/>
      <c r="D226" s="172"/>
      <c r="E226" s="172"/>
      <c r="F226" s="172"/>
      <c r="G226" s="172"/>
      <c r="H226" s="172"/>
      <c r="I226" s="172"/>
      <c r="J226" s="172"/>
      <c r="K226" s="172"/>
      <c r="L226" s="172"/>
      <c r="M226" s="172"/>
      <c r="N226" s="172"/>
      <c r="O226" s="172"/>
      <c r="P226" s="172"/>
      <c r="Q226" s="172"/>
      <c r="R226" s="172"/>
      <c r="S226" s="172"/>
      <c r="T226" s="172"/>
      <c r="U226" s="172"/>
      <c r="V226" s="172"/>
      <c r="W226" s="172"/>
      <c r="X226" s="172"/>
      <c r="Y226" s="172"/>
      <c r="Z226" s="100"/>
      <c r="AA226" s="145"/>
      <c r="AB226" s="145"/>
      <c r="AC226" s="145"/>
      <c r="AD226" s="145"/>
      <c r="AE226" s="145"/>
    </row>
    <row r="227" spans="2:31" ht="17.5" x14ac:dyDescent="0.45">
      <c r="B227" s="165">
        <v>220</v>
      </c>
      <c r="C227" s="172"/>
      <c r="D227" s="172"/>
      <c r="E227" s="172"/>
      <c r="F227" s="172"/>
      <c r="G227" s="172"/>
      <c r="H227" s="172"/>
      <c r="I227" s="172"/>
      <c r="J227" s="172"/>
      <c r="K227" s="172"/>
      <c r="L227" s="172"/>
      <c r="M227" s="172"/>
      <c r="N227" s="172"/>
      <c r="O227" s="172"/>
      <c r="P227" s="172"/>
      <c r="Q227" s="172"/>
      <c r="R227" s="172"/>
      <c r="S227" s="172"/>
      <c r="T227" s="172"/>
      <c r="U227" s="172"/>
      <c r="V227" s="172"/>
      <c r="W227" s="172"/>
      <c r="X227" s="172"/>
      <c r="Y227" s="172"/>
      <c r="Z227" s="100"/>
      <c r="AA227" s="145"/>
      <c r="AB227" s="145"/>
      <c r="AC227" s="145"/>
      <c r="AD227" s="145"/>
      <c r="AE227" s="145"/>
    </row>
    <row r="228" spans="2:31" ht="17.5" x14ac:dyDescent="0.45">
      <c r="B228" s="165">
        <v>221</v>
      </c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Z228" s="100"/>
      <c r="AA228" s="145"/>
      <c r="AB228" s="145"/>
      <c r="AC228" s="145"/>
      <c r="AD228" s="145"/>
      <c r="AE228" s="145"/>
    </row>
    <row r="229" spans="2:31" ht="17.5" x14ac:dyDescent="0.45">
      <c r="B229" s="165">
        <v>222</v>
      </c>
      <c r="C229" s="172"/>
      <c r="D229" s="172"/>
      <c r="E229" s="172"/>
      <c r="F229" s="172"/>
      <c r="G229" s="172"/>
      <c r="H229" s="172"/>
      <c r="I229" s="172"/>
      <c r="J229" s="172"/>
      <c r="K229" s="172"/>
      <c r="L229" s="172"/>
      <c r="M229" s="172"/>
      <c r="N229" s="172"/>
      <c r="O229" s="172"/>
      <c r="P229" s="172"/>
      <c r="Q229" s="172"/>
      <c r="R229" s="172"/>
      <c r="S229" s="172"/>
      <c r="T229" s="172"/>
      <c r="U229" s="172"/>
      <c r="V229" s="172"/>
      <c r="W229" s="172"/>
      <c r="X229" s="172"/>
      <c r="Y229" s="172"/>
      <c r="Z229" s="100"/>
      <c r="AA229" s="145"/>
      <c r="AB229" s="145"/>
      <c r="AC229" s="145"/>
      <c r="AD229" s="145"/>
      <c r="AE229" s="145"/>
    </row>
    <row r="230" spans="2:31" ht="17.5" x14ac:dyDescent="0.45">
      <c r="B230" s="165">
        <v>223</v>
      </c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00"/>
      <c r="AA230" s="145"/>
      <c r="AB230" s="145"/>
      <c r="AC230" s="145"/>
      <c r="AD230" s="145"/>
      <c r="AE230" s="145"/>
    </row>
    <row r="231" spans="2:31" ht="17.5" x14ac:dyDescent="0.45">
      <c r="B231" s="165">
        <v>224</v>
      </c>
      <c r="C231" s="172"/>
      <c r="D231" s="172"/>
      <c r="E231" s="172"/>
      <c r="F231" s="172"/>
      <c r="G231" s="172"/>
      <c r="H231" s="172"/>
      <c r="I231" s="172"/>
      <c r="J231" s="172"/>
      <c r="K231" s="172"/>
      <c r="L231" s="172"/>
      <c r="M231" s="172"/>
      <c r="N231" s="172"/>
      <c r="O231" s="172"/>
      <c r="P231" s="172"/>
      <c r="Q231" s="172"/>
      <c r="R231" s="172"/>
      <c r="S231" s="172"/>
      <c r="T231" s="172"/>
      <c r="U231" s="172"/>
      <c r="V231" s="172"/>
      <c r="W231" s="172"/>
      <c r="X231" s="172"/>
      <c r="Y231" s="172"/>
      <c r="Z231" s="100"/>
      <c r="AA231" s="145"/>
      <c r="AB231" s="145"/>
      <c r="AC231" s="145"/>
      <c r="AD231" s="145"/>
      <c r="AE231" s="145"/>
    </row>
    <row r="232" spans="2:31" ht="17.5" x14ac:dyDescent="0.45">
      <c r="B232" s="165">
        <v>225</v>
      </c>
      <c r="C232" s="172"/>
      <c r="D232" s="172"/>
      <c r="E232" s="172"/>
      <c r="F232" s="172"/>
      <c r="G232" s="172"/>
      <c r="H232" s="172"/>
      <c r="I232" s="172"/>
      <c r="J232" s="172"/>
      <c r="K232" s="172"/>
      <c r="L232" s="172"/>
      <c r="M232" s="172"/>
      <c r="N232" s="172"/>
      <c r="O232" s="172"/>
      <c r="P232" s="172"/>
      <c r="Q232" s="172"/>
      <c r="R232" s="172"/>
      <c r="S232" s="172"/>
      <c r="T232" s="172"/>
      <c r="U232" s="172"/>
      <c r="V232" s="172"/>
      <c r="W232" s="172"/>
      <c r="X232" s="172"/>
      <c r="Y232" s="172"/>
      <c r="Z232" s="100"/>
      <c r="AA232" s="145"/>
      <c r="AB232" s="145"/>
      <c r="AC232" s="145"/>
      <c r="AD232" s="145"/>
      <c r="AE232" s="145"/>
    </row>
    <row r="233" spans="2:31" ht="17.5" x14ac:dyDescent="0.45">
      <c r="B233" s="165">
        <v>226</v>
      </c>
      <c r="C233" s="172"/>
      <c r="D233" s="172"/>
      <c r="E233" s="172"/>
      <c r="F233" s="172"/>
      <c r="G233" s="172"/>
      <c r="H233" s="172"/>
      <c r="I233" s="172"/>
      <c r="J233" s="172"/>
      <c r="K233" s="172"/>
      <c r="L233" s="172"/>
      <c r="M233" s="172"/>
      <c r="N233" s="172"/>
      <c r="O233" s="172"/>
      <c r="P233" s="172"/>
      <c r="Q233" s="172"/>
      <c r="R233" s="172"/>
      <c r="S233" s="172"/>
      <c r="T233" s="172"/>
      <c r="U233" s="172"/>
      <c r="V233" s="172"/>
      <c r="W233" s="172"/>
      <c r="X233" s="172"/>
      <c r="Y233" s="172"/>
      <c r="Z233" s="100"/>
      <c r="AA233" s="145"/>
      <c r="AB233" s="145"/>
      <c r="AC233" s="145"/>
      <c r="AD233" s="145"/>
      <c r="AE233" s="145"/>
    </row>
    <row r="234" spans="2:31" ht="17.5" x14ac:dyDescent="0.45">
      <c r="B234" s="165">
        <v>227</v>
      </c>
      <c r="C234" s="172"/>
      <c r="D234" s="172"/>
      <c r="E234" s="172"/>
      <c r="F234" s="172"/>
      <c r="G234" s="172"/>
      <c r="H234" s="172"/>
      <c r="I234" s="172"/>
      <c r="J234" s="172"/>
      <c r="K234" s="172"/>
      <c r="L234" s="172"/>
      <c r="M234" s="172"/>
      <c r="N234" s="172"/>
      <c r="O234" s="172"/>
      <c r="P234" s="172"/>
      <c r="Q234" s="172"/>
      <c r="R234" s="172"/>
      <c r="S234" s="172"/>
      <c r="T234" s="172"/>
      <c r="U234" s="172"/>
      <c r="V234" s="172"/>
      <c r="W234" s="172"/>
      <c r="X234" s="172"/>
      <c r="Y234" s="172"/>
      <c r="Z234" s="100"/>
      <c r="AA234" s="145"/>
      <c r="AB234" s="145"/>
      <c r="AC234" s="145"/>
      <c r="AD234" s="145"/>
      <c r="AE234" s="145"/>
    </row>
    <row r="235" spans="2:31" ht="17.5" x14ac:dyDescent="0.45">
      <c r="B235" s="165">
        <v>228</v>
      </c>
      <c r="C235" s="172"/>
      <c r="D235" s="172"/>
      <c r="E235" s="172"/>
      <c r="F235" s="172"/>
      <c r="G235" s="172"/>
      <c r="H235" s="172"/>
      <c r="I235" s="172"/>
      <c r="J235" s="172"/>
      <c r="K235" s="172"/>
      <c r="L235" s="172"/>
      <c r="M235" s="172"/>
      <c r="N235" s="172"/>
      <c r="O235" s="172"/>
      <c r="P235" s="172"/>
      <c r="Q235" s="172"/>
      <c r="R235" s="172"/>
      <c r="S235" s="172"/>
      <c r="T235" s="172"/>
      <c r="U235" s="172"/>
      <c r="V235" s="172"/>
      <c r="W235" s="172"/>
      <c r="X235" s="172"/>
      <c r="Y235" s="172"/>
      <c r="Z235" s="100"/>
      <c r="AA235" s="145"/>
      <c r="AB235" s="145"/>
      <c r="AC235" s="145"/>
      <c r="AD235" s="145"/>
      <c r="AE235" s="145"/>
    </row>
    <row r="236" spans="2:31" ht="17.5" x14ac:dyDescent="0.45">
      <c r="B236" s="165">
        <v>229</v>
      </c>
      <c r="C236" s="172"/>
      <c r="D236" s="172"/>
      <c r="E236" s="172"/>
      <c r="F236" s="172"/>
      <c r="G236" s="172"/>
      <c r="H236" s="172"/>
      <c r="I236" s="172"/>
      <c r="J236" s="172"/>
      <c r="K236" s="172"/>
      <c r="L236" s="172"/>
      <c r="M236" s="172"/>
      <c r="N236" s="172"/>
      <c r="O236" s="172"/>
      <c r="P236" s="172"/>
      <c r="Q236" s="172"/>
      <c r="R236" s="172"/>
      <c r="S236" s="172"/>
      <c r="T236" s="172"/>
      <c r="U236" s="172"/>
      <c r="V236" s="172"/>
      <c r="W236" s="172"/>
      <c r="X236" s="172"/>
      <c r="Y236" s="172"/>
      <c r="Z236" s="100"/>
      <c r="AA236" s="145"/>
      <c r="AB236" s="145"/>
      <c r="AC236" s="145"/>
      <c r="AD236" s="145"/>
      <c r="AE236" s="145"/>
    </row>
    <row r="237" spans="2:31" ht="17.5" x14ac:dyDescent="0.45">
      <c r="B237" s="165">
        <v>230</v>
      </c>
      <c r="C237" s="172"/>
      <c r="D237" s="172"/>
      <c r="E237" s="172"/>
      <c r="F237" s="172"/>
      <c r="G237" s="172"/>
      <c r="H237" s="172"/>
      <c r="I237" s="172"/>
      <c r="J237" s="172"/>
      <c r="K237" s="172"/>
      <c r="L237" s="172"/>
      <c r="M237" s="172"/>
      <c r="N237" s="172"/>
      <c r="O237" s="172"/>
      <c r="P237" s="172"/>
      <c r="Q237" s="172"/>
      <c r="R237" s="172"/>
      <c r="S237" s="172"/>
      <c r="T237" s="172"/>
      <c r="U237" s="172"/>
      <c r="V237" s="172"/>
      <c r="W237" s="172"/>
      <c r="X237" s="172"/>
      <c r="Y237" s="172"/>
      <c r="Z237" s="100"/>
      <c r="AA237" s="145"/>
      <c r="AB237" s="145"/>
      <c r="AC237" s="145"/>
      <c r="AD237" s="145"/>
      <c r="AE237" s="145"/>
    </row>
    <row r="238" spans="2:31" ht="17.5" x14ac:dyDescent="0.45">
      <c r="B238" s="165">
        <v>231</v>
      </c>
      <c r="C238" s="172"/>
      <c r="D238" s="172"/>
      <c r="E238" s="172"/>
      <c r="F238" s="172"/>
      <c r="G238" s="172"/>
      <c r="H238" s="172"/>
      <c r="I238" s="172"/>
      <c r="J238" s="172"/>
      <c r="K238" s="172"/>
      <c r="L238" s="172"/>
      <c r="M238" s="172"/>
      <c r="N238" s="172"/>
      <c r="O238" s="172"/>
      <c r="P238" s="172"/>
      <c r="Q238" s="172"/>
      <c r="R238" s="172"/>
      <c r="S238" s="172"/>
      <c r="T238" s="172"/>
      <c r="U238" s="172"/>
      <c r="V238" s="172"/>
      <c r="W238" s="172"/>
      <c r="X238" s="172"/>
      <c r="Y238" s="172"/>
      <c r="Z238" s="100"/>
      <c r="AA238" s="145"/>
      <c r="AB238" s="145"/>
      <c r="AC238" s="145"/>
      <c r="AD238" s="145"/>
      <c r="AE238" s="145"/>
    </row>
    <row r="239" spans="2:31" ht="17.5" x14ac:dyDescent="0.45">
      <c r="B239" s="165">
        <v>232</v>
      </c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Z239" s="100"/>
      <c r="AA239" s="145"/>
      <c r="AB239" s="145"/>
      <c r="AC239" s="145"/>
      <c r="AD239" s="145"/>
      <c r="AE239" s="145"/>
    </row>
    <row r="240" spans="2:31" ht="17.5" x14ac:dyDescent="0.45">
      <c r="B240" s="165">
        <v>233</v>
      </c>
      <c r="C240" s="172"/>
      <c r="D240" s="172"/>
      <c r="E240" s="172"/>
      <c r="F240" s="172"/>
      <c r="G240" s="172"/>
      <c r="H240" s="172"/>
      <c r="I240" s="172"/>
      <c r="J240" s="172"/>
      <c r="K240" s="172"/>
      <c r="L240" s="172"/>
      <c r="M240" s="172"/>
      <c r="N240" s="172"/>
      <c r="O240" s="172"/>
      <c r="P240" s="172"/>
      <c r="Q240" s="172"/>
      <c r="R240" s="172"/>
      <c r="S240" s="172"/>
      <c r="T240" s="172"/>
      <c r="U240" s="172"/>
      <c r="V240" s="172"/>
      <c r="W240" s="172"/>
      <c r="X240" s="172"/>
      <c r="Y240" s="172"/>
      <c r="Z240" s="100"/>
      <c r="AA240" s="145"/>
      <c r="AB240" s="145"/>
      <c r="AC240" s="145"/>
      <c r="AD240" s="145"/>
      <c r="AE240" s="145"/>
    </row>
    <row r="241" spans="2:31" ht="17.5" x14ac:dyDescent="0.45">
      <c r="B241" s="165">
        <v>234</v>
      </c>
      <c r="C241" s="172"/>
      <c r="D241" s="172"/>
      <c r="E241" s="172"/>
      <c r="F241" s="172"/>
      <c r="G241" s="172"/>
      <c r="H241" s="172"/>
      <c r="I241" s="172"/>
      <c r="J241" s="172"/>
      <c r="K241" s="172"/>
      <c r="L241" s="172"/>
      <c r="M241" s="172"/>
      <c r="N241" s="172"/>
      <c r="O241" s="172"/>
      <c r="P241" s="172"/>
      <c r="Q241" s="172"/>
      <c r="R241" s="172"/>
      <c r="S241" s="172"/>
      <c r="T241" s="172"/>
      <c r="U241" s="172"/>
      <c r="V241" s="172"/>
      <c r="W241" s="172"/>
      <c r="X241" s="172"/>
      <c r="Y241" s="172"/>
      <c r="Z241" s="100"/>
      <c r="AA241" s="145"/>
      <c r="AB241" s="145"/>
      <c r="AC241" s="145"/>
      <c r="AD241" s="145"/>
      <c r="AE241" s="145"/>
    </row>
    <row r="242" spans="2:31" ht="17.5" x14ac:dyDescent="0.45">
      <c r="B242" s="165">
        <v>235</v>
      </c>
      <c r="C242" s="172"/>
      <c r="D242" s="172"/>
      <c r="E242" s="172"/>
      <c r="F242" s="172"/>
      <c r="G242" s="172"/>
      <c r="H242" s="172"/>
      <c r="I242" s="172"/>
      <c r="J242" s="172"/>
      <c r="K242" s="172"/>
      <c r="L242" s="172"/>
      <c r="M242" s="172"/>
      <c r="N242" s="172"/>
      <c r="O242" s="172"/>
      <c r="P242" s="172"/>
      <c r="Q242" s="172"/>
      <c r="R242" s="172"/>
      <c r="S242" s="172"/>
      <c r="T242" s="172"/>
      <c r="U242" s="172"/>
      <c r="V242" s="172"/>
      <c r="W242" s="172"/>
      <c r="X242" s="172"/>
      <c r="Y242" s="172"/>
      <c r="Z242" s="100"/>
      <c r="AA242" s="145"/>
      <c r="AB242" s="145"/>
      <c r="AC242" s="145"/>
      <c r="AD242" s="145"/>
      <c r="AE242" s="145"/>
    </row>
    <row r="243" spans="2:31" ht="17.5" x14ac:dyDescent="0.45">
      <c r="B243" s="165">
        <v>236</v>
      </c>
      <c r="C243" s="172"/>
      <c r="D243" s="172"/>
      <c r="E243" s="172"/>
      <c r="F243" s="172"/>
      <c r="G243" s="172"/>
      <c r="H243" s="172"/>
      <c r="I243" s="172"/>
      <c r="J243" s="172"/>
      <c r="K243" s="172"/>
      <c r="L243" s="172"/>
      <c r="M243" s="172"/>
      <c r="N243" s="172"/>
      <c r="O243" s="172"/>
      <c r="P243" s="172"/>
      <c r="Q243" s="172"/>
      <c r="R243" s="172"/>
      <c r="S243" s="172"/>
      <c r="T243" s="172"/>
      <c r="U243" s="172"/>
      <c r="V243" s="172"/>
      <c r="W243" s="172"/>
      <c r="X243" s="172"/>
      <c r="Y243" s="172"/>
      <c r="Z243" s="100"/>
      <c r="AA243" s="145"/>
      <c r="AB243" s="145"/>
      <c r="AC243" s="145"/>
      <c r="AD243" s="145"/>
      <c r="AE243" s="145"/>
    </row>
    <row r="244" spans="2:31" ht="17.5" x14ac:dyDescent="0.45">
      <c r="B244" s="165">
        <v>237</v>
      </c>
      <c r="C244" s="172"/>
      <c r="D244" s="172"/>
      <c r="E244" s="172"/>
      <c r="F244" s="172"/>
      <c r="G244" s="172"/>
      <c r="H244" s="172"/>
      <c r="I244" s="172"/>
      <c r="J244" s="172"/>
      <c r="K244" s="172"/>
      <c r="L244" s="172"/>
      <c r="M244" s="172"/>
      <c r="N244" s="172"/>
      <c r="O244" s="172"/>
      <c r="P244" s="172"/>
      <c r="Q244" s="172"/>
      <c r="R244" s="172"/>
      <c r="S244" s="172"/>
      <c r="T244" s="172"/>
      <c r="U244" s="172"/>
      <c r="V244" s="172"/>
      <c r="W244" s="172"/>
      <c r="X244" s="172"/>
      <c r="Y244" s="172"/>
      <c r="Z244" s="100"/>
      <c r="AA244" s="145"/>
      <c r="AB244" s="145"/>
      <c r="AC244" s="145"/>
      <c r="AD244" s="145"/>
      <c r="AE244" s="145"/>
    </row>
    <row r="245" spans="2:31" ht="17.5" x14ac:dyDescent="0.45">
      <c r="B245" s="165">
        <v>238</v>
      </c>
      <c r="C245" s="172"/>
      <c r="D245" s="172"/>
      <c r="E245" s="172"/>
      <c r="F245" s="172"/>
      <c r="G245" s="172"/>
      <c r="H245" s="172"/>
      <c r="I245" s="172"/>
      <c r="J245" s="172"/>
      <c r="K245" s="172"/>
      <c r="L245" s="172"/>
      <c r="M245" s="172"/>
      <c r="N245" s="172"/>
      <c r="O245" s="172"/>
      <c r="P245" s="172"/>
      <c r="Q245" s="172"/>
      <c r="R245" s="172"/>
      <c r="S245" s="172"/>
      <c r="T245" s="172"/>
      <c r="U245" s="172"/>
      <c r="V245" s="172"/>
      <c r="W245" s="172"/>
      <c r="X245" s="172"/>
      <c r="Y245" s="172"/>
      <c r="Z245" s="100"/>
      <c r="AA245" s="145"/>
      <c r="AB245" s="145"/>
      <c r="AC245" s="145"/>
      <c r="AD245" s="145"/>
      <c r="AE245" s="145"/>
    </row>
    <row r="246" spans="2:31" ht="17.5" x14ac:dyDescent="0.45">
      <c r="B246" s="165">
        <v>239</v>
      </c>
      <c r="C246" s="172"/>
      <c r="D246" s="172"/>
      <c r="E246" s="172"/>
      <c r="F246" s="172"/>
      <c r="G246" s="172"/>
      <c r="H246" s="172"/>
      <c r="I246" s="172"/>
      <c r="J246" s="172"/>
      <c r="K246" s="172"/>
      <c r="L246" s="172"/>
      <c r="M246" s="172"/>
      <c r="N246" s="172"/>
      <c r="O246" s="172"/>
      <c r="P246" s="172"/>
      <c r="Q246" s="172"/>
      <c r="R246" s="172"/>
      <c r="S246" s="172"/>
      <c r="T246" s="172"/>
      <c r="U246" s="172"/>
      <c r="V246" s="172"/>
      <c r="W246" s="172"/>
      <c r="X246" s="172"/>
      <c r="Y246" s="172"/>
      <c r="Z246" s="100"/>
      <c r="AA246" s="145"/>
      <c r="AB246" s="145"/>
      <c r="AC246" s="145"/>
      <c r="AD246" s="145"/>
      <c r="AE246" s="145"/>
    </row>
    <row r="247" spans="2:31" ht="17.5" x14ac:dyDescent="0.45">
      <c r="B247" s="165">
        <v>240</v>
      </c>
      <c r="C247" s="172"/>
      <c r="D247" s="172"/>
      <c r="E247" s="172"/>
      <c r="F247" s="172"/>
      <c r="G247" s="172"/>
      <c r="H247" s="172"/>
      <c r="I247" s="172"/>
      <c r="J247" s="172"/>
      <c r="K247" s="172"/>
      <c r="L247" s="172"/>
      <c r="M247" s="172"/>
      <c r="N247" s="172"/>
      <c r="O247" s="172"/>
      <c r="P247" s="172"/>
      <c r="Q247" s="172"/>
      <c r="R247" s="172"/>
      <c r="S247" s="172"/>
      <c r="T247" s="172"/>
      <c r="U247" s="172"/>
      <c r="V247" s="172"/>
      <c r="W247" s="172"/>
      <c r="X247" s="172"/>
      <c r="Y247" s="172"/>
      <c r="Z247" s="100"/>
      <c r="AA247" s="145"/>
      <c r="AB247" s="145"/>
      <c r="AC247" s="145"/>
      <c r="AD247" s="145"/>
      <c r="AE247" s="145"/>
    </row>
    <row r="248" spans="2:31" ht="17.5" x14ac:dyDescent="0.45">
      <c r="B248" s="165">
        <v>241</v>
      </c>
      <c r="C248" s="172"/>
      <c r="D248" s="172"/>
      <c r="E248" s="172"/>
      <c r="F248" s="172"/>
      <c r="G248" s="172"/>
      <c r="H248" s="172"/>
      <c r="I248" s="172"/>
      <c r="J248" s="172"/>
      <c r="K248" s="172"/>
      <c r="L248" s="172"/>
      <c r="M248" s="172"/>
      <c r="N248" s="172"/>
      <c r="O248" s="172"/>
      <c r="P248" s="172"/>
      <c r="Q248" s="172"/>
      <c r="R248" s="172"/>
      <c r="S248" s="172"/>
      <c r="T248" s="172"/>
      <c r="U248" s="172"/>
      <c r="V248" s="172"/>
      <c r="W248" s="172"/>
      <c r="X248" s="172"/>
      <c r="Y248" s="172"/>
      <c r="Z248" s="100"/>
      <c r="AA248" s="145"/>
      <c r="AB248" s="145"/>
      <c r="AC248" s="145"/>
      <c r="AD248" s="145"/>
      <c r="AE248" s="145"/>
    </row>
    <row r="249" spans="2:31" ht="17.5" x14ac:dyDescent="0.45">
      <c r="B249" s="165">
        <v>242</v>
      </c>
      <c r="C249" s="172"/>
      <c r="D249" s="172"/>
      <c r="E249" s="172"/>
      <c r="F249" s="172"/>
      <c r="G249" s="172"/>
      <c r="H249" s="172"/>
      <c r="I249" s="172"/>
      <c r="J249" s="172"/>
      <c r="K249" s="172"/>
      <c r="L249" s="172"/>
      <c r="M249" s="172"/>
      <c r="N249" s="172"/>
      <c r="O249" s="172"/>
      <c r="P249" s="172"/>
      <c r="Q249" s="172"/>
      <c r="R249" s="172"/>
      <c r="S249" s="172"/>
      <c r="T249" s="172"/>
      <c r="U249" s="172"/>
      <c r="V249" s="172"/>
      <c r="W249" s="172"/>
      <c r="X249" s="172"/>
      <c r="Y249" s="172"/>
      <c r="Z249" s="100"/>
      <c r="AA249" s="145"/>
      <c r="AB249" s="145"/>
      <c r="AC249" s="145"/>
      <c r="AD249" s="145"/>
      <c r="AE249" s="145"/>
    </row>
    <row r="250" spans="2:31" ht="17.5" x14ac:dyDescent="0.45">
      <c r="B250" s="165">
        <v>243</v>
      </c>
      <c r="C250" s="172"/>
      <c r="D250" s="172"/>
      <c r="E250" s="172"/>
      <c r="F250" s="172"/>
      <c r="G250" s="172"/>
      <c r="H250" s="172"/>
      <c r="I250" s="172"/>
      <c r="J250" s="172"/>
      <c r="K250" s="172"/>
      <c r="L250" s="172"/>
      <c r="M250" s="172"/>
      <c r="N250" s="172"/>
      <c r="O250" s="172"/>
      <c r="P250" s="172"/>
      <c r="Q250" s="172"/>
      <c r="R250" s="172"/>
      <c r="S250" s="172"/>
      <c r="T250" s="172"/>
      <c r="U250" s="172"/>
      <c r="V250" s="172"/>
      <c r="W250" s="172"/>
      <c r="X250" s="172"/>
      <c r="Y250" s="172"/>
      <c r="Z250" s="100"/>
      <c r="AA250" s="145"/>
      <c r="AB250" s="145"/>
      <c r="AC250" s="145"/>
      <c r="AD250" s="145"/>
      <c r="AE250" s="145"/>
    </row>
    <row r="251" spans="2:31" ht="17.5" x14ac:dyDescent="0.45">
      <c r="B251" s="165">
        <v>244</v>
      </c>
      <c r="C251" s="172"/>
      <c r="D251" s="172"/>
      <c r="E251" s="172"/>
      <c r="F251" s="172"/>
      <c r="G251" s="172"/>
      <c r="H251" s="172"/>
      <c r="I251" s="172"/>
      <c r="J251" s="172"/>
      <c r="K251" s="172"/>
      <c r="L251" s="172"/>
      <c r="M251" s="172"/>
      <c r="N251" s="172"/>
      <c r="O251" s="172"/>
      <c r="P251" s="172"/>
      <c r="Q251" s="172"/>
      <c r="R251" s="172"/>
      <c r="S251" s="172"/>
      <c r="T251" s="172"/>
      <c r="U251" s="172"/>
      <c r="V251" s="172"/>
      <c r="W251" s="172"/>
      <c r="X251" s="172"/>
      <c r="Y251" s="172"/>
      <c r="Z251" s="100"/>
      <c r="AA251" s="145"/>
      <c r="AB251" s="145"/>
      <c r="AC251" s="145"/>
      <c r="AD251" s="145"/>
      <c r="AE251" s="145"/>
    </row>
    <row r="252" spans="2:31" ht="17.5" x14ac:dyDescent="0.45">
      <c r="B252" s="165">
        <v>245</v>
      </c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  <c r="Z252" s="100"/>
      <c r="AA252" s="145"/>
      <c r="AB252" s="145"/>
      <c r="AC252" s="145"/>
      <c r="AD252" s="145"/>
      <c r="AE252" s="145"/>
    </row>
    <row r="253" spans="2:31" ht="17.5" x14ac:dyDescent="0.45">
      <c r="B253" s="165">
        <v>246</v>
      </c>
      <c r="C253" s="172"/>
      <c r="D253" s="172"/>
      <c r="E253" s="172"/>
      <c r="F253" s="172"/>
      <c r="G253" s="172"/>
      <c r="H253" s="172"/>
      <c r="I253" s="172"/>
      <c r="J253" s="172"/>
      <c r="K253" s="172"/>
      <c r="L253" s="172"/>
      <c r="M253" s="172"/>
      <c r="N253" s="172"/>
      <c r="O253" s="172"/>
      <c r="P253" s="172"/>
      <c r="Q253" s="172"/>
      <c r="R253" s="172"/>
      <c r="S253" s="172"/>
      <c r="T253" s="172"/>
      <c r="U253" s="172"/>
      <c r="V253" s="172"/>
      <c r="W253" s="172"/>
      <c r="X253" s="172"/>
      <c r="Y253" s="172"/>
      <c r="Z253" s="100"/>
      <c r="AA253" s="145"/>
      <c r="AB253" s="145"/>
      <c r="AC253" s="145"/>
      <c r="AD253" s="145"/>
      <c r="AE253" s="145"/>
    </row>
    <row r="254" spans="2:31" ht="17.5" x14ac:dyDescent="0.45">
      <c r="B254" s="165">
        <v>247</v>
      </c>
      <c r="C254" s="172"/>
      <c r="D254" s="172"/>
      <c r="E254" s="172"/>
      <c r="F254" s="172"/>
      <c r="G254" s="172"/>
      <c r="H254" s="172"/>
      <c r="I254" s="172"/>
      <c r="J254" s="172"/>
      <c r="K254" s="172"/>
      <c r="L254" s="172"/>
      <c r="M254" s="172"/>
      <c r="N254" s="172"/>
      <c r="O254" s="172"/>
      <c r="P254" s="172"/>
      <c r="Q254" s="172"/>
      <c r="R254" s="172"/>
      <c r="S254" s="172"/>
      <c r="T254" s="172"/>
      <c r="U254" s="172"/>
      <c r="V254" s="172"/>
      <c r="W254" s="172"/>
      <c r="X254" s="172"/>
      <c r="Y254" s="172"/>
      <c r="Z254" s="100"/>
      <c r="AA254" s="145"/>
      <c r="AB254" s="145"/>
      <c r="AC254" s="145"/>
      <c r="AD254" s="145"/>
      <c r="AE254" s="145"/>
    </row>
    <row r="255" spans="2:31" ht="17.5" x14ac:dyDescent="0.45">
      <c r="B255" s="165">
        <v>248</v>
      </c>
      <c r="C255" s="172"/>
      <c r="D255" s="172"/>
      <c r="E255" s="172"/>
      <c r="F255" s="172"/>
      <c r="G255" s="172"/>
      <c r="H255" s="172"/>
      <c r="I255" s="172"/>
      <c r="J255" s="172"/>
      <c r="K255" s="172"/>
      <c r="L255" s="172"/>
      <c r="M255" s="172"/>
      <c r="N255" s="172"/>
      <c r="O255" s="172"/>
      <c r="P255" s="172"/>
      <c r="Q255" s="172"/>
      <c r="R255" s="172"/>
      <c r="S255" s="172"/>
      <c r="T255" s="172"/>
      <c r="U255" s="172"/>
      <c r="V255" s="172"/>
      <c r="W255" s="172"/>
      <c r="X255" s="172"/>
      <c r="Y255" s="172"/>
      <c r="Z255" s="100"/>
      <c r="AA255" s="145"/>
      <c r="AB255" s="145"/>
      <c r="AC255" s="145"/>
      <c r="AD255" s="145"/>
      <c r="AE255" s="145"/>
    </row>
    <row r="256" spans="2:31" ht="17.5" x14ac:dyDescent="0.45">
      <c r="B256" s="165">
        <v>249</v>
      </c>
      <c r="C256" s="172"/>
      <c r="D256" s="172"/>
      <c r="E256" s="172"/>
      <c r="F256" s="172"/>
      <c r="G256" s="172"/>
      <c r="H256" s="172"/>
      <c r="I256" s="172"/>
      <c r="J256" s="172"/>
      <c r="K256" s="172"/>
      <c r="L256" s="172"/>
      <c r="M256" s="172"/>
      <c r="N256" s="172"/>
      <c r="O256" s="172"/>
      <c r="P256" s="172"/>
      <c r="Q256" s="172"/>
      <c r="R256" s="172"/>
      <c r="S256" s="172"/>
      <c r="T256" s="172"/>
      <c r="U256" s="172"/>
      <c r="V256" s="172"/>
      <c r="W256" s="172"/>
      <c r="X256" s="172"/>
      <c r="Y256" s="172"/>
      <c r="Z256" s="100"/>
      <c r="AA256" s="145"/>
      <c r="AB256" s="145"/>
      <c r="AC256" s="145"/>
      <c r="AD256" s="145"/>
      <c r="AE256" s="145"/>
    </row>
    <row r="257" spans="2:31" ht="17.5" x14ac:dyDescent="0.45">
      <c r="B257" s="165">
        <v>250</v>
      </c>
      <c r="C257" s="172"/>
      <c r="D257" s="172"/>
      <c r="E257" s="172"/>
      <c r="F257" s="172"/>
      <c r="G257" s="172"/>
      <c r="H257" s="172"/>
      <c r="I257" s="172"/>
      <c r="J257" s="172"/>
      <c r="K257" s="172"/>
      <c r="L257" s="172"/>
      <c r="M257" s="172"/>
      <c r="N257" s="172"/>
      <c r="O257" s="172"/>
      <c r="P257" s="172"/>
      <c r="Q257" s="172"/>
      <c r="R257" s="172"/>
      <c r="S257" s="172"/>
      <c r="T257" s="172"/>
      <c r="U257" s="172"/>
      <c r="V257" s="172"/>
      <c r="W257" s="172"/>
      <c r="X257" s="172"/>
      <c r="Y257" s="172"/>
      <c r="Z257" s="100"/>
      <c r="AA257" s="145"/>
      <c r="AB257" s="145"/>
      <c r="AC257" s="145"/>
      <c r="AD257" s="145"/>
      <c r="AE257" s="145"/>
    </row>
    <row r="258" spans="2:31" ht="17.5" x14ac:dyDescent="0.45">
      <c r="B258" s="165">
        <v>251</v>
      </c>
      <c r="C258" s="172"/>
      <c r="D258" s="172"/>
      <c r="E258" s="172"/>
      <c r="F258" s="172"/>
      <c r="G258" s="172"/>
      <c r="H258" s="172"/>
      <c r="I258" s="172"/>
      <c r="J258" s="172"/>
      <c r="K258" s="172"/>
      <c r="L258" s="172"/>
      <c r="M258" s="172"/>
      <c r="N258" s="172"/>
      <c r="O258" s="172"/>
      <c r="P258" s="172"/>
      <c r="Q258" s="172"/>
      <c r="R258" s="172"/>
      <c r="S258" s="172"/>
      <c r="T258" s="172"/>
      <c r="U258" s="172"/>
      <c r="V258" s="172"/>
      <c r="W258" s="172"/>
      <c r="X258" s="172"/>
      <c r="Y258" s="172"/>
      <c r="Z258" s="100"/>
      <c r="AA258" s="145"/>
      <c r="AB258" s="145"/>
      <c r="AC258" s="145"/>
      <c r="AD258" s="145"/>
      <c r="AE258" s="145"/>
    </row>
    <row r="259" spans="2:31" ht="17.5" x14ac:dyDescent="0.45">
      <c r="B259" s="165">
        <v>252</v>
      </c>
      <c r="C259" s="172"/>
      <c r="D259" s="172"/>
      <c r="E259" s="172"/>
      <c r="F259" s="172"/>
      <c r="G259" s="172"/>
      <c r="H259" s="172"/>
      <c r="I259" s="172"/>
      <c r="J259" s="172"/>
      <c r="K259" s="172"/>
      <c r="L259" s="172"/>
      <c r="M259" s="172"/>
      <c r="N259" s="172"/>
      <c r="O259" s="172"/>
      <c r="P259" s="172"/>
      <c r="Q259" s="172"/>
      <c r="R259" s="172"/>
      <c r="S259" s="172"/>
      <c r="T259" s="172"/>
      <c r="U259" s="172"/>
      <c r="V259" s="172"/>
      <c r="W259" s="172"/>
      <c r="X259" s="172"/>
      <c r="Y259" s="172"/>
      <c r="Z259" s="100"/>
      <c r="AA259" s="145"/>
      <c r="AB259" s="145"/>
      <c r="AC259" s="145"/>
      <c r="AD259" s="145"/>
      <c r="AE259" s="145"/>
    </row>
    <row r="260" spans="2:31" ht="17.5" x14ac:dyDescent="0.45">
      <c r="B260" s="165">
        <v>253</v>
      </c>
      <c r="C260" s="172"/>
      <c r="D260" s="172"/>
      <c r="E260" s="172"/>
      <c r="F260" s="172"/>
      <c r="G260" s="172"/>
      <c r="H260" s="172"/>
      <c r="I260" s="172"/>
      <c r="J260" s="172"/>
      <c r="K260" s="172"/>
      <c r="L260" s="172"/>
      <c r="M260" s="172"/>
      <c r="N260" s="172"/>
      <c r="O260" s="172"/>
      <c r="P260" s="172"/>
      <c r="Q260" s="172"/>
      <c r="R260" s="172"/>
      <c r="S260" s="172"/>
      <c r="T260" s="172"/>
      <c r="U260" s="172"/>
      <c r="V260" s="172"/>
      <c r="W260" s="172"/>
      <c r="X260" s="172"/>
      <c r="Y260" s="172"/>
      <c r="Z260" s="100"/>
      <c r="AA260" s="145"/>
      <c r="AB260" s="145"/>
      <c r="AC260" s="145"/>
      <c r="AD260" s="145"/>
      <c r="AE260" s="145"/>
    </row>
    <row r="261" spans="2:31" ht="17.5" x14ac:dyDescent="0.45">
      <c r="B261" s="165">
        <v>254</v>
      </c>
      <c r="C261" s="172"/>
      <c r="D261" s="172"/>
      <c r="E261" s="172"/>
      <c r="F261" s="172"/>
      <c r="G261" s="172"/>
      <c r="H261" s="172"/>
      <c r="I261" s="172"/>
      <c r="J261" s="172"/>
      <c r="K261" s="172"/>
      <c r="L261" s="172"/>
      <c r="M261" s="172"/>
      <c r="N261" s="172"/>
      <c r="O261" s="172"/>
      <c r="P261" s="172"/>
      <c r="Q261" s="172"/>
      <c r="R261" s="172"/>
      <c r="S261" s="172"/>
      <c r="T261" s="172"/>
      <c r="U261" s="172"/>
      <c r="V261" s="172"/>
      <c r="W261" s="172"/>
      <c r="X261" s="172"/>
      <c r="Y261" s="172"/>
      <c r="Z261" s="100"/>
      <c r="AA261" s="145"/>
      <c r="AB261" s="145"/>
      <c r="AC261" s="145"/>
      <c r="AD261" s="145"/>
      <c r="AE261" s="145"/>
    </row>
    <row r="262" spans="2:31" ht="17.5" x14ac:dyDescent="0.45">
      <c r="B262" s="165">
        <v>255</v>
      </c>
      <c r="C262" s="172"/>
      <c r="D262" s="172"/>
      <c r="E262" s="172"/>
      <c r="F262" s="172"/>
      <c r="G262" s="172"/>
      <c r="H262" s="172"/>
      <c r="I262" s="172"/>
      <c r="J262" s="172"/>
      <c r="K262" s="172"/>
      <c r="L262" s="172"/>
      <c r="M262" s="172"/>
      <c r="N262" s="172"/>
      <c r="O262" s="172"/>
      <c r="P262" s="172"/>
      <c r="Q262" s="172"/>
      <c r="R262" s="172"/>
      <c r="S262" s="172"/>
      <c r="T262" s="172"/>
      <c r="U262" s="172"/>
      <c r="V262" s="172"/>
      <c r="W262" s="172"/>
      <c r="X262" s="172"/>
      <c r="Y262" s="172"/>
      <c r="Z262" s="100"/>
      <c r="AA262" s="145"/>
      <c r="AB262" s="145"/>
      <c r="AC262" s="145"/>
      <c r="AD262" s="145"/>
      <c r="AE262" s="145"/>
    </row>
    <row r="263" spans="2:31" x14ac:dyDescent="0.45">
      <c r="B263" s="99"/>
    </row>
    <row r="264" spans="2:31" x14ac:dyDescent="0.45">
      <c r="B264" s="99"/>
    </row>
    <row r="265" spans="2:31" x14ac:dyDescent="0.45">
      <c r="B265" s="99"/>
    </row>
    <row r="266" spans="2:31" x14ac:dyDescent="0.45">
      <c r="B266" s="99"/>
    </row>
    <row r="267" spans="2:31" x14ac:dyDescent="0.45">
      <c r="B267" s="99"/>
    </row>
    <row r="268" spans="2:31" x14ac:dyDescent="0.45">
      <c r="B268" s="99"/>
    </row>
    <row r="269" spans="2:31" x14ac:dyDescent="0.45">
      <c r="B269" s="99"/>
    </row>
    <row r="270" spans="2:31" x14ac:dyDescent="0.45">
      <c r="B270" s="99"/>
    </row>
    <row r="271" spans="2:31" x14ac:dyDescent="0.45">
      <c r="B271" s="99"/>
    </row>
    <row r="272" spans="2:31" x14ac:dyDescent="0.45">
      <c r="B272" s="99"/>
    </row>
    <row r="273" spans="2:2" x14ac:dyDescent="0.45">
      <c r="B273" s="99"/>
    </row>
    <row r="274" spans="2:2" x14ac:dyDescent="0.45">
      <c r="B274" s="99"/>
    </row>
    <row r="275" spans="2:2" x14ac:dyDescent="0.45">
      <c r="B275" s="99"/>
    </row>
    <row r="276" spans="2:2" x14ac:dyDescent="0.45">
      <c r="B276" s="99"/>
    </row>
    <row r="277" spans="2:2" x14ac:dyDescent="0.45">
      <c r="B277" s="99"/>
    </row>
    <row r="278" spans="2:2" x14ac:dyDescent="0.45">
      <c r="B278" s="99"/>
    </row>
    <row r="279" spans="2:2" x14ac:dyDescent="0.45">
      <c r="B279" s="99"/>
    </row>
    <row r="280" spans="2:2" x14ac:dyDescent="0.45">
      <c r="B280" s="99"/>
    </row>
    <row r="281" spans="2:2" x14ac:dyDescent="0.45">
      <c r="B281" s="99"/>
    </row>
    <row r="282" spans="2:2" x14ac:dyDescent="0.45">
      <c r="B282" s="99"/>
    </row>
    <row r="283" spans="2:2" x14ac:dyDescent="0.45">
      <c r="B283" s="99"/>
    </row>
    <row r="284" spans="2:2" x14ac:dyDescent="0.45">
      <c r="B284" s="99"/>
    </row>
    <row r="285" spans="2:2" x14ac:dyDescent="0.45">
      <c r="B285" s="99"/>
    </row>
    <row r="286" spans="2:2" x14ac:dyDescent="0.45">
      <c r="B286" s="99"/>
    </row>
    <row r="287" spans="2:2" x14ac:dyDescent="0.45">
      <c r="B287" s="99"/>
    </row>
    <row r="288" spans="2:2" x14ac:dyDescent="0.45">
      <c r="B288" s="99"/>
    </row>
    <row r="289" spans="2:2" x14ac:dyDescent="0.45">
      <c r="B289" s="99"/>
    </row>
    <row r="290" spans="2:2" x14ac:dyDescent="0.45">
      <c r="B290" s="99"/>
    </row>
    <row r="291" spans="2:2" x14ac:dyDescent="0.45">
      <c r="B291" s="99"/>
    </row>
    <row r="292" spans="2:2" x14ac:dyDescent="0.45">
      <c r="B292" s="99"/>
    </row>
    <row r="293" spans="2:2" x14ac:dyDescent="0.45">
      <c r="B293" s="99"/>
    </row>
    <row r="294" spans="2:2" x14ac:dyDescent="0.45">
      <c r="B294" s="99"/>
    </row>
    <row r="295" spans="2:2" x14ac:dyDescent="0.45">
      <c r="B295" s="99"/>
    </row>
    <row r="296" spans="2:2" x14ac:dyDescent="0.45">
      <c r="B296" s="99"/>
    </row>
    <row r="297" spans="2:2" x14ac:dyDescent="0.45">
      <c r="B297" s="99"/>
    </row>
    <row r="298" spans="2:2" x14ac:dyDescent="0.45">
      <c r="B298" s="99"/>
    </row>
    <row r="299" spans="2:2" x14ac:dyDescent="0.45">
      <c r="B299" s="99"/>
    </row>
    <row r="300" spans="2:2" x14ac:dyDescent="0.45">
      <c r="B300" s="99"/>
    </row>
    <row r="301" spans="2:2" x14ac:dyDescent="0.45">
      <c r="B301" s="99"/>
    </row>
    <row r="302" spans="2:2" x14ac:dyDescent="0.45">
      <c r="B302" s="99"/>
    </row>
    <row r="303" spans="2:2" x14ac:dyDescent="0.45">
      <c r="B303" s="99"/>
    </row>
    <row r="304" spans="2:2" x14ac:dyDescent="0.45">
      <c r="B304" s="99"/>
    </row>
    <row r="305" spans="2:2" x14ac:dyDescent="0.45">
      <c r="B305" s="99"/>
    </row>
    <row r="306" spans="2:2" x14ac:dyDescent="0.45">
      <c r="B306" s="99"/>
    </row>
    <row r="307" spans="2:2" x14ac:dyDescent="0.45">
      <c r="B307" s="99"/>
    </row>
    <row r="308" spans="2:2" x14ac:dyDescent="0.45">
      <c r="B308" s="99"/>
    </row>
    <row r="309" spans="2:2" x14ac:dyDescent="0.45">
      <c r="B309" s="99"/>
    </row>
    <row r="310" spans="2:2" x14ac:dyDescent="0.45">
      <c r="B310" s="99"/>
    </row>
    <row r="311" spans="2:2" x14ac:dyDescent="0.45">
      <c r="B311" s="99"/>
    </row>
    <row r="312" spans="2:2" x14ac:dyDescent="0.45">
      <c r="B312" s="99"/>
    </row>
    <row r="313" spans="2:2" x14ac:dyDescent="0.45">
      <c r="B313" s="99"/>
    </row>
    <row r="314" spans="2:2" x14ac:dyDescent="0.45">
      <c r="B314" s="99"/>
    </row>
    <row r="315" spans="2:2" x14ac:dyDescent="0.45">
      <c r="B315" s="99"/>
    </row>
    <row r="316" spans="2:2" x14ac:dyDescent="0.45">
      <c r="B316" s="99"/>
    </row>
    <row r="317" spans="2:2" x14ac:dyDescent="0.45">
      <c r="B317" s="99"/>
    </row>
    <row r="318" spans="2:2" x14ac:dyDescent="0.45">
      <c r="B318" s="99"/>
    </row>
    <row r="319" spans="2:2" x14ac:dyDescent="0.45">
      <c r="B319" s="99"/>
    </row>
    <row r="320" spans="2:2" x14ac:dyDescent="0.45">
      <c r="B320" s="99"/>
    </row>
    <row r="321" spans="2:2" x14ac:dyDescent="0.45">
      <c r="B321" s="99"/>
    </row>
    <row r="322" spans="2:2" x14ac:dyDescent="0.45">
      <c r="B322" s="99"/>
    </row>
    <row r="323" spans="2:2" x14ac:dyDescent="0.45">
      <c r="B323" s="99"/>
    </row>
    <row r="324" spans="2:2" x14ac:dyDescent="0.45">
      <c r="B324" s="99"/>
    </row>
    <row r="325" spans="2:2" x14ac:dyDescent="0.45">
      <c r="B325" s="99"/>
    </row>
    <row r="326" spans="2:2" x14ac:dyDescent="0.45">
      <c r="B326" s="99"/>
    </row>
    <row r="327" spans="2:2" x14ac:dyDescent="0.45">
      <c r="B327" s="99"/>
    </row>
    <row r="328" spans="2:2" x14ac:dyDescent="0.45">
      <c r="B328" s="99"/>
    </row>
    <row r="329" spans="2:2" x14ac:dyDescent="0.45">
      <c r="B329" s="99"/>
    </row>
    <row r="330" spans="2:2" x14ac:dyDescent="0.45">
      <c r="B330" s="99"/>
    </row>
    <row r="331" spans="2:2" x14ac:dyDescent="0.45">
      <c r="B331" s="99"/>
    </row>
    <row r="332" spans="2:2" x14ac:dyDescent="0.45">
      <c r="B332" s="99"/>
    </row>
    <row r="333" spans="2:2" x14ac:dyDescent="0.45">
      <c r="B333" s="99"/>
    </row>
    <row r="334" spans="2:2" x14ac:dyDescent="0.45">
      <c r="B334" s="99"/>
    </row>
    <row r="335" spans="2:2" x14ac:dyDescent="0.45">
      <c r="B335" s="99"/>
    </row>
    <row r="336" spans="2:2" x14ac:dyDescent="0.45">
      <c r="B336" s="99"/>
    </row>
    <row r="337" spans="2:2" x14ac:dyDescent="0.45">
      <c r="B337" s="99"/>
    </row>
    <row r="338" spans="2:2" x14ac:dyDescent="0.45">
      <c r="B338" s="99"/>
    </row>
    <row r="339" spans="2:2" x14ac:dyDescent="0.45">
      <c r="B339" s="99"/>
    </row>
    <row r="340" spans="2:2" x14ac:dyDescent="0.45">
      <c r="B340" s="99"/>
    </row>
    <row r="341" spans="2:2" x14ac:dyDescent="0.45">
      <c r="B341" s="99"/>
    </row>
    <row r="342" spans="2:2" x14ac:dyDescent="0.45">
      <c r="B342" s="99"/>
    </row>
    <row r="343" spans="2:2" x14ac:dyDescent="0.45">
      <c r="B343" s="99"/>
    </row>
    <row r="344" spans="2:2" x14ac:dyDescent="0.45">
      <c r="B344" s="99"/>
    </row>
    <row r="345" spans="2:2" x14ac:dyDescent="0.45">
      <c r="B345" s="99"/>
    </row>
    <row r="346" spans="2:2" x14ac:dyDescent="0.45">
      <c r="B346" s="99"/>
    </row>
    <row r="347" spans="2:2" x14ac:dyDescent="0.45">
      <c r="B347" s="99"/>
    </row>
    <row r="348" spans="2:2" x14ac:dyDescent="0.45">
      <c r="B348" s="99"/>
    </row>
    <row r="349" spans="2:2" x14ac:dyDescent="0.45">
      <c r="B349" s="99"/>
    </row>
    <row r="350" spans="2:2" x14ac:dyDescent="0.45">
      <c r="B350" s="99"/>
    </row>
    <row r="351" spans="2:2" x14ac:dyDescent="0.45">
      <c r="B351" s="99"/>
    </row>
    <row r="352" spans="2:2" x14ac:dyDescent="0.45">
      <c r="B352" s="99"/>
    </row>
    <row r="353" spans="2:2" x14ac:dyDescent="0.45">
      <c r="B353" s="99"/>
    </row>
    <row r="354" spans="2:2" x14ac:dyDescent="0.45">
      <c r="B354" s="99"/>
    </row>
    <row r="355" spans="2:2" x14ac:dyDescent="0.45">
      <c r="B355" s="99"/>
    </row>
    <row r="356" spans="2:2" x14ac:dyDescent="0.45">
      <c r="B356" s="99"/>
    </row>
    <row r="357" spans="2:2" x14ac:dyDescent="0.45">
      <c r="B357" s="99"/>
    </row>
    <row r="358" spans="2:2" x14ac:dyDescent="0.45">
      <c r="B358" s="99"/>
    </row>
    <row r="359" spans="2:2" x14ac:dyDescent="0.45">
      <c r="B359" s="99"/>
    </row>
    <row r="360" spans="2:2" x14ac:dyDescent="0.45">
      <c r="B360" s="99"/>
    </row>
    <row r="361" spans="2:2" x14ac:dyDescent="0.45">
      <c r="B361" s="99"/>
    </row>
    <row r="362" spans="2:2" x14ac:dyDescent="0.45">
      <c r="B362" s="99"/>
    </row>
    <row r="363" spans="2:2" x14ac:dyDescent="0.45">
      <c r="B363" s="99"/>
    </row>
    <row r="364" spans="2:2" x14ac:dyDescent="0.45">
      <c r="B364" s="99"/>
    </row>
    <row r="365" spans="2:2" x14ac:dyDescent="0.45">
      <c r="B365" s="99"/>
    </row>
    <row r="366" spans="2:2" x14ac:dyDescent="0.45">
      <c r="B366" s="99"/>
    </row>
    <row r="367" spans="2:2" x14ac:dyDescent="0.45">
      <c r="B367" s="99"/>
    </row>
    <row r="368" spans="2:2" x14ac:dyDescent="0.45">
      <c r="B368" s="99"/>
    </row>
    <row r="369" spans="2:2" x14ac:dyDescent="0.45">
      <c r="B369" s="99"/>
    </row>
    <row r="370" spans="2:2" x14ac:dyDescent="0.45">
      <c r="B370" s="99"/>
    </row>
    <row r="371" spans="2:2" x14ac:dyDescent="0.45">
      <c r="B371" s="99"/>
    </row>
    <row r="372" spans="2:2" x14ac:dyDescent="0.45">
      <c r="B372" s="99"/>
    </row>
    <row r="373" spans="2:2" x14ac:dyDescent="0.45">
      <c r="B373" s="99"/>
    </row>
    <row r="374" spans="2:2" x14ac:dyDescent="0.45">
      <c r="B374" s="99"/>
    </row>
    <row r="375" spans="2:2" x14ac:dyDescent="0.45">
      <c r="B375" s="99"/>
    </row>
    <row r="376" spans="2:2" x14ac:dyDescent="0.45">
      <c r="B376" s="99"/>
    </row>
    <row r="377" spans="2:2" x14ac:dyDescent="0.45">
      <c r="B377" s="99"/>
    </row>
    <row r="378" spans="2:2" x14ac:dyDescent="0.45">
      <c r="B378" s="99"/>
    </row>
    <row r="379" spans="2:2" x14ac:dyDescent="0.45">
      <c r="B379" s="99"/>
    </row>
    <row r="380" spans="2:2" x14ac:dyDescent="0.45">
      <c r="B380" s="99"/>
    </row>
    <row r="381" spans="2:2" x14ac:dyDescent="0.45">
      <c r="B381" s="99"/>
    </row>
    <row r="382" spans="2:2" x14ac:dyDescent="0.45">
      <c r="B382" s="99"/>
    </row>
    <row r="383" spans="2:2" x14ac:dyDescent="0.45">
      <c r="B383" s="99"/>
    </row>
    <row r="384" spans="2:2" x14ac:dyDescent="0.45">
      <c r="B384" s="99"/>
    </row>
    <row r="385" spans="2:2" x14ac:dyDescent="0.45">
      <c r="B385" s="99"/>
    </row>
    <row r="386" spans="2:2" x14ac:dyDescent="0.45">
      <c r="B386" s="99"/>
    </row>
    <row r="387" spans="2:2" x14ac:dyDescent="0.45">
      <c r="B387" s="99"/>
    </row>
    <row r="388" spans="2:2" x14ac:dyDescent="0.45">
      <c r="B388" s="99"/>
    </row>
    <row r="389" spans="2:2" x14ac:dyDescent="0.45">
      <c r="B389" s="99"/>
    </row>
    <row r="390" spans="2:2" x14ac:dyDescent="0.45">
      <c r="B390" s="99"/>
    </row>
    <row r="391" spans="2:2" x14ac:dyDescent="0.45">
      <c r="B391" s="99"/>
    </row>
    <row r="392" spans="2:2" x14ac:dyDescent="0.45">
      <c r="B392" s="99"/>
    </row>
    <row r="393" spans="2:2" x14ac:dyDescent="0.45">
      <c r="B393" s="99"/>
    </row>
    <row r="394" spans="2:2" x14ac:dyDescent="0.45">
      <c r="B394" s="99"/>
    </row>
    <row r="395" spans="2:2" x14ac:dyDescent="0.45">
      <c r="B395" s="99"/>
    </row>
    <row r="396" spans="2:2" x14ac:dyDescent="0.45">
      <c r="B396" s="99"/>
    </row>
    <row r="397" spans="2:2" x14ac:dyDescent="0.45">
      <c r="B397" s="99"/>
    </row>
    <row r="398" spans="2:2" x14ac:dyDescent="0.45">
      <c r="B398" s="99"/>
    </row>
    <row r="399" spans="2:2" x14ac:dyDescent="0.45">
      <c r="B399" s="99"/>
    </row>
    <row r="400" spans="2:2" x14ac:dyDescent="0.45">
      <c r="B400" s="99"/>
    </row>
    <row r="401" spans="2:2" x14ac:dyDescent="0.45">
      <c r="B401" s="99"/>
    </row>
    <row r="402" spans="2:2" x14ac:dyDescent="0.45">
      <c r="B402" s="99"/>
    </row>
    <row r="403" spans="2:2" x14ac:dyDescent="0.45">
      <c r="B403" s="99"/>
    </row>
    <row r="404" spans="2:2" x14ac:dyDescent="0.45">
      <c r="B404" s="99"/>
    </row>
    <row r="405" spans="2:2" x14ac:dyDescent="0.45">
      <c r="B405" s="99"/>
    </row>
    <row r="406" spans="2:2" x14ac:dyDescent="0.45">
      <c r="B406" s="99"/>
    </row>
    <row r="407" spans="2:2" x14ac:dyDescent="0.45">
      <c r="B407" s="99"/>
    </row>
    <row r="408" spans="2:2" x14ac:dyDescent="0.45">
      <c r="B408" s="99"/>
    </row>
    <row r="409" spans="2:2" x14ac:dyDescent="0.45">
      <c r="B409" s="99"/>
    </row>
    <row r="410" spans="2:2" x14ac:dyDescent="0.45">
      <c r="B410" s="99"/>
    </row>
    <row r="411" spans="2:2" x14ac:dyDescent="0.45">
      <c r="B411" s="99"/>
    </row>
  </sheetData>
  <mergeCells count="1">
    <mergeCell ref="AA3:AE3"/>
  </mergeCells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Register_Table</vt:lpstr>
      <vt:lpstr>Register_(mode)</vt:lpstr>
      <vt:lpstr>Test Mux Table</vt:lpstr>
      <vt:lpstr>Boad</vt:lpstr>
      <vt:lpstr>Sim_Data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김 영훈</cp:lastModifiedBy>
  <dcterms:created xsi:type="dcterms:W3CDTF">2015-06-05T18:19:34Z</dcterms:created>
  <dcterms:modified xsi:type="dcterms:W3CDTF">2026-09-11T01:52:08Z</dcterms:modified>
</cp:coreProperties>
</file>