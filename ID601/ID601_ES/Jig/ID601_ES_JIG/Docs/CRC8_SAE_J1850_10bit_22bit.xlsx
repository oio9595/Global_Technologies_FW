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990A0AC-D8E1-4952-A52E-E0F8E6F8960A}" xr6:coauthVersionLast="47" xr6:coauthVersionMax="47" xr10:uidLastSave="{00000000-0000-0000-0000-000000000000}"/>
  <bookViews>
    <workbookView xWindow="17715" yWindow="1485" windowWidth="16710" windowHeight="17265" xr2:uid="{00000000-000D-0000-FFFF-FFFF00000000}"/>
  </bookViews>
  <sheets>
    <sheet name="CRC8_SAE_10bit" sheetId="1" r:id="rId1"/>
    <sheet name="CRC8_SAE_22b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E5" i="2"/>
  <c r="S4" i="2"/>
  <c r="Z4" i="2"/>
  <c r="Y4" i="2"/>
  <c r="X4" i="2"/>
  <c r="W4" i="2"/>
  <c r="V4" i="2"/>
  <c r="U4" i="2"/>
  <c r="T4" i="2"/>
  <c r="N5" i="1"/>
  <c r="M5" i="1"/>
  <c r="L5" i="1"/>
  <c r="K5" i="1"/>
  <c r="J5" i="1"/>
  <c r="I5" i="1"/>
  <c r="H5" i="1"/>
  <c r="G5" i="1"/>
  <c r="F5" i="1"/>
  <c r="E5" i="1"/>
  <c r="N4" i="1"/>
  <c r="M4" i="1"/>
  <c r="L4" i="1"/>
  <c r="K4" i="1"/>
  <c r="J4" i="1"/>
  <c r="I4" i="1"/>
  <c r="H4" i="1"/>
  <c r="G4" i="1"/>
  <c r="C10" i="2" l="1"/>
  <c r="T6" i="2" s="1"/>
  <c r="C9" i="2"/>
  <c r="S6" i="2" s="1"/>
  <c r="C11" i="2"/>
  <c r="U6" i="2" s="1"/>
  <c r="C15" i="2"/>
  <c r="Y6" i="2" s="1"/>
  <c r="C13" i="2"/>
  <c r="C14" i="2"/>
  <c r="X6" i="2" s="1"/>
  <c r="C16" i="2"/>
  <c r="Z6" i="2" s="1"/>
  <c r="C12" i="2"/>
  <c r="V6" i="2"/>
  <c r="W6" i="2"/>
  <c r="C15" i="1"/>
  <c r="M6" i="1" s="1"/>
  <c r="C14" i="1"/>
  <c r="L6" i="1" s="1"/>
  <c r="C16" i="1"/>
  <c r="N6" i="1" s="1"/>
  <c r="C11" i="1"/>
  <c r="I6" i="1" s="1"/>
  <c r="C10" i="1"/>
  <c r="H6" i="1" s="1"/>
  <c r="C12" i="1"/>
  <c r="J6" i="1" s="1"/>
  <c r="C13" i="1"/>
  <c r="K6" i="1" s="1"/>
  <c r="C9" i="1"/>
  <c r="G6" i="1" s="1"/>
  <c r="C6" i="2" l="1"/>
  <c r="C6" i="1"/>
</calcChain>
</file>

<file path=xl/sharedStrings.xml><?xml version="1.0" encoding="utf-8"?>
<sst xmlns="http://schemas.openxmlformats.org/spreadsheetml/2006/main" count="65" uniqueCount="42">
  <si>
    <t>CRC-8 SAE J1850 / IC603 10-bit Payload</t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</si>
  <si>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</si>
  <si>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</si>
  <si>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</si>
  <si>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</si>
  <si>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</si>
  <si>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</si>
  <si>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</si>
  <si>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</si>
  <si>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</si>
  <si>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</si>
  <si>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RAW CRC</t>
  </si>
  <si>
    <t>raw_crc[7]</t>
  </si>
  <si>
    <t>raw_crc[6]</t>
  </si>
  <si>
    <t>raw_crc[5]</t>
  </si>
  <si>
    <t>raw_crc[4]</t>
  </si>
  <si>
    <t>raw_crc[3]</t>
  </si>
  <si>
    <t>raw_crc[2]</t>
  </si>
  <si>
    <t>raw_crc[1]</t>
  </si>
  <si>
    <t>raw_crc[0]</t>
  </si>
  <si>
    <t>0xFF</t>
    <phoneticPr fontId="3" type="noConversion"/>
  </si>
  <si>
    <t>INIT[7:0]</t>
    <phoneticPr fontId="3" type="noConversion"/>
  </si>
  <si>
    <t>DATA[9:0]</t>
    <phoneticPr fontId="3" type="noConversion"/>
  </si>
  <si>
    <t>CRC[7:0]</t>
    <phoneticPr fontId="3" type="noConversion"/>
  </si>
  <si>
    <t>bit10</t>
    <phoneticPr fontId="3" type="noConversion"/>
  </si>
  <si>
    <t>bit11</t>
    <phoneticPr fontId="3" type="noConversion"/>
  </si>
  <si>
    <t>bit12</t>
    <phoneticPr fontId="3" type="noConversion"/>
  </si>
  <si>
    <t>bit13</t>
    <phoneticPr fontId="3" type="noConversion"/>
  </si>
  <si>
    <t>bit14</t>
    <phoneticPr fontId="3" type="noConversion"/>
  </si>
  <si>
    <t>bit15</t>
    <phoneticPr fontId="3" type="noConversion"/>
  </si>
  <si>
    <t>bit16</t>
    <phoneticPr fontId="3" type="noConversion"/>
  </si>
  <si>
    <t>bit17</t>
    <phoneticPr fontId="3" type="noConversion"/>
  </si>
  <si>
    <t>bit18</t>
    <phoneticPr fontId="3" type="noConversion"/>
  </si>
  <si>
    <t>bit19</t>
    <phoneticPr fontId="3" type="noConversion"/>
  </si>
  <si>
    <t>bit20</t>
    <phoneticPr fontId="3" type="noConversion"/>
  </si>
  <si>
    <t>bit21</t>
    <phoneticPr fontId="3" type="noConversion"/>
  </si>
  <si>
    <t>DATA[21:0]</t>
    <phoneticPr fontId="3" type="noConversion"/>
  </si>
  <si>
    <t>CRC-8 SAE J1850 / IC603 22-bit Payload</t>
    <phoneticPr fontId="3" type="noConversion"/>
  </si>
  <si>
    <t>INIT : 고정</t>
    <phoneticPr fontId="3" type="noConversion"/>
  </si>
  <si>
    <t>INIT는 고정값, 
DATA를 입력하면 CRC가 계산됨</t>
    <phoneticPr fontId="3" type="noConversion"/>
  </si>
  <si>
    <t>0x101</t>
    <phoneticPr fontId="3" type="noConversion"/>
  </si>
  <si>
    <t>0x00ff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</si>
</sst>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/>
      <diagonal/>
    </border>
    <border>
      <left style="thin">
        <color rgb="FF999999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0" borderId="13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pane xSplit="4" ySplit="3" topLeftCell="E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2.5" customWidth="1"/>
    <col min="2" max="2" width="13" customWidth="1"/>
    <col min="3" max="3" width="10.125" customWidth="1"/>
    <col min="4" max="4" width="2.5" customWidth="1"/>
    <col min="5" max="14" width="7.75" customWidth="1"/>
  </cols>
  <sheetData>
    <row r="1" spans="1:14" ht="20.25" x14ac:dyDescent="0.35">
      <c r="B1" s="1" t="s">
        <v>0</v>
      </c>
    </row>
    <row r="2" spans="1:14" ht="17.25" thickBot="1" x14ac:dyDescent="0.35">
      <c r="C2" s="30" t="s">
        <v>39</v>
      </c>
    </row>
    <row r="3" spans="1:14" x14ac:dyDescent="0.3">
      <c r="B3" s="16"/>
      <c r="C3" s="17"/>
      <c r="D3" s="17"/>
      <c r="E3" s="17" t="s">
        <v>1</v>
      </c>
      <c r="F3" s="17" t="s">
        <v>2</v>
      </c>
      <c r="G3" s="18" t="s">
        <v>3</v>
      </c>
      <c r="H3" s="18" t="s">
        <v>4</v>
      </c>
      <c r="I3" s="18" t="s">
        <v>5</v>
      </c>
      <c r="J3" s="18" t="s">
        <v>6</v>
      </c>
      <c r="K3" s="19" t="s">
        <v>7</v>
      </c>
      <c r="L3" s="19" t="s">
        <v>8</v>
      </c>
      <c r="M3" s="19" t="s">
        <v>9</v>
      </c>
      <c r="N3" s="20" t="s">
        <v>10</v>
      </c>
    </row>
    <row r="4" spans="1:14" x14ac:dyDescent="0.3">
      <c r="A4" s="30" t="s">
        <v>38</v>
      </c>
      <c r="B4" s="21" t="s">
        <v>21</v>
      </c>
      <c r="C4" s="3" t="s">
        <v>20</v>
      </c>
      <c r="D4" s="2"/>
      <c r="G4" s="4">
        <f>--MID(DEC2BIN(HEX2DEC(SUBSTITUTE(UPPER($C$4),"0X","")),8),1,1)</f>
        <v>1</v>
      </c>
      <c r="H4" s="4">
        <f>--MID(DEC2BIN(HEX2DEC(SUBSTITUTE(UPPER($C$4),"0X","")),8),2,1)</f>
        <v>1</v>
      </c>
      <c r="I4" s="4">
        <f>--MID(DEC2BIN(HEX2DEC(SUBSTITUTE(UPPER($C$4),"0X","")),8),3,1)</f>
        <v>1</v>
      </c>
      <c r="J4" s="4">
        <f>--MID(DEC2BIN(HEX2DEC(SUBSTITUTE(UPPER($C$4),"0X","")),8),4,1)</f>
        <v>1</v>
      </c>
      <c r="K4" s="5">
        <f>--MID(DEC2BIN(HEX2DEC(SUBSTITUTE(UPPER($C$4),"0X","")),8),5,1)</f>
        <v>1</v>
      </c>
      <c r="L4" s="5">
        <f>--MID(DEC2BIN(HEX2DEC(SUBSTITUTE(UPPER($C$4),"0X","")),8),6,1)</f>
        <v>1</v>
      </c>
      <c r="M4" s="5">
        <f>--MID(DEC2BIN(HEX2DEC(SUBSTITUTE(UPPER($C$4),"0X","")),8),7,1)</f>
        <v>1</v>
      </c>
      <c r="N4" s="22">
        <f>--MID(DEC2BIN(HEX2DEC(SUBSTITUTE(UPPER($C$4),"0X","")),8),8,1)</f>
        <v>1</v>
      </c>
    </row>
    <row r="5" spans="1:14" x14ac:dyDescent="0.3">
      <c r="B5" s="21" t="s">
        <v>22</v>
      </c>
      <c r="C5" s="3" t="s">
        <v>40</v>
      </c>
      <c r="D5" s="2"/>
      <c r="E5" s="2">
        <f>--MID(DEC2BIN(HEX2DEC(SUBSTITUTE(UPPER($C$5),"0X","")),10),1,1)</f>
        <v>0</v>
      </c>
      <c r="F5" s="2">
        <f>--MID(DEC2BIN(HEX2DEC(SUBSTITUTE(UPPER($C$5),"0X","")),10),2,1)</f>
        <v>1</v>
      </c>
      <c r="G5" s="4">
        <f>--MID(DEC2BIN(HEX2DEC(SUBSTITUTE(UPPER($C$5),"0X","")),10),3,1)</f>
        <v>0</v>
      </c>
      <c r="H5" s="4">
        <f>--MID(DEC2BIN(HEX2DEC(SUBSTITUTE(UPPER($C$5),"0X","")),10),4,1)</f>
        <v>0</v>
      </c>
      <c r="I5" s="4">
        <f>--MID(DEC2BIN(HEX2DEC(SUBSTITUTE(UPPER($C$5),"0X","")),10),5,1)</f>
        <v>0</v>
      </c>
      <c r="J5" s="4">
        <f>--MID(DEC2BIN(HEX2DEC(SUBSTITUTE(UPPER($C$5),"0X","")),10),6,1)</f>
        <v>0</v>
      </c>
      <c r="K5" s="5">
        <f>--MID(DEC2BIN(HEX2DEC(SUBSTITUTE(UPPER($C$5),"0X","")),10),7,1)</f>
        <v>0</v>
      </c>
      <c r="L5" s="5">
        <f>--MID(DEC2BIN(HEX2DEC(SUBSTITUTE(UPPER($C$5),"0X","")),10),8,1)</f>
        <v>0</v>
      </c>
      <c r="M5" s="5">
        <f>--MID(DEC2BIN(HEX2DEC(SUBSTITUTE(UPPER($C$5),"0X","")),10),9,1)</f>
        <v>0</v>
      </c>
      <c r="N5" s="22">
        <f>--MID(DEC2BIN(HEX2DEC(SUBSTITUTE(UPPER($C$5),"0X","")),10),10,1)</f>
        <v>1</v>
      </c>
    </row>
    <row r="6" spans="1:14" ht="17.25" thickBot="1" x14ac:dyDescent="0.35">
      <c r="B6" s="23" t="s">
        <v>23</v>
      </c>
      <c r="C6" s="24" t="str">
        <f>"0x"&amp;DEC2HEX(BIN2DEC(G6&amp;H6&amp;I6&amp;J6&amp;K6&amp;L6&amp;M6&amp;N6),2)</f>
        <v>0x99</v>
      </c>
      <c r="D6" s="25"/>
      <c r="E6" s="25"/>
      <c r="F6" s="25"/>
      <c r="G6" s="26">
        <f>--_xlfn.XOR(C9,1)</f>
        <v>1</v>
      </c>
      <c r="H6" s="26">
        <f>--_xlfn.XOR(C10,1)</f>
        <v>0</v>
      </c>
      <c r="I6" s="26">
        <f>--_xlfn.XOR(1,C11)</f>
        <v>0</v>
      </c>
      <c r="J6" s="26">
        <f>--_xlfn.XOR(C12,10)</f>
        <v>1</v>
      </c>
      <c r="K6" s="27">
        <f>--_xlfn.XOR(1,C13)</f>
        <v>1</v>
      </c>
      <c r="L6" s="27">
        <f>--_xlfn.XOR(C14,1)</f>
        <v>0</v>
      </c>
      <c r="M6" s="27">
        <f>--_xlfn.XOR(1,C15)</f>
        <v>0</v>
      </c>
      <c r="N6" s="28">
        <f>--_xlfn.XOR(1,C16)</f>
        <v>1</v>
      </c>
    </row>
    <row r="7" spans="1:14" x14ac:dyDescent="0.3">
      <c r="B7" s="42"/>
      <c r="C7" s="43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x14ac:dyDescent="0.3">
      <c r="B8" s="44" t="s">
        <v>11</v>
      </c>
      <c r="C8" s="44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B9" s="45" t="s">
        <v>12</v>
      </c>
      <c r="C9" s="45">
        <f>--_xlfn.XOR(M4,L4,K4,G4,K5,J5,I5,E5)</f>
        <v>0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x14ac:dyDescent="0.3">
      <c r="B10" s="45" t="s">
        <v>13</v>
      </c>
      <c r="C10" s="45">
        <f>--_xlfn.XOR(N4,M4,L4,H4,L5,K5,J5,F5)</f>
        <v>1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x14ac:dyDescent="0.3">
      <c r="B11" s="45" t="s">
        <v>14</v>
      </c>
      <c r="C11" s="46">
        <f>--_xlfn.XOR(N4,M4,I4,M5,L5,K5,G5)</f>
        <v>1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 spans="1:14" x14ac:dyDescent="0.3">
      <c r="B12" s="45" t="s">
        <v>15</v>
      </c>
      <c r="C12" s="45">
        <f>--_xlfn.XOR(N4,J4,G4,N5,M5,L5,H5,E5)</f>
        <v>0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spans="1:14" x14ac:dyDescent="0.3">
      <c r="B13" s="45" t="s">
        <v>16</v>
      </c>
      <c r="C13" s="45">
        <f>--_xlfn.XOR(M4,L4,H4,G4,N5,M5,K5,J5,F5,E5)</f>
        <v>0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 spans="1:14" x14ac:dyDescent="0.3">
      <c r="B14" s="45" t="s">
        <v>17</v>
      </c>
      <c r="C14" s="45">
        <f>--_xlfn.XOR(N4,L4,K4,I4,H4,N5,L5,J5,I5,G5,F5)</f>
        <v>1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</row>
    <row r="15" spans="1:14" x14ac:dyDescent="0.3">
      <c r="B15" s="45" t="s">
        <v>18</v>
      </c>
      <c r="C15" s="45">
        <f>--_xlfn.XOR(K4,J4,I4,M5,I5,H5,G5)</f>
        <v>1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 spans="1:14" x14ac:dyDescent="0.3">
      <c r="B16" s="45" t="s">
        <v>19</v>
      </c>
      <c r="C16" s="45">
        <f>--_xlfn.XOR(L4,K4,J4,N5,J5,I5,H5)</f>
        <v>0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9" spans="2:2" x14ac:dyDescent="0.3">
      <c r="B19" s="30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0E00-74AF-4D2A-81DD-2C254D4E2974}">
  <dimension ref="A1:Z17"/>
  <sheetViews>
    <sheetView zoomScaleNormal="100" workbookViewId="0">
      <selection activeCell="B38" sqref="B38"/>
    </sheetView>
  </sheetViews>
  <sheetFormatPr defaultRowHeight="16.5" x14ac:dyDescent="0.3"/>
  <cols>
    <col min="1" max="1" width="14.875" customWidth="1"/>
    <col min="2" max="2" width="13" customWidth="1"/>
    <col min="3" max="3" width="10.125" customWidth="1"/>
    <col min="4" max="4" width="2.5" customWidth="1"/>
    <col min="5" max="26" width="4" style="7" customWidth="1"/>
    <col min="27" max="27" width="5.75" customWidth="1"/>
  </cols>
  <sheetData>
    <row r="1" spans="1:26" ht="20.25" x14ac:dyDescent="0.35">
      <c r="B1" s="1" t="s">
        <v>37</v>
      </c>
    </row>
    <row r="2" spans="1:26" ht="17.25" thickBot="1" x14ac:dyDescent="0.35">
      <c r="B2" s="30" t="s">
        <v>39</v>
      </c>
    </row>
    <row r="3" spans="1:26" ht="33" x14ac:dyDescent="0.3">
      <c r="B3" s="16"/>
      <c r="C3" s="17"/>
      <c r="D3" s="17"/>
      <c r="E3" s="31" t="s">
        <v>35</v>
      </c>
      <c r="F3" s="31" t="s">
        <v>34</v>
      </c>
      <c r="G3" s="32" t="s">
        <v>33</v>
      </c>
      <c r="H3" s="32" t="s">
        <v>32</v>
      </c>
      <c r="I3" s="32" t="s">
        <v>31</v>
      </c>
      <c r="J3" s="32" t="s">
        <v>30</v>
      </c>
      <c r="K3" s="33" t="s">
        <v>29</v>
      </c>
      <c r="L3" s="33" t="s">
        <v>28</v>
      </c>
      <c r="M3" s="33" t="s">
        <v>27</v>
      </c>
      <c r="N3" s="33" t="s">
        <v>26</v>
      </c>
      <c r="O3" s="34" t="s">
        <v>25</v>
      </c>
      <c r="P3" s="34" t="s">
        <v>24</v>
      </c>
      <c r="Q3" s="34" t="s">
        <v>1</v>
      </c>
      <c r="R3" s="34" t="s">
        <v>2</v>
      </c>
      <c r="S3" s="32" t="s">
        <v>3</v>
      </c>
      <c r="T3" s="32" t="s">
        <v>4</v>
      </c>
      <c r="U3" s="32" t="s">
        <v>5</v>
      </c>
      <c r="V3" s="32" t="s">
        <v>6</v>
      </c>
      <c r="W3" s="33" t="s">
        <v>7</v>
      </c>
      <c r="X3" s="33" t="s">
        <v>8</v>
      </c>
      <c r="Y3" s="33" t="s">
        <v>9</v>
      </c>
      <c r="Z3" s="35" t="s">
        <v>10</v>
      </c>
    </row>
    <row r="4" spans="1:26" x14ac:dyDescent="0.3">
      <c r="A4" s="30"/>
      <c r="B4" s="21" t="s">
        <v>21</v>
      </c>
      <c r="C4" s="47" t="s">
        <v>20</v>
      </c>
      <c r="D4" s="9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5"/>
      <c r="S4" s="10">
        <f>--MID(DEC2BIN(HEX2DEC(SUBSTITUTE(UPPER($C$4),"0X","")),8),1,1)</f>
        <v>1</v>
      </c>
      <c r="T4" s="10">
        <f>--MID(DEC2BIN(HEX2DEC(SUBSTITUTE(UPPER($C$4),"0X","")),8),2,1)</f>
        <v>1</v>
      </c>
      <c r="U4" s="10">
        <f>--MID(DEC2BIN(HEX2DEC(SUBSTITUTE(UPPER($C$4),"0X","")),8),3,1)</f>
        <v>1</v>
      </c>
      <c r="V4" s="10">
        <f>--MID(DEC2BIN(HEX2DEC(SUBSTITUTE(UPPER($C$4),"0X","")),8),4,1)</f>
        <v>1</v>
      </c>
      <c r="W4" s="11">
        <f>--MID(DEC2BIN(HEX2DEC(SUBSTITUTE(UPPER($C$4),"0X","")),8),5,1)</f>
        <v>1</v>
      </c>
      <c r="X4" s="11">
        <f>--MID(DEC2BIN(HEX2DEC(SUBSTITUTE(UPPER($C$4),"0X","")),8),6,1)</f>
        <v>1</v>
      </c>
      <c r="Y4" s="11">
        <f>--MID(DEC2BIN(HEX2DEC(SUBSTITUTE(UPPER($C$4),"0X","")),8),7,1)</f>
        <v>1</v>
      </c>
      <c r="Z4" s="36">
        <f>--MID(DEC2BIN(HEX2DEC(SUBSTITUTE(UPPER($C$4),"0X","")),8),8,1)</f>
        <v>1</v>
      </c>
    </row>
    <row r="5" spans="1:26" x14ac:dyDescent="0.3">
      <c r="A5" s="7"/>
      <c r="B5" s="21" t="s">
        <v>36</v>
      </c>
      <c r="C5" s="48" t="s">
        <v>41</v>
      </c>
      <c r="D5" s="9"/>
      <c r="E5" s="13">
        <f>--(_xlfn.BITAND(HEX2DEC(SUBSTITUTE(UPPER($C$5),"0X","")),2^(22-COLUMNS($E:E)))&lt;&gt;0)</f>
        <v>0</v>
      </c>
      <c r="F5" s="13">
        <f>--(_xlfn.BITAND(HEX2DEC(SUBSTITUTE(UPPER($C$5),"0X","")),2^(22-COLUMNS($E:F)))&lt;&gt;0)</f>
        <v>0</v>
      </c>
      <c r="G5" s="10">
        <f>--(_xlfn.BITAND(HEX2DEC(SUBSTITUTE(UPPER($C$5),"0X","")),2^(22-COLUMNS($E:G)))&lt;&gt;0)</f>
        <v>0</v>
      </c>
      <c r="H5" s="10">
        <f>--(_xlfn.BITAND(HEX2DEC(SUBSTITUTE(UPPER($C$5),"0X","")),2^(22-COLUMNS($E:H)))&lt;&gt;0)</f>
        <v>0</v>
      </c>
      <c r="I5" s="10">
        <f>--(_xlfn.BITAND(HEX2DEC(SUBSTITUTE(UPPER($C$5),"0X","")),2^(22-COLUMNS($E:I)))&lt;&gt;0)</f>
        <v>0</v>
      </c>
      <c r="J5" s="10">
        <f>--(_xlfn.BITAND(HEX2DEC(SUBSTITUTE(UPPER($C$5),"0X","")),2^(22-COLUMNS($E:J)))&lt;&gt;0)</f>
        <v>0</v>
      </c>
      <c r="K5" s="11">
        <f>--(_xlfn.BITAND(HEX2DEC(SUBSTITUTE(UPPER($C$5),"0X","")),2^(22-COLUMNS($E:K)))&lt;&gt;0)</f>
        <v>0</v>
      </c>
      <c r="L5" s="11">
        <f>--(_xlfn.BITAND(HEX2DEC(SUBSTITUTE(UPPER($C$5),"0X","")),2^(22-COLUMNS($E:L)))&lt;&gt;0)</f>
        <v>0</v>
      </c>
      <c r="M5" s="11">
        <f>--(_xlfn.BITAND(HEX2DEC(SUBSTITUTE(UPPER($C$5),"0X","")),2^(22-COLUMNS($E:M)))&lt;&gt;0)</f>
        <v>0</v>
      </c>
      <c r="N5" s="11">
        <f>--(_xlfn.BITAND(HEX2DEC(SUBSTITUTE(UPPER($C$5),"0X","")),2^(22-COLUMNS($E:N)))&lt;&gt;0)</f>
        <v>0</v>
      </c>
      <c r="O5" s="12">
        <f>--(_xlfn.BITAND(HEX2DEC(SUBSTITUTE(UPPER($C$5),"0X","")),2^(22-COLUMNS($E:O)))&lt;&gt;0)</f>
        <v>0</v>
      </c>
      <c r="P5" s="12">
        <f>--(_xlfn.BITAND(HEX2DEC(SUBSTITUTE(UPPER($C$5),"0X","")),2^(22-COLUMNS($E:P)))&lt;&gt;0)</f>
        <v>0</v>
      </c>
      <c r="Q5" s="12">
        <f>--(_xlfn.BITAND(HEX2DEC(SUBSTITUTE(UPPER($C$5),"0X","")),2^(22-COLUMNS($E:Q)))&lt;&gt;0)</f>
        <v>0</v>
      </c>
      <c r="R5" s="12">
        <f>--(_xlfn.BITAND(HEX2DEC(SUBSTITUTE(UPPER($C$5),"0X","")),2^(22-COLUMNS($E:R)))&lt;&gt;0)</f>
        <v>0</v>
      </c>
      <c r="S5" s="10">
        <f>--(_xlfn.BITAND(HEX2DEC(SUBSTITUTE(UPPER($C$5),"0X","")),2^(22-COLUMNS($E:S)))&lt;&gt;0)</f>
        <v>1</v>
      </c>
      <c r="T5" s="10">
        <f>--(_xlfn.BITAND(HEX2DEC(SUBSTITUTE(UPPER($C$5),"0X","")),2^(22-COLUMNS($E:T)))&lt;&gt;0)</f>
        <v>1</v>
      </c>
      <c r="U5" s="10">
        <f>--(_xlfn.BITAND(HEX2DEC(SUBSTITUTE(UPPER($C$5),"0X","")),2^(22-COLUMNS($E:U)))&lt;&gt;0)</f>
        <v>1</v>
      </c>
      <c r="V5" s="10">
        <f>--(_xlfn.BITAND(HEX2DEC(SUBSTITUTE(UPPER($C$5),"0X","")),2^(22-COLUMNS($E:V)))&lt;&gt;0)</f>
        <v>1</v>
      </c>
      <c r="W5" s="11">
        <f>--(_xlfn.BITAND(HEX2DEC(SUBSTITUTE(UPPER($C$5),"0X","")),2^(22-COLUMNS($E:W)))&lt;&gt;0)</f>
        <v>1</v>
      </c>
      <c r="X5" s="11">
        <f>--(_xlfn.BITAND(HEX2DEC(SUBSTITUTE(UPPER($C$5),"0X","")),2^(22-COLUMNS($E:X)))&lt;&gt;0)</f>
        <v>1</v>
      </c>
      <c r="Y5" s="11">
        <f>--(_xlfn.BITAND(HEX2DEC(SUBSTITUTE(UPPER($C$5),"0X","")),2^(22-COLUMNS($E:Y)))&lt;&gt;0)</f>
        <v>1</v>
      </c>
      <c r="Z5" s="36">
        <f>--(_xlfn.BITAND(HEX2DEC(SUBSTITUTE(UPPER($C$5),"0X","")),2^(22-COLUMNS($E:Z)))&lt;&gt;0)</f>
        <v>1</v>
      </c>
    </row>
    <row r="6" spans="1:26" ht="17.25" thickBot="1" x14ac:dyDescent="0.35">
      <c r="B6" s="23" t="s">
        <v>23</v>
      </c>
      <c r="C6" s="24" t="str">
        <f>"0x"&amp;DEC2HEX(BIN2DEC(S6&amp;T6&amp;U6&amp;V6&amp;W6&amp;X6&amp;Y6&amp;Z6),2)</f>
        <v>0xB6</v>
      </c>
      <c r="D6" s="29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8">
        <f>--_xlfn.XOR(C9,1)</f>
        <v>1</v>
      </c>
      <c r="T6" s="38">
        <f>--_xlfn.XOR(C10,1)</f>
        <v>0</v>
      </c>
      <c r="U6" s="38">
        <f>--_xlfn.XOR(1,C11)</f>
        <v>1</v>
      </c>
      <c r="V6" s="38">
        <f>--_xlfn.XOR(C12,1)</f>
        <v>1</v>
      </c>
      <c r="W6" s="39">
        <f>--_xlfn.XOR(1,C13)</f>
        <v>0</v>
      </c>
      <c r="X6" s="39">
        <f>--_xlfn.XOR(C14,1)</f>
        <v>1</v>
      </c>
      <c r="Y6" s="39">
        <f>--_xlfn.XOR(1,C15)</f>
        <v>1</v>
      </c>
      <c r="Z6" s="40">
        <f>--_xlfn.XOR(1,C16)</f>
        <v>0</v>
      </c>
    </row>
    <row r="7" spans="1:26" x14ac:dyDescent="0.3">
      <c r="B7" s="42"/>
      <c r="C7" s="43"/>
      <c r="D7" s="30"/>
      <c r="E7" s="41"/>
      <c r="F7" s="8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x14ac:dyDescent="0.3">
      <c r="B8" s="44" t="s">
        <v>11</v>
      </c>
      <c r="C8" s="44"/>
      <c r="D8" s="6"/>
      <c r="E8" s="8"/>
      <c r="F8" s="41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3">
      <c r="B9" s="45" t="s">
        <v>12</v>
      </c>
      <c r="C9" s="45">
        <f>--_xlfn.XOR(Z4,Y4,X4,W5,V5,U5,Q5,N5,L5,K5,J5)</f>
        <v>0</v>
      </c>
      <c r="D9" s="30"/>
      <c r="E9" s="41"/>
      <c r="F9" s="8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x14ac:dyDescent="0.3">
      <c r="B10" s="45" t="s">
        <v>13</v>
      </c>
      <c r="C10" s="45">
        <f>--_xlfn.XOR(Z4,Y4,X5,W5,V5,R5,O5,M5,L5,K5)</f>
        <v>1</v>
      </c>
      <c r="D10" s="30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x14ac:dyDescent="0.3">
      <c r="B11" s="45" t="s">
        <v>14</v>
      </c>
      <c r="C11" s="46">
        <f xml:space="preserve"> --_xlfn.XOR(Z4,S4,Y5,X5,W5,S5,P5,N5,M5,L5,E5)</f>
        <v>0</v>
      </c>
      <c r="D11" s="30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x14ac:dyDescent="0.3">
      <c r="B12" s="45" t="s">
        <v>15</v>
      </c>
      <c r="C12" s="45">
        <f>--_xlfn.XOR(T4,S4,Z5,Y5,X5,T5,Q5,O5,N5,M5,F5,E5)</f>
        <v>0</v>
      </c>
      <c r="D12" s="3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x14ac:dyDescent="0.3">
      <c r="B13" s="45" t="s">
        <v>16</v>
      </c>
      <c r="C13" s="45">
        <f>--_xlfn.XOR(Z4,Y4,X4,U4,T4,Z5,Y5,W5,V5,R5,Q5,P5,O5,L5,K5,J5,G5,F5)</f>
        <v>1</v>
      </c>
      <c r="D13" s="30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x14ac:dyDescent="0.3">
      <c r="B14" s="45" t="s">
        <v>17</v>
      </c>
      <c r="C14" s="45">
        <f>--_xlfn.XOR(X4,V4,U4,Z5,X5,V5,U5,S5,R5,P5,N5,M5,J5,H5,G5)</f>
        <v>0</v>
      </c>
      <c r="D14" s="30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x14ac:dyDescent="0.3">
      <c r="B15" s="45" t="s">
        <v>18</v>
      </c>
      <c r="C15" s="45">
        <f>--_xlfn.XOR(Z4,X4,W4,V4,Y5,U5,T5,S5,O5,L5,J5,I5,H5)</f>
        <v>0</v>
      </c>
      <c r="D15" s="30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x14ac:dyDescent="0.3">
      <c r="B16" s="45" t="s">
        <v>19</v>
      </c>
      <c r="C16" s="45">
        <f>--_xlfn.XOR(Y4,X4,W4,Z5,V5,U5,T5,P5,M5,K5,J5,I5)</f>
        <v>1</v>
      </c>
      <c r="D16" s="30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6:6" x14ac:dyDescent="0.3">
      <c r="F17" s="4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CRC8_SAE_10bit</vt:lpstr>
      <vt:lpstr>CRC8_SAE_22bit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 지민</cp:lastModifiedBy>
  <dcterms:created xsi:type="dcterms:W3CDTF">2026-09-18T04:39:55Z</dcterms:created>
  <dcterms:modified xsi:type="dcterms:W3CDTF">2026-09-21T02:31:52Z</dcterms:modified>
</cp:coreProperties>
</file>