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GT\JIG\M-Project\Docs\"/>
    </mc:Choice>
  </mc:AlternateContent>
  <xr:revisionPtr revIDLastSave="0" documentId="13_ncr:1_{B64797A9-B286-46D6-B75D-4A6F06F0A3DF}" xr6:coauthVersionLast="47" xr6:coauthVersionMax="47" xr10:uidLastSave="{00000000-0000-0000-0000-000000000000}"/>
  <bookViews>
    <workbookView xWindow="-120" yWindow="-120" windowWidth="29040" windowHeight="15720" xr2:uid="{0E112138-28FD-417D-9563-5EB44D2DDEF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1" i="1" l="1"/>
  <c r="W9" i="1"/>
  <c r="W10" i="1" s="1"/>
  <c r="O24" i="1" l="1"/>
  <c r="C9" i="1"/>
  <c r="C10" i="1" s="1"/>
  <c r="C11" i="1" s="1"/>
  <c r="K9" i="1"/>
  <c r="S9" i="1" l="1"/>
  <c r="S10" i="1" s="1"/>
  <c r="V3" i="2"/>
  <c r="U3" i="2"/>
  <c r="S3" i="2"/>
  <c r="Q3" i="2"/>
  <c r="P3" i="2"/>
  <c r="R3" i="2"/>
  <c r="R4" i="2" s="1"/>
  <c r="N3" i="2"/>
  <c r="M3" i="2"/>
  <c r="M4" i="2" s="1"/>
  <c r="K3" i="2"/>
  <c r="J3" i="2"/>
  <c r="H3" i="2"/>
  <c r="G3" i="2"/>
  <c r="F3" i="2"/>
  <c r="E3" i="2"/>
  <c r="C3" i="2"/>
  <c r="G4" i="2"/>
  <c r="B4" i="2"/>
  <c r="B6" i="2" s="1"/>
  <c r="G9" i="1"/>
  <c r="G10" i="1" s="1"/>
  <c r="G11" i="1" s="1"/>
  <c r="O15" i="1" s="1"/>
  <c r="O16" i="1" s="1"/>
  <c r="O18" i="1" s="1"/>
  <c r="K10" i="1"/>
  <c r="K11" i="1" s="1"/>
  <c r="O14" i="1" s="1"/>
  <c r="O9" i="1"/>
  <c r="O10" i="1" s="1"/>
  <c r="O13" i="1" l="1"/>
  <c r="Q13" i="1" s="1"/>
  <c r="AD3" i="1"/>
  <c r="AD4" i="1" s="1"/>
  <c r="AD5" i="1" s="1"/>
  <c r="Q15" i="1"/>
  <c r="Q14" i="1"/>
  <c r="O11" i="1"/>
  <c r="S11" i="1"/>
  <c r="AD7" i="1"/>
  <c r="AD11" i="1" l="1"/>
  <c r="AD8" i="1"/>
  <c r="AD12" i="1" l="1"/>
  <c r="AD9" i="1"/>
  <c r="AD13" i="1" s="1"/>
</calcChain>
</file>

<file path=xl/sharedStrings.xml><?xml version="1.0" encoding="utf-8"?>
<sst xmlns="http://schemas.openxmlformats.org/spreadsheetml/2006/main" count="120" uniqueCount="56">
  <si>
    <t>GCLK</t>
    <phoneticPr fontId="1" type="noConversion"/>
  </si>
  <si>
    <t>TIM6</t>
    <phoneticPr fontId="1" type="noConversion"/>
  </si>
  <si>
    <t>APB1</t>
    <phoneticPr fontId="1" type="noConversion"/>
  </si>
  <si>
    <t>MHz</t>
    <phoneticPr fontId="1" type="noConversion"/>
  </si>
  <si>
    <t>Period</t>
    <phoneticPr fontId="1" type="noConversion"/>
  </si>
  <si>
    <t>Prescale</t>
    <phoneticPr fontId="1" type="noConversion"/>
  </si>
  <si>
    <t>Freq</t>
    <phoneticPr fontId="1" type="noConversion"/>
  </si>
  <si>
    <t>us</t>
    <phoneticPr fontId="1" type="noConversion"/>
  </si>
  <si>
    <t>ns</t>
    <phoneticPr fontId="1" type="noConversion"/>
  </si>
  <si>
    <t>TIM1</t>
    <phoneticPr fontId="1" type="noConversion"/>
  </si>
  <si>
    <t>TIM7</t>
    <phoneticPr fontId="1" type="noConversion"/>
  </si>
  <si>
    <t>APB2</t>
    <phoneticPr fontId="1" type="noConversion"/>
  </si>
  <si>
    <t>kHz</t>
    <phoneticPr fontId="1" type="noConversion"/>
  </si>
  <si>
    <t>TIM9</t>
    <phoneticPr fontId="1" type="noConversion"/>
  </si>
  <si>
    <t>Sub_period</t>
    <phoneticPr fontId="1" type="noConversion"/>
  </si>
  <si>
    <t>F_scan</t>
    <phoneticPr fontId="1" type="noConversion"/>
  </si>
  <si>
    <t>Vsync</t>
    <phoneticPr fontId="1" type="noConversion"/>
  </si>
  <si>
    <t>ms</t>
    <phoneticPr fontId="1" type="noConversion"/>
  </si>
  <si>
    <t>us</t>
    <phoneticPr fontId="1" type="noConversion"/>
  </si>
  <si>
    <t>T_256-sub_frame</t>
    <phoneticPr fontId="1" type="noConversion"/>
  </si>
  <si>
    <t>T_1_sub_frame</t>
    <phoneticPr fontId="1" type="noConversion"/>
  </si>
  <si>
    <t>T_1_sub_frame_Margin</t>
    <phoneticPr fontId="1" type="noConversion"/>
  </si>
  <si>
    <t>T_256-sub_frame_Margin</t>
    <phoneticPr fontId="1" type="noConversion"/>
  </si>
  <si>
    <t>F_1_sub_frame_Margin</t>
    <phoneticPr fontId="1" type="noConversion"/>
  </si>
  <si>
    <t>F_256-sub_frame_Margin</t>
    <phoneticPr fontId="1" type="noConversion"/>
  </si>
  <si>
    <t>Hz</t>
    <phoneticPr fontId="1" type="noConversion"/>
  </si>
  <si>
    <t>T_Line_select</t>
    <phoneticPr fontId="1" type="noConversion"/>
  </si>
  <si>
    <t>T_Line_select_Margin</t>
    <phoneticPr fontId="1" type="noConversion"/>
  </si>
  <si>
    <t>F_Line_select_Margin</t>
    <phoneticPr fontId="1" type="noConversion"/>
  </si>
  <si>
    <t>F_Line_select_set</t>
    <phoneticPr fontId="1" type="noConversion"/>
  </si>
  <si>
    <t>F_1_sub_frame_set</t>
    <phoneticPr fontId="1" type="noConversion"/>
  </si>
  <si>
    <t>F_256-sub_frame_set</t>
    <phoneticPr fontId="1" type="noConversion"/>
  </si>
  <si>
    <t>kHz</t>
    <phoneticPr fontId="1" type="noConversion"/>
  </si>
  <si>
    <t>….</t>
    <phoneticPr fontId="1" type="noConversion"/>
  </si>
  <si>
    <t>…...</t>
    <phoneticPr fontId="1" type="noConversion"/>
  </si>
  <si>
    <t>TIM14</t>
    <phoneticPr fontId="1" type="noConversion"/>
  </si>
  <si>
    <t>Parsing_GS</t>
    <phoneticPr fontId="1" type="noConversion"/>
  </si>
  <si>
    <t>45000-1</t>
    <phoneticPr fontId="1" type="noConversion"/>
  </si>
  <si>
    <t>ea</t>
    <phoneticPr fontId="1" type="noConversion"/>
  </si>
  <si>
    <t>1-line</t>
    <phoneticPr fontId="1" type="noConversion"/>
  </si>
  <si>
    <t>1-sub frame</t>
    <phoneticPr fontId="1" type="noConversion"/>
  </si>
  <si>
    <t>1-frame</t>
    <phoneticPr fontId="1" type="noConversion"/>
  </si>
  <si>
    <t>6-1</t>
    <phoneticPr fontId="1" type="noConversion"/>
  </si>
  <si>
    <t>1540-1</t>
    <phoneticPr fontId="1" type="noConversion"/>
  </si>
  <si>
    <t>2-1</t>
    <phoneticPr fontId="1" type="noConversion"/>
  </si>
  <si>
    <t/>
  </si>
  <si>
    <t>10000-1</t>
    <phoneticPr fontId="1" type="noConversion"/>
  </si>
  <si>
    <t>300-1</t>
    <phoneticPr fontId="1" type="noConversion"/>
  </si>
  <si>
    <t>17441-1</t>
    <phoneticPr fontId="1" type="noConversion"/>
  </si>
  <si>
    <t>valid</t>
    <phoneticPr fontId="1" type="noConversion"/>
  </si>
  <si>
    <t>dummy</t>
    <phoneticPr fontId="1" type="noConversion"/>
  </si>
  <si>
    <t>s</t>
    <phoneticPr fontId="1" type="noConversion"/>
  </si>
  <si>
    <t>SCLK</t>
    <phoneticPr fontId="1" type="noConversion"/>
  </si>
  <si>
    <t>TIM13</t>
    <phoneticPr fontId="1" type="noConversion"/>
  </si>
  <si>
    <t>pattern_timer</t>
    <phoneticPr fontId="1" type="noConversion"/>
  </si>
  <si>
    <t>0.05s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</si>
</sst>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&quot;ea&quot;"/>
    <numFmt numFmtId="177" formatCode="0&quot;kHz&quot;"/>
    <numFmt numFmtId="178" formatCode="0.00&quot;kHz&quot;"/>
    <numFmt numFmtId="179" formatCode="0.00&quot;Hz&quot;"/>
    <numFmt numFmtId="180" formatCode="mm&quot;월&quot;\ dd&quot;일&quot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80" fontId="0" fillId="0" borderId="0" xfId="0" quotePrefix="1" applyNumberFormat="1">
      <alignment vertical="center"/>
    </xf>
    <xf numFmtId="49" fontId="0" fillId="0" borderId="0" xfId="0" quotePrefix="1" applyNumberFormat="1">
      <alignment vertical="center"/>
    </xf>
    <xf numFmtId="0" fontId="0" fillId="0" borderId="0" xfId="0" quotePrefix="1">
      <alignment vertical="center"/>
    </xf>
    <xf numFmtId="176" fontId="0" fillId="0" borderId="2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8" fontId="0" fillId="0" borderId="7" xfId="0" applyNumberForma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79" fontId="0" fillId="0" borderId="12" xfId="0" applyNumberFormat="1" applyBorder="1" applyAlignment="1">
      <alignment horizontal="center" vertical="center"/>
    </xf>
    <xf numFmtId="179" fontId="0" fillId="0" borderId="13" xfId="0" applyNumberFormat="1" applyBorder="1" applyAlignment="1">
      <alignment horizontal="center" vertical="center"/>
    </xf>
    <xf numFmtId="179" fontId="0" fillId="0" borderId="14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0" fillId="0" borderId="18" xfId="0" applyNumberFormat="1" applyBorder="1" applyAlignment="1">
      <alignment horizontal="center" vertical="center"/>
    </xf>
    <xf numFmtId="178" fontId="0" fillId="0" borderId="20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10</xdr:col>
      <xdr:colOff>778726</xdr:colOff>
      <xdr:row>31</xdr:row>
      <xdr:rowOff>86550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A84A626-BB2D-42B6-B07A-705F5DBB1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827" y="2549769"/>
          <a:ext cx="7350976" cy="4123685"/>
        </a:xfrm>
        <a:prstGeom prst="rect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AE3B1-E3AA-4D4E-9603-A2A3719AA35D}">
  <dimension ref="A2:AE24"/>
  <sheetViews>
    <sheetView tabSelected="1" zoomScale="85" zoomScaleNormal="85" workbookViewId="0">
      <selection activeCell="U25" sqref="U25"/>
    </sheetView>
  </sheetViews>
  <sheetFormatPr defaultRowHeight="16.5" x14ac:dyDescent="0.3"/>
  <cols>
    <col min="1" max="1" width="2.625" customWidth="1"/>
    <col min="2" max="2" width="8.375" bestFit="1" customWidth="1"/>
    <col min="3" max="3" width="10" bestFit="1" customWidth="1"/>
    <col min="4" max="4" width="7.625" bestFit="1" customWidth="1"/>
    <col min="6" max="6" width="11.125" bestFit="1" customWidth="1"/>
    <col min="7" max="7" width="13.375" bestFit="1" customWidth="1"/>
    <col min="8" max="8" width="8.625" bestFit="1" customWidth="1"/>
    <col min="10" max="10" width="8.375" bestFit="1" customWidth="1"/>
    <col min="11" max="11" width="13.375" bestFit="1" customWidth="1"/>
    <col min="12" max="12" width="7.625" bestFit="1" customWidth="1"/>
    <col min="14" max="14" width="11.875" bestFit="1" customWidth="1"/>
    <col min="15" max="15" width="13.375" bestFit="1" customWidth="1"/>
    <col min="16" max="16" width="10" bestFit="1" customWidth="1"/>
    <col min="17" max="17" width="13.125" bestFit="1" customWidth="1"/>
    <col min="18" max="18" width="11" bestFit="1" customWidth="1"/>
    <col min="19" max="19" width="7.875" bestFit="1" customWidth="1"/>
    <col min="20" max="20" width="8.625" bestFit="1" customWidth="1"/>
    <col min="29" max="29" width="23.875" bestFit="1" customWidth="1"/>
    <col min="30" max="30" width="13.375" bestFit="1" customWidth="1"/>
    <col min="31" max="31" width="4.875" bestFit="1" customWidth="1"/>
  </cols>
  <sheetData>
    <row r="2" spans="1:31" x14ac:dyDescent="0.3">
      <c r="B2" t="s">
        <v>1</v>
      </c>
      <c r="F2" t="s">
        <v>10</v>
      </c>
      <c r="J2" t="s">
        <v>13</v>
      </c>
      <c r="N2" t="s">
        <v>9</v>
      </c>
      <c r="R2" t="s">
        <v>35</v>
      </c>
      <c r="V2" t="s">
        <v>53</v>
      </c>
    </row>
    <row r="3" spans="1:31" x14ac:dyDescent="0.3">
      <c r="O3">
        <v>3</v>
      </c>
      <c r="P3" t="s">
        <v>50</v>
      </c>
      <c r="AC3" t="s">
        <v>26</v>
      </c>
      <c r="AD3">
        <f>O10*257</f>
        <v>17.133333333333333</v>
      </c>
      <c r="AE3" t="s">
        <v>18</v>
      </c>
    </row>
    <row r="4" spans="1:31" x14ac:dyDescent="0.3">
      <c r="B4" t="s">
        <v>16</v>
      </c>
      <c r="F4" t="s">
        <v>14</v>
      </c>
      <c r="G4">
        <v>256</v>
      </c>
      <c r="H4" t="s">
        <v>38</v>
      </c>
      <c r="J4" t="s">
        <v>15</v>
      </c>
      <c r="K4">
        <v>26</v>
      </c>
      <c r="N4" t="s">
        <v>0</v>
      </c>
      <c r="O4">
        <v>257</v>
      </c>
      <c r="P4" t="s">
        <v>49</v>
      </c>
      <c r="R4" t="s">
        <v>36</v>
      </c>
      <c r="V4" t="s">
        <v>54</v>
      </c>
      <c r="AC4" t="s">
        <v>20</v>
      </c>
      <c r="AD4">
        <f>AD3*32</f>
        <v>548.26666666666665</v>
      </c>
      <c r="AE4" t="s">
        <v>18</v>
      </c>
    </row>
    <row r="5" spans="1:31" x14ac:dyDescent="0.3">
      <c r="AC5" t="s">
        <v>19</v>
      </c>
      <c r="AD5">
        <f>AD4*256</f>
        <v>140356.26666666666</v>
      </c>
      <c r="AE5" t="s">
        <v>18</v>
      </c>
    </row>
    <row r="6" spans="1:31" x14ac:dyDescent="0.3">
      <c r="B6" t="s">
        <v>2</v>
      </c>
      <c r="C6">
        <v>90</v>
      </c>
      <c r="D6" t="s">
        <v>3</v>
      </c>
      <c r="F6" t="s">
        <v>2</v>
      </c>
      <c r="G6">
        <v>90</v>
      </c>
      <c r="H6" t="s">
        <v>3</v>
      </c>
      <c r="J6" t="s">
        <v>11</v>
      </c>
      <c r="K6">
        <v>180</v>
      </c>
      <c r="L6" t="s">
        <v>3</v>
      </c>
      <c r="N6" t="s">
        <v>11</v>
      </c>
      <c r="O6">
        <v>180</v>
      </c>
      <c r="P6" t="s">
        <v>3</v>
      </c>
      <c r="R6" t="s">
        <v>2</v>
      </c>
      <c r="S6">
        <v>90</v>
      </c>
      <c r="T6" t="s">
        <v>3</v>
      </c>
      <c r="V6" t="s">
        <v>2</v>
      </c>
      <c r="W6">
        <v>90</v>
      </c>
      <c r="X6" t="s">
        <v>3</v>
      </c>
    </row>
    <row r="7" spans="1:31" x14ac:dyDescent="0.3">
      <c r="B7" t="s">
        <v>5</v>
      </c>
      <c r="C7">
        <v>299</v>
      </c>
      <c r="D7" s="7" t="s">
        <v>47</v>
      </c>
      <c r="F7" t="s">
        <v>5</v>
      </c>
      <c r="G7">
        <v>1</v>
      </c>
      <c r="H7" s="7" t="s">
        <v>44</v>
      </c>
      <c r="J7" t="s">
        <v>5</v>
      </c>
      <c r="K7">
        <v>0</v>
      </c>
      <c r="N7" t="s">
        <v>5</v>
      </c>
      <c r="O7">
        <v>0</v>
      </c>
      <c r="R7" t="s">
        <v>5</v>
      </c>
      <c r="S7">
        <v>0</v>
      </c>
      <c r="V7" t="s">
        <v>5</v>
      </c>
      <c r="W7">
        <v>999</v>
      </c>
      <c r="AC7" t="s">
        <v>27</v>
      </c>
      <c r="AD7">
        <f>O10*257 * 1.05</f>
        <v>17.990000000000002</v>
      </c>
      <c r="AE7" t="s">
        <v>18</v>
      </c>
    </row>
    <row r="8" spans="1:31" x14ac:dyDescent="0.3">
      <c r="A8" s="8" t="s">
        <v>45</v>
      </c>
      <c r="B8" t="s">
        <v>4</v>
      </c>
      <c r="C8">
        <v>40435</v>
      </c>
      <c r="D8" s="7" t="s">
        <v>48</v>
      </c>
      <c r="F8" t="s">
        <v>4</v>
      </c>
      <c r="G8">
        <v>23683</v>
      </c>
      <c r="H8" s="7" t="s">
        <v>46</v>
      </c>
      <c r="J8" t="s">
        <v>4</v>
      </c>
      <c r="K8">
        <v>3599</v>
      </c>
      <c r="L8" s="7" t="s">
        <v>43</v>
      </c>
      <c r="N8" t="s">
        <v>4</v>
      </c>
      <c r="O8">
        <v>11</v>
      </c>
      <c r="P8" s="6" t="s">
        <v>42</v>
      </c>
      <c r="R8" t="s">
        <v>4</v>
      </c>
      <c r="S8">
        <v>8999</v>
      </c>
      <c r="T8" s="8" t="s">
        <v>37</v>
      </c>
      <c r="V8" t="s">
        <v>4</v>
      </c>
      <c r="W8">
        <v>22499</v>
      </c>
      <c r="X8" s="8"/>
      <c r="AC8" t="s">
        <v>21</v>
      </c>
      <c r="AD8">
        <f>AD7*32*1.05</f>
        <v>604.46400000000006</v>
      </c>
      <c r="AE8" t="s">
        <v>18</v>
      </c>
    </row>
    <row r="9" spans="1:31" x14ac:dyDescent="0.3">
      <c r="B9" t="s">
        <v>6</v>
      </c>
      <c r="C9">
        <f>C6/(C7+1)/(C8+1)*1000000</f>
        <v>7.4191314670095947</v>
      </c>
      <c r="D9" t="s">
        <v>25</v>
      </c>
      <c r="F9" t="s">
        <v>6</v>
      </c>
      <c r="G9">
        <f>G6/(G7+1)/(G8+1)*1000</f>
        <v>1.9000168890390137</v>
      </c>
      <c r="H9" t="s">
        <v>12</v>
      </c>
      <c r="J9" t="s">
        <v>6</v>
      </c>
      <c r="K9">
        <f>K6/(K7+1)/(K8+1)*1000</f>
        <v>50</v>
      </c>
      <c r="L9" t="s">
        <v>12</v>
      </c>
      <c r="N9" t="s">
        <v>6</v>
      </c>
      <c r="O9">
        <f>O6/(O7+1)/(O8+1)</f>
        <v>15</v>
      </c>
      <c r="P9" t="s">
        <v>3</v>
      </c>
      <c r="R9" t="s">
        <v>6</v>
      </c>
      <c r="S9">
        <f>S6/(S7+1)/(S8+1)*1000</f>
        <v>10</v>
      </c>
      <c r="T9" t="s">
        <v>12</v>
      </c>
      <c r="V9" t="s">
        <v>6</v>
      </c>
      <c r="W9">
        <f>W6*1000000/((W7+1)*(W8+1))</f>
        <v>4</v>
      </c>
      <c r="X9" t="s">
        <v>25</v>
      </c>
      <c r="AC9" t="s">
        <v>22</v>
      </c>
      <c r="AD9">
        <f>AD8*256</f>
        <v>154742.78400000001</v>
      </c>
      <c r="AE9" t="s">
        <v>18</v>
      </c>
    </row>
    <row r="10" spans="1:31" x14ac:dyDescent="0.3">
      <c r="B10" t="s">
        <v>4</v>
      </c>
      <c r="C10">
        <f>1/C9</f>
        <v>0.13478666666666669</v>
      </c>
      <c r="D10" t="s">
        <v>51</v>
      </c>
      <c r="F10" t="s">
        <v>4</v>
      </c>
      <c r="G10">
        <f>1/G9</f>
        <v>0.52631111111111106</v>
      </c>
      <c r="H10" t="s">
        <v>17</v>
      </c>
      <c r="J10" t="s">
        <v>4</v>
      </c>
      <c r="K10">
        <f>1/K9</f>
        <v>0.02</v>
      </c>
      <c r="L10" t="s">
        <v>17</v>
      </c>
      <c r="N10" t="s">
        <v>4</v>
      </c>
      <c r="O10">
        <f>1/O9</f>
        <v>6.6666666666666666E-2</v>
      </c>
      <c r="P10" t="s">
        <v>7</v>
      </c>
      <c r="R10" t="s">
        <v>4</v>
      </c>
      <c r="S10">
        <f>1/S9*1000</f>
        <v>100</v>
      </c>
      <c r="T10" t="s">
        <v>7</v>
      </c>
      <c r="V10" t="s">
        <v>4</v>
      </c>
      <c r="W10">
        <f>1/W9</f>
        <v>0.25</v>
      </c>
      <c r="X10" t="s">
        <v>51</v>
      </c>
    </row>
    <row r="11" spans="1:31" x14ac:dyDescent="0.3">
      <c r="C11">
        <f>C10*1000</f>
        <v>134.78666666666669</v>
      </c>
      <c r="D11" t="s">
        <v>17</v>
      </c>
      <c r="G11">
        <f>G10*1000</f>
        <v>526.31111111111102</v>
      </c>
      <c r="H11" t="s">
        <v>7</v>
      </c>
      <c r="K11">
        <f>K10*1000</f>
        <v>20</v>
      </c>
      <c r="L11" t="s">
        <v>7</v>
      </c>
      <c r="O11">
        <f>O10*1000</f>
        <v>66.666666666666671</v>
      </c>
      <c r="P11" t="s">
        <v>8</v>
      </c>
      <c r="S11">
        <f>S10*1000</f>
        <v>100000</v>
      </c>
      <c r="T11" t="s">
        <v>8</v>
      </c>
      <c r="W11">
        <f>(W8+1)/5 - 1</f>
        <v>4499</v>
      </c>
      <c r="X11" t="s">
        <v>55</v>
      </c>
      <c r="AC11" t="s">
        <v>28</v>
      </c>
      <c r="AD11">
        <f>1000/AD7</f>
        <v>55.586436909394102</v>
      </c>
      <c r="AE11" t="s">
        <v>32</v>
      </c>
    </row>
    <row r="12" spans="1:31" x14ac:dyDescent="0.3">
      <c r="AC12" t="s">
        <v>23</v>
      </c>
      <c r="AD12">
        <f>1000/AD8</f>
        <v>1.6543582413510149</v>
      </c>
      <c r="AE12" t="s">
        <v>32</v>
      </c>
    </row>
    <row r="13" spans="1:31" x14ac:dyDescent="0.3">
      <c r="N13" t="s">
        <v>39</v>
      </c>
      <c r="O13">
        <f>O10*(O4+O3*2)</f>
        <v>17.533333333333331</v>
      </c>
      <c r="P13" t="s">
        <v>7</v>
      </c>
      <c r="Q13">
        <f>1/O13*1000</f>
        <v>57.034220532319402</v>
      </c>
      <c r="R13" t="s">
        <v>12</v>
      </c>
      <c r="AC13" t="s">
        <v>24</v>
      </c>
      <c r="AD13">
        <f>1000000/AD9</f>
        <v>6.4623368802774026</v>
      </c>
      <c r="AE13" t="s">
        <v>25</v>
      </c>
    </row>
    <row r="14" spans="1:31" x14ac:dyDescent="0.3">
      <c r="N14" t="s">
        <v>40</v>
      </c>
      <c r="O14">
        <f>K11*K4</f>
        <v>520</v>
      </c>
      <c r="P14" t="s">
        <v>7</v>
      </c>
      <c r="Q14">
        <f>1/O14*1000</f>
        <v>1.9230769230769231</v>
      </c>
      <c r="R14" t="s">
        <v>12</v>
      </c>
    </row>
    <row r="15" spans="1:31" x14ac:dyDescent="0.3">
      <c r="N15" t="s">
        <v>41</v>
      </c>
      <c r="O15">
        <f>G11*G4</f>
        <v>134735.64444444442</v>
      </c>
      <c r="P15" t="s">
        <v>7</v>
      </c>
      <c r="Q15">
        <f>1/O15*1000000</f>
        <v>7.421940972808649</v>
      </c>
      <c r="R15" t="s">
        <v>25</v>
      </c>
      <c r="AC15" t="s">
        <v>29</v>
      </c>
      <c r="AD15">
        <v>30</v>
      </c>
      <c r="AE15" t="s">
        <v>32</v>
      </c>
    </row>
    <row r="16" spans="1:31" x14ac:dyDescent="0.3">
      <c r="O16">
        <f>O15/1000</f>
        <v>134.73564444444443</v>
      </c>
      <c r="P16" t="s">
        <v>17</v>
      </c>
      <c r="AC16" t="s">
        <v>30</v>
      </c>
      <c r="AD16">
        <v>1.1499999999999999</v>
      </c>
      <c r="AE16" t="s">
        <v>32</v>
      </c>
    </row>
    <row r="17" spans="14:31" x14ac:dyDescent="0.3">
      <c r="AC17" t="s">
        <v>31</v>
      </c>
      <c r="AD17">
        <v>4</v>
      </c>
      <c r="AE17" t="s">
        <v>25</v>
      </c>
    </row>
    <row r="18" spans="14:31" x14ac:dyDescent="0.3">
      <c r="O18">
        <f>C11-O16</f>
        <v>5.1022222222258051E-2</v>
      </c>
    </row>
    <row r="21" spans="14:31" x14ac:dyDescent="0.3">
      <c r="N21" t="s">
        <v>52</v>
      </c>
      <c r="O21">
        <v>96</v>
      </c>
      <c r="P21" t="s">
        <v>38</v>
      </c>
    </row>
    <row r="23" spans="14:31" x14ac:dyDescent="0.3">
      <c r="O23">
        <v>250</v>
      </c>
      <c r="P23" t="s">
        <v>8</v>
      </c>
    </row>
    <row r="24" spans="14:31" x14ac:dyDescent="0.3">
      <c r="O24">
        <f>O23*O21/1000</f>
        <v>24</v>
      </c>
      <c r="P24" t="s">
        <v>7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39550-5C6B-4D4E-8C1F-42A5EE680BBC}">
  <dimension ref="B1:V6"/>
  <sheetViews>
    <sheetView workbookViewId="0">
      <selection activeCell="H14" sqref="H14"/>
    </sheetView>
  </sheetViews>
  <sheetFormatPr defaultRowHeight="16.5" x14ac:dyDescent="0.3"/>
  <cols>
    <col min="1" max="1" width="2.625" style="1" customWidth="1"/>
    <col min="2" max="16384" width="9" style="1"/>
  </cols>
  <sheetData>
    <row r="1" spans="2:22" ht="17.25" thickBot="1" x14ac:dyDescent="0.35"/>
    <row r="2" spans="2:22" x14ac:dyDescent="0.3">
      <c r="B2" s="9">
        <v>26</v>
      </c>
      <c r="C2" s="10"/>
      <c r="D2" s="10"/>
      <c r="E2" s="10"/>
      <c r="F2" s="11"/>
      <c r="G2" s="9">
        <v>26</v>
      </c>
      <c r="H2" s="10"/>
      <c r="I2" s="10"/>
      <c r="J2" s="10"/>
      <c r="K2" s="11"/>
      <c r="L2" s="15" t="s">
        <v>34</v>
      </c>
      <c r="M2" s="9">
        <v>26</v>
      </c>
      <c r="N2" s="10"/>
      <c r="O2" s="10"/>
      <c r="P2" s="10"/>
      <c r="Q2" s="25"/>
      <c r="R2" s="9">
        <v>26</v>
      </c>
      <c r="S2" s="10"/>
      <c r="T2" s="10"/>
      <c r="U2" s="10"/>
      <c r="V2" s="11"/>
    </row>
    <row r="3" spans="2:22" x14ac:dyDescent="0.3">
      <c r="B3" s="2">
        <v>30</v>
      </c>
      <c r="C3" s="3">
        <f>B3</f>
        <v>30</v>
      </c>
      <c r="D3" s="3" t="s">
        <v>33</v>
      </c>
      <c r="E3" s="3">
        <f>B3</f>
        <v>30</v>
      </c>
      <c r="F3" s="4">
        <f>B3</f>
        <v>30</v>
      </c>
      <c r="G3" s="2">
        <f>B3</f>
        <v>30</v>
      </c>
      <c r="H3" s="3">
        <f>B3</f>
        <v>30</v>
      </c>
      <c r="I3" s="3" t="s">
        <v>33</v>
      </c>
      <c r="J3" s="3">
        <f>B3</f>
        <v>30</v>
      </c>
      <c r="K3" s="4">
        <f>B3</f>
        <v>30</v>
      </c>
      <c r="L3" s="16"/>
      <c r="M3" s="2">
        <f>B3</f>
        <v>30</v>
      </c>
      <c r="N3" s="3">
        <f>B3</f>
        <v>30</v>
      </c>
      <c r="O3" s="3" t="s">
        <v>33</v>
      </c>
      <c r="P3" s="3">
        <f>B3</f>
        <v>30</v>
      </c>
      <c r="Q3" s="5">
        <f>B3</f>
        <v>30</v>
      </c>
      <c r="R3" s="2">
        <f>B3</f>
        <v>30</v>
      </c>
      <c r="S3" s="3">
        <f>B3</f>
        <v>30</v>
      </c>
      <c r="T3" s="3" t="s">
        <v>33</v>
      </c>
      <c r="U3" s="3">
        <f>B3</f>
        <v>30</v>
      </c>
      <c r="V3" s="4">
        <f>B3</f>
        <v>30</v>
      </c>
    </row>
    <row r="4" spans="2:22" ht="17.25" thickBot="1" x14ac:dyDescent="0.35">
      <c r="B4" s="12">
        <f>B3/B2</f>
        <v>1.1538461538461537</v>
      </c>
      <c r="C4" s="13"/>
      <c r="D4" s="13"/>
      <c r="E4" s="13"/>
      <c r="F4" s="14"/>
      <c r="G4" s="12">
        <f>G3/G2</f>
        <v>1.1538461538461537</v>
      </c>
      <c r="H4" s="13"/>
      <c r="I4" s="13"/>
      <c r="J4" s="13"/>
      <c r="K4" s="14"/>
      <c r="L4" s="17"/>
      <c r="M4" s="12">
        <f>M3/M2</f>
        <v>1.1538461538461537</v>
      </c>
      <c r="N4" s="13"/>
      <c r="O4" s="13"/>
      <c r="P4" s="13"/>
      <c r="Q4" s="26"/>
      <c r="R4" s="12">
        <f>R3/R2</f>
        <v>1.1538461538461537</v>
      </c>
      <c r="S4" s="13"/>
      <c r="T4" s="13"/>
      <c r="U4" s="13"/>
      <c r="V4" s="14"/>
    </row>
    <row r="5" spans="2:22" ht="17.25" thickBot="1" x14ac:dyDescent="0.35">
      <c r="B5" s="21">
        <v>256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3"/>
      <c r="S5" s="23"/>
      <c r="T5" s="23"/>
      <c r="U5" s="23"/>
      <c r="V5" s="24"/>
    </row>
    <row r="6" spans="2:22" ht="17.25" thickBot="1" x14ac:dyDescent="0.35">
      <c r="B6" s="18">
        <f>B4/B5*1000</f>
        <v>4.5072115384615383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20"/>
    </row>
  </sheetData>
  <mergeCells count="11">
    <mergeCell ref="R2:V2"/>
    <mergeCell ref="R4:V4"/>
    <mergeCell ref="L2:L4"/>
    <mergeCell ref="B6:V6"/>
    <mergeCell ref="B5:V5"/>
    <mergeCell ref="B2:F2"/>
    <mergeCell ref="B4:F4"/>
    <mergeCell ref="G2:K2"/>
    <mergeCell ref="G4:K4"/>
    <mergeCell ref="M2:Q2"/>
    <mergeCell ref="M4:Q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2023-10-12T00:34:13Z</dcterms:created>
  <dcterms:modified xsi:type="dcterms:W3CDTF">2024-06-21T02:13:51Z</dcterms:modified>
</cp:coreProperties>
</file>