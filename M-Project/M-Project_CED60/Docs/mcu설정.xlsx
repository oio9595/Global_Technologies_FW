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01_Project\Jig\M-Project\M-Project_CED60\Docs\"/>
    </mc:Choice>
  </mc:AlternateContent>
  <xr:revisionPtr revIDLastSave="0" documentId="13_ncr:1_{791B64DB-8872-4ADA-9333-933CE54F2CF3}" xr6:coauthVersionLast="47" xr6:coauthVersionMax="47" xr10:uidLastSave="{00000000-0000-0000-0000-000000000000}"/>
  <bookViews>
    <workbookView xWindow="71880" yWindow="10515" windowWidth="29040" windowHeight="15720" xr2:uid="{ADE28207-3863-4EB5-B970-EB500DB0CD83}"/>
  </bookViews>
  <sheets>
    <sheet name="pinmap" sheetId="1" r:id="rId1"/>
    <sheet name="timer" sheetId="2" r:id="rId2"/>
    <sheet name="flas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K10" i="2" s="1"/>
  <c r="K13" i="2" s="1"/>
  <c r="K14" i="2" s="1"/>
  <c r="K15" i="2" s="1"/>
  <c r="D3" i="2"/>
  <c r="I10" i="2" s="1"/>
  <c r="I13" i="2" s="1"/>
  <c r="I14" i="2" s="1"/>
  <c r="I15" i="2" s="1"/>
  <c r="O10" i="2" l="1"/>
  <c r="O13" i="2" s="1"/>
  <c r="O14" i="2" s="1"/>
  <c r="O15" i="2" s="1"/>
  <c r="C10" i="2"/>
  <c r="C13" i="2" s="1"/>
  <c r="C14" i="2" s="1"/>
  <c r="C15" i="2" s="1"/>
  <c r="L10" i="2"/>
  <c r="L13" i="2" s="1"/>
  <c r="L14" i="2" s="1"/>
  <c r="L15" i="2" s="1"/>
  <c r="M10" i="2"/>
  <c r="M13" i="2" s="1"/>
  <c r="M14" i="2" s="1"/>
  <c r="M15" i="2" s="1"/>
  <c r="N10" i="2"/>
  <c r="N13" i="2" s="1"/>
  <c r="N14" i="2" s="1"/>
  <c r="N15" i="2" s="1"/>
  <c r="P10" i="2"/>
  <c r="P13" i="2" s="1"/>
  <c r="P14" i="2" s="1"/>
  <c r="P15" i="2" s="1"/>
  <c r="E10" i="2"/>
  <c r="E13" i="2" s="1"/>
  <c r="E14" i="2" s="1"/>
  <c r="E15" i="2" s="1"/>
  <c r="F10" i="2"/>
  <c r="F13" i="2" s="1"/>
  <c r="F14" i="2" s="1"/>
  <c r="F15" i="2" s="1"/>
  <c r="G10" i="2"/>
  <c r="G13" i="2" s="1"/>
  <c r="G14" i="2" s="1"/>
  <c r="G15" i="2" s="1"/>
  <c r="H10" i="2"/>
  <c r="H13" i="2" s="1"/>
  <c r="H14" i="2" s="1"/>
  <c r="H15" i="2" s="1"/>
  <c r="D10" i="2"/>
  <c r="D13" i="2" s="1"/>
  <c r="D14" i="2" s="1"/>
  <c r="D15" i="2" s="1"/>
  <c r="J10" i="2"/>
  <c r="J13" i="2" s="1"/>
  <c r="J14" i="2" s="1"/>
  <c r="J15" i="2" s="1"/>
</calcChain>
</file>

<file path=xl/sharedStrings.xml><?xml version="1.0" encoding="utf-8"?>
<sst xmlns="http://schemas.openxmlformats.org/spreadsheetml/2006/main" count="197" uniqueCount="165">
  <si>
    <t>PC10</t>
    <phoneticPr fontId="1" type="noConversion"/>
  </si>
  <si>
    <t>PC12</t>
    <phoneticPr fontId="1" type="noConversion"/>
  </si>
  <si>
    <t>VDD</t>
    <phoneticPr fontId="1" type="noConversion"/>
  </si>
  <si>
    <t>BOOT0</t>
    <phoneticPr fontId="1" type="noConversion"/>
  </si>
  <si>
    <t>NC</t>
    <phoneticPr fontId="1" type="noConversion"/>
  </si>
  <si>
    <t>PA13</t>
    <phoneticPr fontId="1" type="noConversion"/>
  </si>
  <si>
    <t>PA14</t>
    <phoneticPr fontId="1" type="noConversion"/>
  </si>
  <si>
    <t>PA15</t>
    <phoneticPr fontId="1" type="noConversion"/>
  </si>
  <si>
    <t>GND</t>
    <phoneticPr fontId="1" type="noConversion"/>
  </si>
  <si>
    <t>PB7</t>
    <phoneticPr fontId="1" type="noConversion"/>
  </si>
  <si>
    <t>PC13</t>
    <phoneticPr fontId="1" type="noConversion"/>
  </si>
  <si>
    <t>PH1</t>
    <phoneticPr fontId="1" type="noConversion"/>
  </si>
  <si>
    <t>VBAT</t>
    <phoneticPr fontId="1" type="noConversion"/>
  </si>
  <si>
    <t>PC2</t>
    <phoneticPr fontId="1" type="noConversion"/>
  </si>
  <si>
    <t>PC3</t>
    <phoneticPr fontId="1" type="noConversion"/>
  </si>
  <si>
    <t>PC11</t>
    <phoneticPr fontId="1" type="noConversion"/>
  </si>
  <si>
    <t>PD2</t>
    <phoneticPr fontId="1" type="noConversion"/>
  </si>
  <si>
    <t>E5V</t>
    <phoneticPr fontId="1" type="noConversion"/>
  </si>
  <si>
    <t>IOREF</t>
    <phoneticPr fontId="1" type="noConversion"/>
  </si>
  <si>
    <t>5V</t>
    <phoneticPr fontId="1" type="noConversion"/>
  </si>
  <si>
    <t>VIN</t>
    <phoneticPr fontId="1" type="noConversion"/>
  </si>
  <si>
    <t>PA0</t>
    <phoneticPr fontId="1" type="noConversion"/>
  </si>
  <si>
    <t>PA1</t>
    <phoneticPr fontId="1" type="noConversion"/>
  </si>
  <si>
    <t>PA4</t>
    <phoneticPr fontId="1" type="noConversion"/>
  </si>
  <si>
    <t>PB0</t>
    <phoneticPr fontId="1" type="noConversion"/>
  </si>
  <si>
    <t>PC0</t>
    <phoneticPr fontId="1" type="noConversion"/>
  </si>
  <si>
    <t>PC1</t>
    <phoneticPr fontId="1" type="noConversion"/>
  </si>
  <si>
    <t>PC9</t>
    <phoneticPr fontId="1" type="noConversion"/>
  </si>
  <si>
    <t>PB8</t>
    <phoneticPr fontId="1" type="noConversion"/>
  </si>
  <si>
    <t>PB9</t>
    <phoneticPr fontId="1" type="noConversion"/>
  </si>
  <si>
    <t>AVDD</t>
    <phoneticPr fontId="1" type="noConversion"/>
  </si>
  <si>
    <t>PA5</t>
    <phoneticPr fontId="1" type="noConversion"/>
  </si>
  <si>
    <t>PA6</t>
    <phoneticPr fontId="1" type="noConversion"/>
  </si>
  <si>
    <t>PA7</t>
    <phoneticPr fontId="1" type="noConversion"/>
  </si>
  <si>
    <t>PB6</t>
    <phoneticPr fontId="1" type="noConversion"/>
  </si>
  <si>
    <t>PC7</t>
    <phoneticPr fontId="1" type="noConversion"/>
  </si>
  <si>
    <t>PA9</t>
    <phoneticPr fontId="1" type="noConversion"/>
  </si>
  <si>
    <t>PA8</t>
    <phoneticPr fontId="1" type="noConversion"/>
  </si>
  <si>
    <t>PB10</t>
    <phoneticPr fontId="1" type="noConversion"/>
  </si>
  <si>
    <t>PB4</t>
    <phoneticPr fontId="1" type="noConversion"/>
  </si>
  <si>
    <t>PB5</t>
    <phoneticPr fontId="1" type="noConversion"/>
  </si>
  <si>
    <t>PB3</t>
    <phoneticPr fontId="1" type="noConversion"/>
  </si>
  <si>
    <t>PA10</t>
    <phoneticPr fontId="1" type="noConversion"/>
  </si>
  <si>
    <t>PA2</t>
    <phoneticPr fontId="1" type="noConversion"/>
  </si>
  <si>
    <t>PA3</t>
    <phoneticPr fontId="1" type="noConversion"/>
  </si>
  <si>
    <t>PC8</t>
    <phoneticPr fontId="1" type="noConversion"/>
  </si>
  <si>
    <t>PC6</t>
    <phoneticPr fontId="1" type="noConversion"/>
  </si>
  <si>
    <t>PC5</t>
    <phoneticPr fontId="1" type="noConversion"/>
  </si>
  <si>
    <t>U5V</t>
    <phoneticPr fontId="1" type="noConversion"/>
  </si>
  <si>
    <t>PA12</t>
    <phoneticPr fontId="1" type="noConversion"/>
  </si>
  <si>
    <t>PA11</t>
    <phoneticPr fontId="1" type="noConversion"/>
  </si>
  <si>
    <t>PB12</t>
    <phoneticPr fontId="1" type="noConversion"/>
  </si>
  <si>
    <t>PB2</t>
    <phoneticPr fontId="1" type="noConversion"/>
  </si>
  <si>
    <t>PB1</t>
    <phoneticPr fontId="1" type="noConversion"/>
  </si>
  <si>
    <t>PB15</t>
    <phoneticPr fontId="1" type="noConversion"/>
  </si>
  <si>
    <t>PB14</t>
    <phoneticPr fontId="1" type="noConversion"/>
  </si>
  <si>
    <t>PB13</t>
    <phoneticPr fontId="1" type="noConversion"/>
  </si>
  <si>
    <t>AGND</t>
    <phoneticPr fontId="1" type="noConversion"/>
  </si>
  <si>
    <t>PC4</t>
    <phoneticPr fontId="1" type="noConversion"/>
  </si>
  <si>
    <t>Up -&gt; Dw</t>
    <phoneticPr fontId="1" type="noConversion"/>
  </si>
  <si>
    <t>Dw -&gt; Up</t>
    <phoneticPr fontId="1" type="noConversion"/>
  </si>
  <si>
    <t>TIM1</t>
    <phoneticPr fontId="1" type="noConversion"/>
  </si>
  <si>
    <t>TIM2</t>
    <phoneticPr fontId="1" type="noConversion"/>
  </si>
  <si>
    <t>TIM3</t>
    <phoneticPr fontId="1" type="noConversion"/>
  </si>
  <si>
    <t>TIM4</t>
    <phoneticPr fontId="1" type="noConversion"/>
  </si>
  <si>
    <t>TIM5</t>
  </si>
  <si>
    <t>TIM6</t>
  </si>
  <si>
    <t>TIM7</t>
  </si>
  <si>
    <t>TIM8</t>
  </si>
  <si>
    <t>APB</t>
    <phoneticPr fontId="1" type="noConversion"/>
  </si>
  <si>
    <t>APB2</t>
    <phoneticPr fontId="1" type="noConversion"/>
  </si>
  <si>
    <t>Precaler</t>
    <phoneticPr fontId="1" type="noConversion"/>
  </si>
  <si>
    <t>Period</t>
    <phoneticPr fontId="1" type="noConversion"/>
  </si>
  <si>
    <t>MHz</t>
    <phoneticPr fontId="1" type="noConversion"/>
  </si>
  <si>
    <t>kHz</t>
    <phoneticPr fontId="1" type="noConversion"/>
  </si>
  <si>
    <t>Hz</t>
    <phoneticPr fontId="1" type="noConversion"/>
  </si>
  <si>
    <t>TIM9</t>
  </si>
  <si>
    <t>TIM10</t>
  </si>
  <si>
    <t>TIM11</t>
  </si>
  <si>
    <t>TIM12</t>
  </si>
  <si>
    <t>TIM13</t>
  </si>
  <si>
    <t>TIM14</t>
  </si>
  <si>
    <t>Base Freq</t>
    <phoneticPr fontId="1" type="noConversion"/>
  </si>
  <si>
    <t>APB1</t>
    <phoneticPr fontId="1" type="noConversion"/>
  </si>
  <si>
    <t>BIT</t>
    <phoneticPr fontId="1" type="noConversion"/>
  </si>
  <si>
    <t>Peripheral</t>
    <phoneticPr fontId="1" type="noConversion"/>
  </si>
  <si>
    <t>timer</t>
    <phoneticPr fontId="1" type="noConversion"/>
  </si>
  <si>
    <t>Purpose</t>
    <phoneticPr fontId="1" type="noConversion"/>
  </si>
  <si>
    <t>CN11</t>
    <phoneticPr fontId="1" type="noConversion"/>
  </si>
  <si>
    <t>CN12</t>
    <phoneticPr fontId="1" type="noConversion"/>
  </si>
  <si>
    <t>PF6</t>
    <phoneticPr fontId="1" type="noConversion"/>
  </si>
  <si>
    <t>PF7</t>
    <phoneticPr fontId="1" type="noConversion"/>
  </si>
  <si>
    <t>PF1</t>
    <phoneticPr fontId="1" type="noConversion"/>
  </si>
  <si>
    <t>PD4</t>
    <phoneticPr fontId="1" type="noConversion"/>
  </si>
  <si>
    <t>PD5</t>
    <phoneticPr fontId="1" type="noConversion"/>
  </si>
  <si>
    <t>PD6</t>
    <phoneticPr fontId="1" type="noConversion"/>
  </si>
  <si>
    <t>PD7</t>
    <phoneticPr fontId="1" type="noConversion"/>
  </si>
  <si>
    <t>PE3</t>
    <phoneticPr fontId="1" type="noConversion"/>
  </si>
  <si>
    <t>PF0</t>
    <phoneticPr fontId="1" type="noConversion"/>
  </si>
  <si>
    <t>PD1</t>
    <phoneticPr fontId="1" type="noConversion"/>
  </si>
  <si>
    <t>PD0</t>
    <phoneticPr fontId="1" type="noConversion"/>
  </si>
  <si>
    <t>PG0</t>
    <phoneticPr fontId="1" type="noConversion"/>
  </si>
  <si>
    <t>PE1</t>
    <phoneticPr fontId="1" type="noConversion"/>
  </si>
  <si>
    <t>PG9</t>
    <phoneticPr fontId="1" type="noConversion"/>
  </si>
  <si>
    <t>PG12</t>
    <phoneticPr fontId="1" type="noConversion"/>
  </si>
  <si>
    <t>PH2</t>
    <phoneticPr fontId="1" type="noConversion"/>
  </si>
  <si>
    <t>PD9</t>
    <phoneticPr fontId="1" type="noConversion"/>
  </si>
  <si>
    <t>NRST</t>
    <phoneticPr fontId="1" type="noConversion"/>
  </si>
  <si>
    <t>3.3V</t>
    <phoneticPr fontId="1" type="noConversion"/>
  </si>
  <si>
    <t>PD3</t>
    <phoneticPr fontId="1" type="noConversion"/>
  </si>
  <si>
    <t>PG2</t>
    <phoneticPr fontId="1" type="noConversion"/>
  </si>
  <si>
    <t>PG3</t>
    <phoneticPr fontId="1" type="noConversion"/>
  </si>
  <si>
    <t>PE2</t>
    <phoneticPr fontId="1" type="noConversion"/>
  </si>
  <si>
    <t>PE4</t>
    <phoneticPr fontId="1" type="noConversion"/>
  </si>
  <si>
    <t>PE5</t>
    <phoneticPr fontId="1" type="noConversion"/>
  </si>
  <si>
    <t>PF2</t>
    <phoneticPr fontId="1" type="noConversion"/>
  </si>
  <si>
    <t>PF8</t>
    <phoneticPr fontId="1" type="noConversion"/>
  </si>
  <si>
    <t>PF9</t>
    <phoneticPr fontId="1" type="noConversion"/>
  </si>
  <si>
    <t>PG1</t>
    <phoneticPr fontId="1" type="noConversion"/>
  </si>
  <si>
    <t>PE6</t>
    <phoneticPr fontId="1" type="noConversion"/>
  </si>
  <si>
    <t>PG15</t>
    <phoneticPr fontId="1" type="noConversion"/>
  </si>
  <si>
    <t>PG10</t>
    <phoneticPr fontId="1" type="noConversion"/>
  </si>
  <si>
    <t>PG13</t>
    <phoneticPr fontId="1" type="noConversion"/>
  </si>
  <si>
    <t>PG11</t>
    <phoneticPr fontId="1" type="noConversion"/>
  </si>
  <si>
    <t>PD13</t>
    <phoneticPr fontId="1" type="noConversion"/>
  </si>
  <si>
    <t>PD12</t>
    <phoneticPr fontId="1" type="noConversion"/>
  </si>
  <si>
    <t>PD11</t>
    <phoneticPr fontId="1" type="noConversion"/>
  </si>
  <si>
    <t>PE10</t>
    <phoneticPr fontId="1" type="noConversion"/>
  </si>
  <si>
    <t>PE12</t>
    <phoneticPr fontId="1" type="noConversion"/>
  </si>
  <si>
    <t>PE14</t>
    <phoneticPr fontId="1" type="noConversion"/>
  </si>
  <si>
    <t>PE15</t>
    <phoneticPr fontId="1" type="noConversion"/>
  </si>
  <si>
    <t>PE13</t>
    <phoneticPr fontId="1" type="noConversion"/>
  </si>
  <si>
    <t>PF13</t>
    <phoneticPr fontId="1" type="noConversion"/>
  </si>
  <si>
    <t>PF12</t>
    <phoneticPr fontId="1" type="noConversion"/>
  </si>
  <si>
    <t>PG14</t>
    <phoneticPr fontId="1" type="noConversion"/>
  </si>
  <si>
    <t>PD10</t>
    <phoneticPr fontId="1" type="noConversion"/>
  </si>
  <si>
    <t>PG7</t>
    <phoneticPr fontId="1" type="noConversion"/>
  </si>
  <si>
    <t>PG4</t>
    <phoneticPr fontId="1" type="noConversion"/>
  </si>
  <si>
    <t>PD8</t>
    <phoneticPr fontId="1" type="noConversion"/>
  </si>
  <si>
    <t>PB11</t>
    <phoneticPr fontId="1" type="noConversion"/>
  </si>
  <si>
    <t>PF5</t>
    <phoneticPr fontId="1" type="noConversion"/>
  </si>
  <si>
    <t>PF4</t>
    <phoneticPr fontId="1" type="noConversion"/>
  </si>
  <si>
    <t>PE8</t>
    <phoneticPr fontId="1" type="noConversion"/>
  </si>
  <si>
    <t>PE7</t>
    <phoneticPr fontId="1" type="noConversion"/>
  </si>
  <si>
    <t>PD14</t>
    <phoneticPr fontId="1" type="noConversion"/>
  </si>
  <si>
    <t>PD15</t>
    <phoneticPr fontId="1" type="noConversion"/>
  </si>
  <si>
    <t>PF14</t>
    <phoneticPr fontId="1" type="noConversion"/>
  </si>
  <si>
    <t>PE9</t>
    <phoneticPr fontId="1" type="noConversion"/>
  </si>
  <si>
    <t>PE11</t>
    <phoneticPr fontId="1" type="noConversion"/>
  </si>
  <si>
    <t>PF3</t>
    <phoneticPr fontId="1" type="noConversion"/>
  </si>
  <si>
    <t>PF15</t>
    <phoneticPr fontId="1" type="noConversion"/>
  </si>
  <si>
    <t>PF11</t>
    <phoneticPr fontId="1" type="noConversion"/>
  </si>
  <si>
    <t>PE0</t>
    <phoneticPr fontId="1" type="noConversion"/>
  </si>
  <si>
    <t>PG8</t>
    <phoneticPr fontId="1" type="noConversion"/>
  </si>
  <si>
    <t>PG5</t>
    <phoneticPr fontId="1" type="noConversion"/>
  </si>
  <si>
    <t>PG6</t>
    <phoneticPr fontId="1" type="noConversion"/>
  </si>
  <si>
    <t>PF10</t>
    <phoneticPr fontId="1" type="noConversion"/>
  </si>
  <si>
    <t>Vsync</t>
    <phoneticPr fontId="1" type="noConversion"/>
  </si>
  <si>
    <t>vsync</t>
    <phoneticPr fontId="1" type="noConversion"/>
  </si>
  <si>
    <t>spi cs</t>
    <phoneticPr fontId="1" type="noConversion"/>
  </si>
  <si>
    <t>spi sck</t>
    <phoneticPr fontId="1" type="noConversion"/>
  </si>
  <si>
    <t>spi mosi</t>
    <phoneticPr fontId="1" type="noConversion"/>
  </si>
  <si>
    <t>fpga_boot</t>
    <phoneticPr fontId="1" type="noConversion"/>
  </si>
  <si>
    <t>pc13</t>
    <phoneticPr fontId="1" type="noConversion"/>
  </si>
  <si>
    <t>USER_BTN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</si>
</sst>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&quot;MHz&quot;"/>
    <numFmt numFmtId="177" formatCode="0.0&quot;MHz&quot;"/>
    <numFmt numFmtId="178" formatCode="0.00&quot;MHz&quot;"/>
    <numFmt numFmtId="179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34</xdr:col>
      <xdr:colOff>198865</xdr:colOff>
      <xdr:row>33</xdr:row>
      <xdr:rowOff>20704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182BAE4-A906-C941-8018-AB234EB3E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8554" y="217714"/>
          <a:ext cx="11193437" cy="6982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344096</xdr:colOff>
      <xdr:row>21</xdr:row>
      <xdr:rowOff>95875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0F6653-2B6D-F674-DE8B-46699305E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9075"/>
          <a:ext cx="8573696" cy="447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D1BC-587A-483A-B6AB-43AEC392E050}">
  <dimension ref="B2:T38"/>
  <sheetViews>
    <sheetView tabSelected="1" zoomScale="85" zoomScaleNormal="85" workbookViewId="0"/>
  </sheetViews>
  <sheetFormatPr defaultColWidth="9" defaultRowHeight="17" x14ac:dyDescent="0.45"/>
  <cols>
    <col min="1" max="1" width="2.58203125" style="1" customWidth="1"/>
    <col min="2" max="2" width="9.83203125" style="1" bestFit="1" customWidth="1"/>
    <col min="3" max="3" width="7.33203125" style="1" bestFit="1" customWidth="1"/>
    <col min="4" max="4" width="6.1640625" style="1" bestFit="1" customWidth="1"/>
    <col min="5" max="5" width="8.33203125" style="1" customWidth="1"/>
    <col min="6" max="6" width="2.58203125" style="1" customWidth="1"/>
    <col min="7" max="7" width="8.33203125" style="1" customWidth="1"/>
    <col min="8" max="9" width="6.6640625" style="1" bestFit="1" customWidth="1"/>
    <col min="10" max="10" width="10.08203125" style="1" bestFit="1" customWidth="1"/>
    <col min="11" max="11" width="10.08203125" style="1" customWidth="1"/>
    <col min="12" max="12" width="9" style="1"/>
    <col min="13" max="14" width="9.58203125" style="1" bestFit="1" customWidth="1"/>
    <col min="15" max="18" width="9" style="1"/>
    <col min="19" max="19" width="9.5" style="1" bestFit="1" customWidth="1"/>
    <col min="20" max="16384" width="9" style="1"/>
  </cols>
  <sheetData>
    <row r="2" spans="2:20" x14ac:dyDescent="0.45">
      <c r="C2" s="10" t="s">
        <v>88</v>
      </c>
      <c r="D2" s="10"/>
      <c r="H2" s="1" t="s">
        <v>89</v>
      </c>
      <c r="M2" s="1" t="s">
        <v>59</v>
      </c>
      <c r="N2" s="1" t="s">
        <v>60</v>
      </c>
      <c r="S2" s="10"/>
      <c r="T2" s="10"/>
    </row>
    <row r="3" spans="2:20" x14ac:dyDescent="0.45">
      <c r="C3" s="1" t="s">
        <v>0</v>
      </c>
      <c r="D3" s="1" t="s">
        <v>15</v>
      </c>
      <c r="G3" s="1" t="s">
        <v>159</v>
      </c>
      <c r="H3" s="1" t="s">
        <v>27</v>
      </c>
      <c r="I3" s="1" t="s">
        <v>45</v>
      </c>
      <c r="J3" s="1" t="s">
        <v>162</v>
      </c>
      <c r="M3" s="1">
        <v>1</v>
      </c>
      <c r="N3" s="1">
        <v>36</v>
      </c>
      <c r="P3" s="3" t="s">
        <v>163</v>
      </c>
    </row>
    <row r="4" spans="2:20" x14ac:dyDescent="0.45">
      <c r="C4" s="1" t="s">
        <v>1</v>
      </c>
      <c r="D4" s="1" t="s">
        <v>16</v>
      </c>
      <c r="H4" s="1" t="s">
        <v>28</v>
      </c>
      <c r="I4" s="1" t="s">
        <v>46</v>
      </c>
      <c r="M4" s="1">
        <v>2</v>
      </c>
      <c r="N4" s="1">
        <v>35</v>
      </c>
    </row>
    <row r="5" spans="2:20" x14ac:dyDescent="0.45">
      <c r="C5" s="1" t="s">
        <v>2</v>
      </c>
      <c r="D5" s="1" t="s">
        <v>17</v>
      </c>
      <c r="H5" s="1" t="s">
        <v>29</v>
      </c>
      <c r="I5" s="1" t="s">
        <v>47</v>
      </c>
      <c r="M5" s="1">
        <v>3</v>
      </c>
      <c r="N5" s="1">
        <v>34</v>
      </c>
    </row>
    <row r="6" spans="2:20" x14ac:dyDescent="0.45">
      <c r="C6" s="1" t="s">
        <v>3</v>
      </c>
      <c r="D6" s="1" t="s">
        <v>8</v>
      </c>
      <c r="H6" s="1" t="s">
        <v>30</v>
      </c>
      <c r="I6" s="1" t="s">
        <v>48</v>
      </c>
      <c r="M6" s="1">
        <v>4</v>
      </c>
      <c r="N6" s="1">
        <v>33</v>
      </c>
    </row>
    <row r="7" spans="2:20" x14ac:dyDescent="0.45">
      <c r="C7" s="1" t="s">
        <v>90</v>
      </c>
      <c r="D7" s="1" t="s">
        <v>4</v>
      </c>
      <c r="H7" s="1" t="s">
        <v>8</v>
      </c>
      <c r="I7" s="1" t="s">
        <v>138</v>
      </c>
      <c r="M7" s="1">
        <v>5</v>
      </c>
      <c r="N7" s="1">
        <v>32</v>
      </c>
    </row>
    <row r="8" spans="2:20" x14ac:dyDescent="0.45">
      <c r="C8" s="1" t="s">
        <v>91</v>
      </c>
      <c r="D8" s="1" t="s">
        <v>18</v>
      </c>
      <c r="G8" s="1" t="s">
        <v>160</v>
      </c>
      <c r="H8" s="1" t="s">
        <v>31</v>
      </c>
      <c r="I8" s="1" t="s">
        <v>49</v>
      </c>
      <c r="M8" s="1">
        <v>6</v>
      </c>
      <c r="N8" s="1">
        <v>31</v>
      </c>
    </row>
    <row r="9" spans="2:20" x14ac:dyDescent="0.45">
      <c r="C9" s="1" t="s">
        <v>5</v>
      </c>
      <c r="D9" s="1" t="s">
        <v>107</v>
      </c>
      <c r="H9" s="1" t="s">
        <v>32</v>
      </c>
      <c r="I9" s="1" t="s">
        <v>50</v>
      </c>
      <c r="M9" s="1">
        <v>7</v>
      </c>
      <c r="N9" s="1">
        <v>30</v>
      </c>
    </row>
    <row r="10" spans="2:20" x14ac:dyDescent="0.45">
      <c r="C10" s="1" t="s">
        <v>6</v>
      </c>
      <c r="D10" s="2" t="s">
        <v>108</v>
      </c>
      <c r="E10" s="2"/>
      <c r="F10" s="2"/>
      <c r="H10" s="1" t="s">
        <v>33</v>
      </c>
      <c r="I10" s="1" t="s">
        <v>51</v>
      </c>
      <c r="M10" s="1">
        <v>8</v>
      </c>
      <c r="N10" s="1">
        <v>29</v>
      </c>
    </row>
    <row r="11" spans="2:20" x14ac:dyDescent="0.45">
      <c r="C11" s="1" t="s">
        <v>7</v>
      </c>
      <c r="D11" s="2" t="s">
        <v>19</v>
      </c>
      <c r="E11" s="2"/>
      <c r="F11" s="2"/>
      <c r="H11" s="1" t="s">
        <v>34</v>
      </c>
      <c r="I11" s="1" t="s">
        <v>139</v>
      </c>
      <c r="M11" s="1">
        <v>9</v>
      </c>
      <c r="N11" s="1">
        <v>28</v>
      </c>
    </row>
    <row r="12" spans="2:20" x14ac:dyDescent="0.45">
      <c r="C12" s="1" t="s">
        <v>8</v>
      </c>
      <c r="D12" s="1" t="s">
        <v>8</v>
      </c>
      <c r="H12" s="1" t="s">
        <v>35</v>
      </c>
      <c r="I12" s="1" t="s">
        <v>8</v>
      </c>
      <c r="M12" s="1">
        <v>10</v>
      </c>
      <c r="N12" s="1">
        <v>27</v>
      </c>
    </row>
    <row r="13" spans="2:20" x14ac:dyDescent="0.45">
      <c r="C13" s="1" t="s">
        <v>9</v>
      </c>
      <c r="D13" s="1" t="s">
        <v>8</v>
      </c>
      <c r="H13" s="1" t="s">
        <v>36</v>
      </c>
      <c r="I13" s="1" t="s">
        <v>52</v>
      </c>
      <c r="M13" s="1">
        <v>11</v>
      </c>
      <c r="N13" s="1">
        <v>26</v>
      </c>
    </row>
    <row r="14" spans="2:20" x14ac:dyDescent="0.45">
      <c r="B14" s="1" t="s">
        <v>164</v>
      </c>
      <c r="C14" s="1" t="s">
        <v>10</v>
      </c>
      <c r="D14" s="1" t="s">
        <v>20</v>
      </c>
      <c r="H14" s="1" t="s">
        <v>37</v>
      </c>
      <c r="I14" s="1" t="s">
        <v>53</v>
      </c>
      <c r="M14" s="1">
        <v>12</v>
      </c>
      <c r="N14" s="1">
        <v>25</v>
      </c>
    </row>
    <row r="15" spans="2:20" x14ac:dyDescent="0.45">
      <c r="C15" s="1" t="s">
        <v>4</v>
      </c>
      <c r="D15" s="1" t="s">
        <v>4</v>
      </c>
      <c r="H15" s="1" t="s">
        <v>38</v>
      </c>
      <c r="I15" s="1" t="s">
        <v>54</v>
      </c>
      <c r="M15" s="1">
        <v>13</v>
      </c>
      <c r="N15" s="1">
        <v>24</v>
      </c>
    </row>
    <row r="16" spans="2:20" x14ac:dyDescent="0.45">
      <c r="C16" s="1" t="s">
        <v>4</v>
      </c>
      <c r="D16" s="1" t="s">
        <v>21</v>
      </c>
      <c r="H16" s="1" t="s">
        <v>39</v>
      </c>
      <c r="I16" s="1" t="s">
        <v>55</v>
      </c>
      <c r="M16" s="1">
        <v>14</v>
      </c>
      <c r="N16" s="1">
        <v>23</v>
      </c>
    </row>
    <row r="17" spans="3:14" x14ac:dyDescent="0.45">
      <c r="C17" s="1" t="s">
        <v>4</v>
      </c>
      <c r="D17" s="1" t="s">
        <v>22</v>
      </c>
      <c r="G17" s="1" t="s">
        <v>161</v>
      </c>
      <c r="H17" s="1" t="s">
        <v>40</v>
      </c>
      <c r="I17" s="1" t="s">
        <v>56</v>
      </c>
      <c r="M17" s="1">
        <v>15</v>
      </c>
      <c r="N17" s="1">
        <v>22</v>
      </c>
    </row>
    <row r="18" spans="3:14" x14ac:dyDescent="0.45">
      <c r="C18" s="1" t="s">
        <v>11</v>
      </c>
      <c r="D18" s="1" t="s">
        <v>23</v>
      </c>
      <c r="H18" s="1" t="s">
        <v>41</v>
      </c>
      <c r="I18" s="1" t="s">
        <v>57</v>
      </c>
      <c r="M18" s="1">
        <v>16</v>
      </c>
      <c r="N18" s="1">
        <v>21</v>
      </c>
    </row>
    <row r="19" spans="3:14" x14ac:dyDescent="0.45">
      <c r="C19" s="1" t="s">
        <v>12</v>
      </c>
      <c r="D19" s="1" t="s">
        <v>24</v>
      </c>
      <c r="H19" s="1" t="s">
        <v>42</v>
      </c>
      <c r="I19" s="1" t="s">
        <v>58</v>
      </c>
      <c r="M19" s="1">
        <v>17</v>
      </c>
      <c r="N19" s="1">
        <v>20</v>
      </c>
    </row>
    <row r="20" spans="3:14" x14ac:dyDescent="0.45">
      <c r="C20" s="1" t="s">
        <v>13</v>
      </c>
      <c r="D20" s="1" t="s">
        <v>26</v>
      </c>
      <c r="H20" s="1" t="s">
        <v>43</v>
      </c>
      <c r="I20" s="1" t="s">
        <v>140</v>
      </c>
      <c r="M20" s="1">
        <v>18</v>
      </c>
      <c r="N20" s="1">
        <v>19</v>
      </c>
    </row>
    <row r="21" spans="3:14" x14ac:dyDescent="0.45">
      <c r="C21" s="1" t="s">
        <v>14</v>
      </c>
      <c r="D21" s="1" t="s">
        <v>25</v>
      </c>
      <c r="H21" s="1" t="s">
        <v>44</v>
      </c>
      <c r="I21" s="1" t="s">
        <v>141</v>
      </c>
      <c r="M21" s="1">
        <v>19</v>
      </c>
      <c r="N21" s="1">
        <v>18</v>
      </c>
    </row>
    <row r="22" spans="3:14" x14ac:dyDescent="0.45">
      <c r="C22" s="1" t="s">
        <v>93</v>
      </c>
      <c r="D22" s="1" t="s">
        <v>109</v>
      </c>
      <c r="H22" s="1" t="s">
        <v>8</v>
      </c>
      <c r="I22" s="1" t="s">
        <v>142</v>
      </c>
      <c r="M22" s="1">
        <v>20</v>
      </c>
      <c r="N22" s="1">
        <v>17</v>
      </c>
    </row>
    <row r="23" spans="3:14" x14ac:dyDescent="0.45">
      <c r="C23" s="1" t="s">
        <v>94</v>
      </c>
      <c r="D23" s="1" t="s">
        <v>110</v>
      </c>
      <c r="H23" s="1" t="s">
        <v>124</v>
      </c>
      <c r="I23" s="1" t="s">
        <v>156</v>
      </c>
      <c r="M23" s="1">
        <v>21</v>
      </c>
      <c r="N23" s="1">
        <v>16</v>
      </c>
    </row>
    <row r="24" spans="3:14" x14ac:dyDescent="0.45">
      <c r="C24" s="1" t="s">
        <v>95</v>
      </c>
      <c r="D24" s="1" t="s">
        <v>111</v>
      </c>
      <c r="H24" s="1" t="s">
        <v>125</v>
      </c>
      <c r="I24" s="1" t="s">
        <v>143</v>
      </c>
      <c r="M24" s="1">
        <v>22</v>
      </c>
      <c r="N24" s="1">
        <v>15</v>
      </c>
    </row>
    <row r="25" spans="3:14" x14ac:dyDescent="0.45">
      <c r="C25" s="1" t="s">
        <v>96</v>
      </c>
      <c r="D25" s="1" t="s">
        <v>112</v>
      </c>
      <c r="H25" s="1" t="s">
        <v>126</v>
      </c>
      <c r="I25" s="1" t="s">
        <v>144</v>
      </c>
      <c r="M25" s="1">
        <v>23</v>
      </c>
      <c r="N25" s="1">
        <v>14</v>
      </c>
    </row>
    <row r="26" spans="3:14" x14ac:dyDescent="0.45">
      <c r="C26" s="1" t="s">
        <v>97</v>
      </c>
      <c r="D26" s="1" t="s">
        <v>113</v>
      </c>
      <c r="H26" s="1" t="s">
        <v>127</v>
      </c>
      <c r="I26" s="1" t="s">
        <v>145</v>
      </c>
      <c r="M26" s="1">
        <v>24</v>
      </c>
      <c r="N26" s="1">
        <v>13</v>
      </c>
    </row>
    <row r="27" spans="3:14" x14ac:dyDescent="0.45">
      <c r="C27" s="1" t="s">
        <v>8</v>
      </c>
      <c r="D27" s="1" t="s">
        <v>114</v>
      </c>
      <c r="H27" s="1" t="s">
        <v>128</v>
      </c>
      <c r="I27" s="1" t="s">
        <v>146</v>
      </c>
      <c r="M27" s="1">
        <v>25</v>
      </c>
      <c r="N27" s="1">
        <v>12</v>
      </c>
    </row>
    <row r="28" spans="3:14" x14ac:dyDescent="0.45">
      <c r="C28" s="1" t="s">
        <v>92</v>
      </c>
      <c r="D28" s="1" t="s">
        <v>115</v>
      </c>
      <c r="H28" s="1" t="s">
        <v>129</v>
      </c>
      <c r="I28" s="1" t="s">
        <v>147</v>
      </c>
      <c r="J28" s="1" t="s">
        <v>158</v>
      </c>
      <c r="M28" s="1">
        <v>26</v>
      </c>
      <c r="N28" s="1">
        <v>11</v>
      </c>
    </row>
    <row r="29" spans="3:14" x14ac:dyDescent="0.45">
      <c r="C29" s="1" t="s">
        <v>98</v>
      </c>
      <c r="D29" s="1" t="s">
        <v>116</v>
      </c>
      <c r="H29" s="1" t="s">
        <v>130</v>
      </c>
      <c r="I29" s="1" t="s">
        <v>8</v>
      </c>
      <c r="M29" s="1">
        <v>27</v>
      </c>
      <c r="N29" s="1">
        <v>10</v>
      </c>
    </row>
    <row r="30" spans="3:14" x14ac:dyDescent="0.45">
      <c r="C30" s="1" t="s">
        <v>99</v>
      </c>
      <c r="D30" s="1" t="s">
        <v>117</v>
      </c>
      <c r="H30" s="1" t="s">
        <v>131</v>
      </c>
      <c r="I30" s="1" t="s">
        <v>148</v>
      </c>
      <c r="M30" s="1">
        <v>28</v>
      </c>
      <c r="N30" s="1">
        <v>9</v>
      </c>
    </row>
    <row r="31" spans="3:14" x14ac:dyDescent="0.45">
      <c r="C31" s="1" t="s">
        <v>100</v>
      </c>
      <c r="D31" s="1" t="s">
        <v>118</v>
      </c>
      <c r="H31" s="1" t="s">
        <v>132</v>
      </c>
      <c r="I31" s="1" t="s">
        <v>149</v>
      </c>
      <c r="M31" s="1">
        <v>29</v>
      </c>
      <c r="N31" s="1">
        <v>8</v>
      </c>
    </row>
    <row r="32" spans="3:14" x14ac:dyDescent="0.45">
      <c r="C32" s="1" t="s">
        <v>101</v>
      </c>
      <c r="D32" s="1" t="s">
        <v>8</v>
      </c>
      <c r="H32" s="1" t="s">
        <v>133</v>
      </c>
      <c r="I32" s="1" t="s">
        <v>150</v>
      </c>
      <c r="M32" s="1">
        <v>30</v>
      </c>
      <c r="N32" s="1">
        <v>7</v>
      </c>
    </row>
    <row r="33" spans="3:14" x14ac:dyDescent="0.45">
      <c r="C33" s="1" t="s">
        <v>102</v>
      </c>
      <c r="D33" s="1" t="s">
        <v>119</v>
      </c>
      <c r="H33" s="1" t="s">
        <v>134</v>
      </c>
      <c r="I33" s="1" t="s">
        <v>151</v>
      </c>
      <c r="M33" s="1">
        <v>31</v>
      </c>
      <c r="N33" s="1">
        <v>6</v>
      </c>
    </row>
    <row r="34" spans="3:14" x14ac:dyDescent="0.45">
      <c r="C34" s="1" t="s">
        <v>103</v>
      </c>
      <c r="D34" s="1" t="s">
        <v>120</v>
      </c>
      <c r="H34" s="1" t="s">
        <v>8</v>
      </c>
      <c r="I34" s="1" t="s">
        <v>152</v>
      </c>
      <c r="M34" s="1">
        <v>32</v>
      </c>
      <c r="N34" s="1">
        <v>5</v>
      </c>
    </row>
    <row r="35" spans="3:14" x14ac:dyDescent="0.45">
      <c r="C35" s="1" t="s">
        <v>104</v>
      </c>
      <c r="D35" s="1" t="s">
        <v>121</v>
      </c>
      <c r="H35" s="1" t="s">
        <v>135</v>
      </c>
      <c r="I35" s="1" t="s">
        <v>153</v>
      </c>
      <c r="M35" s="1">
        <v>33</v>
      </c>
      <c r="N35" s="1">
        <v>4</v>
      </c>
    </row>
    <row r="36" spans="3:14" x14ac:dyDescent="0.45">
      <c r="C36" s="1" t="s">
        <v>105</v>
      </c>
      <c r="D36" s="1" t="s">
        <v>122</v>
      </c>
      <c r="H36" s="1" t="s">
        <v>136</v>
      </c>
      <c r="I36" s="1" t="s">
        <v>154</v>
      </c>
      <c r="M36" s="1">
        <v>34</v>
      </c>
      <c r="N36" s="1">
        <v>3</v>
      </c>
    </row>
    <row r="37" spans="3:14" x14ac:dyDescent="0.45">
      <c r="C37" s="1" t="s">
        <v>106</v>
      </c>
      <c r="D37" s="1" t="s">
        <v>123</v>
      </c>
      <c r="H37" s="1" t="s">
        <v>137</v>
      </c>
      <c r="I37" s="1" t="s">
        <v>155</v>
      </c>
      <c r="M37" s="1">
        <v>35</v>
      </c>
      <c r="N37" s="1">
        <v>2</v>
      </c>
    </row>
    <row r="38" spans="3:14" x14ac:dyDescent="0.45">
      <c r="C38" s="1" t="s">
        <v>8</v>
      </c>
      <c r="D38" s="1" t="s">
        <v>8</v>
      </c>
      <c r="H38" s="1" t="s">
        <v>8</v>
      </c>
      <c r="I38" s="1" t="s">
        <v>8</v>
      </c>
      <c r="M38" s="1">
        <v>36</v>
      </c>
      <c r="N38" s="1">
        <v>1</v>
      </c>
    </row>
  </sheetData>
  <mergeCells count="2">
    <mergeCell ref="C2:D2"/>
    <mergeCell ref="S2:T2"/>
  </mergeCells>
  <phoneticPr fontId="1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24FF9E47-944D-493A-B707-707523B9402E}">
            <xm:f>NOT(ISERROR(SEARCH($P$3,C3)))</xm:f>
            <xm:f>$P$3</xm:f>
            <x14:dxf>
              <fill>
                <patternFill>
                  <bgColor rgb="FFFFFF00"/>
                </patternFill>
              </fill>
            </x14:dxf>
          </x14:cfRule>
          <xm:sqref>C3:K38 R3:T38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F832-A945-4D56-83E7-465E3AF1A3A1}">
  <dimension ref="B2:R17"/>
  <sheetViews>
    <sheetView zoomScale="70" zoomScaleNormal="70" workbookViewId="0"/>
  </sheetViews>
  <sheetFormatPr defaultRowHeight="17" x14ac:dyDescent="0.45"/>
  <cols>
    <col min="1" max="1" width="2.58203125" customWidth="1"/>
    <col min="2" max="2" width="9.9140625" bestFit="1" customWidth="1"/>
    <col min="3" max="3" width="11.6640625" bestFit="1" customWidth="1"/>
    <col min="4" max="9" width="10.58203125" bestFit="1" customWidth="1"/>
    <col min="10" max="13" width="11.6640625" bestFit="1" customWidth="1"/>
    <col min="14" max="16" width="10.58203125" bestFit="1" customWidth="1"/>
  </cols>
  <sheetData>
    <row r="2" spans="2:18" x14ac:dyDescent="0.45">
      <c r="C2" t="s">
        <v>85</v>
      </c>
      <c r="D2" t="s">
        <v>86</v>
      </c>
    </row>
    <row r="3" spans="2:18" x14ac:dyDescent="0.45">
      <c r="B3" s="5" t="s">
        <v>83</v>
      </c>
      <c r="C3" s="6">
        <v>54</v>
      </c>
      <c r="D3" s="6">
        <f>C3*2</f>
        <v>108</v>
      </c>
    </row>
    <row r="4" spans="2:18" x14ac:dyDescent="0.45">
      <c r="B4" s="5" t="s">
        <v>70</v>
      </c>
      <c r="C4" s="6">
        <v>108</v>
      </c>
      <c r="D4" s="6">
        <f>C4*2</f>
        <v>216</v>
      </c>
      <c r="Q4" s="4"/>
      <c r="R4" s="4"/>
    </row>
    <row r="6" spans="2:18" x14ac:dyDescent="0.45">
      <c r="B6" s="5"/>
      <c r="C6" s="5" t="s">
        <v>61</v>
      </c>
      <c r="D6" s="5" t="s">
        <v>62</v>
      </c>
      <c r="E6" s="5" t="s">
        <v>63</v>
      </c>
      <c r="F6" s="5" t="s">
        <v>64</v>
      </c>
      <c r="G6" s="5" t="s">
        <v>65</v>
      </c>
      <c r="H6" s="5" t="s">
        <v>66</v>
      </c>
      <c r="I6" s="5" t="s">
        <v>67</v>
      </c>
      <c r="J6" s="5" t="s">
        <v>68</v>
      </c>
      <c r="K6" s="5" t="s">
        <v>76</v>
      </c>
      <c r="L6" s="5" t="s">
        <v>77</v>
      </c>
      <c r="M6" s="5" t="s">
        <v>78</v>
      </c>
      <c r="N6" s="5" t="s">
        <v>79</v>
      </c>
      <c r="O6" s="5" t="s">
        <v>80</v>
      </c>
      <c r="P6" s="5" t="s">
        <v>81</v>
      </c>
    </row>
    <row r="7" spans="2:18" x14ac:dyDescent="0.45">
      <c r="B7" s="5" t="s">
        <v>69</v>
      </c>
      <c r="C7" s="5" t="s">
        <v>70</v>
      </c>
      <c r="D7" s="5" t="s">
        <v>83</v>
      </c>
      <c r="E7" s="5" t="s">
        <v>83</v>
      </c>
      <c r="F7" s="5" t="s">
        <v>83</v>
      </c>
      <c r="G7" s="5" t="s">
        <v>83</v>
      </c>
      <c r="H7" s="5" t="s">
        <v>83</v>
      </c>
      <c r="I7" s="5" t="s">
        <v>83</v>
      </c>
      <c r="J7" s="5" t="s">
        <v>70</v>
      </c>
      <c r="K7" s="5" t="s">
        <v>70</v>
      </c>
      <c r="L7" s="5" t="s">
        <v>70</v>
      </c>
      <c r="M7" s="5" t="s">
        <v>70</v>
      </c>
      <c r="N7" s="5" t="s">
        <v>83</v>
      </c>
      <c r="O7" s="5" t="s">
        <v>83</v>
      </c>
      <c r="P7" s="5" t="s">
        <v>83</v>
      </c>
    </row>
    <row r="8" spans="2:18" x14ac:dyDescent="0.45">
      <c r="B8" s="5" t="s">
        <v>84</v>
      </c>
      <c r="C8" s="5">
        <v>16</v>
      </c>
      <c r="D8" s="5">
        <v>32</v>
      </c>
      <c r="E8" s="5">
        <v>16</v>
      </c>
      <c r="F8" s="5">
        <v>16</v>
      </c>
      <c r="G8" s="5">
        <v>32</v>
      </c>
      <c r="H8" s="5">
        <v>16</v>
      </c>
      <c r="I8" s="5">
        <v>16</v>
      </c>
      <c r="J8" s="5">
        <v>16</v>
      </c>
      <c r="K8" s="5">
        <v>16</v>
      </c>
      <c r="L8" s="5">
        <v>16</v>
      </c>
      <c r="M8" s="5">
        <v>16</v>
      </c>
      <c r="N8" s="5">
        <v>16</v>
      </c>
      <c r="O8" s="5">
        <v>16</v>
      </c>
      <c r="P8" s="5">
        <v>16</v>
      </c>
    </row>
    <row r="9" spans="2:18" x14ac:dyDescent="0.45">
      <c r="B9" s="5" t="s">
        <v>87</v>
      </c>
      <c r="C9" t="s">
        <v>157</v>
      </c>
    </row>
    <row r="10" spans="2:18" x14ac:dyDescent="0.45">
      <c r="B10" s="5" t="s">
        <v>82</v>
      </c>
      <c r="C10" s="7">
        <f t="shared" ref="C10:P10" si="0">IF(C7="APB2",$D$4, $D$3)</f>
        <v>216</v>
      </c>
      <c r="D10" s="7">
        <f t="shared" si="0"/>
        <v>108</v>
      </c>
      <c r="E10" s="7">
        <f t="shared" si="0"/>
        <v>108</v>
      </c>
      <c r="F10" s="7">
        <f t="shared" si="0"/>
        <v>108</v>
      </c>
      <c r="G10" s="7">
        <f t="shared" si="0"/>
        <v>108</v>
      </c>
      <c r="H10" s="7">
        <f t="shared" si="0"/>
        <v>108</v>
      </c>
      <c r="I10" s="7">
        <f t="shared" si="0"/>
        <v>108</v>
      </c>
      <c r="J10" s="7">
        <f t="shared" si="0"/>
        <v>216</v>
      </c>
      <c r="K10" s="7">
        <f t="shared" si="0"/>
        <v>216</v>
      </c>
      <c r="L10" s="7">
        <f t="shared" si="0"/>
        <v>216</v>
      </c>
      <c r="M10" s="7">
        <f t="shared" si="0"/>
        <v>216</v>
      </c>
      <c r="N10" s="7">
        <f t="shared" si="0"/>
        <v>108</v>
      </c>
      <c r="O10" s="6">
        <f t="shared" si="0"/>
        <v>108</v>
      </c>
      <c r="P10" s="6">
        <f t="shared" si="0"/>
        <v>108</v>
      </c>
    </row>
    <row r="11" spans="2:18" x14ac:dyDescent="0.45">
      <c r="B11" s="5" t="s">
        <v>71</v>
      </c>
      <c r="C11">
        <v>287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2:18" x14ac:dyDescent="0.45">
      <c r="B12" s="5" t="s">
        <v>72</v>
      </c>
      <c r="C12" s="8">
        <v>49999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2:18" x14ac:dyDescent="0.45">
      <c r="B13" s="5" t="s">
        <v>73</v>
      </c>
      <c r="C13">
        <f>C10/((C11+1)*(C12+1))</f>
        <v>1.5E-5</v>
      </c>
      <c r="D13">
        <f t="shared" ref="D13:P13" si="1">D10/((D11+1)*(D12+1))</f>
        <v>108</v>
      </c>
      <c r="E13">
        <f t="shared" si="1"/>
        <v>108</v>
      </c>
      <c r="F13">
        <f t="shared" si="1"/>
        <v>108</v>
      </c>
      <c r="G13">
        <f t="shared" si="1"/>
        <v>108</v>
      </c>
      <c r="H13">
        <f t="shared" si="1"/>
        <v>108</v>
      </c>
      <c r="I13">
        <f t="shared" si="1"/>
        <v>108</v>
      </c>
      <c r="J13">
        <f t="shared" si="1"/>
        <v>216</v>
      </c>
      <c r="K13">
        <f t="shared" si="1"/>
        <v>216</v>
      </c>
      <c r="L13">
        <f t="shared" si="1"/>
        <v>216</v>
      </c>
      <c r="M13">
        <f t="shared" si="1"/>
        <v>216</v>
      </c>
      <c r="N13">
        <f t="shared" si="1"/>
        <v>108</v>
      </c>
      <c r="O13">
        <f t="shared" si="1"/>
        <v>108</v>
      </c>
      <c r="P13">
        <f t="shared" si="1"/>
        <v>108</v>
      </c>
    </row>
    <row r="14" spans="2:18" x14ac:dyDescent="0.45">
      <c r="B14" s="5" t="s">
        <v>74</v>
      </c>
      <c r="C14">
        <f>C13*1000</f>
        <v>1.5000000000000001E-2</v>
      </c>
      <c r="D14">
        <f t="shared" ref="D14:P15" si="2">D13*1000</f>
        <v>108000</v>
      </c>
      <c r="E14">
        <f t="shared" si="2"/>
        <v>108000</v>
      </c>
      <c r="F14">
        <f t="shared" si="2"/>
        <v>108000</v>
      </c>
      <c r="G14">
        <f t="shared" si="2"/>
        <v>108000</v>
      </c>
      <c r="H14">
        <f t="shared" si="2"/>
        <v>108000</v>
      </c>
      <c r="I14">
        <f t="shared" si="2"/>
        <v>108000</v>
      </c>
      <c r="J14">
        <f t="shared" si="2"/>
        <v>216000</v>
      </c>
      <c r="K14">
        <f t="shared" si="2"/>
        <v>216000</v>
      </c>
      <c r="L14">
        <f t="shared" si="2"/>
        <v>216000</v>
      </c>
      <c r="M14">
        <f t="shared" si="2"/>
        <v>216000</v>
      </c>
      <c r="N14">
        <f t="shared" si="2"/>
        <v>108000</v>
      </c>
      <c r="O14">
        <f t="shared" si="2"/>
        <v>108000</v>
      </c>
      <c r="P14">
        <f t="shared" si="2"/>
        <v>108000</v>
      </c>
    </row>
    <row r="15" spans="2:18" x14ac:dyDescent="0.45">
      <c r="B15" s="5" t="s">
        <v>75</v>
      </c>
      <c r="C15">
        <f>C14*1000</f>
        <v>15.000000000000002</v>
      </c>
      <c r="D15">
        <f t="shared" si="2"/>
        <v>108000000</v>
      </c>
      <c r="E15">
        <f t="shared" si="2"/>
        <v>108000000</v>
      </c>
      <c r="F15">
        <f t="shared" si="2"/>
        <v>108000000</v>
      </c>
      <c r="G15">
        <f t="shared" si="2"/>
        <v>108000000</v>
      </c>
      <c r="H15">
        <f t="shared" si="2"/>
        <v>108000000</v>
      </c>
      <c r="I15">
        <f t="shared" si="2"/>
        <v>108000000</v>
      </c>
      <c r="J15">
        <f t="shared" si="2"/>
        <v>216000000</v>
      </c>
      <c r="K15">
        <f t="shared" si="2"/>
        <v>216000000</v>
      </c>
      <c r="L15">
        <f t="shared" si="2"/>
        <v>216000000</v>
      </c>
      <c r="M15">
        <f t="shared" si="2"/>
        <v>216000000</v>
      </c>
      <c r="N15">
        <f t="shared" si="2"/>
        <v>108000000</v>
      </c>
      <c r="O15">
        <f t="shared" si="2"/>
        <v>108000000</v>
      </c>
      <c r="P15">
        <f t="shared" si="2"/>
        <v>108000000</v>
      </c>
    </row>
    <row r="17" spans="3:3" x14ac:dyDescent="0.45">
      <c r="C17" s="9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1A7B-3973-4596-B7CB-0BE6A561236A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pinmap</vt:lpstr>
      <vt:lpstr>timer</vt:lpstr>
      <vt:lpstr>flash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2023-02-20T06:30:29Z</dcterms:created>
  <dcterms:modified xsi:type="dcterms:W3CDTF">2025-05-19T04:59:32Z</dcterms:modified>
</cp:coreProperties>
</file>