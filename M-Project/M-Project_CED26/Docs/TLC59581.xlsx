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ing\01_Project\Jig\M-Project\Docs\"/>
    </mc:Choice>
  </mc:AlternateContent>
  <xr:revisionPtr revIDLastSave="0" documentId="13_ncr:1_{4EA056A9-85BF-42BB-BD29-A12731FF1118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LED MAP" sheetId="5" r:id="rId1"/>
    <sheet name="CELL MAP" sheetId="8" r:id="rId2"/>
    <sheet name="LED Current" sheetId="1" r:id="rId3"/>
    <sheet name="scan_decoder" sheetId="4" r:id="rId4"/>
    <sheet name="Sheet2" sheetId="2" r:id="rId5"/>
    <sheet name="reg_map" sheetId="3" r:id="rId6"/>
    <sheet name="GS" sheetId="7" r:id="rId7"/>
    <sheet name="Sheet1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  <c r="B8" i="9"/>
  <c r="C6" i="9"/>
  <c r="C5" i="9"/>
  <c r="D2" i="9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4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4" i="8"/>
  <c r="D4" i="8"/>
  <c r="E4" i="8"/>
  <c r="F4" i="8"/>
  <c r="G4" i="8"/>
  <c r="H4" i="8"/>
  <c r="I4" i="8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K4" i="8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L4" i="8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M4" i="8"/>
  <c r="N4" i="8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P4" i="8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R4" i="8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T4" i="8"/>
  <c r="U4" i="8"/>
  <c r="V4" i="8"/>
  <c r="W4" i="8"/>
  <c r="X4" i="8"/>
  <c r="Y4" i="8"/>
  <c r="Z4" i="8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AA4" i="8"/>
  <c r="AA5" i="8" s="1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B4" i="8"/>
  <c r="AC4" i="8"/>
  <c r="D5" i="8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E5" i="8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F5" i="8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H5" i="8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I5" i="8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M5" i="8"/>
  <c r="T5" i="8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U5" i="8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V5" i="8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W5" i="8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X5" i="8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Y5" i="8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AB5" i="8"/>
  <c r="AC5" i="8"/>
  <c r="M6" i="8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AB6" i="8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C6" i="8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F5" i="8"/>
  <c r="AF5" i="5"/>
  <c r="R3" i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M5" i="5"/>
  <c r="N5" i="5"/>
  <c r="O5" i="5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Q5" i="5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R5" i="5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S5" i="5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AC5" i="5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AC37" i="5" s="1"/>
  <c r="AC38" i="5" s="1"/>
  <c r="AC39" i="5" s="1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M6" i="5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N6" i="5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G4" i="5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H4" i="5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J4" i="5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K4" i="5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L4" i="5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M4" i="5"/>
  <c r="N4" i="5"/>
  <c r="O4" i="5"/>
  <c r="P4" i="5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Q4" i="5"/>
  <c r="R4" i="5"/>
  <c r="S4" i="5"/>
  <c r="T4" i="5"/>
  <c r="U4" i="5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V4" i="5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W4" i="5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X4" i="5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Y4" i="5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Z4" i="5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AA4" i="5"/>
  <c r="AA5" i="5" s="1"/>
  <c r="AA6" i="5" s="1"/>
  <c r="AA7" i="5" s="1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A77" i="5" s="1"/>
  <c r="AA78" i="5" s="1"/>
  <c r="AA79" i="5" s="1"/>
  <c r="AA80" i="5" s="1"/>
  <c r="AB4" i="5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C4" i="5"/>
  <c r="D4" i="5"/>
  <c r="H15" i="3"/>
  <c r="E43" i="3" l="1"/>
  <c r="E17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5" i="3"/>
  <c r="H6" i="3"/>
  <c r="H7" i="3"/>
  <c r="H8" i="3"/>
  <c r="H9" i="3"/>
  <c r="H10" i="3"/>
  <c r="H11" i="3"/>
  <c r="H12" i="3"/>
  <c r="H13" i="3"/>
  <c r="H14" i="3"/>
  <c r="H16" i="3"/>
  <c r="H4" i="3"/>
  <c r="T9" i="1"/>
  <c r="T17" i="1"/>
  <c r="T16" i="1"/>
  <c r="T53" i="1" l="1"/>
  <c r="T5" i="1"/>
  <c r="T36" i="1"/>
  <c r="T63" i="1"/>
  <c r="T47" i="1"/>
  <c r="T31" i="1"/>
  <c r="T15" i="1"/>
  <c r="T46" i="1"/>
  <c r="T29" i="1"/>
  <c r="T44" i="1"/>
  <c r="T59" i="1"/>
  <c r="T43" i="1"/>
  <c r="T27" i="1"/>
  <c r="T11" i="1"/>
  <c r="T62" i="1"/>
  <c r="T28" i="1"/>
  <c r="T58" i="1"/>
  <c r="T42" i="1"/>
  <c r="T26" i="1"/>
  <c r="T10" i="1"/>
  <c r="T30" i="1"/>
  <c r="T13" i="1"/>
  <c r="T60" i="1"/>
  <c r="T41" i="1"/>
  <c r="T56" i="1"/>
  <c r="T40" i="1"/>
  <c r="T24" i="1"/>
  <c r="T8" i="1"/>
  <c r="T45" i="1"/>
  <c r="T12" i="1"/>
  <c r="T57" i="1"/>
  <c r="T55" i="1"/>
  <c r="T39" i="1"/>
  <c r="T23" i="1"/>
  <c r="T7" i="1"/>
  <c r="T14" i="1"/>
  <c r="T61" i="1"/>
  <c r="T25" i="1"/>
  <c r="T54" i="1"/>
  <c r="T38" i="1"/>
  <c r="T22" i="1"/>
  <c r="T6" i="1"/>
  <c r="T21" i="1"/>
  <c r="T52" i="1"/>
  <c r="T20" i="1"/>
  <c r="T4" i="1"/>
  <c r="T51" i="1"/>
  <c r="T35" i="1"/>
  <c r="T19" i="1"/>
  <c r="T50" i="1"/>
  <c r="T34" i="1"/>
  <c r="T18" i="1"/>
  <c r="T37" i="1"/>
  <c r="T3" i="1"/>
  <c r="T49" i="1"/>
  <c r="T33" i="1"/>
  <c r="T64" i="1"/>
  <c r="T48" i="1"/>
  <c r="T32" i="1"/>
</calcChain>
</file>

<file path=xl/sharedStrings.xml><?xml version="1.0" encoding="utf-8"?>
<sst xmlns="http://schemas.openxmlformats.org/spreadsheetml/2006/main" count="906" uniqueCount="208">
  <si>
    <t>BC DATA</t>
    <phoneticPr fontId="1" type="noConversion"/>
  </si>
  <si>
    <t>GAIN</t>
    <phoneticPr fontId="1" type="noConversion"/>
  </si>
  <si>
    <r>
      <t>R</t>
    </r>
    <r>
      <rPr>
        <vertAlign val="subscript"/>
        <sz val="11"/>
        <color theme="1"/>
        <rFont val="맑은 고딕"/>
        <family val="3"/>
        <charset val="129"/>
        <scheme val="minor"/>
      </rPr>
      <t>IREF</t>
    </r>
    <r>
      <rPr>
        <sz val="11"/>
        <color theme="1"/>
        <rFont val="맑은 고딕"/>
        <family val="2"/>
        <scheme val="minor"/>
      </rPr>
      <t>[k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2"/>
        <scheme val="minor"/>
      </rPr>
      <t>]</t>
    </r>
    <phoneticPr fontId="1" type="noConversion"/>
  </si>
  <si>
    <r>
      <t>I</t>
    </r>
    <r>
      <rPr>
        <vertAlign val="subscript"/>
        <sz val="11"/>
        <color theme="1"/>
        <rFont val="맑은 고딕"/>
        <family val="3"/>
        <charset val="129"/>
        <scheme val="minor"/>
      </rPr>
      <t>OUT</t>
    </r>
    <r>
      <rPr>
        <sz val="11"/>
        <color theme="1"/>
        <rFont val="맑은 고딕"/>
        <family val="2"/>
        <scheme val="minor"/>
      </rPr>
      <t>[mA]</t>
    </r>
    <phoneticPr fontId="1" type="noConversion"/>
  </si>
  <si>
    <r>
      <t>I</t>
    </r>
    <r>
      <rPr>
        <vertAlign val="subscript"/>
        <sz val="11"/>
        <color theme="1"/>
        <rFont val="맑은 고딕"/>
        <family val="3"/>
        <charset val="129"/>
        <scheme val="minor"/>
      </rPr>
      <t>OLCMax</t>
    </r>
    <r>
      <rPr>
        <sz val="11"/>
        <color theme="1"/>
        <rFont val="맑은 고딕"/>
        <family val="2"/>
        <scheme val="minor"/>
      </rPr>
      <t>[mA]</t>
    </r>
    <phoneticPr fontId="1" type="noConversion"/>
  </si>
  <si>
    <t>CCX</t>
    <phoneticPr fontId="1" type="noConversion"/>
  </si>
  <si>
    <t>uint64_t</t>
  </si>
  <si>
    <t>LODVTH</t>
  </si>
  <si>
    <t>:</t>
  </si>
  <si>
    <t>SEL_TD0</t>
  </si>
  <si>
    <t>LOD_REMOVAL_EN</t>
  </si>
  <si>
    <t>PREC_EN</t>
  </si>
  <si>
    <t>PREC_MODE3</t>
  </si>
  <si>
    <t>C_U_E</t>
  </si>
  <si>
    <t>CCB</t>
  </si>
  <si>
    <t>CCG</t>
  </si>
  <si>
    <t>CCR</t>
  </si>
  <si>
    <t>BC</t>
  </si>
  <si>
    <t>CMD_FC1</t>
  </si>
  <si>
    <t>MAX_LINE</t>
  </si>
  <si>
    <t>PSAVE_ENA</t>
  </si>
  <si>
    <t>SEL_GCLK_EDGE</t>
  </si>
  <si>
    <t>SEL_PCHG</t>
  </si>
  <si>
    <t>EMI_REDUCE_B</t>
  </si>
  <si>
    <t>EMI_REDUCE_G</t>
  </si>
  <si>
    <t>EMI_REDUCE_R</t>
  </si>
  <si>
    <t>SEL_PWM</t>
  </si>
  <si>
    <t>1st_LINE_ENH</t>
  </si>
  <si>
    <t>RSV_HIGH</t>
  </si>
  <si>
    <t>LGSE1_B</t>
  </si>
  <si>
    <t>LGSE1_G</t>
  </si>
  <si>
    <t>LGSE1_R</t>
  </si>
  <si>
    <t>INTERFERENCE_B</t>
  </si>
  <si>
    <t>REVERSE_V_B</t>
  </si>
  <si>
    <t>INTERFERENCE_G</t>
  </si>
  <si>
    <t>REVERSE_V_G</t>
  </si>
  <si>
    <t>INTERFERENCE_R</t>
  </si>
  <si>
    <t>REVERSE_V_R</t>
  </si>
  <si>
    <t>CMD_FC2</t>
  </si>
  <si>
    <t>length</t>
    <phoneticPr fontId="1" type="noConversion"/>
  </si>
  <si>
    <t>default [bin]</t>
    <phoneticPr fontId="1" type="noConversion"/>
  </si>
  <si>
    <t>default [DEC]</t>
    <phoneticPr fontId="1" type="noConversion"/>
  </si>
  <si>
    <t>name</t>
    <phoneticPr fontId="1" type="noConversion"/>
  </si>
  <si>
    <t>FC1</t>
    <phoneticPr fontId="1" type="noConversion"/>
  </si>
  <si>
    <t>FC2</t>
    <phoneticPr fontId="1" type="noConversion"/>
  </si>
  <si>
    <t>INPUTS</t>
    <phoneticPr fontId="1" type="noConversion"/>
  </si>
  <si>
    <t>Gx-x</t>
    <phoneticPr fontId="1" type="noConversion"/>
  </si>
  <si>
    <t>EN</t>
    <phoneticPr fontId="1" type="noConversion"/>
  </si>
  <si>
    <t>VCC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</si>
  <si>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</si>
  <si>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</si>
  <si>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</si>
  <si>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L</t>
    <phoneticPr fontId="1" type="noConversion"/>
  </si>
  <si>
    <t>H</t>
    <phoneticPr fontId="1" type="noConversion"/>
  </si>
  <si>
    <t>OUTPUTS</t>
    <phoneticPr fontId="1" type="noConversion"/>
  </si>
  <si>
    <t>G1</t>
    <phoneticPr fontId="1" type="noConversion"/>
  </si>
  <si>
    <t>G2</t>
    <phoneticPr fontId="1" type="noConversion"/>
  </si>
  <si>
    <t>G3</t>
  </si>
  <si>
    <t>G4</t>
  </si>
  <si>
    <t>G5</t>
  </si>
  <si>
    <t>G6</t>
  </si>
  <si>
    <t>G7</t>
  </si>
  <si>
    <t>G8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</si>
  <si>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</si>
  <si>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</si>
  <si>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</si>
  <si>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</si>
  <si>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</si>
  <si>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</si>
  <si>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</si>
  <si>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</si>
  <si>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</si>
  <si>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</si>
  <si>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</si>
  <si>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</si>
  <si>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</si>
  <si>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</si>
  <si>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</si>
  <si>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</si>
  <si>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</si>
  <si>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</si>
  <si>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</si>
  <si>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</si>
  <si>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</si>
  <si>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</si>
  <si>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</si>
  <si>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</si>
  <si>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</si>
  <si>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R0</t>
    <phoneticPr fontId="1" type="noConversion"/>
  </si>
  <si>
    <t>G0</t>
    <phoneticPr fontId="1" type="noConversion"/>
  </si>
  <si>
    <t>B0</t>
    <phoneticPr fontId="1" type="noConversion"/>
  </si>
  <si>
    <t>R1</t>
  </si>
  <si>
    <t>G1</t>
  </si>
  <si>
    <t>B1</t>
  </si>
  <si>
    <t>R2</t>
  </si>
  <si>
    <t>G2</t>
  </si>
  <si>
    <t>B2</t>
  </si>
  <si>
    <t>R3</t>
  </si>
  <si>
    <t>B3</t>
  </si>
  <si>
    <t>R4</t>
  </si>
  <si>
    <t>B4</t>
  </si>
  <si>
    <t>R5</t>
  </si>
  <si>
    <t>B5</t>
  </si>
  <si>
    <t>R6</t>
  </si>
  <si>
    <t>B6</t>
  </si>
  <si>
    <t>R7</t>
  </si>
  <si>
    <t>B7</t>
  </si>
  <si>
    <t>R8</t>
  </si>
  <si>
    <t>B8</t>
  </si>
  <si>
    <t>R9</t>
  </si>
  <si>
    <t>G9</t>
  </si>
  <si>
    <t>B9</t>
  </si>
  <si>
    <t>R10</t>
  </si>
  <si>
    <t>G10</t>
  </si>
  <si>
    <t>B10</t>
  </si>
  <si>
    <t>R11</t>
  </si>
  <si>
    <t>G11</t>
  </si>
  <si>
    <t>B11</t>
  </si>
  <si>
    <t>R12</t>
  </si>
  <si>
    <t>G12</t>
  </si>
  <si>
    <t>B12</t>
  </si>
  <si>
    <t>R13</t>
  </si>
  <si>
    <t>G13</t>
  </si>
  <si>
    <t>B13</t>
  </si>
  <si>
    <t>R14</t>
  </si>
  <si>
    <t>G14</t>
  </si>
  <si>
    <t>B14</t>
  </si>
  <si>
    <t>R15</t>
  </si>
  <si>
    <t>G15</t>
  </si>
  <si>
    <t>B15</t>
  </si>
  <si>
    <t>R16</t>
  </si>
  <si>
    <t>G16</t>
  </si>
  <si>
    <t>B16</t>
  </si>
  <si>
    <t>R17</t>
  </si>
  <si>
    <t>G17</t>
  </si>
  <si>
    <t>B17</t>
  </si>
  <si>
    <t>R18</t>
  </si>
  <si>
    <t>G18</t>
  </si>
  <si>
    <t>B18</t>
  </si>
  <si>
    <t>R19</t>
  </si>
  <si>
    <t>G19</t>
  </si>
  <si>
    <t>B19</t>
  </si>
  <si>
    <t>R20</t>
  </si>
  <si>
    <t>G20</t>
  </si>
  <si>
    <t>B20</t>
  </si>
  <si>
    <t>R21</t>
  </si>
  <si>
    <t>G21</t>
  </si>
  <si>
    <t>B21</t>
  </si>
  <si>
    <t>R22</t>
  </si>
  <si>
    <t>G22</t>
  </si>
  <si>
    <t>B22</t>
  </si>
  <si>
    <t>R23</t>
  </si>
  <si>
    <t>G23</t>
  </si>
  <si>
    <t>B23</t>
  </si>
  <si>
    <t>R24</t>
  </si>
  <si>
    <t>G24</t>
  </si>
  <si>
    <t>B24</t>
  </si>
  <si>
    <t>R25</t>
  </si>
  <si>
    <t>G25</t>
    <phoneticPr fontId="1" type="noConversion"/>
  </si>
  <si>
    <t>B25</t>
    <phoneticPr fontId="1" type="noConversion"/>
  </si>
  <si>
    <t>S0</t>
    <phoneticPr fontId="1" type="noConversion"/>
  </si>
  <si>
    <t>R26</t>
  </si>
  <si>
    <t>G26</t>
  </si>
  <si>
    <t>B26</t>
  </si>
  <si>
    <t>R27</t>
  </si>
  <si>
    <t>G27</t>
  </si>
  <si>
    <t>B27</t>
  </si>
  <si>
    <t>R28</t>
  </si>
  <si>
    <t>G28</t>
  </si>
  <si>
    <t>B28</t>
  </si>
  <si>
    <t>R29</t>
  </si>
  <si>
    <t>G29</t>
  </si>
  <si>
    <t>B29</t>
  </si>
  <si>
    <t>R30</t>
  </si>
  <si>
    <t>G30</t>
  </si>
  <si>
    <t>B30</t>
  </si>
  <si>
    <t>R31</t>
  </si>
  <si>
    <t>G31</t>
  </si>
  <si>
    <t>B31</t>
  </si>
  <si>
    <t>dummy</t>
    <phoneticPr fontId="1" type="noConversion"/>
  </si>
  <si>
    <t>DEV
#1</t>
    <phoneticPr fontId="1" type="noConversion"/>
  </si>
  <si>
    <t>DEV
#2</t>
    <phoneticPr fontId="1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</si>
  <si>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IREF</t>
    </r>
    <r>
      <rPr>
        <sz val="11"/>
        <color theme="1"/>
        <rFont val="맑은 고딕"/>
        <family val="2"/>
        <scheme val="minor"/>
      </rPr>
      <t xml:space="preserve"> [V]</t>
    </r>
    <phoneticPr fontId="1" type="noConversion"/>
  </si>
  <si>
    <t>total blk</t>
    <phoneticPr fontId="1" type="noConversion"/>
  </si>
  <si>
    <t>cell</t>
    <phoneticPr fontId="1" type="noConversion"/>
  </si>
  <si>
    <t>ch0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</si>
  <si>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</si>
  <si>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</si>
  <si>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</si>
  <si>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</si>
  <si>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</si>
  <si>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</si>
  <si>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</si>
  <si>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</si>
  <si>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</si>
  <si>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</si>
  <si>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</si>
  <si>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</si>
  <si>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</si>
  <si>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</si>
  <si>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</si>
  <si>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blk_num</t>
    <phoneticPr fontId="1" type="noConversion"/>
  </si>
  <si>
    <t>temp_line</t>
    <phoneticPr fontId="1" type="noConversion"/>
  </si>
  <si>
    <t>temp_ch</t>
    <phoneticPr fontId="1" type="noConversion"/>
  </si>
  <si>
    <t>Hz</t>
    <phoneticPr fontId="1" type="noConversion"/>
  </si>
  <si>
    <t>us</t>
    <phoneticPr fontId="1" type="noConversion"/>
  </si>
  <si>
    <t>SPI</t>
    <phoneticPr fontId="1" type="noConversion"/>
  </si>
  <si>
    <t>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</si>
</sst>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00"/>
    <numFmt numFmtId="178" formatCode="&quot;b_&quot;000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8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0" borderId="23" xfId="0" applyNumberFormat="1" applyFont="1" applyBorder="1" applyAlignment="1">
      <alignment horizontal="center" vertical="center"/>
    </xf>
    <xf numFmtId="178" fontId="4" fillId="0" borderId="24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4" fillId="0" borderId="25" xfId="0" applyNumberFormat="1" applyFont="1" applyBorder="1" applyAlignment="1">
      <alignment horizontal="center" vertical="center"/>
    </xf>
    <xf numFmtId="178" fontId="4" fillId="0" borderId="26" xfId="0" applyNumberFormat="1" applyFont="1" applyBorder="1" applyAlignment="1">
      <alignment horizontal="center" vertical="center"/>
    </xf>
    <xf numFmtId="178" fontId="4" fillId="0" borderId="27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178" fontId="4" fillId="0" borderId="35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57150</xdr:rowOff>
    </xdr:from>
    <xdr:to>
      <xdr:col>38</xdr:col>
      <xdr:colOff>266700</xdr:colOff>
      <xdr:row>11</xdr:row>
      <xdr:rowOff>180975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D1ACBE1B-6C68-5E2D-A670-3800755BFD61}"/>
            </a:ext>
          </a:extLst>
        </xdr:cNvPr>
        <xdr:cNvSpPr/>
      </xdr:nvSpPr>
      <xdr:spPr>
        <a:xfrm>
          <a:off x="14011275" y="1962150"/>
          <a:ext cx="866775" cy="542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Line</a:t>
          </a:r>
          <a:endParaRPr lang="ko-KR" altLang="en-US" sz="1100"/>
        </a:p>
      </xdr:txBody>
    </xdr:sp>
    <xdr:clientData/>
  </xdr:twoCellAnchor>
  <xdr:twoCellAnchor>
    <xdr:from>
      <xdr:col>30</xdr:col>
      <xdr:colOff>142875</xdr:colOff>
      <xdr:row>12</xdr:row>
      <xdr:rowOff>180975</xdr:rowOff>
    </xdr:from>
    <xdr:to>
      <xdr:col>34</xdr:col>
      <xdr:colOff>19050</xdr:colOff>
      <xdr:row>15</xdr:row>
      <xdr:rowOff>95250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1C5A5636-0DA3-2698-3F8D-FB01CFC1822F}"/>
            </a:ext>
          </a:extLst>
        </xdr:cNvPr>
        <xdr:cNvSpPr/>
      </xdr:nvSpPr>
      <xdr:spPr>
        <a:xfrm>
          <a:off x="13001625" y="2714625"/>
          <a:ext cx="828675" cy="542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ch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57150</xdr:rowOff>
    </xdr:from>
    <xdr:to>
      <xdr:col>38</xdr:col>
      <xdr:colOff>266700</xdr:colOff>
      <xdr:row>11</xdr:row>
      <xdr:rowOff>180975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E84C1F0E-4E2B-4617-8B1C-725D9BF3FEDF}"/>
            </a:ext>
          </a:extLst>
        </xdr:cNvPr>
        <xdr:cNvSpPr/>
      </xdr:nvSpPr>
      <xdr:spPr>
        <a:xfrm>
          <a:off x="14982825" y="1962150"/>
          <a:ext cx="866775" cy="542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Line</a:t>
          </a:r>
          <a:endParaRPr lang="ko-KR" altLang="en-US" sz="1100"/>
        </a:p>
      </xdr:txBody>
    </xdr:sp>
    <xdr:clientData/>
  </xdr:twoCellAnchor>
  <xdr:twoCellAnchor>
    <xdr:from>
      <xdr:col>30</xdr:col>
      <xdr:colOff>142875</xdr:colOff>
      <xdr:row>12</xdr:row>
      <xdr:rowOff>180975</xdr:rowOff>
    </xdr:from>
    <xdr:to>
      <xdr:col>34</xdr:col>
      <xdr:colOff>19050</xdr:colOff>
      <xdr:row>15</xdr:row>
      <xdr:rowOff>95250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11F69547-FBF3-45A4-9FB4-6DCADD0E5C0B}"/>
            </a:ext>
          </a:extLst>
        </xdr:cNvPr>
        <xdr:cNvSpPr/>
      </xdr:nvSpPr>
      <xdr:spPr>
        <a:xfrm>
          <a:off x="13420725" y="2714625"/>
          <a:ext cx="1381125" cy="542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ch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296369</xdr:colOff>
      <xdr:row>22</xdr:row>
      <xdr:rowOff>57775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EB86995-7D2C-4D10-AA45-36084230C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7840169" cy="4477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629216</xdr:colOff>
      <xdr:row>24</xdr:row>
      <xdr:rowOff>38135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DB1943-2889-4A40-9D55-657ACA36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838700"/>
          <a:ext cx="4058216" cy="247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324876</xdr:colOff>
      <xdr:row>58</xdr:row>
      <xdr:rowOff>104850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3B48CE8-DD2D-4EBB-861A-FE2E3F92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257800"/>
          <a:ext cx="6497076" cy="702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</xdr:row>
      <xdr:rowOff>0</xdr:rowOff>
    </xdr:from>
    <xdr:to>
      <xdr:col>11</xdr:col>
      <xdr:colOff>143855</xdr:colOff>
      <xdr:row>25</xdr:row>
      <xdr:rowOff>115018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D48046-5E4C-AAF2-C985-30ACF3EFE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9550"/>
          <a:ext cx="7020905" cy="51442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143469</xdr:colOff>
      <xdr:row>30</xdr:row>
      <xdr:rowOff>115164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2EA22B0-8B30-45C0-81F4-520A1D65B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4258269" cy="6192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DBB6-5587-440E-86BA-5C9E2B244CDA}">
  <dimension ref="B1:AF120"/>
  <sheetViews>
    <sheetView tabSelected="1" zoomScale="85" zoomScaleNormal="85" workbookViewId="0"/>
  </sheetViews>
  <sheetFormatPr defaultRowHeight="16.899999999999999" x14ac:dyDescent="0.6"/>
  <cols>
    <col min="1" max="1" width="2.625" style="26" customWidth="1"/>
    <col min="2" max="2" width="5.5" style="26" customWidth="1"/>
    <col min="3" max="3" width="5.5" style="26" bestFit="1" customWidth="1"/>
    <col min="4" max="29" width="6" style="26" bestFit="1" customWidth="1"/>
    <col min="30" max="30" width="4.625" style="26" customWidth="1"/>
    <col min="31" max="31" width="8.625" style="26" bestFit="1" customWidth="1"/>
    <col min="32" max="32" width="5.875" style="26" bestFit="1" customWidth="1"/>
    <col min="33" max="38" width="2.625" style="26" customWidth="1"/>
    <col min="39" max="16384" width="9" style="26"/>
  </cols>
  <sheetData>
    <row r="1" spans="2:32" ht="17.25" thickBot="1" x14ac:dyDescent="0.65"/>
    <row r="2" spans="2:32" ht="17.25" thickBot="1" x14ac:dyDescent="0.65">
      <c r="D2" s="27" t="s">
        <v>160</v>
      </c>
      <c r="E2" s="28" t="s">
        <v>63</v>
      </c>
      <c r="F2" s="28" t="s">
        <v>64</v>
      </c>
      <c r="G2" s="28" t="s">
        <v>65</v>
      </c>
      <c r="H2" s="28" t="s">
        <v>66</v>
      </c>
      <c r="I2" s="28" t="s">
        <v>67</v>
      </c>
      <c r="J2" s="28" t="s">
        <v>68</v>
      </c>
      <c r="K2" s="28" t="s">
        <v>69</v>
      </c>
      <c r="L2" s="28" t="s">
        <v>70</v>
      </c>
      <c r="M2" s="28" t="s">
        <v>71</v>
      </c>
      <c r="N2" s="28" t="s">
        <v>72</v>
      </c>
      <c r="O2" s="28" t="s">
        <v>73</v>
      </c>
      <c r="P2" s="28" t="s">
        <v>74</v>
      </c>
      <c r="Q2" s="28" t="s">
        <v>75</v>
      </c>
      <c r="R2" s="28" t="s">
        <v>76</v>
      </c>
      <c r="S2" s="28" t="s">
        <v>77</v>
      </c>
      <c r="T2" s="28" t="s">
        <v>78</v>
      </c>
      <c r="U2" s="28" t="s">
        <v>79</v>
      </c>
      <c r="V2" s="28" t="s">
        <v>80</v>
      </c>
      <c r="W2" s="28" t="s">
        <v>81</v>
      </c>
      <c r="X2" s="28" t="s">
        <v>82</v>
      </c>
      <c r="Y2" s="28" t="s">
        <v>83</v>
      </c>
      <c r="Z2" s="28" t="s">
        <v>84</v>
      </c>
      <c r="AA2" s="28" t="s">
        <v>85</v>
      </c>
      <c r="AB2" s="28" t="s">
        <v>86</v>
      </c>
      <c r="AC2" s="29" t="s">
        <v>87</v>
      </c>
    </row>
    <row r="3" spans="2:32" x14ac:dyDescent="0.6">
      <c r="B3" s="52" t="s">
        <v>180</v>
      </c>
      <c r="C3" s="41" t="s">
        <v>88</v>
      </c>
      <c r="D3" s="44">
        <v>0</v>
      </c>
      <c r="E3" s="31">
        <v>1</v>
      </c>
      <c r="F3" s="31">
        <v>2</v>
      </c>
      <c r="G3" s="31">
        <v>3</v>
      </c>
      <c r="H3" s="31">
        <v>4</v>
      </c>
      <c r="I3" s="31">
        <v>5</v>
      </c>
      <c r="J3" s="31">
        <v>6</v>
      </c>
      <c r="K3" s="31">
        <v>7</v>
      </c>
      <c r="L3" s="31">
        <v>8</v>
      </c>
      <c r="M3" s="31">
        <v>9</v>
      </c>
      <c r="N3" s="31">
        <v>10</v>
      </c>
      <c r="O3" s="31">
        <v>11</v>
      </c>
      <c r="P3" s="31">
        <v>12</v>
      </c>
      <c r="Q3" s="31">
        <v>13</v>
      </c>
      <c r="R3" s="31">
        <v>14</v>
      </c>
      <c r="S3" s="31">
        <v>15</v>
      </c>
      <c r="T3" s="31">
        <v>16</v>
      </c>
      <c r="U3" s="31">
        <v>17</v>
      </c>
      <c r="V3" s="31">
        <v>18</v>
      </c>
      <c r="W3" s="31">
        <v>19</v>
      </c>
      <c r="X3" s="31">
        <v>20</v>
      </c>
      <c r="Y3" s="31">
        <v>21</v>
      </c>
      <c r="Z3" s="31">
        <v>22</v>
      </c>
      <c r="AA3" s="31">
        <v>23</v>
      </c>
      <c r="AB3" s="31">
        <v>24</v>
      </c>
      <c r="AC3" s="32">
        <v>25</v>
      </c>
      <c r="AE3" s="26" t="s">
        <v>183</v>
      </c>
      <c r="AF3" s="26">
        <v>2028</v>
      </c>
    </row>
    <row r="4" spans="2:32" x14ac:dyDescent="0.6">
      <c r="B4" s="53"/>
      <c r="C4" s="42" t="s">
        <v>89</v>
      </c>
      <c r="D4" s="45">
        <f>D3+26</f>
        <v>26</v>
      </c>
      <c r="E4" s="30">
        <f t="shared" ref="E4:AC4" si="0">E3+26</f>
        <v>27</v>
      </c>
      <c r="F4" s="30">
        <f t="shared" si="0"/>
        <v>28</v>
      </c>
      <c r="G4" s="30">
        <f t="shared" si="0"/>
        <v>29</v>
      </c>
      <c r="H4" s="30">
        <f t="shared" si="0"/>
        <v>30</v>
      </c>
      <c r="I4" s="30">
        <f t="shared" si="0"/>
        <v>31</v>
      </c>
      <c r="J4" s="30">
        <f t="shared" si="0"/>
        <v>32</v>
      </c>
      <c r="K4" s="30">
        <f t="shared" si="0"/>
        <v>33</v>
      </c>
      <c r="L4" s="30">
        <f t="shared" si="0"/>
        <v>34</v>
      </c>
      <c r="M4" s="30">
        <f t="shared" si="0"/>
        <v>35</v>
      </c>
      <c r="N4" s="30">
        <f t="shared" si="0"/>
        <v>36</v>
      </c>
      <c r="O4" s="30">
        <f t="shared" si="0"/>
        <v>37</v>
      </c>
      <c r="P4" s="30">
        <f t="shared" si="0"/>
        <v>38</v>
      </c>
      <c r="Q4" s="30">
        <f t="shared" si="0"/>
        <v>39</v>
      </c>
      <c r="R4" s="30">
        <f t="shared" si="0"/>
        <v>40</v>
      </c>
      <c r="S4" s="30">
        <f t="shared" si="0"/>
        <v>41</v>
      </c>
      <c r="T4" s="30">
        <f t="shared" si="0"/>
        <v>42</v>
      </c>
      <c r="U4" s="30">
        <f t="shared" si="0"/>
        <v>43</v>
      </c>
      <c r="V4" s="30">
        <f t="shared" si="0"/>
        <v>44</v>
      </c>
      <c r="W4" s="30">
        <f t="shared" si="0"/>
        <v>45</v>
      </c>
      <c r="X4" s="30">
        <f t="shared" si="0"/>
        <v>46</v>
      </c>
      <c r="Y4" s="30">
        <f t="shared" si="0"/>
        <v>47</v>
      </c>
      <c r="Z4" s="30">
        <f t="shared" si="0"/>
        <v>48</v>
      </c>
      <c r="AA4" s="30">
        <f t="shared" si="0"/>
        <v>49</v>
      </c>
      <c r="AB4" s="30">
        <f t="shared" si="0"/>
        <v>50</v>
      </c>
      <c r="AC4" s="33">
        <f t="shared" si="0"/>
        <v>51</v>
      </c>
    </row>
    <row r="5" spans="2:32" x14ac:dyDescent="0.6">
      <c r="B5" s="53"/>
      <c r="C5" s="42" t="s">
        <v>90</v>
      </c>
      <c r="D5" s="45">
        <f t="shared" ref="D5:D68" si="1">D4+26</f>
        <v>52</v>
      </c>
      <c r="E5" s="30">
        <f t="shared" ref="E5:E68" si="2">E4+26</f>
        <v>53</v>
      </c>
      <c r="F5" s="30">
        <f t="shared" ref="F5:F68" si="3">F4+26</f>
        <v>54</v>
      </c>
      <c r="G5" s="30">
        <f t="shared" ref="G5:G68" si="4">G4+26</f>
        <v>55</v>
      </c>
      <c r="H5" s="30">
        <f t="shared" ref="H5:H68" si="5">H4+26</f>
        <v>56</v>
      </c>
      <c r="I5" s="30">
        <f t="shared" ref="I5:I68" si="6">I4+26</f>
        <v>57</v>
      </c>
      <c r="J5" s="30">
        <f t="shared" ref="J5:J68" si="7">J4+26</f>
        <v>58</v>
      </c>
      <c r="K5" s="30">
        <f t="shared" ref="K5:K68" si="8">K4+26</f>
        <v>59</v>
      </c>
      <c r="L5" s="30">
        <f t="shared" ref="L5:L68" si="9">L4+26</f>
        <v>60</v>
      </c>
      <c r="M5" s="30">
        <f t="shared" ref="M5:M68" si="10">M4+26</f>
        <v>61</v>
      </c>
      <c r="N5" s="30">
        <f t="shared" ref="N5:N68" si="11">N4+26</f>
        <v>62</v>
      </c>
      <c r="O5" s="30">
        <f t="shared" ref="O5:O68" si="12">O4+26</f>
        <v>63</v>
      </c>
      <c r="P5" s="30">
        <f t="shared" ref="P5:P68" si="13">P4+26</f>
        <v>64</v>
      </c>
      <c r="Q5" s="30">
        <f t="shared" ref="Q5:Q68" si="14">Q4+26</f>
        <v>65</v>
      </c>
      <c r="R5" s="30">
        <f t="shared" ref="R5:R68" si="15">R4+26</f>
        <v>66</v>
      </c>
      <c r="S5" s="30">
        <f t="shared" ref="S5:S68" si="16">S4+26</f>
        <v>67</v>
      </c>
      <c r="T5" s="30">
        <f t="shared" ref="T5:T68" si="17">T4+26</f>
        <v>68</v>
      </c>
      <c r="U5" s="30">
        <f t="shared" ref="U5:U68" si="18">U4+26</f>
        <v>69</v>
      </c>
      <c r="V5" s="30">
        <f t="shared" ref="V5:V68" si="19">V4+26</f>
        <v>70</v>
      </c>
      <c r="W5" s="30">
        <f t="shared" ref="W5:W68" si="20">W4+26</f>
        <v>71</v>
      </c>
      <c r="X5" s="30">
        <f t="shared" ref="X5:X68" si="21">X4+26</f>
        <v>72</v>
      </c>
      <c r="Y5" s="30">
        <f t="shared" ref="Y5:Y68" si="22">Y4+26</f>
        <v>73</v>
      </c>
      <c r="Z5" s="30">
        <f t="shared" ref="Z5:Z68" si="23">Z4+26</f>
        <v>74</v>
      </c>
      <c r="AA5" s="30">
        <f t="shared" ref="AA5:AA68" si="24">AA4+26</f>
        <v>75</v>
      </c>
      <c r="AB5" s="30">
        <f t="shared" ref="AB5:AB68" si="25">AB4+26</f>
        <v>76</v>
      </c>
      <c r="AC5" s="33">
        <f t="shared" ref="AC5:AC68" si="26">AC4+26</f>
        <v>77</v>
      </c>
      <c r="AE5" s="26" t="s">
        <v>184</v>
      </c>
      <c r="AF5" s="26">
        <f>AF3/3</f>
        <v>676</v>
      </c>
    </row>
    <row r="6" spans="2:32" x14ac:dyDescent="0.6">
      <c r="B6" s="53"/>
      <c r="C6" s="42" t="s">
        <v>91</v>
      </c>
      <c r="D6" s="45">
        <f t="shared" si="1"/>
        <v>78</v>
      </c>
      <c r="E6" s="30">
        <f t="shared" si="2"/>
        <v>79</v>
      </c>
      <c r="F6" s="30">
        <f t="shared" si="3"/>
        <v>80</v>
      </c>
      <c r="G6" s="30">
        <f t="shared" si="4"/>
        <v>81</v>
      </c>
      <c r="H6" s="30">
        <f t="shared" si="5"/>
        <v>82</v>
      </c>
      <c r="I6" s="30">
        <f t="shared" si="6"/>
        <v>83</v>
      </c>
      <c r="J6" s="30">
        <f t="shared" si="7"/>
        <v>84</v>
      </c>
      <c r="K6" s="30">
        <f t="shared" si="8"/>
        <v>85</v>
      </c>
      <c r="L6" s="30">
        <f t="shared" si="9"/>
        <v>86</v>
      </c>
      <c r="M6" s="30">
        <f t="shared" si="10"/>
        <v>87</v>
      </c>
      <c r="N6" s="30">
        <f t="shared" si="11"/>
        <v>88</v>
      </c>
      <c r="O6" s="30">
        <f t="shared" si="12"/>
        <v>89</v>
      </c>
      <c r="P6" s="30">
        <f t="shared" si="13"/>
        <v>90</v>
      </c>
      <c r="Q6" s="30">
        <f t="shared" si="14"/>
        <v>91</v>
      </c>
      <c r="R6" s="30">
        <f t="shared" si="15"/>
        <v>92</v>
      </c>
      <c r="S6" s="30">
        <f t="shared" si="16"/>
        <v>93</v>
      </c>
      <c r="T6" s="30">
        <f t="shared" si="17"/>
        <v>94</v>
      </c>
      <c r="U6" s="30">
        <f t="shared" si="18"/>
        <v>95</v>
      </c>
      <c r="V6" s="30">
        <f t="shared" si="19"/>
        <v>96</v>
      </c>
      <c r="W6" s="30">
        <f t="shared" si="20"/>
        <v>97</v>
      </c>
      <c r="X6" s="30">
        <f t="shared" si="21"/>
        <v>98</v>
      </c>
      <c r="Y6" s="30">
        <f t="shared" si="22"/>
        <v>99</v>
      </c>
      <c r="Z6" s="30">
        <f t="shared" si="23"/>
        <v>100</v>
      </c>
      <c r="AA6" s="30">
        <f t="shared" si="24"/>
        <v>101</v>
      </c>
      <c r="AB6" s="30">
        <f t="shared" si="25"/>
        <v>102</v>
      </c>
      <c r="AC6" s="33">
        <f t="shared" si="26"/>
        <v>103</v>
      </c>
    </row>
    <row r="7" spans="2:32" x14ac:dyDescent="0.6">
      <c r="B7" s="53"/>
      <c r="C7" s="42" t="s">
        <v>92</v>
      </c>
      <c r="D7" s="45">
        <f t="shared" si="1"/>
        <v>104</v>
      </c>
      <c r="E7" s="30">
        <f t="shared" si="2"/>
        <v>105</v>
      </c>
      <c r="F7" s="30">
        <f t="shared" si="3"/>
        <v>106</v>
      </c>
      <c r="G7" s="30">
        <f t="shared" si="4"/>
        <v>107</v>
      </c>
      <c r="H7" s="30">
        <f t="shared" si="5"/>
        <v>108</v>
      </c>
      <c r="I7" s="30">
        <f t="shared" si="6"/>
        <v>109</v>
      </c>
      <c r="J7" s="30">
        <f t="shared" si="7"/>
        <v>110</v>
      </c>
      <c r="K7" s="30">
        <f t="shared" si="8"/>
        <v>111</v>
      </c>
      <c r="L7" s="30">
        <f t="shared" si="9"/>
        <v>112</v>
      </c>
      <c r="M7" s="30">
        <f t="shared" si="10"/>
        <v>113</v>
      </c>
      <c r="N7" s="30">
        <f t="shared" si="11"/>
        <v>114</v>
      </c>
      <c r="O7" s="30">
        <f t="shared" si="12"/>
        <v>115</v>
      </c>
      <c r="P7" s="30">
        <f t="shared" si="13"/>
        <v>116</v>
      </c>
      <c r="Q7" s="30">
        <f t="shared" si="14"/>
        <v>117</v>
      </c>
      <c r="R7" s="30">
        <f t="shared" si="15"/>
        <v>118</v>
      </c>
      <c r="S7" s="30">
        <f t="shared" si="16"/>
        <v>119</v>
      </c>
      <c r="T7" s="30">
        <f t="shared" si="17"/>
        <v>120</v>
      </c>
      <c r="U7" s="30">
        <f t="shared" si="18"/>
        <v>121</v>
      </c>
      <c r="V7" s="30">
        <f t="shared" si="19"/>
        <v>122</v>
      </c>
      <c r="W7" s="30">
        <f t="shared" si="20"/>
        <v>123</v>
      </c>
      <c r="X7" s="30">
        <f t="shared" si="21"/>
        <v>124</v>
      </c>
      <c r="Y7" s="30">
        <f t="shared" si="22"/>
        <v>125</v>
      </c>
      <c r="Z7" s="30">
        <f t="shared" si="23"/>
        <v>126</v>
      </c>
      <c r="AA7" s="30">
        <f t="shared" si="24"/>
        <v>127</v>
      </c>
      <c r="AB7" s="30">
        <f t="shared" si="25"/>
        <v>128</v>
      </c>
      <c r="AC7" s="33">
        <f t="shared" si="26"/>
        <v>129</v>
      </c>
    </row>
    <row r="8" spans="2:32" x14ac:dyDescent="0.6">
      <c r="B8" s="53"/>
      <c r="C8" s="42" t="s">
        <v>93</v>
      </c>
      <c r="D8" s="45">
        <f t="shared" si="1"/>
        <v>130</v>
      </c>
      <c r="E8" s="30">
        <f t="shared" si="2"/>
        <v>131</v>
      </c>
      <c r="F8" s="30">
        <f t="shared" si="3"/>
        <v>132</v>
      </c>
      <c r="G8" s="30">
        <f t="shared" si="4"/>
        <v>133</v>
      </c>
      <c r="H8" s="30">
        <f t="shared" si="5"/>
        <v>134</v>
      </c>
      <c r="I8" s="30">
        <f t="shared" si="6"/>
        <v>135</v>
      </c>
      <c r="J8" s="30">
        <f t="shared" si="7"/>
        <v>136</v>
      </c>
      <c r="K8" s="30">
        <f t="shared" si="8"/>
        <v>137</v>
      </c>
      <c r="L8" s="30">
        <f t="shared" si="9"/>
        <v>138</v>
      </c>
      <c r="M8" s="30">
        <f t="shared" si="10"/>
        <v>139</v>
      </c>
      <c r="N8" s="30">
        <f t="shared" si="11"/>
        <v>140</v>
      </c>
      <c r="O8" s="30">
        <f t="shared" si="12"/>
        <v>141</v>
      </c>
      <c r="P8" s="30">
        <f t="shared" si="13"/>
        <v>142</v>
      </c>
      <c r="Q8" s="30">
        <f t="shared" si="14"/>
        <v>143</v>
      </c>
      <c r="R8" s="30">
        <f t="shared" si="15"/>
        <v>144</v>
      </c>
      <c r="S8" s="30">
        <f t="shared" si="16"/>
        <v>145</v>
      </c>
      <c r="T8" s="30">
        <f t="shared" si="17"/>
        <v>146</v>
      </c>
      <c r="U8" s="30">
        <f t="shared" si="18"/>
        <v>147</v>
      </c>
      <c r="V8" s="30">
        <f t="shared" si="19"/>
        <v>148</v>
      </c>
      <c r="W8" s="30">
        <f t="shared" si="20"/>
        <v>149</v>
      </c>
      <c r="X8" s="30">
        <f t="shared" si="21"/>
        <v>150</v>
      </c>
      <c r="Y8" s="30">
        <f t="shared" si="22"/>
        <v>151</v>
      </c>
      <c r="Z8" s="30">
        <f t="shared" si="23"/>
        <v>152</v>
      </c>
      <c r="AA8" s="30">
        <f t="shared" si="24"/>
        <v>153</v>
      </c>
      <c r="AB8" s="30">
        <f t="shared" si="25"/>
        <v>154</v>
      </c>
      <c r="AC8" s="33">
        <f t="shared" si="26"/>
        <v>155</v>
      </c>
    </row>
    <row r="9" spans="2:32" x14ac:dyDescent="0.6">
      <c r="B9" s="53"/>
      <c r="C9" s="42" t="s">
        <v>94</v>
      </c>
      <c r="D9" s="45">
        <f t="shared" si="1"/>
        <v>156</v>
      </c>
      <c r="E9" s="30">
        <f t="shared" si="2"/>
        <v>157</v>
      </c>
      <c r="F9" s="30">
        <f t="shared" si="3"/>
        <v>158</v>
      </c>
      <c r="G9" s="30">
        <f t="shared" si="4"/>
        <v>159</v>
      </c>
      <c r="H9" s="30">
        <f t="shared" si="5"/>
        <v>160</v>
      </c>
      <c r="I9" s="30">
        <f t="shared" si="6"/>
        <v>161</v>
      </c>
      <c r="J9" s="30">
        <f t="shared" si="7"/>
        <v>162</v>
      </c>
      <c r="K9" s="30">
        <f t="shared" si="8"/>
        <v>163</v>
      </c>
      <c r="L9" s="30">
        <f t="shared" si="9"/>
        <v>164</v>
      </c>
      <c r="M9" s="30">
        <f t="shared" si="10"/>
        <v>165</v>
      </c>
      <c r="N9" s="30">
        <f t="shared" si="11"/>
        <v>166</v>
      </c>
      <c r="O9" s="30">
        <f t="shared" si="12"/>
        <v>167</v>
      </c>
      <c r="P9" s="30">
        <f t="shared" si="13"/>
        <v>168</v>
      </c>
      <c r="Q9" s="30">
        <f t="shared" si="14"/>
        <v>169</v>
      </c>
      <c r="R9" s="30">
        <f t="shared" si="15"/>
        <v>170</v>
      </c>
      <c r="S9" s="30">
        <f t="shared" si="16"/>
        <v>171</v>
      </c>
      <c r="T9" s="30">
        <f t="shared" si="17"/>
        <v>172</v>
      </c>
      <c r="U9" s="30">
        <f t="shared" si="18"/>
        <v>173</v>
      </c>
      <c r="V9" s="30">
        <f t="shared" si="19"/>
        <v>174</v>
      </c>
      <c r="W9" s="30">
        <f t="shared" si="20"/>
        <v>175</v>
      </c>
      <c r="X9" s="30">
        <f t="shared" si="21"/>
        <v>176</v>
      </c>
      <c r="Y9" s="30">
        <f t="shared" si="22"/>
        <v>177</v>
      </c>
      <c r="Z9" s="30">
        <f t="shared" si="23"/>
        <v>178</v>
      </c>
      <c r="AA9" s="30">
        <f t="shared" si="24"/>
        <v>179</v>
      </c>
      <c r="AB9" s="30">
        <f t="shared" si="25"/>
        <v>180</v>
      </c>
      <c r="AC9" s="33">
        <f t="shared" si="26"/>
        <v>181</v>
      </c>
    </row>
    <row r="10" spans="2:32" x14ac:dyDescent="0.6">
      <c r="B10" s="53"/>
      <c r="C10" s="42" t="s">
        <v>95</v>
      </c>
      <c r="D10" s="45">
        <f t="shared" si="1"/>
        <v>182</v>
      </c>
      <c r="E10" s="30">
        <f t="shared" si="2"/>
        <v>183</v>
      </c>
      <c r="F10" s="30">
        <f t="shared" si="3"/>
        <v>184</v>
      </c>
      <c r="G10" s="30">
        <f t="shared" si="4"/>
        <v>185</v>
      </c>
      <c r="H10" s="30">
        <f t="shared" si="5"/>
        <v>186</v>
      </c>
      <c r="I10" s="30">
        <f t="shared" si="6"/>
        <v>187</v>
      </c>
      <c r="J10" s="30">
        <f t="shared" si="7"/>
        <v>188</v>
      </c>
      <c r="K10" s="30">
        <f t="shared" si="8"/>
        <v>189</v>
      </c>
      <c r="L10" s="30">
        <f t="shared" si="9"/>
        <v>190</v>
      </c>
      <c r="M10" s="30">
        <f t="shared" si="10"/>
        <v>191</v>
      </c>
      <c r="N10" s="30">
        <f t="shared" si="11"/>
        <v>192</v>
      </c>
      <c r="O10" s="30">
        <f t="shared" si="12"/>
        <v>193</v>
      </c>
      <c r="P10" s="30">
        <f t="shared" si="13"/>
        <v>194</v>
      </c>
      <c r="Q10" s="30">
        <f t="shared" si="14"/>
        <v>195</v>
      </c>
      <c r="R10" s="30">
        <f t="shared" si="15"/>
        <v>196</v>
      </c>
      <c r="S10" s="30">
        <f t="shared" si="16"/>
        <v>197</v>
      </c>
      <c r="T10" s="30">
        <f t="shared" si="17"/>
        <v>198</v>
      </c>
      <c r="U10" s="30">
        <f t="shared" si="18"/>
        <v>199</v>
      </c>
      <c r="V10" s="30">
        <f t="shared" si="19"/>
        <v>200</v>
      </c>
      <c r="W10" s="30">
        <f t="shared" si="20"/>
        <v>201</v>
      </c>
      <c r="X10" s="30">
        <f t="shared" si="21"/>
        <v>202</v>
      </c>
      <c r="Y10" s="30">
        <f t="shared" si="22"/>
        <v>203</v>
      </c>
      <c r="Z10" s="30">
        <f t="shared" si="23"/>
        <v>204</v>
      </c>
      <c r="AA10" s="30">
        <f t="shared" si="24"/>
        <v>205</v>
      </c>
      <c r="AB10" s="30">
        <f t="shared" si="25"/>
        <v>206</v>
      </c>
      <c r="AC10" s="33">
        <f t="shared" si="26"/>
        <v>207</v>
      </c>
    </row>
    <row r="11" spans="2:32" x14ac:dyDescent="0.6">
      <c r="B11" s="53"/>
      <c r="C11" s="42" t="s">
        <v>96</v>
      </c>
      <c r="D11" s="45">
        <f t="shared" si="1"/>
        <v>208</v>
      </c>
      <c r="E11" s="30">
        <f t="shared" si="2"/>
        <v>209</v>
      </c>
      <c r="F11" s="30">
        <f t="shared" si="3"/>
        <v>210</v>
      </c>
      <c r="G11" s="30">
        <f t="shared" si="4"/>
        <v>211</v>
      </c>
      <c r="H11" s="30">
        <f t="shared" si="5"/>
        <v>212</v>
      </c>
      <c r="I11" s="30">
        <f t="shared" si="6"/>
        <v>213</v>
      </c>
      <c r="J11" s="30">
        <f t="shared" si="7"/>
        <v>214</v>
      </c>
      <c r="K11" s="30">
        <f t="shared" si="8"/>
        <v>215</v>
      </c>
      <c r="L11" s="30">
        <f t="shared" si="9"/>
        <v>216</v>
      </c>
      <c r="M11" s="30">
        <f t="shared" si="10"/>
        <v>217</v>
      </c>
      <c r="N11" s="30">
        <f t="shared" si="11"/>
        <v>218</v>
      </c>
      <c r="O11" s="30">
        <f t="shared" si="12"/>
        <v>219</v>
      </c>
      <c r="P11" s="30">
        <f t="shared" si="13"/>
        <v>220</v>
      </c>
      <c r="Q11" s="30">
        <f t="shared" si="14"/>
        <v>221</v>
      </c>
      <c r="R11" s="30">
        <f t="shared" si="15"/>
        <v>222</v>
      </c>
      <c r="S11" s="30">
        <f t="shared" si="16"/>
        <v>223</v>
      </c>
      <c r="T11" s="30">
        <f t="shared" si="17"/>
        <v>224</v>
      </c>
      <c r="U11" s="30">
        <f t="shared" si="18"/>
        <v>225</v>
      </c>
      <c r="V11" s="30">
        <f t="shared" si="19"/>
        <v>226</v>
      </c>
      <c r="W11" s="30">
        <f t="shared" si="20"/>
        <v>227</v>
      </c>
      <c r="X11" s="30">
        <f t="shared" si="21"/>
        <v>228</v>
      </c>
      <c r="Y11" s="30">
        <f t="shared" si="22"/>
        <v>229</v>
      </c>
      <c r="Z11" s="30">
        <f t="shared" si="23"/>
        <v>230</v>
      </c>
      <c r="AA11" s="30">
        <f t="shared" si="24"/>
        <v>231</v>
      </c>
      <c r="AB11" s="30">
        <f t="shared" si="25"/>
        <v>232</v>
      </c>
      <c r="AC11" s="33">
        <f t="shared" si="26"/>
        <v>233</v>
      </c>
    </row>
    <row r="12" spans="2:32" x14ac:dyDescent="0.6">
      <c r="B12" s="53"/>
      <c r="C12" s="42" t="s">
        <v>97</v>
      </c>
      <c r="D12" s="45">
        <f t="shared" si="1"/>
        <v>234</v>
      </c>
      <c r="E12" s="30">
        <f t="shared" si="2"/>
        <v>235</v>
      </c>
      <c r="F12" s="30">
        <f t="shared" si="3"/>
        <v>236</v>
      </c>
      <c r="G12" s="30">
        <f t="shared" si="4"/>
        <v>237</v>
      </c>
      <c r="H12" s="30">
        <f t="shared" si="5"/>
        <v>238</v>
      </c>
      <c r="I12" s="30">
        <f t="shared" si="6"/>
        <v>239</v>
      </c>
      <c r="J12" s="30">
        <f t="shared" si="7"/>
        <v>240</v>
      </c>
      <c r="K12" s="30">
        <f t="shared" si="8"/>
        <v>241</v>
      </c>
      <c r="L12" s="30">
        <f t="shared" si="9"/>
        <v>242</v>
      </c>
      <c r="M12" s="30">
        <f t="shared" si="10"/>
        <v>243</v>
      </c>
      <c r="N12" s="30">
        <f t="shared" si="11"/>
        <v>244</v>
      </c>
      <c r="O12" s="30">
        <f t="shared" si="12"/>
        <v>245</v>
      </c>
      <c r="P12" s="30">
        <f t="shared" si="13"/>
        <v>246</v>
      </c>
      <c r="Q12" s="30">
        <f t="shared" si="14"/>
        <v>247</v>
      </c>
      <c r="R12" s="30">
        <f t="shared" si="15"/>
        <v>248</v>
      </c>
      <c r="S12" s="30">
        <f t="shared" si="16"/>
        <v>249</v>
      </c>
      <c r="T12" s="30">
        <f t="shared" si="17"/>
        <v>250</v>
      </c>
      <c r="U12" s="30">
        <f t="shared" si="18"/>
        <v>251</v>
      </c>
      <c r="V12" s="30">
        <f t="shared" si="19"/>
        <v>252</v>
      </c>
      <c r="W12" s="30">
        <f t="shared" si="20"/>
        <v>253</v>
      </c>
      <c r="X12" s="30">
        <f t="shared" si="21"/>
        <v>254</v>
      </c>
      <c r="Y12" s="30">
        <f t="shared" si="22"/>
        <v>255</v>
      </c>
      <c r="Z12" s="30">
        <f t="shared" si="23"/>
        <v>256</v>
      </c>
      <c r="AA12" s="30">
        <f t="shared" si="24"/>
        <v>257</v>
      </c>
      <c r="AB12" s="30">
        <f t="shared" si="25"/>
        <v>258</v>
      </c>
      <c r="AC12" s="33">
        <f t="shared" si="26"/>
        <v>259</v>
      </c>
    </row>
    <row r="13" spans="2:32" x14ac:dyDescent="0.6">
      <c r="B13" s="53"/>
      <c r="C13" s="42" t="s">
        <v>57</v>
      </c>
      <c r="D13" s="45">
        <f t="shared" si="1"/>
        <v>260</v>
      </c>
      <c r="E13" s="30">
        <f t="shared" si="2"/>
        <v>261</v>
      </c>
      <c r="F13" s="30">
        <f t="shared" si="3"/>
        <v>262</v>
      </c>
      <c r="G13" s="30">
        <f t="shared" si="4"/>
        <v>263</v>
      </c>
      <c r="H13" s="30">
        <f t="shared" si="5"/>
        <v>264</v>
      </c>
      <c r="I13" s="30">
        <f t="shared" si="6"/>
        <v>265</v>
      </c>
      <c r="J13" s="30">
        <f t="shared" si="7"/>
        <v>266</v>
      </c>
      <c r="K13" s="30">
        <f t="shared" si="8"/>
        <v>267</v>
      </c>
      <c r="L13" s="30">
        <f t="shared" si="9"/>
        <v>268</v>
      </c>
      <c r="M13" s="30">
        <f t="shared" si="10"/>
        <v>269</v>
      </c>
      <c r="N13" s="30">
        <f t="shared" si="11"/>
        <v>270</v>
      </c>
      <c r="O13" s="30">
        <f t="shared" si="12"/>
        <v>271</v>
      </c>
      <c r="P13" s="30">
        <f t="shared" si="13"/>
        <v>272</v>
      </c>
      <c r="Q13" s="30">
        <f t="shared" si="14"/>
        <v>273</v>
      </c>
      <c r="R13" s="30">
        <f t="shared" si="15"/>
        <v>274</v>
      </c>
      <c r="S13" s="30">
        <f t="shared" si="16"/>
        <v>275</v>
      </c>
      <c r="T13" s="30">
        <f t="shared" si="17"/>
        <v>276</v>
      </c>
      <c r="U13" s="30">
        <f t="shared" si="18"/>
        <v>277</v>
      </c>
      <c r="V13" s="30">
        <f t="shared" si="19"/>
        <v>278</v>
      </c>
      <c r="W13" s="30">
        <f t="shared" si="20"/>
        <v>279</v>
      </c>
      <c r="X13" s="30">
        <f t="shared" si="21"/>
        <v>280</v>
      </c>
      <c r="Y13" s="30">
        <f t="shared" si="22"/>
        <v>281</v>
      </c>
      <c r="Z13" s="30">
        <f t="shared" si="23"/>
        <v>282</v>
      </c>
      <c r="AA13" s="30">
        <f t="shared" si="24"/>
        <v>283</v>
      </c>
      <c r="AB13" s="30">
        <f t="shared" si="25"/>
        <v>284</v>
      </c>
      <c r="AC13" s="33">
        <f t="shared" si="26"/>
        <v>285</v>
      </c>
    </row>
    <row r="14" spans="2:32" x14ac:dyDescent="0.6">
      <c r="B14" s="53"/>
      <c r="C14" s="42" t="s">
        <v>98</v>
      </c>
      <c r="D14" s="45">
        <f t="shared" si="1"/>
        <v>286</v>
      </c>
      <c r="E14" s="30">
        <f t="shared" si="2"/>
        <v>287</v>
      </c>
      <c r="F14" s="30">
        <f t="shared" si="3"/>
        <v>288</v>
      </c>
      <c r="G14" s="30">
        <f t="shared" si="4"/>
        <v>289</v>
      </c>
      <c r="H14" s="30">
        <f t="shared" si="5"/>
        <v>290</v>
      </c>
      <c r="I14" s="30">
        <f t="shared" si="6"/>
        <v>291</v>
      </c>
      <c r="J14" s="30">
        <f t="shared" si="7"/>
        <v>292</v>
      </c>
      <c r="K14" s="30">
        <f t="shared" si="8"/>
        <v>293</v>
      </c>
      <c r="L14" s="30">
        <f t="shared" si="9"/>
        <v>294</v>
      </c>
      <c r="M14" s="30">
        <f t="shared" si="10"/>
        <v>295</v>
      </c>
      <c r="N14" s="30">
        <f t="shared" si="11"/>
        <v>296</v>
      </c>
      <c r="O14" s="30">
        <f t="shared" si="12"/>
        <v>297</v>
      </c>
      <c r="P14" s="30">
        <f t="shared" si="13"/>
        <v>298</v>
      </c>
      <c r="Q14" s="30">
        <f t="shared" si="14"/>
        <v>299</v>
      </c>
      <c r="R14" s="30">
        <f t="shared" si="15"/>
        <v>300</v>
      </c>
      <c r="S14" s="30">
        <f t="shared" si="16"/>
        <v>301</v>
      </c>
      <c r="T14" s="30">
        <f t="shared" si="17"/>
        <v>302</v>
      </c>
      <c r="U14" s="30">
        <f t="shared" si="18"/>
        <v>303</v>
      </c>
      <c r="V14" s="30">
        <f t="shared" si="19"/>
        <v>304</v>
      </c>
      <c r="W14" s="30">
        <f t="shared" si="20"/>
        <v>305</v>
      </c>
      <c r="X14" s="30">
        <f t="shared" si="21"/>
        <v>306</v>
      </c>
      <c r="Y14" s="30">
        <f t="shared" si="22"/>
        <v>307</v>
      </c>
      <c r="Z14" s="30">
        <f t="shared" si="23"/>
        <v>308</v>
      </c>
      <c r="AA14" s="30">
        <f t="shared" si="24"/>
        <v>309</v>
      </c>
      <c r="AB14" s="30">
        <f t="shared" si="25"/>
        <v>310</v>
      </c>
      <c r="AC14" s="33">
        <f t="shared" si="26"/>
        <v>311</v>
      </c>
    </row>
    <row r="15" spans="2:32" x14ac:dyDescent="0.6">
      <c r="B15" s="53"/>
      <c r="C15" s="42" t="s">
        <v>99</v>
      </c>
      <c r="D15" s="45">
        <f t="shared" si="1"/>
        <v>312</v>
      </c>
      <c r="E15" s="30">
        <f t="shared" si="2"/>
        <v>313</v>
      </c>
      <c r="F15" s="30">
        <f t="shared" si="3"/>
        <v>314</v>
      </c>
      <c r="G15" s="30">
        <f t="shared" si="4"/>
        <v>315</v>
      </c>
      <c r="H15" s="30">
        <f t="shared" si="5"/>
        <v>316</v>
      </c>
      <c r="I15" s="30">
        <f t="shared" si="6"/>
        <v>317</v>
      </c>
      <c r="J15" s="30">
        <f t="shared" si="7"/>
        <v>318</v>
      </c>
      <c r="K15" s="30">
        <f t="shared" si="8"/>
        <v>319</v>
      </c>
      <c r="L15" s="30">
        <f t="shared" si="9"/>
        <v>320</v>
      </c>
      <c r="M15" s="30">
        <f t="shared" si="10"/>
        <v>321</v>
      </c>
      <c r="N15" s="30">
        <f t="shared" si="11"/>
        <v>322</v>
      </c>
      <c r="O15" s="30">
        <f t="shared" si="12"/>
        <v>323</v>
      </c>
      <c r="P15" s="30">
        <f t="shared" si="13"/>
        <v>324</v>
      </c>
      <c r="Q15" s="30">
        <f t="shared" si="14"/>
        <v>325</v>
      </c>
      <c r="R15" s="30">
        <f t="shared" si="15"/>
        <v>326</v>
      </c>
      <c r="S15" s="30">
        <f t="shared" si="16"/>
        <v>327</v>
      </c>
      <c r="T15" s="30">
        <f t="shared" si="17"/>
        <v>328</v>
      </c>
      <c r="U15" s="30">
        <f t="shared" si="18"/>
        <v>329</v>
      </c>
      <c r="V15" s="30">
        <f t="shared" si="19"/>
        <v>330</v>
      </c>
      <c r="W15" s="30">
        <f t="shared" si="20"/>
        <v>331</v>
      </c>
      <c r="X15" s="30">
        <f t="shared" si="21"/>
        <v>332</v>
      </c>
      <c r="Y15" s="30">
        <f t="shared" si="22"/>
        <v>333</v>
      </c>
      <c r="Z15" s="30">
        <f t="shared" si="23"/>
        <v>334</v>
      </c>
      <c r="AA15" s="30">
        <f t="shared" si="24"/>
        <v>335</v>
      </c>
      <c r="AB15" s="30">
        <f t="shared" si="25"/>
        <v>336</v>
      </c>
      <c r="AC15" s="33">
        <f t="shared" si="26"/>
        <v>337</v>
      </c>
    </row>
    <row r="16" spans="2:32" x14ac:dyDescent="0.6">
      <c r="B16" s="53"/>
      <c r="C16" s="42" t="s">
        <v>58</v>
      </c>
      <c r="D16" s="45">
        <f t="shared" si="1"/>
        <v>338</v>
      </c>
      <c r="E16" s="30">
        <f t="shared" si="2"/>
        <v>339</v>
      </c>
      <c r="F16" s="30">
        <f t="shared" si="3"/>
        <v>340</v>
      </c>
      <c r="G16" s="30">
        <f t="shared" si="4"/>
        <v>341</v>
      </c>
      <c r="H16" s="30">
        <f t="shared" si="5"/>
        <v>342</v>
      </c>
      <c r="I16" s="30">
        <f t="shared" si="6"/>
        <v>343</v>
      </c>
      <c r="J16" s="30">
        <f t="shared" si="7"/>
        <v>344</v>
      </c>
      <c r="K16" s="30">
        <f t="shared" si="8"/>
        <v>345</v>
      </c>
      <c r="L16" s="30">
        <f t="shared" si="9"/>
        <v>346</v>
      </c>
      <c r="M16" s="30">
        <f t="shared" si="10"/>
        <v>347</v>
      </c>
      <c r="N16" s="30">
        <f t="shared" si="11"/>
        <v>348</v>
      </c>
      <c r="O16" s="30">
        <f t="shared" si="12"/>
        <v>349</v>
      </c>
      <c r="P16" s="30">
        <f t="shared" si="13"/>
        <v>350</v>
      </c>
      <c r="Q16" s="30">
        <f t="shared" si="14"/>
        <v>351</v>
      </c>
      <c r="R16" s="30">
        <f t="shared" si="15"/>
        <v>352</v>
      </c>
      <c r="S16" s="30">
        <f t="shared" si="16"/>
        <v>353</v>
      </c>
      <c r="T16" s="30">
        <f t="shared" si="17"/>
        <v>354</v>
      </c>
      <c r="U16" s="30">
        <f t="shared" si="18"/>
        <v>355</v>
      </c>
      <c r="V16" s="30">
        <f t="shared" si="19"/>
        <v>356</v>
      </c>
      <c r="W16" s="30">
        <f t="shared" si="20"/>
        <v>357</v>
      </c>
      <c r="X16" s="30">
        <f t="shared" si="21"/>
        <v>358</v>
      </c>
      <c r="Y16" s="30">
        <f t="shared" si="22"/>
        <v>359</v>
      </c>
      <c r="Z16" s="30">
        <f t="shared" si="23"/>
        <v>360</v>
      </c>
      <c r="AA16" s="30">
        <f t="shared" si="24"/>
        <v>361</v>
      </c>
      <c r="AB16" s="30">
        <f t="shared" si="25"/>
        <v>362</v>
      </c>
      <c r="AC16" s="33">
        <f t="shared" si="26"/>
        <v>363</v>
      </c>
    </row>
    <row r="17" spans="2:29" x14ac:dyDescent="0.6">
      <c r="B17" s="53"/>
      <c r="C17" s="42" t="s">
        <v>100</v>
      </c>
      <c r="D17" s="45">
        <f t="shared" si="1"/>
        <v>364</v>
      </c>
      <c r="E17" s="30">
        <f t="shared" si="2"/>
        <v>365</v>
      </c>
      <c r="F17" s="30">
        <f t="shared" si="3"/>
        <v>366</v>
      </c>
      <c r="G17" s="30">
        <f t="shared" si="4"/>
        <v>367</v>
      </c>
      <c r="H17" s="30">
        <f t="shared" si="5"/>
        <v>368</v>
      </c>
      <c r="I17" s="30">
        <f t="shared" si="6"/>
        <v>369</v>
      </c>
      <c r="J17" s="30">
        <f t="shared" si="7"/>
        <v>370</v>
      </c>
      <c r="K17" s="30">
        <f t="shared" si="8"/>
        <v>371</v>
      </c>
      <c r="L17" s="30">
        <f t="shared" si="9"/>
        <v>372</v>
      </c>
      <c r="M17" s="30">
        <f t="shared" si="10"/>
        <v>373</v>
      </c>
      <c r="N17" s="30">
        <f t="shared" si="11"/>
        <v>374</v>
      </c>
      <c r="O17" s="30">
        <f t="shared" si="12"/>
        <v>375</v>
      </c>
      <c r="P17" s="30">
        <f t="shared" si="13"/>
        <v>376</v>
      </c>
      <c r="Q17" s="30">
        <f t="shared" si="14"/>
        <v>377</v>
      </c>
      <c r="R17" s="30">
        <f t="shared" si="15"/>
        <v>378</v>
      </c>
      <c r="S17" s="30">
        <f t="shared" si="16"/>
        <v>379</v>
      </c>
      <c r="T17" s="30">
        <f t="shared" si="17"/>
        <v>380</v>
      </c>
      <c r="U17" s="30">
        <f t="shared" si="18"/>
        <v>381</v>
      </c>
      <c r="V17" s="30">
        <f t="shared" si="19"/>
        <v>382</v>
      </c>
      <c r="W17" s="30">
        <f t="shared" si="20"/>
        <v>383</v>
      </c>
      <c r="X17" s="30">
        <f t="shared" si="21"/>
        <v>384</v>
      </c>
      <c r="Y17" s="30">
        <f t="shared" si="22"/>
        <v>385</v>
      </c>
      <c r="Z17" s="30">
        <f t="shared" si="23"/>
        <v>386</v>
      </c>
      <c r="AA17" s="30">
        <f t="shared" si="24"/>
        <v>387</v>
      </c>
      <c r="AB17" s="30">
        <f t="shared" si="25"/>
        <v>388</v>
      </c>
      <c r="AC17" s="33">
        <f t="shared" si="26"/>
        <v>389</v>
      </c>
    </row>
    <row r="18" spans="2:29" x14ac:dyDescent="0.6">
      <c r="B18" s="53"/>
      <c r="C18" s="42" t="s">
        <v>101</v>
      </c>
      <c r="D18" s="45">
        <f t="shared" si="1"/>
        <v>390</v>
      </c>
      <c r="E18" s="30">
        <f t="shared" si="2"/>
        <v>391</v>
      </c>
      <c r="F18" s="30">
        <f t="shared" si="3"/>
        <v>392</v>
      </c>
      <c r="G18" s="30">
        <f t="shared" si="4"/>
        <v>393</v>
      </c>
      <c r="H18" s="30">
        <f t="shared" si="5"/>
        <v>394</v>
      </c>
      <c r="I18" s="30">
        <f t="shared" si="6"/>
        <v>395</v>
      </c>
      <c r="J18" s="30">
        <f t="shared" si="7"/>
        <v>396</v>
      </c>
      <c r="K18" s="30">
        <f t="shared" si="8"/>
        <v>397</v>
      </c>
      <c r="L18" s="30">
        <f t="shared" si="9"/>
        <v>398</v>
      </c>
      <c r="M18" s="30">
        <f t="shared" si="10"/>
        <v>399</v>
      </c>
      <c r="N18" s="30">
        <f t="shared" si="11"/>
        <v>400</v>
      </c>
      <c r="O18" s="30">
        <f t="shared" si="12"/>
        <v>401</v>
      </c>
      <c r="P18" s="30">
        <f t="shared" si="13"/>
        <v>402</v>
      </c>
      <c r="Q18" s="30">
        <f t="shared" si="14"/>
        <v>403</v>
      </c>
      <c r="R18" s="30">
        <f t="shared" si="15"/>
        <v>404</v>
      </c>
      <c r="S18" s="30">
        <f t="shared" si="16"/>
        <v>405</v>
      </c>
      <c r="T18" s="30">
        <f t="shared" si="17"/>
        <v>406</v>
      </c>
      <c r="U18" s="30">
        <f t="shared" si="18"/>
        <v>407</v>
      </c>
      <c r="V18" s="30">
        <f t="shared" si="19"/>
        <v>408</v>
      </c>
      <c r="W18" s="30">
        <f t="shared" si="20"/>
        <v>409</v>
      </c>
      <c r="X18" s="30">
        <f t="shared" si="21"/>
        <v>410</v>
      </c>
      <c r="Y18" s="30">
        <f t="shared" si="22"/>
        <v>411</v>
      </c>
      <c r="Z18" s="30">
        <f t="shared" si="23"/>
        <v>412</v>
      </c>
      <c r="AA18" s="30">
        <f t="shared" si="24"/>
        <v>413</v>
      </c>
      <c r="AB18" s="30">
        <f t="shared" si="25"/>
        <v>414</v>
      </c>
      <c r="AC18" s="33">
        <f t="shared" si="26"/>
        <v>415</v>
      </c>
    </row>
    <row r="19" spans="2:29" x14ac:dyDescent="0.6">
      <c r="B19" s="53"/>
      <c r="C19" s="42" t="s">
        <v>59</v>
      </c>
      <c r="D19" s="45">
        <f t="shared" si="1"/>
        <v>416</v>
      </c>
      <c r="E19" s="30">
        <f t="shared" si="2"/>
        <v>417</v>
      </c>
      <c r="F19" s="30">
        <f t="shared" si="3"/>
        <v>418</v>
      </c>
      <c r="G19" s="30">
        <f t="shared" si="4"/>
        <v>419</v>
      </c>
      <c r="H19" s="30">
        <f t="shared" si="5"/>
        <v>420</v>
      </c>
      <c r="I19" s="30">
        <f t="shared" si="6"/>
        <v>421</v>
      </c>
      <c r="J19" s="30">
        <f t="shared" si="7"/>
        <v>422</v>
      </c>
      <c r="K19" s="30">
        <f t="shared" si="8"/>
        <v>423</v>
      </c>
      <c r="L19" s="30">
        <f t="shared" si="9"/>
        <v>424</v>
      </c>
      <c r="M19" s="30">
        <f t="shared" si="10"/>
        <v>425</v>
      </c>
      <c r="N19" s="30">
        <f t="shared" si="11"/>
        <v>426</v>
      </c>
      <c r="O19" s="30">
        <f t="shared" si="12"/>
        <v>427</v>
      </c>
      <c r="P19" s="30">
        <f t="shared" si="13"/>
        <v>428</v>
      </c>
      <c r="Q19" s="30">
        <f t="shared" si="14"/>
        <v>429</v>
      </c>
      <c r="R19" s="30">
        <f t="shared" si="15"/>
        <v>430</v>
      </c>
      <c r="S19" s="30">
        <f t="shared" si="16"/>
        <v>431</v>
      </c>
      <c r="T19" s="30">
        <f t="shared" si="17"/>
        <v>432</v>
      </c>
      <c r="U19" s="30">
        <f t="shared" si="18"/>
        <v>433</v>
      </c>
      <c r="V19" s="30">
        <f t="shared" si="19"/>
        <v>434</v>
      </c>
      <c r="W19" s="30">
        <f t="shared" si="20"/>
        <v>435</v>
      </c>
      <c r="X19" s="30">
        <f t="shared" si="21"/>
        <v>436</v>
      </c>
      <c r="Y19" s="30">
        <f t="shared" si="22"/>
        <v>437</v>
      </c>
      <c r="Z19" s="30">
        <f t="shared" si="23"/>
        <v>438</v>
      </c>
      <c r="AA19" s="30">
        <f t="shared" si="24"/>
        <v>439</v>
      </c>
      <c r="AB19" s="30">
        <f t="shared" si="25"/>
        <v>440</v>
      </c>
      <c r="AC19" s="33">
        <f t="shared" si="26"/>
        <v>441</v>
      </c>
    </row>
    <row r="20" spans="2:29" x14ac:dyDescent="0.6">
      <c r="B20" s="53"/>
      <c r="C20" s="42" t="s">
        <v>102</v>
      </c>
      <c r="D20" s="45">
        <f t="shared" si="1"/>
        <v>442</v>
      </c>
      <c r="E20" s="30">
        <f t="shared" si="2"/>
        <v>443</v>
      </c>
      <c r="F20" s="30">
        <f t="shared" si="3"/>
        <v>444</v>
      </c>
      <c r="G20" s="30">
        <f t="shared" si="4"/>
        <v>445</v>
      </c>
      <c r="H20" s="30">
        <f t="shared" si="5"/>
        <v>446</v>
      </c>
      <c r="I20" s="30">
        <f t="shared" si="6"/>
        <v>447</v>
      </c>
      <c r="J20" s="30">
        <f t="shared" si="7"/>
        <v>448</v>
      </c>
      <c r="K20" s="30">
        <f t="shared" si="8"/>
        <v>449</v>
      </c>
      <c r="L20" s="30">
        <f t="shared" si="9"/>
        <v>450</v>
      </c>
      <c r="M20" s="30">
        <f t="shared" si="10"/>
        <v>451</v>
      </c>
      <c r="N20" s="30">
        <f t="shared" si="11"/>
        <v>452</v>
      </c>
      <c r="O20" s="30">
        <f t="shared" si="12"/>
        <v>453</v>
      </c>
      <c r="P20" s="30">
        <f t="shared" si="13"/>
        <v>454</v>
      </c>
      <c r="Q20" s="30">
        <f t="shared" si="14"/>
        <v>455</v>
      </c>
      <c r="R20" s="30">
        <f t="shared" si="15"/>
        <v>456</v>
      </c>
      <c r="S20" s="30">
        <f t="shared" si="16"/>
        <v>457</v>
      </c>
      <c r="T20" s="30">
        <f t="shared" si="17"/>
        <v>458</v>
      </c>
      <c r="U20" s="30">
        <f t="shared" si="18"/>
        <v>459</v>
      </c>
      <c r="V20" s="30">
        <f t="shared" si="19"/>
        <v>460</v>
      </c>
      <c r="W20" s="30">
        <f t="shared" si="20"/>
        <v>461</v>
      </c>
      <c r="X20" s="30">
        <f t="shared" si="21"/>
        <v>462</v>
      </c>
      <c r="Y20" s="30">
        <f t="shared" si="22"/>
        <v>463</v>
      </c>
      <c r="Z20" s="30">
        <f t="shared" si="23"/>
        <v>464</v>
      </c>
      <c r="AA20" s="30">
        <f t="shared" si="24"/>
        <v>465</v>
      </c>
      <c r="AB20" s="30">
        <f t="shared" si="25"/>
        <v>466</v>
      </c>
      <c r="AC20" s="33">
        <f t="shared" si="26"/>
        <v>467</v>
      </c>
    </row>
    <row r="21" spans="2:29" x14ac:dyDescent="0.6">
      <c r="B21" s="53"/>
      <c r="C21" s="42" t="s">
        <v>103</v>
      </c>
      <c r="D21" s="45">
        <f t="shared" si="1"/>
        <v>468</v>
      </c>
      <c r="E21" s="30">
        <f t="shared" si="2"/>
        <v>469</v>
      </c>
      <c r="F21" s="30">
        <f t="shared" si="3"/>
        <v>470</v>
      </c>
      <c r="G21" s="30">
        <f t="shared" si="4"/>
        <v>471</v>
      </c>
      <c r="H21" s="30">
        <f t="shared" si="5"/>
        <v>472</v>
      </c>
      <c r="I21" s="30">
        <f t="shared" si="6"/>
        <v>473</v>
      </c>
      <c r="J21" s="30">
        <f t="shared" si="7"/>
        <v>474</v>
      </c>
      <c r="K21" s="30">
        <f t="shared" si="8"/>
        <v>475</v>
      </c>
      <c r="L21" s="30">
        <f t="shared" si="9"/>
        <v>476</v>
      </c>
      <c r="M21" s="30">
        <f t="shared" si="10"/>
        <v>477</v>
      </c>
      <c r="N21" s="30">
        <f t="shared" si="11"/>
        <v>478</v>
      </c>
      <c r="O21" s="30">
        <f t="shared" si="12"/>
        <v>479</v>
      </c>
      <c r="P21" s="30">
        <f t="shared" si="13"/>
        <v>480</v>
      </c>
      <c r="Q21" s="30">
        <f t="shared" si="14"/>
        <v>481</v>
      </c>
      <c r="R21" s="30">
        <f t="shared" si="15"/>
        <v>482</v>
      </c>
      <c r="S21" s="30">
        <f t="shared" si="16"/>
        <v>483</v>
      </c>
      <c r="T21" s="30">
        <f t="shared" si="17"/>
        <v>484</v>
      </c>
      <c r="U21" s="30">
        <f t="shared" si="18"/>
        <v>485</v>
      </c>
      <c r="V21" s="30">
        <f t="shared" si="19"/>
        <v>486</v>
      </c>
      <c r="W21" s="30">
        <f t="shared" si="20"/>
        <v>487</v>
      </c>
      <c r="X21" s="30">
        <f t="shared" si="21"/>
        <v>488</v>
      </c>
      <c r="Y21" s="30">
        <f t="shared" si="22"/>
        <v>489</v>
      </c>
      <c r="Z21" s="30">
        <f t="shared" si="23"/>
        <v>490</v>
      </c>
      <c r="AA21" s="30">
        <f t="shared" si="24"/>
        <v>491</v>
      </c>
      <c r="AB21" s="30">
        <f t="shared" si="25"/>
        <v>492</v>
      </c>
      <c r="AC21" s="33">
        <f t="shared" si="26"/>
        <v>493</v>
      </c>
    </row>
    <row r="22" spans="2:29" x14ac:dyDescent="0.6">
      <c r="B22" s="53"/>
      <c r="C22" s="42" t="s">
        <v>60</v>
      </c>
      <c r="D22" s="45">
        <f t="shared" si="1"/>
        <v>494</v>
      </c>
      <c r="E22" s="30">
        <f t="shared" si="2"/>
        <v>495</v>
      </c>
      <c r="F22" s="30">
        <f t="shared" si="3"/>
        <v>496</v>
      </c>
      <c r="G22" s="30">
        <f t="shared" si="4"/>
        <v>497</v>
      </c>
      <c r="H22" s="30">
        <f t="shared" si="5"/>
        <v>498</v>
      </c>
      <c r="I22" s="30">
        <f t="shared" si="6"/>
        <v>499</v>
      </c>
      <c r="J22" s="30">
        <f t="shared" si="7"/>
        <v>500</v>
      </c>
      <c r="K22" s="30">
        <f t="shared" si="8"/>
        <v>501</v>
      </c>
      <c r="L22" s="30">
        <f t="shared" si="9"/>
        <v>502</v>
      </c>
      <c r="M22" s="30">
        <f t="shared" si="10"/>
        <v>503</v>
      </c>
      <c r="N22" s="30">
        <f t="shared" si="11"/>
        <v>504</v>
      </c>
      <c r="O22" s="30">
        <f t="shared" si="12"/>
        <v>505</v>
      </c>
      <c r="P22" s="30">
        <f t="shared" si="13"/>
        <v>506</v>
      </c>
      <c r="Q22" s="30">
        <f t="shared" si="14"/>
        <v>507</v>
      </c>
      <c r="R22" s="30">
        <f t="shared" si="15"/>
        <v>508</v>
      </c>
      <c r="S22" s="30">
        <f t="shared" si="16"/>
        <v>509</v>
      </c>
      <c r="T22" s="30">
        <f t="shared" si="17"/>
        <v>510</v>
      </c>
      <c r="U22" s="30">
        <f t="shared" si="18"/>
        <v>511</v>
      </c>
      <c r="V22" s="30">
        <f t="shared" si="19"/>
        <v>512</v>
      </c>
      <c r="W22" s="30">
        <f t="shared" si="20"/>
        <v>513</v>
      </c>
      <c r="X22" s="30">
        <f t="shared" si="21"/>
        <v>514</v>
      </c>
      <c r="Y22" s="30">
        <f t="shared" si="22"/>
        <v>515</v>
      </c>
      <c r="Z22" s="30">
        <f t="shared" si="23"/>
        <v>516</v>
      </c>
      <c r="AA22" s="30">
        <f t="shared" si="24"/>
        <v>517</v>
      </c>
      <c r="AB22" s="30">
        <f t="shared" si="25"/>
        <v>518</v>
      </c>
      <c r="AC22" s="33">
        <f t="shared" si="26"/>
        <v>519</v>
      </c>
    </row>
    <row r="23" spans="2:29" x14ac:dyDescent="0.6">
      <c r="B23" s="53"/>
      <c r="C23" s="42" t="s">
        <v>104</v>
      </c>
      <c r="D23" s="45">
        <f t="shared" si="1"/>
        <v>520</v>
      </c>
      <c r="E23" s="30">
        <f t="shared" si="2"/>
        <v>521</v>
      </c>
      <c r="F23" s="30">
        <f t="shared" si="3"/>
        <v>522</v>
      </c>
      <c r="G23" s="30">
        <f t="shared" si="4"/>
        <v>523</v>
      </c>
      <c r="H23" s="30">
        <f t="shared" si="5"/>
        <v>524</v>
      </c>
      <c r="I23" s="30">
        <f t="shared" si="6"/>
        <v>525</v>
      </c>
      <c r="J23" s="30">
        <f t="shared" si="7"/>
        <v>526</v>
      </c>
      <c r="K23" s="30">
        <f t="shared" si="8"/>
        <v>527</v>
      </c>
      <c r="L23" s="30">
        <f t="shared" si="9"/>
        <v>528</v>
      </c>
      <c r="M23" s="30">
        <f t="shared" si="10"/>
        <v>529</v>
      </c>
      <c r="N23" s="30">
        <f t="shared" si="11"/>
        <v>530</v>
      </c>
      <c r="O23" s="30">
        <f t="shared" si="12"/>
        <v>531</v>
      </c>
      <c r="P23" s="30">
        <f t="shared" si="13"/>
        <v>532</v>
      </c>
      <c r="Q23" s="30">
        <f t="shared" si="14"/>
        <v>533</v>
      </c>
      <c r="R23" s="30">
        <f t="shared" si="15"/>
        <v>534</v>
      </c>
      <c r="S23" s="30">
        <f t="shared" si="16"/>
        <v>535</v>
      </c>
      <c r="T23" s="30">
        <f t="shared" si="17"/>
        <v>536</v>
      </c>
      <c r="U23" s="30">
        <f t="shared" si="18"/>
        <v>537</v>
      </c>
      <c r="V23" s="30">
        <f t="shared" si="19"/>
        <v>538</v>
      </c>
      <c r="W23" s="30">
        <f t="shared" si="20"/>
        <v>539</v>
      </c>
      <c r="X23" s="30">
        <f t="shared" si="21"/>
        <v>540</v>
      </c>
      <c r="Y23" s="30">
        <f t="shared" si="22"/>
        <v>541</v>
      </c>
      <c r="Z23" s="30">
        <f t="shared" si="23"/>
        <v>542</v>
      </c>
      <c r="AA23" s="30">
        <f t="shared" si="24"/>
        <v>543</v>
      </c>
      <c r="AB23" s="30">
        <f t="shared" si="25"/>
        <v>544</v>
      </c>
      <c r="AC23" s="33">
        <f t="shared" si="26"/>
        <v>545</v>
      </c>
    </row>
    <row r="24" spans="2:29" x14ac:dyDescent="0.6">
      <c r="B24" s="53"/>
      <c r="C24" s="42" t="s">
        <v>105</v>
      </c>
      <c r="D24" s="45">
        <f t="shared" si="1"/>
        <v>546</v>
      </c>
      <c r="E24" s="30">
        <f t="shared" si="2"/>
        <v>547</v>
      </c>
      <c r="F24" s="30">
        <f t="shared" si="3"/>
        <v>548</v>
      </c>
      <c r="G24" s="30">
        <f t="shared" si="4"/>
        <v>549</v>
      </c>
      <c r="H24" s="30">
        <f t="shared" si="5"/>
        <v>550</v>
      </c>
      <c r="I24" s="30">
        <f t="shared" si="6"/>
        <v>551</v>
      </c>
      <c r="J24" s="30">
        <f t="shared" si="7"/>
        <v>552</v>
      </c>
      <c r="K24" s="30">
        <f t="shared" si="8"/>
        <v>553</v>
      </c>
      <c r="L24" s="30">
        <f t="shared" si="9"/>
        <v>554</v>
      </c>
      <c r="M24" s="30">
        <f t="shared" si="10"/>
        <v>555</v>
      </c>
      <c r="N24" s="30">
        <f t="shared" si="11"/>
        <v>556</v>
      </c>
      <c r="O24" s="30">
        <f t="shared" si="12"/>
        <v>557</v>
      </c>
      <c r="P24" s="30">
        <f t="shared" si="13"/>
        <v>558</v>
      </c>
      <c r="Q24" s="30">
        <f t="shared" si="14"/>
        <v>559</v>
      </c>
      <c r="R24" s="30">
        <f t="shared" si="15"/>
        <v>560</v>
      </c>
      <c r="S24" s="30">
        <f t="shared" si="16"/>
        <v>561</v>
      </c>
      <c r="T24" s="30">
        <f t="shared" si="17"/>
        <v>562</v>
      </c>
      <c r="U24" s="30">
        <f t="shared" si="18"/>
        <v>563</v>
      </c>
      <c r="V24" s="30">
        <f t="shared" si="19"/>
        <v>564</v>
      </c>
      <c r="W24" s="30">
        <f t="shared" si="20"/>
        <v>565</v>
      </c>
      <c r="X24" s="30">
        <f t="shared" si="21"/>
        <v>566</v>
      </c>
      <c r="Y24" s="30">
        <f t="shared" si="22"/>
        <v>567</v>
      </c>
      <c r="Z24" s="30">
        <f t="shared" si="23"/>
        <v>568</v>
      </c>
      <c r="AA24" s="30">
        <f t="shared" si="24"/>
        <v>569</v>
      </c>
      <c r="AB24" s="30">
        <f t="shared" si="25"/>
        <v>570</v>
      </c>
      <c r="AC24" s="33">
        <f t="shared" si="26"/>
        <v>571</v>
      </c>
    </row>
    <row r="25" spans="2:29" x14ac:dyDescent="0.6">
      <c r="B25" s="53"/>
      <c r="C25" s="42" t="s">
        <v>61</v>
      </c>
      <c r="D25" s="45">
        <f t="shared" si="1"/>
        <v>572</v>
      </c>
      <c r="E25" s="30">
        <f t="shared" si="2"/>
        <v>573</v>
      </c>
      <c r="F25" s="30">
        <f t="shared" si="3"/>
        <v>574</v>
      </c>
      <c r="G25" s="30">
        <f t="shared" si="4"/>
        <v>575</v>
      </c>
      <c r="H25" s="30">
        <f t="shared" si="5"/>
        <v>576</v>
      </c>
      <c r="I25" s="30">
        <f t="shared" si="6"/>
        <v>577</v>
      </c>
      <c r="J25" s="30">
        <f t="shared" si="7"/>
        <v>578</v>
      </c>
      <c r="K25" s="30">
        <f t="shared" si="8"/>
        <v>579</v>
      </c>
      <c r="L25" s="30">
        <f t="shared" si="9"/>
        <v>580</v>
      </c>
      <c r="M25" s="30">
        <f t="shared" si="10"/>
        <v>581</v>
      </c>
      <c r="N25" s="30">
        <f t="shared" si="11"/>
        <v>582</v>
      </c>
      <c r="O25" s="30">
        <f t="shared" si="12"/>
        <v>583</v>
      </c>
      <c r="P25" s="30">
        <f t="shared" si="13"/>
        <v>584</v>
      </c>
      <c r="Q25" s="30">
        <f t="shared" si="14"/>
        <v>585</v>
      </c>
      <c r="R25" s="30">
        <f t="shared" si="15"/>
        <v>586</v>
      </c>
      <c r="S25" s="30">
        <f t="shared" si="16"/>
        <v>587</v>
      </c>
      <c r="T25" s="30">
        <f t="shared" si="17"/>
        <v>588</v>
      </c>
      <c r="U25" s="30">
        <f t="shared" si="18"/>
        <v>589</v>
      </c>
      <c r="V25" s="30">
        <f t="shared" si="19"/>
        <v>590</v>
      </c>
      <c r="W25" s="30">
        <f t="shared" si="20"/>
        <v>591</v>
      </c>
      <c r="X25" s="30">
        <f t="shared" si="21"/>
        <v>592</v>
      </c>
      <c r="Y25" s="30">
        <f t="shared" si="22"/>
        <v>593</v>
      </c>
      <c r="Z25" s="30">
        <f t="shared" si="23"/>
        <v>594</v>
      </c>
      <c r="AA25" s="30">
        <f t="shared" si="24"/>
        <v>595</v>
      </c>
      <c r="AB25" s="30">
        <f t="shared" si="25"/>
        <v>596</v>
      </c>
      <c r="AC25" s="33">
        <f t="shared" si="26"/>
        <v>597</v>
      </c>
    </row>
    <row r="26" spans="2:29" x14ac:dyDescent="0.6">
      <c r="B26" s="53"/>
      <c r="C26" s="42" t="s">
        <v>106</v>
      </c>
      <c r="D26" s="45">
        <f t="shared" si="1"/>
        <v>598</v>
      </c>
      <c r="E26" s="30">
        <f t="shared" si="2"/>
        <v>599</v>
      </c>
      <c r="F26" s="30">
        <f t="shared" si="3"/>
        <v>600</v>
      </c>
      <c r="G26" s="30">
        <f t="shared" si="4"/>
        <v>601</v>
      </c>
      <c r="H26" s="30">
        <f t="shared" si="5"/>
        <v>602</v>
      </c>
      <c r="I26" s="30">
        <f t="shared" si="6"/>
        <v>603</v>
      </c>
      <c r="J26" s="30">
        <f t="shared" si="7"/>
        <v>604</v>
      </c>
      <c r="K26" s="30">
        <f t="shared" si="8"/>
        <v>605</v>
      </c>
      <c r="L26" s="30">
        <f t="shared" si="9"/>
        <v>606</v>
      </c>
      <c r="M26" s="30">
        <f t="shared" si="10"/>
        <v>607</v>
      </c>
      <c r="N26" s="30">
        <f t="shared" si="11"/>
        <v>608</v>
      </c>
      <c r="O26" s="30">
        <f t="shared" si="12"/>
        <v>609</v>
      </c>
      <c r="P26" s="30">
        <f t="shared" si="13"/>
        <v>610</v>
      </c>
      <c r="Q26" s="30">
        <f t="shared" si="14"/>
        <v>611</v>
      </c>
      <c r="R26" s="30">
        <f t="shared" si="15"/>
        <v>612</v>
      </c>
      <c r="S26" s="30">
        <f t="shared" si="16"/>
        <v>613</v>
      </c>
      <c r="T26" s="30">
        <f t="shared" si="17"/>
        <v>614</v>
      </c>
      <c r="U26" s="30">
        <f t="shared" si="18"/>
        <v>615</v>
      </c>
      <c r="V26" s="30">
        <f t="shared" si="19"/>
        <v>616</v>
      </c>
      <c r="W26" s="30">
        <f t="shared" si="20"/>
        <v>617</v>
      </c>
      <c r="X26" s="30">
        <f t="shared" si="21"/>
        <v>618</v>
      </c>
      <c r="Y26" s="30">
        <f t="shared" si="22"/>
        <v>619</v>
      </c>
      <c r="Z26" s="30">
        <f t="shared" si="23"/>
        <v>620</v>
      </c>
      <c r="AA26" s="30">
        <f t="shared" si="24"/>
        <v>621</v>
      </c>
      <c r="AB26" s="30">
        <f t="shared" si="25"/>
        <v>622</v>
      </c>
      <c r="AC26" s="33">
        <f t="shared" si="26"/>
        <v>623</v>
      </c>
    </row>
    <row r="27" spans="2:29" x14ac:dyDescent="0.6">
      <c r="B27" s="53"/>
      <c r="C27" s="42" t="s">
        <v>107</v>
      </c>
      <c r="D27" s="45">
        <f t="shared" si="1"/>
        <v>624</v>
      </c>
      <c r="E27" s="30">
        <f t="shared" si="2"/>
        <v>625</v>
      </c>
      <c r="F27" s="30">
        <f t="shared" si="3"/>
        <v>626</v>
      </c>
      <c r="G27" s="30">
        <f t="shared" si="4"/>
        <v>627</v>
      </c>
      <c r="H27" s="30">
        <f t="shared" si="5"/>
        <v>628</v>
      </c>
      <c r="I27" s="30">
        <f t="shared" si="6"/>
        <v>629</v>
      </c>
      <c r="J27" s="30">
        <f t="shared" si="7"/>
        <v>630</v>
      </c>
      <c r="K27" s="30">
        <f t="shared" si="8"/>
        <v>631</v>
      </c>
      <c r="L27" s="30">
        <f t="shared" si="9"/>
        <v>632</v>
      </c>
      <c r="M27" s="30">
        <f t="shared" si="10"/>
        <v>633</v>
      </c>
      <c r="N27" s="30">
        <f t="shared" si="11"/>
        <v>634</v>
      </c>
      <c r="O27" s="30">
        <f t="shared" si="12"/>
        <v>635</v>
      </c>
      <c r="P27" s="30">
        <f t="shared" si="13"/>
        <v>636</v>
      </c>
      <c r="Q27" s="30">
        <f t="shared" si="14"/>
        <v>637</v>
      </c>
      <c r="R27" s="30">
        <f t="shared" si="15"/>
        <v>638</v>
      </c>
      <c r="S27" s="30">
        <f t="shared" si="16"/>
        <v>639</v>
      </c>
      <c r="T27" s="30">
        <f t="shared" si="17"/>
        <v>640</v>
      </c>
      <c r="U27" s="30">
        <f t="shared" si="18"/>
        <v>641</v>
      </c>
      <c r="V27" s="30">
        <f t="shared" si="19"/>
        <v>642</v>
      </c>
      <c r="W27" s="30">
        <f t="shared" si="20"/>
        <v>643</v>
      </c>
      <c r="X27" s="30">
        <f t="shared" si="21"/>
        <v>644</v>
      </c>
      <c r="Y27" s="30">
        <f t="shared" si="22"/>
        <v>645</v>
      </c>
      <c r="Z27" s="30">
        <f t="shared" si="23"/>
        <v>646</v>
      </c>
      <c r="AA27" s="30">
        <f t="shared" si="24"/>
        <v>647</v>
      </c>
      <c r="AB27" s="30">
        <f t="shared" si="25"/>
        <v>648</v>
      </c>
      <c r="AC27" s="33">
        <f t="shared" si="26"/>
        <v>649</v>
      </c>
    </row>
    <row r="28" spans="2:29" x14ac:dyDescent="0.6">
      <c r="B28" s="53"/>
      <c r="C28" s="42" t="s">
        <v>62</v>
      </c>
      <c r="D28" s="45">
        <f t="shared" si="1"/>
        <v>650</v>
      </c>
      <c r="E28" s="30">
        <f t="shared" si="2"/>
        <v>651</v>
      </c>
      <c r="F28" s="30">
        <f t="shared" si="3"/>
        <v>652</v>
      </c>
      <c r="G28" s="30">
        <f t="shared" si="4"/>
        <v>653</v>
      </c>
      <c r="H28" s="30">
        <f t="shared" si="5"/>
        <v>654</v>
      </c>
      <c r="I28" s="30">
        <f t="shared" si="6"/>
        <v>655</v>
      </c>
      <c r="J28" s="30">
        <f t="shared" si="7"/>
        <v>656</v>
      </c>
      <c r="K28" s="30">
        <f t="shared" si="8"/>
        <v>657</v>
      </c>
      <c r="L28" s="30">
        <f t="shared" si="9"/>
        <v>658</v>
      </c>
      <c r="M28" s="30">
        <f t="shared" si="10"/>
        <v>659</v>
      </c>
      <c r="N28" s="30">
        <f t="shared" si="11"/>
        <v>660</v>
      </c>
      <c r="O28" s="30">
        <f t="shared" si="12"/>
        <v>661</v>
      </c>
      <c r="P28" s="30">
        <f t="shared" si="13"/>
        <v>662</v>
      </c>
      <c r="Q28" s="30">
        <f t="shared" si="14"/>
        <v>663</v>
      </c>
      <c r="R28" s="30">
        <f t="shared" si="15"/>
        <v>664</v>
      </c>
      <c r="S28" s="30">
        <f t="shared" si="16"/>
        <v>665</v>
      </c>
      <c r="T28" s="30">
        <f t="shared" si="17"/>
        <v>666</v>
      </c>
      <c r="U28" s="30">
        <f t="shared" si="18"/>
        <v>667</v>
      </c>
      <c r="V28" s="30">
        <f t="shared" si="19"/>
        <v>668</v>
      </c>
      <c r="W28" s="30">
        <f t="shared" si="20"/>
        <v>669</v>
      </c>
      <c r="X28" s="30">
        <f t="shared" si="21"/>
        <v>670</v>
      </c>
      <c r="Y28" s="30">
        <f t="shared" si="22"/>
        <v>671</v>
      </c>
      <c r="Z28" s="30">
        <f t="shared" si="23"/>
        <v>672</v>
      </c>
      <c r="AA28" s="30">
        <f t="shared" si="24"/>
        <v>673</v>
      </c>
      <c r="AB28" s="30">
        <f t="shared" si="25"/>
        <v>674</v>
      </c>
      <c r="AC28" s="33">
        <f t="shared" si="26"/>
        <v>675</v>
      </c>
    </row>
    <row r="29" spans="2:29" x14ac:dyDescent="0.6">
      <c r="B29" s="53"/>
      <c r="C29" s="42" t="s">
        <v>108</v>
      </c>
      <c r="D29" s="45">
        <f t="shared" si="1"/>
        <v>676</v>
      </c>
      <c r="E29" s="30">
        <f t="shared" si="2"/>
        <v>677</v>
      </c>
      <c r="F29" s="30">
        <f t="shared" si="3"/>
        <v>678</v>
      </c>
      <c r="G29" s="30">
        <f t="shared" si="4"/>
        <v>679</v>
      </c>
      <c r="H29" s="30">
        <f t="shared" si="5"/>
        <v>680</v>
      </c>
      <c r="I29" s="30">
        <f t="shared" si="6"/>
        <v>681</v>
      </c>
      <c r="J29" s="30">
        <f t="shared" si="7"/>
        <v>682</v>
      </c>
      <c r="K29" s="30">
        <f t="shared" si="8"/>
        <v>683</v>
      </c>
      <c r="L29" s="30">
        <f t="shared" si="9"/>
        <v>684</v>
      </c>
      <c r="M29" s="30">
        <f t="shared" si="10"/>
        <v>685</v>
      </c>
      <c r="N29" s="30">
        <f t="shared" si="11"/>
        <v>686</v>
      </c>
      <c r="O29" s="30">
        <f t="shared" si="12"/>
        <v>687</v>
      </c>
      <c r="P29" s="30">
        <f t="shared" si="13"/>
        <v>688</v>
      </c>
      <c r="Q29" s="30">
        <f t="shared" si="14"/>
        <v>689</v>
      </c>
      <c r="R29" s="30">
        <f t="shared" si="15"/>
        <v>690</v>
      </c>
      <c r="S29" s="30">
        <f t="shared" si="16"/>
        <v>691</v>
      </c>
      <c r="T29" s="30">
        <f t="shared" si="17"/>
        <v>692</v>
      </c>
      <c r="U29" s="30">
        <f t="shared" si="18"/>
        <v>693</v>
      </c>
      <c r="V29" s="30">
        <f t="shared" si="19"/>
        <v>694</v>
      </c>
      <c r="W29" s="30">
        <f t="shared" si="20"/>
        <v>695</v>
      </c>
      <c r="X29" s="30">
        <f t="shared" si="21"/>
        <v>696</v>
      </c>
      <c r="Y29" s="30">
        <f t="shared" si="22"/>
        <v>697</v>
      </c>
      <c r="Z29" s="30">
        <f t="shared" si="23"/>
        <v>698</v>
      </c>
      <c r="AA29" s="30">
        <f t="shared" si="24"/>
        <v>699</v>
      </c>
      <c r="AB29" s="30">
        <f t="shared" si="25"/>
        <v>700</v>
      </c>
      <c r="AC29" s="33">
        <f t="shared" si="26"/>
        <v>701</v>
      </c>
    </row>
    <row r="30" spans="2:29" x14ac:dyDescent="0.6">
      <c r="B30" s="53"/>
      <c r="C30" s="42" t="s">
        <v>109</v>
      </c>
      <c r="D30" s="45">
        <f t="shared" si="1"/>
        <v>702</v>
      </c>
      <c r="E30" s="30">
        <f t="shared" si="2"/>
        <v>703</v>
      </c>
      <c r="F30" s="30">
        <f t="shared" si="3"/>
        <v>704</v>
      </c>
      <c r="G30" s="30">
        <f t="shared" si="4"/>
        <v>705</v>
      </c>
      <c r="H30" s="30">
        <f t="shared" si="5"/>
        <v>706</v>
      </c>
      <c r="I30" s="30">
        <f t="shared" si="6"/>
        <v>707</v>
      </c>
      <c r="J30" s="30">
        <f t="shared" si="7"/>
        <v>708</v>
      </c>
      <c r="K30" s="30">
        <f t="shared" si="8"/>
        <v>709</v>
      </c>
      <c r="L30" s="30">
        <f t="shared" si="9"/>
        <v>710</v>
      </c>
      <c r="M30" s="30">
        <f t="shared" si="10"/>
        <v>711</v>
      </c>
      <c r="N30" s="30">
        <f t="shared" si="11"/>
        <v>712</v>
      </c>
      <c r="O30" s="30">
        <f t="shared" si="12"/>
        <v>713</v>
      </c>
      <c r="P30" s="30">
        <f t="shared" si="13"/>
        <v>714</v>
      </c>
      <c r="Q30" s="30">
        <f t="shared" si="14"/>
        <v>715</v>
      </c>
      <c r="R30" s="30">
        <f t="shared" si="15"/>
        <v>716</v>
      </c>
      <c r="S30" s="30">
        <f t="shared" si="16"/>
        <v>717</v>
      </c>
      <c r="T30" s="30">
        <f t="shared" si="17"/>
        <v>718</v>
      </c>
      <c r="U30" s="30">
        <f t="shared" si="18"/>
        <v>719</v>
      </c>
      <c r="V30" s="30">
        <f t="shared" si="19"/>
        <v>720</v>
      </c>
      <c r="W30" s="30">
        <f t="shared" si="20"/>
        <v>721</v>
      </c>
      <c r="X30" s="30">
        <f t="shared" si="21"/>
        <v>722</v>
      </c>
      <c r="Y30" s="30">
        <f t="shared" si="22"/>
        <v>723</v>
      </c>
      <c r="Z30" s="30">
        <f t="shared" si="23"/>
        <v>724</v>
      </c>
      <c r="AA30" s="30">
        <f t="shared" si="24"/>
        <v>725</v>
      </c>
      <c r="AB30" s="30">
        <f t="shared" si="25"/>
        <v>726</v>
      </c>
      <c r="AC30" s="33">
        <f t="shared" si="26"/>
        <v>727</v>
      </c>
    </row>
    <row r="31" spans="2:29" x14ac:dyDescent="0.6">
      <c r="B31" s="53"/>
      <c r="C31" s="42" t="s">
        <v>110</v>
      </c>
      <c r="D31" s="45">
        <f t="shared" si="1"/>
        <v>728</v>
      </c>
      <c r="E31" s="30">
        <f t="shared" si="2"/>
        <v>729</v>
      </c>
      <c r="F31" s="30">
        <f t="shared" si="3"/>
        <v>730</v>
      </c>
      <c r="G31" s="30">
        <f t="shared" si="4"/>
        <v>731</v>
      </c>
      <c r="H31" s="30">
        <f t="shared" si="5"/>
        <v>732</v>
      </c>
      <c r="I31" s="30">
        <f t="shared" si="6"/>
        <v>733</v>
      </c>
      <c r="J31" s="30">
        <f t="shared" si="7"/>
        <v>734</v>
      </c>
      <c r="K31" s="30">
        <f t="shared" si="8"/>
        <v>735</v>
      </c>
      <c r="L31" s="30">
        <f t="shared" si="9"/>
        <v>736</v>
      </c>
      <c r="M31" s="30">
        <f t="shared" si="10"/>
        <v>737</v>
      </c>
      <c r="N31" s="30">
        <f t="shared" si="11"/>
        <v>738</v>
      </c>
      <c r="O31" s="30">
        <f t="shared" si="12"/>
        <v>739</v>
      </c>
      <c r="P31" s="30">
        <f t="shared" si="13"/>
        <v>740</v>
      </c>
      <c r="Q31" s="30">
        <f t="shared" si="14"/>
        <v>741</v>
      </c>
      <c r="R31" s="30">
        <f t="shared" si="15"/>
        <v>742</v>
      </c>
      <c r="S31" s="30">
        <f t="shared" si="16"/>
        <v>743</v>
      </c>
      <c r="T31" s="30">
        <f t="shared" si="17"/>
        <v>744</v>
      </c>
      <c r="U31" s="30">
        <f t="shared" si="18"/>
        <v>745</v>
      </c>
      <c r="V31" s="30">
        <f t="shared" si="19"/>
        <v>746</v>
      </c>
      <c r="W31" s="30">
        <f t="shared" si="20"/>
        <v>747</v>
      </c>
      <c r="X31" s="30">
        <f t="shared" si="21"/>
        <v>748</v>
      </c>
      <c r="Y31" s="30">
        <f t="shared" si="22"/>
        <v>749</v>
      </c>
      <c r="Z31" s="30">
        <f t="shared" si="23"/>
        <v>750</v>
      </c>
      <c r="AA31" s="30">
        <f t="shared" si="24"/>
        <v>751</v>
      </c>
      <c r="AB31" s="30">
        <f t="shared" si="25"/>
        <v>752</v>
      </c>
      <c r="AC31" s="33">
        <f t="shared" si="26"/>
        <v>753</v>
      </c>
    </row>
    <row r="32" spans="2:29" x14ac:dyDescent="0.6">
      <c r="B32" s="53"/>
      <c r="C32" s="42" t="s">
        <v>111</v>
      </c>
      <c r="D32" s="45">
        <f t="shared" si="1"/>
        <v>754</v>
      </c>
      <c r="E32" s="30">
        <f t="shared" si="2"/>
        <v>755</v>
      </c>
      <c r="F32" s="30">
        <f t="shared" si="3"/>
        <v>756</v>
      </c>
      <c r="G32" s="30">
        <f t="shared" si="4"/>
        <v>757</v>
      </c>
      <c r="H32" s="30">
        <f t="shared" si="5"/>
        <v>758</v>
      </c>
      <c r="I32" s="30">
        <f t="shared" si="6"/>
        <v>759</v>
      </c>
      <c r="J32" s="30">
        <f t="shared" si="7"/>
        <v>760</v>
      </c>
      <c r="K32" s="30">
        <f t="shared" si="8"/>
        <v>761</v>
      </c>
      <c r="L32" s="30">
        <f t="shared" si="9"/>
        <v>762</v>
      </c>
      <c r="M32" s="30">
        <f t="shared" si="10"/>
        <v>763</v>
      </c>
      <c r="N32" s="30">
        <f t="shared" si="11"/>
        <v>764</v>
      </c>
      <c r="O32" s="30">
        <f t="shared" si="12"/>
        <v>765</v>
      </c>
      <c r="P32" s="30">
        <f t="shared" si="13"/>
        <v>766</v>
      </c>
      <c r="Q32" s="30">
        <f t="shared" si="14"/>
        <v>767</v>
      </c>
      <c r="R32" s="30">
        <f t="shared" si="15"/>
        <v>768</v>
      </c>
      <c r="S32" s="30">
        <f t="shared" si="16"/>
        <v>769</v>
      </c>
      <c r="T32" s="30">
        <f t="shared" si="17"/>
        <v>770</v>
      </c>
      <c r="U32" s="30">
        <f t="shared" si="18"/>
        <v>771</v>
      </c>
      <c r="V32" s="30">
        <f t="shared" si="19"/>
        <v>772</v>
      </c>
      <c r="W32" s="30">
        <f t="shared" si="20"/>
        <v>773</v>
      </c>
      <c r="X32" s="30">
        <f t="shared" si="21"/>
        <v>774</v>
      </c>
      <c r="Y32" s="30">
        <f t="shared" si="22"/>
        <v>775</v>
      </c>
      <c r="Z32" s="30">
        <f t="shared" si="23"/>
        <v>776</v>
      </c>
      <c r="AA32" s="30">
        <f t="shared" si="24"/>
        <v>777</v>
      </c>
      <c r="AB32" s="30">
        <f t="shared" si="25"/>
        <v>778</v>
      </c>
      <c r="AC32" s="33">
        <f t="shared" si="26"/>
        <v>779</v>
      </c>
    </row>
    <row r="33" spans="2:29" x14ac:dyDescent="0.6">
      <c r="B33" s="53"/>
      <c r="C33" s="42" t="s">
        <v>112</v>
      </c>
      <c r="D33" s="45">
        <f t="shared" si="1"/>
        <v>780</v>
      </c>
      <c r="E33" s="30">
        <f t="shared" si="2"/>
        <v>781</v>
      </c>
      <c r="F33" s="30">
        <f t="shared" si="3"/>
        <v>782</v>
      </c>
      <c r="G33" s="30">
        <f t="shared" si="4"/>
        <v>783</v>
      </c>
      <c r="H33" s="30">
        <f t="shared" si="5"/>
        <v>784</v>
      </c>
      <c r="I33" s="30">
        <f t="shared" si="6"/>
        <v>785</v>
      </c>
      <c r="J33" s="30">
        <f t="shared" si="7"/>
        <v>786</v>
      </c>
      <c r="K33" s="30">
        <f t="shared" si="8"/>
        <v>787</v>
      </c>
      <c r="L33" s="30">
        <f t="shared" si="9"/>
        <v>788</v>
      </c>
      <c r="M33" s="30">
        <f t="shared" si="10"/>
        <v>789</v>
      </c>
      <c r="N33" s="30">
        <f t="shared" si="11"/>
        <v>790</v>
      </c>
      <c r="O33" s="30">
        <f t="shared" si="12"/>
        <v>791</v>
      </c>
      <c r="P33" s="30">
        <f t="shared" si="13"/>
        <v>792</v>
      </c>
      <c r="Q33" s="30">
        <f t="shared" si="14"/>
        <v>793</v>
      </c>
      <c r="R33" s="30">
        <f t="shared" si="15"/>
        <v>794</v>
      </c>
      <c r="S33" s="30">
        <f t="shared" si="16"/>
        <v>795</v>
      </c>
      <c r="T33" s="30">
        <f t="shared" si="17"/>
        <v>796</v>
      </c>
      <c r="U33" s="30">
        <f t="shared" si="18"/>
        <v>797</v>
      </c>
      <c r="V33" s="30">
        <f t="shared" si="19"/>
        <v>798</v>
      </c>
      <c r="W33" s="30">
        <f t="shared" si="20"/>
        <v>799</v>
      </c>
      <c r="X33" s="30">
        <f t="shared" si="21"/>
        <v>800</v>
      </c>
      <c r="Y33" s="30">
        <f t="shared" si="22"/>
        <v>801</v>
      </c>
      <c r="Z33" s="30">
        <f t="shared" si="23"/>
        <v>802</v>
      </c>
      <c r="AA33" s="30">
        <f t="shared" si="24"/>
        <v>803</v>
      </c>
      <c r="AB33" s="30">
        <f t="shared" si="25"/>
        <v>804</v>
      </c>
      <c r="AC33" s="33">
        <f t="shared" si="26"/>
        <v>805</v>
      </c>
    </row>
    <row r="34" spans="2:29" x14ac:dyDescent="0.6">
      <c r="B34" s="53"/>
      <c r="C34" s="42" t="s">
        <v>113</v>
      </c>
      <c r="D34" s="45">
        <f t="shared" si="1"/>
        <v>806</v>
      </c>
      <c r="E34" s="30">
        <f t="shared" si="2"/>
        <v>807</v>
      </c>
      <c r="F34" s="30">
        <f t="shared" si="3"/>
        <v>808</v>
      </c>
      <c r="G34" s="30">
        <f t="shared" si="4"/>
        <v>809</v>
      </c>
      <c r="H34" s="30">
        <f t="shared" si="5"/>
        <v>810</v>
      </c>
      <c r="I34" s="30">
        <f t="shared" si="6"/>
        <v>811</v>
      </c>
      <c r="J34" s="30">
        <f t="shared" si="7"/>
        <v>812</v>
      </c>
      <c r="K34" s="30">
        <f t="shared" si="8"/>
        <v>813</v>
      </c>
      <c r="L34" s="30">
        <f t="shared" si="9"/>
        <v>814</v>
      </c>
      <c r="M34" s="30">
        <f t="shared" si="10"/>
        <v>815</v>
      </c>
      <c r="N34" s="30">
        <f t="shared" si="11"/>
        <v>816</v>
      </c>
      <c r="O34" s="30">
        <f t="shared" si="12"/>
        <v>817</v>
      </c>
      <c r="P34" s="30">
        <f t="shared" si="13"/>
        <v>818</v>
      </c>
      <c r="Q34" s="30">
        <f t="shared" si="14"/>
        <v>819</v>
      </c>
      <c r="R34" s="30">
        <f t="shared" si="15"/>
        <v>820</v>
      </c>
      <c r="S34" s="30">
        <f t="shared" si="16"/>
        <v>821</v>
      </c>
      <c r="T34" s="30">
        <f t="shared" si="17"/>
        <v>822</v>
      </c>
      <c r="U34" s="30">
        <f t="shared" si="18"/>
        <v>823</v>
      </c>
      <c r="V34" s="30">
        <f t="shared" si="19"/>
        <v>824</v>
      </c>
      <c r="W34" s="30">
        <f t="shared" si="20"/>
        <v>825</v>
      </c>
      <c r="X34" s="30">
        <f t="shared" si="21"/>
        <v>826</v>
      </c>
      <c r="Y34" s="30">
        <f t="shared" si="22"/>
        <v>827</v>
      </c>
      <c r="Z34" s="30">
        <f t="shared" si="23"/>
        <v>828</v>
      </c>
      <c r="AA34" s="30">
        <f t="shared" si="24"/>
        <v>829</v>
      </c>
      <c r="AB34" s="30">
        <f t="shared" si="25"/>
        <v>830</v>
      </c>
      <c r="AC34" s="33">
        <f t="shared" si="26"/>
        <v>831</v>
      </c>
    </row>
    <row r="35" spans="2:29" x14ac:dyDescent="0.6">
      <c r="B35" s="53"/>
      <c r="C35" s="42" t="s">
        <v>114</v>
      </c>
      <c r="D35" s="45">
        <f t="shared" si="1"/>
        <v>832</v>
      </c>
      <c r="E35" s="30">
        <f t="shared" si="2"/>
        <v>833</v>
      </c>
      <c r="F35" s="30">
        <f t="shared" si="3"/>
        <v>834</v>
      </c>
      <c r="G35" s="30">
        <f t="shared" si="4"/>
        <v>835</v>
      </c>
      <c r="H35" s="30">
        <f t="shared" si="5"/>
        <v>836</v>
      </c>
      <c r="I35" s="30">
        <f t="shared" si="6"/>
        <v>837</v>
      </c>
      <c r="J35" s="30">
        <f t="shared" si="7"/>
        <v>838</v>
      </c>
      <c r="K35" s="30">
        <f t="shared" si="8"/>
        <v>839</v>
      </c>
      <c r="L35" s="30">
        <f t="shared" si="9"/>
        <v>840</v>
      </c>
      <c r="M35" s="30">
        <f t="shared" si="10"/>
        <v>841</v>
      </c>
      <c r="N35" s="30">
        <f t="shared" si="11"/>
        <v>842</v>
      </c>
      <c r="O35" s="30">
        <f t="shared" si="12"/>
        <v>843</v>
      </c>
      <c r="P35" s="30">
        <f t="shared" si="13"/>
        <v>844</v>
      </c>
      <c r="Q35" s="30">
        <f t="shared" si="14"/>
        <v>845</v>
      </c>
      <c r="R35" s="30">
        <f t="shared" si="15"/>
        <v>846</v>
      </c>
      <c r="S35" s="30">
        <f t="shared" si="16"/>
        <v>847</v>
      </c>
      <c r="T35" s="30">
        <f t="shared" si="17"/>
        <v>848</v>
      </c>
      <c r="U35" s="30">
        <f t="shared" si="18"/>
        <v>849</v>
      </c>
      <c r="V35" s="30">
        <f t="shared" si="19"/>
        <v>850</v>
      </c>
      <c r="W35" s="30">
        <f t="shared" si="20"/>
        <v>851</v>
      </c>
      <c r="X35" s="30">
        <f t="shared" si="21"/>
        <v>852</v>
      </c>
      <c r="Y35" s="30">
        <f t="shared" si="22"/>
        <v>853</v>
      </c>
      <c r="Z35" s="30">
        <f t="shared" si="23"/>
        <v>854</v>
      </c>
      <c r="AA35" s="30">
        <f t="shared" si="24"/>
        <v>855</v>
      </c>
      <c r="AB35" s="30">
        <f t="shared" si="25"/>
        <v>856</v>
      </c>
      <c r="AC35" s="33">
        <f t="shared" si="26"/>
        <v>857</v>
      </c>
    </row>
    <row r="36" spans="2:29" x14ac:dyDescent="0.6">
      <c r="B36" s="53"/>
      <c r="C36" s="42" t="s">
        <v>115</v>
      </c>
      <c r="D36" s="45">
        <f t="shared" si="1"/>
        <v>858</v>
      </c>
      <c r="E36" s="30">
        <f t="shared" si="2"/>
        <v>859</v>
      </c>
      <c r="F36" s="30">
        <f t="shared" si="3"/>
        <v>860</v>
      </c>
      <c r="G36" s="30">
        <f t="shared" si="4"/>
        <v>861</v>
      </c>
      <c r="H36" s="30">
        <f t="shared" si="5"/>
        <v>862</v>
      </c>
      <c r="I36" s="30">
        <f t="shared" si="6"/>
        <v>863</v>
      </c>
      <c r="J36" s="30">
        <f t="shared" si="7"/>
        <v>864</v>
      </c>
      <c r="K36" s="30">
        <f t="shared" si="8"/>
        <v>865</v>
      </c>
      <c r="L36" s="30">
        <f t="shared" si="9"/>
        <v>866</v>
      </c>
      <c r="M36" s="30">
        <f t="shared" si="10"/>
        <v>867</v>
      </c>
      <c r="N36" s="30">
        <f t="shared" si="11"/>
        <v>868</v>
      </c>
      <c r="O36" s="30">
        <f t="shared" si="12"/>
        <v>869</v>
      </c>
      <c r="P36" s="30">
        <f t="shared" si="13"/>
        <v>870</v>
      </c>
      <c r="Q36" s="30">
        <f t="shared" si="14"/>
        <v>871</v>
      </c>
      <c r="R36" s="30">
        <f t="shared" si="15"/>
        <v>872</v>
      </c>
      <c r="S36" s="30">
        <f t="shared" si="16"/>
        <v>873</v>
      </c>
      <c r="T36" s="30">
        <f t="shared" si="17"/>
        <v>874</v>
      </c>
      <c r="U36" s="30">
        <f t="shared" si="18"/>
        <v>875</v>
      </c>
      <c r="V36" s="30">
        <f t="shared" si="19"/>
        <v>876</v>
      </c>
      <c r="W36" s="30">
        <f t="shared" si="20"/>
        <v>877</v>
      </c>
      <c r="X36" s="30">
        <f t="shared" si="21"/>
        <v>878</v>
      </c>
      <c r="Y36" s="30">
        <f t="shared" si="22"/>
        <v>879</v>
      </c>
      <c r="Z36" s="30">
        <f t="shared" si="23"/>
        <v>880</v>
      </c>
      <c r="AA36" s="30">
        <f t="shared" si="24"/>
        <v>881</v>
      </c>
      <c r="AB36" s="30">
        <f t="shared" si="25"/>
        <v>882</v>
      </c>
      <c r="AC36" s="33">
        <f t="shared" si="26"/>
        <v>883</v>
      </c>
    </row>
    <row r="37" spans="2:29" x14ac:dyDescent="0.6">
      <c r="B37" s="53"/>
      <c r="C37" s="42" t="s">
        <v>116</v>
      </c>
      <c r="D37" s="45">
        <f t="shared" si="1"/>
        <v>884</v>
      </c>
      <c r="E37" s="30">
        <f t="shared" si="2"/>
        <v>885</v>
      </c>
      <c r="F37" s="30">
        <f t="shared" si="3"/>
        <v>886</v>
      </c>
      <c r="G37" s="30">
        <f t="shared" si="4"/>
        <v>887</v>
      </c>
      <c r="H37" s="30">
        <f t="shared" si="5"/>
        <v>888</v>
      </c>
      <c r="I37" s="30">
        <f t="shared" si="6"/>
        <v>889</v>
      </c>
      <c r="J37" s="30">
        <f t="shared" si="7"/>
        <v>890</v>
      </c>
      <c r="K37" s="30">
        <f t="shared" si="8"/>
        <v>891</v>
      </c>
      <c r="L37" s="30">
        <f t="shared" si="9"/>
        <v>892</v>
      </c>
      <c r="M37" s="30">
        <f t="shared" si="10"/>
        <v>893</v>
      </c>
      <c r="N37" s="30">
        <f t="shared" si="11"/>
        <v>894</v>
      </c>
      <c r="O37" s="30">
        <f t="shared" si="12"/>
        <v>895</v>
      </c>
      <c r="P37" s="30">
        <f t="shared" si="13"/>
        <v>896</v>
      </c>
      <c r="Q37" s="30">
        <f t="shared" si="14"/>
        <v>897</v>
      </c>
      <c r="R37" s="30">
        <f t="shared" si="15"/>
        <v>898</v>
      </c>
      <c r="S37" s="30">
        <f t="shared" si="16"/>
        <v>899</v>
      </c>
      <c r="T37" s="30">
        <f t="shared" si="17"/>
        <v>900</v>
      </c>
      <c r="U37" s="30">
        <f t="shared" si="18"/>
        <v>901</v>
      </c>
      <c r="V37" s="30">
        <f t="shared" si="19"/>
        <v>902</v>
      </c>
      <c r="W37" s="30">
        <f t="shared" si="20"/>
        <v>903</v>
      </c>
      <c r="X37" s="30">
        <f t="shared" si="21"/>
        <v>904</v>
      </c>
      <c r="Y37" s="30">
        <f t="shared" si="22"/>
        <v>905</v>
      </c>
      <c r="Z37" s="30">
        <f t="shared" si="23"/>
        <v>906</v>
      </c>
      <c r="AA37" s="30">
        <f t="shared" si="24"/>
        <v>907</v>
      </c>
      <c r="AB37" s="30">
        <f t="shared" si="25"/>
        <v>908</v>
      </c>
      <c r="AC37" s="33">
        <f t="shared" si="26"/>
        <v>909</v>
      </c>
    </row>
    <row r="38" spans="2:29" x14ac:dyDescent="0.6">
      <c r="B38" s="53"/>
      <c r="C38" s="42" t="s">
        <v>117</v>
      </c>
      <c r="D38" s="45">
        <f t="shared" si="1"/>
        <v>910</v>
      </c>
      <c r="E38" s="30">
        <f t="shared" si="2"/>
        <v>911</v>
      </c>
      <c r="F38" s="30">
        <f t="shared" si="3"/>
        <v>912</v>
      </c>
      <c r="G38" s="30">
        <f t="shared" si="4"/>
        <v>913</v>
      </c>
      <c r="H38" s="30">
        <f t="shared" si="5"/>
        <v>914</v>
      </c>
      <c r="I38" s="30">
        <f t="shared" si="6"/>
        <v>915</v>
      </c>
      <c r="J38" s="30">
        <f t="shared" si="7"/>
        <v>916</v>
      </c>
      <c r="K38" s="30">
        <f t="shared" si="8"/>
        <v>917</v>
      </c>
      <c r="L38" s="30">
        <f t="shared" si="9"/>
        <v>918</v>
      </c>
      <c r="M38" s="30">
        <f t="shared" si="10"/>
        <v>919</v>
      </c>
      <c r="N38" s="30">
        <f t="shared" si="11"/>
        <v>920</v>
      </c>
      <c r="O38" s="30">
        <f t="shared" si="12"/>
        <v>921</v>
      </c>
      <c r="P38" s="30">
        <f t="shared" si="13"/>
        <v>922</v>
      </c>
      <c r="Q38" s="30">
        <f t="shared" si="14"/>
        <v>923</v>
      </c>
      <c r="R38" s="30">
        <f t="shared" si="15"/>
        <v>924</v>
      </c>
      <c r="S38" s="30">
        <f t="shared" si="16"/>
        <v>925</v>
      </c>
      <c r="T38" s="30">
        <f t="shared" si="17"/>
        <v>926</v>
      </c>
      <c r="U38" s="30">
        <f t="shared" si="18"/>
        <v>927</v>
      </c>
      <c r="V38" s="30">
        <f t="shared" si="19"/>
        <v>928</v>
      </c>
      <c r="W38" s="30">
        <f t="shared" si="20"/>
        <v>929</v>
      </c>
      <c r="X38" s="30">
        <f t="shared" si="21"/>
        <v>930</v>
      </c>
      <c r="Y38" s="30">
        <f t="shared" si="22"/>
        <v>931</v>
      </c>
      <c r="Z38" s="30">
        <f t="shared" si="23"/>
        <v>932</v>
      </c>
      <c r="AA38" s="30">
        <f t="shared" si="24"/>
        <v>933</v>
      </c>
      <c r="AB38" s="30">
        <f t="shared" si="25"/>
        <v>934</v>
      </c>
      <c r="AC38" s="33">
        <f t="shared" si="26"/>
        <v>935</v>
      </c>
    </row>
    <row r="39" spans="2:29" x14ac:dyDescent="0.6">
      <c r="B39" s="53"/>
      <c r="C39" s="42" t="s">
        <v>118</v>
      </c>
      <c r="D39" s="45">
        <f t="shared" si="1"/>
        <v>936</v>
      </c>
      <c r="E39" s="30">
        <f t="shared" si="2"/>
        <v>937</v>
      </c>
      <c r="F39" s="30">
        <f t="shared" si="3"/>
        <v>938</v>
      </c>
      <c r="G39" s="30">
        <f t="shared" si="4"/>
        <v>939</v>
      </c>
      <c r="H39" s="30">
        <f t="shared" si="5"/>
        <v>940</v>
      </c>
      <c r="I39" s="30">
        <f t="shared" si="6"/>
        <v>941</v>
      </c>
      <c r="J39" s="30">
        <f t="shared" si="7"/>
        <v>942</v>
      </c>
      <c r="K39" s="30">
        <f t="shared" si="8"/>
        <v>943</v>
      </c>
      <c r="L39" s="30">
        <f t="shared" si="9"/>
        <v>944</v>
      </c>
      <c r="M39" s="30">
        <f t="shared" si="10"/>
        <v>945</v>
      </c>
      <c r="N39" s="30">
        <f t="shared" si="11"/>
        <v>946</v>
      </c>
      <c r="O39" s="30">
        <f t="shared" si="12"/>
        <v>947</v>
      </c>
      <c r="P39" s="30">
        <f t="shared" si="13"/>
        <v>948</v>
      </c>
      <c r="Q39" s="30">
        <f t="shared" si="14"/>
        <v>949</v>
      </c>
      <c r="R39" s="30">
        <f t="shared" si="15"/>
        <v>950</v>
      </c>
      <c r="S39" s="30">
        <f t="shared" si="16"/>
        <v>951</v>
      </c>
      <c r="T39" s="30">
        <f t="shared" si="17"/>
        <v>952</v>
      </c>
      <c r="U39" s="30">
        <f t="shared" si="18"/>
        <v>953</v>
      </c>
      <c r="V39" s="30">
        <f t="shared" si="19"/>
        <v>954</v>
      </c>
      <c r="W39" s="30">
        <f t="shared" si="20"/>
        <v>955</v>
      </c>
      <c r="X39" s="30">
        <f t="shared" si="21"/>
        <v>956</v>
      </c>
      <c r="Y39" s="30">
        <f t="shared" si="22"/>
        <v>957</v>
      </c>
      <c r="Z39" s="30">
        <f t="shared" si="23"/>
        <v>958</v>
      </c>
      <c r="AA39" s="30">
        <f t="shared" si="24"/>
        <v>959</v>
      </c>
      <c r="AB39" s="30">
        <f t="shared" si="25"/>
        <v>960</v>
      </c>
      <c r="AC39" s="33">
        <f t="shared" si="26"/>
        <v>961</v>
      </c>
    </row>
    <row r="40" spans="2:29" x14ac:dyDescent="0.6">
      <c r="B40" s="53"/>
      <c r="C40" s="42" t="s">
        <v>119</v>
      </c>
      <c r="D40" s="45">
        <f t="shared" si="1"/>
        <v>962</v>
      </c>
      <c r="E40" s="30">
        <f t="shared" si="2"/>
        <v>963</v>
      </c>
      <c r="F40" s="30">
        <f t="shared" si="3"/>
        <v>964</v>
      </c>
      <c r="G40" s="30">
        <f t="shared" si="4"/>
        <v>965</v>
      </c>
      <c r="H40" s="30">
        <f t="shared" si="5"/>
        <v>966</v>
      </c>
      <c r="I40" s="30">
        <f t="shared" si="6"/>
        <v>967</v>
      </c>
      <c r="J40" s="30">
        <f t="shared" si="7"/>
        <v>968</v>
      </c>
      <c r="K40" s="30">
        <f t="shared" si="8"/>
        <v>969</v>
      </c>
      <c r="L40" s="30">
        <f t="shared" si="9"/>
        <v>970</v>
      </c>
      <c r="M40" s="30">
        <f t="shared" si="10"/>
        <v>971</v>
      </c>
      <c r="N40" s="30">
        <f t="shared" si="11"/>
        <v>972</v>
      </c>
      <c r="O40" s="30">
        <f t="shared" si="12"/>
        <v>973</v>
      </c>
      <c r="P40" s="30">
        <f t="shared" si="13"/>
        <v>974</v>
      </c>
      <c r="Q40" s="30">
        <f t="shared" si="14"/>
        <v>975</v>
      </c>
      <c r="R40" s="30">
        <f t="shared" si="15"/>
        <v>976</v>
      </c>
      <c r="S40" s="30">
        <f t="shared" si="16"/>
        <v>977</v>
      </c>
      <c r="T40" s="30">
        <f t="shared" si="17"/>
        <v>978</v>
      </c>
      <c r="U40" s="30">
        <f t="shared" si="18"/>
        <v>979</v>
      </c>
      <c r="V40" s="30">
        <f t="shared" si="19"/>
        <v>980</v>
      </c>
      <c r="W40" s="30">
        <f t="shared" si="20"/>
        <v>981</v>
      </c>
      <c r="X40" s="30">
        <f t="shared" si="21"/>
        <v>982</v>
      </c>
      <c r="Y40" s="30">
        <f t="shared" si="22"/>
        <v>983</v>
      </c>
      <c r="Z40" s="30">
        <f t="shared" si="23"/>
        <v>984</v>
      </c>
      <c r="AA40" s="30">
        <f t="shared" si="24"/>
        <v>985</v>
      </c>
      <c r="AB40" s="30">
        <f t="shared" si="25"/>
        <v>986</v>
      </c>
      <c r="AC40" s="33">
        <f t="shared" si="26"/>
        <v>987</v>
      </c>
    </row>
    <row r="41" spans="2:29" x14ac:dyDescent="0.6">
      <c r="B41" s="53"/>
      <c r="C41" s="42" t="s">
        <v>120</v>
      </c>
      <c r="D41" s="45">
        <f t="shared" si="1"/>
        <v>988</v>
      </c>
      <c r="E41" s="30">
        <f t="shared" si="2"/>
        <v>989</v>
      </c>
      <c r="F41" s="30">
        <f t="shared" si="3"/>
        <v>990</v>
      </c>
      <c r="G41" s="30">
        <f t="shared" si="4"/>
        <v>991</v>
      </c>
      <c r="H41" s="30">
        <f t="shared" si="5"/>
        <v>992</v>
      </c>
      <c r="I41" s="30">
        <f t="shared" si="6"/>
        <v>993</v>
      </c>
      <c r="J41" s="30">
        <f t="shared" si="7"/>
        <v>994</v>
      </c>
      <c r="K41" s="30">
        <f t="shared" si="8"/>
        <v>995</v>
      </c>
      <c r="L41" s="30">
        <f t="shared" si="9"/>
        <v>996</v>
      </c>
      <c r="M41" s="30">
        <f t="shared" si="10"/>
        <v>997</v>
      </c>
      <c r="N41" s="30">
        <f t="shared" si="11"/>
        <v>998</v>
      </c>
      <c r="O41" s="30">
        <f t="shared" si="12"/>
        <v>999</v>
      </c>
      <c r="P41" s="30">
        <f t="shared" si="13"/>
        <v>1000</v>
      </c>
      <c r="Q41" s="30">
        <f t="shared" si="14"/>
        <v>1001</v>
      </c>
      <c r="R41" s="30">
        <f t="shared" si="15"/>
        <v>1002</v>
      </c>
      <c r="S41" s="30">
        <f t="shared" si="16"/>
        <v>1003</v>
      </c>
      <c r="T41" s="30">
        <f t="shared" si="17"/>
        <v>1004</v>
      </c>
      <c r="U41" s="30">
        <f t="shared" si="18"/>
        <v>1005</v>
      </c>
      <c r="V41" s="30">
        <f t="shared" si="19"/>
        <v>1006</v>
      </c>
      <c r="W41" s="30">
        <f t="shared" si="20"/>
        <v>1007</v>
      </c>
      <c r="X41" s="30">
        <f t="shared" si="21"/>
        <v>1008</v>
      </c>
      <c r="Y41" s="30">
        <f t="shared" si="22"/>
        <v>1009</v>
      </c>
      <c r="Z41" s="30">
        <f t="shared" si="23"/>
        <v>1010</v>
      </c>
      <c r="AA41" s="30">
        <f t="shared" si="24"/>
        <v>1011</v>
      </c>
      <c r="AB41" s="30">
        <f t="shared" si="25"/>
        <v>1012</v>
      </c>
      <c r="AC41" s="33">
        <f t="shared" si="26"/>
        <v>1013</v>
      </c>
    </row>
    <row r="42" spans="2:29" x14ac:dyDescent="0.6">
      <c r="B42" s="53"/>
      <c r="C42" s="42" t="s">
        <v>121</v>
      </c>
      <c r="D42" s="45">
        <f t="shared" si="1"/>
        <v>1014</v>
      </c>
      <c r="E42" s="30">
        <f t="shared" si="2"/>
        <v>1015</v>
      </c>
      <c r="F42" s="30">
        <f t="shared" si="3"/>
        <v>1016</v>
      </c>
      <c r="G42" s="30">
        <f t="shared" si="4"/>
        <v>1017</v>
      </c>
      <c r="H42" s="30">
        <f t="shared" si="5"/>
        <v>1018</v>
      </c>
      <c r="I42" s="30">
        <f t="shared" si="6"/>
        <v>1019</v>
      </c>
      <c r="J42" s="30">
        <f t="shared" si="7"/>
        <v>1020</v>
      </c>
      <c r="K42" s="30">
        <f t="shared" si="8"/>
        <v>1021</v>
      </c>
      <c r="L42" s="30">
        <f t="shared" si="9"/>
        <v>1022</v>
      </c>
      <c r="M42" s="30">
        <f t="shared" si="10"/>
        <v>1023</v>
      </c>
      <c r="N42" s="30">
        <f t="shared" si="11"/>
        <v>1024</v>
      </c>
      <c r="O42" s="30">
        <f t="shared" si="12"/>
        <v>1025</v>
      </c>
      <c r="P42" s="30">
        <f t="shared" si="13"/>
        <v>1026</v>
      </c>
      <c r="Q42" s="30">
        <f t="shared" si="14"/>
        <v>1027</v>
      </c>
      <c r="R42" s="30">
        <f t="shared" si="15"/>
        <v>1028</v>
      </c>
      <c r="S42" s="30">
        <f t="shared" si="16"/>
        <v>1029</v>
      </c>
      <c r="T42" s="30">
        <f t="shared" si="17"/>
        <v>1030</v>
      </c>
      <c r="U42" s="30">
        <f t="shared" si="18"/>
        <v>1031</v>
      </c>
      <c r="V42" s="30">
        <f t="shared" si="19"/>
        <v>1032</v>
      </c>
      <c r="W42" s="30">
        <f t="shared" si="20"/>
        <v>1033</v>
      </c>
      <c r="X42" s="30">
        <f t="shared" si="21"/>
        <v>1034</v>
      </c>
      <c r="Y42" s="30">
        <f t="shared" si="22"/>
        <v>1035</v>
      </c>
      <c r="Z42" s="30">
        <f t="shared" si="23"/>
        <v>1036</v>
      </c>
      <c r="AA42" s="30">
        <f t="shared" si="24"/>
        <v>1037</v>
      </c>
      <c r="AB42" s="30">
        <f t="shared" si="25"/>
        <v>1038</v>
      </c>
      <c r="AC42" s="33">
        <f t="shared" si="26"/>
        <v>1039</v>
      </c>
    </row>
    <row r="43" spans="2:29" x14ac:dyDescent="0.6">
      <c r="B43" s="53"/>
      <c r="C43" s="42" t="s">
        <v>122</v>
      </c>
      <c r="D43" s="45">
        <f t="shared" si="1"/>
        <v>1040</v>
      </c>
      <c r="E43" s="30">
        <f t="shared" si="2"/>
        <v>1041</v>
      </c>
      <c r="F43" s="30">
        <f t="shared" si="3"/>
        <v>1042</v>
      </c>
      <c r="G43" s="30">
        <f t="shared" si="4"/>
        <v>1043</v>
      </c>
      <c r="H43" s="30">
        <f t="shared" si="5"/>
        <v>1044</v>
      </c>
      <c r="I43" s="30">
        <f t="shared" si="6"/>
        <v>1045</v>
      </c>
      <c r="J43" s="30">
        <f t="shared" si="7"/>
        <v>1046</v>
      </c>
      <c r="K43" s="30">
        <f t="shared" si="8"/>
        <v>1047</v>
      </c>
      <c r="L43" s="30">
        <f t="shared" si="9"/>
        <v>1048</v>
      </c>
      <c r="M43" s="30">
        <f t="shared" si="10"/>
        <v>1049</v>
      </c>
      <c r="N43" s="30">
        <f t="shared" si="11"/>
        <v>1050</v>
      </c>
      <c r="O43" s="30">
        <f t="shared" si="12"/>
        <v>1051</v>
      </c>
      <c r="P43" s="30">
        <f t="shared" si="13"/>
        <v>1052</v>
      </c>
      <c r="Q43" s="30">
        <f t="shared" si="14"/>
        <v>1053</v>
      </c>
      <c r="R43" s="30">
        <f t="shared" si="15"/>
        <v>1054</v>
      </c>
      <c r="S43" s="30">
        <f t="shared" si="16"/>
        <v>1055</v>
      </c>
      <c r="T43" s="30">
        <f t="shared" si="17"/>
        <v>1056</v>
      </c>
      <c r="U43" s="30">
        <f t="shared" si="18"/>
        <v>1057</v>
      </c>
      <c r="V43" s="30">
        <f t="shared" si="19"/>
        <v>1058</v>
      </c>
      <c r="W43" s="30">
        <f t="shared" si="20"/>
        <v>1059</v>
      </c>
      <c r="X43" s="30">
        <f t="shared" si="21"/>
        <v>1060</v>
      </c>
      <c r="Y43" s="30">
        <f t="shared" si="22"/>
        <v>1061</v>
      </c>
      <c r="Z43" s="30">
        <f t="shared" si="23"/>
        <v>1062</v>
      </c>
      <c r="AA43" s="30">
        <f t="shared" si="24"/>
        <v>1063</v>
      </c>
      <c r="AB43" s="30">
        <f t="shared" si="25"/>
        <v>1064</v>
      </c>
      <c r="AC43" s="33">
        <f t="shared" si="26"/>
        <v>1065</v>
      </c>
    </row>
    <row r="44" spans="2:29" x14ac:dyDescent="0.6">
      <c r="B44" s="53"/>
      <c r="C44" s="42" t="s">
        <v>123</v>
      </c>
      <c r="D44" s="45">
        <f t="shared" si="1"/>
        <v>1066</v>
      </c>
      <c r="E44" s="30">
        <f t="shared" si="2"/>
        <v>1067</v>
      </c>
      <c r="F44" s="30">
        <f t="shared" si="3"/>
        <v>1068</v>
      </c>
      <c r="G44" s="30">
        <f t="shared" si="4"/>
        <v>1069</v>
      </c>
      <c r="H44" s="30">
        <f t="shared" si="5"/>
        <v>1070</v>
      </c>
      <c r="I44" s="30">
        <f t="shared" si="6"/>
        <v>1071</v>
      </c>
      <c r="J44" s="30">
        <f t="shared" si="7"/>
        <v>1072</v>
      </c>
      <c r="K44" s="30">
        <f t="shared" si="8"/>
        <v>1073</v>
      </c>
      <c r="L44" s="30">
        <f t="shared" si="9"/>
        <v>1074</v>
      </c>
      <c r="M44" s="30">
        <f t="shared" si="10"/>
        <v>1075</v>
      </c>
      <c r="N44" s="30">
        <f t="shared" si="11"/>
        <v>1076</v>
      </c>
      <c r="O44" s="30">
        <f t="shared" si="12"/>
        <v>1077</v>
      </c>
      <c r="P44" s="30">
        <f t="shared" si="13"/>
        <v>1078</v>
      </c>
      <c r="Q44" s="30">
        <f t="shared" si="14"/>
        <v>1079</v>
      </c>
      <c r="R44" s="30">
        <f t="shared" si="15"/>
        <v>1080</v>
      </c>
      <c r="S44" s="30">
        <f t="shared" si="16"/>
        <v>1081</v>
      </c>
      <c r="T44" s="30">
        <f t="shared" si="17"/>
        <v>1082</v>
      </c>
      <c r="U44" s="30">
        <f t="shared" si="18"/>
        <v>1083</v>
      </c>
      <c r="V44" s="30">
        <f t="shared" si="19"/>
        <v>1084</v>
      </c>
      <c r="W44" s="30">
        <f t="shared" si="20"/>
        <v>1085</v>
      </c>
      <c r="X44" s="30">
        <f t="shared" si="21"/>
        <v>1086</v>
      </c>
      <c r="Y44" s="30">
        <f t="shared" si="22"/>
        <v>1087</v>
      </c>
      <c r="Z44" s="30">
        <f t="shared" si="23"/>
        <v>1088</v>
      </c>
      <c r="AA44" s="30">
        <f t="shared" si="24"/>
        <v>1089</v>
      </c>
      <c r="AB44" s="30">
        <f t="shared" si="25"/>
        <v>1090</v>
      </c>
      <c r="AC44" s="33">
        <f t="shared" si="26"/>
        <v>1091</v>
      </c>
    </row>
    <row r="45" spans="2:29" x14ac:dyDescent="0.6">
      <c r="B45" s="53"/>
      <c r="C45" s="42" t="s">
        <v>124</v>
      </c>
      <c r="D45" s="45">
        <f t="shared" si="1"/>
        <v>1092</v>
      </c>
      <c r="E45" s="30">
        <f t="shared" si="2"/>
        <v>1093</v>
      </c>
      <c r="F45" s="30">
        <f t="shared" si="3"/>
        <v>1094</v>
      </c>
      <c r="G45" s="30">
        <f t="shared" si="4"/>
        <v>1095</v>
      </c>
      <c r="H45" s="30">
        <f t="shared" si="5"/>
        <v>1096</v>
      </c>
      <c r="I45" s="30">
        <f t="shared" si="6"/>
        <v>1097</v>
      </c>
      <c r="J45" s="30">
        <f t="shared" si="7"/>
        <v>1098</v>
      </c>
      <c r="K45" s="30">
        <f t="shared" si="8"/>
        <v>1099</v>
      </c>
      <c r="L45" s="30">
        <f t="shared" si="9"/>
        <v>1100</v>
      </c>
      <c r="M45" s="30">
        <f t="shared" si="10"/>
        <v>1101</v>
      </c>
      <c r="N45" s="30">
        <f t="shared" si="11"/>
        <v>1102</v>
      </c>
      <c r="O45" s="30">
        <f t="shared" si="12"/>
        <v>1103</v>
      </c>
      <c r="P45" s="30">
        <f t="shared" si="13"/>
        <v>1104</v>
      </c>
      <c r="Q45" s="30">
        <f t="shared" si="14"/>
        <v>1105</v>
      </c>
      <c r="R45" s="30">
        <f t="shared" si="15"/>
        <v>1106</v>
      </c>
      <c r="S45" s="30">
        <f t="shared" si="16"/>
        <v>1107</v>
      </c>
      <c r="T45" s="30">
        <f t="shared" si="17"/>
        <v>1108</v>
      </c>
      <c r="U45" s="30">
        <f t="shared" si="18"/>
        <v>1109</v>
      </c>
      <c r="V45" s="30">
        <f t="shared" si="19"/>
        <v>1110</v>
      </c>
      <c r="W45" s="30">
        <f t="shared" si="20"/>
        <v>1111</v>
      </c>
      <c r="X45" s="30">
        <f t="shared" si="21"/>
        <v>1112</v>
      </c>
      <c r="Y45" s="30">
        <f t="shared" si="22"/>
        <v>1113</v>
      </c>
      <c r="Z45" s="30">
        <f t="shared" si="23"/>
        <v>1114</v>
      </c>
      <c r="AA45" s="30">
        <f t="shared" si="24"/>
        <v>1115</v>
      </c>
      <c r="AB45" s="30">
        <f t="shared" si="25"/>
        <v>1116</v>
      </c>
      <c r="AC45" s="33">
        <f t="shared" si="26"/>
        <v>1117</v>
      </c>
    </row>
    <row r="46" spans="2:29" x14ac:dyDescent="0.6">
      <c r="B46" s="53"/>
      <c r="C46" s="42" t="s">
        <v>125</v>
      </c>
      <c r="D46" s="45">
        <f t="shared" si="1"/>
        <v>1118</v>
      </c>
      <c r="E46" s="30">
        <f t="shared" si="2"/>
        <v>1119</v>
      </c>
      <c r="F46" s="30">
        <f t="shared" si="3"/>
        <v>1120</v>
      </c>
      <c r="G46" s="30">
        <f t="shared" si="4"/>
        <v>1121</v>
      </c>
      <c r="H46" s="30">
        <f t="shared" si="5"/>
        <v>1122</v>
      </c>
      <c r="I46" s="30">
        <f t="shared" si="6"/>
        <v>1123</v>
      </c>
      <c r="J46" s="30">
        <f t="shared" si="7"/>
        <v>1124</v>
      </c>
      <c r="K46" s="30">
        <f t="shared" si="8"/>
        <v>1125</v>
      </c>
      <c r="L46" s="30">
        <f t="shared" si="9"/>
        <v>1126</v>
      </c>
      <c r="M46" s="30">
        <f t="shared" si="10"/>
        <v>1127</v>
      </c>
      <c r="N46" s="30">
        <f t="shared" si="11"/>
        <v>1128</v>
      </c>
      <c r="O46" s="30">
        <f t="shared" si="12"/>
        <v>1129</v>
      </c>
      <c r="P46" s="30">
        <f t="shared" si="13"/>
        <v>1130</v>
      </c>
      <c r="Q46" s="30">
        <f t="shared" si="14"/>
        <v>1131</v>
      </c>
      <c r="R46" s="30">
        <f t="shared" si="15"/>
        <v>1132</v>
      </c>
      <c r="S46" s="30">
        <f t="shared" si="16"/>
        <v>1133</v>
      </c>
      <c r="T46" s="30">
        <f t="shared" si="17"/>
        <v>1134</v>
      </c>
      <c r="U46" s="30">
        <f t="shared" si="18"/>
        <v>1135</v>
      </c>
      <c r="V46" s="30">
        <f t="shared" si="19"/>
        <v>1136</v>
      </c>
      <c r="W46" s="30">
        <f t="shared" si="20"/>
        <v>1137</v>
      </c>
      <c r="X46" s="30">
        <f t="shared" si="21"/>
        <v>1138</v>
      </c>
      <c r="Y46" s="30">
        <f t="shared" si="22"/>
        <v>1139</v>
      </c>
      <c r="Z46" s="30">
        <f t="shared" si="23"/>
        <v>1140</v>
      </c>
      <c r="AA46" s="30">
        <f t="shared" si="24"/>
        <v>1141</v>
      </c>
      <c r="AB46" s="30">
        <f t="shared" si="25"/>
        <v>1142</v>
      </c>
      <c r="AC46" s="33">
        <f t="shared" si="26"/>
        <v>1143</v>
      </c>
    </row>
    <row r="47" spans="2:29" x14ac:dyDescent="0.6">
      <c r="B47" s="53"/>
      <c r="C47" s="42" t="s">
        <v>126</v>
      </c>
      <c r="D47" s="45">
        <f t="shared" si="1"/>
        <v>1144</v>
      </c>
      <c r="E47" s="30">
        <f t="shared" si="2"/>
        <v>1145</v>
      </c>
      <c r="F47" s="30">
        <f t="shared" si="3"/>
        <v>1146</v>
      </c>
      <c r="G47" s="30">
        <f t="shared" si="4"/>
        <v>1147</v>
      </c>
      <c r="H47" s="30">
        <f t="shared" si="5"/>
        <v>1148</v>
      </c>
      <c r="I47" s="30">
        <f t="shared" si="6"/>
        <v>1149</v>
      </c>
      <c r="J47" s="30">
        <f t="shared" si="7"/>
        <v>1150</v>
      </c>
      <c r="K47" s="30">
        <f t="shared" si="8"/>
        <v>1151</v>
      </c>
      <c r="L47" s="30">
        <f t="shared" si="9"/>
        <v>1152</v>
      </c>
      <c r="M47" s="30">
        <f t="shared" si="10"/>
        <v>1153</v>
      </c>
      <c r="N47" s="30">
        <f t="shared" si="11"/>
        <v>1154</v>
      </c>
      <c r="O47" s="30">
        <f t="shared" si="12"/>
        <v>1155</v>
      </c>
      <c r="P47" s="30">
        <f t="shared" si="13"/>
        <v>1156</v>
      </c>
      <c r="Q47" s="30">
        <f t="shared" si="14"/>
        <v>1157</v>
      </c>
      <c r="R47" s="30">
        <f t="shared" si="15"/>
        <v>1158</v>
      </c>
      <c r="S47" s="30">
        <f t="shared" si="16"/>
        <v>1159</v>
      </c>
      <c r="T47" s="30">
        <f t="shared" si="17"/>
        <v>1160</v>
      </c>
      <c r="U47" s="30">
        <f t="shared" si="18"/>
        <v>1161</v>
      </c>
      <c r="V47" s="30">
        <f t="shared" si="19"/>
        <v>1162</v>
      </c>
      <c r="W47" s="30">
        <f t="shared" si="20"/>
        <v>1163</v>
      </c>
      <c r="X47" s="30">
        <f t="shared" si="21"/>
        <v>1164</v>
      </c>
      <c r="Y47" s="30">
        <f t="shared" si="22"/>
        <v>1165</v>
      </c>
      <c r="Z47" s="30">
        <f t="shared" si="23"/>
        <v>1166</v>
      </c>
      <c r="AA47" s="30">
        <f t="shared" si="24"/>
        <v>1167</v>
      </c>
      <c r="AB47" s="30">
        <f t="shared" si="25"/>
        <v>1168</v>
      </c>
      <c r="AC47" s="33">
        <f t="shared" si="26"/>
        <v>1169</v>
      </c>
    </row>
    <row r="48" spans="2:29" x14ac:dyDescent="0.6">
      <c r="B48" s="53"/>
      <c r="C48" s="42" t="s">
        <v>127</v>
      </c>
      <c r="D48" s="45">
        <f t="shared" si="1"/>
        <v>1170</v>
      </c>
      <c r="E48" s="30">
        <f t="shared" si="2"/>
        <v>1171</v>
      </c>
      <c r="F48" s="30">
        <f t="shared" si="3"/>
        <v>1172</v>
      </c>
      <c r="G48" s="30">
        <f t="shared" si="4"/>
        <v>1173</v>
      </c>
      <c r="H48" s="30">
        <f t="shared" si="5"/>
        <v>1174</v>
      </c>
      <c r="I48" s="30">
        <f t="shared" si="6"/>
        <v>1175</v>
      </c>
      <c r="J48" s="30">
        <f t="shared" si="7"/>
        <v>1176</v>
      </c>
      <c r="K48" s="30">
        <f t="shared" si="8"/>
        <v>1177</v>
      </c>
      <c r="L48" s="30">
        <f t="shared" si="9"/>
        <v>1178</v>
      </c>
      <c r="M48" s="30">
        <f t="shared" si="10"/>
        <v>1179</v>
      </c>
      <c r="N48" s="30">
        <f t="shared" si="11"/>
        <v>1180</v>
      </c>
      <c r="O48" s="30">
        <f t="shared" si="12"/>
        <v>1181</v>
      </c>
      <c r="P48" s="30">
        <f t="shared" si="13"/>
        <v>1182</v>
      </c>
      <c r="Q48" s="30">
        <f t="shared" si="14"/>
        <v>1183</v>
      </c>
      <c r="R48" s="30">
        <f t="shared" si="15"/>
        <v>1184</v>
      </c>
      <c r="S48" s="30">
        <f t="shared" si="16"/>
        <v>1185</v>
      </c>
      <c r="T48" s="30">
        <f t="shared" si="17"/>
        <v>1186</v>
      </c>
      <c r="U48" s="30">
        <f t="shared" si="18"/>
        <v>1187</v>
      </c>
      <c r="V48" s="30">
        <f t="shared" si="19"/>
        <v>1188</v>
      </c>
      <c r="W48" s="30">
        <f t="shared" si="20"/>
        <v>1189</v>
      </c>
      <c r="X48" s="30">
        <f t="shared" si="21"/>
        <v>1190</v>
      </c>
      <c r="Y48" s="30">
        <f t="shared" si="22"/>
        <v>1191</v>
      </c>
      <c r="Z48" s="30">
        <f t="shared" si="23"/>
        <v>1192</v>
      </c>
      <c r="AA48" s="30">
        <f t="shared" si="24"/>
        <v>1193</v>
      </c>
      <c r="AB48" s="30">
        <f t="shared" si="25"/>
        <v>1194</v>
      </c>
      <c r="AC48" s="33">
        <f t="shared" si="26"/>
        <v>1195</v>
      </c>
    </row>
    <row r="49" spans="2:29" x14ac:dyDescent="0.6">
      <c r="B49" s="53"/>
      <c r="C49" s="42" t="s">
        <v>128</v>
      </c>
      <c r="D49" s="45">
        <f t="shared" si="1"/>
        <v>1196</v>
      </c>
      <c r="E49" s="30">
        <f t="shared" si="2"/>
        <v>1197</v>
      </c>
      <c r="F49" s="30">
        <f t="shared" si="3"/>
        <v>1198</v>
      </c>
      <c r="G49" s="30">
        <f t="shared" si="4"/>
        <v>1199</v>
      </c>
      <c r="H49" s="30">
        <f t="shared" si="5"/>
        <v>1200</v>
      </c>
      <c r="I49" s="30">
        <f t="shared" si="6"/>
        <v>1201</v>
      </c>
      <c r="J49" s="30">
        <f t="shared" si="7"/>
        <v>1202</v>
      </c>
      <c r="K49" s="30">
        <f t="shared" si="8"/>
        <v>1203</v>
      </c>
      <c r="L49" s="30">
        <f t="shared" si="9"/>
        <v>1204</v>
      </c>
      <c r="M49" s="30">
        <f t="shared" si="10"/>
        <v>1205</v>
      </c>
      <c r="N49" s="30">
        <f t="shared" si="11"/>
        <v>1206</v>
      </c>
      <c r="O49" s="30">
        <f t="shared" si="12"/>
        <v>1207</v>
      </c>
      <c r="P49" s="30">
        <f t="shared" si="13"/>
        <v>1208</v>
      </c>
      <c r="Q49" s="30">
        <f t="shared" si="14"/>
        <v>1209</v>
      </c>
      <c r="R49" s="30">
        <f t="shared" si="15"/>
        <v>1210</v>
      </c>
      <c r="S49" s="30">
        <f t="shared" si="16"/>
        <v>1211</v>
      </c>
      <c r="T49" s="30">
        <f t="shared" si="17"/>
        <v>1212</v>
      </c>
      <c r="U49" s="30">
        <f t="shared" si="18"/>
        <v>1213</v>
      </c>
      <c r="V49" s="30">
        <f t="shared" si="19"/>
        <v>1214</v>
      </c>
      <c r="W49" s="30">
        <f t="shared" si="20"/>
        <v>1215</v>
      </c>
      <c r="X49" s="30">
        <f t="shared" si="21"/>
        <v>1216</v>
      </c>
      <c r="Y49" s="30">
        <f t="shared" si="22"/>
        <v>1217</v>
      </c>
      <c r="Z49" s="30">
        <f t="shared" si="23"/>
        <v>1218</v>
      </c>
      <c r="AA49" s="30">
        <f t="shared" si="24"/>
        <v>1219</v>
      </c>
      <c r="AB49" s="30">
        <f t="shared" si="25"/>
        <v>1220</v>
      </c>
      <c r="AC49" s="33">
        <f t="shared" si="26"/>
        <v>1221</v>
      </c>
    </row>
    <row r="50" spans="2:29" ht="17.25" thickBot="1" x14ac:dyDescent="0.65">
      <c r="B50" s="54"/>
      <c r="C50" s="43" t="s">
        <v>129</v>
      </c>
      <c r="D50" s="46">
        <f t="shared" si="1"/>
        <v>1222</v>
      </c>
      <c r="E50" s="34">
        <f t="shared" si="2"/>
        <v>1223</v>
      </c>
      <c r="F50" s="34">
        <f t="shared" si="3"/>
        <v>1224</v>
      </c>
      <c r="G50" s="34">
        <f t="shared" si="4"/>
        <v>1225</v>
      </c>
      <c r="H50" s="34">
        <f t="shared" si="5"/>
        <v>1226</v>
      </c>
      <c r="I50" s="34">
        <f t="shared" si="6"/>
        <v>1227</v>
      </c>
      <c r="J50" s="34">
        <f t="shared" si="7"/>
        <v>1228</v>
      </c>
      <c r="K50" s="34">
        <f t="shared" si="8"/>
        <v>1229</v>
      </c>
      <c r="L50" s="34">
        <f t="shared" si="9"/>
        <v>1230</v>
      </c>
      <c r="M50" s="34">
        <f t="shared" si="10"/>
        <v>1231</v>
      </c>
      <c r="N50" s="34">
        <f t="shared" si="11"/>
        <v>1232</v>
      </c>
      <c r="O50" s="34">
        <f t="shared" si="12"/>
        <v>1233</v>
      </c>
      <c r="P50" s="34">
        <f t="shared" si="13"/>
        <v>1234</v>
      </c>
      <c r="Q50" s="34">
        <f t="shared" si="14"/>
        <v>1235</v>
      </c>
      <c r="R50" s="34">
        <f t="shared" si="15"/>
        <v>1236</v>
      </c>
      <c r="S50" s="34">
        <f t="shared" si="16"/>
        <v>1237</v>
      </c>
      <c r="T50" s="34">
        <f t="shared" si="17"/>
        <v>1238</v>
      </c>
      <c r="U50" s="34">
        <f t="shared" si="18"/>
        <v>1239</v>
      </c>
      <c r="V50" s="34">
        <f t="shared" si="19"/>
        <v>1240</v>
      </c>
      <c r="W50" s="34">
        <f t="shared" si="20"/>
        <v>1241</v>
      </c>
      <c r="X50" s="34">
        <f t="shared" si="21"/>
        <v>1242</v>
      </c>
      <c r="Y50" s="34">
        <f t="shared" si="22"/>
        <v>1243</v>
      </c>
      <c r="Z50" s="34">
        <f t="shared" si="23"/>
        <v>1244</v>
      </c>
      <c r="AA50" s="34">
        <f t="shared" si="24"/>
        <v>1245</v>
      </c>
      <c r="AB50" s="34">
        <f t="shared" si="25"/>
        <v>1246</v>
      </c>
      <c r="AC50" s="35">
        <f t="shared" si="26"/>
        <v>1247</v>
      </c>
    </row>
    <row r="51" spans="2:29" x14ac:dyDescent="0.6">
      <c r="B51" s="52" t="s">
        <v>181</v>
      </c>
      <c r="C51" s="38" t="s">
        <v>130</v>
      </c>
      <c r="D51" s="47">
        <f t="shared" si="1"/>
        <v>1248</v>
      </c>
      <c r="E51" s="36">
        <f t="shared" si="2"/>
        <v>1249</v>
      </c>
      <c r="F51" s="36">
        <f t="shared" si="3"/>
        <v>1250</v>
      </c>
      <c r="G51" s="36">
        <f t="shared" si="4"/>
        <v>1251</v>
      </c>
      <c r="H51" s="36">
        <f t="shared" si="5"/>
        <v>1252</v>
      </c>
      <c r="I51" s="36">
        <f t="shared" si="6"/>
        <v>1253</v>
      </c>
      <c r="J51" s="36">
        <f t="shared" si="7"/>
        <v>1254</v>
      </c>
      <c r="K51" s="36">
        <f t="shared" si="8"/>
        <v>1255</v>
      </c>
      <c r="L51" s="36">
        <f t="shared" si="9"/>
        <v>1256</v>
      </c>
      <c r="M51" s="36">
        <f t="shared" si="10"/>
        <v>1257</v>
      </c>
      <c r="N51" s="36">
        <f t="shared" si="11"/>
        <v>1258</v>
      </c>
      <c r="O51" s="36">
        <f t="shared" si="12"/>
        <v>1259</v>
      </c>
      <c r="P51" s="36">
        <f t="shared" si="13"/>
        <v>1260</v>
      </c>
      <c r="Q51" s="36">
        <f t="shared" si="14"/>
        <v>1261</v>
      </c>
      <c r="R51" s="36">
        <f t="shared" si="15"/>
        <v>1262</v>
      </c>
      <c r="S51" s="36">
        <f t="shared" si="16"/>
        <v>1263</v>
      </c>
      <c r="T51" s="36">
        <f t="shared" si="17"/>
        <v>1264</v>
      </c>
      <c r="U51" s="36">
        <f t="shared" si="18"/>
        <v>1265</v>
      </c>
      <c r="V51" s="36">
        <f t="shared" si="19"/>
        <v>1266</v>
      </c>
      <c r="W51" s="36">
        <f t="shared" si="20"/>
        <v>1267</v>
      </c>
      <c r="X51" s="36">
        <f t="shared" si="21"/>
        <v>1268</v>
      </c>
      <c r="Y51" s="36">
        <f t="shared" si="22"/>
        <v>1269</v>
      </c>
      <c r="Z51" s="36">
        <f t="shared" si="23"/>
        <v>1270</v>
      </c>
      <c r="AA51" s="36">
        <f t="shared" si="24"/>
        <v>1271</v>
      </c>
      <c r="AB51" s="36">
        <f t="shared" si="25"/>
        <v>1272</v>
      </c>
      <c r="AC51" s="37">
        <f t="shared" si="26"/>
        <v>1273</v>
      </c>
    </row>
    <row r="52" spans="2:29" x14ac:dyDescent="0.6">
      <c r="B52" s="53"/>
      <c r="C52" s="39" t="s">
        <v>131</v>
      </c>
      <c r="D52" s="45">
        <f t="shared" si="1"/>
        <v>1274</v>
      </c>
      <c r="E52" s="30">
        <f t="shared" si="2"/>
        <v>1275</v>
      </c>
      <c r="F52" s="30">
        <f t="shared" si="3"/>
        <v>1276</v>
      </c>
      <c r="G52" s="30">
        <f t="shared" si="4"/>
        <v>1277</v>
      </c>
      <c r="H52" s="30">
        <f t="shared" si="5"/>
        <v>1278</v>
      </c>
      <c r="I52" s="30">
        <f t="shared" si="6"/>
        <v>1279</v>
      </c>
      <c r="J52" s="30">
        <f t="shared" si="7"/>
        <v>1280</v>
      </c>
      <c r="K52" s="30">
        <f t="shared" si="8"/>
        <v>1281</v>
      </c>
      <c r="L52" s="30">
        <f t="shared" si="9"/>
        <v>1282</v>
      </c>
      <c r="M52" s="30">
        <f t="shared" si="10"/>
        <v>1283</v>
      </c>
      <c r="N52" s="30">
        <f t="shared" si="11"/>
        <v>1284</v>
      </c>
      <c r="O52" s="30">
        <f t="shared" si="12"/>
        <v>1285</v>
      </c>
      <c r="P52" s="30">
        <f t="shared" si="13"/>
        <v>1286</v>
      </c>
      <c r="Q52" s="30">
        <f t="shared" si="14"/>
        <v>1287</v>
      </c>
      <c r="R52" s="30">
        <f t="shared" si="15"/>
        <v>1288</v>
      </c>
      <c r="S52" s="30">
        <f t="shared" si="16"/>
        <v>1289</v>
      </c>
      <c r="T52" s="30">
        <f t="shared" si="17"/>
        <v>1290</v>
      </c>
      <c r="U52" s="30">
        <f t="shared" si="18"/>
        <v>1291</v>
      </c>
      <c r="V52" s="30">
        <f t="shared" si="19"/>
        <v>1292</v>
      </c>
      <c r="W52" s="30">
        <f t="shared" si="20"/>
        <v>1293</v>
      </c>
      <c r="X52" s="30">
        <f t="shared" si="21"/>
        <v>1294</v>
      </c>
      <c r="Y52" s="30">
        <f t="shared" si="22"/>
        <v>1295</v>
      </c>
      <c r="Z52" s="30">
        <f t="shared" si="23"/>
        <v>1296</v>
      </c>
      <c r="AA52" s="30">
        <f t="shared" si="24"/>
        <v>1297</v>
      </c>
      <c r="AB52" s="30">
        <f t="shared" si="25"/>
        <v>1298</v>
      </c>
      <c r="AC52" s="33">
        <f t="shared" si="26"/>
        <v>1299</v>
      </c>
    </row>
    <row r="53" spans="2:29" x14ac:dyDescent="0.6">
      <c r="B53" s="53"/>
      <c r="C53" s="39" t="s">
        <v>132</v>
      </c>
      <c r="D53" s="45">
        <f t="shared" si="1"/>
        <v>1300</v>
      </c>
      <c r="E53" s="30">
        <f t="shared" si="2"/>
        <v>1301</v>
      </c>
      <c r="F53" s="30">
        <f t="shared" si="3"/>
        <v>1302</v>
      </c>
      <c r="G53" s="30">
        <f t="shared" si="4"/>
        <v>1303</v>
      </c>
      <c r="H53" s="30">
        <f t="shared" si="5"/>
        <v>1304</v>
      </c>
      <c r="I53" s="30">
        <f t="shared" si="6"/>
        <v>1305</v>
      </c>
      <c r="J53" s="30">
        <f t="shared" si="7"/>
        <v>1306</v>
      </c>
      <c r="K53" s="30">
        <f t="shared" si="8"/>
        <v>1307</v>
      </c>
      <c r="L53" s="30">
        <f t="shared" si="9"/>
        <v>1308</v>
      </c>
      <c r="M53" s="30">
        <f t="shared" si="10"/>
        <v>1309</v>
      </c>
      <c r="N53" s="30">
        <f t="shared" si="11"/>
        <v>1310</v>
      </c>
      <c r="O53" s="30">
        <f t="shared" si="12"/>
        <v>1311</v>
      </c>
      <c r="P53" s="30">
        <f t="shared" si="13"/>
        <v>1312</v>
      </c>
      <c r="Q53" s="30">
        <f t="shared" si="14"/>
        <v>1313</v>
      </c>
      <c r="R53" s="30">
        <f t="shared" si="15"/>
        <v>1314</v>
      </c>
      <c r="S53" s="30">
        <f t="shared" si="16"/>
        <v>1315</v>
      </c>
      <c r="T53" s="30">
        <f t="shared" si="17"/>
        <v>1316</v>
      </c>
      <c r="U53" s="30">
        <f t="shared" si="18"/>
        <v>1317</v>
      </c>
      <c r="V53" s="30">
        <f t="shared" si="19"/>
        <v>1318</v>
      </c>
      <c r="W53" s="30">
        <f t="shared" si="20"/>
        <v>1319</v>
      </c>
      <c r="X53" s="30">
        <f t="shared" si="21"/>
        <v>1320</v>
      </c>
      <c r="Y53" s="30">
        <f t="shared" si="22"/>
        <v>1321</v>
      </c>
      <c r="Z53" s="30">
        <f t="shared" si="23"/>
        <v>1322</v>
      </c>
      <c r="AA53" s="30">
        <f t="shared" si="24"/>
        <v>1323</v>
      </c>
      <c r="AB53" s="30">
        <f t="shared" si="25"/>
        <v>1324</v>
      </c>
      <c r="AC53" s="33">
        <f t="shared" si="26"/>
        <v>1325</v>
      </c>
    </row>
    <row r="54" spans="2:29" x14ac:dyDescent="0.6">
      <c r="B54" s="53"/>
      <c r="C54" s="39" t="s">
        <v>133</v>
      </c>
      <c r="D54" s="45">
        <f t="shared" si="1"/>
        <v>1326</v>
      </c>
      <c r="E54" s="30">
        <f t="shared" si="2"/>
        <v>1327</v>
      </c>
      <c r="F54" s="30">
        <f t="shared" si="3"/>
        <v>1328</v>
      </c>
      <c r="G54" s="30">
        <f t="shared" si="4"/>
        <v>1329</v>
      </c>
      <c r="H54" s="30">
        <f t="shared" si="5"/>
        <v>1330</v>
      </c>
      <c r="I54" s="30">
        <f t="shared" si="6"/>
        <v>1331</v>
      </c>
      <c r="J54" s="30">
        <f t="shared" si="7"/>
        <v>1332</v>
      </c>
      <c r="K54" s="30">
        <f t="shared" si="8"/>
        <v>1333</v>
      </c>
      <c r="L54" s="30">
        <f t="shared" si="9"/>
        <v>1334</v>
      </c>
      <c r="M54" s="30">
        <f t="shared" si="10"/>
        <v>1335</v>
      </c>
      <c r="N54" s="30">
        <f t="shared" si="11"/>
        <v>1336</v>
      </c>
      <c r="O54" s="30">
        <f t="shared" si="12"/>
        <v>1337</v>
      </c>
      <c r="P54" s="30">
        <f t="shared" si="13"/>
        <v>1338</v>
      </c>
      <c r="Q54" s="30">
        <f t="shared" si="14"/>
        <v>1339</v>
      </c>
      <c r="R54" s="30">
        <f t="shared" si="15"/>
        <v>1340</v>
      </c>
      <c r="S54" s="30">
        <f t="shared" si="16"/>
        <v>1341</v>
      </c>
      <c r="T54" s="30">
        <f t="shared" si="17"/>
        <v>1342</v>
      </c>
      <c r="U54" s="30">
        <f t="shared" si="18"/>
        <v>1343</v>
      </c>
      <c r="V54" s="30">
        <f t="shared" si="19"/>
        <v>1344</v>
      </c>
      <c r="W54" s="30">
        <f t="shared" si="20"/>
        <v>1345</v>
      </c>
      <c r="X54" s="30">
        <f t="shared" si="21"/>
        <v>1346</v>
      </c>
      <c r="Y54" s="30">
        <f t="shared" si="22"/>
        <v>1347</v>
      </c>
      <c r="Z54" s="30">
        <f t="shared" si="23"/>
        <v>1348</v>
      </c>
      <c r="AA54" s="30">
        <f t="shared" si="24"/>
        <v>1349</v>
      </c>
      <c r="AB54" s="30">
        <f t="shared" si="25"/>
        <v>1350</v>
      </c>
      <c r="AC54" s="33">
        <f t="shared" si="26"/>
        <v>1351</v>
      </c>
    </row>
    <row r="55" spans="2:29" x14ac:dyDescent="0.6">
      <c r="B55" s="53"/>
      <c r="C55" s="39" t="s">
        <v>134</v>
      </c>
      <c r="D55" s="45">
        <f t="shared" si="1"/>
        <v>1352</v>
      </c>
      <c r="E55" s="30">
        <f t="shared" si="2"/>
        <v>1353</v>
      </c>
      <c r="F55" s="30">
        <f t="shared" si="3"/>
        <v>1354</v>
      </c>
      <c r="G55" s="30">
        <f t="shared" si="4"/>
        <v>1355</v>
      </c>
      <c r="H55" s="30">
        <f t="shared" si="5"/>
        <v>1356</v>
      </c>
      <c r="I55" s="30">
        <f t="shared" si="6"/>
        <v>1357</v>
      </c>
      <c r="J55" s="30">
        <f t="shared" si="7"/>
        <v>1358</v>
      </c>
      <c r="K55" s="30">
        <f t="shared" si="8"/>
        <v>1359</v>
      </c>
      <c r="L55" s="30">
        <f t="shared" si="9"/>
        <v>1360</v>
      </c>
      <c r="M55" s="30">
        <f t="shared" si="10"/>
        <v>1361</v>
      </c>
      <c r="N55" s="30">
        <f t="shared" si="11"/>
        <v>1362</v>
      </c>
      <c r="O55" s="30">
        <f t="shared" si="12"/>
        <v>1363</v>
      </c>
      <c r="P55" s="30">
        <f t="shared" si="13"/>
        <v>1364</v>
      </c>
      <c r="Q55" s="30">
        <f t="shared" si="14"/>
        <v>1365</v>
      </c>
      <c r="R55" s="30">
        <f t="shared" si="15"/>
        <v>1366</v>
      </c>
      <c r="S55" s="30">
        <f t="shared" si="16"/>
        <v>1367</v>
      </c>
      <c r="T55" s="30">
        <f t="shared" si="17"/>
        <v>1368</v>
      </c>
      <c r="U55" s="30">
        <f t="shared" si="18"/>
        <v>1369</v>
      </c>
      <c r="V55" s="30">
        <f t="shared" si="19"/>
        <v>1370</v>
      </c>
      <c r="W55" s="30">
        <f t="shared" si="20"/>
        <v>1371</v>
      </c>
      <c r="X55" s="30">
        <f t="shared" si="21"/>
        <v>1372</v>
      </c>
      <c r="Y55" s="30">
        <f t="shared" si="22"/>
        <v>1373</v>
      </c>
      <c r="Z55" s="30">
        <f t="shared" si="23"/>
        <v>1374</v>
      </c>
      <c r="AA55" s="30">
        <f t="shared" si="24"/>
        <v>1375</v>
      </c>
      <c r="AB55" s="30">
        <f t="shared" si="25"/>
        <v>1376</v>
      </c>
      <c r="AC55" s="33">
        <f t="shared" si="26"/>
        <v>1377</v>
      </c>
    </row>
    <row r="56" spans="2:29" x14ac:dyDescent="0.6">
      <c r="B56" s="53"/>
      <c r="C56" s="39" t="s">
        <v>135</v>
      </c>
      <c r="D56" s="45">
        <f t="shared" si="1"/>
        <v>1378</v>
      </c>
      <c r="E56" s="30">
        <f t="shared" si="2"/>
        <v>1379</v>
      </c>
      <c r="F56" s="30">
        <f t="shared" si="3"/>
        <v>1380</v>
      </c>
      <c r="G56" s="30">
        <f t="shared" si="4"/>
        <v>1381</v>
      </c>
      <c r="H56" s="30">
        <f t="shared" si="5"/>
        <v>1382</v>
      </c>
      <c r="I56" s="30">
        <f t="shared" si="6"/>
        <v>1383</v>
      </c>
      <c r="J56" s="30">
        <f t="shared" si="7"/>
        <v>1384</v>
      </c>
      <c r="K56" s="30">
        <f t="shared" si="8"/>
        <v>1385</v>
      </c>
      <c r="L56" s="30">
        <f t="shared" si="9"/>
        <v>1386</v>
      </c>
      <c r="M56" s="30">
        <f t="shared" si="10"/>
        <v>1387</v>
      </c>
      <c r="N56" s="30">
        <f t="shared" si="11"/>
        <v>1388</v>
      </c>
      <c r="O56" s="30">
        <f t="shared" si="12"/>
        <v>1389</v>
      </c>
      <c r="P56" s="30">
        <f t="shared" si="13"/>
        <v>1390</v>
      </c>
      <c r="Q56" s="30">
        <f t="shared" si="14"/>
        <v>1391</v>
      </c>
      <c r="R56" s="30">
        <f t="shared" si="15"/>
        <v>1392</v>
      </c>
      <c r="S56" s="30">
        <f t="shared" si="16"/>
        <v>1393</v>
      </c>
      <c r="T56" s="30">
        <f t="shared" si="17"/>
        <v>1394</v>
      </c>
      <c r="U56" s="30">
        <f t="shared" si="18"/>
        <v>1395</v>
      </c>
      <c r="V56" s="30">
        <f t="shared" si="19"/>
        <v>1396</v>
      </c>
      <c r="W56" s="30">
        <f t="shared" si="20"/>
        <v>1397</v>
      </c>
      <c r="X56" s="30">
        <f t="shared" si="21"/>
        <v>1398</v>
      </c>
      <c r="Y56" s="30">
        <f t="shared" si="22"/>
        <v>1399</v>
      </c>
      <c r="Z56" s="30">
        <f t="shared" si="23"/>
        <v>1400</v>
      </c>
      <c r="AA56" s="30">
        <f t="shared" si="24"/>
        <v>1401</v>
      </c>
      <c r="AB56" s="30">
        <f t="shared" si="25"/>
        <v>1402</v>
      </c>
      <c r="AC56" s="33">
        <f t="shared" si="26"/>
        <v>1403</v>
      </c>
    </row>
    <row r="57" spans="2:29" x14ac:dyDescent="0.6">
      <c r="B57" s="53"/>
      <c r="C57" s="39" t="s">
        <v>136</v>
      </c>
      <c r="D57" s="45">
        <f t="shared" si="1"/>
        <v>1404</v>
      </c>
      <c r="E57" s="30">
        <f t="shared" si="2"/>
        <v>1405</v>
      </c>
      <c r="F57" s="30">
        <f t="shared" si="3"/>
        <v>1406</v>
      </c>
      <c r="G57" s="30">
        <f t="shared" si="4"/>
        <v>1407</v>
      </c>
      <c r="H57" s="30">
        <f t="shared" si="5"/>
        <v>1408</v>
      </c>
      <c r="I57" s="30">
        <f t="shared" si="6"/>
        <v>1409</v>
      </c>
      <c r="J57" s="30">
        <f t="shared" si="7"/>
        <v>1410</v>
      </c>
      <c r="K57" s="30">
        <f t="shared" si="8"/>
        <v>1411</v>
      </c>
      <c r="L57" s="30">
        <f t="shared" si="9"/>
        <v>1412</v>
      </c>
      <c r="M57" s="30">
        <f t="shared" si="10"/>
        <v>1413</v>
      </c>
      <c r="N57" s="30">
        <f t="shared" si="11"/>
        <v>1414</v>
      </c>
      <c r="O57" s="30">
        <f t="shared" si="12"/>
        <v>1415</v>
      </c>
      <c r="P57" s="30">
        <f t="shared" si="13"/>
        <v>1416</v>
      </c>
      <c r="Q57" s="30">
        <f t="shared" si="14"/>
        <v>1417</v>
      </c>
      <c r="R57" s="30">
        <f t="shared" si="15"/>
        <v>1418</v>
      </c>
      <c r="S57" s="30">
        <f t="shared" si="16"/>
        <v>1419</v>
      </c>
      <c r="T57" s="30">
        <f t="shared" si="17"/>
        <v>1420</v>
      </c>
      <c r="U57" s="30">
        <f t="shared" si="18"/>
        <v>1421</v>
      </c>
      <c r="V57" s="30">
        <f t="shared" si="19"/>
        <v>1422</v>
      </c>
      <c r="W57" s="30">
        <f t="shared" si="20"/>
        <v>1423</v>
      </c>
      <c r="X57" s="30">
        <f t="shared" si="21"/>
        <v>1424</v>
      </c>
      <c r="Y57" s="30">
        <f t="shared" si="22"/>
        <v>1425</v>
      </c>
      <c r="Z57" s="30">
        <f t="shared" si="23"/>
        <v>1426</v>
      </c>
      <c r="AA57" s="30">
        <f t="shared" si="24"/>
        <v>1427</v>
      </c>
      <c r="AB57" s="30">
        <f t="shared" si="25"/>
        <v>1428</v>
      </c>
      <c r="AC57" s="33">
        <f t="shared" si="26"/>
        <v>1429</v>
      </c>
    </row>
    <row r="58" spans="2:29" x14ac:dyDescent="0.6">
      <c r="B58" s="53"/>
      <c r="C58" s="39" t="s">
        <v>137</v>
      </c>
      <c r="D58" s="45">
        <f t="shared" si="1"/>
        <v>1430</v>
      </c>
      <c r="E58" s="30">
        <f t="shared" si="2"/>
        <v>1431</v>
      </c>
      <c r="F58" s="30">
        <f t="shared" si="3"/>
        <v>1432</v>
      </c>
      <c r="G58" s="30">
        <f t="shared" si="4"/>
        <v>1433</v>
      </c>
      <c r="H58" s="30">
        <f t="shared" si="5"/>
        <v>1434</v>
      </c>
      <c r="I58" s="30">
        <f t="shared" si="6"/>
        <v>1435</v>
      </c>
      <c r="J58" s="30">
        <f t="shared" si="7"/>
        <v>1436</v>
      </c>
      <c r="K58" s="30">
        <f t="shared" si="8"/>
        <v>1437</v>
      </c>
      <c r="L58" s="30">
        <f t="shared" si="9"/>
        <v>1438</v>
      </c>
      <c r="M58" s="30">
        <f t="shared" si="10"/>
        <v>1439</v>
      </c>
      <c r="N58" s="30">
        <f t="shared" si="11"/>
        <v>1440</v>
      </c>
      <c r="O58" s="30">
        <f t="shared" si="12"/>
        <v>1441</v>
      </c>
      <c r="P58" s="30">
        <f t="shared" si="13"/>
        <v>1442</v>
      </c>
      <c r="Q58" s="30">
        <f t="shared" si="14"/>
        <v>1443</v>
      </c>
      <c r="R58" s="30">
        <f t="shared" si="15"/>
        <v>1444</v>
      </c>
      <c r="S58" s="30">
        <f t="shared" si="16"/>
        <v>1445</v>
      </c>
      <c r="T58" s="30">
        <f t="shared" si="17"/>
        <v>1446</v>
      </c>
      <c r="U58" s="30">
        <f t="shared" si="18"/>
        <v>1447</v>
      </c>
      <c r="V58" s="30">
        <f t="shared" si="19"/>
        <v>1448</v>
      </c>
      <c r="W58" s="30">
        <f t="shared" si="20"/>
        <v>1449</v>
      </c>
      <c r="X58" s="30">
        <f t="shared" si="21"/>
        <v>1450</v>
      </c>
      <c r="Y58" s="30">
        <f t="shared" si="22"/>
        <v>1451</v>
      </c>
      <c r="Z58" s="30">
        <f t="shared" si="23"/>
        <v>1452</v>
      </c>
      <c r="AA58" s="30">
        <f t="shared" si="24"/>
        <v>1453</v>
      </c>
      <c r="AB58" s="30">
        <f t="shared" si="25"/>
        <v>1454</v>
      </c>
      <c r="AC58" s="33">
        <f t="shared" si="26"/>
        <v>1455</v>
      </c>
    </row>
    <row r="59" spans="2:29" x14ac:dyDescent="0.6">
      <c r="B59" s="53"/>
      <c r="C59" s="39" t="s">
        <v>138</v>
      </c>
      <c r="D59" s="45">
        <f t="shared" si="1"/>
        <v>1456</v>
      </c>
      <c r="E59" s="30">
        <f t="shared" si="2"/>
        <v>1457</v>
      </c>
      <c r="F59" s="30">
        <f t="shared" si="3"/>
        <v>1458</v>
      </c>
      <c r="G59" s="30">
        <f t="shared" si="4"/>
        <v>1459</v>
      </c>
      <c r="H59" s="30">
        <f t="shared" si="5"/>
        <v>1460</v>
      </c>
      <c r="I59" s="30">
        <f t="shared" si="6"/>
        <v>1461</v>
      </c>
      <c r="J59" s="30">
        <f t="shared" si="7"/>
        <v>1462</v>
      </c>
      <c r="K59" s="30">
        <f t="shared" si="8"/>
        <v>1463</v>
      </c>
      <c r="L59" s="30">
        <f t="shared" si="9"/>
        <v>1464</v>
      </c>
      <c r="M59" s="30">
        <f t="shared" si="10"/>
        <v>1465</v>
      </c>
      <c r="N59" s="30">
        <f t="shared" si="11"/>
        <v>1466</v>
      </c>
      <c r="O59" s="30">
        <f t="shared" si="12"/>
        <v>1467</v>
      </c>
      <c r="P59" s="30">
        <f t="shared" si="13"/>
        <v>1468</v>
      </c>
      <c r="Q59" s="30">
        <f t="shared" si="14"/>
        <v>1469</v>
      </c>
      <c r="R59" s="30">
        <f t="shared" si="15"/>
        <v>1470</v>
      </c>
      <c r="S59" s="30">
        <f t="shared" si="16"/>
        <v>1471</v>
      </c>
      <c r="T59" s="30">
        <f t="shared" si="17"/>
        <v>1472</v>
      </c>
      <c r="U59" s="30">
        <f t="shared" si="18"/>
        <v>1473</v>
      </c>
      <c r="V59" s="30">
        <f t="shared" si="19"/>
        <v>1474</v>
      </c>
      <c r="W59" s="30">
        <f t="shared" si="20"/>
        <v>1475</v>
      </c>
      <c r="X59" s="30">
        <f t="shared" si="21"/>
        <v>1476</v>
      </c>
      <c r="Y59" s="30">
        <f t="shared" si="22"/>
        <v>1477</v>
      </c>
      <c r="Z59" s="30">
        <f t="shared" si="23"/>
        <v>1478</v>
      </c>
      <c r="AA59" s="30">
        <f t="shared" si="24"/>
        <v>1479</v>
      </c>
      <c r="AB59" s="30">
        <f t="shared" si="25"/>
        <v>1480</v>
      </c>
      <c r="AC59" s="33">
        <f t="shared" si="26"/>
        <v>1481</v>
      </c>
    </row>
    <row r="60" spans="2:29" x14ac:dyDescent="0.6">
      <c r="B60" s="53"/>
      <c r="C60" s="39" t="s">
        <v>139</v>
      </c>
      <c r="D60" s="45">
        <f t="shared" si="1"/>
        <v>1482</v>
      </c>
      <c r="E60" s="30">
        <f t="shared" si="2"/>
        <v>1483</v>
      </c>
      <c r="F60" s="30">
        <f t="shared" si="3"/>
        <v>1484</v>
      </c>
      <c r="G60" s="30">
        <f t="shared" si="4"/>
        <v>1485</v>
      </c>
      <c r="H60" s="30">
        <f t="shared" si="5"/>
        <v>1486</v>
      </c>
      <c r="I60" s="30">
        <f t="shared" si="6"/>
        <v>1487</v>
      </c>
      <c r="J60" s="30">
        <f t="shared" si="7"/>
        <v>1488</v>
      </c>
      <c r="K60" s="30">
        <f t="shared" si="8"/>
        <v>1489</v>
      </c>
      <c r="L60" s="30">
        <f t="shared" si="9"/>
        <v>1490</v>
      </c>
      <c r="M60" s="30">
        <f t="shared" si="10"/>
        <v>1491</v>
      </c>
      <c r="N60" s="30">
        <f t="shared" si="11"/>
        <v>1492</v>
      </c>
      <c r="O60" s="30">
        <f t="shared" si="12"/>
        <v>1493</v>
      </c>
      <c r="P60" s="30">
        <f t="shared" si="13"/>
        <v>1494</v>
      </c>
      <c r="Q60" s="30">
        <f t="shared" si="14"/>
        <v>1495</v>
      </c>
      <c r="R60" s="30">
        <f t="shared" si="15"/>
        <v>1496</v>
      </c>
      <c r="S60" s="30">
        <f t="shared" si="16"/>
        <v>1497</v>
      </c>
      <c r="T60" s="30">
        <f t="shared" si="17"/>
        <v>1498</v>
      </c>
      <c r="U60" s="30">
        <f t="shared" si="18"/>
        <v>1499</v>
      </c>
      <c r="V60" s="30">
        <f t="shared" si="19"/>
        <v>1500</v>
      </c>
      <c r="W60" s="30">
        <f t="shared" si="20"/>
        <v>1501</v>
      </c>
      <c r="X60" s="30">
        <f t="shared" si="21"/>
        <v>1502</v>
      </c>
      <c r="Y60" s="30">
        <f t="shared" si="22"/>
        <v>1503</v>
      </c>
      <c r="Z60" s="30">
        <f t="shared" si="23"/>
        <v>1504</v>
      </c>
      <c r="AA60" s="30">
        <f t="shared" si="24"/>
        <v>1505</v>
      </c>
      <c r="AB60" s="30">
        <f t="shared" si="25"/>
        <v>1506</v>
      </c>
      <c r="AC60" s="33">
        <f t="shared" si="26"/>
        <v>1507</v>
      </c>
    </row>
    <row r="61" spans="2:29" x14ac:dyDescent="0.6">
      <c r="B61" s="53"/>
      <c r="C61" s="39" t="s">
        <v>140</v>
      </c>
      <c r="D61" s="45">
        <f t="shared" si="1"/>
        <v>1508</v>
      </c>
      <c r="E61" s="30">
        <f t="shared" si="2"/>
        <v>1509</v>
      </c>
      <c r="F61" s="30">
        <f t="shared" si="3"/>
        <v>1510</v>
      </c>
      <c r="G61" s="30">
        <f t="shared" si="4"/>
        <v>1511</v>
      </c>
      <c r="H61" s="30">
        <f t="shared" si="5"/>
        <v>1512</v>
      </c>
      <c r="I61" s="30">
        <f t="shared" si="6"/>
        <v>1513</v>
      </c>
      <c r="J61" s="30">
        <f t="shared" si="7"/>
        <v>1514</v>
      </c>
      <c r="K61" s="30">
        <f t="shared" si="8"/>
        <v>1515</v>
      </c>
      <c r="L61" s="30">
        <f t="shared" si="9"/>
        <v>1516</v>
      </c>
      <c r="M61" s="30">
        <f t="shared" si="10"/>
        <v>1517</v>
      </c>
      <c r="N61" s="30">
        <f t="shared" si="11"/>
        <v>1518</v>
      </c>
      <c r="O61" s="30">
        <f t="shared" si="12"/>
        <v>1519</v>
      </c>
      <c r="P61" s="30">
        <f t="shared" si="13"/>
        <v>1520</v>
      </c>
      <c r="Q61" s="30">
        <f t="shared" si="14"/>
        <v>1521</v>
      </c>
      <c r="R61" s="30">
        <f t="shared" si="15"/>
        <v>1522</v>
      </c>
      <c r="S61" s="30">
        <f t="shared" si="16"/>
        <v>1523</v>
      </c>
      <c r="T61" s="30">
        <f t="shared" si="17"/>
        <v>1524</v>
      </c>
      <c r="U61" s="30">
        <f t="shared" si="18"/>
        <v>1525</v>
      </c>
      <c r="V61" s="30">
        <f t="shared" si="19"/>
        <v>1526</v>
      </c>
      <c r="W61" s="30">
        <f t="shared" si="20"/>
        <v>1527</v>
      </c>
      <c r="X61" s="30">
        <f t="shared" si="21"/>
        <v>1528</v>
      </c>
      <c r="Y61" s="30">
        <f t="shared" si="22"/>
        <v>1529</v>
      </c>
      <c r="Z61" s="30">
        <f t="shared" si="23"/>
        <v>1530</v>
      </c>
      <c r="AA61" s="30">
        <f t="shared" si="24"/>
        <v>1531</v>
      </c>
      <c r="AB61" s="30">
        <f t="shared" si="25"/>
        <v>1532</v>
      </c>
      <c r="AC61" s="33">
        <f t="shared" si="26"/>
        <v>1533</v>
      </c>
    </row>
    <row r="62" spans="2:29" x14ac:dyDescent="0.6">
      <c r="B62" s="53"/>
      <c r="C62" s="39" t="s">
        <v>141</v>
      </c>
      <c r="D62" s="45">
        <f t="shared" si="1"/>
        <v>1534</v>
      </c>
      <c r="E62" s="30">
        <f t="shared" si="2"/>
        <v>1535</v>
      </c>
      <c r="F62" s="30">
        <f t="shared" si="3"/>
        <v>1536</v>
      </c>
      <c r="G62" s="30">
        <f t="shared" si="4"/>
        <v>1537</v>
      </c>
      <c r="H62" s="30">
        <f t="shared" si="5"/>
        <v>1538</v>
      </c>
      <c r="I62" s="30">
        <f t="shared" si="6"/>
        <v>1539</v>
      </c>
      <c r="J62" s="30">
        <f t="shared" si="7"/>
        <v>1540</v>
      </c>
      <c r="K62" s="30">
        <f t="shared" si="8"/>
        <v>1541</v>
      </c>
      <c r="L62" s="30">
        <f t="shared" si="9"/>
        <v>1542</v>
      </c>
      <c r="M62" s="30">
        <f t="shared" si="10"/>
        <v>1543</v>
      </c>
      <c r="N62" s="30">
        <f t="shared" si="11"/>
        <v>1544</v>
      </c>
      <c r="O62" s="30">
        <f t="shared" si="12"/>
        <v>1545</v>
      </c>
      <c r="P62" s="30">
        <f t="shared" si="13"/>
        <v>1546</v>
      </c>
      <c r="Q62" s="30">
        <f t="shared" si="14"/>
        <v>1547</v>
      </c>
      <c r="R62" s="30">
        <f t="shared" si="15"/>
        <v>1548</v>
      </c>
      <c r="S62" s="30">
        <f t="shared" si="16"/>
        <v>1549</v>
      </c>
      <c r="T62" s="30">
        <f t="shared" si="17"/>
        <v>1550</v>
      </c>
      <c r="U62" s="30">
        <f t="shared" si="18"/>
        <v>1551</v>
      </c>
      <c r="V62" s="30">
        <f t="shared" si="19"/>
        <v>1552</v>
      </c>
      <c r="W62" s="30">
        <f t="shared" si="20"/>
        <v>1553</v>
      </c>
      <c r="X62" s="30">
        <f t="shared" si="21"/>
        <v>1554</v>
      </c>
      <c r="Y62" s="30">
        <f t="shared" si="22"/>
        <v>1555</v>
      </c>
      <c r="Z62" s="30">
        <f t="shared" si="23"/>
        <v>1556</v>
      </c>
      <c r="AA62" s="30">
        <f t="shared" si="24"/>
        <v>1557</v>
      </c>
      <c r="AB62" s="30">
        <f t="shared" si="25"/>
        <v>1558</v>
      </c>
      <c r="AC62" s="33">
        <f t="shared" si="26"/>
        <v>1559</v>
      </c>
    </row>
    <row r="63" spans="2:29" x14ac:dyDescent="0.6">
      <c r="B63" s="53"/>
      <c r="C63" s="39" t="s">
        <v>142</v>
      </c>
      <c r="D63" s="45">
        <f t="shared" si="1"/>
        <v>1560</v>
      </c>
      <c r="E63" s="30">
        <f t="shared" si="2"/>
        <v>1561</v>
      </c>
      <c r="F63" s="30">
        <f t="shared" si="3"/>
        <v>1562</v>
      </c>
      <c r="G63" s="30">
        <f t="shared" si="4"/>
        <v>1563</v>
      </c>
      <c r="H63" s="30">
        <f t="shared" si="5"/>
        <v>1564</v>
      </c>
      <c r="I63" s="30">
        <f t="shared" si="6"/>
        <v>1565</v>
      </c>
      <c r="J63" s="30">
        <f t="shared" si="7"/>
        <v>1566</v>
      </c>
      <c r="K63" s="30">
        <f t="shared" si="8"/>
        <v>1567</v>
      </c>
      <c r="L63" s="30">
        <f t="shared" si="9"/>
        <v>1568</v>
      </c>
      <c r="M63" s="30">
        <f t="shared" si="10"/>
        <v>1569</v>
      </c>
      <c r="N63" s="30">
        <f t="shared" si="11"/>
        <v>1570</v>
      </c>
      <c r="O63" s="30">
        <f t="shared" si="12"/>
        <v>1571</v>
      </c>
      <c r="P63" s="30">
        <f t="shared" si="13"/>
        <v>1572</v>
      </c>
      <c r="Q63" s="30">
        <f t="shared" si="14"/>
        <v>1573</v>
      </c>
      <c r="R63" s="30">
        <f t="shared" si="15"/>
        <v>1574</v>
      </c>
      <c r="S63" s="30">
        <f t="shared" si="16"/>
        <v>1575</v>
      </c>
      <c r="T63" s="30">
        <f t="shared" si="17"/>
        <v>1576</v>
      </c>
      <c r="U63" s="30">
        <f t="shared" si="18"/>
        <v>1577</v>
      </c>
      <c r="V63" s="30">
        <f t="shared" si="19"/>
        <v>1578</v>
      </c>
      <c r="W63" s="30">
        <f t="shared" si="20"/>
        <v>1579</v>
      </c>
      <c r="X63" s="30">
        <f t="shared" si="21"/>
        <v>1580</v>
      </c>
      <c r="Y63" s="30">
        <f t="shared" si="22"/>
        <v>1581</v>
      </c>
      <c r="Z63" s="30">
        <f t="shared" si="23"/>
        <v>1582</v>
      </c>
      <c r="AA63" s="30">
        <f t="shared" si="24"/>
        <v>1583</v>
      </c>
      <c r="AB63" s="30">
        <f t="shared" si="25"/>
        <v>1584</v>
      </c>
      <c r="AC63" s="33">
        <f t="shared" si="26"/>
        <v>1585</v>
      </c>
    </row>
    <row r="64" spans="2:29" x14ac:dyDescent="0.6">
      <c r="B64" s="53"/>
      <c r="C64" s="39" t="s">
        <v>143</v>
      </c>
      <c r="D64" s="45">
        <f t="shared" si="1"/>
        <v>1586</v>
      </c>
      <c r="E64" s="30">
        <f t="shared" si="2"/>
        <v>1587</v>
      </c>
      <c r="F64" s="30">
        <f t="shared" si="3"/>
        <v>1588</v>
      </c>
      <c r="G64" s="30">
        <f t="shared" si="4"/>
        <v>1589</v>
      </c>
      <c r="H64" s="30">
        <f t="shared" si="5"/>
        <v>1590</v>
      </c>
      <c r="I64" s="30">
        <f t="shared" si="6"/>
        <v>1591</v>
      </c>
      <c r="J64" s="30">
        <f t="shared" si="7"/>
        <v>1592</v>
      </c>
      <c r="K64" s="30">
        <f t="shared" si="8"/>
        <v>1593</v>
      </c>
      <c r="L64" s="30">
        <f t="shared" si="9"/>
        <v>1594</v>
      </c>
      <c r="M64" s="30">
        <f t="shared" si="10"/>
        <v>1595</v>
      </c>
      <c r="N64" s="30">
        <f t="shared" si="11"/>
        <v>1596</v>
      </c>
      <c r="O64" s="30">
        <f t="shared" si="12"/>
        <v>1597</v>
      </c>
      <c r="P64" s="30">
        <f t="shared" si="13"/>
        <v>1598</v>
      </c>
      <c r="Q64" s="30">
        <f t="shared" si="14"/>
        <v>1599</v>
      </c>
      <c r="R64" s="30">
        <f t="shared" si="15"/>
        <v>1600</v>
      </c>
      <c r="S64" s="30">
        <f t="shared" si="16"/>
        <v>1601</v>
      </c>
      <c r="T64" s="30">
        <f t="shared" si="17"/>
        <v>1602</v>
      </c>
      <c r="U64" s="30">
        <f t="shared" si="18"/>
        <v>1603</v>
      </c>
      <c r="V64" s="30">
        <f t="shared" si="19"/>
        <v>1604</v>
      </c>
      <c r="W64" s="30">
        <f t="shared" si="20"/>
        <v>1605</v>
      </c>
      <c r="X64" s="30">
        <f t="shared" si="21"/>
        <v>1606</v>
      </c>
      <c r="Y64" s="30">
        <f t="shared" si="22"/>
        <v>1607</v>
      </c>
      <c r="Z64" s="30">
        <f t="shared" si="23"/>
        <v>1608</v>
      </c>
      <c r="AA64" s="30">
        <f t="shared" si="24"/>
        <v>1609</v>
      </c>
      <c r="AB64" s="30">
        <f t="shared" si="25"/>
        <v>1610</v>
      </c>
      <c r="AC64" s="33">
        <f t="shared" si="26"/>
        <v>1611</v>
      </c>
    </row>
    <row r="65" spans="2:29" x14ac:dyDescent="0.6">
      <c r="B65" s="53"/>
      <c r="C65" s="39" t="s">
        <v>144</v>
      </c>
      <c r="D65" s="45">
        <f t="shared" si="1"/>
        <v>1612</v>
      </c>
      <c r="E65" s="30">
        <f t="shared" si="2"/>
        <v>1613</v>
      </c>
      <c r="F65" s="30">
        <f t="shared" si="3"/>
        <v>1614</v>
      </c>
      <c r="G65" s="30">
        <f t="shared" si="4"/>
        <v>1615</v>
      </c>
      <c r="H65" s="30">
        <f t="shared" si="5"/>
        <v>1616</v>
      </c>
      <c r="I65" s="30">
        <f t="shared" si="6"/>
        <v>1617</v>
      </c>
      <c r="J65" s="30">
        <f t="shared" si="7"/>
        <v>1618</v>
      </c>
      <c r="K65" s="30">
        <f t="shared" si="8"/>
        <v>1619</v>
      </c>
      <c r="L65" s="30">
        <f t="shared" si="9"/>
        <v>1620</v>
      </c>
      <c r="M65" s="30">
        <f t="shared" si="10"/>
        <v>1621</v>
      </c>
      <c r="N65" s="30">
        <f t="shared" si="11"/>
        <v>1622</v>
      </c>
      <c r="O65" s="30">
        <f t="shared" si="12"/>
        <v>1623</v>
      </c>
      <c r="P65" s="30">
        <f t="shared" si="13"/>
        <v>1624</v>
      </c>
      <c r="Q65" s="30">
        <f t="shared" si="14"/>
        <v>1625</v>
      </c>
      <c r="R65" s="30">
        <f t="shared" si="15"/>
        <v>1626</v>
      </c>
      <c r="S65" s="30">
        <f t="shared" si="16"/>
        <v>1627</v>
      </c>
      <c r="T65" s="30">
        <f t="shared" si="17"/>
        <v>1628</v>
      </c>
      <c r="U65" s="30">
        <f t="shared" si="18"/>
        <v>1629</v>
      </c>
      <c r="V65" s="30">
        <f t="shared" si="19"/>
        <v>1630</v>
      </c>
      <c r="W65" s="30">
        <f t="shared" si="20"/>
        <v>1631</v>
      </c>
      <c r="X65" s="30">
        <f t="shared" si="21"/>
        <v>1632</v>
      </c>
      <c r="Y65" s="30">
        <f t="shared" si="22"/>
        <v>1633</v>
      </c>
      <c r="Z65" s="30">
        <f t="shared" si="23"/>
        <v>1634</v>
      </c>
      <c r="AA65" s="30">
        <f t="shared" si="24"/>
        <v>1635</v>
      </c>
      <c r="AB65" s="30">
        <f t="shared" si="25"/>
        <v>1636</v>
      </c>
      <c r="AC65" s="33">
        <f t="shared" si="26"/>
        <v>1637</v>
      </c>
    </row>
    <row r="66" spans="2:29" x14ac:dyDescent="0.6">
      <c r="B66" s="53"/>
      <c r="C66" s="39" t="s">
        <v>145</v>
      </c>
      <c r="D66" s="45">
        <f t="shared" si="1"/>
        <v>1638</v>
      </c>
      <c r="E66" s="30">
        <f t="shared" si="2"/>
        <v>1639</v>
      </c>
      <c r="F66" s="30">
        <f t="shared" si="3"/>
        <v>1640</v>
      </c>
      <c r="G66" s="30">
        <f t="shared" si="4"/>
        <v>1641</v>
      </c>
      <c r="H66" s="30">
        <f t="shared" si="5"/>
        <v>1642</v>
      </c>
      <c r="I66" s="30">
        <f t="shared" si="6"/>
        <v>1643</v>
      </c>
      <c r="J66" s="30">
        <f t="shared" si="7"/>
        <v>1644</v>
      </c>
      <c r="K66" s="30">
        <f t="shared" si="8"/>
        <v>1645</v>
      </c>
      <c r="L66" s="30">
        <f t="shared" si="9"/>
        <v>1646</v>
      </c>
      <c r="M66" s="30">
        <f t="shared" si="10"/>
        <v>1647</v>
      </c>
      <c r="N66" s="30">
        <f t="shared" si="11"/>
        <v>1648</v>
      </c>
      <c r="O66" s="30">
        <f t="shared" si="12"/>
        <v>1649</v>
      </c>
      <c r="P66" s="30">
        <f t="shared" si="13"/>
        <v>1650</v>
      </c>
      <c r="Q66" s="30">
        <f t="shared" si="14"/>
        <v>1651</v>
      </c>
      <c r="R66" s="30">
        <f t="shared" si="15"/>
        <v>1652</v>
      </c>
      <c r="S66" s="30">
        <f t="shared" si="16"/>
        <v>1653</v>
      </c>
      <c r="T66" s="30">
        <f t="shared" si="17"/>
        <v>1654</v>
      </c>
      <c r="U66" s="30">
        <f t="shared" si="18"/>
        <v>1655</v>
      </c>
      <c r="V66" s="30">
        <f t="shared" si="19"/>
        <v>1656</v>
      </c>
      <c r="W66" s="30">
        <f t="shared" si="20"/>
        <v>1657</v>
      </c>
      <c r="X66" s="30">
        <f t="shared" si="21"/>
        <v>1658</v>
      </c>
      <c r="Y66" s="30">
        <f t="shared" si="22"/>
        <v>1659</v>
      </c>
      <c r="Z66" s="30">
        <f t="shared" si="23"/>
        <v>1660</v>
      </c>
      <c r="AA66" s="30">
        <f t="shared" si="24"/>
        <v>1661</v>
      </c>
      <c r="AB66" s="30">
        <f t="shared" si="25"/>
        <v>1662</v>
      </c>
      <c r="AC66" s="33">
        <f t="shared" si="26"/>
        <v>1663</v>
      </c>
    </row>
    <row r="67" spans="2:29" x14ac:dyDescent="0.6">
      <c r="B67" s="53"/>
      <c r="C67" s="39" t="s">
        <v>146</v>
      </c>
      <c r="D67" s="45">
        <f t="shared" si="1"/>
        <v>1664</v>
      </c>
      <c r="E67" s="30">
        <f t="shared" si="2"/>
        <v>1665</v>
      </c>
      <c r="F67" s="30">
        <f t="shared" si="3"/>
        <v>1666</v>
      </c>
      <c r="G67" s="30">
        <f t="shared" si="4"/>
        <v>1667</v>
      </c>
      <c r="H67" s="30">
        <f t="shared" si="5"/>
        <v>1668</v>
      </c>
      <c r="I67" s="30">
        <f t="shared" si="6"/>
        <v>1669</v>
      </c>
      <c r="J67" s="30">
        <f t="shared" si="7"/>
        <v>1670</v>
      </c>
      <c r="K67" s="30">
        <f t="shared" si="8"/>
        <v>1671</v>
      </c>
      <c r="L67" s="30">
        <f t="shared" si="9"/>
        <v>1672</v>
      </c>
      <c r="M67" s="30">
        <f t="shared" si="10"/>
        <v>1673</v>
      </c>
      <c r="N67" s="30">
        <f t="shared" si="11"/>
        <v>1674</v>
      </c>
      <c r="O67" s="30">
        <f t="shared" si="12"/>
        <v>1675</v>
      </c>
      <c r="P67" s="30">
        <f t="shared" si="13"/>
        <v>1676</v>
      </c>
      <c r="Q67" s="30">
        <f t="shared" si="14"/>
        <v>1677</v>
      </c>
      <c r="R67" s="30">
        <f t="shared" si="15"/>
        <v>1678</v>
      </c>
      <c r="S67" s="30">
        <f t="shared" si="16"/>
        <v>1679</v>
      </c>
      <c r="T67" s="30">
        <f t="shared" si="17"/>
        <v>1680</v>
      </c>
      <c r="U67" s="30">
        <f t="shared" si="18"/>
        <v>1681</v>
      </c>
      <c r="V67" s="30">
        <f t="shared" si="19"/>
        <v>1682</v>
      </c>
      <c r="W67" s="30">
        <f t="shared" si="20"/>
        <v>1683</v>
      </c>
      <c r="X67" s="30">
        <f t="shared" si="21"/>
        <v>1684</v>
      </c>
      <c r="Y67" s="30">
        <f t="shared" si="22"/>
        <v>1685</v>
      </c>
      <c r="Z67" s="30">
        <f t="shared" si="23"/>
        <v>1686</v>
      </c>
      <c r="AA67" s="30">
        <f t="shared" si="24"/>
        <v>1687</v>
      </c>
      <c r="AB67" s="30">
        <f t="shared" si="25"/>
        <v>1688</v>
      </c>
      <c r="AC67" s="33">
        <f t="shared" si="26"/>
        <v>1689</v>
      </c>
    </row>
    <row r="68" spans="2:29" x14ac:dyDescent="0.6">
      <c r="B68" s="53"/>
      <c r="C68" s="39" t="s">
        <v>147</v>
      </c>
      <c r="D68" s="45">
        <f t="shared" si="1"/>
        <v>1690</v>
      </c>
      <c r="E68" s="30">
        <f t="shared" si="2"/>
        <v>1691</v>
      </c>
      <c r="F68" s="30">
        <f t="shared" si="3"/>
        <v>1692</v>
      </c>
      <c r="G68" s="30">
        <f t="shared" si="4"/>
        <v>1693</v>
      </c>
      <c r="H68" s="30">
        <f t="shared" si="5"/>
        <v>1694</v>
      </c>
      <c r="I68" s="30">
        <f t="shared" si="6"/>
        <v>1695</v>
      </c>
      <c r="J68" s="30">
        <f t="shared" si="7"/>
        <v>1696</v>
      </c>
      <c r="K68" s="30">
        <f t="shared" si="8"/>
        <v>1697</v>
      </c>
      <c r="L68" s="30">
        <f t="shared" si="9"/>
        <v>1698</v>
      </c>
      <c r="M68" s="30">
        <f t="shared" si="10"/>
        <v>1699</v>
      </c>
      <c r="N68" s="30">
        <f t="shared" si="11"/>
        <v>1700</v>
      </c>
      <c r="O68" s="30">
        <f t="shared" si="12"/>
        <v>1701</v>
      </c>
      <c r="P68" s="30">
        <f t="shared" si="13"/>
        <v>1702</v>
      </c>
      <c r="Q68" s="30">
        <f t="shared" si="14"/>
        <v>1703</v>
      </c>
      <c r="R68" s="30">
        <f t="shared" si="15"/>
        <v>1704</v>
      </c>
      <c r="S68" s="30">
        <f t="shared" si="16"/>
        <v>1705</v>
      </c>
      <c r="T68" s="30">
        <f t="shared" si="17"/>
        <v>1706</v>
      </c>
      <c r="U68" s="30">
        <f t="shared" si="18"/>
        <v>1707</v>
      </c>
      <c r="V68" s="30">
        <f t="shared" si="19"/>
        <v>1708</v>
      </c>
      <c r="W68" s="30">
        <f t="shared" si="20"/>
        <v>1709</v>
      </c>
      <c r="X68" s="30">
        <f t="shared" si="21"/>
        <v>1710</v>
      </c>
      <c r="Y68" s="30">
        <f t="shared" si="22"/>
        <v>1711</v>
      </c>
      <c r="Z68" s="30">
        <f t="shared" si="23"/>
        <v>1712</v>
      </c>
      <c r="AA68" s="30">
        <f t="shared" si="24"/>
        <v>1713</v>
      </c>
      <c r="AB68" s="30">
        <f t="shared" si="25"/>
        <v>1714</v>
      </c>
      <c r="AC68" s="33">
        <f t="shared" si="26"/>
        <v>1715</v>
      </c>
    </row>
    <row r="69" spans="2:29" x14ac:dyDescent="0.6">
      <c r="B69" s="53"/>
      <c r="C69" s="39" t="s">
        <v>148</v>
      </c>
      <c r="D69" s="45">
        <f t="shared" ref="D69:D80" si="27">D68+26</f>
        <v>1716</v>
      </c>
      <c r="E69" s="30">
        <f t="shared" ref="E69:E80" si="28">E68+26</f>
        <v>1717</v>
      </c>
      <c r="F69" s="30">
        <f t="shared" ref="F69:F80" si="29">F68+26</f>
        <v>1718</v>
      </c>
      <c r="G69" s="30">
        <f t="shared" ref="G69:G80" si="30">G68+26</f>
        <v>1719</v>
      </c>
      <c r="H69" s="30">
        <f t="shared" ref="H69:H80" si="31">H68+26</f>
        <v>1720</v>
      </c>
      <c r="I69" s="30">
        <f t="shared" ref="I69:I80" si="32">I68+26</f>
        <v>1721</v>
      </c>
      <c r="J69" s="30">
        <f t="shared" ref="J69:J80" si="33">J68+26</f>
        <v>1722</v>
      </c>
      <c r="K69" s="30">
        <f t="shared" ref="K69:K80" si="34">K68+26</f>
        <v>1723</v>
      </c>
      <c r="L69" s="30">
        <f t="shared" ref="L69:L80" si="35">L68+26</f>
        <v>1724</v>
      </c>
      <c r="M69" s="30">
        <f t="shared" ref="M69:M80" si="36">M68+26</f>
        <v>1725</v>
      </c>
      <c r="N69" s="30">
        <f t="shared" ref="N69:N80" si="37">N68+26</f>
        <v>1726</v>
      </c>
      <c r="O69" s="30">
        <f t="shared" ref="O69:O80" si="38">O68+26</f>
        <v>1727</v>
      </c>
      <c r="P69" s="30">
        <f t="shared" ref="P69:P80" si="39">P68+26</f>
        <v>1728</v>
      </c>
      <c r="Q69" s="30">
        <f t="shared" ref="Q69:Q80" si="40">Q68+26</f>
        <v>1729</v>
      </c>
      <c r="R69" s="30">
        <f t="shared" ref="R69:R80" si="41">R68+26</f>
        <v>1730</v>
      </c>
      <c r="S69" s="30">
        <f t="shared" ref="S69:S80" si="42">S68+26</f>
        <v>1731</v>
      </c>
      <c r="T69" s="30">
        <f t="shared" ref="T69:T80" si="43">T68+26</f>
        <v>1732</v>
      </c>
      <c r="U69" s="30">
        <f t="shared" ref="U69:U80" si="44">U68+26</f>
        <v>1733</v>
      </c>
      <c r="V69" s="30">
        <f t="shared" ref="V69:V80" si="45">V68+26</f>
        <v>1734</v>
      </c>
      <c r="W69" s="30">
        <f t="shared" ref="W69:W80" si="46">W68+26</f>
        <v>1735</v>
      </c>
      <c r="X69" s="30">
        <f t="shared" ref="X69:X80" si="47">X68+26</f>
        <v>1736</v>
      </c>
      <c r="Y69" s="30">
        <f t="shared" ref="Y69:Y80" si="48">Y68+26</f>
        <v>1737</v>
      </c>
      <c r="Z69" s="30">
        <f t="shared" ref="Z69:Z80" si="49">Z68+26</f>
        <v>1738</v>
      </c>
      <c r="AA69" s="30">
        <f t="shared" ref="AA69:AA80" si="50">AA68+26</f>
        <v>1739</v>
      </c>
      <c r="AB69" s="30">
        <f t="shared" ref="AB69:AB80" si="51">AB68+26</f>
        <v>1740</v>
      </c>
      <c r="AC69" s="33">
        <f t="shared" ref="AC69:AC80" si="52">AC68+26</f>
        <v>1741</v>
      </c>
    </row>
    <row r="70" spans="2:29" x14ac:dyDescent="0.6">
      <c r="B70" s="53"/>
      <c r="C70" s="39" t="s">
        <v>149</v>
      </c>
      <c r="D70" s="45">
        <f t="shared" si="27"/>
        <v>1742</v>
      </c>
      <c r="E70" s="30">
        <f t="shared" si="28"/>
        <v>1743</v>
      </c>
      <c r="F70" s="30">
        <f t="shared" si="29"/>
        <v>1744</v>
      </c>
      <c r="G70" s="30">
        <f t="shared" si="30"/>
        <v>1745</v>
      </c>
      <c r="H70" s="30">
        <f t="shared" si="31"/>
        <v>1746</v>
      </c>
      <c r="I70" s="30">
        <f t="shared" si="32"/>
        <v>1747</v>
      </c>
      <c r="J70" s="30">
        <f t="shared" si="33"/>
        <v>1748</v>
      </c>
      <c r="K70" s="30">
        <f t="shared" si="34"/>
        <v>1749</v>
      </c>
      <c r="L70" s="30">
        <f t="shared" si="35"/>
        <v>1750</v>
      </c>
      <c r="M70" s="30">
        <f t="shared" si="36"/>
        <v>1751</v>
      </c>
      <c r="N70" s="30">
        <f t="shared" si="37"/>
        <v>1752</v>
      </c>
      <c r="O70" s="30">
        <f t="shared" si="38"/>
        <v>1753</v>
      </c>
      <c r="P70" s="30">
        <f t="shared" si="39"/>
        <v>1754</v>
      </c>
      <c r="Q70" s="30">
        <f t="shared" si="40"/>
        <v>1755</v>
      </c>
      <c r="R70" s="30">
        <f t="shared" si="41"/>
        <v>1756</v>
      </c>
      <c r="S70" s="30">
        <f t="shared" si="42"/>
        <v>1757</v>
      </c>
      <c r="T70" s="30">
        <f t="shared" si="43"/>
        <v>1758</v>
      </c>
      <c r="U70" s="30">
        <f t="shared" si="44"/>
        <v>1759</v>
      </c>
      <c r="V70" s="30">
        <f t="shared" si="45"/>
        <v>1760</v>
      </c>
      <c r="W70" s="30">
        <f t="shared" si="46"/>
        <v>1761</v>
      </c>
      <c r="X70" s="30">
        <f t="shared" si="47"/>
        <v>1762</v>
      </c>
      <c r="Y70" s="30">
        <f t="shared" si="48"/>
        <v>1763</v>
      </c>
      <c r="Z70" s="30">
        <f t="shared" si="49"/>
        <v>1764</v>
      </c>
      <c r="AA70" s="30">
        <f t="shared" si="50"/>
        <v>1765</v>
      </c>
      <c r="AB70" s="30">
        <f t="shared" si="51"/>
        <v>1766</v>
      </c>
      <c r="AC70" s="33">
        <f t="shared" si="52"/>
        <v>1767</v>
      </c>
    </row>
    <row r="71" spans="2:29" x14ac:dyDescent="0.6">
      <c r="B71" s="53"/>
      <c r="C71" s="39" t="s">
        <v>150</v>
      </c>
      <c r="D71" s="45">
        <f t="shared" si="27"/>
        <v>1768</v>
      </c>
      <c r="E71" s="30">
        <f t="shared" si="28"/>
        <v>1769</v>
      </c>
      <c r="F71" s="30">
        <f t="shared" si="29"/>
        <v>1770</v>
      </c>
      <c r="G71" s="30">
        <f t="shared" si="30"/>
        <v>1771</v>
      </c>
      <c r="H71" s="30">
        <f t="shared" si="31"/>
        <v>1772</v>
      </c>
      <c r="I71" s="30">
        <f t="shared" si="32"/>
        <v>1773</v>
      </c>
      <c r="J71" s="30">
        <f t="shared" si="33"/>
        <v>1774</v>
      </c>
      <c r="K71" s="30">
        <f t="shared" si="34"/>
        <v>1775</v>
      </c>
      <c r="L71" s="30">
        <f t="shared" si="35"/>
        <v>1776</v>
      </c>
      <c r="M71" s="30">
        <f t="shared" si="36"/>
        <v>1777</v>
      </c>
      <c r="N71" s="30">
        <f t="shared" si="37"/>
        <v>1778</v>
      </c>
      <c r="O71" s="30">
        <f t="shared" si="38"/>
        <v>1779</v>
      </c>
      <c r="P71" s="30">
        <f t="shared" si="39"/>
        <v>1780</v>
      </c>
      <c r="Q71" s="30">
        <f t="shared" si="40"/>
        <v>1781</v>
      </c>
      <c r="R71" s="30">
        <f t="shared" si="41"/>
        <v>1782</v>
      </c>
      <c r="S71" s="30">
        <f t="shared" si="42"/>
        <v>1783</v>
      </c>
      <c r="T71" s="30">
        <f t="shared" si="43"/>
        <v>1784</v>
      </c>
      <c r="U71" s="30">
        <f t="shared" si="44"/>
        <v>1785</v>
      </c>
      <c r="V71" s="30">
        <f t="shared" si="45"/>
        <v>1786</v>
      </c>
      <c r="W71" s="30">
        <f t="shared" si="46"/>
        <v>1787</v>
      </c>
      <c r="X71" s="30">
        <f t="shared" si="47"/>
        <v>1788</v>
      </c>
      <c r="Y71" s="30">
        <f t="shared" si="48"/>
        <v>1789</v>
      </c>
      <c r="Z71" s="30">
        <f t="shared" si="49"/>
        <v>1790</v>
      </c>
      <c r="AA71" s="30">
        <f t="shared" si="50"/>
        <v>1791</v>
      </c>
      <c r="AB71" s="30">
        <f t="shared" si="51"/>
        <v>1792</v>
      </c>
      <c r="AC71" s="33">
        <f t="shared" si="52"/>
        <v>1793</v>
      </c>
    </row>
    <row r="72" spans="2:29" x14ac:dyDescent="0.6">
      <c r="B72" s="53"/>
      <c r="C72" s="39" t="s">
        <v>151</v>
      </c>
      <c r="D72" s="45">
        <f t="shared" si="27"/>
        <v>1794</v>
      </c>
      <c r="E72" s="30">
        <f t="shared" si="28"/>
        <v>1795</v>
      </c>
      <c r="F72" s="30">
        <f t="shared" si="29"/>
        <v>1796</v>
      </c>
      <c r="G72" s="30">
        <f t="shared" si="30"/>
        <v>1797</v>
      </c>
      <c r="H72" s="30">
        <f t="shared" si="31"/>
        <v>1798</v>
      </c>
      <c r="I72" s="30">
        <f t="shared" si="32"/>
        <v>1799</v>
      </c>
      <c r="J72" s="30">
        <f t="shared" si="33"/>
        <v>1800</v>
      </c>
      <c r="K72" s="30">
        <f t="shared" si="34"/>
        <v>1801</v>
      </c>
      <c r="L72" s="30">
        <f t="shared" si="35"/>
        <v>1802</v>
      </c>
      <c r="M72" s="30">
        <f t="shared" si="36"/>
        <v>1803</v>
      </c>
      <c r="N72" s="30">
        <f t="shared" si="37"/>
        <v>1804</v>
      </c>
      <c r="O72" s="30">
        <f t="shared" si="38"/>
        <v>1805</v>
      </c>
      <c r="P72" s="30">
        <f t="shared" si="39"/>
        <v>1806</v>
      </c>
      <c r="Q72" s="30">
        <f t="shared" si="40"/>
        <v>1807</v>
      </c>
      <c r="R72" s="30">
        <f t="shared" si="41"/>
        <v>1808</v>
      </c>
      <c r="S72" s="30">
        <f t="shared" si="42"/>
        <v>1809</v>
      </c>
      <c r="T72" s="30">
        <f t="shared" si="43"/>
        <v>1810</v>
      </c>
      <c r="U72" s="30">
        <f t="shared" si="44"/>
        <v>1811</v>
      </c>
      <c r="V72" s="30">
        <f t="shared" si="45"/>
        <v>1812</v>
      </c>
      <c r="W72" s="30">
        <f t="shared" si="46"/>
        <v>1813</v>
      </c>
      <c r="X72" s="30">
        <f t="shared" si="47"/>
        <v>1814</v>
      </c>
      <c r="Y72" s="30">
        <f t="shared" si="48"/>
        <v>1815</v>
      </c>
      <c r="Z72" s="30">
        <f t="shared" si="49"/>
        <v>1816</v>
      </c>
      <c r="AA72" s="30">
        <f t="shared" si="50"/>
        <v>1817</v>
      </c>
      <c r="AB72" s="30">
        <f t="shared" si="51"/>
        <v>1818</v>
      </c>
      <c r="AC72" s="33">
        <f t="shared" si="52"/>
        <v>1819</v>
      </c>
    </row>
    <row r="73" spans="2:29" x14ac:dyDescent="0.6">
      <c r="B73" s="53"/>
      <c r="C73" s="39" t="s">
        <v>152</v>
      </c>
      <c r="D73" s="45">
        <f t="shared" si="27"/>
        <v>1820</v>
      </c>
      <c r="E73" s="30">
        <f t="shared" si="28"/>
        <v>1821</v>
      </c>
      <c r="F73" s="30">
        <f t="shared" si="29"/>
        <v>1822</v>
      </c>
      <c r="G73" s="30">
        <f t="shared" si="30"/>
        <v>1823</v>
      </c>
      <c r="H73" s="30">
        <f t="shared" si="31"/>
        <v>1824</v>
      </c>
      <c r="I73" s="30">
        <f t="shared" si="32"/>
        <v>1825</v>
      </c>
      <c r="J73" s="30">
        <f t="shared" si="33"/>
        <v>1826</v>
      </c>
      <c r="K73" s="30">
        <f t="shared" si="34"/>
        <v>1827</v>
      </c>
      <c r="L73" s="30">
        <f t="shared" si="35"/>
        <v>1828</v>
      </c>
      <c r="M73" s="30">
        <f t="shared" si="36"/>
        <v>1829</v>
      </c>
      <c r="N73" s="30">
        <f t="shared" si="37"/>
        <v>1830</v>
      </c>
      <c r="O73" s="30">
        <f t="shared" si="38"/>
        <v>1831</v>
      </c>
      <c r="P73" s="30">
        <f t="shared" si="39"/>
        <v>1832</v>
      </c>
      <c r="Q73" s="30">
        <f t="shared" si="40"/>
        <v>1833</v>
      </c>
      <c r="R73" s="30">
        <f t="shared" si="41"/>
        <v>1834</v>
      </c>
      <c r="S73" s="30">
        <f t="shared" si="42"/>
        <v>1835</v>
      </c>
      <c r="T73" s="30">
        <f t="shared" si="43"/>
        <v>1836</v>
      </c>
      <c r="U73" s="30">
        <f t="shared" si="44"/>
        <v>1837</v>
      </c>
      <c r="V73" s="30">
        <f t="shared" si="45"/>
        <v>1838</v>
      </c>
      <c r="W73" s="30">
        <f t="shared" si="46"/>
        <v>1839</v>
      </c>
      <c r="X73" s="30">
        <f t="shared" si="47"/>
        <v>1840</v>
      </c>
      <c r="Y73" s="30">
        <f t="shared" si="48"/>
        <v>1841</v>
      </c>
      <c r="Z73" s="30">
        <f t="shared" si="49"/>
        <v>1842</v>
      </c>
      <c r="AA73" s="30">
        <f t="shared" si="50"/>
        <v>1843</v>
      </c>
      <c r="AB73" s="30">
        <f t="shared" si="51"/>
        <v>1844</v>
      </c>
      <c r="AC73" s="33">
        <f t="shared" si="52"/>
        <v>1845</v>
      </c>
    </row>
    <row r="74" spans="2:29" x14ac:dyDescent="0.6">
      <c r="B74" s="53"/>
      <c r="C74" s="39" t="s">
        <v>153</v>
      </c>
      <c r="D74" s="45">
        <f t="shared" si="27"/>
        <v>1846</v>
      </c>
      <c r="E74" s="30">
        <f t="shared" si="28"/>
        <v>1847</v>
      </c>
      <c r="F74" s="30">
        <f t="shared" si="29"/>
        <v>1848</v>
      </c>
      <c r="G74" s="30">
        <f t="shared" si="30"/>
        <v>1849</v>
      </c>
      <c r="H74" s="30">
        <f t="shared" si="31"/>
        <v>1850</v>
      </c>
      <c r="I74" s="30">
        <f t="shared" si="32"/>
        <v>1851</v>
      </c>
      <c r="J74" s="30">
        <f t="shared" si="33"/>
        <v>1852</v>
      </c>
      <c r="K74" s="30">
        <f t="shared" si="34"/>
        <v>1853</v>
      </c>
      <c r="L74" s="30">
        <f t="shared" si="35"/>
        <v>1854</v>
      </c>
      <c r="M74" s="30">
        <f t="shared" si="36"/>
        <v>1855</v>
      </c>
      <c r="N74" s="30">
        <f t="shared" si="37"/>
        <v>1856</v>
      </c>
      <c r="O74" s="30">
        <f t="shared" si="38"/>
        <v>1857</v>
      </c>
      <c r="P74" s="30">
        <f t="shared" si="39"/>
        <v>1858</v>
      </c>
      <c r="Q74" s="30">
        <f t="shared" si="40"/>
        <v>1859</v>
      </c>
      <c r="R74" s="30">
        <f t="shared" si="41"/>
        <v>1860</v>
      </c>
      <c r="S74" s="30">
        <f t="shared" si="42"/>
        <v>1861</v>
      </c>
      <c r="T74" s="30">
        <f t="shared" si="43"/>
        <v>1862</v>
      </c>
      <c r="U74" s="30">
        <f t="shared" si="44"/>
        <v>1863</v>
      </c>
      <c r="V74" s="30">
        <f t="shared" si="45"/>
        <v>1864</v>
      </c>
      <c r="W74" s="30">
        <f t="shared" si="46"/>
        <v>1865</v>
      </c>
      <c r="X74" s="30">
        <f t="shared" si="47"/>
        <v>1866</v>
      </c>
      <c r="Y74" s="30">
        <f t="shared" si="48"/>
        <v>1867</v>
      </c>
      <c r="Z74" s="30">
        <f t="shared" si="49"/>
        <v>1868</v>
      </c>
      <c r="AA74" s="30">
        <f t="shared" si="50"/>
        <v>1869</v>
      </c>
      <c r="AB74" s="30">
        <f t="shared" si="51"/>
        <v>1870</v>
      </c>
      <c r="AC74" s="33">
        <f t="shared" si="52"/>
        <v>1871</v>
      </c>
    </row>
    <row r="75" spans="2:29" x14ac:dyDescent="0.6">
      <c r="B75" s="53"/>
      <c r="C75" s="39" t="s">
        <v>154</v>
      </c>
      <c r="D75" s="45">
        <f t="shared" si="27"/>
        <v>1872</v>
      </c>
      <c r="E75" s="30">
        <f t="shared" si="28"/>
        <v>1873</v>
      </c>
      <c r="F75" s="30">
        <f t="shared" si="29"/>
        <v>1874</v>
      </c>
      <c r="G75" s="30">
        <f t="shared" si="30"/>
        <v>1875</v>
      </c>
      <c r="H75" s="30">
        <f t="shared" si="31"/>
        <v>1876</v>
      </c>
      <c r="I75" s="30">
        <f t="shared" si="32"/>
        <v>1877</v>
      </c>
      <c r="J75" s="30">
        <f t="shared" si="33"/>
        <v>1878</v>
      </c>
      <c r="K75" s="30">
        <f t="shared" si="34"/>
        <v>1879</v>
      </c>
      <c r="L75" s="30">
        <f t="shared" si="35"/>
        <v>1880</v>
      </c>
      <c r="M75" s="30">
        <f t="shared" si="36"/>
        <v>1881</v>
      </c>
      <c r="N75" s="30">
        <f t="shared" si="37"/>
        <v>1882</v>
      </c>
      <c r="O75" s="30">
        <f t="shared" si="38"/>
        <v>1883</v>
      </c>
      <c r="P75" s="30">
        <f t="shared" si="39"/>
        <v>1884</v>
      </c>
      <c r="Q75" s="30">
        <f t="shared" si="40"/>
        <v>1885</v>
      </c>
      <c r="R75" s="30">
        <f t="shared" si="41"/>
        <v>1886</v>
      </c>
      <c r="S75" s="30">
        <f t="shared" si="42"/>
        <v>1887</v>
      </c>
      <c r="T75" s="30">
        <f t="shared" si="43"/>
        <v>1888</v>
      </c>
      <c r="U75" s="30">
        <f t="shared" si="44"/>
        <v>1889</v>
      </c>
      <c r="V75" s="30">
        <f t="shared" si="45"/>
        <v>1890</v>
      </c>
      <c r="W75" s="30">
        <f t="shared" si="46"/>
        <v>1891</v>
      </c>
      <c r="X75" s="30">
        <f t="shared" si="47"/>
        <v>1892</v>
      </c>
      <c r="Y75" s="30">
        <f t="shared" si="48"/>
        <v>1893</v>
      </c>
      <c r="Z75" s="30">
        <f t="shared" si="49"/>
        <v>1894</v>
      </c>
      <c r="AA75" s="30">
        <f t="shared" si="50"/>
        <v>1895</v>
      </c>
      <c r="AB75" s="30">
        <f t="shared" si="51"/>
        <v>1896</v>
      </c>
      <c r="AC75" s="33">
        <f t="shared" si="52"/>
        <v>1897</v>
      </c>
    </row>
    <row r="76" spans="2:29" x14ac:dyDescent="0.6">
      <c r="B76" s="53"/>
      <c r="C76" s="39" t="s">
        <v>155</v>
      </c>
      <c r="D76" s="45">
        <f t="shared" si="27"/>
        <v>1898</v>
      </c>
      <c r="E76" s="30">
        <f t="shared" si="28"/>
        <v>1899</v>
      </c>
      <c r="F76" s="30">
        <f t="shared" si="29"/>
        <v>1900</v>
      </c>
      <c r="G76" s="30">
        <f t="shared" si="30"/>
        <v>1901</v>
      </c>
      <c r="H76" s="30">
        <f t="shared" si="31"/>
        <v>1902</v>
      </c>
      <c r="I76" s="30">
        <f t="shared" si="32"/>
        <v>1903</v>
      </c>
      <c r="J76" s="30">
        <f t="shared" si="33"/>
        <v>1904</v>
      </c>
      <c r="K76" s="30">
        <f t="shared" si="34"/>
        <v>1905</v>
      </c>
      <c r="L76" s="30">
        <f t="shared" si="35"/>
        <v>1906</v>
      </c>
      <c r="M76" s="30">
        <f t="shared" si="36"/>
        <v>1907</v>
      </c>
      <c r="N76" s="30">
        <f t="shared" si="37"/>
        <v>1908</v>
      </c>
      <c r="O76" s="30">
        <f t="shared" si="38"/>
        <v>1909</v>
      </c>
      <c r="P76" s="30">
        <f t="shared" si="39"/>
        <v>1910</v>
      </c>
      <c r="Q76" s="30">
        <f t="shared" si="40"/>
        <v>1911</v>
      </c>
      <c r="R76" s="30">
        <f t="shared" si="41"/>
        <v>1912</v>
      </c>
      <c r="S76" s="30">
        <f t="shared" si="42"/>
        <v>1913</v>
      </c>
      <c r="T76" s="30">
        <f t="shared" si="43"/>
        <v>1914</v>
      </c>
      <c r="U76" s="30">
        <f t="shared" si="44"/>
        <v>1915</v>
      </c>
      <c r="V76" s="30">
        <f t="shared" si="45"/>
        <v>1916</v>
      </c>
      <c r="W76" s="30">
        <f t="shared" si="46"/>
        <v>1917</v>
      </c>
      <c r="X76" s="30">
        <f t="shared" si="47"/>
        <v>1918</v>
      </c>
      <c r="Y76" s="30">
        <f t="shared" si="48"/>
        <v>1919</v>
      </c>
      <c r="Z76" s="30">
        <f t="shared" si="49"/>
        <v>1920</v>
      </c>
      <c r="AA76" s="30">
        <f t="shared" si="50"/>
        <v>1921</v>
      </c>
      <c r="AB76" s="30">
        <f t="shared" si="51"/>
        <v>1922</v>
      </c>
      <c r="AC76" s="33">
        <f t="shared" si="52"/>
        <v>1923</v>
      </c>
    </row>
    <row r="77" spans="2:29" x14ac:dyDescent="0.6">
      <c r="B77" s="53"/>
      <c r="C77" s="39" t="s">
        <v>156</v>
      </c>
      <c r="D77" s="45">
        <f t="shared" si="27"/>
        <v>1924</v>
      </c>
      <c r="E77" s="30">
        <f t="shared" si="28"/>
        <v>1925</v>
      </c>
      <c r="F77" s="30">
        <f t="shared" si="29"/>
        <v>1926</v>
      </c>
      <c r="G77" s="30">
        <f t="shared" si="30"/>
        <v>1927</v>
      </c>
      <c r="H77" s="30">
        <f t="shared" si="31"/>
        <v>1928</v>
      </c>
      <c r="I77" s="30">
        <f t="shared" si="32"/>
        <v>1929</v>
      </c>
      <c r="J77" s="30">
        <f t="shared" si="33"/>
        <v>1930</v>
      </c>
      <c r="K77" s="30">
        <f t="shared" si="34"/>
        <v>1931</v>
      </c>
      <c r="L77" s="30">
        <f t="shared" si="35"/>
        <v>1932</v>
      </c>
      <c r="M77" s="30">
        <f t="shared" si="36"/>
        <v>1933</v>
      </c>
      <c r="N77" s="30">
        <f t="shared" si="37"/>
        <v>1934</v>
      </c>
      <c r="O77" s="30">
        <f t="shared" si="38"/>
        <v>1935</v>
      </c>
      <c r="P77" s="30">
        <f t="shared" si="39"/>
        <v>1936</v>
      </c>
      <c r="Q77" s="30">
        <f t="shared" si="40"/>
        <v>1937</v>
      </c>
      <c r="R77" s="30">
        <f t="shared" si="41"/>
        <v>1938</v>
      </c>
      <c r="S77" s="30">
        <f t="shared" si="42"/>
        <v>1939</v>
      </c>
      <c r="T77" s="30">
        <f t="shared" si="43"/>
        <v>1940</v>
      </c>
      <c r="U77" s="30">
        <f t="shared" si="44"/>
        <v>1941</v>
      </c>
      <c r="V77" s="30">
        <f t="shared" si="45"/>
        <v>1942</v>
      </c>
      <c r="W77" s="30">
        <f t="shared" si="46"/>
        <v>1943</v>
      </c>
      <c r="X77" s="30">
        <f t="shared" si="47"/>
        <v>1944</v>
      </c>
      <c r="Y77" s="30">
        <f t="shared" si="48"/>
        <v>1945</v>
      </c>
      <c r="Z77" s="30">
        <f t="shared" si="49"/>
        <v>1946</v>
      </c>
      <c r="AA77" s="30">
        <f t="shared" si="50"/>
        <v>1947</v>
      </c>
      <c r="AB77" s="30">
        <f t="shared" si="51"/>
        <v>1948</v>
      </c>
      <c r="AC77" s="33">
        <f t="shared" si="52"/>
        <v>1949</v>
      </c>
    </row>
    <row r="78" spans="2:29" x14ac:dyDescent="0.6">
      <c r="B78" s="53"/>
      <c r="C78" s="39" t="s">
        <v>157</v>
      </c>
      <c r="D78" s="45">
        <f t="shared" si="27"/>
        <v>1950</v>
      </c>
      <c r="E78" s="30">
        <f t="shared" si="28"/>
        <v>1951</v>
      </c>
      <c r="F78" s="30">
        <f t="shared" si="29"/>
        <v>1952</v>
      </c>
      <c r="G78" s="30">
        <f t="shared" si="30"/>
        <v>1953</v>
      </c>
      <c r="H78" s="30">
        <f t="shared" si="31"/>
        <v>1954</v>
      </c>
      <c r="I78" s="30">
        <f t="shared" si="32"/>
        <v>1955</v>
      </c>
      <c r="J78" s="30">
        <f t="shared" si="33"/>
        <v>1956</v>
      </c>
      <c r="K78" s="30">
        <f t="shared" si="34"/>
        <v>1957</v>
      </c>
      <c r="L78" s="30">
        <f t="shared" si="35"/>
        <v>1958</v>
      </c>
      <c r="M78" s="30">
        <f t="shared" si="36"/>
        <v>1959</v>
      </c>
      <c r="N78" s="30">
        <f t="shared" si="37"/>
        <v>1960</v>
      </c>
      <c r="O78" s="30">
        <f t="shared" si="38"/>
        <v>1961</v>
      </c>
      <c r="P78" s="30">
        <f t="shared" si="39"/>
        <v>1962</v>
      </c>
      <c r="Q78" s="30">
        <f t="shared" si="40"/>
        <v>1963</v>
      </c>
      <c r="R78" s="30">
        <f t="shared" si="41"/>
        <v>1964</v>
      </c>
      <c r="S78" s="30">
        <f t="shared" si="42"/>
        <v>1965</v>
      </c>
      <c r="T78" s="30">
        <f t="shared" si="43"/>
        <v>1966</v>
      </c>
      <c r="U78" s="30">
        <f t="shared" si="44"/>
        <v>1967</v>
      </c>
      <c r="V78" s="30">
        <f t="shared" si="45"/>
        <v>1968</v>
      </c>
      <c r="W78" s="30">
        <f t="shared" si="46"/>
        <v>1969</v>
      </c>
      <c r="X78" s="30">
        <f t="shared" si="47"/>
        <v>1970</v>
      </c>
      <c r="Y78" s="30">
        <f t="shared" si="48"/>
        <v>1971</v>
      </c>
      <c r="Z78" s="30">
        <f t="shared" si="49"/>
        <v>1972</v>
      </c>
      <c r="AA78" s="30">
        <f t="shared" si="50"/>
        <v>1973</v>
      </c>
      <c r="AB78" s="30">
        <f t="shared" si="51"/>
        <v>1974</v>
      </c>
      <c r="AC78" s="33">
        <f t="shared" si="52"/>
        <v>1975</v>
      </c>
    </row>
    <row r="79" spans="2:29" x14ac:dyDescent="0.6">
      <c r="B79" s="53"/>
      <c r="C79" s="39" t="s">
        <v>158</v>
      </c>
      <c r="D79" s="45">
        <f t="shared" si="27"/>
        <v>1976</v>
      </c>
      <c r="E79" s="30">
        <f t="shared" si="28"/>
        <v>1977</v>
      </c>
      <c r="F79" s="30">
        <f t="shared" si="29"/>
        <v>1978</v>
      </c>
      <c r="G79" s="30">
        <f t="shared" si="30"/>
        <v>1979</v>
      </c>
      <c r="H79" s="30">
        <f t="shared" si="31"/>
        <v>1980</v>
      </c>
      <c r="I79" s="30">
        <f t="shared" si="32"/>
        <v>1981</v>
      </c>
      <c r="J79" s="30">
        <f t="shared" si="33"/>
        <v>1982</v>
      </c>
      <c r="K79" s="30">
        <f t="shared" si="34"/>
        <v>1983</v>
      </c>
      <c r="L79" s="30">
        <f t="shared" si="35"/>
        <v>1984</v>
      </c>
      <c r="M79" s="30">
        <f t="shared" si="36"/>
        <v>1985</v>
      </c>
      <c r="N79" s="30">
        <f t="shared" si="37"/>
        <v>1986</v>
      </c>
      <c r="O79" s="30">
        <f t="shared" si="38"/>
        <v>1987</v>
      </c>
      <c r="P79" s="30">
        <f t="shared" si="39"/>
        <v>1988</v>
      </c>
      <c r="Q79" s="30">
        <f t="shared" si="40"/>
        <v>1989</v>
      </c>
      <c r="R79" s="30">
        <f t="shared" si="41"/>
        <v>1990</v>
      </c>
      <c r="S79" s="30">
        <f t="shared" si="42"/>
        <v>1991</v>
      </c>
      <c r="T79" s="30">
        <f t="shared" si="43"/>
        <v>1992</v>
      </c>
      <c r="U79" s="30">
        <f t="shared" si="44"/>
        <v>1993</v>
      </c>
      <c r="V79" s="30">
        <f t="shared" si="45"/>
        <v>1994</v>
      </c>
      <c r="W79" s="30">
        <f t="shared" si="46"/>
        <v>1995</v>
      </c>
      <c r="X79" s="30">
        <f t="shared" si="47"/>
        <v>1996</v>
      </c>
      <c r="Y79" s="30">
        <f t="shared" si="48"/>
        <v>1997</v>
      </c>
      <c r="Z79" s="30">
        <f t="shared" si="49"/>
        <v>1998</v>
      </c>
      <c r="AA79" s="30">
        <f t="shared" si="50"/>
        <v>1999</v>
      </c>
      <c r="AB79" s="30">
        <f t="shared" si="51"/>
        <v>2000</v>
      </c>
      <c r="AC79" s="33">
        <f t="shared" si="52"/>
        <v>2001</v>
      </c>
    </row>
    <row r="80" spans="2:29" x14ac:dyDescent="0.6">
      <c r="B80" s="53"/>
      <c r="C80" s="39" t="s">
        <v>159</v>
      </c>
      <c r="D80" s="45">
        <f t="shared" si="27"/>
        <v>2002</v>
      </c>
      <c r="E80" s="30">
        <f t="shared" si="28"/>
        <v>2003</v>
      </c>
      <c r="F80" s="30">
        <f t="shared" si="29"/>
        <v>2004</v>
      </c>
      <c r="G80" s="30">
        <f t="shared" si="30"/>
        <v>2005</v>
      </c>
      <c r="H80" s="30">
        <f t="shared" si="31"/>
        <v>2006</v>
      </c>
      <c r="I80" s="30">
        <f t="shared" si="32"/>
        <v>2007</v>
      </c>
      <c r="J80" s="30">
        <f t="shared" si="33"/>
        <v>2008</v>
      </c>
      <c r="K80" s="30">
        <f t="shared" si="34"/>
        <v>2009</v>
      </c>
      <c r="L80" s="30">
        <f t="shared" si="35"/>
        <v>2010</v>
      </c>
      <c r="M80" s="30">
        <f t="shared" si="36"/>
        <v>2011</v>
      </c>
      <c r="N80" s="30">
        <f t="shared" si="37"/>
        <v>2012</v>
      </c>
      <c r="O80" s="30">
        <f t="shared" si="38"/>
        <v>2013</v>
      </c>
      <c r="P80" s="30">
        <f t="shared" si="39"/>
        <v>2014</v>
      </c>
      <c r="Q80" s="30">
        <f t="shared" si="40"/>
        <v>2015</v>
      </c>
      <c r="R80" s="30">
        <f t="shared" si="41"/>
        <v>2016</v>
      </c>
      <c r="S80" s="30">
        <f t="shared" si="42"/>
        <v>2017</v>
      </c>
      <c r="T80" s="30">
        <f t="shared" si="43"/>
        <v>2018</v>
      </c>
      <c r="U80" s="30">
        <f t="shared" si="44"/>
        <v>2019</v>
      </c>
      <c r="V80" s="30">
        <f t="shared" si="45"/>
        <v>2020</v>
      </c>
      <c r="W80" s="30">
        <f t="shared" si="46"/>
        <v>2021</v>
      </c>
      <c r="X80" s="30">
        <f t="shared" si="47"/>
        <v>2022</v>
      </c>
      <c r="Y80" s="30">
        <f t="shared" si="48"/>
        <v>2023</v>
      </c>
      <c r="Z80" s="30">
        <f t="shared" si="49"/>
        <v>2024</v>
      </c>
      <c r="AA80" s="30">
        <f t="shared" si="50"/>
        <v>2025</v>
      </c>
      <c r="AB80" s="30">
        <f t="shared" si="51"/>
        <v>2026</v>
      </c>
      <c r="AC80" s="33">
        <f t="shared" si="52"/>
        <v>2027</v>
      </c>
    </row>
    <row r="81" spans="2:29" x14ac:dyDescent="0.6">
      <c r="B81" s="53"/>
      <c r="C81" s="39" t="s">
        <v>161</v>
      </c>
      <c r="D81" s="45" t="s">
        <v>179</v>
      </c>
      <c r="E81" s="30" t="s">
        <v>179</v>
      </c>
      <c r="F81" s="30" t="s">
        <v>179</v>
      </c>
      <c r="G81" s="30" t="s">
        <v>179</v>
      </c>
      <c r="H81" s="30" t="s">
        <v>179</v>
      </c>
      <c r="I81" s="30" t="s">
        <v>179</v>
      </c>
      <c r="J81" s="30" t="s">
        <v>179</v>
      </c>
      <c r="K81" s="30" t="s">
        <v>179</v>
      </c>
      <c r="L81" s="30" t="s">
        <v>179</v>
      </c>
      <c r="M81" s="30" t="s">
        <v>179</v>
      </c>
      <c r="N81" s="30" t="s">
        <v>179</v>
      </c>
      <c r="O81" s="30" t="s">
        <v>179</v>
      </c>
      <c r="P81" s="30" t="s">
        <v>179</v>
      </c>
      <c r="Q81" s="30" t="s">
        <v>179</v>
      </c>
      <c r="R81" s="30" t="s">
        <v>179</v>
      </c>
      <c r="S81" s="30" t="s">
        <v>179</v>
      </c>
      <c r="T81" s="30" t="s">
        <v>179</v>
      </c>
      <c r="U81" s="30" t="s">
        <v>179</v>
      </c>
      <c r="V81" s="30" t="s">
        <v>179</v>
      </c>
      <c r="W81" s="30" t="s">
        <v>179</v>
      </c>
      <c r="X81" s="30" t="s">
        <v>179</v>
      </c>
      <c r="Y81" s="30" t="s">
        <v>179</v>
      </c>
      <c r="Z81" s="30" t="s">
        <v>179</v>
      </c>
      <c r="AA81" s="30" t="s">
        <v>179</v>
      </c>
      <c r="AB81" s="30" t="s">
        <v>179</v>
      </c>
      <c r="AC81" s="33" t="s">
        <v>179</v>
      </c>
    </row>
    <row r="82" spans="2:29" x14ac:dyDescent="0.6">
      <c r="B82" s="53"/>
      <c r="C82" s="39" t="s">
        <v>162</v>
      </c>
      <c r="D82" s="45" t="s">
        <v>179</v>
      </c>
      <c r="E82" s="30" t="s">
        <v>179</v>
      </c>
      <c r="F82" s="30" t="s">
        <v>179</v>
      </c>
      <c r="G82" s="30" t="s">
        <v>179</v>
      </c>
      <c r="H82" s="30" t="s">
        <v>179</v>
      </c>
      <c r="I82" s="30" t="s">
        <v>179</v>
      </c>
      <c r="J82" s="30" t="s">
        <v>179</v>
      </c>
      <c r="K82" s="30" t="s">
        <v>179</v>
      </c>
      <c r="L82" s="30" t="s">
        <v>179</v>
      </c>
      <c r="M82" s="30" t="s">
        <v>179</v>
      </c>
      <c r="N82" s="30" t="s">
        <v>179</v>
      </c>
      <c r="O82" s="30" t="s">
        <v>179</v>
      </c>
      <c r="P82" s="30" t="s">
        <v>179</v>
      </c>
      <c r="Q82" s="30" t="s">
        <v>179</v>
      </c>
      <c r="R82" s="30" t="s">
        <v>179</v>
      </c>
      <c r="S82" s="30" t="s">
        <v>179</v>
      </c>
      <c r="T82" s="30" t="s">
        <v>179</v>
      </c>
      <c r="U82" s="30" t="s">
        <v>179</v>
      </c>
      <c r="V82" s="30" t="s">
        <v>179</v>
      </c>
      <c r="W82" s="30" t="s">
        <v>179</v>
      </c>
      <c r="X82" s="30" t="s">
        <v>179</v>
      </c>
      <c r="Y82" s="30" t="s">
        <v>179</v>
      </c>
      <c r="Z82" s="30" t="s">
        <v>179</v>
      </c>
      <c r="AA82" s="30" t="s">
        <v>179</v>
      </c>
      <c r="AB82" s="30" t="s">
        <v>179</v>
      </c>
      <c r="AC82" s="33" t="s">
        <v>179</v>
      </c>
    </row>
    <row r="83" spans="2:29" x14ac:dyDescent="0.6">
      <c r="B83" s="53"/>
      <c r="C83" s="39" t="s">
        <v>163</v>
      </c>
      <c r="D83" s="45" t="s">
        <v>179</v>
      </c>
      <c r="E83" s="30" t="s">
        <v>179</v>
      </c>
      <c r="F83" s="30" t="s">
        <v>179</v>
      </c>
      <c r="G83" s="30" t="s">
        <v>179</v>
      </c>
      <c r="H83" s="30" t="s">
        <v>179</v>
      </c>
      <c r="I83" s="30" t="s">
        <v>179</v>
      </c>
      <c r="J83" s="30" t="s">
        <v>179</v>
      </c>
      <c r="K83" s="30" t="s">
        <v>179</v>
      </c>
      <c r="L83" s="30" t="s">
        <v>179</v>
      </c>
      <c r="M83" s="30" t="s">
        <v>179</v>
      </c>
      <c r="N83" s="30" t="s">
        <v>179</v>
      </c>
      <c r="O83" s="30" t="s">
        <v>179</v>
      </c>
      <c r="P83" s="30" t="s">
        <v>179</v>
      </c>
      <c r="Q83" s="30" t="s">
        <v>179</v>
      </c>
      <c r="R83" s="30" t="s">
        <v>179</v>
      </c>
      <c r="S83" s="30" t="s">
        <v>179</v>
      </c>
      <c r="T83" s="30" t="s">
        <v>179</v>
      </c>
      <c r="U83" s="30" t="s">
        <v>179</v>
      </c>
      <c r="V83" s="30" t="s">
        <v>179</v>
      </c>
      <c r="W83" s="30" t="s">
        <v>179</v>
      </c>
      <c r="X83" s="30" t="s">
        <v>179</v>
      </c>
      <c r="Y83" s="30" t="s">
        <v>179</v>
      </c>
      <c r="Z83" s="30" t="s">
        <v>179</v>
      </c>
      <c r="AA83" s="30" t="s">
        <v>179</v>
      </c>
      <c r="AB83" s="30" t="s">
        <v>179</v>
      </c>
      <c r="AC83" s="33" t="s">
        <v>179</v>
      </c>
    </row>
    <row r="84" spans="2:29" x14ac:dyDescent="0.6">
      <c r="B84" s="53"/>
      <c r="C84" s="39" t="s">
        <v>164</v>
      </c>
      <c r="D84" s="45" t="s">
        <v>179</v>
      </c>
      <c r="E84" s="30" t="s">
        <v>179</v>
      </c>
      <c r="F84" s="30" t="s">
        <v>179</v>
      </c>
      <c r="G84" s="30" t="s">
        <v>179</v>
      </c>
      <c r="H84" s="30" t="s">
        <v>179</v>
      </c>
      <c r="I84" s="30" t="s">
        <v>179</v>
      </c>
      <c r="J84" s="30" t="s">
        <v>179</v>
      </c>
      <c r="K84" s="30" t="s">
        <v>179</v>
      </c>
      <c r="L84" s="30" t="s">
        <v>179</v>
      </c>
      <c r="M84" s="30" t="s">
        <v>179</v>
      </c>
      <c r="N84" s="30" t="s">
        <v>179</v>
      </c>
      <c r="O84" s="30" t="s">
        <v>179</v>
      </c>
      <c r="P84" s="30" t="s">
        <v>179</v>
      </c>
      <c r="Q84" s="30" t="s">
        <v>179</v>
      </c>
      <c r="R84" s="30" t="s">
        <v>179</v>
      </c>
      <c r="S84" s="30" t="s">
        <v>179</v>
      </c>
      <c r="T84" s="30" t="s">
        <v>179</v>
      </c>
      <c r="U84" s="30" t="s">
        <v>179</v>
      </c>
      <c r="V84" s="30" t="s">
        <v>179</v>
      </c>
      <c r="W84" s="30" t="s">
        <v>179</v>
      </c>
      <c r="X84" s="30" t="s">
        <v>179</v>
      </c>
      <c r="Y84" s="30" t="s">
        <v>179</v>
      </c>
      <c r="Z84" s="30" t="s">
        <v>179</v>
      </c>
      <c r="AA84" s="30" t="s">
        <v>179</v>
      </c>
      <c r="AB84" s="30" t="s">
        <v>179</v>
      </c>
      <c r="AC84" s="33" t="s">
        <v>179</v>
      </c>
    </row>
    <row r="85" spans="2:29" x14ac:dyDescent="0.6">
      <c r="B85" s="53"/>
      <c r="C85" s="39" t="s">
        <v>165</v>
      </c>
      <c r="D85" s="45" t="s">
        <v>179</v>
      </c>
      <c r="E85" s="30" t="s">
        <v>179</v>
      </c>
      <c r="F85" s="30" t="s">
        <v>179</v>
      </c>
      <c r="G85" s="30" t="s">
        <v>179</v>
      </c>
      <c r="H85" s="30" t="s">
        <v>179</v>
      </c>
      <c r="I85" s="30" t="s">
        <v>179</v>
      </c>
      <c r="J85" s="30" t="s">
        <v>179</v>
      </c>
      <c r="K85" s="30" t="s">
        <v>179</v>
      </c>
      <c r="L85" s="30" t="s">
        <v>179</v>
      </c>
      <c r="M85" s="30" t="s">
        <v>179</v>
      </c>
      <c r="N85" s="30" t="s">
        <v>179</v>
      </c>
      <c r="O85" s="30" t="s">
        <v>179</v>
      </c>
      <c r="P85" s="30" t="s">
        <v>179</v>
      </c>
      <c r="Q85" s="30" t="s">
        <v>179</v>
      </c>
      <c r="R85" s="30" t="s">
        <v>179</v>
      </c>
      <c r="S85" s="30" t="s">
        <v>179</v>
      </c>
      <c r="T85" s="30" t="s">
        <v>179</v>
      </c>
      <c r="U85" s="30" t="s">
        <v>179</v>
      </c>
      <c r="V85" s="30" t="s">
        <v>179</v>
      </c>
      <c r="W85" s="30" t="s">
        <v>179</v>
      </c>
      <c r="X85" s="30" t="s">
        <v>179</v>
      </c>
      <c r="Y85" s="30" t="s">
        <v>179</v>
      </c>
      <c r="Z85" s="30" t="s">
        <v>179</v>
      </c>
      <c r="AA85" s="30" t="s">
        <v>179</v>
      </c>
      <c r="AB85" s="30" t="s">
        <v>179</v>
      </c>
      <c r="AC85" s="33" t="s">
        <v>179</v>
      </c>
    </row>
    <row r="86" spans="2:29" x14ac:dyDescent="0.6">
      <c r="B86" s="53"/>
      <c r="C86" s="39" t="s">
        <v>166</v>
      </c>
      <c r="D86" s="45" t="s">
        <v>179</v>
      </c>
      <c r="E86" s="30" t="s">
        <v>179</v>
      </c>
      <c r="F86" s="30" t="s">
        <v>179</v>
      </c>
      <c r="G86" s="30" t="s">
        <v>179</v>
      </c>
      <c r="H86" s="30" t="s">
        <v>179</v>
      </c>
      <c r="I86" s="30" t="s">
        <v>179</v>
      </c>
      <c r="J86" s="30" t="s">
        <v>179</v>
      </c>
      <c r="K86" s="30" t="s">
        <v>179</v>
      </c>
      <c r="L86" s="30" t="s">
        <v>179</v>
      </c>
      <c r="M86" s="30" t="s">
        <v>179</v>
      </c>
      <c r="N86" s="30" t="s">
        <v>179</v>
      </c>
      <c r="O86" s="30" t="s">
        <v>179</v>
      </c>
      <c r="P86" s="30" t="s">
        <v>179</v>
      </c>
      <c r="Q86" s="30" t="s">
        <v>179</v>
      </c>
      <c r="R86" s="30" t="s">
        <v>179</v>
      </c>
      <c r="S86" s="30" t="s">
        <v>179</v>
      </c>
      <c r="T86" s="30" t="s">
        <v>179</v>
      </c>
      <c r="U86" s="30" t="s">
        <v>179</v>
      </c>
      <c r="V86" s="30" t="s">
        <v>179</v>
      </c>
      <c r="W86" s="30" t="s">
        <v>179</v>
      </c>
      <c r="X86" s="30" t="s">
        <v>179</v>
      </c>
      <c r="Y86" s="30" t="s">
        <v>179</v>
      </c>
      <c r="Z86" s="30" t="s">
        <v>179</v>
      </c>
      <c r="AA86" s="30" t="s">
        <v>179</v>
      </c>
      <c r="AB86" s="30" t="s">
        <v>179</v>
      </c>
      <c r="AC86" s="33" t="s">
        <v>179</v>
      </c>
    </row>
    <row r="87" spans="2:29" x14ac:dyDescent="0.6">
      <c r="B87" s="53"/>
      <c r="C87" s="39" t="s">
        <v>167</v>
      </c>
      <c r="D87" s="45" t="s">
        <v>179</v>
      </c>
      <c r="E87" s="30" t="s">
        <v>179</v>
      </c>
      <c r="F87" s="30" t="s">
        <v>179</v>
      </c>
      <c r="G87" s="30" t="s">
        <v>179</v>
      </c>
      <c r="H87" s="30" t="s">
        <v>179</v>
      </c>
      <c r="I87" s="30" t="s">
        <v>179</v>
      </c>
      <c r="J87" s="30" t="s">
        <v>179</v>
      </c>
      <c r="K87" s="30" t="s">
        <v>179</v>
      </c>
      <c r="L87" s="30" t="s">
        <v>179</v>
      </c>
      <c r="M87" s="30" t="s">
        <v>179</v>
      </c>
      <c r="N87" s="30" t="s">
        <v>179</v>
      </c>
      <c r="O87" s="30" t="s">
        <v>179</v>
      </c>
      <c r="P87" s="30" t="s">
        <v>179</v>
      </c>
      <c r="Q87" s="30" t="s">
        <v>179</v>
      </c>
      <c r="R87" s="30" t="s">
        <v>179</v>
      </c>
      <c r="S87" s="30" t="s">
        <v>179</v>
      </c>
      <c r="T87" s="30" t="s">
        <v>179</v>
      </c>
      <c r="U87" s="30" t="s">
        <v>179</v>
      </c>
      <c r="V87" s="30" t="s">
        <v>179</v>
      </c>
      <c r="W87" s="30" t="s">
        <v>179</v>
      </c>
      <c r="X87" s="30" t="s">
        <v>179</v>
      </c>
      <c r="Y87" s="30" t="s">
        <v>179</v>
      </c>
      <c r="Z87" s="30" t="s">
        <v>179</v>
      </c>
      <c r="AA87" s="30" t="s">
        <v>179</v>
      </c>
      <c r="AB87" s="30" t="s">
        <v>179</v>
      </c>
      <c r="AC87" s="33" t="s">
        <v>179</v>
      </c>
    </row>
    <row r="88" spans="2:29" x14ac:dyDescent="0.6">
      <c r="B88" s="53"/>
      <c r="C88" s="39" t="s">
        <v>168</v>
      </c>
      <c r="D88" s="45" t="s">
        <v>179</v>
      </c>
      <c r="E88" s="30" t="s">
        <v>179</v>
      </c>
      <c r="F88" s="30" t="s">
        <v>179</v>
      </c>
      <c r="G88" s="30" t="s">
        <v>179</v>
      </c>
      <c r="H88" s="30" t="s">
        <v>179</v>
      </c>
      <c r="I88" s="30" t="s">
        <v>179</v>
      </c>
      <c r="J88" s="30" t="s">
        <v>179</v>
      </c>
      <c r="K88" s="30" t="s">
        <v>179</v>
      </c>
      <c r="L88" s="30" t="s">
        <v>179</v>
      </c>
      <c r="M88" s="30" t="s">
        <v>179</v>
      </c>
      <c r="N88" s="30" t="s">
        <v>179</v>
      </c>
      <c r="O88" s="30" t="s">
        <v>179</v>
      </c>
      <c r="P88" s="30" t="s">
        <v>179</v>
      </c>
      <c r="Q88" s="30" t="s">
        <v>179</v>
      </c>
      <c r="R88" s="30" t="s">
        <v>179</v>
      </c>
      <c r="S88" s="30" t="s">
        <v>179</v>
      </c>
      <c r="T88" s="30" t="s">
        <v>179</v>
      </c>
      <c r="U88" s="30" t="s">
        <v>179</v>
      </c>
      <c r="V88" s="30" t="s">
        <v>179</v>
      </c>
      <c r="W88" s="30" t="s">
        <v>179</v>
      </c>
      <c r="X88" s="30" t="s">
        <v>179</v>
      </c>
      <c r="Y88" s="30" t="s">
        <v>179</v>
      </c>
      <c r="Z88" s="30" t="s">
        <v>179</v>
      </c>
      <c r="AA88" s="30" t="s">
        <v>179</v>
      </c>
      <c r="AB88" s="30" t="s">
        <v>179</v>
      </c>
      <c r="AC88" s="33" t="s">
        <v>179</v>
      </c>
    </row>
    <row r="89" spans="2:29" x14ac:dyDescent="0.6">
      <c r="B89" s="53"/>
      <c r="C89" s="39" t="s">
        <v>169</v>
      </c>
      <c r="D89" s="45" t="s">
        <v>179</v>
      </c>
      <c r="E89" s="30" t="s">
        <v>179</v>
      </c>
      <c r="F89" s="30" t="s">
        <v>179</v>
      </c>
      <c r="G89" s="30" t="s">
        <v>179</v>
      </c>
      <c r="H89" s="30" t="s">
        <v>179</v>
      </c>
      <c r="I89" s="30" t="s">
        <v>179</v>
      </c>
      <c r="J89" s="30" t="s">
        <v>179</v>
      </c>
      <c r="K89" s="30" t="s">
        <v>179</v>
      </c>
      <c r="L89" s="30" t="s">
        <v>179</v>
      </c>
      <c r="M89" s="30" t="s">
        <v>179</v>
      </c>
      <c r="N89" s="30" t="s">
        <v>179</v>
      </c>
      <c r="O89" s="30" t="s">
        <v>179</v>
      </c>
      <c r="P89" s="30" t="s">
        <v>179</v>
      </c>
      <c r="Q89" s="30" t="s">
        <v>179</v>
      </c>
      <c r="R89" s="30" t="s">
        <v>179</v>
      </c>
      <c r="S89" s="30" t="s">
        <v>179</v>
      </c>
      <c r="T89" s="30" t="s">
        <v>179</v>
      </c>
      <c r="U89" s="30" t="s">
        <v>179</v>
      </c>
      <c r="V89" s="30" t="s">
        <v>179</v>
      </c>
      <c r="W89" s="30" t="s">
        <v>179</v>
      </c>
      <c r="X89" s="30" t="s">
        <v>179</v>
      </c>
      <c r="Y89" s="30" t="s">
        <v>179</v>
      </c>
      <c r="Z89" s="30" t="s">
        <v>179</v>
      </c>
      <c r="AA89" s="30" t="s">
        <v>179</v>
      </c>
      <c r="AB89" s="30" t="s">
        <v>179</v>
      </c>
      <c r="AC89" s="33" t="s">
        <v>179</v>
      </c>
    </row>
    <row r="90" spans="2:29" x14ac:dyDescent="0.6">
      <c r="B90" s="53"/>
      <c r="C90" s="39" t="s">
        <v>170</v>
      </c>
      <c r="D90" s="45" t="s">
        <v>179</v>
      </c>
      <c r="E90" s="30" t="s">
        <v>179</v>
      </c>
      <c r="F90" s="30" t="s">
        <v>179</v>
      </c>
      <c r="G90" s="30" t="s">
        <v>179</v>
      </c>
      <c r="H90" s="30" t="s">
        <v>179</v>
      </c>
      <c r="I90" s="30" t="s">
        <v>179</v>
      </c>
      <c r="J90" s="30" t="s">
        <v>179</v>
      </c>
      <c r="K90" s="30" t="s">
        <v>179</v>
      </c>
      <c r="L90" s="30" t="s">
        <v>179</v>
      </c>
      <c r="M90" s="30" t="s">
        <v>179</v>
      </c>
      <c r="N90" s="30" t="s">
        <v>179</v>
      </c>
      <c r="O90" s="30" t="s">
        <v>179</v>
      </c>
      <c r="P90" s="30" t="s">
        <v>179</v>
      </c>
      <c r="Q90" s="30" t="s">
        <v>179</v>
      </c>
      <c r="R90" s="30" t="s">
        <v>179</v>
      </c>
      <c r="S90" s="30" t="s">
        <v>179</v>
      </c>
      <c r="T90" s="30" t="s">
        <v>179</v>
      </c>
      <c r="U90" s="30" t="s">
        <v>179</v>
      </c>
      <c r="V90" s="30" t="s">
        <v>179</v>
      </c>
      <c r="W90" s="30" t="s">
        <v>179</v>
      </c>
      <c r="X90" s="30" t="s">
        <v>179</v>
      </c>
      <c r="Y90" s="30" t="s">
        <v>179</v>
      </c>
      <c r="Z90" s="30" t="s">
        <v>179</v>
      </c>
      <c r="AA90" s="30" t="s">
        <v>179</v>
      </c>
      <c r="AB90" s="30" t="s">
        <v>179</v>
      </c>
      <c r="AC90" s="33" t="s">
        <v>179</v>
      </c>
    </row>
    <row r="91" spans="2:29" x14ac:dyDescent="0.6">
      <c r="B91" s="53"/>
      <c r="C91" s="39" t="s">
        <v>171</v>
      </c>
      <c r="D91" s="45" t="s">
        <v>179</v>
      </c>
      <c r="E91" s="30" t="s">
        <v>179</v>
      </c>
      <c r="F91" s="30" t="s">
        <v>179</v>
      </c>
      <c r="G91" s="30" t="s">
        <v>179</v>
      </c>
      <c r="H91" s="30" t="s">
        <v>179</v>
      </c>
      <c r="I91" s="30" t="s">
        <v>179</v>
      </c>
      <c r="J91" s="30" t="s">
        <v>179</v>
      </c>
      <c r="K91" s="30" t="s">
        <v>179</v>
      </c>
      <c r="L91" s="30" t="s">
        <v>179</v>
      </c>
      <c r="M91" s="30" t="s">
        <v>179</v>
      </c>
      <c r="N91" s="30" t="s">
        <v>179</v>
      </c>
      <c r="O91" s="30" t="s">
        <v>179</v>
      </c>
      <c r="P91" s="30" t="s">
        <v>179</v>
      </c>
      <c r="Q91" s="30" t="s">
        <v>179</v>
      </c>
      <c r="R91" s="30" t="s">
        <v>179</v>
      </c>
      <c r="S91" s="30" t="s">
        <v>179</v>
      </c>
      <c r="T91" s="30" t="s">
        <v>179</v>
      </c>
      <c r="U91" s="30" t="s">
        <v>179</v>
      </c>
      <c r="V91" s="30" t="s">
        <v>179</v>
      </c>
      <c r="W91" s="30" t="s">
        <v>179</v>
      </c>
      <c r="X91" s="30" t="s">
        <v>179</v>
      </c>
      <c r="Y91" s="30" t="s">
        <v>179</v>
      </c>
      <c r="Z91" s="30" t="s">
        <v>179</v>
      </c>
      <c r="AA91" s="30" t="s">
        <v>179</v>
      </c>
      <c r="AB91" s="30" t="s">
        <v>179</v>
      </c>
      <c r="AC91" s="33" t="s">
        <v>179</v>
      </c>
    </row>
    <row r="92" spans="2:29" x14ac:dyDescent="0.6">
      <c r="B92" s="53"/>
      <c r="C92" s="39" t="s">
        <v>172</v>
      </c>
      <c r="D92" s="45" t="s">
        <v>179</v>
      </c>
      <c r="E92" s="30" t="s">
        <v>179</v>
      </c>
      <c r="F92" s="30" t="s">
        <v>179</v>
      </c>
      <c r="G92" s="30" t="s">
        <v>179</v>
      </c>
      <c r="H92" s="30" t="s">
        <v>179</v>
      </c>
      <c r="I92" s="30" t="s">
        <v>179</v>
      </c>
      <c r="J92" s="30" t="s">
        <v>179</v>
      </c>
      <c r="K92" s="30" t="s">
        <v>179</v>
      </c>
      <c r="L92" s="30" t="s">
        <v>179</v>
      </c>
      <c r="M92" s="30" t="s">
        <v>179</v>
      </c>
      <c r="N92" s="30" t="s">
        <v>179</v>
      </c>
      <c r="O92" s="30" t="s">
        <v>179</v>
      </c>
      <c r="P92" s="30" t="s">
        <v>179</v>
      </c>
      <c r="Q92" s="30" t="s">
        <v>179</v>
      </c>
      <c r="R92" s="30" t="s">
        <v>179</v>
      </c>
      <c r="S92" s="30" t="s">
        <v>179</v>
      </c>
      <c r="T92" s="30" t="s">
        <v>179</v>
      </c>
      <c r="U92" s="30" t="s">
        <v>179</v>
      </c>
      <c r="V92" s="30" t="s">
        <v>179</v>
      </c>
      <c r="W92" s="30" t="s">
        <v>179</v>
      </c>
      <c r="X92" s="30" t="s">
        <v>179</v>
      </c>
      <c r="Y92" s="30" t="s">
        <v>179</v>
      </c>
      <c r="Z92" s="30" t="s">
        <v>179</v>
      </c>
      <c r="AA92" s="30" t="s">
        <v>179</v>
      </c>
      <c r="AB92" s="30" t="s">
        <v>179</v>
      </c>
      <c r="AC92" s="33" t="s">
        <v>179</v>
      </c>
    </row>
    <row r="93" spans="2:29" x14ac:dyDescent="0.6">
      <c r="B93" s="53"/>
      <c r="C93" s="39" t="s">
        <v>173</v>
      </c>
      <c r="D93" s="45" t="s">
        <v>179</v>
      </c>
      <c r="E93" s="30" t="s">
        <v>179</v>
      </c>
      <c r="F93" s="30" t="s">
        <v>179</v>
      </c>
      <c r="G93" s="30" t="s">
        <v>179</v>
      </c>
      <c r="H93" s="30" t="s">
        <v>179</v>
      </c>
      <c r="I93" s="30" t="s">
        <v>179</v>
      </c>
      <c r="J93" s="30" t="s">
        <v>179</v>
      </c>
      <c r="K93" s="30" t="s">
        <v>179</v>
      </c>
      <c r="L93" s="30" t="s">
        <v>179</v>
      </c>
      <c r="M93" s="30" t="s">
        <v>179</v>
      </c>
      <c r="N93" s="30" t="s">
        <v>179</v>
      </c>
      <c r="O93" s="30" t="s">
        <v>179</v>
      </c>
      <c r="P93" s="30" t="s">
        <v>179</v>
      </c>
      <c r="Q93" s="30" t="s">
        <v>179</v>
      </c>
      <c r="R93" s="30" t="s">
        <v>179</v>
      </c>
      <c r="S93" s="30" t="s">
        <v>179</v>
      </c>
      <c r="T93" s="30" t="s">
        <v>179</v>
      </c>
      <c r="U93" s="30" t="s">
        <v>179</v>
      </c>
      <c r="V93" s="30" t="s">
        <v>179</v>
      </c>
      <c r="W93" s="30" t="s">
        <v>179</v>
      </c>
      <c r="X93" s="30" t="s">
        <v>179</v>
      </c>
      <c r="Y93" s="30" t="s">
        <v>179</v>
      </c>
      <c r="Z93" s="30" t="s">
        <v>179</v>
      </c>
      <c r="AA93" s="30" t="s">
        <v>179</v>
      </c>
      <c r="AB93" s="30" t="s">
        <v>179</v>
      </c>
      <c r="AC93" s="33" t="s">
        <v>179</v>
      </c>
    </row>
    <row r="94" spans="2:29" x14ac:dyDescent="0.6">
      <c r="B94" s="53"/>
      <c r="C94" s="39" t="s">
        <v>174</v>
      </c>
      <c r="D94" s="45" t="s">
        <v>179</v>
      </c>
      <c r="E94" s="30" t="s">
        <v>179</v>
      </c>
      <c r="F94" s="30" t="s">
        <v>179</v>
      </c>
      <c r="G94" s="30" t="s">
        <v>179</v>
      </c>
      <c r="H94" s="30" t="s">
        <v>179</v>
      </c>
      <c r="I94" s="30" t="s">
        <v>179</v>
      </c>
      <c r="J94" s="30" t="s">
        <v>179</v>
      </c>
      <c r="K94" s="30" t="s">
        <v>179</v>
      </c>
      <c r="L94" s="30" t="s">
        <v>179</v>
      </c>
      <c r="M94" s="30" t="s">
        <v>179</v>
      </c>
      <c r="N94" s="30" t="s">
        <v>179</v>
      </c>
      <c r="O94" s="30" t="s">
        <v>179</v>
      </c>
      <c r="P94" s="30" t="s">
        <v>179</v>
      </c>
      <c r="Q94" s="30" t="s">
        <v>179</v>
      </c>
      <c r="R94" s="30" t="s">
        <v>179</v>
      </c>
      <c r="S94" s="30" t="s">
        <v>179</v>
      </c>
      <c r="T94" s="30" t="s">
        <v>179</v>
      </c>
      <c r="U94" s="30" t="s">
        <v>179</v>
      </c>
      <c r="V94" s="30" t="s">
        <v>179</v>
      </c>
      <c r="W94" s="30" t="s">
        <v>179</v>
      </c>
      <c r="X94" s="30" t="s">
        <v>179</v>
      </c>
      <c r="Y94" s="30" t="s">
        <v>179</v>
      </c>
      <c r="Z94" s="30" t="s">
        <v>179</v>
      </c>
      <c r="AA94" s="30" t="s">
        <v>179</v>
      </c>
      <c r="AB94" s="30" t="s">
        <v>179</v>
      </c>
      <c r="AC94" s="33" t="s">
        <v>179</v>
      </c>
    </row>
    <row r="95" spans="2:29" x14ac:dyDescent="0.6">
      <c r="B95" s="53"/>
      <c r="C95" s="39" t="s">
        <v>175</v>
      </c>
      <c r="D95" s="45" t="s">
        <v>179</v>
      </c>
      <c r="E95" s="30" t="s">
        <v>179</v>
      </c>
      <c r="F95" s="30" t="s">
        <v>179</v>
      </c>
      <c r="G95" s="30" t="s">
        <v>179</v>
      </c>
      <c r="H95" s="30" t="s">
        <v>179</v>
      </c>
      <c r="I95" s="30" t="s">
        <v>179</v>
      </c>
      <c r="J95" s="30" t="s">
        <v>179</v>
      </c>
      <c r="K95" s="30" t="s">
        <v>179</v>
      </c>
      <c r="L95" s="30" t="s">
        <v>179</v>
      </c>
      <c r="M95" s="30" t="s">
        <v>179</v>
      </c>
      <c r="N95" s="30" t="s">
        <v>179</v>
      </c>
      <c r="O95" s="30" t="s">
        <v>179</v>
      </c>
      <c r="P95" s="30" t="s">
        <v>179</v>
      </c>
      <c r="Q95" s="30" t="s">
        <v>179</v>
      </c>
      <c r="R95" s="30" t="s">
        <v>179</v>
      </c>
      <c r="S95" s="30" t="s">
        <v>179</v>
      </c>
      <c r="T95" s="30" t="s">
        <v>179</v>
      </c>
      <c r="U95" s="30" t="s">
        <v>179</v>
      </c>
      <c r="V95" s="30" t="s">
        <v>179</v>
      </c>
      <c r="W95" s="30" t="s">
        <v>179</v>
      </c>
      <c r="X95" s="30" t="s">
        <v>179</v>
      </c>
      <c r="Y95" s="30" t="s">
        <v>179</v>
      </c>
      <c r="Z95" s="30" t="s">
        <v>179</v>
      </c>
      <c r="AA95" s="30" t="s">
        <v>179</v>
      </c>
      <c r="AB95" s="30" t="s">
        <v>179</v>
      </c>
      <c r="AC95" s="33" t="s">
        <v>179</v>
      </c>
    </row>
    <row r="96" spans="2:29" x14ac:dyDescent="0.6">
      <c r="B96" s="53"/>
      <c r="C96" s="39" t="s">
        <v>176</v>
      </c>
      <c r="D96" s="45" t="s">
        <v>179</v>
      </c>
      <c r="E96" s="30" t="s">
        <v>179</v>
      </c>
      <c r="F96" s="30" t="s">
        <v>179</v>
      </c>
      <c r="G96" s="30" t="s">
        <v>179</v>
      </c>
      <c r="H96" s="30" t="s">
        <v>179</v>
      </c>
      <c r="I96" s="30" t="s">
        <v>179</v>
      </c>
      <c r="J96" s="30" t="s">
        <v>179</v>
      </c>
      <c r="K96" s="30" t="s">
        <v>179</v>
      </c>
      <c r="L96" s="30" t="s">
        <v>179</v>
      </c>
      <c r="M96" s="30" t="s">
        <v>179</v>
      </c>
      <c r="N96" s="30" t="s">
        <v>179</v>
      </c>
      <c r="O96" s="30" t="s">
        <v>179</v>
      </c>
      <c r="P96" s="30" t="s">
        <v>179</v>
      </c>
      <c r="Q96" s="30" t="s">
        <v>179</v>
      </c>
      <c r="R96" s="30" t="s">
        <v>179</v>
      </c>
      <c r="S96" s="30" t="s">
        <v>179</v>
      </c>
      <c r="T96" s="30" t="s">
        <v>179</v>
      </c>
      <c r="U96" s="30" t="s">
        <v>179</v>
      </c>
      <c r="V96" s="30" t="s">
        <v>179</v>
      </c>
      <c r="W96" s="30" t="s">
        <v>179</v>
      </c>
      <c r="X96" s="30" t="s">
        <v>179</v>
      </c>
      <c r="Y96" s="30" t="s">
        <v>179</v>
      </c>
      <c r="Z96" s="30" t="s">
        <v>179</v>
      </c>
      <c r="AA96" s="30" t="s">
        <v>179</v>
      </c>
      <c r="AB96" s="30" t="s">
        <v>179</v>
      </c>
      <c r="AC96" s="33" t="s">
        <v>179</v>
      </c>
    </row>
    <row r="97" spans="2:29" x14ac:dyDescent="0.6">
      <c r="B97" s="53"/>
      <c r="C97" s="39" t="s">
        <v>177</v>
      </c>
      <c r="D97" s="45" t="s">
        <v>179</v>
      </c>
      <c r="E97" s="30" t="s">
        <v>179</v>
      </c>
      <c r="F97" s="30" t="s">
        <v>179</v>
      </c>
      <c r="G97" s="30" t="s">
        <v>179</v>
      </c>
      <c r="H97" s="30" t="s">
        <v>179</v>
      </c>
      <c r="I97" s="30" t="s">
        <v>179</v>
      </c>
      <c r="J97" s="30" t="s">
        <v>179</v>
      </c>
      <c r="K97" s="30" t="s">
        <v>179</v>
      </c>
      <c r="L97" s="30" t="s">
        <v>179</v>
      </c>
      <c r="M97" s="30" t="s">
        <v>179</v>
      </c>
      <c r="N97" s="30" t="s">
        <v>179</v>
      </c>
      <c r="O97" s="30" t="s">
        <v>179</v>
      </c>
      <c r="P97" s="30" t="s">
        <v>179</v>
      </c>
      <c r="Q97" s="30" t="s">
        <v>179</v>
      </c>
      <c r="R97" s="30" t="s">
        <v>179</v>
      </c>
      <c r="S97" s="30" t="s">
        <v>179</v>
      </c>
      <c r="T97" s="30" t="s">
        <v>179</v>
      </c>
      <c r="U97" s="30" t="s">
        <v>179</v>
      </c>
      <c r="V97" s="30" t="s">
        <v>179</v>
      </c>
      <c r="W97" s="30" t="s">
        <v>179</v>
      </c>
      <c r="X97" s="30" t="s">
        <v>179</v>
      </c>
      <c r="Y97" s="30" t="s">
        <v>179</v>
      </c>
      <c r="Z97" s="30" t="s">
        <v>179</v>
      </c>
      <c r="AA97" s="30" t="s">
        <v>179</v>
      </c>
      <c r="AB97" s="30" t="s">
        <v>179</v>
      </c>
      <c r="AC97" s="33" t="s">
        <v>179</v>
      </c>
    </row>
    <row r="98" spans="2:29" ht="17.25" thickBot="1" x14ac:dyDescent="0.65">
      <c r="B98" s="54"/>
      <c r="C98" s="40" t="s">
        <v>178</v>
      </c>
      <c r="D98" s="46" t="s">
        <v>179</v>
      </c>
      <c r="E98" s="34" t="s">
        <v>179</v>
      </c>
      <c r="F98" s="34" t="s">
        <v>179</v>
      </c>
      <c r="G98" s="34" t="s">
        <v>179</v>
      </c>
      <c r="H98" s="34" t="s">
        <v>179</v>
      </c>
      <c r="I98" s="34" t="s">
        <v>179</v>
      </c>
      <c r="J98" s="34" t="s">
        <v>179</v>
      </c>
      <c r="K98" s="34" t="s">
        <v>179</v>
      </c>
      <c r="L98" s="34" t="s">
        <v>179</v>
      </c>
      <c r="M98" s="34" t="s">
        <v>179</v>
      </c>
      <c r="N98" s="34" t="s">
        <v>179</v>
      </c>
      <c r="O98" s="34" t="s">
        <v>179</v>
      </c>
      <c r="P98" s="34" t="s">
        <v>179</v>
      </c>
      <c r="Q98" s="34" t="s">
        <v>179</v>
      </c>
      <c r="R98" s="34" t="s">
        <v>179</v>
      </c>
      <c r="S98" s="34" t="s">
        <v>179</v>
      </c>
      <c r="T98" s="34" t="s">
        <v>179</v>
      </c>
      <c r="U98" s="34" t="s">
        <v>179</v>
      </c>
      <c r="V98" s="34" t="s">
        <v>179</v>
      </c>
      <c r="W98" s="34" t="s">
        <v>179</v>
      </c>
      <c r="X98" s="34" t="s">
        <v>179</v>
      </c>
      <c r="Y98" s="34" t="s">
        <v>179</v>
      </c>
      <c r="Z98" s="34" t="s">
        <v>179</v>
      </c>
      <c r="AA98" s="34" t="s">
        <v>179</v>
      </c>
      <c r="AB98" s="34" t="s">
        <v>179</v>
      </c>
      <c r="AC98" s="35" t="s">
        <v>179</v>
      </c>
    </row>
    <row r="99" spans="2:29" x14ac:dyDescent="0.6"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2:29" x14ac:dyDescent="0.6"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2:29" x14ac:dyDescent="0.6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2:29" x14ac:dyDescent="0.6"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2:29" x14ac:dyDescent="0.6"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2:29" x14ac:dyDescent="0.6"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2:29" x14ac:dyDescent="0.6"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2:29" x14ac:dyDescent="0.6"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2:29" x14ac:dyDescent="0.6"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2:29" x14ac:dyDescent="0.6"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2:29" x14ac:dyDescent="0.6"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2:29" x14ac:dyDescent="0.6"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2:29" x14ac:dyDescent="0.6"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2:29" x14ac:dyDescent="0.6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4:28" x14ac:dyDescent="0.6"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4:28" x14ac:dyDescent="0.6"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4:28" x14ac:dyDescent="0.6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4:28" x14ac:dyDescent="0.6"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4:28" x14ac:dyDescent="0.6"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4:28" x14ac:dyDescent="0.6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4:28" x14ac:dyDescent="0.6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4:28" x14ac:dyDescent="0.6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</sheetData>
  <mergeCells count="2">
    <mergeCell ref="B3:B50"/>
    <mergeCell ref="B51:B9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1369-D3F6-40CC-B5C3-2E8BB397A5C4}">
  <dimension ref="B1:AO66"/>
  <sheetViews>
    <sheetView zoomScale="85" zoomScaleNormal="85" workbookViewId="0">
      <selection activeCell="D2" sqref="D2"/>
    </sheetView>
  </sheetViews>
  <sheetFormatPr defaultRowHeight="16.899999999999999" x14ac:dyDescent="0.6"/>
  <cols>
    <col min="1" max="1" width="2.625" style="26" customWidth="1"/>
    <col min="2" max="2" width="5.5" style="26" customWidth="1"/>
    <col min="3" max="3" width="5.5" style="26" bestFit="1" customWidth="1"/>
    <col min="4" max="29" width="6" style="26" bestFit="1" customWidth="1"/>
    <col min="30" max="30" width="4.625" style="26" customWidth="1"/>
    <col min="31" max="31" width="8.625" style="26" bestFit="1" customWidth="1"/>
    <col min="32" max="32" width="5.875" style="26" bestFit="1" customWidth="1"/>
    <col min="33" max="38" width="2.625" style="26" customWidth="1"/>
    <col min="39" max="16384" width="9" style="26"/>
  </cols>
  <sheetData>
    <row r="1" spans="2:41" ht="17.25" thickBot="1" x14ac:dyDescent="0.65"/>
    <row r="2" spans="2:41" ht="17.25" thickBot="1" x14ac:dyDescent="0.65">
      <c r="D2" s="27" t="s">
        <v>160</v>
      </c>
      <c r="E2" s="28" t="s">
        <v>63</v>
      </c>
      <c r="F2" s="28" t="s">
        <v>64</v>
      </c>
      <c r="G2" s="28" t="s">
        <v>65</v>
      </c>
      <c r="H2" s="28" t="s">
        <v>66</v>
      </c>
      <c r="I2" s="28" t="s">
        <v>67</v>
      </c>
      <c r="J2" s="28" t="s">
        <v>68</v>
      </c>
      <c r="K2" s="28" t="s">
        <v>69</v>
      </c>
      <c r="L2" s="28" t="s">
        <v>70</v>
      </c>
      <c r="M2" s="28" t="s">
        <v>71</v>
      </c>
      <c r="N2" s="28" t="s">
        <v>72</v>
      </c>
      <c r="O2" s="28" t="s">
        <v>73</v>
      </c>
      <c r="P2" s="28" t="s">
        <v>74</v>
      </c>
      <c r="Q2" s="28" t="s">
        <v>75</v>
      </c>
      <c r="R2" s="28" t="s">
        <v>76</v>
      </c>
      <c r="S2" s="28" t="s">
        <v>77</v>
      </c>
      <c r="T2" s="28" t="s">
        <v>78</v>
      </c>
      <c r="U2" s="28" t="s">
        <v>79</v>
      </c>
      <c r="V2" s="28" t="s">
        <v>80</v>
      </c>
      <c r="W2" s="28" t="s">
        <v>81</v>
      </c>
      <c r="X2" s="28" t="s">
        <v>82</v>
      </c>
      <c r="Y2" s="28" t="s">
        <v>83</v>
      </c>
      <c r="Z2" s="28" t="s">
        <v>84</v>
      </c>
      <c r="AA2" s="28" t="s">
        <v>85</v>
      </c>
      <c r="AB2" s="28" t="s">
        <v>86</v>
      </c>
      <c r="AC2" s="29" t="s">
        <v>87</v>
      </c>
    </row>
    <row r="3" spans="2:41" x14ac:dyDescent="0.6">
      <c r="B3" s="55" t="s">
        <v>180</v>
      </c>
      <c r="C3" s="38" t="s">
        <v>185</v>
      </c>
      <c r="D3" s="48">
        <v>0</v>
      </c>
      <c r="E3" s="31">
        <v>1</v>
      </c>
      <c r="F3" s="31">
        <v>2</v>
      </c>
      <c r="G3" s="31">
        <v>3</v>
      </c>
      <c r="H3" s="44">
        <v>4</v>
      </c>
      <c r="I3" s="31">
        <v>5</v>
      </c>
      <c r="J3" s="31">
        <v>6</v>
      </c>
      <c r="K3" s="31">
        <v>7</v>
      </c>
      <c r="L3" s="44">
        <v>8</v>
      </c>
      <c r="M3" s="31">
        <v>9</v>
      </c>
      <c r="N3" s="31">
        <v>10</v>
      </c>
      <c r="O3" s="31">
        <v>11</v>
      </c>
      <c r="P3" s="44">
        <v>12</v>
      </c>
      <c r="Q3" s="31">
        <v>13</v>
      </c>
      <c r="R3" s="31">
        <v>14</v>
      </c>
      <c r="S3" s="31">
        <v>15</v>
      </c>
      <c r="T3" s="44">
        <v>16</v>
      </c>
      <c r="U3" s="31">
        <v>17</v>
      </c>
      <c r="V3" s="31">
        <v>18</v>
      </c>
      <c r="W3" s="31">
        <v>19</v>
      </c>
      <c r="X3" s="44">
        <v>20</v>
      </c>
      <c r="Y3" s="31">
        <v>21</v>
      </c>
      <c r="Z3" s="31">
        <v>22</v>
      </c>
      <c r="AA3" s="31">
        <v>23</v>
      </c>
      <c r="AB3" s="44">
        <v>24</v>
      </c>
      <c r="AC3" s="32">
        <v>25</v>
      </c>
      <c r="AE3" s="26" t="s">
        <v>183</v>
      </c>
      <c r="AF3" s="26">
        <v>2028</v>
      </c>
      <c r="AM3" s="26" t="s">
        <v>201</v>
      </c>
      <c r="AN3" s="26" t="s">
        <v>202</v>
      </c>
      <c r="AO3" s="26" t="s">
        <v>203</v>
      </c>
    </row>
    <row r="4" spans="2:41" x14ac:dyDescent="0.6">
      <c r="B4" s="56"/>
      <c r="C4" s="39" t="s">
        <v>186</v>
      </c>
      <c r="D4" s="49">
        <f>D3+26</f>
        <v>26</v>
      </c>
      <c r="E4" s="30">
        <f t="shared" ref="E4:AC4" si="0">E3+26</f>
        <v>27</v>
      </c>
      <c r="F4" s="30">
        <f t="shared" si="0"/>
        <v>28</v>
      </c>
      <c r="G4" s="30">
        <f t="shared" si="0"/>
        <v>29</v>
      </c>
      <c r="H4" s="30">
        <f t="shared" si="0"/>
        <v>30</v>
      </c>
      <c r="I4" s="30">
        <f t="shared" si="0"/>
        <v>31</v>
      </c>
      <c r="J4" s="30">
        <f t="shared" si="0"/>
        <v>32</v>
      </c>
      <c r="K4" s="30">
        <f t="shared" si="0"/>
        <v>33</v>
      </c>
      <c r="L4" s="30">
        <f t="shared" si="0"/>
        <v>34</v>
      </c>
      <c r="M4" s="30">
        <f t="shared" si="0"/>
        <v>35</v>
      </c>
      <c r="N4" s="30">
        <f t="shared" si="0"/>
        <v>36</v>
      </c>
      <c r="O4" s="30">
        <f t="shared" si="0"/>
        <v>37</v>
      </c>
      <c r="P4" s="30">
        <f t="shared" si="0"/>
        <v>38</v>
      </c>
      <c r="Q4" s="30">
        <f t="shared" si="0"/>
        <v>39</v>
      </c>
      <c r="R4" s="30">
        <f t="shared" si="0"/>
        <v>40</v>
      </c>
      <c r="S4" s="30">
        <f t="shared" si="0"/>
        <v>41</v>
      </c>
      <c r="T4" s="30">
        <f t="shared" si="0"/>
        <v>42</v>
      </c>
      <c r="U4" s="30">
        <f t="shared" si="0"/>
        <v>43</v>
      </c>
      <c r="V4" s="30">
        <f t="shared" si="0"/>
        <v>44</v>
      </c>
      <c r="W4" s="30">
        <f t="shared" si="0"/>
        <v>45</v>
      </c>
      <c r="X4" s="30">
        <f t="shared" si="0"/>
        <v>46</v>
      </c>
      <c r="Y4" s="30">
        <f t="shared" si="0"/>
        <v>47</v>
      </c>
      <c r="Z4" s="30">
        <f t="shared" si="0"/>
        <v>48</v>
      </c>
      <c r="AA4" s="30">
        <f t="shared" si="0"/>
        <v>49</v>
      </c>
      <c r="AB4" s="30">
        <f t="shared" si="0"/>
        <v>50</v>
      </c>
      <c r="AC4" s="33">
        <f t="shared" si="0"/>
        <v>51</v>
      </c>
      <c r="AM4" s="26">
        <v>1</v>
      </c>
      <c r="AN4" s="26">
        <f>MOD(AM4-1, 26)</f>
        <v>0</v>
      </c>
      <c r="AO4" s="26">
        <f>QUOTIENT(AM4-1, 26)</f>
        <v>0</v>
      </c>
    </row>
    <row r="5" spans="2:41" x14ac:dyDescent="0.6">
      <c r="B5" s="56"/>
      <c r="C5" s="39" t="s">
        <v>187</v>
      </c>
      <c r="D5" s="49">
        <f t="shared" ref="D5:D28" si="1">D4+26</f>
        <v>52</v>
      </c>
      <c r="E5" s="30">
        <f t="shared" ref="E5:E28" si="2">E4+26</f>
        <v>53</v>
      </c>
      <c r="F5" s="30">
        <f t="shared" ref="F5:F28" si="3">F4+26</f>
        <v>54</v>
      </c>
      <c r="G5" s="30">
        <f t="shared" ref="G5:G28" si="4">G4+26</f>
        <v>55</v>
      </c>
      <c r="H5" s="30">
        <f t="shared" ref="H5:H28" si="5">H4+26</f>
        <v>56</v>
      </c>
      <c r="I5" s="30">
        <f t="shared" ref="I5:I28" si="6">I4+26</f>
        <v>57</v>
      </c>
      <c r="J5" s="30">
        <f t="shared" ref="J5:J28" si="7">J4+26</f>
        <v>58</v>
      </c>
      <c r="K5" s="30">
        <f t="shared" ref="K5:K28" si="8">K4+26</f>
        <v>59</v>
      </c>
      <c r="L5" s="30">
        <f t="shared" ref="L5:L28" si="9">L4+26</f>
        <v>60</v>
      </c>
      <c r="M5" s="30">
        <f t="shared" ref="M5:M28" si="10">M4+26</f>
        <v>61</v>
      </c>
      <c r="N5" s="30">
        <f t="shared" ref="N5:N28" si="11">N4+26</f>
        <v>62</v>
      </c>
      <c r="O5" s="30">
        <f t="shared" ref="O5:O28" si="12">O4+26</f>
        <v>63</v>
      </c>
      <c r="P5" s="30">
        <f t="shared" ref="P5:P28" si="13">P4+26</f>
        <v>64</v>
      </c>
      <c r="Q5" s="30">
        <f t="shared" ref="Q5:Q28" si="14">Q4+26</f>
        <v>65</v>
      </c>
      <c r="R5" s="30">
        <f t="shared" ref="R5:R28" si="15">R4+26</f>
        <v>66</v>
      </c>
      <c r="S5" s="30">
        <f t="shared" ref="S5:S28" si="16">S4+26</f>
        <v>67</v>
      </c>
      <c r="T5" s="30">
        <f t="shared" ref="T5:T28" si="17">T4+26</f>
        <v>68</v>
      </c>
      <c r="U5" s="30">
        <f t="shared" ref="U5:U28" si="18">U4+26</f>
        <v>69</v>
      </c>
      <c r="V5" s="30">
        <f t="shared" ref="V5:V28" si="19">V4+26</f>
        <v>70</v>
      </c>
      <c r="W5" s="30">
        <f t="shared" ref="W5:W28" si="20">W4+26</f>
        <v>71</v>
      </c>
      <c r="X5" s="30">
        <f t="shared" ref="X5:X28" si="21">X4+26</f>
        <v>72</v>
      </c>
      <c r="Y5" s="30">
        <f t="shared" ref="Y5:Y28" si="22">Y4+26</f>
        <v>73</v>
      </c>
      <c r="Z5" s="30">
        <f t="shared" ref="Z5:Z28" si="23">Z4+26</f>
        <v>74</v>
      </c>
      <c r="AA5" s="30">
        <f t="shared" ref="AA5:AA28" si="24">AA4+26</f>
        <v>75</v>
      </c>
      <c r="AB5" s="30">
        <f t="shared" ref="AB5:AB28" si="25">AB4+26</f>
        <v>76</v>
      </c>
      <c r="AC5" s="33">
        <f t="shared" ref="AC5:AC28" si="26">AC4+26</f>
        <v>77</v>
      </c>
      <c r="AE5" s="26" t="s">
        <v>184</v>
      </c>
      <c r="AF5" s="26">
        <f>AF3/3</f>
        <v>676</v>
      </c>
      <c r="AM5" s="26">
        <v>2</v>
      </c>
      <c r="AN5" s="26">
        <f t="shared" ref="AN5:AN66" si="27">MOD(AM5-1, 26)</f>
        <v>1</v>
      </c>
      <c r="AO5" s="26">
        <f t="shared" ref="AO5:AO66" si="28">QUOTIENT(AM5-1, 26)</f>
        <v>0</v>
      </c>
    </row>
    <row r="6" spans="2:41" x14ac:dyDescent="0.6">
      <c r="B6" s="56"/>
      <c r="C6" s="39" t="s">
        <v>188</v>
      </c>
      <c r="D6" s="49">
        <f t="shared" si="1"/>
        <v>78</v>
      </c>
      <c r="E6" s="30">
        <f t="shared" si="2"/>
        <v>79</v>
      </c>
      <c r="F6" s="30">
        <f t="shared" si="3"/>
        <v>80</v>
      </c>
      <c r="G6" s="30">
        <f t="shared" si="4"/>
        <v>81</v>
      </c>
      <c r="H6" s="30">
        <f t="shared" si="5"/>
        <v>82</v>
      </c>
      <c r="I6" s="30">
        <f t="shared" si="6"/>
        <v>83</v>
      </c>
      <c r="J6" s="30">
        <f t="shared" si="7"/>
        <v>84</v>
      </c>
      <c r="K6" s="30">
        <f t="shared" si="8"/>
        <v>85</v>
      </c>
      <c r="L6" s="30">
        <f t="shared" si="9"/>
        <v>86</v>
      </c>
      <c r="M6" s="30">
        <f t="shared" si="10"/>
        <v>87</v>
      </c>
      <c r="N6" s="30">
        <f t="shared" si="11"/>
        <v>88</v>
      </c>
      <c r="O6" s="30">
        <f t="shared" si="12"/>
        <v>89</v>
      </c>
      <c r="P6" s="30">
        <f t="shared" si="13"/>
        <v>90</v>
      </c>
      <c r="Q6" s="30">
        <f t="shared" si="14"/>
        <v>91</v>
      </c>
      <c r="R6" s="30">
        <f t="shared" si="15"/>
        <v>92</v>
      </c>
      <c r="S6" s="30">
        <f t="shared" si="16"/>
        <v>93</v>
      </c>
      <c r="T6" s="30">
        <f t="shared" si="17"/>
        <v>94</v>
      </c>
      <c r="U6" s="30">
        <f t="shared" si="18"/>
        <v>95</v>
      </c>
      <c r="V6" s="30">
        <f t="shared" si="19"/>
        <v>96</v>
      </c>
      <c r="W6" s="30">
        <f t="shared" si="20"/>
        <v>97</v>
      </c>
      <c r="X6" s="30">
        <f t="shared" si="21"/>
        <v>98</v>
      </c>
      <c r="Y6" s="30">
        <f t="shared" si="22"/>
        <v>99</v>
      </c>
      <c r="Z6" s="30">
        <f t="shared" si="23"/>
        <v>100</v>
      </c>
      <c r="AA6" s="30">
        <f t="shared" si="24"/>
        <v>101</v>
      </c>
      <c r="AB6" s="30">
        <f t="shared" si="25"/>
        <v>102</v>
      </c>
      <c r="AC6" s="33">
        <f t="shared" si="26"/>
        <v>103</v>
      </c>
      <c r="AM6" s="26">
        <v>3</v>
      </c>
      <c r="AN6" s="26">
        <f t="shared" si="27"/>
        <v>2</v>
      </c>
      <c r="AO6" s="26">
        <f t="shared" si="28"/>
        <v>0</v>
      </c>
    </row>
    <row r="7" spans="2:41" x14ac:dyDescent="0.6">
      <c r="B7" s="56"/>
      <c r="C7" s="39" t="s">
        <v>189</v>
      </c>
      <c r="D7" s="49">
        <f t="shared" si="1"/>
        <v>104</v>
      </c>
      <c r="E7" s="30">
        <f t="shared" si="2"/>
        <v>105</v>
      </c>
      <c r="F7" s="30">
        <f t="shared" si="3"/>
        <v>106</v>
      </c>
      <c r="G7" s="30">
        <f t="shared" si="4"/>
        <v>107</v>
      </c>
      <c r="H7" s="30">
        <f t="shared" si="5"/>
        <v>108</v>
      </c>
      <c r="I7" s="30">
        <f t="shared" si="6"/>
        <v>109</v>
      </c>
      <c r="J7" s="30">
        <f t="shared" si="7"/>
        <v>110</v>
      </c>
      <c r="K7" s="30">
        <f t="shared" si="8"/>
        <v>111</v>
      </c>
      <c r="L7" s="30">
        <f t="shared" si="9"/>
        <v>112</v>
      </c>
      <c r="M7" s="30">
        <f t="shared" si="10"/>
        <v>113</v>
      </c>
      <c r="N7" s="30">
        <f t="shared" si="11"/>
        <v>114</v>
      </c>
      <c r="O7" s="30">
        <f t="shared" si="12"/>
        <v>115</v>
      </c>
      <c r="P7" s="30">
        <f t="shared" si="13"/>
        <v>116</v>
      </c>
      <c r="Q7" s="30">
        <f t="shared" si="14"/>
        <v>117</v>
      </c>
      <c r="R7" s="30">
        <f t="shared" si="15"/>
        <v>118</v>
      </c>
      <c r="S7" s="30">
        <f t="shared" si="16"/>
        <v>119</v>
      </c>
      <c r="T7" s="30">
        <f t="shared" si="17"/>
        <v>120</v>
      </c>
      <c r="U7" s="30">
        <f t="shared" si="18"/>
        <v>121</v>
      </c>
      <c r="V7" s="30">
        <f t="shared" si="19"/>
        <v>122</v>
      </c>
      <c r="W7" s="30">
        <f t="shared" si="20"/>
        <v>123</v>
      </c>
      <c r="X7" s="30">
        <f t="shared" si="21"/>
        <v>124</v>
      </c>
      <c r="Y7" s="30">
        <f t="shared" si="22"/>
        <v>125</v>
      </c>
      <c r="Z7" s="30">
        <f t="shared" si="23"/>
        <v>126</v>
      </c>
      <c r="AA7" s="30">
        <f t="shared" si="24"/>
        <v>127</v>
      </c>
      <c r="AB7" s="30">
        <f t="shared" si="25"/>
        <v>128</v>
      </c>
      <c r="AC7" s="33">
        <f t="shared" si="26"/>
        <v>129</v>
      </c>
      <c r="AM7" s="26">
        <v>4</v>
      </c>
      <c r="AN7" s="26">
        <f t="shared" si="27"/>
        <v>3</v>
      </c>
      <c r="AO7" s="26">
        <f t="shared" si="28"/>
        <v>0</v>
      </c>
    </row>
    <row r="8" spans="2:41" x14ac:dyDescent="0.6">
      <c r="B8" s="56"/>
      <c r="C8" s="39" t="s">
        <v>190</v>
      </c>
      <c r="D8" s="49">
        <f t="shared" si="1"/>
        <v>130</v>
      </c>
      <c r="E8" s="30">
        <f t="shared" si="2"/>
        <v>131</v>
      </c>
      <c r="F8" s="30">
        <f t="shared" si="3"/>
        <v>132</v>
      </c>
      <c r="G8" s="30">
        <f t="shared" si="4"/>
        <v>133</v>
      </c>
      <c r="H8" s="30">
        <f t="shared" si="5"/>
        <v>134</v>
      </c>
      <c r="I8" s="30">
        <f t="shared" si="6"/>
        <v>135</v>
      </c>
      <c r="J8" s="30">
        <f t="shared" si="7"/>
        <v>136</v>
      </c>
      <c r="K8" s="30">
        <f t="shared" si="8"/>
        <v>137</v>
      </c>
      <c r="L8" s="30">
        <f t="shared" si="9"/>
        <v>138</v>
      </c>
      <c r="M8" s="30">
        <f t="shared" si="10"/>
        <v>139</v>
      </c>
      <c r="N8" s="30">
        <f t="shared" si="11"/>
        <v>140</v>
      </c>
      <c r="O8" s="30">
        <f t="shared" si="12"/>
        <v>141</v>
      </c>
      <c r="P8" s="30">
        <f t="shared" si="13"/>
        <v>142</v>
      </c>
      <c r="Q8" s="30">
        <f t="shared" si="14"/>
        <v>143</v>
      </c>
      <c r="R8" s="30">
        <f t="shared" si="15"/>
        <v>144</v>
      </c>
      <c r="S8" s="30">
        <f t="shared" si="16"/>
        <v>145</v>
      </c>
      <c r="T8" s="30">
        <f t="shared" si="17"/>
        <v>146</v>
      </c>
      <c r="U8" s="30">
        <f t="shared" si="18"/>
        <v>147</v>
      </c>
      <c r="V8" s="30">
        <f t="shared" si="19"/>
        <v>148</v>
      </c>
      <c r="W8" s="30">
        <f t="shared" si="20"/>
        <v>149</v>
      </c>
      <c r="X8" s="30">
        <f t="shared" si="21"/>
        <v>150</v>
      </c>
      <c r="Y8" s="30">
        <f t="shared" si="22"/>
        <v>151</v>
      </c>
      <c r="Z8" s="30">
        <f t="shared" si="23"/>
        <v>152</v>
      </c>
      <c r="AA8" s="30">
        <f t="shared" si="24"/>
        <v>153</v>
      </c>
      <c r="AB8" s="30">
        <f t="shared" si="25"/>
        <v>154</v>
      </c>
      <c r="AC8" s="33">
        <f t="shared" si="26"/>
        <v>155</v>
      </c>
      <c r="AM8" s="26">
        <v>5</v>
      </c>
      <c r="AN8" s="26">
        <f t="shared" si="27"/>
        <v>4</v>
      </c>
      <c r="AO8" s="26">
        <f t="shared" si="28"/>
        <v>0</v>
      </c>
    </row>
    <row r="9" spans="2:41" x14ac:dyDescent="0.6">
      <c r="B9" s="56"/>
      <c r="C9" s="39" t="s">
        <v>191</v>
      </c>
      <c r="D9" s="49">
        <f t="shared" si="1"/>
        <v>156</v>
      </c>
      <c r="E9" s="30">
        <f t="shared" si="2"/>
        <v>157</v>
      </c>
      <c r="F9" s="30">
        <f t="shared" si="3"/>
        <v>158</v>
      </c>
      <c r="G9" s="30">
        <f t="shared" si="4"/>
        <v>159</v>
      </c>
      <c r="H9" s="30">
        <f t="shared" si="5"/>
        <v>160</v>
      </c>
      <c r="I9" s="30">
        <f t="shared" si="6"/>
        <v>161</v>
      </c>
      <c r="J9" s="30">
        <f t="shared" si="7"/>
        <v>162</v>
      </c>
      <c r="K9" s="30">
        <f t="shared" si="8"/>
        <v>163</v>
      </c>
      <c r="L9" s="30">
        <f t="shared" si="9"/>
        <v>164</v>
      </c>
      <c r="M9" s="30">
        <f t="shared" si="10"/>
        <v>165</v>
      </c>
      <c r="N9" s="30">
        <f t="shared" si="11"/>
        <v>166</v>
      </c>
      <c r="O9" s="30">
        <f t="shared" si="12"/>
        <v>167</v>
      </c>
      <c r="P9" s="30">
        <f t="shared" si="13"/>
        <v>168</v>
      </c>
      <c r="Q9" s="30">
        <f t="shared" si="14"/>
        <v>169</v>
      </c>
      <c r="R9" s="30">
        <f t="shared" si="15"/>
        <v>170</v>
      </c>
      <c r="S9" s="30">
        <f t="shared" si="16"/>
        <v>171</v>
      </c>
      <c r="T9" s="30">
        <f t="shared" si="17"/>
        <v>172</v>
      </c>
      <c r="U9" s="30">
        <f t="shared" si="18"/>
        <v>173</v>
      </c>
      <c r="V9" s="30">
        <f t="shared" si="19"/>
        <v>174</v>
      </c>
      <c r="W9" s="30">
        <f t="shared" si="20"/>
        <v>175</v>
      </c>
      <c r="X9" s="30">
        <f t="shared" si="21"/>
        <v>176</v>
      </c>
      <c r="Y9" s="30">
        <f t="shared" si="22"/>
        <v>177</v>
      </c>
      <c r="Z9" s="30">
        <f t="shared" si="23"/>
        <v>178</v>
      </c>
      <c r="AA9" s="30">
        <f t="shared" si="24"/>
        <v>179</v>
      </c>
      <c r="AB9" s="30">
        <f t="shared" si="25"/>
        <v>180</v>
      </c>
      <c r="AC9" s="33">
        <f t="shared" si="26"/>
        <v>181</v>
      </c>
      <c r="AM9" s="26">
        <v>6</v>
      </c>
      <c r="AN9" s="26">
        <f t="shared" si="27"/>
        <v>5</v>
      </c>
      <c r="AO9" s="26">
        <f t="shared" si="28"/>
        <v>0</v>
      </c>
    </row>
    <row r="10" spans="2:41" x14ac:dyDescent="0.6">
      <c r="B10" s="56"/>
      <c r="C10" s="39" t="s">
        <v>192</v>
      </c>
      <c r="D10" s="49">
        <f t="shared" si="1"/>
        <v>182</v>
      </c>
      <c r="E10" s="30">
        <f t="shared" si="2"/>
        <v>183</v>
      </c>
      <c r="F10" s="30">
        <f t="shared" si="3"/>
        <v>184</v>
      </c>
      <c r="G10" s="30">
        <f t="shared" si="4"/>
        <v>185</v>
      </c>
      <c r="H10" s="30">
        <f t="shared" si="5"/>
        <v>186</v>
      </c>
      <c r="I10" s="30">
        <f t="shared" si="6"/>
        <v>187</v>
      </c>
      <c r="J10" s="30">
        <f t="shared" si="7"/>
        <v>188</v>
      </c>
      <c r="K10" s="30">
        <f t="shared" si="8"/>
        <v>189</v>
      </c>
      <c r="L10" s="30">
        <f t="shared" si="9"/>
        <v>190</v>
      </c>
      <c r="M10" s="30">
        <f t="shared" si="10"/>
        <v>191</v>
      </c>
      <c r="N10" s="30">
        <f t="shared" si="11"/>
        <v>192</v>
      </c>
      <c r="O10" s="30">
        <f t="shared" si="12"/>
        <v>193</v>
      </c>
      <c r="P10" s="30">
        <f t="shared" si="13"/>
        <v>194</v>
      </c>
      <c r="Q10" s="30">
        <f t="shared" si="14"/>
        <v>195</v>
      </c>
      <c r="R10" s="30">
        <f t="shared" si="15"/>
        <v>196</v>
      </c>
      <c r="S10" s="30">
        <f t="shared" si="16"/>
        <v>197</v>
      </c>
      <c r="T10" s="30">
        <f t="shared" si="17"/>
        <v>198</v>
      </c>
      <c r="U10" s="30">
        <f t="shared" si="18"/>
        <v>199</v>
      </c>
      <c r="V10" s="30">
        <f t="shared" si="19"/>
        <v>200</v>
      </c>
      <c r="W10" s="30">
        <f t="shared" si="20"/>
        <v>201</v>
      </c>
      <c r="X10" s="30">
        <f t="shared" si="21"/>
        <v>202</v>
      </c>
      <c r="Y10" s="30">
        <f t="shared" si="22"/>
        <v>203</v>
      </c>
      <c r="Z10" s="30">
        <f t="shared" si="23"/>
        <v>204</v>
      </c>
      <c r="AA10" s="30">
        <f t="shared" si="24"/>
        <v>205</v>
      </c>
      <c r="AB10" s="30">
        <f t="shared" si="25"/>
        <v>206</v>
      </c>
      <c r="AC10" s="33">
        <f t="shared" si="26"/>
        <v>207</v>
      </c>
      <c r="AM10" s="26">
        <v>7</v>
      </c>
      <c r="AN10" s="26">
        <f t="shared" si="27"/>
        <v>6</v>
      </c>
      <c r="AO10" s="26">
        <f t="shared" si="28"/>
        <v>0</v>
      </c>
    </row>
    <row r="11" spans="2:41" x14ac:dyDescent="0.6">
      <c r="B11" s="56"/>
      <c r="C11" s="39" t="s">
        <v>193</v>
      </c>
      <c r="D11" s="49">
        <f t="shared" si="1"/>
        <v>208</v>
      </c>
      <c r="E11" s="30">
        <f t="shared" si="2"/>
        <v>209</v>
      </c>
      <c r="F11" s="30">
        <f t="shared" si="3"/>
        <v>210</v>
      </c>
      <c r="G11" s="30">
        <f t="shared" si="4"/>
        <v>211</v>
      </c>
      <c r="H11" s="30">
        <f t="shared" si="5"/>
        <v>212</v>
      </c>
      <c r="I11" s="30">
        <f t="shared" si="6"/>
        <v>213</v>
      </c>
      <c r="J11" s="30">
        <f t="shared" si="7"/>
        <v>214</v>
      </c>
      <c r="K11" s="30">
        <f t="shared" si="8"/>
        <v>215</v>
      </c>
      <c r="L11" s="30">
        <f t="shared" si="9"/>
        <v>216</v>
      </c>
      <c r="M11" s="30">
        <f t="shared" si="10"/>
        <v>217</v>
      </c>
      <c r="N11" s="30">
        <f t="shared" si="11"/>
        <v>218</v>
      </c>
      <c r="O11" s="30">
        <f t="shared" si="12"/>
        <v>219</v>
      </c>
      <c r="P11" s="30">
        <f t="shared" si="13"/>
        <v>220</v>
      </c>
      <c r="Q11" s="30">
        <f t="shared" si="14"/>
        <v>221</v>
      </c>
      <c r="R11" s="30">
        <f t="shared" si="15"/>
        <v>222</v>
      </c>
      <c r="S11" s="30">
        <f t="shared" si="16"/>
        <v>223</v>
      </c>
      <c r="T11" s="30">
        <f t="shared" si="17"/>
        <v>224</v>
      </c>
      <c r="U11" s="30">
        <f t="shared" si="18"/>
        <v>225</v>
      </c>
      <c r="V11" s="30">
        <f t="shared" si="19"/>
        <v>226</v>
      </c>
      <c r="W11" s="30">
        <f t="shared" si="20"/>
        <v>227</v>
      </c>
      <c r="X11" s="30">
        <f t="shared" si="21"/>
        <v>228</v>
      </c>
      <c r="Y11" s="30">
        <f t="shared" si="22"/>
        <v>229</v>
      </c>
      <c r="Z11" s="30">
        <f t="shared" si="23"/>
        <v>230</v>
      </c>
      <c r="AA11" s="30">
        <f t="shared" si="24"/>
        <v>231</v>
      </c>
      <c r="AB11" s="30">
        <f t="shared" si="25"/>
        <v>232</v>
      </c>
      <c r="AC11" s="33">
        <f t="shared" si="26"/>
        <v>233</v>
      </c>
      <c r="AM11" s="26">
        <v>8</v>
      </c>
      <c r="AN11" s="26">
        <f t="shared" si="27"/>
        <v>7</v>
      </c>
      <c r="AO11" s="26">
        <f t="shared" si="28"/>
        <v>0</v>
      </c>
    </row>
    <row r="12" spans="2:41" x14ac:dyDescent="0.6">
      <c r="B12" s="56"/>
      <c r="C12" s="39" t="s">
        <v>194</v>
      </c>
      <c r="D12" s="49">
        <f t="shared" si="1"/>
        <v>234</v>
      </c>
      <c r="E12" s="30">
        <f t="shared" si="2"/>
        <v>235</v>
      </c>
      <c r="F12" s="30">
        <f t="shared" si="3"/>
        <v>236</v>
      </c>
      <c r="G12" s="30">
        <f t="shared" si="4"/>
        <v>237</v>
      </c>
      <c r="H12" s="30">
        <f t="shared" si="5"/>
        <v>238</v>
      </c>
      <c r="I12" s="30">
        <f t="shared" si="6"/>
        <v>239</v>
      </c>
      <c r="J12" s="30">
        <f t="shared" si="7"/>
        <v>240</v>
      </c>
      <c r="K12" s="30">
        <f t="shared" si="8"/>
        <v>241</v>
      </c>
      <c r="L12" s="30">
        <f t="shared" si="9"/>
        <v>242</v>
      </c>
      <c r="M12" s="30">
        <f t="shared" si="10"/>
        <v>243</v>
      </c>
      <c r="N12" s="30">
        <f t="shared" si="11"/>
        <v>244</v>
      </c>
      <c r="O12" s="30">
        <f t="shared" si="12"/>
        <v>245</v>
      </c>
      <c r="P12" s="30">
        <f t="shared" si="13"/>
        <v>246</v>
      </c>
      <c r="Q12" s="30">
        <f t="shared" si="14"/>
        <v>247</v>
      </c>
      <c r="R12" s="30">
        <f t="shared" si="15"/>
        <v>248</v>
      </c>
      <c r="S12" s="30">
        <f t="shared" si="16"/>
        <v>249</v>
      </c>
      <c r="T12" s="30">
        <f t="shared" si="17"/>
        <v>250</v>
      </c>
      <c r="U12" s="30">
        <f t="shared" si="18"/>
        <v>251</v>
      </c>
      <c r="V12" s="30">
        <f t="shared" si="19"/>
        <v>252</v>
      </c>
      <c r="W12" s="30">
        <f t="shared" si="20"/>
        <v>253</v>
      </c>
      <c r="X12" s="30">
        <f t="shared" si="21"/>
        <v>254</v>
      </c>
      <c r="Y12" s="30">
        <f t="shared" si="22"/>
        <v>255</v>
      </c>
      <c r="Z12" s="30">
        <f t="shared" si="23"/>
        <v>256</v>
      </c>
      <c r="AA12" s="30">
        <f t="shared" si="24"/>
        <v>257</v>
      </c>
      <c r="AB12" s="30">
        <f t="shared" si="25"/>
        <v>258</v>
      </c>
      <c r="AC12" s="33">
        <f t="shared" si="26"/>
        <v>259</v>
      </c>
      <c r="AM12" s="26">
        <v>9</v>
      </c>
      <c r="AN12" s="26">
        <f t="shared" si="27"/>
        <v>8</v>
      </c>
      <c r="AO12" s="26">
        <f t="shared" si="28"/>
        <v>0</v>
      </c>
    </row>
    <row r="13" spans="2:41" x14ac:dyDescent="0.6">
      <c r="B13" s="56"/>
      <c r="C13" s="39" t="s">
        <v>195</v>
      </c>
      <c r="D13" s="49">
        <f t="shared" si="1"/>
        <v>260</v>
      </c>
      <c r="E13" s="30">
        <f t="shared" si="2"/>
        <v>261</v>
      </c>
      <c r="F13" s="30">
        <f t="shared" si="3"/>
        <v>262</v>
      </c>
      <c r="G13" s="30">
        <f t="shared" si="4"/>
        <v>263</v>
      </c>
      <c r="H13" s="30">
        <f t="shared" si="5"/>
        <v>264</v>
      </c>
      <c r="I13" s="30">
        <f t="shared" si="6"/>
        <v>265</v>
      </c>
      <c r="J13" s="30">
        <f t="shared" si="7"/>
        <v>266</v>
      </c>
      <c r="K13" s="30">
        <f t="shared" si="8"/>
        <v>267</v>
      </c>
      <c r="L13" s="30">
        <f t="shared" si="9"/>
        <v>268</v>
      </c>
      <c r="M13" s="30">
        <f t="shared" si="10"/>
        <v>269</v>
      </c>
      <c r="N13" s="30">
        <f t="shared" si="11"/>
        <v>270</v>
      </c>
      <c r="O13" s="30">
        <f t="shared" si="12"/>
        <v>271</v>
      </c>
      <c r="P13" s="30">
        <f t="shared" si="13"/>
        <v>272</v>
      </c>
      <c r="Q13" s="30">
        <f t="shared" si="14"/>
        <v>273</v>
      </c>
      <c r="R13" s="30">
        <f t="shared" si="15"/>
        <v>274</v>
      </c>
      <c r="S13" s="30">
        <f t="shared" si="16"/>
        <v>275</v>
      </c>
      <c r="T13" s="30">
        <f t="shared" si="17"/>
        <v>276</v>
      </c>
      <c r="U13" s="30">
        <f t="shared" si="18"/>
        <v>277</v>
      </c>
      <c r="V13" s="30">
        <f t="shared" si="19"/>
        <v>278</v>
      </c>
      <c r="W13" s="30">
        <f t="shared" si="20"/>
        <v>279</v>
      </c>
      <c r="X13" s="30">
        <f t="shared" si="21"/>
        <v>280</v>
      </c>
      <c r="Y13" s="30">
        <f t="shared" si="22"/>
        <v>281</v>
      </c>
      <c r="Z13" s="30">
        <f t="shared" si="23"/>
        <v>282</v>
      </c>
      <c r="AA13" s="30">
        <f t="shared" si="24"/>
        <v>283</v>
      </c>
      <c r="AB13" s="30">
        <f t="shared" si="25"/>
        <v>284</v>
      </c>
      <c r="AC13" s="33">
        <f t="shared" si="26"/>
        <v>285</v>
      </c>
      <c r="AM13" s="26">
        <v>10</v>
      </c>
      <c r="AN13" s="26">
        <f t="shared" si="27"/>
        <v>9</v>
      </c>
      <c r="AO13" s="26">
        <f t="shared" si="28"/>
        <v>0</v>
      </c>
    </row>
    <row r="14" spans="2:41" x14ac:dyDescent="0.6">
      <c r="B14" s="56"/>
      <c r="C14" s="39" t="s">
        <v>196</v>
      </c>
      <c r="D14" s="49">
        <f t="shared" si="1"/>
        <v>286</v>
      </c>
      <c r="E14" s="30">
        <f t="shared" si="2"/>
        <v>287</v>
      </c>
      <c r="F14" s="30">
        <f t="shared" si="3"/>
        <v>288</v>
      </c>
      <c r="G14" s="30">
        <f t="shared" si="4"/>
        <v>289</v>
      </c>
      <c r="H14" s="30">
        <f t="shared" si="5"/>
        <v>290</v>
      </c>
      <c r="I14" s="30">
        <f t="shared" si="6"/>
        <v>291</v>
      </c>
      <c r="J14" s="30">
        <f t="shared" si="7"/>
        <v>292</v>
      </c>
      <c r="K14" s="30">
        <f t="shared" si="8"/>
        <v>293</v>
      </c>
      <c r="L14" s="30">
        <f t="shared" si="9"/>
        <v>294</v>
      </c>
      <c r="M14" s="30">
        <f t="shared" si="10"/>
        <v>295</v>
      </c>
      <c r="N14" s="30">
        <f t="shared" si="11"/>
        <v>296</v>
      </c>
      <c r="O14" s="30">
        <f t="shared" si="12"/>
        <v>297</v>
      </c>
      <c r="P14" s="30">
        <f t="shared" si="13"/>
        <v>298</v>
      </c>
      <c r="Q14" s="30">
        <f t="shared" si="14"/>
        <v>299</v>
      </c>
      <c r="R14" s="30">
        <f t="shared" si="15"/>
        <v>300</v>
      </c>
      <c r="S14" s="30">
        <f t="shared" si="16"/>
        <v>301</v>
      </c>
      <c r="T14" s="30">
        <f t="shared" si="17"/>
        <v>302</v>
      </c>
      <c r="U14" s="30">
        <f t="shared" si="18"/>
        <v>303</v>
      </c>
      <c r="V14" s="30">
        <f t="shared" si="19"/>
        <v>304</v>
      </c>
      <c r="W14" s="30">
        <f t="shared" si="20"/>
        <v>305</v>
      </c>
      <c r="X14" s="30">
        <f t="shared" si="21"/>
        <v>306</v>
      </c>
      <c r="Y14" s="30">
        <f t="shared" si="22"/>
        <v>307</v>
      </c>
      <c r="Z14" s="30">
        <f t="shared" si="23"/>
        <v>308</v>
      </c>
      <c r="AA14" s="30">
        <f t="shared" si="24"/>
        <v>309</v>
      </c>
      <c r="AB14" s="30">
        <f t="shared" si="25"/>
        <v>310</v>
      </c>
      <c r="AC14" s="33">
        <f t="shared" si="26"/>
        <v>311</v>
      </c>
      <c r="AM14" s="26">
        <v>11</v>
      </c>
      <c r="AN14" s="26">
        <f t="shared" si="27"/>
        <v>10</v>
      </c>
      <c r="AO14" s="26">
        <f t="shared" si="28"/>
        <v>0</v>
      </c>
    </row>
    <row r="15" spans="2:41" x14ac:dyDescent="0.6">
      <c r="B15" s="56"/>
      <c r="C15" s="39" t="s">
        <v>197</v>
      </c>
      <c r="D15" s="49">
        <f t="shared" si="1"/>
        <v>312</v>
      </c>
      <c r="E15" s="30">
        <f t="shared" si="2"/>
        <v>313</v>
      </c>
      <c r="F15" s="30">
        <f t="shared" si="3"/>
        <v>314</v>
      </c>
      <c r="G15" s="30">
        <f t="shared" si="4"/>
        <v>315</v>
      </c>
      <c r="H15" s="30">
        <f t="shared" si="5"/>
        <v>316</v>
      </c>
      <c r="I15" s="30">
        <f t="shared" si="6"/>
        <v>317</v>
      </c>
      <c r="J15" s="30">
        <f t="shared" si="7"/>
        <v>318</v>
      </c>
      <c r="K15" s="30">
        <f t="shared" si="8"/>
        <v>319</v>
      </c>
      <c r="L15" s="30">
        <f t="shared" si="9"/>
        <v>320</v>
      </c>
      <c r="M15" s="30">
        <f t="shared" si="10"/>
        <v>321</v>
      </c>
      <c r="N15" s="30">
        <f t="shared" si="11"/>
        <v>322</v>
      </c>
      <c r="O15" s="30">
        <f t="shared" si="12"/>
        <v>323</v>
      </c>
      <c r="P15" s="30">
        <f t="shared" si="13"/>
        <v>324</v>
      </c>
      <c r="Q15" s="30">
        <f t="shared" si="14"/>
        <v>325</v>
      </c>
      <c r="R15" s="30">
        <f t="shared" si="15"/>
        <v>326</v>
      </c>
      <c r="S15" s="30">
        <f t="shared" si="16"/>
        <v>327</v>
      </c>
      <c r="T15" s="30">
        <f t="shared" si="17"/>
        <v>328</v>
      </c>
      <c r="U15" s="30">
        <f t="shared" si="18"/>
        <v>329</v>
      </c>
      <c r="V15" s="30">
        <f t="shared" si="19"/>
        <v>330</v>
      </c>
      <c r="W15" s="30">
        <f t="shared" si="20"/>
        <v>331</v>
      </c>
      <c r="X15" s="30">
        <f t="shared" si="21"/>
        <v>332</v>
      </c>
      <c r="Y15" s="30">
        <f t="shared" si="22"/>
        <v>333</v>
      </c>
      <c r="Z15" s="30">
        <f t="shared" si="23"/>
        <v>334</v>
      </c>
      <c r="AA15" s="30">
        <f t="shared" si="24"/>
        <v>335</v>
      </c>
      <c r="AB15" s="30">
        <f t="shared" si="25"/>
        <v>336</v>
      </c>
      <c r="AC15" s="33">
        <f t="shared" si="26"/>
        <v>337</v>
      </c>
      <c r="AM15" s="26">
        <v>12</v>
      </c>
      <c r="AN15" s="26">
        <f t="shared" si="27"/>
        <v>11</v>
      </c>
      <c r="AO15" s="26">
        <f t="shared" si="28"/>
        <v>0</v>
      </c>
    </row>
    <row r="16" spans="2:41" x14ac:dyDescent="0.6">
      <c r="B16" s="56"/>
      <c r="C16" s="39" t="s">
        <v>198</v>
      </c>
      <c r="D16" s="49">
        <f t="shared" si="1"/>
        <v>338</v>
      </c>
      <c r="E16" s="30">
        <f t="shared" si="2"/>
        <v>339</v>
      </c>
      <c r="F16" s="30">
        <f t="shared" si="3"/>
        <v>340</v>
      </c>
      <c r="G16" s="30">
        <f t="shared" si="4"/>
        <v>341</v>
      </c>
      <c r="H16" s="30">
        <f t="shared" si="5"/>
        <v>342</v>
      </c>
      <c r="I16" s="30">
        <f t="shared" si="6"/>
        <v>343</v>
      </c>
      <c r="J16" s="30">
        <f t="shared" si="7"/>
        <v>344</v>
      </c>
      <c r="K16" s="30">
        <f t="shared" si="8"/>
        <v>345</v>
      </c>
      <c r="L16" s="30">
        <f t="shared" si="9"/>
        <v>346</v>
      </c>
      <c r="M16" s="30">
        <f t="shared" si="10"/>
        <v>347</v>
      </c>
      <c r="N16" s="30">
        <f t="shared" si="11"/>
        <v>348</v>
      </c>
      <c r="O16" s="30">
        <f t="shared" si="12"/>
        <v>349</v>
      </c>
      <c r="P16" s="30">
        <f t="shared" si="13"/>
        <v>350</v>
      </c>
      <c r="Q16" s="30">
        <f t="shared" si="14"/>
        <v>351</v>
      </c>
      <c r="R16" s="30">
        <f t="shared" si="15"/>
        <v>352</v>
      </c>
      <c r="S16" s="30">
        <f t="shared" si="16"/>
        <v>353</v>
      </c>
      <c r="T16" s="30">
        <f t="shared" si="17"/>
        <v>354</v>
      </c>
      <c r="U16" s="30">
        <f t="shared" si="18"/>
        <v>355</v>
      </c>
      <c r="V16" s="30">
        <f t="shared" si="19"/>
        <v>356</v>
      </c>
      <c r="W16" s="30">
        <f t="shared" si="20"/>
        <v>357</v>
      </c>
      <c r="X16" s="30">
        <f t="shared" si="21"/>
        <v>358</v>
      </c>
      <c r="Y16" s="30">
        <f t="shared" si="22"/>
        <v>359</v>
      </c>
      <c r="Z16" s="30">
        <f t="shared" si="23"/>
        <v>360</v>
      </c>
      <c r="AA16" s="30">
        <f t="shared" si="24"/>
        <v>361</v>
      </c>
      <c r="AB16" s="30">
        <f t="shared" si="25"/>
        <v>362</v>
      </c>
      <c r="AC16" s="33">
        <f t="shared" si="26"/>
        <v>363</v>
      </c>
      <c r="AM16" s="26">
        <v>13</v>
      </c>
      <c r="AN16" s="26">
        <f t="shared" si="27"/>
        <v>12</v>
      </c>
      <c r="AO16" s="26">
        <f t="shared" si="28"/>
        <v>0</v>
      </c>
    </row>
    <row r="17" spans="2:41" x14ac:dyDescent="0.6">
      <c r="B17" s="56"/>
      <c r="C17" s="39" t="s">
        <v>199</v>
      </c>
      <c r="D17" s="49">
        <f t="shared" si="1"/>
        <v>364</v>
      </c>
      <c r="E17" s="30">
        <f t="shared" si="2"/>
        <v>365</v>
      </c>
      <c r="F17" s="30">
        <f t="shared" si="3"/>
        <v>366</v>
      </c>
      <c r="G17" s="30">
        <f t="shared" si="4"/>
        <v>367</v>
      </c>
      <c r="H17" s="30">
        <f t="shared" si="5"/>
        <v>368</v>
      </c>
      <c r="I17" s="30">
        <f t="shared" si="6"/>
        <v>369</v>
      </c>
      <c r="J17" s="30">
        <f t="shared" si="7"/>
        <v>370</v>
      </c>
      <c r="K17" s="30">
        <f t="shared" si="8"/>
        <v>371</v>
      </c>
      <c r="L17" s="30">
        <f t="shared" si="9"/>
        <v>372</v>
      </c>
      <c r="M17" s="30">
        <f t="shared" si="10"/>
        <v>373</v>
      </c>
      <c r="N17" s="30">
        <f t="shared" si="11"/>
        <v>374</v>
      </c>
      <c r="O17" s="30">
        <f t="shared" si="12"/>
        <v>375</v>
      </c>
      <c r="P17" s="30">
        <f t="shared" si="13"/>
        <v>376</v>
      </c>
      <c r="Q17" s="30">
        <f t="shared" si="14"/>
        <v>377</v>
      </c>
      <c r="R17" s="30">
        <f t="shared" si="15"/>
        <v>378</v>
      </c>
      <c r="S17" s="30">
        <f t="shared" si="16"/>
        <v>379</v>
      </c>
      <c r="T17" s="30">
        <f t="shared" si="17"/>
        <v>380</v>
      </c>
      <c r="U17" s="30">
        <f t="shared" si="18"/>
        <v>381</v>
      </c>
      <c r="V17" s="30">
        <f t="shared" si="19"/>
        <v>382</v>
      </c>
      <c r="W17" s="30">
        <f t="shared" si="20"/>
        <v>383</v>
      </c>
      <c r="X17" s="30">
        <f t="shared" si="21"/>
        <v>384</v>
      </c>
      <c r="Y17" s="30">
        <f t="shared" si="22"/>
        <v>385</v>
      </c>
      <c r="Z17" s="30">
        <f t="shared" si="23"/>
        <v>386</v>
      </c>
      <c r="AA17" s="30">
        <f t="shared" si="24"/>
        <v>387</v>
      </c>
      <c r="AB17" s="30">
        <f t="shared" si="25"/>
        <v>388</v>
      </c>
      <c r="AC17" s="33">
        <f t="shared" si="26"/>
        <v>389</v>
      </c>
      <c r="AM17" s="26">
        <v>14</v>
      </c>
      <c r="AN17" s="26">
        <f t="shared" si="27"/>
        <v>13</v>
      </c>
      <c r="AO17" s="26">
        <f t="shared" si="28"/>
        <v>0</v>
      </c>
    </row>
    <row r="18" spans="2:41" ht="17.25" thickBot="1" x14ac:dyDescent="0.65">
      <c r="B18" s="56"/>
      <c r="C18" s="51" t="s">
        <v>200</v>
      </c>
      <c r="D18" s="50">
        <f t="shared" si="1"/>
        <v>390</v>
      </c>
      <c r="E18" s="34">
        <f t="shared" si="2"/>
        <v>391</v>
      </c>
      <c r="F18" s="34">
        <f t="shared" si="3"/>
        <v>392</v>
      </c>
      <c r="G18" s="34">
        <f t="shared" si="4"/>
        <v>393</v>
      </c>
      <c r="H18" s="34">
        <f t="shared" si="5"/>
        <v>394</v>
      </c>
      <c r="I18" s="34">
        <f t="shared" si="6"/>
        <v>395</v>
      </c>
      <c r="J18" s="34">
        <f t="shared" si="7"/>
        <v>396</v>
      </c>
      <c r="K18" s="34">
        <f t="shared" si="8"/>
        <v>397</v>
      </c>
      <c r="L18" s="34">
        <f t="shared" si="9"/>
        <v>398</v>
      </c>
      <c r="M18" s="34">
        <f t="shared" si="10"/>
        <v>399</v>
      </c>
      <c r="N18" s="34">
        <f t="shared" si="11"/>
        <v>400</v>
      </c>
      <c r="O18" s="34">
        <f t="shared" si="12"/>
        <v>401</v>
      </c>
      <c r="P18" s="34">
        <f t="shared" si="13"/>
        <v>402</v>
      </c>
      <c r="Q18" s="34">
        <f t="shared" si="14"/>
        <v>403</v>
      </c>
      <c r="R18" s="34">
        <f t="shared" si="15"/>
        <v>404</v>
      </c>
      <c r="S18" s="34">
        <f t="shared" si="16"/>
        <v>405</v>
      </c>
      <c r="T18" s="34">
        <f t="shared" si="17"/>
        <v>406</v>
      </c>
      <c r="U18" s="34">
        <f t="shared" si="18"/>
        <v>407</v>
      </c>
      <c r="V18" s="34">
        <f t="shared" si="19"/>
        <v>408</v>
      </c>
      <c r="W18" s="34">
        <f t="shared" si="20"/>
        <v>409</v>
      </c>
      <c r="X18" s="34">
        <f t="shared" si="21"/>
        <v>410</v>
      </c>
      <c r="Y18" s="34">
        <f t="shared" si="22"/>
        <v>411</v>
      </c>
      <c r="Z18" s="34">
        <f t="shared" si="23"/>
        <v>412</v>
      </c>
      <c r="AA18" s="34">
        <f t="shared" si="24"/>
        <v>413</v>
      </c>
      <c r="AB18" s="34">
        <f t="shared" si="25"/>
        <v>414</v>
      </c>
      <c r="AC18" s="35">
        <f t="shared" si="26"/>
        <v>415</v>
      </c>
      <c r="AM18" s="26">
        <v>15</v>
      </c>
      <c r="AN18" s="26">
        <f t="shared" si="27"/>
        <v>14</v>
      </c>
      <c r="AO18" s="26">
        <f t="shared" si="28"/>
        <v>0</v>
      </c>
    </row>
    <row r="19" spans="2:41" x14ac:dyDescent="0.6">
      <c r="B19" s="55" t="s">
        <v>181</v>
      </c>
      <c r="C19" s="38" t="s">
        <v>185</v>
      </c>
      <c r="D19" s="44">
        <f t="shared" si="1"/>
        <v>416</v>
      </c>
      <c r="E19" s="31">
        <f t="shared" si="2"/>
        <v>417</v>
      </c>
      <c r="F19" s="31">
        <f t="shared" si="3"/>
        <v>418</v>
      </c>
      <c r="G19" s="31">
        <f t="shared" si="4"/>
        <v>419</v>
      </c>
      <c r="H19" s="31">
        <f t="shared" si="5"/>
        <v>420</v>
      </c>
      <c r="I19" s="31">
        <f t="shared" si="6"/>
        <v>421</v>
      </c>
      <c r="J19" s="31">
        <f t="shared" si="7"/>
        <v>422</v>
      </c>
      <c r="K19" s="31">
        <f t="shared" si="8"/>
        <v>423</v>
      </c>
      <c r="L19" s="31">
        <f t="shared" si="9"/>
        <v>424</v>
      </c>
      <c r="M19" s="31">
        <f t="shared" si="10"/>
        <v>425</v>
      </c>
      <c r="N19" s="31">
        <f t="shared" si="11"/>
        <v>426</v>
      </c>
      <c r="O19" s="31">
        <f t="shared" si="12"/>
        <v>427</v>
      </c>
      <c r="P19" s="31">
        <f t="shared" si="13"/>
        <v>428</v>
      </c>
      <c r="Q19" s="31">
        <f t="shared" si="14"/>
        <v>429</v>
      </c>
      <c r="R19" s="31">
        <f t="shared" si="15"/>
        <v>430</v>
      </c>
      <c r="S19" s="31">
        <f t="shared" si="16"/>
        <v>431</v>
      </c>
      <c r="T19" s="31">
        <f t="shared" si="17"/>
        <v>432</v>
      </c>
      <c r="U19" s="31">
        <f t="shared" si="18"/>
        <v>433</v>
      </c>
      <c r="V19" s="31">
        <f t="shared" si="19"/>
        <v>434</v>
      </c>
      <c r="W19" s="31">
        <f t="shared" si="20"/>
        <v>435</v>
      </c>
      <c r="X19" s="31">
        <f t="shared" si="21"/>
        <v>436</v>
      </c>
      <c r="Y19" s="31">
        <f t="shared" si="22"/>
        <v>437</v>
      </c>
      <c r="Z19" s="31">
        <f t="shared" si="23"/>
        <v>438</v>
      </c>
      <c r="AA19" s="31">
        <f t="shared" si="24"/>
        <v>439</v>
      </c>
      <c r="AB19" s="31">
        <f t="shared" si="25"/>
        <v>440</v>
      </c>
      <c r="AC19" s="32">
        <f t="shared" si="26"/>
        <v>441</v>
      </c>
      <c r="AM19" s="26">
        <v>16</v>
      </c>
      <c r="AN19" s="26">
        <f t="shared" si="27"/>
        <v>15</v>
      </c>
      <c r="AO19" s="26">
        <f t="shared" si="28"/>
        <v>0</v>
      </c>
    </row>
    <row r="20" spans="2:41" x14ac:dyDescent="0.6">
      <c r="B20" s="56"/>
      <c r="C20" s="39" t="s">
        <v>186</v>
      </c>
      <c r="D20" s="45">
        <f t="shared" si="1"/>
        <v>442</v>
      </c>
      <c r="E20" s="30">
        <f t="shared" si="2"/>
        <v>443</v>
      </c>
      <c r="F20" s="30">
        <f t="shared" si="3"/>
        <v>444</v>
      </c>
      <c r="G20" s="30">
        <f t="shared" si="4"/>
        <v>445</v>
      </c>
      <c r="H20" s="30">
        <f t="shared" si="5"/>
        <v>446</v>
      </c>
      <c r="I20" s="30">
        <f t="shared" si="6"/>
        <v>447</v>
      </c>
      <c r="J20" s="30">
        <f t="shared" si="7"/>
        <v>448</v>
      </c>
      <c r="K20" s="30">
        <f t="shared" si="8"/>
        <v>449</v>
      </c>
      <c r="L20" s="30">
        <f t="shared" si="9"/>
        <v>450</v>
      </c>
      <c r="M20" s="30">
        <f t="shared" si="10"/>
        <v>451</v>
      </c>
      <c r="N20" s="30">
        <f t="shared" si="11"/>
        <v>452</v>
      </c>
      <c r="O20" s="30">
        <f t="shared" si="12"/>
        <v>453</v>
      </c>
      <c r="P20" s="30">
        <f t="shared" si="13"/>
        <v>454</v>
      </c>
      <c r="Q20" s="30">
        <f t="shared" si="14"/>
        <v>455</v>
      </c>
      <c r="R20" s="30">
        <f t="shared" si="15"/>
        <v>456</v>
      </c>
      <c r="S20" s="30">
        <f t="shared" si="16"/>
        <v>457</v>
      </c>
      <c r="T20" s="30">
        <f t="shared" si="17"/>
        <v>458</v>
      </c>
      <c r="U20" s="30">
        <f t="shared" si="18"/>
        <v>459</v>
      </c>
      <c r="V20" s="30">
        <f t="shared" si="19"/>
        <v>460</v>
      </c>
      <c r="W20" s="30">
        <f t="shared" si="20"/>
        <v>461</v>
      </c>
      <c r="X20" s="30">
        <f t="shared" si="21"/>
        <v>462</v>
      </c>
      <c r="Y20" s="30">
        <f t="shared" si="22"/>
        <v>463</v>
      </c>
      <c r="Z20" s="30">
        <f t="shared" si="23"/>
        <v>464</v>
      </c>
      <c r="AA20" s="30">
        <f t="shared" si="24"/>
        <v>465</v>
      </c>
      <c r="AB20" s="30">
        <f t="shared" si="25"/>
        <v>466</v>
      </c>
      <c r="AC20" s="33">
        <f t="shared" si="26"/>
        <v>467</v>
      </c>
      <c r="AM20" s="26">
        <v>17</v>
      </c>
      <c r="AN20" s="26">
        <f t="shared" si="27"/>
        <v>16</v>
      </c>
      <c r="AO20" s="26">
        <f t="shared" si="28"/>
        <v>0</v>
      </c>
    </row>
    <row r="21" spans="2:41" x14ac:dyDescent="0.6">
      <c r="B21" s="56"/>
      <c r="C21" s="39" t="s">
        <v>187</v>
      </c>
      <c r="D21" s="45">
        <f t="shared" si="1"/>
        <v>468</v>
      </c>
      <c r="E21" s="30">
        <f t="shared" si="2"/>
        <v>469</v>
      </c>
      <c r="F21" s="30">
        <f t="shared" si="3"/>
        <v>470</v>
      </c>
      <c r="G21" s="30">
        <f t="shared" si="4"/>
        <v>471</v>
      </c>
      <c r="H21" s="30">
        <f t="shared" si="5"/>
        <v>472</v>
      </c>
      <c r="I21" s="30">
        <f t="shared" si="6"/>
        <v>473</v>
      </c>
      <c r="J21" s="30">
        <f t="shared" si="7"/>
        <v>474</v>
      </c>
      <c r="K21" s="30">
        <f t="shared" si="8"/>
        <v>475</v>
      </c>
      <c r="L21" s="30">
        <f t="shared" si="9"/>
        <v>476</v>
      </c>
      <c r="M21" s="30">
        <f t="shared" si="10"/>
        <v>477</v>
      </c>
      <c r="N21" s="30">
        <f t="shared" si="11"/>
        <v>478</v>
      </c>
      <c r="O21" s="30">
        <f t="shared" si="12"/>
        <v>479</v>
      </c>
      <c r="P21" s="30">
        <f t="shared" si="13"/>
        <v>480</v>
      </c>
      <c r="Q21" s="30">
        <f t="shared" si="14"/>
        <v>481</v>
      </c>
      <c r="R21" s="30">
        <f t="shared" si="15"/>
        <v>482</v>
      </c>
      <c r="S21" s="30">
        <f t="shared" si="16"/>
        <v>483</v>
      </c>
      <c r="T21" s="30">
        <f t="shared" si="17"/>
        <v>484</v>
      </c>
      <c r="U21" s="30">
        <f t="shared" si="18"/>
        <v>485</v>
      </c>
      <c r="V21" s="30">
        <f t="shared" si="19"/>
        <v>486</v>
      </c>
      <c r="W21" s="30">
        <f t="shared" si="20"/>
        <v>487</v>
      </c>
      <c r="X21" s="30">
        <f t="shared" si="21"/>
        <v>488</v>
      </c>
      <c r="Y21" s="30">
        <f t="shared" si="22"/>
        <v>489</v>
      </c>
      <c r="Z21" s="30">
        <f t="shared" si="23"/>
        <v>490</v>
      </c>
      <c r="AA21" s="30">
        <f t="shared" si="24"/>
        <v>491</v>
      </c>
      <c r="AB21" s="30">
        <f t="shared" si="25"/>
        <v>492</v>
      </c>
      <c r="AC21" s="33">
        <f t="shared" si="26"/>
        <v>493</v>
      </c>
      <c r="AM21" s="26">
        <v>18</v>
      </c>
      <c r="AN21" s="26">
        <f t="shared" si="27"/>
        <v>17</v>
      </c>
      <c r="AO21" s="26">
        <f t="shared" si="28"/>
        <v>0</v>
      </c>
    </row>
    <row r="22" spans="2:41" x14ac:dyDescent="0.6">
      <c r="B22" s="56"/>
      <c r="C22" s="39" t="s">
        <v>188</v>
      </c>
      <c r="D22" s="45">
        <f t="shared" si="1"/>
        <v>494</v>
      </c>
      <c r="E22" s="30">
        <f t="shared" si="2"/>
        <v>495</v>
      </c>
      <c r="F22" s="30">
        <f t="shared" si="3"/>
        <v>496</v>
      </c>
      <c r="G22" s="30">
        <f t="shared" si="4"/>
        <v>497</v>
      </c>
      <c r="H22" s="30">
        <f t="shared" si="5"/>
        <v>498</v>
      </c>
      <c r="I22" s="30">
        <f t="shared" si="6"/>
        <v>499</v>
      </c>
      <c r="J22" s="30">
        <f t="shared" si="7"/>
        <v>500</v>
      </c>
      <c r="K22" s="30">
        <f t="shared" si="8"/>
        <v>501</v>
      </c>
      <c r="L22" s="30">
        <f t="shared" si="9"/>
        <v>502</v>
      </c>
      <c r="M22" s="30">
        <f t="shared" si="10"/>
        <v>503</v>
      </c>
      <c r="N22" s="30">
        <f t="shared" si="11"/>
        <v>504</v>
      </c>
      <c r="O22" s="30">
        <f t="shared" si="12"/>
        <v>505</v>
      </c>
      <c r="P22" s="30">
        <f t="shared" si="13"/>
        <v>506</v>
      </c>
      <c r="Q22" s="30">
        <f t="shared" si="14"/>
        <v>507</v>
      </c>
      <c r="R22" s="30">
        <f t="shared" si="15"/>
        <v>508</v>
      </c>
      <c r="S22" s="30">
        <f t="shared" si="16"/>
        <v>509</v>
      </c>
      <c r="T22" s="30">
        <f t="shared" si="17"/>
        <v>510</v>
      </c>
      <c r="U22" s="30">
        <f t="shared" si="18"/>
        <v>511</v>
      </c>
      <c r="V22" s="30">
        <f t="shared" si="19"/>
        <v>512</v>
      </c>
      <c r="W22" s="30">
        <f t="shared" si="20"/>
        <v>513</v>
      </c>
      <c r="X22" s="30">
        <f t="shared" si="21"/>
        <v>514</v>
      </c>
      <c r="Y22" s="30">
        <f t="shared" si="22"/>
        <v>515</v>
      </c>
      <c r="Z22" s="30">
        <f t="shared" si="23"/>
        <v>516</v>
      </c>
      <c r="AA22" s="30">
        <f t="shared" si="24"/>
        <v>517</v>
      </c>
      <c r="AB22" s="30">
        <f t="shared" si="25"/>
        <v>518</v>
      </c>
      <c r="AC22" s="33">
        <f t="shared" si="26"/>
        <v>519</v>
      </c>
      <c r="AM22" s="26">
        <v>19</v>
      </c>
      <c r="AN22" s="26">
        <f t="shared" si="27"/>
        <v>18</v>
      </c>
      <c r="AO22" s="26">
        <f t="shared" si="28"/>
        <v>0</v>
      </c>
    </row>
    <row r="23" spans="2:41" x14ac:dyDescent="0.6">
      <c r="B23" s="56"/>
      <c r="C23" s="39" t="s">
        <v>189</v>
      </c>
      <c r="D23" s="45">
        <f t="shared" si="1"/>
        <v>520</v>
      </c>
      <c r="E23" s="30">
        <f t="shared" si="2"/>
        <v>521</v>
      </c>
      <c r="F23" s="30">
        <f t="shared" si="3"/>
        <v>522</v>
      </c>
      <c r="G23" s="30">
        <f t="shared" si="4"/>
        <v>523</v>
      </c>
      <c r="H23" s="30">
        <f t="shared" si="5"/>
        <v>524</v>
      </c>
      <c r="I23" s="30">
        <f t="shared" si="6"/>
        <v>525</v>
      </c>
      <c r="J23" s="30">
        <f t="shared" si="7"/>
        <v>526</v>
      </c>
      <c r="K23" s="30">
        <f t="shared" si="8"/>
        <v>527</v>
      </c>
      <c r="L23" s="30">
        <f t="shared" si="9"/>
        <v>528</v>
      </c>
      <c r="M23" s="30">
        <f t="shared" si="10"/>
        <v>529</v>
      </c>
      <c r="N23" s="30">
        <f t="shared" si="11"/>
        <v>530</v>
      </c>
      <c r="O23" s="30">
        <f t="shared" si="12"/>
        <v>531</v>
      </c>
      <c r="P23" s="30">
        <f t="shared" si="13"/>
        <v>532</v>
      </c>
      <c r="Q23" s="30">
        <f t="shared" si="14"/>
        <v>533</v>
      </c>
      <c r="R23" s="30">
        <f t="shared" si="15"/>
        <v>534</v>
      </c>
      <c r="S23" s="30">
        <f t="shared" si="16"/>
        <v>535</v>
      </c>
      <c r="T23" s="30">
        <f t="shared" si="17"/>
        <v>536</v>
      </c>
      <c r="U23" s="30">
        <f t="shared" si="18"/>
        <v>537</v>
      </c>
      <c r="V23" s="30">
        <f t="shared" si="19"/>
        <v>538</v>
      </c>
      <c r="W23" s="30">
        <f t="shared" si="20"/>
        <v>539</v>
      </c>
      <c r="X23" s="30">
        <f t="shared" si="21"/>
        <v>540</v>
      </c>
      <c r="Y23" s="30">
        <f t="shared" si="22"/>
        <v>541</v>
      </c>
      <c r="Z23" s="30">
        <f t="shared" si="23"/>
        <v>542</v>
      </c>
      <c r="AA23" s="30">
        <f t="shared" si="24"/>
        <v>543</v>
      </c>
      <c r="AB23" s="30">
        <f t="shared" si="25"/>
        <v>544</v>
      </c>
      <c r="AC23" s="33">
        <f t="shared" si="26"/>
        <v>545</v>
      </c>
      <c r="AM23" s="26">
        <v>20</v>
      </c>
      <c r="AN23" s="26">
        <f t="shared" si="27"/>
        <v>19</v>
      </c>
      <c r="AO23" s="26">
        <f t="shared" si="28"/>
        <v>0</v>
      </c>
    </row>
    <row r="24" spans="2:41" x14ac:dyDescent="0.6">
      <c r="B24" s="56"/>
      <c r="C24" s="39" t="s">
        <v>190</v>
      </c>
      <c r="D24" s="45">
        <f t="shared" si="1"/>
        <v>546</v>
      </c>
      <c r="E24" s="30">
        <f t="shared" si="2"/>
        <v>547</v>
      </c>
      <c r="F24" s="30">
        <f t="shared" si="3"/>
        <v>548</v>
      </c>
      <c r="G24" s="30">
        <f t="shared" si="4"/>
        <v>549</v>
      </c>
      <c r="H24" s="30">
        <f t="shared" si="5"/>
        <v>550</v>
      </c>
      <c r="I24" s="30">
        <f t="shared" si="6"/>
        <v>551</v>
      </c>
      <c r="J24" s="30">
        <f t="shared" si="7"/>
        <v>552</v>
      </c>
      <c r="K24" s="30">
        <f t="shared" si="8"/>
        <v>553</v>
      </c>
      <c r="L24" s="30">
        <f t="shared" si="9"/>
        <v>554</v>
      </c>
      <c r="M24" s="30">
        <f t="shared" si="10"/>
        <v>555</v>
      </c>
      <c r="N24" s="30">
        <f t="shared" si="11"/>
        <v>556</v>
      </c>
      <c r="O24" s="30">
        <f t="shared" si="12"/>
        <v>557</v>
      </c>
      <c r="P24" s="30">
        <f t="shared" si="13"/>
        <v>558</v>
      </c>
      <c r="Q24" s="30">
        <f t="shared" si="14"/>
        <v>559</v>
      </c>
      <c r="R24" s="30">
        <f t="shared" si="15"/>
        <v>560</v>
      </c>
      <c r="S24" s="30">
        <f t="shared" si="16"/>
        <v>561</v>
      </c>
      <c r="T24" s="30">
        <f t="shared" si="17"/>
        <v>562</v>
      </c>
      <c r="U24" s="30">
        <f t="shared" si="18"/>
        <v>563</v>
      </c>
      <c r="V24" s="30">
        <f t="shared" si="19"/>
        <v>564</v>
      </c>
      <c r="W24" s="30">
        <f t="shared" si="20"/>
        <v>565</v>
      </c>
      <c r="X24" s="30">
        <f t="shared" si="21"/>
        <v>566</v>
      </c>
      <c r="Y24" s="30">
        <f t="shared" si="22"/>
        <v>567</v>
      </c>
      <c r="Z24" s="30">
        <f t="shared" si="23"/>
        <v>568</v>
      </c>
      <c r="AA24" s="30">
        <f t="shared" si="24"/>
        <v>569</v>
      </c>
      <c r="AB24" s="30">
        <f t="shared" si="25"/>
        <v>570</v>
      </c>
      <c r="AC24" s="33">
        <f t="shared" si="26"/>
        <v>571</v>
      </c>
      <c r="AM24" s="26">
        <v>21</v>
      </c>
      <c r="AN24" s="26">
        <f t="shared" si="27"/>
        <v>20</v>
      </c>
      <c r="AO24" s="26">
        <f t="shared" si="28"/>
        <v>0</v>
      </c>
    </row>
    <row r="25" spans="2:41" x14ac:dyDescent="0.6">
      <c r="B25" s="56"/>
      <c r="C25" s="39" t="s">
        <v>191</v>
      </c>
      <c r="D25" s="45">
        <f t="shared" si="1"/>
        <v>572</v>
      </c>
      <c r="E25" s="30">
        <f t="shared" si="2"/>
        <v>573</v>
      </c>
      <c r="F25" s="30">
        <f t="shared" si="3"/>
        <v>574</v>
      </c>
      <c r="G25" s="30">
        <f t="shared" si="4"/>
        <v>575</v>
      </c>
      <c r="H25" s="30">
        <f t="shared" si="5"/>
        <v>576</v>
      </c>
      <c r="I25" s="30">
        <f t="shared" si="6"/>
        <v>577</v>
      </c>
      <c r="J25" s="30">
        <f t="shared" si="7"/>
        <v>578</v>
      </c>
      <c r="K25" s="30">
        <f t="shared" si="8"/>
        <v>579</v>
      </c>
      <c r="L25" s="30">
        <f t="shared" si="9"/>
        <v>580</v>
      </c>
      <c r="M25" s="30">
        <f t="shared" si="10"/>
        <v>581</v>
      </c>
      <c r="N25" s="30">
        <f t="shared" si="11"/>
        <v>582</v>
      </c>
      <c r="O25" s="30">
        <f t="shared" si="12"/>
        <v>583</v>
      </c>
      <c r="P25" s="30">
        <f t="shared" si="13"/>
        <v>584</v>
      </c>
      <c r="Q25" s="30">
        <f t="shared" si="14"/>
        <v>585</v>
      </c>
      <c r="R25" s="30">
        <f t="shared" si="15"/>
        <v>586</v>
      </c>
      <c r="S25" s="30">
        <f t="shared" si="16"/>
        <v>587</v>
      </c>
      <c r="T25" s="30">
        <f t="shared" si="17"/>
        <v>588</v>
      </c>
      <c r="U25" s="30">
        <f t="shared" si="18"/>
        <v>589</v>
      </c>
      <c r="V25" s="30">
        <f t="shared" si="19"/>
        <v>590</v>
      </c>
      <c r="W25" s="30">
        <f t="shared" si="20"/>
        <v>591</v>
      </c>
      <c r="X25" s="30">
        <f t="shared" si="21"/>
        <v>592</v>
      </c>
      <c r="Y25" s="30">
        <f t="shared" si="22"/>
        <v>593</v>
      </c>
      <c r="Z25" s="30">
        <f t="shared" si="23"/>
        <v>594</v>
      </c>
      <c r="AA25" s="30">
        <f t="shared" si="24"/>
        <v>595</v>
      </c>
      <c r="AB25" s="30">
        <f t="shared" si="25"/>
        <v>596</v>
      </c>
      <c r="AC25" s="33">
        <f t="shared" si="26"/>
        <v>597</v>
      </c>
      <c r="AM25" s="26">
        <v>22</v>
      </c>
      <c r="AN25" s="26">
        <f t="shared" si="27"/>
        <v>21</v>
      </c>
      <c r="AO25" s="26">
        <f t="shared" si="28"/>
        <v>0</v>
      </c>
    </row>
    <row r="26" spans="2:41" x14ac:dyDescent="0.6">
      <c r="B26" s="56"/>
      <c r="C26" s="39" t="s">
        <v>192</v>
      </c>
      <c r="D26" s="45">
        <f t="shared" si="1"/>
        <v>598</v>
      </c>
      <c r="E26" s="30">
        <f t="shared" si="2"/>
        <v>599</v>
      </c>
      <c r="F26" s="30">
        <f t="shared" si="3"/>
        <v>600</v>
      </c>
      <c r="G26" s="30">
        <f t="shared" si="4"/>
        <v>601</v>
      </c>
      <c r="H26" s="30">
        <f t="shared" si="5"/>
        <v>602</v>
      </c>
      <c r="I26" s="30">
        <f t="shared" si="6"/>
        <v>603</v>
      </c>
      <c r="J26" s="30">
        <f t="shared" si="7"/>
        <v>604</v>
      </c>
      <c r="K26" s="30">
        <f t="shared" si="8"/>
        <v>605</v>
      </c>
      <c r="L26" s="30">
        <f t="shared" si="9"/>
        <v>606</v>
      </c>
      <c r="M26" s="30">
        <f t="shared" si="10"/>
        <v>607</v>
      </c>
      <c r="N26" s="30">
        <f t="shared" si="11"/>
        <v>608</v>
      </c>
      <c r="O26" s="30">
        <f t="shared" si="12"/>
        <v>609</v>
      </c>
      <c r="P26" s="30">
        <f t="shared" si="13"/>
        <v>610</v>
      </c>
      <c r="Q26" s="30">
        <f t="shared" si="14"/>
        <v>611</v>
      </c>
      <c r="R26" s="30">
        <f t="shared" si="15"/>
        <v>612</v>
      </c>
      <c r="S26" s="30">
        <f t="shared" si="16"/>
        <v>613</v>
      </c>
      <c r="T26" s="30">
        <f t="shared" si="17"/>
        <v>614</v>
      </c>
      <c r="U26" s="30">
        <f t="shared" si="18"/>
        <v>615</v>
      </c>
      <c r="V26" s="30">
        <f t="shared" si="19"/>
        <v>616</v>
      </c>
      <c r="W26" s="30">
        <f t="shared" si="20"/>
        <v>617</v>
      </c>
      <c r="X26" s="30">
        <f t="shared" si="21"/>
        <v>618</v>
      </c>
      <c r="Y26" s="30">
        <f t="shared" si="22"/>
        <v>619</v>
      </c>
      <c r="Z26" s="30">
        <f t="shared" si="23"/>
        <v>620</v>
      </c>
      <c r="AA26" s="30">
        <f t="shared" si="24"/>
        <v>621</v>
      </c>
      <c r="AB26" s="30">
        <f t="shared" si="25"/>
        <v>622</v>
      </c>
      <c r="AC26" s="33">
        <f t="shared" si="26"/>
        <v>623</v>
      </c>
      <c r="AM26" s="26">
        <v>23</v>
      </c>
      <c r="AN26" s="26">
        <f t="shared" si="27"/>
        <v>22</v>
      </c>
      <c r="AO26" s="26">
        <f t="shared" si="28"/>
        <v>0</v>
      </c>
    </row>
    <row r="27" spans="2:41" x14ac:dyDescent="0.6">
      <c r="B27" s="56"/>
      <c r="C27" s="39" t="s">
        <v>193</v>
      </c>
      <c r="D27" s="45">
        <f t="shared" si="1"/>
        <v>624</v>
      </c>
      <c r="E27" s="30">
        <f t="shared" si="2"/>
        <v>625</v>
      </c>
      <c r="F27" s="30">
        <f t="shared" si="3"/>
        <v>626</v>
      </c>
      <c r="G27" s="30">
        <f t="shared" si="4"/>
        <v>627</v>
      </c>
      <c r="H27" s="30">
        <f t="shared" si="5"/>
        <v>628</v>
      </c>
      <c r="I27" s="30">
        <f t="shared" si="6"/>
        <v>629</v>
      </c>
      <c r="J27" s="30">
        <f t="shared" si="7"/>
        <v>630</v>
      </c>
      <c r="K27" s="30">
        <f t="shared" si="8"/>
        <v>631</v>
      </c>
      <c r="L27" s="30">
        <f t="shared" si="9"/>
        <v>632</v>
      </c>
      <c r="M27" s="30">
        <f t="shared" si="10"/>
        <v>633</v>
      </c>
      <c r="N27" s="30">
        <f t="shared" si="11"/>
        <v>634</v>
      </c>
      <c r="O27" s="30">
        <f t="shared" si="12"/>
        <v>635</v>
      </c>
      <c r="P27" s="30">
        <f t="shared" si="13"/>
        <v>636</v>
      </c>
      <c r="Q27" s="30">
        <f t="shared" si="14"/>
        <v>637</v>
      </c>
      <c r="R27" s="30">
        <f t="shared" si="15"/>
        <v>638</v>
      </c>
      <c r="S27" s="30">
        <f t="shared" si="16"/>
        <v>639</v>
      </c>
      <c r="T27" s="30">
        <f t="shared" si="17"/>
        <v>640</v>
      </c>
      <c r="U27" s="30">
        <f t="shared" si="18"/>
        <v>641</v>
      </c>
      <c r="V27" s="30">
        <f t="shared" si="19"/>
        <v>642</v>
      </c>
      <c r="W27" s="30">
        <f t="shared" si="20"/>
        <v>643</v>
      </c>
      <c r="X27" s="30">
        <f t="shared" si="21"/>
        <v>644</v>
      </c>
      <c r="Y27" s="30">
        <f t="shared" si="22"/>
        <v>645</v>
      </c>
      <c r="Z27" s="30">
        <f t="shared" si="23"/>
        <v>646</v>
      </c>
      <c r="AA27" s="30">
        <f t="shared" si="24"/>
        <v>647</v>
      </c>
      <c r="AB27" s="30">
        <f t="shared" si="25"/>
        <v>648</v>
      </c>
      <c r="AC27" s="33">
        <f t="shared" si="26"/>
        <v>649</v>
      </c>
      <c r="AM27" s="26">
        <v>24</v>
      </c>
      <c r="AN27" s="26">
        <f t="shared" si="27"/>
        <v>23</v>
      </c>
      <c r="AO27" s="26">
        <f t="shared" si="28"/>
        <v>0</v>
      </c>
    </row>
    <row r="28" spans="2:41" ht="17.25" thickBot="1" x14ac:dyDescent="0.65">
      <c r="B28" s="57"/>
      <c r="C28" s="40" t="s">
        <v>194</v>
      </c>
      <c r="D28" s="46">
        <f t="shared" si="1"/>
        <v>650</v>
      </c>
      <c r="E28" s="34">
        <f t="shared" si="2"/>
        <v>651</v>
      </c>
      <c r="F28" s="34">
        <f t="shared" si="3"/>
        <v>652</v>
      </c>
      <c r="G28" s="34">
        <f t="shared" si="4"/>
        <v>653</v>
      </c>
      <c r="H28" s="34">
        <f t="shared" si="5"/>
        <v>654</v>
      </c>
      <c r="I28" s="34">
        <f t="shared" si="6"/>
        <v>655</v>
      </c>
      <c r="J28" s="34">
        <f t="shared" si="7"/>
        <v>656</v>
      </c>
      <c r="K28" s="34">
        <f t="shared" si="8"/>
        <v>657</v>
      </c>
      <c r="L28" s="34">
        <f t="shared" si="9"/>
        <v>658</v>
      </c>
      <c r="M28" s="34">
        <f t="shared" si="10"/>
        <v>659</v>
      </c>
      <c r="N28" s="34">
        <f t="shared" si="11"/>
        <v>660</v>
      </c>
      <c r="O28" s="34">
        <f t="shared" si="12"/>
        <v>661</v>
      </c>
      <c r="P28" s="34">
        <f t="shared" si="13"/>
        <v>662</v>
      </c>
      <c r="Q28" s="34">
        <f t="shared" si="14"/>
        <v>663</v>
      </c>
      <c r="R28" s="34">
        <f t="shared" si="15"/>
        <v>664</v>
      </c>
      <c r="S28" s="34">
        <f t="shared" si="16"/>
        <v>665</v>
      </c>
      <c r="T28" s="34">
        <f t="shared" si="17"/>
        <v>666</v>
      </c>
      <c r="U28" s="34">
        <f t="shared" si="18"/>
        <v>667</v>
      </c>
      <c r="V28" s="34">
        <f t="shared" si="19"/>
        <v>668</v>
      </c>
      <c r="W28" s="34">
        <f t="shared" si="20"/>
        <v>669</v>
      </c>
      <c r="X28" s="34">
        <f t="shared" si="21"/>
        <v>670</v>
      </c>
      <c r="Y28" s="34">
        <f t="shared" si="22"/>
        <v>671</v>
      </c>
      <c r="Z28" s="34">
        <f t="shared" si="23"/>
        <v>672</v>
      </c>
      <c r="AA28" s="34">
        <f t="shared" si="24"/>
        <v>673</v>
      </c>
      <c r="AB28" s="34">
        <f t="shared" si="25"/>
        <v>674</v>
      </c>
      <c r="AC28" s="35">
        <f t="shared" si="26"/>
        <v>675</v>
      </c>
      <c r="AM28" s="26">
        <v>25</v>
      </c>
      <c r="AN28" s="26">
        <f>MOD(AM28-1, 26)</f>
        <v>24</v>
      </c>
      <c r="AO28" s="26">
        <f t="shared" si="28"/>
        <v>0</v>
      </c>
    </row>
    <row r="29" spans="2:41" x14ac:dyDescent="0.6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M29" s="26">
        <v>26</v>
      </c>
      <c r="AN29" s="26">
        <f t="shared" si="27"/>
        <v>25</v>
      </c>
      <c r="AO29" s="26">
        <f t="shared" si="28"/>
        <v>0</v>
      </c>
    </row>
    <row r="30" spans="2:41" x14ac:dyDescent="0.6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M30" s="26">
        <v>27</v>
      </c>
      <c r="AN30" s="26">
        <f t="shared" si="27"/>
        <v>0</v>
      </c>
      <c r="AO30" s="26">
        <f t="shared" si="28"/>
        <v>1</v>
      </c>
    </row>
    <row r="31" spans="2:41" x14ac:dyDescent="0.6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M31" s="26">
        <v>28</v>
      </c>
      <c r="AN31" s="26">
        <f t="shared" si="27"/>
        <v>1</v>
      </c>
      <c r="AO31" s="26">
        <f t="shared" si="28"/>
        <v>1</v>
      </c>
    </row>
    <row r="32" spans="2:41" x14ac:dyDescent="0.6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M32" s="26">
        <v>29</v>
      </c>
      <c r="AN32" s="26">
        <f t="shared" si="27"/>
        <v>2</v>
      </c>
      <c r="AO32" s="26">
        <f t="shared" si="28"/>
        <v>1</v>
      </c>
    </row>
    <row r="33" spans="3:41" x14ac:dyDescent="0.6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M33" s="26">
        <v>30</v>
      </c>
      <c r="AN33" s="26">
        <f t="shared" si="27"/>
        <v>3</v>
      </c>
      <c r="AO33" s="26">
        <f t="shared" si="28"/>
        <v>1</v>
      </c>
    </row>
    <row r="34" spans="3:41" x14ac:dyDescent="0.6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M34" s="26">
        <v>31</v>
      </c>
      <c r="AN34" s="26">
        <f t="shared" si="27"/>
        <v>4</v>
      </c>
      <c r="AO34" s="26">
        <f t="shared" si="28"/>
        <v>1</v>
      </c>
    </row>
    <row r="35" spans="3:41" x14ac:dyDescent="0.6"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M35" s="26">
        <v>32</v>
      </c>
      <c r="AN35" s="26">
        <f t="shared" si="27"/>
        <v>5</v>
      </c>
      <c r="AO35" s="26">
        <f t="shared" si="28"/>
        <v>1</v>
      </c>
    </row>
    <row r="36" spans="3:41" x14ac:dyDescent="0.6"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M36" s="26">
        <v>33</v>
      </c>
      <c r="AN36" s="26">
        <f t="shared" si="27"/>
        <v>6</v>
      </c>
      <c r="AO36" s="26">
        <f t="shared" si="28"/>
        <v>1</v>
      </c>
    </row>
    <row r="37" spans="3:41" x14ac:dyDescent="0.6"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M37" s="26">
        <v>34</v>
      </c>
      <c r="AN37" s="26">
        <f t="shared" si="27"/>
        <v>7</v>
      </c>
      <c r="AO37" s="26">
        <f t="shared" si="28"/>
        <v>1</v>
      </c>
    </row>
    <row r="38" spans="3:41" x14ac:dyDescent="0.6"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M38" s="26">
        <v>35</v>
      </c>
      <c r="AN38" s="26">
        <f t="shared" si="27"/>
        <v>8</v>
      </c>
      <c r="AO38" s="26">
        <f t="shared" si="28"/>
        <v>1</v>
      </c>
    </row>
    <row r="39" spans="3:41" x14ac:dyDescent="0.6"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M39" s="26">
        <v>36</v>
      </c>
      <c r="AN39" s="26">
        <f t="shared" si="27"/>
        <v>9</v>
      </c>
      <c r="AO39" s="26">
        <f t="shared" si="28"/>
        <v>1</v>
      </c>
    </row>
    <row r="40" spans="3:41" x14ac:dyDescent="0.6"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M40" s="26">
        <v>37</v>
      </c>
      <c r="AN40" s="26">
        <f t="shared" si="27"/>
        <v>10</v>
      </c>
      <c r="AO40" s="26">
        <f t="shared" si="28"/>
        <v>1</v>
      </c>
    </row>
    <row r="41" spans="3:41" x14ac:dyDescent="0.6"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M41" s="26">
        <v>38</v>
      </c>
      <c r="AN41" s="26">
        <f t="shared" si="27"/>
        <v>11</v>
      </c>
      <c r="AO41" s="26">
        <f t="shared" si="28"/>
        <v>1</v>
      </c>
    </row>
    <row r="42" spans="3:41" x14ac:dyDescent="0.6"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M42" s="26">
        <v>39</v>
      </c>
      <c r="AN42" s="26">
        <f t="shared" si="27"/>
        <v>12</v>
      </c>
      <c r="AO42" s="26">
        <f t="shared" si="28"/>
        <v>1</v>
      </c>
    </row>
    <row r="43" spans="3:41" x14ac:dyDescent="0.6"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M43" s="26">
        <v>40</v>
      </c>
      <c r="AN43" s="26">
        <f t="shared" si="27"/>
        <v>13</v>
      </c>
      <c r="AO43" s="26">
        <f t="shared" si="28"/>
        <v>1</v>
      </c>
    </row>
    <row r="44" spans="3:41" x14ac:dyDescent="0.6"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M44" s="26">
        <v>41</v>
      </c>
      <c r="AN44" s="26">
        <f t="shared" si="27"/>
        <v>14</v>
      </c>
      <c r="AO44" s="26">
        <f t="shared" si="28"/>
        <v>1</v>
      </c>
    </row>
    <row r="45" spans="3:41" x14ac:dyDescent="0.6"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M45" s="26">
        <v>42</v>
      </c>
      <c r="AN45" s="26">
        <f t="shared" si="27"/>
        <v>15</v>
      </c>
      <c r="AO45" s="26">
        <f t="shared" si="28"/>
        <v>1</v>
      </c>
    </row>
    <row r="46" spans="3:41" x14ac:dyDescent="0.6"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M46" s="26">
        <v>43</v>
      </c>
      <c r="AN46" s="26">
        <f t="shared" si="27"/>
        <v>16</v>
      </c>
      <c r="AO46" s="26">
        <f t="shared" si="28"/>
        <v>1</v>
      </c>
    </row>
    <row r="47" spans="3:41" x14ac:dyDescent="0.6"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M47" s="26">
        <v>44</v>
      </c>
      <c r="AN47" s="26">
        <f t="shared" si="27"/>
        <v>17</v>
      </c>
      <c r="AO47" s="26">
        <f t="shared" si="28"/>
        <v>1</v>
      </c>
    </row>
    <row r="48" spans="3:41" x14ac:dyDescent="0.6"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M48" s="26">
        <v>45</v>
      </c>
      <c r="AN48" s="26">
        <f t="shared" si="27"/>
        <v>18</v>
      </c>
      <c r="AO48" s="26">
        <f t="shared" si="28"/>
        <v>1</v>
      </c>
    </row>
    <row r="49" spans="4:41" x14ac:dyDescent="0.6"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M49" s="26">
        <v>46</v>
      </c>
      <c r="AN49" s="26">
        <f t="shared" si="27"/>
        <v>19</v>
      </c>
      <c r="AO49" s="26">
        <f t="shared" si="28"/>
        <v>1</v>
      </c>
    </row>
    <row r="50" spans="4:41" x14ac:dyDescent="0.6"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M50" s="26">
        <v>47</v>
      </c>
      <c r="AN50" s="26">
        <f t="shared" si="27"/>
        <v>20</v>
      </c>
      <c r="AO50" s="26">
        <f t="shared" si="28"/>
        <v>1</v>
      </c>
    </row>
    <row r="51" spans="4:41" x14ac:dyDescent="0.6">
      <c r="AM51" s="26">
        <v>48</v>
      </c>
      <c r="AN51" s="26">
        <f t="shared" si="27"/>
        <v>21</v>
      </c>
      <c r="AO51" s="26">
        <f t="shared" si="28"/>
        <v>1</v>
      </c>
    </row>
    <row r="52" spans="4:41" x14ac:dyDescent="0.6">
      <c r="AM52" s="26">
        <v>49</v>
      </c>
      <c r="AN52" s="26">
        <f t="shared" si="27"/>
        <v>22</v>
      </c>
      <c r="AO52" s="26">
        <f t="shared" si="28"/>
        <v>1</v>
      </c>
    </row>
    <row r="53" spans="4:41" x14ac:dyDescent="0.6">
      <c r="AM53" s="26">
        <v>50</v>
      </c>
      <c r="AN53" s="26">
        <f t="shared" si="27"/>
        <v>23</v>
      </c>
      <c r="AO53" s="26">
        <f t="shared" si="28"/>
        <v>1</v>
      </c>
    </row>
    <row r="54" spans="4:41" x14ac:dyDescent="0.6">
      <c r="AM54" s="26">
        <v>51</v>
      </c>
      <c r="AN54" s="26">
        <f t="shared" si="27"/>
        <v>24</v>
      </c>
      <c r="AO54" s="26">
        <f t="shared" si="28"/>
        <v>1</v>
      </c>
    </row>
    <row r="55" spans="4:41" x14ac:dyDescent="0.6">
      <c r="AM55" s="26">
        <v>52</v>
      </c>
      <c r="AN55" s="26">
        <f t="shared" si="27"/>
        <v>25</v>
      </c>
      <c r="AO55" s="26">
        <f t="shared" si="28"/>
        <v>1</v>
      </c>
    </row>
    <row r="56" spans="4:41" x14ac:dyDescent="0.6">
      <c r="AM56" s="26">
        <v>53</v>
      </c>
      <c r="AN56" s="26">
        <f t="shared" si="27"/>
        <v>0</v>
      </c>
      <c r="AO56" s="26">
        <f t="shared" si="28"/>
        <v>2</v>
      </c>
    </row>
    <row r="57" spans="4:41" x14ac:dyDescent="0.6">
      <c r="AM57" s="26">
        <v>54</v>
      </c>
      <c r="AN57" s="26">
        <f t="shared" si="27"/>
        <v>1</v>
      </c>
      <c r="AO57" s="26">
        <f t="shared" si="28"/>
        <v>2</v>
      </c>
    </row>
    <row r="58" spans="4:41" x14ac:dyDescent="0.6">
      <c r="AM58" s="26">
        <v>55</v>
      </c>
      <c r="AN58" s="26">
        <f t="shared" si="27"/>
        <v>2</v>
      </c>
      <c r="AO58" s="26">
        <f t="shared" si="28"/>
        <v>2</v>
      </c>
    </row>
    <row r="59" spans="4:41" x14ac:dyDescent="0.6">
      <c r="AM59" s="26">
        <v>56</v>
      </c>
      <c r="AN59" s="26">
        <f t="shared" si="27"/>
        <v>3</v>
      </c>
      <c r="AO59" s="26">
        <f t="shared" si="28"/>
        <v>2</v>
      </c>
    </row>
    <row r="60" spans="4:41" x14ac:dyDescent="0.6">
      <c r="AM60" s="26">
        <v>57</v>
      </c>
      <c r="AN60" s="26">
        <f t="shared" si="27"/>
        <v>4</v>
      </c>
      <c r="AO60" s="26">
        <f t="shared" si="28"/>
        <v>2</v>
      </c>
    </row>
    <row r="61" spans="4:41" x14ac:dyDescent="0.6">
      <c r="AM61" s="26">
        <v>58</v>
      </c>
      <c r="AN61" s="26">
        <f t="shared" si="27"/>
        <v>5</v>
      </c>
      <c r="AO61" s="26">
        <f t="shared" si="28"/>
        <v>2</v>
      </c>
    </row>
    <row r="62" spans="4:41" x14ac:dyDescent="0.6">
      <c r="AM62" s="26">
        <v>59</v>
      </c>
      <c r="AN62" s="26">
        <f t="shared" si="27"/>
        <v>6</v>
      </c>
      <c r="AO62" s="26">
        <f t="shared" si="28"/>
        <v>2</v>
      </c>
    </row>
    <row r="63" spans="4:41" x14ac:dyDescent="0.6">
      <c r="AM63" s="26">
        <v>60</v>
      </c>
      <c r="AN63" s="26">
        <f t="shared" si="27"/>
        <v>7</v>
      </c>
      <c r="AO63" s="26">
        <f t="shared" si="28"/>
        <v>2</v>
      </c>
    </row>
    <row r="64" spans="4:41" x14ac:dyDescent="0.6">
      <c r="AM64" s="26">
        <v>61</v>
      </c>
      <c r="AN64" s="26">
        <f t="shared" si="27"/>
        <v>8</v>
      </c>
      <c r="AO64" s="26">
        <f t="shared" si="28"/>
        <v>2</v>
      </c>
    </row>
    <row r="65" spans="39:41" x14ac:dyDescent="0.6">
      <c r="AM65" s="26">
        <v>62</v>
      </c>
      <c r="AN65" s="26">
        <f t="shared" si="27"/>
        <v>9</v>
      </c>
      <c r="AO65" s="26">
        <f t="shared" si="28"/>
        <v>2</v>
      </c>
    </row>
    <row r="66" spans="39:41" x14ac:dyDescent="0.6">
      <c r="AM66" s="26">
        <v>63</v>
      </c>
      <c r="AN66" s="26">
        <f t="shared" si="27"/>
        <v>10</v>
      </c>
      <c r="AO66" s="26">
        <f t="shared" si="28"/>
        <v>2</v>
      </c>
    </row>
  </sheetData>
  <mergeCells count="2">
    <mergeCell ref="B3:B18"/>
    <mergeCell ref="B19:B2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2:T64"/>
  <sheetViews>
    <sheetView workbookViewId="0"/>
  </sheetViews>
  <sheetFormatPr defaultRowHeight="16.899999999999999" x14ac:dyDescent="0.6"/>
  <cols>
    <col min="1" max="1" width="2.625" customWidth="1"/>
    <col min="18" max="18" width="11" bestFit="1" customWidth="1"/>
  </cols>
  <sheetData>
    <row r="2" spans="14:20" x14ac:dyDescent="0.6">
      <c r="N2" t="s">
        <v>0</v>
      </c>
      <c r="O2" t="s">
        <v>1</v>
      </c>
      <c r="P2" t="s">
        <v>2</v>
      </c>
      <c r="Q2" t="s">
        <v>182</v>
      </c>
      <c r="R2" t="s">
        <v>4</v>
      </c>
      <c r="S2" t="s">
        <v>5</v>
      </c>
      <c r="T2" t="s">
        <v>3</v>
      </c>
    </row>
    <row r="3" spans="14:20" x14ac:dyDescent="0.6">
      <c r="N3">
        <v>0</v>
      </c>
      <c r="O3">
        <v>20.399999999999999</v>
      </c>
      <c r="P3">
        <v>12</v>
      </c>
      <c r="Q3">
        <v>1.2090000000000001</v>
      </c>
      <c r="R3">
        <f>Q3/P3*O3</f>
        <v>2.0552999999999999</v>
      </c>
      <c r="S3">
        <v>0</v>
      </c>
      <c r="T3">
        <f>$R$3*S3/511</f>
        <v>0</v>
      </c>
    </row>
    <row r="4" spans="14:20" x14ac:dyDescent="0.6">
      <c r="S4">
        <v>1</v>
      </c>
      <c r="T4">
        <f t="shared" ref="T4:T64" si="0">$R$3*S4/511</f>
        <v>4.0221135029354206E-3</v>
      </c>
    </row>
    <row r="5" spans="14:20" x14ac:dyDescent="0.6">
      <c r="S5">
        <v>2</v>
      </c>
      <c r="T5">
        <f t="shared" si="0"/>
        <v>8.0442270058708413E-3</v>
      </c>
    </row>
    <row r="6" spans="14:20" x14ac:dyDescent="0.6">
      <c r="S6">
        <v>3</v>
      </c>
      <c r="T6">
        <f t="shared" si="0"/>
        <v>1.2066340508806261E-2</v>
      </c>
    </row>
    <row r="7" spans="14:20" x14ac:dyDescent="0.6">
      <c r="S7">
        <v>4</v>
      </c>
      <c r="T7">
        <f t="shared" si="0"/>
        <v>1.6088454011741683E-2</v>
      </c>
    </row>
    <row r="8" spans="14:20" x14ac:dyDescent="0.6">
      <c r="S8">
        <v>5</v>
      </c>
      <c r="T8">
        <f t="shared" si="0"/>
        <v>2.0110567514677102E-2</v>
      </c>
    </row>
    <row r="9" spans="14:20" x14ac:dyDescent="0.6">
      <c r="S9">
        <v>6</v>
      </c>
      <c r="T9">
        <f t="shared" si="0"/>
        <v>2.4132681017612522E-2</v>
      </c>
    </row>
    <row r="10" spans="14:20" x14ac:dyDescent="0.6">
      <c r="S10">
        <v>7</v>
      </c>
      <c r="T10">
        <f t="shared" si="0"/>
        <v>2.8154794520547945E-2</v>
      </c>
    </row>
    <row r="11" spans="14:20" x14ac:dyDescent="0.6">
      <c r="S11">
        <v>8</v>
      </c>
      <c r="T11">
        <f t="shared" si="0"/>
        <v>3.2176908023483365E-2</v>
      </c>
    </row>
    <row r="12" spans="14:20" x14ac:dyDescent="0.6">
      <c r="S12">
        <v>9</v>
      </c>
      <c r="T12">
        <f t="shared" si="0"/>
        <v>3.6199021526418781E-2</v>
      </c>
    </row>
    <row r="13" spans="14:20" x14ac:dyDescent="0.6">
      <c r="S13">
        <v>10</v>
      </c>
      <c r="T13">
        <f t="shared" si="0"/>
        <v>4.0221135029354205E-2</v>
      </c>
    </row>
    <row r="14" spans="14:20" x14ac:dyDescent="0.6">
      <c r="S14">
        <v>20</v>
      </c>
      <c r="T14">
        <f t="shared" si="0"/>
        <v>8.0442270058708409E-2</v>
      </c>
    </row>
    <row r="15" spans="14:20" x14ac:dyDescent="0.6">
      <c r="S15">
        <v>25</v>
      </c>
      <c r="T15">
        <f t="shared" si="0"/>
        <v>0.10055283757338553</v>
      </c>
    </row>
    <row r="16" spans="14:20" x14ac:dyDescent="0.6">
      <c r="S16">
        <v>40</v>
      </c>
      <c r="T16">
        <f t="shared" si="0"/>
        <v>0.16088454011741682</v>
      </c>
    </row>
    <row r="17" spans="19:20" x14ac:dyDescent="0.6">
      <c r="S17">
        <v>50</v>
      </c>
      <c r="T17">
        <f t="shared" si="0"/>
        <v>0.20110567514677105</v>
      </c>
    </row>
    <row r="18" spans="19:20" x14ac:dyDescent="0.6">
      <c r="S18">
        <v>60</v>
      </c>
      <c r="T18">
        <f t="shared" si="0"/>
        <v>0.24132681017612523</v>
      </c>
    </row>
    <row r="19" spans="19:20" x14ac:dyDescent="0.6">
      <c r="S19">
        <v>70</v>
      </c>
      <c r="T19">
        <f t="shared" si="0"/>
        <v>0.28154794520547943</v>
      </c>
    </row>
    <row r="20" spans="19:20" x14ac:dyDescent="0.6">
      <c r="S20">
        <v>80</v>
      </c>
      <c r="T20">
        <f t="shared" si="0"/>
        <v>0.32176908023483364</v>
      </c>
    </row>
    <row r="21" spans="19:20" x14ac:dyDescent="0.6">
      <c r="S21">
        <v>90</v>
      </c>
      <c r="T21">
        <f t="shared" si="0"/>
        <v>0.3619902152641879</v>
      </c>
    </row>
    <row r="22" spans="19:20" x14ac:dyDescent="0.6">
      <c r="S22">
        <v>100</v>
      </c>
      <c r="T22">
        <f t="shared" si="0"/>
        <v>0.4022113502935421</v>
      </c>
    </row>
    <row r="23" spans="19:20" x14ac:dyDescent="0.6">
      <c r="S23">
        <v>110</v>
      </c>
      <c r="T23">
        <f t="shared" si="0"/>
        <v>0.44243248532289625</v>
      </c>
    </row>
    <row r="24" spans="19:20" x14ac:dyDescent="0.6">
      <c r="S24">
        <v>120</v>
      </c>
      <c r="T24">
        <f t="shared" si="0"/>
        <v>0.48265362035225046</v>
      </c>
    </row>
    <row r="25" spans="19:20" x14ac:dyDescent="0.6">
      <c r="S25">
        <v>130</v>
      </c>
      <c r="T25">
        <f t="shared" si="0"/>
        <v>0.52287475538160466</v>
      </c>
    </row>
    <row r="26" spans="19:20" x14ac:dyDescent="0.6">
      <c r="S26">
        <v>140</v>
      </c>
      <c r="T26">
        <f t="shared" si="0"/>
        <v>0.56309589041095887</v>
      </c>
    </row>
    <row r="27" spans="19:20" x14ac:dyDescent="0.6">
      <c r="S27">
        <v>150</v>
      </c>
      <c r="T27">
        <f t="shared" si="0"/>
        <v>0.60331702544031307</v>
      </c>
    </row>
    <row r="28" spans="19:20" x14ac:dyDescent="0.6">
      <c r="S28">
        <v>160</v>
      </c>
      <c r="T28">
        <f t="shared" si="0"/>
        <v>0.64353816046966728</v>
      </c>
    </row>
    <row r="29" spans="19:20" x14ac:dyDescent="0.6">
      <c r="S29">
        <v>170</v>
      </c>
      <c r="T29">
        <f t="shared" si="0"/>
        <v>0.68375929549902159</v>
      </c>
    </row>
    <row r="30" spans="19:20" x14ac:dyDescent="0.6">
      <c r="S30">
        <v>180</v>
      </c>
      <c r="T30">
        <f t="shared" si="0"/>
        <v>0.7239804305283758</v>
      </c>
    </row>
    <row r="31" spans="19:20" x14ac:dyDescent="0.6">
      <c r="S31">
        <v>190</v>
      </c>
      <c r="T31">
        <f t="shared" si="0"/>
        <v>0.76420156555773</v>
      </c>
    </row>
    <row r="32" spans="19:20" x14ac:dyDescent="0.6">
      <c r="S32">
        <v>200</v>
      </c>
      <c r="T32">
        <f t="shared" si="0"/>
        <v>0.80442270058708421</v>
      </c>
    </row>
    <row r="33" spans="19:20" x14ac:dyDescent="0.6">
      <c r="S33">
        <v>210</v>
      </c>
      <c r="T33">
        <f t="shared" si="0"/>
        <v>0.84464383561643841</v>
      </c>
    </row>
    <row r="34" spans="19:20" x14ac:dyDescent="0.6">
      <c r="S34">
        <v>220</v>
      </c>
      <c r="T34">
        <f t="shared" si="0"/>
        <v>0.8848649706457925</v>
      </c>
    </row>
    <row r="35" spans="19:20" x14ac:dyDescent="0.6">
      <c r="S35">
        <v>230</v>
      </c>
      <c r="T35">
        <f t="shared" si="0"/>
        <v>0.92508610567514671</v>
      </c>
    </row>
    <row r="36" spans="19:20" x14ac:dyDescent="0.6">
      <c r="S36">
        <v>240</v>
      </c>
      <c r="T36">
        <f t="shared" si="0"/>
        <v>0.96530724070450091</v>
      </c>
    </row>
    <row r="37" spans="19:20" x14ac:dyDescent="0.6">
      <c r="S37">
        <v>250</v>
      </c>
      <c r="T37">
        <f t="shared" si="0"/>
        <v>1.0055283757338551</v>
      </c>
    </row>
    <row r="38" spans="19:20" x14ac:dyDescent="0.6">
      <c r="S38">
        <v>256</v>
      </c>
      <c r="T38">
        <f t="shared" si="0"/>
        <v>1.0296610567514677</v>
      </c>
    </row>
    <row r="39" spans="19:20" x14ac:dyDescent="0.6">
      <c r="S39">
        <v>270</v>
      </c>
      <c r="T39">
        <f t="shared" si="0"/>
        <v>1.0859706457925635</v>
      </c>
    </row>
    <row r="40" spans="19:20" x14ac:dyDescent="0.6">
      <c r="S40">
        <v>280</v>
      </c>
      <c r="T40">
        <f t="shared" si="0"/>
        <v>1.1261917808219177</v>
      </c>
    </row>
    <row r="41" spans="19:20" x14ac:dyDescent="0.6">
      <c r="S41">
        <v>290</v>
      </c>
      <c r="T41">
        <f t="shared" si="0"/>
        <v>1.1664129158512719</v>
      </c>
    </row>
    <row r="42" spans="19:20" x14ac:dyDescent="0.6">
      <c r="S42">
        <v>300</v>
      </c>
      <c r="T42">
        <f t="shared" si="0"/>
        <v>1.2066340508806261</v>
      </c>
    </row>
    <row r="43" spans="19:20" x14ac:dyDescent="0.6">
      <c r="S43">
        <v>310</v>
      </c>
      <c r="T43">
        <f t="shared" si="0"/>
        <v>1.2468551859099803</v>
      </c>
    </row>
    <row r="44" spans="19:20" x14ac:dyDescent="0.6">
      <c r="S44">
        <v>320</v>
      </c>
      <c r="T44">
        <f t="shared" si="0"/>
        <v>1.2870763209393346</v>
      </c>
    </row>
    <row r="45" spans="19:20" x14ac:dyDescent="0.6">
      <c r="S45">
        <v>330</v>
      </c>
      <c r="T45">
        <f t="shared" si="0"/>
        <v>1.327297455968689</v>
      </c>
    </row>
    <row r="46" spans="19:20" x14ac:dyDescent="0.6">
      <c r="S46">
        <v>340</v>
      </c>
      <c r="T46">
        <f t="shared" si="0"/>
        <v>1.3675185909980432</v>
      </c>
    </row>
    <row r="47" spans="19:20" x14ac:dyDescent="0.6">
      <c r="S47">
        <v>350</v>
      </c>
      <c r="T47">
        <f t="shared" si="0"/>
        <v>1.4077397260273974</v>
      </c>
    </row>
    <row r="48" spans="19:20" x14ac:dyDescent="0.6">
      <c r="S48">
        <v>360</v>
      </c>
      <c r="T48">
        <f t="shared" si="0"/>
        <v>1.4479608610567516</v>
      </c>
    </row>
    <row r="49" spans="19:20" x14ac:dyDescent="0.6">
      <c r="S49">
        <v>370</v>
      </c>
      <c r="T49">
        <f t="shared" si="0"/>
        <v>1.4881819960861058</v>
      </c>
    </row>
    <row r="50" spans="19:20" x14ac:dyDescent="0.6">
      <c r="S50">
        <v>380</v>
      </c>
      <c r="T50">
        <f t="shared" si="0"/>
        <v>1.52840313111546</v>
      </c>
    </row>
    <row r="51" spans="19:20" x14ac:dyDescent="0.6">
      <c r="S51">
        <v>390</v>
      </c>
      <c r="T51">
        <f t="shared" si="0"/>
        <v>1.5686242661448142</v>
      </c>
    </row>
    <row r="52" spans="19:20" x14ac:dyDescent="0.6">
      <c r="S52">
        <v>400</v>
      </c>
      <c r="T52">
        <f t="shared" si="0"/>
        <v>1.6088454011741684</v>
      </c>
    </row>
    <row r="53" spans="19:20" x14ac:dyDescent="0.6">
      <c r="S53">
        <v>410</v>
      </c>
      <c r="T53">
        <f t="shared" si="0"/>
        <v>1.6490665362035226</v>
      </c>
    </row>
    <row r="54" spans="19:20" x14ac:dyDescent="0.6">
      <c r="S54">
        <v>420</v>
      </c>
      <c r="T54">
        <f t="shared" si="0"/>
        <v>1.6892876712328768</v>
      </c>
    </row>
    <row r="55" spans="19:20" x14ac:dyDescent="0.6">
      <c r="S55">
        <v>430</v>
      </c>
      <c r="T55">
        <f t="shared" si="0"/>
        <v>1.7295088062622308</v>
      </c>
    </row>
    <row r="56" spans="19:20" x14ac:dyDescent="0.6">
      <c r="S56">
        <v>440</v>
      </c>
      <c r="T56">
        <f t="shared" si="0"/>
        <v>1.769729941291585</v>
      </c>
    </row>
    <row r="57" spans="19:20" x14ac:dyDescent="0.6">
      <c r="S57">
        <v>450</v>
      </c>
      <c r="T57">
        <f t="shared" si="0"/>
        <v>1.8099510763209392</v>
      </c>
    </row>
    <row r="58" spans="19:20" x14ac:dyDescent="0.6">
      <c r="S58">
        <v>460</v>
      </c>
      <c r="T58">
        <f t="shared" si="0"/>
        <v>1.8501722113502934</v>
      </c>
    </row>
    <row r="59" spans="19:20" x14ac:dyDescent="0.6">
      <c r="S59">
        <v>470</v>
      </c>
      <c r="T59">
        <f t="shared" si="0"/>
        <v>1.8903933463796476</v>
      </c>
    </row>
    <row r="60" spans="19:20" x14ac:dyDescent="0.6">
      <c r="S60">
        <v>480</v>
      </c>
      <c r="T60">
        <f t="shared" si="0"/>
        <v>1.9306144814090018</v>
      </c>
    </row>
    <row r="61" spans="19:20" x14ac:dyDescent="0.6">
      <c r="S61">
        <v>490</v>
      </c>
      <c r="T61">
        <f t="shared" si="0"/>
        <v>1.970835616438356</v>
      </c>
    </row>
    <row r="62" spans="19:20" x14ac:dyDescent="0.6">
      <c r="S62">
        <v>500</v>
      </c>
      <c r="T62">
        <f t="shared" si="0"/>
        <v>2.0110567514677102</v>
      </c>
    </row>
    <row r="63" spans="19:20" x14ac:dyDescent="0.6">
      <c r="S63">
        <v>510</v>
      </c>
      <c r="T63">
        <f t="shared" si="0"/>
        <v>2.0512778864970644</v>
      </c>
    </row>
    <row r="64" spans="19:20" x14ac:dyDescent="0.6">
      <c r="S64">
        <v>511</v>
      </c>
      <c r="T64">
        <f t="shared" si="0"/>
        <v>2.0552999999999999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438F-4E10-40CD-B988-9C47A9325743}">
  <dimension ref="B1:O11"/>
  <sheetViews>
    <sheetView workbookViewId="0"/>
  </sheetViews>
  <sheetFormatPr defaultRowHeight="16.899999999999999" x14ac:dyDescent="0.6"/>
  <sheetData>
    <row r="1" spans="2:15" ht="17.25" thickBot="1" x14ac:dyDescent="0.65"/>
    <row r="2" spans="2:15" ht="17.25" thickBot="1" x14ac:dyDescent="0.65">
      <c r="B2" s="58" t="s">
        <v>45</v>
      </c>
      <c r="C2" s="59"/>
      <c r="D2" s="59"/>
      <c r="E2" s="59"/>
      <c r="F2" s="59"/>
      <c r="G2" s="60"/>
      <c r="H2" s="58" t="s">
        <v>54</v>
      </c>
      <c r="I2" s="59"/>
      <c r="J2" s="59"/>
      <c r="K2" s="59"/>
      <c r="L2" s="59"/>
      <c r="M2" s="59"/>
      <c r="N2" s="59"/>
      <c r="O2" s="60"/>
    </row>
    <row r="3" spans="2:15" ht="17.25" thickBot="1" x14ac:dyDescent="0.65">
      <c r="B3" s="18" t="s">
        <v>46</v>
      </c>
      <c r="C3" s="19" t="s">
        <v>47</v>
      </c>
      <c r="D3" s="20" t="s">
        <v>48</v>
      </c>
      <c r="E3" s="18" t="s">
        <v>49</v>
      </c>
      <c r="F3" s="19" t="s">
        <v>50</v>
      </c>
      <c r="G3" s="21" t="s">
        <v>51</v>
      </c>
      <c r="H3" s="18" t="s">
        <v>55</v>
      </c>
      <c r="I3" s="19" t="s">
        <v>56</v>
      </c>
      <c r="J3" s="19" t="s">
        <v>57</v>
      </c>
      <c r="K3" s="19" t="s">
        <v>58</v>
      </c>
      <c r="L3" s="19" t="s">
        <v>59</v>
      </c>
      <c r="M3" s="19" t="s">
        <v>60</v>
      </c>
      <c r="N3" s="19" t="s">
        <v>61</v>
      </c>
      <c r="O3" s="21" t="s">
        <v>62</v>
      </c>
    </row>
    <row r="4" spans="2:15" x14ac:dyDescent="0.6">
      <c r="B4" s="12" t="s">
        <v>52</v>
      </c>
      <c r="C4" s="13" t="s">
        <v>52</v>
      </c>
      <c r="D4" s="16" t="s">
        <v>53</v>
      </c>
      <c r="E4" s="12" t="s">
        <v>52</v>
      </c>
      <c r="F4" s="13" t="s">
        <v>52</v>
      </c>
      <c r="G4" s="14" t="s">
        <v>52</v>
      </c>
      <c r="H4" s="22" t="s">
        <v>52</v>
      </c>
      <c r="I4" s="13" t="s">
        <v>53</v>
      </c>
      <c r="J4" s="13" t="s">
        <v>53</v>
      </c>
      <c r="K4" s="13" t="s">
        <v>53</v>
      </c>
      <c r="L4" s="13" t="s">
        <v>53</v>
      </c>
      <c r="M4" s="13" t="s">
        <v>53</v>
      </c>
      <c r="N4" s="13" t="s">
        <v>53</v>
      </c>
      <c r="O4" s="14" t="s">
        <v>53</v>
      </c>
    </row>
    <row r="5" spans="2:15" x14ac:dyDescent="0.6">
      <c r="B5" s="6" t="s">
        <v>52</v>
      </c>
      <c r="C5" s="7" t="s">
        <v>52</v>
      </c>
      <c r="D5" s="17" t="s">
        <v>53</v>
      </c>
      <c r="E5" s="6" t="s">
        <v>53</v>
      </c>
      <c r="F5" s="7" t="s">
        <v>52</v>
      </c>
      <c r="G5" s="8" t="s">
        <v>52</v>
      </c>
      <c r="H5" s="6" t="s">
        <v>53</v>
      </c>
      <c r="I5" s="23" t="s">
        <v>52</v>
      </c>
      <c r="J5" s="7" t="s">
        <v>53</v>
      </c>
      <c r="K5" s="7" t="s">
        <v>53</v>
      </c>
      <c r="L5" s="7" t="s">
        <v>53</v>
      </c>
      <c r="M5" s="7" t="s">
        <v>53</v>
      </c>
      <c r="N5" s="7" t="s">
        <v>53</v>
      </c>
      <c r="O5" s="8" t="s">
        <v>53</v>
      </c>
    </row>
    <row r="6" spans="2:15" x14ac:dyDescent="0.6">
      <c r="B6" s="6" t="s">
        <v>52</v>
      </c>
      <c r="C6" s="7" t="s">
        <v>52</v>
      </c>
      <c r="D6" s="17" t="s">
        <v>53</v>
      </c>
      <c r="E6" s="6" t="s">
        <v>52</v>
      </c>
      <c r="F6" s="7" t="s">
        <v>53</v>
      </c>
      <c r="G6" s="8" t="s">
        <v>52</v>
      </c>
      <c r="H6" s="6" t="s">
        <v>53</v>
      </c>
      <c r="I6" s="7" t="s">
        <v>53</v>
      </c>
      <c r="J6" s="23" t="s">
        <v>52</v>
      </c>
      <c r="K6" s="7" t="s">
        <v>53</v>
      </c>
      <c r="L6" s="7" t="s">
        <v>53</v>
      </c>
      <c r="M6" s="7" t="s">
        <v>53</v>
      </c>
      <c r="N6" s="7" t="s">
        <v>53</v>
      </c>
      <c r="O6" s="8" t="s">
        <v>53</v>
      </c>
    </row>
    <row r="7" spans="2:15" x14ac:dyDescent="0.6">
      <c r="B7" s="6" t="s">
        <v>52</v>
      </c>
      <c r="C7" s="7" t="s">
        <v>52</v>
      </c>
      <c r="D7" s="17" t="s">
        <v>53</v>
      </c>
      <c r="E7" s="6" t="s">
        <v>53</v>
      </c>
      <c r="F7" s="7" t="s">
        <v>53</v>
      </c>
      <c r="G7" s="8" t="s">
        <v>52</v>
      </c>
      <c r="H7" s="6" t="s">
        <v>53</v>
      </c>
      <c r="I7" s="7" t="s">
        <v>53</v>
      </c>
      <c r="J7" s="7" t="s">
        <v>53</v>
      </c>
      <c r="K7" s="23" t="s">
        <v>52</v>
      </c>
      <c r="L7" s="7" t="s">
        <v>53</v>
      </c>
      <c r="M7" s="7" t="s">
        <v>53</v>
      </c>
      <c r="N7" s="7" t="s">
        <v>53</v>
      </c>
      <c r="O7" s="8" t="s">
        <v>53</v>
      </c>
    </row>
    <row r="8" spans="2:15" x14ac:dyDescent="0.6">
      <c r="B8" s="6" t="s">
        <v>52</v>
      </c>
      <c r="C8" s="7" t="s">
        <v>52</v>
      </c>
      <c r="D8" s="17" t="s">
        <v>53</v>
      </c>
      <c r="E8" s="6" t="s">
        <v>52</v>
      </c>
      <c r="F8" s="7" t="s">
        <v>52</v>
      </c>
      <c r="G8" s="8" t="s">
        <v>53</v>
      </c>
      <c r="H8" s="6" t="s">
        <v>53</v>
      </c>
      <c r="I8" s="7" t="s">
        <v>53</v>
      </c>
      <c r="J8" s="7" t="s">
        <v>53</v>
      </c>
      <c r="K8" s="7" t="s">
        <v>53</v>
      </c>
      <c r="L8" s="23" t="s">
        <v>52</v>
      </c>
      <c r="M8" s="7" t="s">
        <v>53</v>
      </c>
      <c r="N8" s="7" t="s">
        <v>53</v>
      </c>
      <c r="O8" s="8" t="s">
        <v>53</v>
      </c>
    </row>
    <row r="9" spans="2:15" x14ac:dyDescent="0.6">
      <c r="B9" s="6" t="s">
        <v>52</v>
      </c>
      <c r="C9" s="7" t="s">
        <v>52</v>
      </c>
      <c r="D9" s="17" t="s">
        <v>53</v>
      </c>
      <c r="E9" s="6" t="s">
        <v>53</v>
      </c>
      <c r="F9" s="7" t="s">
        <v>52</v>
      </c>
      <c r="G9" s="8" t="s">
        <v>53</v>
      </c>
      <c r="H9" s="6" t="s">
        <v>53</v>
      </c>
      <c r="I9" s="7" t="s">
        <v>53</v>
      </c>
      <c r="J9" s="7" t="s">
        <v>53</v>
      </c>
      <c r="K9" s="7" t="s">
        <v>53</v>
      </c>
      <c r="L9" s="7" t="s">
        <v>53</v>
      </c>
      <c r="M9" s="23" t="s">
        <v>52</v>
      </c>
      <c r="N9" s="7" t="s">
        <v>53</v>
      </c>
      <c r="O9" s="8" t="s">
        <v>53</v>
      </c>
    </row>
    <row r="10" spans="2:15" x14ac:dyDescent="0.6">
      <c r="B10" s="6" t="s">
        <v>52</v>
      </c>
      <c r="C10" s="7" t="s">
        <v>52</v>
      </c>
      <c r="D10" s="17" t="s">
        <v>53</v>
      </c>
      <c r="E10" s="6" t="s">
        <v>52</v>
      </c>
      <c r="F10" s="7" t="s">
        <v>53</v>
      </c>
      <c r="G10" s="8" t="s">
        <v>53</v>
      </c>
      <c r="H10" s="6" t="s">
        <v>53</v>
      </c>
      <c r="I10" s="7" t="s">
        <v>53</v>
      </c>
      <c r="J10" s="7" t="s">
        <v>53</v>
      </c>
      <c r="K10" s="7" t="s">
        <v>53</v>
      </c>
      <c r="L10" s="7" t="s">
        <v>53</v>
      </c>
      <c r="M10" s="7" t="s">
        <v>53</v>
      </c>
      <c r="N10" s="23" t="s">
        <v>52</v>
      </c>
      <c r="O10" s="8" t="s">
        <v>53</v>
      </c>
    </row>
    <row r="11" spans="2:15" ht="17.25" thickBot="1" x14ac:dyDescent="0.65">
      <c r="B11" s="9" t="s">
        <v>52</v>
      </c>
      <c r="C11" s="10" t="s">
        <v>52</v>
      </c>
      <c r="D11" s="15" t="s">
        <v>53</v>
      </c>
      <c r="E11" s="9" t="s">
        <v>53</v>
      </c>
      <c r="F11" s="10" t="s">
        <v>53</v>
      </c>
      <c r="G11" s="11" t="s">
        <v>53</v>
      </c>
      <c r="H11" s="9" t="s">
        <v>53</v>
      </c>
      <c r="I11" s="10" t="s">
        <v>53</v>
      </c>
      <c r="J11" s="10" t="s">
        <v>53</v>
      </c>
      <c r="K11" s="10" t="s">
        <v>53</v>
      </c>
      <c r="L11" s="10" t="s">
        <v>53</v>
      </c>
      <c r="M11" s="10" t="s">
        <v>53</v>
      </c>
      <c r="N11" s="10" t="s">
        <v>53</v>
      </c>
      <c r="O11" s="24" t="s">
        <v>52</v>
      </c>
    </row>
  </sheetData>
  <mergeCells count="2">
    <mergeCell ref="B2:G2"/>
    <mergeCell ref="H2:O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38C2-437B-4CEB-A7C0-88EEF6D21013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098E-C600-4E1F-87B3-6E0B6E069199}">
  <dimension ref="B2:H43"/>
  <sheetViews>
    <sheetView workbookViewId="0">
      <selection activeCell="E6" sqref="E6"/>
    </sheetView>
  </sheetViews>
  <sheetFormatPr defaultRowHeight="16.899999999999999" x14ac:dyDescent="0.6"/>
  <cols>
    <col min="1" max="1" width="2.625" customWidth="1"/>
    <col min="2" max="2" width="9" style="1"/>
    <col min="3" max="3" width="18.75" style="1" bestFit="1" customWidth="1"/>
    <col min="4" max="6" width="9" style="1"/>
    <col min="7" max="7" width="12.375" style="1" bestFit="1" customWidth="1"/>
    <col min="8" max="8" width="13.375" style="1" bestFit="1" customWidth="1"/>
  </cols>
  <sheetData>
    <row r="2" spans="2:8" x14ac:dyDescent="0.6">
      <c r="B2" s="2" t="s">
        <v>43</v>
      </c>
      <c r="C2" s="2"/>
      <c r="D2" s="2"/>
      <c r="E2" s="2"/>
      <c r="F2" s="2"/>
      <c r="G2" s="2"/>
      <c r="H2" s="2"/>
    </row>
    <row r="3" spans="2:8" x14ac:dyDescent="0.6">
      <c r="B3" s="3"/>
      <c r="C3" s="3" t="s">
        <v>42</v>
      </c>
      <c r="D3" s="3"/>
      <c r="E3" s="3" t="s">
        <v>39</v>
      </c>
      <c r="F3" s="3"/>
      <c r="G3" s="3" t="s">
        <v>40</v>
      </c>
      <c r="H3" s="3" t="s">
        <v>41</v>
      </c>
    </row>
    <row r="4" spans="2:8" x14ac:dyDescent="0.6">
      <c r="B4" s="1" t="s">
        <v>6</v>
      </c>
      <c r="C4" s="1" t="s">
        <v>7</v>
      </c>
      <c r="D4" s="1" t="s">
        <v>8</v>
      </c>
      <c r="E4" s="1">
        <v>2</v>
      </c>
      <c r="G4" s="4">
        <v>1</v>
      </c>
      <c r="H4" s="1">
        <f>BIN2DEC(G4)</f>
        <v>1</v>
      </c>
    </row>
    <row r="5" spans="2:8" x14ac:dyDescent="0.6">
      <c r="B5" s="1" t="s">
        <v>6</v>
      </c>
      <c r="C5" s="1" t="s">
        <v>9</v>
      </c>
      <c r="D5" s="1" t="s">
        <v>8</v>
      </c>
      <c r="E5" s="1">
        <v>2</v>
      </c>
      <c r="G5" s="4">
        <v>1</v>
      </c>
      <c r="H5" s="1">
        <f t="shared" ref="H5:H16" si="0">BIN2DEC(G5)</f>
        <v>1</v>
      </c>
    </row>
    <row r="6" spans="2:8" x14ac:dyDescent="0.6">
      <c r="B6" s="1" t="s">
        <v>6</v>
      </c>
      <c r="C6" s="1" t="s">
        <v>10</v>
      </c>
      <c r="D6" s="1" t="s">
        <v>8</v>
      </c>
      <c r="E6" s="1">
        <v>1</v>
      </c>
      <c r="G6" s="1">
        <v>1</v>
      </c>
      <c r="H6" s="1">
        <f t="shared" si="0"/>
        <v>1</v>
      </c>
    </row>
    <row r="7" spans="2:8" x14ac:dyDescent="0.6">
      <c r="B7" s="1" t="s">
        <v>6</v>
      </c>
      <c r="D7" s="1" t="s">
        <v>8</v>
      </c>
      <c r="E7" s="1">
        <v>3</v>
      </c>
      <c r="G7" s="5">
        <v>0</v>
      </c>
      <c r="H7" s="1">
        <f t="shared" si="0"/>
        <v>0</v>
      </c>
    </row>
    <row r="8" spans="2:8" x14ac:dyDescent="0.6">
      <c r="B8" s="1" t="s">
        <v>6</v>
      </c>
      <c r="C8" s="1" t="s">
        <v>11</v>
      </c>
      <c r="D8" s="1" t="s">
        <v>8</v>
      </c>
      <c r="E8" s="1">
        <v>1</v>
      </c>
      <c r="G8" s="1">
        <v>0</v>
      </c>
      <c r="H8" s="1">
        <f t="shared" si="0"/>
        <v>0</v>
      </c>
    </row>
    <row r="9" spans="2:8" x14ac:dyDescent="0.6">
      <c r="B9" s="1" t="s">
        <v>6</v>
      </c>
      <c r="C9" s="1" t="s">
        <v>12</v>
      </c>
      <c r="D9" s="1" t="s">
        <v>8</v>
      </c>
      <c r="E9" s="1">
        <v>1</v>
      </c>
      <c r="G9" s="1">
        <v>0</v>
      </c>
      <c r="H9" s="1">
        <f t="shared" si="0"/>
        <v>0</v>
      </c>
    </row>
    <row r="10" spans="2:8" x14ac:dyDescent="0.6">
      <c r="B10" s="1" t="s">
        <v>6</v>
      </c>
      <c r="D10" s="1" t="s">
        <v>8</v>
      </c>
      <c r="E10" s="1">
        <v>3</v>
      </c>
      <c r="G10" s="5">
        <v>0</v>
      </c>
      <c r="H10" s="1">
        <f t="shared" si="0"/>
        <v>0</v>
      </c>
    </row>
    <row r="11" spans="2:8" x14ac:dyDescent="0.6">
      <c r="B11" s="1" t="s">
        <v>6</v>
      </c>
      <c r="C11" s="1" t="s">
        <v>13</v>
      </c>
      <c r="D11" s="1" t="s">
        <v>8</v>
      </c>
      <c r="E11" s="1">
        <v>1</v>
      </c>
      <c r="G11" s="1">
        <v>0</v>
      </c>
      <c r="H11" s="1">
        <f t="shared" si="0"/>
        <v>0</v>
      </c>
    </row>
    <row r="12" spans="2:8" x14ac:dyDescent="0.6">
      <c r="B12" s="1" t="s">
        <v>6</v>
      </c>
      <c r="C12" s="1" t="s">
        <v>14</v>
      </c>
      <c r="D12" s="1" t="s">
        <v>8</v>
      </c>
      <c r="E12" s="1">
        <v>9</v>
      </c>
      <c r="G12" s="1">
        <v>100000000</v>
      </c>
      <c r="H12" s="1">
        <f t="shared" si="0"/>
        <v>256</v>
      </c>
    </row>
    <row r="13" spans="2:8" x14ac:dyDescent="0.6">
      <c r="B13" s="1" t="s">
        <v>6</v>
      </c>
      <c r="C13" s="1" t="s">
        <v>15</v>
      </c>
      <c r="D13" s="1" t="s">
        <v>8</v>
      </c>
      <c r="E13" s="1">
        <v>9</v>
      </c>
      <c r="G13" s="1">
        <v>100000000</v>
      </c>
      <c r="H13" s="1">
        <f t="shared" si="0"/>
        <v>256</v>
      </c>
    </row>
    <row r="14" spans="2:8" x14ac:dyDescent="0.6">
      <c r="B14" s="1" t="s">
        <v>6</v>
      </c>
      <c r="C14" s="1" t="s">
        <v>16</v>
      </c>
      <c r="D14" s="1" t="s">
        <v>8</v>
      </c>
      <c r="E14" s="1">
        <v>9</v>
      </c>
      <c r="G14" s="1">
        <v>100000000</v>
      </c>
      <c r="H14" s="1">
        <f t="shared" si="0"/>
        <v>256</v>
      </c>
    </row>
    <row r="15" spans="2:8" x14ac:dyDescent="0.6">
      <c r="B15" s="1" t="s">
        <v>6</v>
      </c>
      <c r="C15" s="1" t="s">
        <v>17</v>
      </c>
      <c r="D15" s="1" t="s">
        <v>8</v>
      </c>
      <c r="E15" s="1">
        <v>3</v>
      </c>
      <c r="G15" s="1">
        <v>110</v>
      </c>
      <c r="H15" s="1">
        <f>BIN2DEC(G15)</f>
        <v>6</v>
      </c>
    </row>
    <row r="16" spans="2:8" x14ac:dyDescent="0.6">
      <c r="B16" s="1" t="s">
        <v>6</v>
      </c>
      <c r="C16" s="1" t="s">
        <v>18</v>
      </c>
      <c r="D16" s="1" t="s">
        <v>8</v>
      </c>
      <c r="E16" s="1">
        <v>4</v>
      </c>
      <c r="G16" s="1">
        <v>1001</v>
      </c>
      <c r="H16" s="1">
        <f t="shared" si="0"/>
        <v>9</v>
      </c>
    </row>
    <row r="17" spans="2:8" x14ac:dyDescent="0.6">
      <c r="E17" s="1">
        <f>SUM(E4:E16)</f>
        <v>48</v>
      </c>
    </row>
    <row r="19" spans="2:8" x14ac:dyDescent="0.6">
      <c r="B19" s="2" t="s">
        <v>44</v>
      </c>
      <c r="C19" s="2"/>
      <c r="D19" s="2"/>
      <c r="E19" s="2"/>
      <c r="F19" s="2"/>
      <c r="G19" s="2"/>
      <c r="H19" s="2"/>
    </row>
    <row r="20" spans="2:8" x14ac:dyDescent="0.6">
      <c r="B20" s="3"/>
      <c r="C20" s="3" t="s">
        <v>42</v>
      </c>
      <c r="D20" s="3"/>
      <c r="E20" s="3" t="s">
        <v>39</v>
      </c>
      <c r="F20" s="3"/>
      <c r="G20" s="3" t="s">
        <v>40</v>
      </c>
      <c r="H20" s="3" t="s">
        <v>41</v>
      </c>
    </row>
    <row r="21" spans="2:8" x14ac:dyDescent="0.6">
      <c r="B21" s="1" t="s">
        <v>6</v>
      </c>
      <c r="C21" s="1" t="s">
        <v>19</v>
      </c>
      <c r="D21" s="1" t="s">
        <v>8</v>
      </c>
      <c r="E21" s="1">
        <v>5</v>
      </c>
      <c r="G21" s="1">
        <v>0</v>
      </c>
      <c r="H21" s="1">
        <f t="shared" ref="H21:H42" si="1">BIN2DEC(G21)</f>
        <v>0</v>
      </c>
    </row>
    <row r="22" spans="2:8" x14ac:dyDescent="0.6">
      <c r="B22" s="1" t="s">
        <v>6</v>
      </c>
      <c r="C22" s="1" t="s">
        <v>20</v>
      </c>
      <c r="D22" s="1" t="s">
        <v>8</v>
      </c>
      <c r="E22" s="1">
        <v>1</v>
      </c>
      <c r="G22" s="1">
        <v>0</v>
      </c>
      <c r="H22" s="1">
        <f t="shared" si="1"/>
        <v>0</v>
      </c>
    </row>
    <row r="23" spans="2:8" x14ac:dyDescent="0.6">
      <c r="B23" s="1" t="s">
        <v>6</v>
      </c>
      <c r="C23" s="1" t="s">
        <v>21</v>
      </c>
      <c r="D23" s="1" t="s">
        <v>8</v>
      </c>
      <c r="E23" s="1">
        <v>1</v>
      </c>
      <c r="G23" s="1">
        <v>0</v>
      </c>
      <c r="H23" s="1">
        <f t="shared" si="1"/>
        <v>0</v>
      </c>
    </row>
    <row r="24" spans="2:8" x14ac:dyDescent="0.6">
      <c r="B24" s="1" t="s">
        <v>6</v>
      </c>
      <c r="C24" s="1" t="s">
        <v>22</v>
      </c>
      <c r="D24" s="1" t="s">
        <v>8</v>
      </c>
      <c r="E24" s="1">
        <v>1</v>
      </c>
      <c r="G24" s="1">
        <v>0</v>
      </c>
      <c r="H24" s="1">
        <f t="shared" si="1"/>
        <v>0</v>
      </c>
    </row>
    <row r="25" spans="2:8" x14ac:dyDescent="0.6">
      <c r="B25" s="1" t="s">
        <v>6</v>
      </c>
      <c r="D25" s="1" t="s">
        <v>8</v>
      </c>
      <c r="E25" s="1">
        <v>3</v>
      </c>
      <c r="G25" s="1">
        <v>0</v>
      </c>
      <c r="H25" s="1">
        <f t="shared" si="1"/>
        <v>0</v>
      </c>
    </row>
    <row r="26" spans="2:8" x14ac:dyDescent="0.6">
      <c r="B26" s="1" t="s">
        <v>6</v>
      </c>
      <c r="C26" s="1" t="s">
        <v>23</v>
      </c>
      <c r="D26" s="1" t="s">
        <v>8</v>
      </c>
      <c r="E26" s="1">
        <v>1</v>
      </c>
      <c r="G26" s="1">
        <v>0</v>
      </c>
      <c r="H26" s="1">
        <f t="shared" si="1"/>
        <v>0</v>
      </c>
    </row>
    <row r="27" spans="2:8" x14ac:dyDescent="0.6">
      <c r="B27" s="1" t="s">
        <v>6</v>
      </c>
      <c r="C27" s="1" t="s">
        <v>24</v>
      </c>
      <c r="D27" s="1" t="s">
        <v>8</v>
      </c>
      <c r="E27" s="1">
        <v>1</v>
      </c>
      <c r="G27" s="1">
        <v>0</v>
      </c>
      <c r="H27" s="1">
        <f t="shared" si="1"/>
        <v>0</v>
      </c>
    </row>
    <row r="28" spans="2:8" x14ac:dyDescent="0.6">
      <c r="B28" s="1" t="s">
        <v>6</v>
      </c>
      <c r="C28" s="1" t="s">
        <v>25</v>
      </c>
      <c r="D28" s="1" t="s">
        <v>8</v>
      </c>
      <c r="E28" s="1">
        <v>1</v>
      </c>
      <c r="G28" s="1">
        <v>0</v>
      </c>
      <c r="H28" s="1">
        <f t="shared" si="1"/>
        <v>0</v>
      </c>
    </row>
    <row r="29" spans="2:8" x14ac:dyDescent="0.6">
      <c r="B29" s="1" t="s">
        <v>6</v>
      </c>
      <c r="C29" s="1" t="s">
        <v>26</v>
      </c>
      <c r="D29" s="1" t="s">
        <v>8</v>
      </c>
      <c r="E29" s="1">
        <v>1</v>
      </c>
      <c r="G29" s="1">
        <v>0</v>
      </c>
      <c r="H29" s="1">
        <f t="shared" si="1"/>
        <v>0</v>
      </c>
    </row>
    <row r="30" spans="2:8" x14ac:dyDescent="0.6">
      <c r="B30" s="1" t="s">
        <v>6</v>
      </c>
      <c r="C30" s="1" t="s">
        <v>27</v>
      </c>
      <c r="D30" s="1" t="s">
        <v>8</v>
      </c>
      <c r="E30" s="1">
        <v>2</v>
      </c>
      <c r="G30" s="1">
        <v>1</v>
      </c>
      <c r="H30" s="1">
        <f t="shared" si="1"/>
        <v>1</v>
      </c>
    </row>
    <row r="31" spans="2:8" x14ac:dyDescent="0.6">
      <c r="B31" s="1" t="s">
        <v>6</v>
      </c>
      <c r="D31" s="1" t="s">
        <v>8</v>
      </c>
      <c r="E31" s="1">
        <v>2</v>
      </c>
      <c r="G31" s="1">
        <v>0</v>
      </c>
      <c r="H31" s="1">
        <f t="shared" si="1"/>
        <v>0</v>
      </c>
    </row>
    <row r="32" spans="2:8" x14ac:dyDescent="0.6">
      <c r="B32" s="1" t="s">
        <v>6</v>
      </c>
      <c r="C32" s="1" t="s">
        <v>28</v>
      </c>
      <c r="D32" s="1" t="s">
        <v>8</v>
      </c>
      <c r="E32" s="1">
        <v>1</v>
      </c>
      <c r="G32" s="1">
        <v>1</v>
      </c>
      <c r="H32" s="1">
        <f t="shared" si="1"/>
        <v>1</v>
      </c>
    </row>
    <row r="33" spans="2:8" x14ac:dyDescent="0.6">
      <c r="B33" s="1" t="s">
        <v>6</v>
      </c>
      <c r="C33" s="1" t="s">
        <v>29</v>
      </c>
      <c r="D33" s="1" t="s">
        <v>8</v>
      </c>
      <c r="E33" s="1">
        <v>4</v>
      </c>
      <c r="G33" s="1">
        <v>0</v>
      </c>
      <c r="H33" s="1">
        <f t="shared" si="1"/>
        <v>0</v>
      </c>
    </row>
    <row r="34" spans="2:8" x14ac:dyDescent="0.6">
      <c r="B34" s="1" t="s">
        <v>6</v>
      </c>
      <c r="C34" s="1" t="s">
        <v>30</v>
      </c>
      <c r="D34" s="1" t="s">
        <v>8</v>
      </c>
      <c r="E34" s="1">
        <v>4</v>
      </c>
      <c r="G34" s="1">
        <v>0</v>
      </c>
      <c r="H34" s="1">
        <f t="shared" si="1"/>
        <v>0</v>
      </c>
    </row>
    <row r="35" spans="2:8" x14ac:dyDescent="0.6">
      <c r="B35" s="1" t="s">
        <v>6</v>
      </c>
      <c r="C35" s="1" t="s">
        <v>31</v>
      </c>
      <c r="D35" s="1" t="s">
        <v>8</v>
      </c>
      <c r="E35" s="1">
        <v>4</v>
      </c>
      <c r="G35" s="1">
        <v>0</v>
      </c>
      <c r="H35" s="1">
        <f t="shared" si="1"/>
        <v>0</v>
      </c>
    </row>
    <row r="36" spans="2:8" x14ac:dyDescent="0.6">
      <c r="B36" s="1" t="s">
        <v>6</v>
      </c>
      <c r="C36" s="1" t="s">
        <v>32</v>
      </c>
      <c r="D36" s="1" t="s">
        <v>8</v>
      </c>
      <c r="E36" s="1">
        <v>2</v>
      </c>
      <c r="G36" s="1">
        <v>0</v>
      </c>
      <c r="H36" s="1">
        <f t="shared" si="1"/>
        <v>0</v>
      </c>
    </row>
    <row r="37" spans="2:8" x14ac:dyDescent="0.6">
      <c r="B37" s="1" t="s">
        <v>6</v>
      </c>
      <c r="C37" s="1" t="s">
        <v>33</v>
      </c>
      <c r="D37" s="1" t="s">
        <v>8</v>
      </c>
      <c r="E37" s="1">
        <v>2</v>
      </c>
      <c r="G37" s="1">
        <v>0</v>
      </c>
      <c r="H37" s="1">
        <f t="shared" si="1"/>
        <v>0</v>
      </c>
    </row>
    <row r="38" spans="2:8" x14ac:dyDescent="0.6">
      <c r="B38" s="1" t="s">
        <v>6</v>
      </c>
      <c r="C38" s="1" t="s">
        <v>34</v>
      </c>
      <c r="D38" s="1" t="s">
        <v>8</v>
      </c>
      <c r="E38" s="1">
        <v>2</v>
      </c>
      <c r="G38" s="1">
        <v>0</v>
      </c>
      <c r="H38" s="1">
        <f t="shared" si="1"/>
        <v>0</v>
      </c>
    </row>
    <row r="39" spans="2:8" x14ac:dyDescent="0.6">
      <c r="B39" s="1" t="s">
        <v>6</v>
      </c>
      <c r="C39" s="1" t="s">
        <v>35</v>
      </c>
      <c r="D39" s="1" t="s">
        <v>8</v>
      </c>
      <c r="E39" s="1">
        <v>2</v>
      </c>
      <c r="G39" s="1">
        <v>0</v>
      </c>
      <c r="H39" s="1">
        <f t="shared" si="1"/>
        <v>0</v>
      </c>
    </row>
    <row r="40" spans="2:8" x14ac:dyDescent="0.6">
      <c r="B40" s="1" t="s">
        <v>6</v>
      </c>
      <c r="C40" s="1" t="s">
        <v>36</v>
      </c>
      <c r="D40" s="1" t="s">
        <v>8</v>
      </c>
      <c r="E40" s="1">
        <v>2</v>
      </c>
      <c r="G40" s="1">
        <v>0</v>
      </c>
      <c r="H40" s="1">
        <f t="shared" si="1"/>
        <v>0</v>
      </c>
    </row>
    <row r="41" spans="2:8" x14ac:dyDescent="0.6">
      <c r="B41" s="1" t="s">
        <v>6</v>
      </c>
      <c r="C41" s="1" t="s">
        <v>37</v>
      </c>
      <c r="D41" s="1" t="s">
        <v>8</v>
      </c>
      <c r="E41" s="1">
        <v>2</v>
      </c>
      <c r="G41" s="1">
        <v>0</v>
      </c>
      <c r="H41" s="1">
        <f t="shared" si="1"/>
        <v>0</v>
      </c>
    </row>
    <row r="42" spans="2:8" x14ac:dyDescent="0.6">
      <c r="B42" s="1" t="s">
        <v>6</v>
      </c>
      <c r="C42" s="1" t="s">
        <v>38</v>
      </c>
      <c r="D42" s="1" t="s">
        <v>8</v>
      </c>
      <c r="E42" s="1">
        <v>4</v>
      </c>
      <c r="G42" s="1">
        <v>110</v>
      </c>
      <c r="H42" s="1">
        <f t="shared" si="1"/>
        <v>6</v>
      </c>
    </row>
    <row r="43" spans="2:8" x14ac:dyDescent="0.6">
      <c r="E43" s="1">
        <f>SUM(E21:E42)</f>
        <v>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AAB8-A068-429B-B71B-F01F23F1AF1A}">
  <dimension ref="A1"/>
  <sheetViews>
    <sheetView workbookViewId="0">
      <selection activeCell="Q15" sqref="Q15"/>
    </sheetView>
  </sheetViews>
  <sheetFormatPr defaultRowHeight="16.899999999999999" x14ac:dyDescent="0.6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EA56-1A8D-4857-B778-2E6D4C3580C3}">
  <dimension ref="B2:E8"/>
  <sheetViews>
    <sheetView workbookViewId="0">
      <selection activeCell="B2" sqref="B2"/>
    </sheetView>
  </sheetViews>
  <sheetFormatPr defaultRowHeight="16.899999999999999" x14ac:dyDescent="0.6"/>
  <sheetData>
    <row r="2" spans="2:5" x14ac:dyDescent="0.6">
      <c r="B2">
        <v>30</v>
      </c>
      <c r="C2" t="s">
        <v>204</v>
      </c>
      <c r="D2">
        <f>1000000/B2</f>
        <v>33333.333333333336</v>
      </c>
      <c r="E2" t="s">
        <v>205</v>
      </c>
    </row>
    <row r="4" spans="2:5" x14ac:dyDescent="0.6">
      <c r="B4" t="s">
        <v>206</v>
      </c>
      <c r="C4">
        <v>25</v>
      </c>
      <c r="D4" t="s">
        <v>207</v>
      </c>
    </row>
    <row r="5" spans="2:5" x14ac:dyDescent="0.6">
      <c r="C5">
        <f>1/C4</f>
        <v>0.04</v>
      </c>
      <c r="D5" t="s">
        <v>205</v>
      </c>
    </row>
    <row r="6" spans="2:5" x14ac:dyDescent="0.6">
      <c r="B6">
        <v>48</v>
      </c>
      <c r="C6">
        <f>B6*C5</f>
        <v>1.92</v>
      </c>
      <c r="D6" t="s">
        <v>205</v>
      </c>
    </row>
    <row r="8" spans="2:5" x14ac:dyDescent="0.6">
      <c r="B8">
        <f>120*120</f>
        <v>14400</v>
      </c>
      <c r="C8">
        <f>C6*B8</f>
        <v>27648</v>
      </c>
      <c r="D8" t="s">
        <v>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LED MAP</vt:lpstr>
      <vt:lpstr>CELL MAP</vt:lpstr>
      <vt:lpstr>LED Current</vt:lpstr>
      <vt:lpstr>scan_decoder</vt:lpstr>
      <vt:lpstr>Sheet2</vt:lpstr>
      <vt:lpstr>reg_map</vt:lpstr>
      <vt:lpstr>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2015-06-05T18:19:34Z</dcterms:created>
  <dcterms:modified xsi:type="dcterms:W3CDTF">2025-01-08T01:52:32Z</dcterms:modified>
</cp:coreProperties>
</file>