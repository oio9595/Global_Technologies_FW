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M-Project\Docs\"/>
    </mc:Choice>
  </mc:AlternateContent>
  <xr:revisionPtr revIDLastSave="0" documentId="13_ncr:1_{57BB3269-1CB8-4486-B80C-DD3D0FE4AD67}" xr6:coauthVersionLast="47" xr6:coauthVersionMax="47" xr10:uidLastSave="{00000000-0000-0000-0000-000000000000}"/>
  <bookViews>
    <workbookView xWindow="2280" yWindow="1800" windowWidth="21600" windowHeight="11565" xr2:uid="{0E112138-28FD-417D-9563-5EB44D2DDEF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1" l="1"/>
  <c r="S21" i="1" s="1"/>
  <c r="S10" i="1"/>
  <c r="S9" i="1"/>
  <c r="V3" i="2"/>
  <c r="U3" i="2"/>
  <c r="S3" i="2"/>
  <c r="Q3" i="2"/>
  <c r="P3" i="2"/>
  <c r="R3" i="2"/>
  <c r="R4" i="2" s="1"/>
  <c r="N3" i="2"/>
  <c r="M3" i="2"/>
  <c r="M4" i="2" s="1"/>
  <c r="K3" i="2"/>
  <c r="J3" i="2"/>
  <c r="H3" i="2"/>
  <c r="G3" i="2"/>
  <c r="F3" i="2"/>
  <c r="E3" i="2"/>
  <c r="C3" i="2"/>
  <c r="G4" i="2"/>
  <c r="B4" i="2"/>
  <c r="B6" i="2" s="1"/>
  <c r="G9" i="1"/>
  <c r="G10" i="1" s="1"/>
  <c r="G11" i="1" s="1"/>
  <c r="K9" i="1"/>
  <c r="K10" i="1" s="1"/>
  <c r="K11" i="1" s="1"/>
  <c r="O9" i="1"/>
  <c r="O10" i="1" s="1"/>
  <c r="O11" i="1" s="1"/>
  <c r="C9" i="1"/>
  <c r="C10" i="1" s="1"/>
  <c r="C11" i="1" s="1"/>
  <c r="S11" i="1" l="1"/>
  <c r="Y7" i="1"/>
  <c r="O13" i="1"/>
  <c r="Y3" i="1"/>
  <c r="Y4" i="1" s="1"/>
  <c r="Y5" i="1" s="1"/>
  <c r="Y11" i="1" l="1"/>
  <c r="Y8" i="1"/>
  <c r="Y12" i="1" l="1"/>
  <c r="Y9" i="1"/>
  <c r="Y13" i="1" s="1"/>
</calcChain>
</file>

<file path=xl/sharedStrings.xml><?xml version="1.0" encoding="utf-8"?>
<sst xmlns="http://schemas.openxmlformats.org/spreadsheetml/2006/main" count="102" uniqueCount="46">
  <si>
    <t>GCLK</t>
    <phoneticPr fontId="1" type="noConversion"/>
  </si>
  <si>
    <t>TIM6</t>
    <phoneticPr fontId="1" type="noConversion"/>
  </si>
  <si>
    <t>APB1</t>
    <phoneticPr fontId="1" type="noConversion"/>
  </si>
  <si>
    <t>MHz</t>
    <phoneticPr fontId="1" type="noConversion"/>
  </si>
  <si>
    <t>Period</t>
    <phoneticPr fontId="1" type="noConversion"/>
  </si>
  <si>
    <t>Prescale</t>
    <phoneticPr fontId="1" type="noConversion"/>
  </si>
  <si>
    <t>Freq</t>
    <phoneticPr fontId="1" type="noConversion"/>
  </si>
  <si>
    <t>us</t>
    <phoneticPr fontId="1" type="noConversion"/>
  </si>
  <si>
    <t>ns</t>
    <phoneticPr fontId="1" type="noConversion"/>
  </si>
  <si>
    <t>TIM1</t>
    <phoneticPr fontId="1" type="noConversion"/>
  </si>
  <si>
    <t>TIM7</t>
    <phoneticPr fontId="1" type="noConversion"/>
  </si>
  <si>
    <t>APB2</t>
    <phoneticPr fontId="1" type="noConversion"/>
  </si>
  <si>
    <t>kHz</t>
    <phoneticPr fontId="1" type="noConversion"/>
  </si>
  <si>
    <t>TIM9</t>
    <phoneticPr fontId="1" type="noConversion"/>
  </si>
  <si>
    <t>Sub_period</t>
    <phoneticPr fontId="1" type="noConversion"/>
  </si>
  <si>
    <t>F_scan</t>
    <phoneticPr fontId="1" type="noConversion"/>
  </si>
  <si>
    <t>Vsync</t>
    <phoneticPr fontId="1" type="noConversion"/>
  </si>
  <si>
    <t>ms</t>
    <phoneticPr fontId="1" type="noConversion"/>
  </si>
  <si>
    <t>us</t>
    <phoneticPr fontId="1" type="noConversion"/>
  </si>
  <si>
    <t>T_256-sub_frame</t>
    <phoneticPr fontId="1" type="noConversion"/>
  </si>
  <si>
    <t>T_1_sub_frame</t>
    <phoneticPr fontId="1" type="noConversion"/>
  </si>
  <si>
    <t>T_1_sub_frame_Margin</t>
    <phoneticPr fontId="1" type="noConversion"/>
  </si>
  <si>
    <t>T_256-sub_frame_Margin</t>
    <phoneticPr fontId="1" type="noConversion"/>
  </si>
  <si>
    <t>F_1_sub_frame_Margin</t>
    <phoneticPr fontId="1" type="noConversion"/>
  </si>
  <si>
    <t>F_256-sub_frame_Margin</t>
    <phoneticPr fontId="1" type="noConversion"/>
  </si>
  <si>
    <t>Hz</t>
    <phoneticPr fontId="1" type="noConversion"/>
  </si>
  <si>
    <t>T_Line_select</t>
    <phoneticPr fontId="1" type="noConversion"/>
  </si>
  <si>
    <t>T_Line_select_Margin</t>
    <phoneticPr fontId="1" type="noConversion"/>
  </si>
  <si>
    <t>F_Line_select_Margin</t>
    <phoneticPr fontId="1" type="noConversion"/>
  </si>
  <si>
    <t>F_Line_select_set</t>
    <phoneticPr fontId="1" type="noConversion"/>
  </si>
  <si>
    <t>F_1_sub_frame_set</t>
    <phoneticPr fontId="1" type="noConversion"/>
  </si>
  <si>
    <t>F_256-sub_frame_set</t>
    <phoneticPr fontId="1" type="noConversion"/>
  </si>
  <si>
    <t>kHz</t>
    <phoneticPr fontId="1" type="noConversion"/>
  </si>
  <si>
    <t>….</t>
    <phoneticPr fontId="1" type="noConversion"/>
  </si>
  <si>
    <t>…...</t>
    <phoneticPr fontId="1" type="noConversion"/>
  </si>
  <si>
    <t>6000-1</t>
    <phoneticPr fontId="1" type="noConversion"/>
  </si>
  <si>
    <t>4-1</t>
    <phoneticPr fontId="1" type="noConversion"/>
  </si>
  <si>
    <t>19565-1</t>
    <phoneticPr fontId="1" type="noConversion"/>
  </si>
  <si>
    <t>4500-1</t>
    <phoneticPr fontId="1" type="noConversion"/>
  </si>
  <si>
    <t>5000-1</t>
    <phoneticPr fontId="1" type="noConversion"/>
  </si>
  <si>
    <t>TIM14</t>
    <phoneticPr fontId="1" type="noConversion"/>
  </si>
  <si>
    <t>Parsing_GS</t>
    <phoneticPr fontId="1" type="noConversion"/>
  </si>
  <si>
    <t>15-1</t>
    <phoneticPr fontId="1" type="noConversion"/>
  </si>
  <si>
    <t>45000-1</t>
    <phoneticPr fontId="1" type="noConversion"/>
  </si>
  <si>
    <t>TIM13</t>
    <phoneticPr fontId="1" type="noConversion"/>
  </si>
  <si>
    <t>change_pat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</si>
</sst>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&quot;ea&quot;"/>
    <numFmt numFmtId="177" formatCode="0&quot;kHz&quot;"/>
    <numFmt numFmtId="178" formatCode="0.00&quot;kHz&quot;"/>
    <numFmt numFmtId="179" formatCode="0.00&quot;Hz&quot;"/>
    <numFmt numFmtId="180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80" fontId="0" fillId="0" borderId="0" xfId="0" quotePrefix="1" applyNumberFormat="1">
      <alignment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8" fontId="0" fillId="0" borderId="20" xfId="0" applyNumberForma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10</xdr:col>
      <xdr:colOff>778726</xdr:colOff>
      <xdr:row>31</xdr:row>
      <xdr:rowOff>86550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A84A626-BB2D-42B6-B07A-705F5DBB1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27" y="2549769"/>
          <a:ext cx="7350976" cy="4123685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E3B1-E3AA-4D4E-9603-A2A3719AA35D}">
  <dimension ref="B2:Z21"/>
  <sheetViews>
    <sheetView tabSelected="1" zoomScaleNormal="100" workbookViewId="0"/>
  </sheetViews>
  <sheetFormatPr defaultRowHeight="16.5" x14ac:dyDescent="0.3"/>
  <cols>
    <col min="1" max="1" width="2.625" customWidth="1"/>
    <col min="2" max="2" width="8.375" bestFit="1" customWidth="1"/>
    <col min="3" max="3" width="10" bestFit="1" customWidth="1"/>
    <col min="4" max="4" width="7.625" bestFit="1" customWidth="1"/>
    <col min="6" max="6" width="11.125" bestFit="1" customWidth="1"/>
    <col min="7" max="7" width="13.375" bestFit="1" customWidth="1"/>
    <col min="8" max="8" width="8.625" bestFit="1" customWidth="1"/>
    <col min="10" max="10" width="8.375" bestFit="1" customWidth="1"/>
    <col min="11" max="11" width="13.375" bestFit="1" customWidth="1"/>
    <col min="12" max="12" width="7.625" bestFit="1" customWidth="1"/>
    <col min="14" max="14" width="8.375" bestFit="1" customWidth="1"/>
    <col min="15" max="15" width="13.375" bestFit="1" customWidth="1"/>
    <col min="16" max="16" width="10" bestFit="1" customWidth="1"/>
    <col min="18" max="18" width="11" bestFit="1" customWidth="1"/>
    <col min="19" max="19" width="7.875" bestFit="1" customWidth="1"/>
    <col min="20" max="20" width="8.625" bestFit="1" customWidth="1"/>
    <col min="24" max="24" width="23.875" bestFit="1" customWidth="1"/>
    <col min="25" max="25" width="12.75" bestFit="1" customWidth="1"/>
    <col min="26" max="26" width="3.375" bestFit="1" customWidth="1"/>
  </cols>
  <sheetData>
    <row r="2" spans="2:26" x14ac:dyDescent="0.3">
      <c r="B2" t="s">
        <v>1</v>
      </c>
      <c r="F2" t="s">
        <v>10</v>
      </c>
      <c r="J2" t="s">
        <v>13</v>
      </c>
      <c r="N2" t="s">
        <v>9</v>
      </c>
      <c r="R2" t="s">
        <v>40</v>
      </c>
    </row>
    <row r="3" spans="2:26" x14ac:dyDescent="0.3">
      <c r="X3" t="s">
        <v>26</v>
      </c>
      <c r="Y3">
        <f>O10*257</f>
        <v>21.416666666666664</v>
      </c>
      <c r="Z3" t="s">
        <v>18</v>
      </c>
    </row>
    <row r="4" spans="2:26" x14ac:dyDescent="0.3">
      <c r="B4" t="s">
        <v>16</v>
      </c>
      <c r="F4" t="s">
        <v>14</v>
      </c>
      <c r="J4" t="s">
        <v>15</v>
      </c>
      <c r="N4" t="s">
        <v>0</v>
      </c>
      <c r="R4" t="s">
        <v>41</v>
      </c>
      <c r="X4" t="s">
        <v>20</v>
      </c>
      <c r="Y4">
        <f>Y3*32</f>
        <v>685.33333333333326</v>
      </c>
      <c r="Z4" t="s">
        <v>18</v>
      </c>
    </row>
    <row r="5" spans="2:26" x14ac:dyDescent="0.3">
      <c r="X5" t="s">
        <v>19</v>
      </c>
      <c r="Y5">
        <f>Y4*256</f>
        <v>175445.33333333331</v>
      </c>
      <c r="Z5" t="s">
        <v>18</v>
      </c>
    </row>
    <row r="6" spans="2:26" x14ac:dyDescent="0.3">
      <c r="B6" t="s">
        <v>2</v>
      </c>
      <c r="C6">
        <v>90</v>
      </c>
      <c r="D6" t="s">
        <v>3</v>
      </c>
      <c r="F6" t="s">
        <v>2</v>
      </c>
      <c r="G6">
        <v>90</v>
      </c>
      <c r="H6" t="s">
        <v>3</v>
      </c>
      <c r="J6" t="s">
        <v>11</v>
      </c>
      <c r="K6">
        <v>180</v>
      </c>
      <c r="L6" t="s">
        <v>3</v>
      </c>
      <c r="N6" t="s">
        <v>11</v>
      </c>
      <c r="O6">
        <v>180</v>
      </c>
      <c r="P6" t="s">
        <v>3</v>
      </c>
      <c r="R6" t="s">
        <v>2</v>
      </c>
      <c r="S6">
        <v>90</v>
      </c>
      <c r="T6" t="s">
        <v>3</v>
      </c>
    </row>
    <row r="7" spans="2:26" x14ac:dyDescent="0.3">
      <c r="B7" t="s">
        <v>5</v>
      </c>
      <c r="C7">
        <v>4999</v>
      </c>
      <c r="D7" s="1" t="s">
        <v>39</v>
      </c>
      <c r="F7" t="s">
        <v>5</v>
      </c>
      <c r="G7">
        <v>3</v>
      </c>
      <c r="H7" s="1" t="s">
        <v>36</v>
      </c>
      <c r="J7" t="s">
        <v>5</v>
      </c>
      <c r="K7">
        <v>0</v>
      </c>
      <c r="N7" t="s">
        <v>5</v>
      </c>
      <c r="O7">
        <v>0</v>
      </c>
      <c r="R7" t="s">
        <v>5</v>
      </c>
      <c r="S7">
        <v>0</v>
      </c>
      <c r="X7" t="s">
        <v>27</v>
      </c>
      <c r="Y7">
        <f>O10*257 * 1.05</f>
        <v>22.487499999999997</v>
      </c>
      <c r="Z7" t="s">
        <v>18</v>
      </c>
    </row>
    <row r="8" spans="2:26" x14ac:dyDescent="0.3">
      <c r="B8" t="s">
        <v>4</v>
      </c>
      <c r="C8">
        <v>4499</v>
      </c>
      <c r="D8" s="1" t="s">
        <v>38</v>
      </c>
      <c r="F8" t="s">
        <v>4</v>
      </c>
      <c r="G8">
        <v>19564</v>
      </c>
      <c r="H8" s="1" t="s">
        <v>37</v>
      </c>
      <c r="J8" t="s">
        <v>4</v>
      </c>
      <c r="K8">
        <v>5999</v>
      </c>
      <c r="L8" s="1" t="s">
        <v>35</v>
      </c>
      <c r="N8" t="s">
        <v>4</v>
      </c>
      <c r="O8">
        <v>14</v>
      </c>
      <c r="P8" s="7" t="s">
        <v>42</v>
      </c>
      <c r="R8" t="s">
        <v>4</v>
      </c>
      <c r="S8">
        <v>44999</v>
      </c>
      <c r="T8" t="s">
        <v>43</v>
      </c>
      <c r="X8" t="s">
        <v>21</v>
      </c>
      <c r="Y8">
        <f>Y7*32*1.05</f>
        <v>755.57999999999993</v>
      </c>
      <c r="Z8" t="s">
        <v>18</v>
      </c>
    </row>
    <row r="9" spans="2:26" x14ac:dyDescent="0.3">
      <c r="B9" t="s">
        <v>6</v>
      </c>
      <c r="C9">
        <f>C6/(C7+1)/(C8+1)</f>
        <v>3.9999999999999998E-6</v>
      </c>
      <c r="D9" t="s">
        <v>3</v>
      </c>
      <c r="F9" t="s">
        <v>6</v>
      </c>
      <c r="G9">
        <f>G6/(G7+1)/(G8+1)*1000</f>
        <v>1.1500127779197546</v>
      </c>
      <c r="H9" t="s">
        <v>12</v>
      </c>
      <c r="J9" t="s">
        <v>6</v>
      </c>
      <c r="K9">
        <f>K6/(K7+1)/(K8+1)*1000</f>
        <v>30</v>
      </c>
      <c r="L9" t="s">
        <v>12</v>
      </c>
      <c r="N9" t="s">
        <v>6</v>
      </c>
      <c r="O9">
        <f>O6/(O7+1)/(O8+1)</f>
        <v>12</v>
      </c>
      <c r="P9" t="s">
        <v>3</v>
      </c>
      <c r="R9" t="s">
        <v>6</v>
      </c>
      <c r="S9">
        <f>S6/(S7+1)/(S8+1)*1000</f>
        <v>2</v>
      </c>
      <c r="T9" t="s">
        <v>12</v>
      </c>
      <c r="X9" t="s">
        <v>22</v>
      </c>
      <c r="Y9">
        <f>Y8*256</f>
        <v>193428.47999999998</v>
      </c>
      <c r="Z9" t="s">
        <v>18</v>
      </c>
    </row>
    <row r="10" spans="2:26" x14ac:dyDescent="0.3">
      <c r="B10" t="s">
        <v>4</v>
      </c>
      <c r="C10">
        <f>1/C9</f>
        <v>250000</v>
      </c>
      <c r="D10" t="s">
        <v>7</v>
      </c>
      <c r="F10" t="s">
        <v>4</v>
      </c>
      <c r="G10">
        <f>1/G9</f>
        <v>0.86955555555555553</v>
      </c>
      <c r="H10" t="s">
        <v>17</v>
      </c>
      <c r="J10" t="s">
        <v>4</v>
      </c>
      <c r="K10">
        <f>1/K9</f>
        <v>3.3333333333333333E-2</v>
      </c>
      <c r="L10" t="s">
        <v>17</v>
      </c>
      <c r="N10" t="s">
        <v>4</v>
      </c>
      <c r="O10">
        <f>1/O9</f>
        <v>8.3333333333333329E-2</v>
      </c>
      <c r="P10" t="s">
        <v>7</v>
      </c>
      <c r="R10" t="s">
        <v>4</v>
      </c>
      <c r="S10">
        <f>1/S9*1000</f>
        <v>500</v>
      </c>
      <c r="T10" t="s">
        <v>7</v>
      </c>
    </row>
    <row r="11" spans="2:26" x14ac:dyDescent="0.3">
      <c r="C11">
        <f>C10/1000</f>
        <v>250</v>
      </c>
      <c r="D11" t="s">
        <v>17</v>
      </c>
      <c r="G11">
        <f>G10*1000</f>
        <v>869.55555555555554</v>
      </c>
      <c r="H11" t="s">
        <v>7</v>
      </c>
      <c r="K11">
        <f>K10*1000</f>
        <v>33.333333333333336</v>
      </c>
      <c r="L11" t="s">
        <v>7</v>
      </c>
      <c r="O11">
        <f>O10*1000</f>
        <v>83.333333333333329</v>
      </c>
      <c r="P11" t="s">
        <v>8</v>
      </c>
      <c r="S11">
        <f>S10*1000</f>
        <v>500000</v>
      </c>
      <c r="T11" t="s">
        <v>8</v>
      </c>
      <c r="X11" t="s">
        <v>28</v>
      </c>
      <c r="Y11">
        <f>1000/Y7</f>
        <v>44.469149527515292</v>
      </c>
      <c r="Z11" t="s">
        <v>32</v>
      </c>
    </row>
    <row r="12" spans="2:26" x14ac:dyDescent="0.3">
      <c r="X12" t="s">
        <v>23</v>
      </c>
      <c r="Y12">
        <f>1000/Y8</f>
        <v>1.3234865930808122</v>
      </c>
      <c r="Z12" t="s">
        <v>32</v>
      </c>
    </row>
    <row r="13" spans="2:26" x14ac:dyDescent="0.3">
      <c r="O13">
        <f>O10*257</f>
        <v>21.416666666666664</v>
      </c>
      <c r="R13" t="s">
        <v>44</v>
      </c>
      <c r="X13" t="s">
        <v>24</v>
      </c>
      <c r="Y13">
        <f>1000000/Y9</f>
        <v>5.1698695042219232</v>
      </c>
      <c r="Z13" t="s">
        <v>25</v>
      </c>
    </row>
    <row r="15" spans="2:26" x14ac:dyDescent="0.3">
      <c r="R15" t="s">
        <v>45</v>
      </c>
      <c r="X15" t="s">
        <v>29</v>
      </c>
      <c r="Y15">
        <v>30</v>
      </c>
      <c r="Z15" t="s">
        <v>32</v>
      </c>
    </row>
    <row r="16" spans="2:26" x14ac:dyDescent="0.3">
      <c r="X16" t="s">
        <v>30</v>
      </c>
      <c r="Y16">
        <v>1.1499999999999999</v>
      </c>
      <c r="Z16" t="s">
        <v>32</v>
      </c>
    </row>
    <row r="17" spans="18:26" x14ac:dyDescent="0.3">
      <c r="R17" t="s">
        <v>2</v>
      </c>
      <c r="S17">
        <v>90</v>
      </c>
      <c r="T17" t="s">
        <v>3</v>
      </c>
      <c r="X17" t="s">
        <v>31</v>
      </c>
      <c r="Y17">
        <v>4</v>
      </c>
      <c r="Z17" t="s">
        <v>25</v>
      </c>
    </row>
    <row r="18" spans="18:26" x14ac:dyDescent="0.3">
      <c r="R18" t="s">
        <v>5</v>
      </c>
      <c r="S18">
        <v>999</v>
      </c>
    </row>
    <row r="19" spans="18:26" x14ac:dyDescent="0.3">
      <c r="R19" t="s">
        <v>4</v>
      </c>
      <c r="S19">
        <v>44999</v>
      </c>
      <c r="T19" t="s">
        <v>43</v>
      </c>
    </row>
    <row r="20" spans="18:26" x14ac:dyDescent="0.3">
      <c r="R20" t="s">
        <v>6</v>
      </c>
      <c r="S20">
        <f>S17/(S18+1)/(S19+1)*1000000</f>
        <v>2</v>
      </c>
      <c r="T20" t="s">
        <v>25</v>
      </c>
    </row>
    <row r="21" spans="18:26" x14ac:dyDescent="0.3">
      <c r="R21" t="s">
        <v>4</v>
      </c>
      <c r="S21">
        <f>1/S20*1000</f>
        <v>500</v>
      </c>
      <c r="T21" t="s">
        <v>17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9550-5C6B-4D4E-8C1F-42A5EE680BBC}">
  <dimension ref="B1:V6"/>
  <sheetViews>
    <sheetView workbookViewId="0">
      <selection activeCell="H14" sqref="H14"/>
    </sheetView>
  </sheetViews>
  <sheetFormatPr defaultRowHeight="16.5" x14ac:dyDescent="0.3"/>
  <cols>
    <col min="1" max="1" width="2.625" style="2" customWidth="1"/>
    <col min="2" max="16384" width="9" style="2"/>
  </cols>
  <sheetData>
    <row r="1" spans="2:22" ht="17.25" thickBot="1" x14ac:dyDescent="0.35"/>
    <row r="2" spans="2:22" x14ac:dyDescent="0.3">
      <c r="B2" s="8">
        <v>26</v>
      </c>
      <c r="C2" s="9"/>
      <c r="D2" s="9"/>
      <c r="E2" s="9"/>
      <c r="F2" s="10"/>
      <c r="G2" s="8">
        <v>26</v>
      </c>
      <c r="H2" s="9"/>
      <c r="I2" s="9"/>
      <c r="J2" s="9"/>
      <c r="K2" s="10"/>
      <c r="L2" s="14" t="s">
        <v>34</v>
      </c>
      <c r="M2" s="8">
        <v>26</v>
      </c>
      <c r="N2" s="9"/>
      <c r="O2" s="9"/>
      <c r="P2" s="9"/>
      <c r="Q2" s="24"/>
      <c r="R2" s="8">
        <v>26</v>
      </c>
      <c r="S2" s="9"/>
      <c r="T2" s="9"/>
      <c r="U2" s="9"/>
      <c r="V2" s="10"/>
    </row>
    <row r="3" spans="2:22" x14ac:dyDescent="0.3">
      <c r="B3" s="3">
        <v>30</v>
      </c>
      <c r="C3" s="4">
        <f>B3</f>
        <v>30</v>
      </c>
      <c r="D3" s="4" t="s">
        <v>33</v>
      </c>
      <c r="E3" s="4">
        <f>B3</f>
        <v>30</v>
      </c>
      <c r="F3" s="5">
        <f>B3</f>
        <v>30</v>
      </c>
      <c r="G3" s="3">
        <f>B3</f>
        <v>30</v>
      </c>
      <c r="H3" s="4">
        <f>B3</f>
        <v>30</v>
      </c>
      <c r="I3" s="4" t="s">
        <v>33</v>
      </c>
      <c r="J3" s="4">
        <f>B3</f>
        <v>30</v>
      </c>
      <c r="K3" s="5">
        <f>B3</f>
        <v>30</v>
      </c>
      <c r="L3" s="15"/>
      <c r="M3" s="3">
        <f>B3</f>
        <v>30</v>
      </c>
      <c r="N3" s="4">
        <f>B3</f>
        <v>30</v>
      </c>
      <c r="O3" s="4" t="s">
        <v>33</v>
      </c>
      <c r="P3" s="4">
        <f>B3</f>
        <v>30</v>
      </c>
      <c r="Q3" s="6">
        <f>B3</f>
        <v>30</v>
      </c>
      <c r="R3" s="3">
        <f>B3</f>
        <v>30</v>
      </c>
      <c r="S3" s="4">
        <f>B3</f>
        <v>30</v>
      </c>
      <c r="T3" s="4" t="s">
        <v>33</v>
      </c>
      <c r="U3" s="4">
        <f>B3</f>
        <v>30</v>
      </c>
      <c r="V3" s="5">
        <f>B3</f>
        <v>30</v>
      </c>
    </row>
    <row r="4" spans="2:22" ht="17.25" thickBot="1" x14ac:dyDescent="0.35">
      <c r="B4" s="11">
        <f>B3/B2</f>
        <v>1.1538461538461537</v>
      </c>
      <c r="C4" s="12"/>
      <c r="D4" s="12"/>
      <c r="E4" s="12"/>
      <c r="F4" s="13"/>
      <c r="G4" s="11">
        <f>G3/G2</f>
        <v>1.1538461538461537</v>
      </c>
      <c r="H4" s="12"/>
      <c r="I4" s="12"/>
      <c r="J4" s="12"/>
      <c r="K4" s="13"/>
      <c r="L4" s="16"/>
      <c r="M4" s="11">
        <f>M3/M2</f>
        <v>1.1538461538461537</v>
      </c>
      <c r="N4" s="12"/>
      <c r="O4" s="12"/>
      <c r="P4" s="12"/>
      <c r="Q4" s="25"/>
      <c r="R4" s="11">
        <f>R3/R2</f>
        <v>1.1538461538461537</v>
      </c>
      <c r="S4" s="12"/>
      <c r="T4" s="12"/>
      <c r="U4" s="12"/>
      <c r="V4" s="13"/>
    </row>
    <row r="5" spans="2:22" ht="17.25" thickBot="1" x14ac:dyDescent="0.35">
      <c r="B5" s="20">
        <v>256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  <c r="S5" s="22"/>
      <c r="T5" s="22"/>
      <c r="U5" s="22"/>
      <c r="V5" s="23"/>
    </row>
    <row r="6" spans="2:22" ht="17.25" thickBot="1" x14ac:dyDescent="0.35">
      <c r="B6" s="17">
        <f>B4/B5*1000</f>
        <v>4.5072115384615383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9"/>
    </row>
  </sheetData>
  <mergeCells count="11">
    <mergeCell ref="R2:V2"/>
    <mergeCell ref="R4:V4"/>
    <mergeCell ref="L2:L4"/>
    <mergeCell ref="B6:V6"/>
    <mergeCell ref="B5:V5"/>
    <mergeCell ref="B2:F2"/>
    <mergeCell ref="B4:F4"/>
    <mergeCell ref="G2:K2"/>
    <mergeCell ref="G4:K4"/>
    <mergeCell ref="M2:Q2"/>
    <mergeCell ref="M4:Q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7C47-2C1A-441B-9803-AF152A294FAE}">
  <dimension ref="B3:O4"/>
  <sheetViews>
    <sheetView workbookViewId="0">
      <selection activeCell="M7" sqref="M7"/>
    </sheetView>
  </sheetViews>
  <sheetFormatPr defaultRowHeight="16.5" x14ac:dyDescent="0.3"/>
  <sheetData>
    <row r="3" spans="2:15" x14ac:dyDescent="0.3">
      <c r="B3" s="26"/>
      <c r="C3" s="27"/>
      <c r="E3" s="28"/>
      <c r="F3" s="26"/>
      <c r="H3" s="29"/>
      <c r="I3" s="28"/>
      <c r="K3" s="27"/>
      <c r="L3" s="29"/>
      <c r="N3" s="26"/>
      <c r="O3" s="27"/>
    </row>
    <row r="4" spans="2:15" x14ac:dyDescent="0.3">
      <c r="B4" s="28"/>
      <c r="C4" s="29"/>
      <c r="E4" s="29"/>
      <c r="F4" s="27"/>
      <c r="H4" s="27"/>
      <c r="I4" s="26"/>
      <c r="K4" s="26"/>
      <c r="L4" s="28"/>
      <c r="N4" s="28"/>
      <c r="O4" s="2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2023-10-12T00:34:13Z</dcterms:created>
  <dcterms:modified xsi:type="dcterms:W3CDTF">2024-06-04T04:47:30Z</dcterms:modified>
</cp:coreProperties>
</file>