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orking\01_Project\Jig\SAL_JIG\SAL_JIG_ES0\측정자료\color_debug\전문가색\"/>
    </mc:Choice>
  </mc:AlternateContent>
  <xr:revisionPtr revIDLastSave="0" documentId="13_ncr:1_{9FC7EFCB-64AB-460B-8860-ECA88CE380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전문가색상 54색" sheetId="1" r:id="rId1"/>
    <sheet name="커스텀컬러 64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" i="1" l="1"/>
  <c r="M53" i="1"/>
  <c r="K53" i="1"/>
  <c r="L52" i="1"/>
  <c r="K52" i="1"/>
  <c r="M51" i="1"/>
  <c r="K51" i="1"/>
  <c r="M50" i="1"/>
  <c r="L50" i="1"/>
  <c r="K50" i="1"/>
  <c r="M48" i="1"/>
  <c r="L48" i="1"/>
  <c r="M46" i="1"/>
  <c r="M45" i="1"/>
  <c r="L44" i="1"/>
  <c r="K43" i="1"/>
  <c r="M42" i="1"/>
  <c r="K41" i="1"/>
  <c r="L39" i="1"/>
  <c r="L38" i="1"/>
  <c r="M35" i="1"/>
  <c r="L35" i="1"/>
  <c r="M33" i="1"/>
  <c r="L28" i="1"/>
  <c r="K28" i="1"/>
  <c r="L26" i="1"/>
  <c r="K21" i="1"/>
  <c r="M20" i="1"/>
  <c r="K19" i="1"/>
  <c r="M13" i="1"/>
  <c r="L13" i="1"/>
  <c r="M11" i="1"/>
  <c r="L6" i="1"/>
  <c r="K6" i="1"/>
  <c r="L4" i="1"/>
  <c r="M54" i="1"/>
  <c r="L54" i="1"/>
  <c r="L53" i="1"/>
  <c r="M52" i="1"/>
  <c r="L51" i="1"/>
  <c r="M49" i="1"/>
  <c r="L49" i="1"/>
  <c r="K49" i="1"/>
  <c r="K48" i="1"/>
  <c r="M47" i="1"/>
  <c r="L47" i="1"/>
  <c r="K47" i="1"/>
  <c r="L46" i="1"/>
  <c r="K46" i="1"/>
  <c r="L45" i="1"/>
  <c r="K45" i="1"/>
  <c r="M44" i="1"/>
  <c r="K44" i="1"/>
  <c r="M43" i="1"/>
  <c r="L43" i="1"/>
  <c r="L42" i="1"/>
  <c r="K42" i="1"/>
  <c r="M41" i="1"/>
  <c r="L41" i="1"/>
  <c r="M40" i="1"/>
  <c r="L40" i="1"/>
  <c r="K40" i="1"/>
  <c r="M39" i="1"/>
  <c r="K39" i="1"/>
  <c r="M38" i="1"/>
  <c r="K38" i="1"/>
  <c r="M37" i="1"/>
  <c r="L37" i="1"/>
  <c r="K37" i="1"/>
  <c r="M36" i="1"/>
  <c r="L36" i="1"/>
  <c r="K36" i="1"/>
  <c r="K35" i="1"/>
  <c r="M34" i="1"/>
  <c r="L34" i="1"/>
  <c r="K34" i="1"/>
  <c r="L33" i="1"/>
  <c r="K33" i="1"/>
  <c r="M32" i="1"/>
  <c r="L32" i="1"/>
  <c r="K32" i="1"/>
  <c r="M31" i="1"/>
  <c r="L31" i="1"/>
  <c r="K31" i="1"/>
  <c r="M30" i="1"/>
  <c r="L30" i="1"/>
  <c r="K30" i="1"/>
  <c r="M29" i="1"/>
  <c r="L29" i="1"/>
  <c r="K29" i="1"/>
  <c r="M28" i="1"/>
  <c r="M27" i="1"/>
  <c r="L27" i="1"/>
  <c r="K27" i="1"/>
  <c r="M26" i="1"/>
  <c r="K26" i="1"/>
  <c r="M25" i="1"/>
  <c r="L25" i="1"/>
  <c r="K25" i="1"/>
  <c r="M24" i="1"/>
  <c r="L24" i="1"/>
  <c r="K24" i="1"/>
  <c r="M23" i="1"/>
  <c r="L23" i="1"/>
  <c r="K23" i="1"/>
  <c r="M22" i="1"/>
  <c r="L22" i="1"/>
  <c r="K22" i="1"/>
  <c r="M21" i="1"/>
  <c r="L21" i="1"/>
  <c r="L20" i="1"/>
  <c r="K20" i="1"/>
  <c r="M19" i="1"/>
  <c r="L19" i="1"/>
  <c r="M18" i="1"/>
  <c r="L18" i="1"/>
  <c r="K18" i="1"/>
  <c r="M17" i="1"/>
  <c r="L17" i="1"/>
  <c r="K17" i="1"/>
  <c r="M16" i="1"/>
  <c r="L16" i="1"/>
  <c r="K16" i="1"/>
  <c r="M15" i="1"/>
  <c r="L15" i="1"/>
  <c r="K15" i="1"/>
  <c r="M14" i="1"/>
  <c r="L14" i="1"/>
  <c r="K14" i="1"/>
  <c r="K13" i="1"/>
  <c r="M12" i="1"/>
  <c r="L12" i="1"/>
  <c r="K12" i="1"/>
  <c r="L11" i="1"/>
  <c r="K11" i="1"/>
  <c r="M10" i="1"/>
  <c r="L10" i="1"/>
  <c r="K10" i="1"/>
  <c r="M9" i="1"/>
  <c r="L9" i="1"/>
  <c r="K9" i="1"/>
  <c r="M8" i="1"/>
  <c r="L8" i="1"/>
  <c r="K8" i="1"/>
  <c r="M7" i="1"/>
  <c r="L7" i="1"/>
  <c r="K7" i="1"/>
  <c r="M6" i="1"/>
  <c r="M5" i="1"/>
  <c r="L5" i="1"/>
  <c r="K5" i="1"/>
  <c r="M4" i="1"/>
  <c r="K4" i="1"/>
  <c r="N40" i="1"/>
  <c r="N39" i="1" l="1"/>
  <c r="N4" i="1"/>
  <c r="N34" i="1"/>
  <c r="N25" i="1"/>
  <c r="N9" i="1"/>
  <c r="N46" i="1"/>
  <c r="N14" i="1"/>
  <c r="N51" i="1"/>
  <c r="N35" i="1"/>
  <c r="N41" i="1"/>
  <c r="N30" i="1"/>
  <c r="N24" i="1"/>
  <c r="N50" i="1"/>
  <c r="N28" i="1"/>
  <c r="N44" i="1"/>
  <c r="N23" i="1"/>
  <c r="N49" i="1"/>
  <c r="N11" i="1"/>
  <c r="N7" i="1"/>
  <c r="N32" i="1"/>
  <c r="N53" i="1"/>
  <c r="N37" i="1"/>
  <c r="N21" i="1"/>
  <c r="N5" i="1"/>
  <c r="N45" i="1"/>
  <c r="N54" i="1"/>
  <c r="N6" i="1"/>
  <c r="N42" i="1"/>
  <c r="N26" i="1"/>
  <c r="N10" i="1"/>
  <c r="N19" i="1"/>
  <c r="N8" i="1"/>
  <c r="N13" i="1"/>
  <c r="N12" i="1"/>
  <c r="N38" i="1"/>
  <c r="N27" i="1"/>
  <c r="N31" i="1"/>
  <c r="N15" i="1"/>
  <c r="N33" i="1"/>
  <c r="N43" i="1"/>
  <c r="N48" i="1"/>
  <c r="N16" i="1"/>
  <c r="N47" i="1"/>
  <c r="N52" i="1"/>
  <c r="N36" i="1"/>
  <c r="N20" i="1"/>
  <c r="N29" i="1"/>
  <c r="N18" i="1"/>
  <c r="N17" i="1"/>
  <c r="N22" i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</calcChain>
</file>

<file path=xl/sharedStrings.xml><?xml version="1.0" encoding="utf-8"?>
<sst xmlns="http://schemas.openxmlformats.org/spreadsheetml/2006/main" count="342" uniqueCount="41">
  <si>
    <t>Cx</t>
    <phoneticPr fontId="6" type="noConversion"/>
  </si>
  <si>
    <t>Cy</t>
    <phoneticPr fontId="6" type="noConversion"/>
  </si>
  <si>
    <t>R</t>
    <phoneticPr fontId="11" type="noConversion"/>
  </si>
  <si>
    <t>G</t>
    <phoneticPr fontId="11" type="noConversion"/>
  </si>
  <si>
    <t>B</t>
    <phoneticPr fontId="11" type="noConversion"/>
  </si>
  <si>
    <t>No.</t>
  </si>
  <si>
    <t>X</t>
  </si>
  <si>
    <t>Y</t>
  </si>
  <si>
    <t>Z</t>
  </si>
  <si>
    <t>x</t>
  </si>
  <si>
    <t>y</t>
  </si>
  <si>
    <t>Lv [cd/m²]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</si>
  <si>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</si>
  <si>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</si>
  <si>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</si>
  <si>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</si>
  <si>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</si>
  <si>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</si>
  <si>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</si>
  <si>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</si>
  <si>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</si>
  <si>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</si>
  <si>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</si>
  <si>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Integration Time</t>
  </si>
  <si>
    <t>Date</t>
  </si>
  <si>
    <t>Time</t>
  </si>
  <si>
    <t>----</t>
  </si>
  <si>
    <t>UNIV</t>
  </si>
  <si>
    <t>FAST</t>
  </si>
  <si>
    <t>목표 색좌표</t>
    <phoneticPr fontId="6" type="noConversion"/>
  </si>
  <si>
    <t>적용 RGB값</t>
    <phoneticPr fontId="6" type="noConversion"/>
  </si>
  <si>
    <t>측정 데이터</t>
    <phoneticPr fontId="6" type="noConversion"/>
  </si>
  <si>
    <t>color</t>
    <phoneticPr fontId="6" type="noConversion"/>
  </si>
  <si>
    <t>현대</t>
    <phoneticPr fontId="6" type="noConversion"/>
  </si>
  <si>
    <t>기아</t>
    <phoneticPr fontId="6" type="noConversion"/>
  </si>
  <si>
    <t>제네시스</t>
    <phoneticPr fontId="6" type="noConversion"/>
  </si>
  <si>
    <t>듀얼칼라</t>
    <phoneticPr fontId="6" type="noConversion"/>
  </si>
  <si>
    <t>드라이브모드 연동</t>
    <phoneticPr fontId="6" type="noConversion"/>
  </si>
  <si>
    <t>취합</t>
    <phoneticPr fontId="6" type="noConversion"/>
  </si>
  <si>
    <t>원본 RGB값</t>
    <phoneticPr fontId="6" type="noConversion"/>
  </si>
  <si>
    <t>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</si>
</sst>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78" formatCode="0.0"/>
  </numFmts>
  <fonts count="3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name val="현대하모니 L"/>
      <family val="1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139">
    <fill>
      <patternFill patternType="none"/>
    </fill>
    <fill>
      <patternFill patternType="gray125"/>
    </fill>
    <fill>
      <patternFill patternType="solid">
        <fgColor rgb="FF4601B9"/>
        <bgColor indexed="64"/>
      </patternFill>
    </fill>
    <fill>
      <patternFill patternType="solid">
        <fgColor rgb="FF5000AF"/>
        <bgColor indexed="64"/>
      </patternFill>
    </fill>
    <fill>
      <patternFill patternType="solid">
        <fgColor rgb="FF5A00A5"/>
        <bgColor indexed="64"/>
      </patternFill>
    </fill>
    <fill>
      <patternFill patternType="solid">
        <fgColor rgb="FF65009B"/>
        <bgColor indexed="64"/>
      </patternFill>
    </fill>
    <fill>
      <patternFill patternType="solid">
        <fgColor rgb="FF6F0091"/>
        <bgColor indexed="64"/>
      </patternFill>
    </fill>
    <fill>
      <patternFill patternType="solid">
        <fgColor rgb="FF790087"/>
        <bgColor indexed="64"/>
      </patternFill>
    </fill>
    <fill>
      <patternFill patternType="solid">
        <fgColor rgb="FF83007D"/>
        <bgColor indexed="64"/>
      </patternFill>
    </fill>
    <fill>
      <patternFill patternType="solid">
        <fgColor rgb="FF910073"/>
        <bgColor indexed="64"/>
      </patternFill>
    </fill>
    <fill>
      <patternFill patternType="solid">
        <fgColor rgb="FFA50064"/>
        <bgColor indexed="64"/>
      </patternFill>
    </fill>
    <fill>
      <patternFill patternType="solid">
        <fgColor rgb="FFC3005A"/>
        <bgColor indexed="64"/>
      </patternFill>
    </fill>
    <fill>
      <patternFill patternType="solid">
        <fgColor rgb="FFDC0046"/>
        <bgColor indexed="64"/>
      </patternFill>
    </fill>
    <fill>
      <patternFill patternType="solid">
        <fgColor rgb="FFE60032"/>
        <bgColor indexed="64"/>
      </patternFill>
    </fill>
    <fill>
      <patternFill patternType="solid">
        <fgColor rgb="FFF0001E"/>
        <bgColor indexed="64"/>
      </patternFill>
    </fill>
    <fill>
      <patternFill patternType="solid">
        <fgColor rgb="FFF5000F"/>
        <bgColor indexed="64"/>
      </patternFill>
    </fill>
    <fill>
      <patternFill patternType="solid">
        <fgColor rgb="FFFF0005"/>
        <bgColor indexed="64"/>
      </patternFill>
    </fill>
    <fill>
      <patternFill patternType="solid">
        <fgColor rgb="FFFF0A00"/>
        <bgColor indexed="64"/>
      </patternFill>
    </fill>
    <fill>
      <patternFill patternType="solid">
        <fgColor rgb="FFFF1400"/>
        <bgColor indexed="64"/>
      </patternFill>
    </fill>
    <fill>
      <patternFill patternType="solid">
        <fgColor rgb="FFFF1E00"/>
        <bgColor indexed="64"/>
      </patternFill>
    </fill>
    <fill>
      <patternFill patternType="solid">
        <fgColor rgb="FFFF2800"/>
        <bgColor indexed="64"/>
      </patternFill>
    </fill>
    <fill>
      <patternFill patternType="solid">
        <fgColor rgb="FFFF3200"/>
        <bgColor indexed="64"/>
      </patternFill>
    </fill>
    <fill>
      <patternFill patternType="solid">
        <fgColor rgb="FFFF3C00"/>
        <bgColor indexed="64"/>
      </patternFill>
    </fill>
    <fill>
      <patternFill patternType="solid">
        <fgColor rgb="FFFF4600"/>
        <bgColor indexed="64"/>
      </patternFill>
    </fill>
    <fill>
      <patternFill patternType="solid">
        <fgColor rgb="FFFF5000"/>
        <bgColor indexed="64"/>
      </patternFill>
    </fill>
    <fill>
      <patternFill patternType="solid">
        <fgColor rgb="FFFF5A00"/>
        <bgColor indexed="64"/>
      </patternFill>
    </fill>
    <fill>
      <patternFill patternType="solid">
        <fgColor rgb="FFFF6400"/>
        <bgColor indexed="64"/>
      </patternFill>
    </fill>
    <fill>
      <patternFill patternType="solid">
        <fgColor rgb="FFFA6E00"/>
        <bgColor indexed="64"/>
      </patternFill>
    </fill>
    <fill>
      <patternFill patternType="solid">
        <fgColor rgb="FFF07800"/>
        <bgColor indexed="64"/>
      </patternFill>
    </fill>
    <fill>
      <patternFill patternType="solid">
        <fgColor rgb="FFE68200"/>
        <bgColor indexed="64"/>
      </patternFill>
    </fill>
    <fill>
      <patternFill patternType="solid">
        <fgColor rgb="FFD78C00"/>
        <bgColor indexed="64"/>
      </patternFill>
    </fill>
    <fill>
      <patternFill patternType="solid">
        <fgColor rgb="FFD29600"/>
        <bgColor indexed="64"/>
      </patternFill>
    </fill>
    <fill>
      <patternFill patternType="solid">
        <fgColor rgb="FFCDA000"/>
        <bgColor indexed="64"/>
      </patternFill>
    </fill>
    <fill>
      <patternFill patternType="solid">
        <fgColor rgb="FFC8B900"/>
        <bgColor indexed="64"/>
      </patternFill>
    </fill>
    <fill>
      <patternFill patternType="solid">
        <fgColor rgb="FFC3C800"/>
        <bgColor indexed="64"/>
      </patternFill>
    </fill>
    <fill>
      <patternFill patternType="solid">
        <fgColor rgb="FFB9DC00"/>
        <bgColor indexed="64"/>
      </patternFill>
    </fill>
    <fill>
      <patternFill patternType="solid">
        <fgColor rgb="FFAFEB00"/>
        <bgColor indexed="64"/>
      </patternFill>
    </fill>
    <fill>
      <patternFill patternType="solid">
        <fgColor rgb="FFA5F50A"/>
        <bgColor indexed="64"/>
      </patternFill>
    </fill>
    <fill>
      <patternFill patternType="solid">
        <fgColor rgb="FF9BFA14"/>
        <bgColor indexed="64"/>
      </patternFill>
    </fill>
    <fill>
      <patternFill patternType="solid">
        <fgColor rgb="FF91FF28"/>
        <bgColor indexed="64"/>
      </patternFill>
    </fill>
    <fill>
      <patternFill patternType="solid">
        <fgColor rgb="FF87FF3C"/>
        <bgColor indexed="64"/>
      </patternFill>
    </fill>
    <fill>
      <patternFill patternType="solid">
        <fgColor rgb="FF7DFA50"/>
        <bgColor indexed="64"/>
      </patternFill>
    </fill>
    <fill>
      <patternFill patternType="solid">
        <fgColor rgb="FF73F564"/>
        <bgColor indexed="64"/>
      </patternFill>
    </fill>
    <fill>
      <patternFill patternType="solid">
        <fgColor rgb="FF69F078"/>
        <bgColor indexed="64"/>
      </patternFill>
    </fill>
    <fill>
      <patternFill patternType="solid">
        <fgColor rgb="FF5FEB8C"/>
        <bgColor indexed="64"/>
      </patternFill>
    </fill>
    <fill>
      <patternFill patternType="solid">
        <fgColor rgb="FF55E6A0"/>
        <bgColor indexed="64"/>
      </patternFill>
    </fill>
    <fill>
      <patternFill patternType="solid">
        <fgColor rgb="FF41E1B4"/>
        <bgColor indexed="64"/>
      </patternFill>
    </fill>
    <fill>
      <patternFill patternType="solid">
        <fgColor rgb="FF2DDCC8"/>
        <bgColor indexed="64"/>
      </patternFill>
    </fill>
    <fill>
      <patternFill patternType="solid">
        <fgColor rgb="FF1FD2D2"/>
        <bgColor indexed="64"/>
      </patternFill>
    </fill>
    <fill>
      <patternFill patternType="solid">
        <fgColor rgb="FF0FC8DC"/>
        <bgColor indexed="64"/>
      </patternFill>
    </fill>
    <fill>
      <patternFill patternType="solid">
        <fgColor rgb="FF05BEE6"/>
        <bgColor indexed="64"/>
      </patternFill>
    </fill>
    <fill>
      <patternFill patternType="solid">
        <fgColor rgb="FF00B4F0"/>
        <bgColor indexed="64"/>
      </patternFill>
    </fill>
    <fill>
      <patternFill patternType="solid">
        <fgColor rgb="FF00A5FA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EFF"/>
        <bgColor indexed="64"/>
      </patternFill>
    </fill>
    <fill>
      <patternFill patternType="solid">
        <fgColor rgb="FF005AFF"/>
        <bgColor indexed="64"/>
      </patternFill>
    </fill>
    <fill>
      <patternFill patternType="solid">
        <fgColor rgb="FF0046FF"/>
        <bgColor indexed="64"/>
      </patternFill>
    </fill>
    <fill>
      <patternFill patternType="solid">
        <fgColor rgb="FF0B32FA"/>
        <bgColor indexed="64"/>
      </patternFill>
    </fill>
    <fill>
      <patternFill patternType="solid">
        <fgColor rgb="FF1928F0"/>
        <bgColor indexed="64"/>
      </patternFill>
    </fill>
    <fill>
      <patternFill patternType="solid">
        <fgColor rgb="FF231EEB"/>
        <bgColor indexed="64"/>
      </patternFill>
    </fill>
    <fill>
      <patternFill patternType="solid">
        <fgColor rgb="FF2D14E1"/>
        <bgColor indexed="64"/>
      </patternFill>
    </fill>
    <fill>
      <patternFill patternType="solid">
        <fgColor rgb="FF330AD7"/>
        <bgColor indexed="64"/>
      </patternFill>
    </fill>
    <fill>
      <patternFill patternType="solid">
        <fgColor rgb="FF3705CD"/>
        <bgColor indexed="64"/>
      </patternFill>
    </fill>
    <fill>
      <patternFill patternType="solid">
        <fgColor rgb="FF3C03C3"/>
        <bgColor indexed="64"/>
      </patternFill>
    </fill>
    <fill>
      <patternFill patternType="solid">
        <fgColor rgb="FF4102B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5F2FA"/>
        <bgColor indexed="64"/>
      </patternFill>
    </fill>
    <fill>
      <patternFill patternType="solid">
        <fgColor rgb="FFF4E9DF"/>
        <bgColor indexed="64"/>
      </patternFill>
    </fill>
    <fill>
      <patternFill patternType="solid">
        <fgColor rgb="FFFEA811"/>
        <bgColor indexed="64"/>
      </patternFill>
    </fill>
    <fill>
      <patternFill patternType="solid">
        <fgColor rgb="FFE93E3E"/>
        <bgColor indexed="64"/>
      </patternFill>
    </fill>
    <fill>
      <patternFill patternType="solid">
        <fgColor rgb="FFBB0FEC"/>
        <bgColor indexed="64"/>
      </patternFill>
    </fill>
    <fill>
      <patternFill patternType="solid">
        <fgColor rgb="FF8A25FC"/>
        <bgColor indexed="64"/>
      </patternFill>
    </fill>
    <fill>
      <patternFill patternType="solid">
        <fgColor rgb="FF188EFD"/>
        <bgColor indexed="64"/>
      </patternFill>
    </fill>
    <fill>
      <patternFill patternType="solid">
        <fgColor rgb="FF03C7C0"/>
        <bgColor indexed="64"/>
      </patternFill>
    </fill>
    <fill>
      <patternFill patternType="solid">
        <fgColor rgb="FF7ED715"/>
        <bgColor indexed="64"/>
      </patternFill>
    </fill>
    <fill>
      <patternFill patternType="solid">
        <fgColor rgb="FFB7E4FC"/>
        <bgColor indexed="64"/>
      </patternFill>
    </fill>
    <fill>
      <patternFill patternType="solid">
        <fgColor rgb="FF4F8AC3"/>
        <bgColor indexed="64"/>
      </patternFill>
    </fill>
    <fill>
      <patternFill patternType="solid">
        <fgColor rgb="FF7F9A7A"/>
        <bgColor indexed="64"/>
      </patternFill>
    </fill>
    <fill>
      <patternFill patternType="solid">
        <fgColor rgb="FF6B5A95"/>
        <bgColor indexed="64"/>
      </patternFill>
    </fill>
    <fill>
      <patternFill patternType="solid">
        <fgColor rgb="FFA7627F"/>
        <bgColor indexed="64"/>
      </patternFill>
    </fill>
    <fill>
      <patternFill patternType="solid">
        <fgColor rgb="FFD07057"/>
        <bgColor indexed="64"/>
      </patternFill>
    </fill>
    <fill>
      <patternFill patternType="solid">
        <fgColor rgb="FFD9AE5F"/>
        <bgColor indexed="64"/>
      </patternFill>
    </fill>
    <fill>
      <patternFill patternType="solid">
        <fgColor rgb="FF329A9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0004"/>
        <bgColor indexed="64"/>
      </patternFill>
    </fill>
    <fill>
      <patternFill patternType="solid">
        <fgColor rgb="FFC8DBFF"/>
        <bgColor indexed="64"/>
      </patternFill>
    </fill>
    <fill>
      <patternFill patternType="solid">
        <fgColor rgb="FFDFC8FF"/>
        <bgColor indexed="64"/>
      </patternFill>
    </fill>
    <fill>
      <patternFill patternType="solid">
        <fgColor rgb="FFFF8C59"/>
        <bgColor indexed="64"/>
      </patternFill>
    </fill>
    <fill>
      <patternFill patternType="solid">
        <fgColor rgb="FFFF5900"/>
        <bgColor indexed="64"/>
      </patternFill>
    </fill>
    <fill>
      <patternFill patternType="solid">
        <fgColor rgb="FFFF281E"/>
        <bgColor indexed="64"/>
      </patternFill>
    </fill>
    <fill>
      <patternFill patternType="solid">
        <fgColor rgb="FFFF000A"/>
        <bgColor indexed="64"/>
      </patternFill>
    </fill>
    <fill>
      <patternFill patternType="solid">
        <fgColor rgb="FFAE00FF"/>
        <bgColor indexed="64"/>
      </patternFill>
    </fill>
    <fill>
      <patternFill patternType="solid">
        <fgColor rgb="FF6400FF"/>
        <bgColor indexed="64"/>
      </patternFill>
    </fill>
    <fill>
      <patternFill patternType="solid">
        <fgColor rgb="FF4B52FF"/>
        <bgColor indexed="64"/>
      </patternFill>
    </fill>
    <fill>
      <patternFill patternType="solid">
        <fgColor rgb="FF00E3CF"/>
        <bgColor indexed="64"/>
      </patternFill>
    </fill>
    <fill>
      <patternFill patternType="solid">
        <fgColor rgb="FFA7FF37"/>
        <bgColor indexed="64"/>
      </patternFill>
    </fill>
    <fill>
      <patternFill patternType="solid">
        <fgColor rgb="FF0054FF"/>
        <bgColor indexed="64"/>
      </patternFill>
    </fill>
    <fill>
      <patternFill patternType="solid">
        <fgColor rgb="FF00D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83C3C"/>
        <bgColor indexed="64"/>
      </patternFill>
    </fill>
    <fill>
      <patternFill patternType="solid">
        <fgColor rgb="FF503CB4"/>
        <bgColor indexed="64"/>
      </patternFill>
    </fill>
    <fill>
      <patternFill patternType="solid">
        <fgColor rgb="FF0F00FF"/>
        <bgColor indexed="64"/>
      </patternFill>
    </fill>
    <fill>
      <patternFill patternType="solid">
        <fgColor rgb="FF00FA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8" borderId="0" applyNumberFormat="0" applyBorder="0" applyAlignment="0" applyProtection="0">
      <alignment vertical="center"/>
    </xf>
    <xf numFmtId="0" fontId="21" fillId="109" borderId="0" applyNumberFormat="0" applyBorder="0" applyAlignment="0" applyProtection="0">
      <alignment vertical="center"/>
    </xf>
    <xf numFmtId="0" fontId="22" fillId="110" borderId="0" applyNumberFormat="0" applyBorder="0" applyAlignment="0" applyProtection="0">
      <alignment vertical="center"/>
    </xf>
    <xf numFmtId="0" fontId="23" fillId="111" borderId="4" applyNumberFormat="0" applyAlignment="0" applyProtection="0">
      <alignment vertical="center"/>
    </xf>
    <xf numFmtId="0" fontId="24" fillId="112" borderId="5" applyNumberFormat="0" applyAlignment="0" applyProtection="0">
      <alignment vertical="center"/>
    </xf>
    <xf numFmtId="0" fontId="25" fillId="112" borderId="4" applyNumberFormat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113" borderId="7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4" fillId="115" borderId="0" applyNumberFormat="0" applyBorder="0" applyAlignment="0" applyProtection="0">
      <alignment vertical="center"/>
    </xf>
    <xf numFmtId="0" fontId="2" fillId="116" borderId="0" applyNumberFormat="0" applyBorder="0" applyAlignment="0" applyProtection="0">
      <alignment vertical="center"/>
    </xf>
    <xf numFmtId="0" fontId="2" fillId="117" borderId="0" applyNumberFormat="0" applyBorder="0" applyAlignment="0" applyProtection="0">
      <alignment vertical="center"/>
    </xf>
    <xf numFmtId="0" fontId="2" fillId="118" borderId="0" applyNumberFormat="0" applyBorder="0" applyAlignment="0" applyProtection="0">
      <alignment vertical="center"/>
    </xf>
    <xf numFmtId="0" fontId="4" fillId="119" borderId="0" applyNumberFormat="0" applyBorder="0" applyAlignment="0" applyProtection="0">
      <alignment vertical="center"/>
    </xf>
    <xf numFmtId="0" fontId="2" fillId="120" borderId="0" applyNumberFormat="0" applyBorder="0" applyAlignment="0" applyProtection="0">
      <alignment vertical="center"/>
    </xf>
    <xf numFmtId="0" fontId="2" fillId="121" borderId="0" applyNumberFormat="0" applyBorder="0" applyAlignment="0" applyProtection="0">
      <alignment vertical="center"/>
    </xf>
    <xf numFmtId="0" fontId="2" fillId="122" borderId="0" applyNumberFormat="0" applyBorder="0" applyAlignment="0" applyProtection="0">
      <alignment vertical="center"/>
    </xf>
    <xf numFmtId="0" fontId="4" fillId="123" borderId="0" applyNumberFormat="0" applyBorder="0" applyAlignment="0" applyProtection="0">
      <alignment vertical="center"/>
    </xf>
    <xf numFmtId="0" fontId="2" fillId="124" borderId="0" applyNumberFormat="0" applyBorder="0" applyAlignment="0" applyProtection="0">
      <alignment vertical="center"/>
    </xf>
    <xf numFmtId="0" fontId="2" fillId="125" borderId="0" applyNumberFormat="0" applyBorder="0" applyAlignment="0" applyProtection="0">
      <alignment vertical="center"/>
    </xf>
    <xf numFmtId="0" fontId="2" fillId="126" borderId="0" applyNumberFormat="0" applyBorder="0" applyAlignment="0" applyProtection="0">
      <alignment vertical="center"/>
    </xf>
    <xf numFmtId="0" fontId="4" fillId="127" borderId="0" applyNumberFormat="0" applyBorder="0" applyAlignment="0" applyProtection="0">
      <alignment vertical="center"/>
    </xf>
    <xf numFmtId="0" fontId="2" fillId="128" borderId="0" applyNumberFormat="0" applyBorder="0" applyAlignment="0" applyProtection="0">
      <alignment vertical="center"/>
    </xf>
    <xf numFmtId="0" fontId="2" fillId="129" borderId="0" applyNumberFormat="0" applyBorder="0" applyAlignment="0" applyProtection="0">
      <alignment vertical="center"/>
    </xf>
    <xf numFmtId="0" fontId="2" fillId="130" borderId="0" applyNumberFormat="0" applyBorder="0" applyAlignment="0" applyProtection="0">
      <alignment vertical="center"/>
    </xf>
    <xf numFmtId="0" fontId="4" fillId="131" borderId="0" applyNumberFormat="0" applyBorder="0" applyAlignment="0" applyProtection="0">
      <alignment vertical="center"/>
    </xf>
    <xf numFmtId="0" fontId="2" fillId="132" borderId="0" applyNumberFormat="0" applyBorder="0" applyAlignment="0" applyProtection="0">
      <alignment vertical="center"/>
    </xf>
    <xf numFmtId="0" fontId="2" fillId="133" borderId="0" applyNumberFormat="0" applyBorder="0" applyAlignment="0" applyProtection="0">
      <alignment vertical="center"/>
    </xf>
    <xf numFmtId="0" fontId="2" fillId="134" borderId="0" applyNumberFormat="0" applyBorder="0" applyAlignment="0" applyProtection="0">
      <alignment vertical="center"/>
    </xf>
    <xf numFmtId="0" fontId="4" fillId="135" borderId="0" applyNumberFormat="0" applyBorder="0" applyAlignment="0" applyProtection="0">
      <alignment vertical="center"/>
    </xf>
    <xf numFmtId="0" fontId="2" fillId="136" borderId="0" applyNumberFormat="0" applyBorder="0" applyAlignment="0" applyProtection="0">
      <alignment vertical="center"/>
    </xf>
    <xf numFmtId="0" fontId="2" fillId="137" borderId="0" applyNumberFormat="0" applyBorder="0" applyAlignment="0" applyProtection="0">
      <alignment vertical="center"/>
    </xf>
    <xf numFmtId="0" fontId="2" fillId="13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6" borderId="0" applyNumberFormat="0" applyBorder="0" applyAlignment="0" applyProtection="0">
      <alignment vertical="center"/>
    </xf>
    <xf numFmtId="0" fontId="1" fillId="117" borderId="0" applyNumberFormat="0" applyBorder="0" applyAlignment="0" applyProtection="0">
      <alignment vertical="center"/>
    </xf>
    <xf numFmtId="0" fontId="1" fillId="118" borderId="0" applyNumberFormat="0" applyBorder="0" applyAlignment="0" applyProtection="0">
      <alignment vertical="center"/>
    </xf>
    <xf numFmtId="0" fontId="1" fillId="120" borderId="0" applyNumberFormat="0" applyBorder="0" applyAlignment="0" applyProtection="0">
      <alignment vertical="center"/>
    </xf>
    <xf numFmtId="0" fontId="1" fillId="121" borderId="0" applyNumberFormat="0" applyBorder="0" applyAlignment="0" applyProtection="0">
      <alignment vertical="center"/>
    </xf>
    <xf numFmtId="0" fontId="1" fillId="122" borderId="0" applyNumberFormat="0" applyBorder="0" applyAlignment="0" applyProtection="0">
      <alignment vertical="center"/>
    </xf>
    <xf numFmtId="0" fontId="1" fillId="124" borderId="0" applyNumberFormat="0" applyBorder="0" applyAlignment="0" applyProtection="0">
      <alignment vertical="center"/>
    </xf>
    <xf numFmtId="0" fontId="1" fillId="125" borderId="0" applyNumberFormat="0" applyBorder="0" applyAlignment="0" applyProtection="0">
      <alignment vertical="center"/>
    </xf>
    <xf numFmtId="0" fontId="1" fillId="126" borderId="0" applyNumberFormat="0" applyBorder="0" applyAlignment="0" applyProtection="0">
      <alignment vertical="center"/>
    </xf>
    <xf numFmtId="0" fontId="1" fillId="128" borderId="0" applyNumberFormat="0" applyBorder="0" applyAlignment="0" applyProtection="0">
      <alignment vertical="center"/>
    </xf>
    <xf numFmtId="0" fontId="1" fillId="129" borderId="0" applyNumberFormat="0" applyBorder="0" applyAlignment="0" applyProtection="0">
      <alignment vertical="center"/>
    </xf>
    <xf numFmtId="0" fontId="1" fillId="130" borderId="0" applyNumberFormat="0" applyBorder="0" applyAlignment="0" applyProtection="0">
      <alignment vertical="center"/>
    </xf>
    <xf numFmtId="0" fontId="1" fillId="132" borderId="0" applyNumberFormat="0" applyBorder="0" applyAlignment="0" applyProtection="0">
      <alignment vertical="center"/>
    </xf>
    <xf numFmtId="0" fontId="1" fillId="133" borderId="0" applyNumberFormat="0" applyBorder="0" applyAlignment="0" applyProtection="0">
      <alignment vertical="center"/>
    </xf>
    <xf numFmtId="0" fontId="1" fillId="134" borderId="0" applyNumberFormat="0" applyBorder="0" applyAlignment="0" applyProtection="0">
      <alignment vertical="center"/>
    </xf>
    <xf numFmtId="0" fontId="1" fillId="136" borderId="0" applyNumberFormat="0" applyBorder="0" applyAlignment="0" applyProtection="0">
      <alignment vertical="center"/>
    </xf>
    <xf numFmtId="0" fontId="1" fillId="137" borderId="0" applyNumberFormat="0" applyBorder="0" applyAlignment="0" applyProtection="0">
      <alignment vertical="center"/>
    </xf>
    <xf numFmtId="0" fontId="1" fillId="1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4" borderId="8" applyNumberFormat="0" applyFont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center" vertical="center"/>
    </xf>
    <xf numFmtId="0" fontId="4" fillId="66" borderId="0" xfId="0" applyFont="1" applyFill="1" applyAlignment="1">
      <alignment horizontal="center" vertical="center"/>
    </xf>
    <xf numFmtId="0" fontId="12" fillId="67" borderId="0" xfId="0" applyFont="1" applyFill="1" applyAlignment="1">
      <alignment horizontal="center" vertical="center"/>
    </xf>
    <xf numFmtId="0" fontId="12" fillId="68" borderId="0" xfId="0" applyFont="1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176" fontId="9" fillId="0" borderId="0" xfId="2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176" fontId="10" fillId="0" borderId="0" xfId="2" applyNumberFormat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5" fillId="10" borderId="0" xfId="1" applyFont="1" applyFill="1" applyAlignment="1">
      <alignment horizontal="center" vertical="center"/>
    </xf>
    <xf numFmtId="0" fontId="5" fillId="11" borderId="0" xfId="1" applyFont="1" applyFill="1" applyAlignment="1">
      <alignment horizontal="center" vertical="center"/>
    </xf>
    <xf numFmtId="0" fontId="5" fillId="12" borderId="0" xfId="1" applyFont="1" applyFill="1" applyAlignment="1">
      <alignment horizontal="center" vertical="center"/>
    </xf>
    <xf numFmtId="0" fontId="5" fillId="13" borderId="0" xfId="1" applyFont="1" applyFill="1" applyAlignment="1">
      <alignment horizontal="center" vertical="center"/>
    </xf>
    <xf numFmtId="0" fontId="5" fillId="14" borderId="0" xfId="1" applyFont="1" applyFill="1" applyAlignment="1">
      <alignment horizontal="center" vertical="center"/>
    </xf>
    <xf numFmtId="0" fontId="5" fillId="15" borderId="0" xfId="1" applyFont="1" applyFill="1" applyAlignment="1">
      <alignment horizontal="center" vertical="center"/>
    </xf>
    <xf numFmtId="0" fontId="5" fillId="16" borderId="0" xfId="1" applyFont="1" applyFill="1" applyAlignment="1">
      <alignment horizontal="center" vertical="center"/>
    </xf>
    <xf numFmtId="0" fontId="5" fillId="17" borderId="0" xfId="1" applyFont="1" applyFill="1" applyAlignment="1">
      <alignment horizontal="center" vertical="center"/>
    </xf>
    <xf numFmtId="0" fontId="5" fillId="18" borderId="0" xfId="1" applyFont="1" applyFill="1" applyAlignment="1">
      <alignment horizontal="center" vertical="center"/>
    </xf>
    <xf numFmtId="0" fontId="5" fillId="19" borderId="0" xfId="1" applyFont="1" applyFill="1" applyAlignment="1">
      <alignment horizontal="center" vertical="center"/>
    </xf>
    <xf numFmtId="0" fontId="5" fillId="20" borderId="0" xfId="1" applyFont="1" applyFill="1" applyAlignment="1">
      <alignment horizontal="center" vertical="center"/>
    </xf>
    <xf numFmtId="0" fontId="5" fillId="21" borderId="0" xfId="1" applyFont="1" applyFill="1" applyAlignment="1">
      <alignment horizontal="center" vertical="center"/>
    </xf>
    <xf numFmtId="0" fontId="5" fillId="22" borderId="0" xfId="1" applyFont="1" applyFill="1" applyAlignment="1">
      <alignment horizontal="center" vertical="center"/>
    </xf>
    <xf numFmtId="0" fontId="5" fillId="23" borderId="0" xfId="1" applyFont="1" applyFill="1" applyAlignment="1">
      <alignment horizontal="center" vertical="center"/>
    </xf>
    <xf numFmtId="0" fontId="5" fillId="24" borderId="0" xfId="1" applyFont="1" applyFill="1" applyAlignment="1">
      <alignment horizontal="center" vertical="center"/>
    </xf>
    <xf numFmtId="0" fontId="5" fillId="25" borderId="0" xfId="1" applyFont="1" applyFill="1" applyAlignment="1">
      <alignment horizontal="center" vertical="center"/>
    </xf>
    <xf numFmtId="0" fontId="5" fillId="26" borderId="0" xfId="1" applyFont="1" applyFill="1" applyAlignment="1">
      <alignment horizontal="center" vertical="center"/>
    </xf>
    <xf numFmtId="0" fontId="7" fillId="27" borderId="0" xfId="1" applyFont="1" applyFill="1" applyAlignment="1">
      <alignment horizontal="center" vertical="center"/>
    </xf>
    <xf numFmtId="0" fontId="5" fillId="28" borderId="0" xfId="1" applyFont="1" applyFill="1" applyAlignment="1">
      <alignment horizontal="center" vertical="center"/>
    </xf>
    <xf numFmtId="0" fontId="5" fillId="29" borderId="0" xfId="1" applyFont="1" applyFill="1" applyAlignment="1">
      <alignment horizontal="center" vertical="center"/>
    </xf>
    <xf numFmtId="0" fontId="5" fillId="30" borderId="0" xfId="1" applyFont="1" applyFill="1" applyAlignment="1">
      <alignment horizontal="center" vertical="center"/>
    </xf>
    <xf numFmtId="0" fontId="5" fillId="31" borderId="0" xfId="1" applyFont="1" applyFill="1" applyAlignment="1">
      <alignment horizontal="center" vertical="center"/>
    </xf>
    <xf numFmtId="0" fontId="5" fillId="32" borderId="0" xfId="1" applyFont="1" applyFill="1" applyAlignment="1">
      <alignment horizontal="center" vertical="center"/>
    </xf>
    <xf numFmtId="0" fontId="5" fillId="33" borderId="0" xfId="1" applyFont="1" applyFill="1" applyAlignment="1">
      <alignment horizontal="center" vertical="center"/>
    </xf>
    <xf numFmtId="0" fontId="5" fillId="34" borderId="0" xfId="1" applyFont="1" applyFill="1" applyAlignment="1">
      <alignment horizontal="center" vertical="center"/>
    </xf>
    <xf numFmtId="0" fontId="5" fillId="35" borderId="0" xfId="1" applyFont="1" applyFill="1" applyAlignment="1">
      <alignment horizontal="center" vertical="center"/>
    </xf>
    <xf numFmtId="0" fontId="5" fillId="36" borderId="0" xfId="1" applyFont="1" applyFill="1" applyAlignment="1">
      <alignment horizontal="center" vertical="center"/>
    </xf>
    <xf numFmtId="0" fontId="5" fillId="37" borderId="0" xfId="1" applyFont="1" applyFill="1" applyAlignment="1">
      <alignment horizontal="center" vertical="center"/>
    </xf>
    <xf numFmtId="0" fontId="5" fillId="38" borderId="0" xfId="1" applyFont="1" applyFill="1" applyAlignment="1">
      <alignment horizontal="center" vertical="center"/>
    </xf>
    <xf numFmtId="0" fontId="5" fillId="39" borderId="0" xfId="1" applyFont="1" applyFill="1" applyAlignment="1">
      <alignment horizontal="center" vertical="center"/>
    </xf>
    <xf numFmtId="0" fontId="5" fillId="40" borderId="0" xfId="1" applyFont="1" applyFill="1" applyAlignment="1">
      <alignment horizontal="center" vertical="center"/>
    </xf>
    <xf numFmtId="0" fontId="5" fillId="41" borderId="0" xfId="1" applyFont="1" applyFill="1" applyAlignment="1">
      <alignment horizontal="center" vertical="center"/>
    </xf>
    <xf numFmtId="0" fontId="5" fillId="42" borderId="0" xfId="1" applyFont="1" applyFill="1" applyAlignment="1">
      <alignment horizontal="center" vertical="center"/>
    </xf>
    <xf numFmtId="0" fontId="5" fillId="43" borderId="0" xfId="1" applyFont="1" applyFill="1" applyAlignment="1">
      <alignment horizontal="center" vertical="center"/>
    </xf>
    <xf numFmtId="0" fontId="5" fillId="44" borderId="0" xfId="1" applyFont="1" applyFill="1" applyAlignment="1">
      <alignment horizontal="center" vertical="center"/>
    </xf>
    <xf numFmtId="0" fontId="5" fillId="45" borderId="0" xfId="1" applyFont="1" applyFill="1" applyAlignment="1">
      <alignment horizontal="center" vertical="center"/>
    </xf>
    <xf numFmtId="0" fontId="5" fillId="46" borderId="0" xfId="1" applyFont="1" applyFill="1" applyAlignment="1">
      <alignment horizontal="center" vertical="center"/>
    </xf>
    <xf numFmtId="0" fontId="5" fillId="47" borderId="0" xfId="1" applyFont="1" applyFill="1" applyAlignment="1">
      <alignment horizontal="center" vertical="center"/>
    </xf>
    <xf numFmtId="0" fontId="5" fillId="48" borderId="0" xfId="1" applyFont="1" applyFill="1" applyAlignment="1">
      <alignment horizontal="center" vertical="center"/>
    </xf>
    <xf numFmtId="0" fontId="5" fillId="49" borderId="0" xfId="1" applyFont="1" applyFill="1" applyAlignment="1">
      <alignment horizontal="center" vertical="center"/>
    </xf>
    <xf numFmtId="0" fontId="5" fillId="50" borderId="0" xfId="1" applyFont="1" applyFill="1" applyAlignment="1">
      <alignment horizontal="center" vertical="center"/>
    </xf>
    <xf numFmtId="0" fontId="5" fillId="51" borderId="0" xfId="1" applyFont="1" applyFill="1" applyAlignment="1">
      <alignment horizontal="center" vertical="center"/>
    </xf>
    <xf numFmtId="0" fontId="5" fillId="52" borderId="0" xfId="1" applyFont="1" applyFill="1" applyAlignment="1">
      <alignment horizontal="center" vertical="center"/>
    </xf>
    <xf numFmtId="0" fontId="8" fillId="53" borderId="0" xfId="1" applyFont="1" applyFill="1" applyAlignment="1">
      <alignment horizontal="center" vertical="center"/>
    </xf>
    <xf numFmtId="0" fontId="8" fillId="54" borderId="0" xfId="1" applyFont="1" applyFill="1" applyAlignment="1">
      <alignment horizontal="center" vertical="center"/>
    </xf>
    <xf numFmtId="0" fontId="5" fillId="55" borderId="0" xfId="1" applyFont="1" applyFill="1" applyAlignment="1">
      <alignment horizontal="center" vertical="center"/>
    </xf>
    <xf numFmtId="0" fontId="5" fillId="56" borderId="0" xfId="1" applyFont="1" applyFill="1" applyAlignment="1">
      <alignment horizontal="center" vertical="center"/>
    </xf>
    <xf numFmtId="0" fontId="8" fillId="57" borderId="0" xfId="1" applyFont="1" applyFill="1" applyAlignment="1">
      <alignment horizontal="center" vertical="center"/>
    </xf>
    <xf numFmtId="0" fontId="5" fillId="58" borderId="0" xfId="1" applyFont="1" applyFill="1" applyAlignment="1">
      <alignment horizontal="center" vertical="center"/>
    </xf>
    <xf numFmtId="0" fontId="5" fillId="59" borderId="0" xfId="1" applyFont="1" applyFill="1" applyAlignment="1">
      <alignment horizontal="center" vertical="center"/>
    </xf>
    <xf numFmtId="0" fontId="5" fillId="60" borderId="0" xfId="1" applyFont="1" applyFill="1" applyAlignment="1">
      <alignment horizontal="center" vertical="center"/>
    </xf>
    <xf numFmtId="0" fontId="5" fillId="61" borderId="0" xfId="1" applyFont="1" applyFill="1" applyAlignment="1">
      <alignment horizontal="center" vertical="center"/>
    </xf>
    <xf numFmtId="0" fontId="5" fillId="62" borderId="0" xfId="1" applyFont="1" applyFill="1" applyAlignment="1">
      <alignment horizontal="center" vertical="center"/>
    </xf>
    <xf numFmtId="0" fontId="5" fillId="63" borderId="0" xfId="1" applyFont="1" applyFill="1" applyAlignment="1">
      <alignment horizontal="center" vertical="center"/>
    </xf>
    <xf numFmtId="0" fontId="5" fillId="64" borderId="0" xfId="1" applyFont="1" applyFill="1" applyAlignment="1">
      <alignment horizontal="center" vertical="center"/>
    </xf>
    <xf numFmtId="0" fontId="5" fillId="65" borderId="0" xfId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107" borderId="0" xfId="0" applyFont="1" applyFill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0" fontId="13" fillId="70" borderId="0" xfId="1" applyFont="1" applyFill="1" applyAlignment="1">
      <alignment horizontal="center" vertical="center" wrapText="1"/>
    </xf>
    <xf numFmtId="0" fontId="13" fillId="71" borderId="0" xfId="1" applyFont="1" applyFill="1" applyAlignment="1">
      <alignment horizontal="center" vertical="center" wrapText="1"/>
    </xf>
    <xf numFmtId="0" fontId="13" fillId="72" borderId="0" xfId="1" applyFont="1" applyFill="1" applyAlignment="1">
      <alignment horizontal="center" vertical="center" wrapText="1"/>
    </xf>
    <xf numFmtId="0" fontId="13" fillId="73" borderId="0" xfId="1" applyFont="1" applyFill="1" applyAlignment="1">
      <alignment horizontal="center" vertical="center" wrapText="1"/>
    </xf>
    <xf numFmtId="0" fontId="13" fillId="74" borderId="0" xfId="1" applyFont="1" applyFill="1" applyAlignment="1">
      <alignment horizontal="center" vertical="center" wrapText="1"/>
    </xf>
    <xf numFmtId="0" fontId="13" fillId="75" borderId="0" xfId="1" applyFont="1" applyFill="1" applyAlignment="1">
      <alignment horizontal="center" vertical="center" wrapText="1"/>
    </xf>
    <xf numFmtId="0" fontId="13" fillId="76" borderId="0" xfId="1" applyFont="1" applyFill="1" applyAlignment="1">
      <alignment horizontal="center" vertical="center" wrapText="1"/>
    </xf>
    <xf numFmtId="0" fontId="13" fillId="77" borderId="0" xfId="1" applyFont="1" applyFill="1" applyAlignment="1">
      <alignment horizontal="center" vertical="center" wrapText="1"/>
    </xf>
    <xf numFmtId="0" fontId="13" fillId="78" borderId="0" xfId="1" applyFont="1" applyFill="1" applyAlignment="1">
      <alignment horizontal="center" vertical="center" wrapText="1"/>
    </xf>
    <xf numFmtId="0" fontId="13" fillId="79" borderId="0" xfId="1" applyFont="1" applyFill="1" applyAlignment="1">
      <alignment horizontal="center" vertical="center" wrapText="1"/>
    </xf>
    <xf numFmtId="0" fontId="0" fillId="80" borderId="0" xfId="0" applyFill="1" applyAlignment="1">
      <alignment vertical="center"/>
    </xf>
    <xf numFmtId="0" fontId="0" fillId="81" borderId="0" xfId="0" applyFill="1" applyAlignment="1">
      <alignment vertical="center"/>
    </xf>
    <xf numFmtId="0" fontId="0" fillId="82" borderId="0" xfId="0" applyFill="1" applyAlignment="1">
      <alignment vertical="center"/>
    </xf>
    <xf numFmtId="0" fontId="0" fillId="83" borderId="0" xfId="0" applyFill="1" applyAlignment="1">
      <alignment vertical="center"/>
    </xf>
    <xf numFmtId="0" fontId="0" fillId="84" borderId="0" xfId="0" applyFill="1" applyAlignment="1">
      <alignment vertical="center"/>
    </xf>
    <xf numFmtId="0" fontId="0" fillId="85" borderId="0" xfId="0" applyFill="1" applyAlignment="1">
      <alignment vertical="center"/>
    </xf>
    <xf numFmtId="0" fontId="0" fillId="86" borderId="0" xfId="0" applyFill="1" applyAlignment="1">
      <alignment vertical="center"/>
    </xf>
    <xf numFmtId="0" fontId="0" fillId="87" borderId="0" xfId="0" applyFill="1" applyAlignment="1">
      <alignment vertical="center"/>
    </xf>
    <xf numFmtId="0" fontId="0" fillId="88" borderId="0" xfId="0" applyFill="1" applyAlignment="1">
      <alignment vertical="center"/>
    </xf>
    <xf numFmtId="0" fontId="0" fillId="89" borderId="0" xfId="0" applyFill="1" applyAlignment="1">
      <alignment vertical="center"/>
    </xf>
    <xf numFmtId="0" fontId="14" fillId="90" borderId="0" xfId="1" applyFont="1" applyFill="1" applyAlignment="1">
      <alignment horizontal="center" vertical="center"/>
    </xf>
    <xf numFmtId="0" fontId="14" fillId="91" borderId="0" xfId="1" applyFont="1" applyFill="1" applyAlignment="1">
      <alignment horizontal="center" vertical="center"/>
    </xf>
    <xf numFmtId="0" fontId="14" fillId="92" borderId="0" xfId="1" applyFont="1" applyFill="1" applyAlignment="1">
      <alignment horizontal="center" vertical="center"/>
    </xf>
    <xf numFmtId="0" fontId="14" fillId="93" borderId="0" xfId="1" applyFont="1" applyFill="1" applyAlignment="1">
      <alignment horizontal="center" vertical="center"/>
    </xf>
    <xf numFmtId="0" fontId="14" fillId="94" borderId="0" xfId="1" applyFont="1" applyFill="1" applyAlignment="1">
      <alignment horizontal="center" vertical="center"/>
    </xf>
    <xf numFmtId="0" fontId="14" fillId="95" borderId="0" xfId="1" applyFont="1" applyFill="1" applyAlignment="1">
      <alignment horizontal="center" vertical="center"/>
    </xf>
    <xf numFmtId="0" fontId="14" fillId="96" borderId="0" xfId="1" applyFont="1" applyFill="1" applyAlignment="1">
      <alignment horizontal="center" vertical="center"/>
    </xf>
    <xf numFmtId="0" fontId="14" fillId="97" borderId="0" xfId="1" applyFont="1" applyFill="1" applyAlignment="1">
      <alignment horizontal="center" vertical="center"/>
    </xf>
    <xf numFmtId="0" fontId="14" fillId="98" borderId="0" xfId="1" applyFont="1" applyFill="1" applyAlignment="1">
      <alignment horizontal="center" vertical="center"/>
    </xf>
    <xf numFmtId="0" fontId="14" fillId="99" borderId="0" xfId="1" applyFont="1" applyFill="1" applyAlignment="1">
      <alignment horizontal="center" vertical="center"/>
    </xf>
    <xf numFmtId="0" fontId="15" fillId="100" borderId="0" xfId="0" applyFont="1" applyFill="1" applyAlignment="1">
      <alignment horizontal="center" vertical="center" wrapText="1"/>
    </xf>
    <xf numFmtId="0" fontId="15" fillId="101" borderId="0" xfId="0" applyFont="1" applyFill="1" applyAlignment="1">
      <alignment horizontal="center" vertical="center" wrapText="1"/>
    </xf>
    <xf numFmtId="0" fontId="15" fillId="102" borderId="0" xfId="0" applyFont="1" applyFill="1" applyAlignment="1">
      <alignment horizontal="center" vertical="center" wrapText="1"/>
    </xf>
    <xf numFmtId="0" fontId="15" fillId="66" borderId="0" xfId="0" applyFont="1" applyFill="1" applyAlignment="1">
      <alignment horizontal="center" vertical="center" wrapText="1"/>
    </xf>
    <xf numFmtId="0" fontId="15" fillId="25" borderId="0" xfId="0" applyFont="1" applyFill="1" applyAlignment="1">
      <alignment horizontal="center" vertical="center" wrapText="1"/>
    </xf>
    <xf numFmtId="0" fontId="15" fillId="103" borderId="0" xfId="0" applyFont="1" applyFill="1" applyAlignment="1">
      <alignment horizontal="center" vertical="center" wrapText="1"/>
    </xf>
    <xf numFmtId="0" fontId="15" fillId="104" borderId="0" xfId="0" applyFont="1" applyFill="1" applyAlignment="1">
      <alignment horizontal="center" vertical="center" wrapText="1"/>
    </xf>
    <xf numFmtId="0" fontId="15" fillId="105" borderId="0" xfId="0" applyFont="1" applyFill="1" applyAlignment="1">
      <alignment horizontal="center" vertical="center" wrapText="1"/>
    </xf>
    <xf numFmtId="0" fontId="15" fillId="106" borderId="0" xfId="0" applyFont="1" applyFill="1" applyAlignment="1">
      <alignment horizontal="center" vertical="center" wrapText="1"/>
    </xf>
    <xf numFmtId="0" fontId="5" fillId="47" borderId="0" xfId="2" applyFont="1" applyFill="1">
      <alignment vertical="center"/>
    </xf>
    <xf numFmtId="0" fontId="5" fillId="24" borderId="0" xfId="2" applyFont="1" applyFill="1">
      <alignment vertical="center"/>
    </xf>
    <xf numFmtId="0" fontId="5" fillId="51" borderId="0" xfId="2" applyFont="1" applyFill="1">
      <alignment vertical="center"/>
    </xf>
    <xf numFmtId="0" fontId="5" fillId="4" borderId="0" xfId="2" applyFont="1" applyFill="1">
      <alignment vertical="center"/>
    </xf>
    <xf numFmtId="0" fontId="13" fillId="79" borderId="0" xfId="2" applyFont="1" applyFill="1" applyAlignment="1">
      <alignment horizontal="center" vertical="center" wrapText="1"/>
    </xf>
    <xf numFmtId="0" fontId="5" fillId="36" borderId="0" xfId="2" applyFont="1" applyFill="1">
      <alignment vertical="center"/>
    </xf>
    <xf numFmtId="177" fontId="0" fillId="0" borderId="0" xfId="0" applyNumberFormat="1" applyAlignment="1">
      <alignment horizontal="center" vertical="center"/>
    </xf>
    <xf numFmtId="0" fontId="13" fillId="0" borderId="0" xfId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14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5" fillId="0" borderId="0" xfId="2" applyFont="1">
      <alignment vertical="center"/>
    </xf>
    <xf numFmtId="0" fontId="13" fillId="0" borderId="0" xfId="2" applyFont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7" fontId="9" fillId="0" borderId="0" xfId="2" applyNumberFormat="1" applyFont="1" applyAlignment="1">
      <alignment horizontal="center" vertical="center"/>
    </xf>
    <xf numFmtId="177" fontId="10" fillId="0" borderId="0" xfId="2" applyNumberFormat="1" applyFont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</cellXfs>
  <cellStyles count="92">
    <cellStyle name="20% - 강조색1" xfId="20" builtinId="30" customBuiltin="1"/>
    <cellStyle name="20% - 강조색1 2" xfId="71" xr:uid="{1053034F-E0A3-4427-9864-E57F22FD2A28}"/>
    <cellStyle name="20% - 강조색1 3" xfId="48" xr:uid="{552D8D37-0285-44BA-809F-6BE9306FFF7D}"/>
    <cellStyle name="20% - 강조색2" xfId="24" builtinId="34" customBuiltin="1"/>
    <cellStyle name="20% - 강조색2 2" xfId="74" xr:uid="{1527231A-DB74-47AF-ACAE-BFA3F768BDED}"/>
    <cellStyle name="20% - 강조색2 3" xfId="51" xr:uid="{CDFDDD74-7DC3-4947-9F16-0EB15DA8029F}"/>
    <cellStyle name="20% - 강조색3" xfId="28" builtinId="38" customBuiltin="1"/>
    <cellStyle name="20% - 강조색3 2" xfId="77" xr:uid="{5674CF40-2101-47BE-885F-D9888759079E}"/>
    <cellStyle name="20% - 강조색3 3" xfId="54" xr:uid="{6E913B6E-0BDE-4309-A01D-B0489D586E17}"/>
    <cellStyle name="20% - 강조색4" xfId="32" builtinId="42" customBuiltin="1"/>
    <cellStyle name="20% - 강조색4 2" xfId="80" xr:uid="{52D20F2A-424E-4F25-97D2-5363F9434F92}"/>
    <cellStyle name="20% - 강조색4 3" xfId="57" xr:uid="{152AA325-4EC8-4597-90D3-D6EF1DFBF636}"/>
    <cellStyle name="20% - 강조색5" xfId="36" builtinId="46" customBuiltin="1"/>
    <cellStyle name="20% - 강조색5 2" xfId="83" xr:uid="{786FC484-5965-403B-827C-16DCF6D0DDCB}"/>
    <cellStyle name="20% - 강조색5 3" xfId="60" xr:uid="{F1E430BA-12D1-4F9F-87E8-2069A9756F85}"/>
    <cellStyle name="20% - 강조색6" xfId="40" builtinId="50" customBuiltin="1"/>
    <cellStyle name="20% - 강조색6 2" xfId="86" xr:uid="{8EC9005D-BA18-445C-A812-449386D26D5A}"/>
    <cellStyle name="20% - 강조색6 3" xfId="63" xr:uid="{AECD1E4A-BFD8-473E-8CA0-1D9F5F7FC13A}"/>
    <cellStyle name="40% - 강조색1" xfId="21" builtinId="31" customBuiltin="1"/>
    <cellStyle name="40% - 강조색1 2" xfId="72" xr:uid="{298B2E4D-FE5F-4068-8EB2-D496DE344B77}"/>
    <cellStyle name="40% - 강조색1 3" xfId="49" xr:uid="{2ACF4CD1-CD9F-4F97-989F-4523CA054C63}"/>
    <cellStyle name="40% - 강조색2" xfId="25" builtinId="35" customBuiltin="1"/>
    <cellStyle name="40% - 강조색2 2" xfId="75" xr:uid="{FEF26F63-8908-45D5-BE57-A1E3D8CAEB80}"/>
    <cellStyle name="40% - 강조색2 3" xfId="52" xr:uid="{C189120C-47F4-4A28-91F7-35041F96E687}"/>
    <cellStyle name="40% - 강조색3" xfId="29" builtinId="39" customBuiltin="1"/>
    <cellStyle name="40% - 강조색3 2" xfId="78" xr:uid="{6158E392-88AF-40D1-A343-BBD5F01959D7}"/>
    <cellStyle name="40% - 강조색3 3" xfId="55" xr:uid="{F79AF63A-118C-44CB-B4B3-47048F1C188F}"/>
    <cellStyle name="40% - 강조색4" xfId="33" builtinId="43" customBuiltin="1"/>
    <cellStyle name="40% - 강조색4 2" xfId="81" xr:uid="{1325D068-9829-4CE5-B98F-0CDF735E9320}"/>
    <cellStyle name="40% - 강조색4 3" xfId="58" xr:uid="{DD38A30E-2D73-4D08-8E5C-AE17965D4571}"/>
    <cellStyle name="40% - 강조색5" xfId="37" builtinId="47" customBuiltin="1"/>
    <cellStyle name="40% - 강조색5 2" xfId="84" xr:uid="{A6BD8DE5-912C-4234-B0E7-60FF0A90C71A}"/>
    <cellStyle name="40% - 강조색5 3" xfId="61" xr:uid="{829606EF-C22C-4E0A-88A3-4B756861177E}"/>
    <cellStyle name="40% - 강조색6" xfId="41" builtinId="51" customBuiltin="1"/>
    <cellStyle name="40% - 강조색6 2" xfId="87" xr:uid="{7561CA85-1EA8-41AC-A8A1-6F45C329913E}"/>
    <cellStyle name="40% - 강조색6 3" xfId="64" xr:uid="{10A76877-5180-4652-B584-6E36C77AB2D1}"/>
    <cellStyle name="60% - 강조색1" xfId="22" builtinId="32" customBuiltin="1"/>
    <cellStyle name="60% - 강조색1 2" xfId="73" xr:uid="{D6EE2D7C-961E-4F18-A638-6E41B1AE296E}"/>
    <cellStyle name="60% - 강조색1 3" xfId="50" xr:uid="{A5CF8888-7453-4057-9312-F526FC897C3F}"/>
    <cellStyle name="60% - 강조색2" xfId="26" builtinId="36" customBuiltin="1"/>
    <cellStyle name="60% - 강조색2 2" xfId="76" xr:uid="{110BAE5F-72A0-491A-859D-ACA6D9F9C32F}"/>
    <cellStyle name="60% - 강조색2 3" xfId="53" xr:uid="{CACDBE4D-211D-46FD-B945-532254090FA2}"/>
    <cellStyle name="60% - 강조색3" xfId="30" builtinId="40" customBuiltin="1"/>
    <cellStyle name="60% - 강조색3 2" xfId="79" xr:uid="{22F5FDA3-4DF4-4242-8CC0-4D0516D14542}"/>
    <cellStyle name="60% - 강조색3 3" xfId="56" xr:uid="{550F3325-7CE6-4011-BC57-18970F6593F5}"/>
    <cellStyle name="60% - 강조색4" xfId="34" builtinId="44" customBuiltin="1"/>
    <cellStyle name="60% - 강조색4 2" xfId="82" xr:uid="{88BAB5EF-E4FF-4CAD-8470-ADA08B12D867}"/>
    <cellStyle name="60% - 강조색4 3" xfId="59" xr:uid="{EC8532A8-91BD-4544-B685-BB6549462D77}"/>
    <cellStyle name="60% - 강조색5" xfId="38" builtinId="48" customBuiltin="1"/>
    <cellStyle name="60% - 강조색5 2" xfId="85" xr:uid="{D833E24F-C706-4496-A5C3-DC904D5A3BCD}"/>
    <cellStyle name="60% - 강조색5 3" xfId="62" xr:uid="{ECC02A79-C4BA-4581-8B55-BD3D30A74B15}"/>
    <cellStyle name="60% - 강조색6" xfId="42" builtinId="52" customBuiltin="1"/>
    <cellStyle name="60% - 강조색6 2" xfId="88" xr:uid="{2CC1C53F-64B5-4BC3-AAF8-53E987BB6FCE}"/>
    <cellStyle name="60% - 강조색6 3" xfId="65" xr:uid="{9CD757A8-8450-4423-825D-568D5A957043}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 2" xfId="45" xr:uid="{FAD63DB4-5201-475F-AE4D-2197040F369D}"/>
    <cellStyle name="메모 2 2" xfId="91" xr:uid="{8FA25AAA-623A-4164-B647-5AB794915B35}"/>
    <cellStyle name="메모 2 3" xfId="68" xr:uid="{AECD271E-17BA-4260-90DE-9673F92025E9}"/>
    <cellStyle name="보통" xfId="10" builtinId="28" customBuiltin="1"/>
    <cellStyle name="설명 텍스트" xfId="17" builtinId="53" customBuiltin="1"/>
    <cellStyle name="셀 확인" xfId="15" builtinId="23" customBuiltin="1"/>
    <cellStyle name="연결된 셀" xfId="14" builtinId="24" customBuiltin="1"/>
    <cellStyle name="요약" xfId="18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1" xr:uid="{5F1577BF-FE4F-4DA8-9704-B43961B55992}"/>
    <cellStyle name="표준 2 2" xfId="2" xr:uid="{E44F09AC-2734-4799-BC73-0CE9F54BCE7E}"/>
    <cellStyle name="표준 2 2 2" xfId="43" xr:uid="{29FDD198-C9E4-4F60-AFBC-AC297BE3EE51}"/>
    <cellStyle name="표준 2 2 2 2" xfId="89" xr:uid="{26CC9427-8236-4D89-B314-44EA16137B7B}"/>
    <cellStyle name="표준 2 2 2 3" xfId="66" xr:uid="{47726B52-122C-43A8-8813-95EA15179CE4}"/>
    <cellStyle name="표준 2 2 3" xfId="70" xr:uid="{D4C65CC7-B56B-420F-A5AA-59E1AD277CE0}"/>
    <cellStyle name="표준 2 2 4" xfId="47" xr:uid="{E3F4CBA7-9361-46EB-B9B5-1F1287C713BD}"/>
    <cellStyle name="표준 2 3" xfId="44" xr:uid="{8DA176AD-1B4D-434A-833E-461FB782FF62}"/>
    <cellStyle name="표준 2 3 2" xfId="90" xr:uid="{63BB284A-830D-45F1-8B2E-1506A361D1B7}"/>
    <cellStyle name="표준 2 3 3" xfId="67" xr:uid="{1E2879E4-87BB-4F47-AD0C-740936FC0DB6}"/>
    <cellStyle name="표준 2 4" xfId="69" xr:uid="{66F96760-1C7F-448A-948A-CAA8832D8DF0}"/>
    <cellStyle name="표준 2 5" xfId="46" xr:uid="{551CC0E8-051C-4E06-89E9-F3EB112201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54"/>
  <sheetViews>
    <sheetView tabSelected="1" zoomScale="85" zoomScaleNormal="85" workbookViewId="0"/>
  </sheetViews>
  <sheetFormatPr defaultRowHeight="16.899999999999999"/>
  <cols>
    <col min="1" max="1" width="2.625" style="1" customWidth="1"/>
    <col min="2" max="2" width="17.375" style="1" bestFit="1" customWidth="1"/>
    <col min="3" max="3" width="5.5" style="1" bestFit="1" customWidth="1"/>
    <col min="4" max="4" width="5.5" style="1" customWidth="1"/>
    <col min="5" max="6" width="6.125" style="1" bestFit="1" customWidth="1"/>
    <col min="7" max="9" width="4.5" style="1" bestFit="1" customWidth="1"/>
    <col min="10" max="10" width="2.625" style="1" customWidth="1"/>
    <col min="11" max="13" width="4.25" style="1" bestFit="1" customWidth="1"/>
    <col min="14" max="14" width="12.875" style="1" bestFit="1" customWidth="1"/>
    <col min="15" max="15" width="2.625" style="1" customWidth="1"/>
    <col min="16" max="16" width="4.25" style="1" bestFit="1" customWidth="1"/>
    <col min="17" max="18" width="13.25" style="1" bestFit="1" customWidth="1"/>
    <col min="19" max="16384" width="9" style="1"/>
  </cols>
  <sheetData>
    <row r="2" spans="2:24">
      <c r="B2" s="5"/>
      <c r="C2" s="5"/>
      <c r="D2" s="5"/>
      <c r="E2" s="133" t="s">
        <v>29</v>
      </c>
      <c r="F2" s="133"/>
      <c r="G2" s="133" t="s">
        <v>39</v>
      </c>
      <c r="H2" s="133"/>
      <c r="I2" s="133"/>
      <c r="K2" s="133" t="s">
        <v>30</v>
      </c>
      <c r="L2" s="133"/>
      <c r="M2" s="133"/>
      <c r="N2" s="133"/>
      <c r="P2" s="133" t="s">
        <v>31</v>
      </c>
      <c r="Q2" s="133"/>
      <c r="R2" s="133"/>
      <c r="S2" s="133"/>
      <c r="T2" s="133"/>
      <c r="U2" s="133"/>
      <c r="V2" s="133"/>
      <c r="W2" s="133"/>
      <c r="X2" s="133"/>
    </row>
    <row r="3" spans="2:24">
      <c r="B3" s="5"/>
      <c r="C3" s="5" t="s">
        <v>32</v>
      </c>
      <c r="D3" s="5" t="s">
        <v>40</v>
      </c>
      <c r="E3" s="5" t="s">
        <v>0</v>
      </c>
      <c r="F3" s="5" t="s">
        <v>1</v>
      </c>
      <c r="G3" s="2" t="s">
        <v>2</v>
      </c>
      <c r="H3" s="3" t="s">
        <v>3</v>
      </c>
      <c r="I3" s="4" t="s">
        <v>4</v>
      </c>
      <c r="J3" s="74"/>
      <c r="K3" s="2" t="s">
        <v>2</v>
      </c>
      <c r="L3" s="3" t="s">
        <v>3</v>
      </c>
      <c r="M3" s="4" t="s">
        <v>4</v>
      </c>
      <c r="N3" s="75" t="s">
        <v>38</v>
      </c>
      <c r="O3" s="74"/>
      <c r="P3" s="5" t="s">
        <v>5</v>
      </c>
      <c r="Q3" s="5" t="s">
        <v>6</v>
      </c>
      <c r="R3" s="5" t="s">
        <v>7</v>
      </c>
      <c r="S3" s="5" t="s">
        <v>8</v>
      </c>
      <c r="T3" s="5" t="s">
        <v>9</v>
      </c>
      <c r="U3" s="5" t="s">
        <v>10</v>
      </c>
      <c r="V3" s="5" t="s">
        <v>11</v>
      </c>
      <c r="W3" s="5" t="s">
        <v>12</v>
      </c>
      <c r="X3" s="5" t="s">
        <v>13</v>
      </c>
    </row>
    <row r="4" spans="2:24">
      <c r="B4" s="133" t="s">
        <v>33</v>
      </c>
      <c r="C4" s="78"/>
      <c r="D4" s="124">
        <v>86.596000000000004</v>
      </c>
      <c r="E4" s="6">
        <v>0.29659999999999997</v>
      </c>
      <c r="F4" s="6">
        <v>0.32073000000000002</v>
      </c>
      <c r="G4" s="135">
        <v>131.99594793964246</v>
      </c>
      <c r="H4" s="135">
        <v>150.23845018122313</v>
      </c>
      <c r="I4" s="135">
        <v>151</v>
      </c>
      <c r="K4" s="1">
        <f>ROUND(G4*1, 0)</f>
        <v>132</v>
      </c>
      <c r="L4" s="1">
        <f t="shared" ref="L4:M4" si="0">ROUND(H4*1, 0)</f>
        <v>150</v>
      </c>
      <c r="M4" s="1">
        <f t="shared" si="0"/>
        <v>151</v>
      </c>
      <c r="N4" s="1" t="str">
        <f>_xlfn.CONCAT("{", K4, ",", L4, ",", M4, "}", ",")</f>
        <v>{132,150,151},</v>
      </c>
      <c r="P4" s="1">
        <v>1</v>
      </c>
      <c r="Q4" s="123">
        <v>3907.6043</v>
      </c>
      <c r="R4" s="123">
        <v>4131.6845000000003</v>
      </c>
      <c r="S4" s="130">
        <v>4949.7160999999996</v>
      </c>
      <c r="T4" s="131">
        <v>0.30083938916675601</v>
      </c>
      <c r="U4" s="131">
        <v>0.31809091857375499</v>
      </c>
      <c r="V4" s="131">
        <v>4131.6845000000003</v>
      </c>
      <c r="W4" s="131">
        <v>0.19360864723363999</v>
      </c>
      <c r="X4" s="131">
        <v>0.46059990142622498</v>
      </c>
    </row>
    <row r="5" spans="2:24">
      <c r="B5" s="133"/>
      <c r="C5" s="79"/>
      <c r="D5" s="124">
        <v>84</v>
      </c>
      <c r="E5" s="9">
        <v>0.32937</v>
      </c>
      <c r="F5" s="9">
        <v>0.33933000000000002</v>
      </c>
      <c r="G5" s="135">
        <v>157.64556919271647</v>
      </c>
      <c r="H5" s="135">
        <v>153.35120249857985</v>
      </c>
      <c r="I5" s="135">
        <v>140</v>
      </c>
      <c r="K5" s="1">
        <f t="shared" ref="K5:K54" si="1">ROUND(G5*1, 0)</f>
        <v>158</v>
      </c>
      <c r="L5" s="1">
        <f t="shared" ref="L5:L54" si="2">ROUND(H5*1, 0)</f>
        <v>153</v>
      </c>
      <c r="M5" s="1">
        <f t="shared" ref="M5:M54" si="3">ROUND(I5*1, 0)</f>
        <v>140</v>
      </c>
      <c r="N5" s="1" t="str">
        <f t="shared" ref="N5:N54" si="4">_xlfn.CONCAT("{", K5, ",", L5, ",", M5, "}", ",")</f>
        <v>{158,153,140},</v>
      </c>
      <c r="P5" s="1">
        <v>2</v>
      </c>
      <c r="Q5" s="123">
        <v>4353.5308999999997</v>
      </c>
      <c r="R5" s="123">
        <v>4386.1756999999998</v>
      </c>
      <c r="S5" s="130">
        <v>4619.2865000000002</v>
      </c>
      <c r="T5" s="132">
        <v>0.32588765241595902</v>
      </c>
      <c r="U5" s="132">
        <v>0.32833130964039497</v>
      </c>
      <c r="V5" s="132">
        <v>4386.1756999999998</v>
      </c>
      <c r="W5" s="132">
        <v>0.20730105984122801</v>
      </c>
      <c r="X5" s="132">
        <v>0.46992487416010797</v>
      </c>
    </row>
    <row r="6" spans="2:24">
      <c r="B6" s="133"/>
      <c r="C6" s="80"/>
      <c r="D6" s="124">
        <v>54</v>
      </c>
      <c r="E6" s="9">
        <v>0.51727999999999996</v>
      </c>
      <c r="F6" s="9">
        <v>0.43662000000000001</v>
      </c>
      <c r="G6" s="135">
        <v>182</v>
      </c>
      <c r="H6" s="135">
        <v>100.41677223489529</v>
      </c>
      <c r="I6" s="135">
        <v>10</v>
      </c>
      <c r="K6" s="1">
        <f t="shared" si="1"/>
        <v>182</v>
      </c>
      <c r="L6" s="1">
        <f t="shared" si="2"/>
        <v>100</v>
      </c>
      <c r="M6" s="1">
        <f t="shared" si="3"/>
        <v>10</v>
      </c>
      <c r="N6" s="1" t="str">
        <f t="shared" si="4"/>
        <v>{182,100,10},</v>
      </c>
      <c r="P6" s="1">
        <v>3</v>
      </c>
      <c r="Q6" s="123">
        <v>4050.6694000000002</v>
      </c>
      <c r="R6" s="123">
        <v>3458.7395999999999</v>
      </c>
      <c r="S6" s="130">
        <v>596.87215000000003</v>
      </c>
      <c r="T6" s="132">
        <v>0.49969515306041401</v>
      </c>
      <c r="U6" s="132">
        <v>0.42667402425340301</v>
      </c>
      <c r="V6" s="132">
        <v>3458.7395999999999</v>
      </c>
      <c r="W6" s="132">
        <v>0.28070009660213302</v>
      </c>
      <c r="X6" s="132">
        <v>0.53928227631799597</v>
      </c>
    </row>
    <row r="7" spans="2:24">
      <c r="B7" s="133"/>
      <c r="C7" s="81"/>
      <c r="D7" s="124">
        <v>27.5</v>
      </c>
      <c r="E7" s="9">
        <v>0.58682999999999996</v>
      </c>
      <c r="F7" s="9">
        <v>0.32984000000000002</v>
      </c>
      <c r="G7" s="134">
        <v>210</v>
      </c>
      <c r="H7" s="134">
        <v>45</v>
      </c>
      <c r="I7" s="134">
        <v>10</v>
      </c>
      <c r="K7" s="1">
        <f t="shared" si="1"/>
        <v>210</v>
      </c>
      <c r="L7" s="1">
        <f t="shared" si="2"/>
        <v>45</v>
      </c>
      <c r="M7" s="1">
        <f t="shared" si="3"/>
        <v>10</v>
      </c>
      <c r="N7" s="1" t="str">
        <f t="shared" si="4"/>
        <v>{210,45,10},</v>
      </c>
      <c r="P7" s="1">
        <v>4</v>
      </c>
      <c r="Q7" s="123">
        <v>4474.0128000000004</v>
      </c>
      <c r="R7" s="123">
        <v>2762.7273</v>
      </c>
      <c r="S7" s="130">
        <v>407.65496999999999</v>
      </c>
      <c r="T7" s="132">
        <v>0.585267082487405</v>
      </c>
      <c r="U7" s="132">
        <v>0.36140561479379402</v>
      </c>
      <c r="V7" s="132">
        <v>2762.7273</v>
      </c>
      <c r="W7" s="132">
        <v>0.37965323138631202</v>
      </c>
      <c r="X7" s="132">
        <v>0.52748536626658904</v>
      </c>
    </row>
    <row r="8" spans="2:24">
      <c r="B8" s="133"/>
      <c r="C8" s="82"/>
      <c r="D8" s="124">
        <v>21.5</v>
      </c>
      <c r="E8" s="9">
        <v>0.63170999999999999</v>
      </c>
      <c r="F8" s="9">
        <v>0.32773999999999998</v>
      </c>
      <c r="G8" s="135">
        <v>148.87360084442219</v>
      </c>
      <c r="H8" s="135">
        <v>11.448869899399515</v>
      </c>
      <c r="I8" s="135">
        <v>16</v>
      </c>
      <c r="K8" s="1">
        <f t="shared" si="1"/>
        <v>149</v>
      </c>
      <c r="L8" s="1">
        <f t="shared" si="2"/>
        <v>11</v>
      </c>
      <c r="M8" s="1">
        <f t="shared" si="3"/>
        <v>16</v>
      </c>
      <c r="N8" s="1" t="str">
        <f t="shared" si="4"/>
        <v>{149,11,16},</v>
      </c>
      <c r="P8" s="1">
        <v>5</v>
      </c>
      <c r="Q8" s="123">
        <v>3190.3400999999999</v>
      </c>
      <c r="R8" s="123">
        <v>1622.3126</v>
      </c>
      <c r="S8" s="130">
        <v>468.04863</v>
      </c>
      <c r="T8" s="132">
        <v>0.60415083160933103</v>
      </c>
      <c r="U8" s="132">
        <v>0.30721536754664402</v>
      </c>
      <c r="V8" s="132">
        <v>1622.3126</v>
      </c>
      <c r="W8" s="132">
        <v>0.44112424237508502</v>
      </c>
      <c r="X8" s="132">
        <v>0.50470894538289102</v>
      </c>
    </row>
    <row r="9" spans="2:24">
      <c r="B9" s="133"/>
      <c r="C9" s="83"/>
      <c r="D9" s="124">
        <v>15.9</v>
      </c>
      <c r="E9" s="9">
        <v>0.22844</v>
      </c>
      <c r="F9" s="9">
        <v>0.10854</v>
      </c>
      <c r="G9" s="135">
        <v>53.670315636575253</v>
      </c>
      <c r="H9" s="135">
        <v>10.99788031298926</v>
      </c>
      <c r="I9" s="135">
        <v>152</v>
      </c>
      <c r="K9" s="1">
        <f t="shared" si="1"/>
        <v>54</v>
      </c>
      <c r="L9" s="1">
        <f t="shared" si="2"/>
        <v>11</v>
      </c>
      <c r="M9" s="1">
        <f t="shared" si="3"/>
        <v>152</v>
      </c>
      <c r="N9" s="1" t="str">
        <f t="shared" si="4"/>
        <v>{54,11,152},</v>
      </c>
      <c r="P9" s="1">
        <v>6</v>
      </c>
      <c r="Q9" s="123">
        <v>1899.7879</v>
      </c>
      <c r="R9" s="123">
        <v>961.57696999999996</v>
      </c>
      <c r="S9" s="130">
        <v>4493.3908000000001</v>
      </c>
      <c r="T9" s="132">
        <v>0.258307411590737</v>
      </c>
      <c r="U9" s="132">
        <v>0.13074220451975899</v>
      </c>
      <c r="V9" s="132">
        <v>961.57696999999996</v>
      </c>
      <c r="W9" s="132">
        <v>0.25497415794178402</v>
      </c>
      <c r="X9" s="132">
        <v>0.29037392858403499</v>
      </c>
    </row>
    <row r="10" spans="2:24">
      <c r="B10" s="133"/>
      <c r="C10" s="84"/>
      <c r="D10" s="124">
        <v>24.8</v>
      </c>
      <c r="E10" s="9">
        <v>0.16152</v>
      </c>
      <c r="F10" s="9">
        <v>0.16786000000000001</v>
      </c>
      <c r="G10" s="135">
        <v>15.421822690595764</v>
      </c>
      <c r="H10" s="135">
        <v>51.492266571595792</v>
      </c>
      <c r="I10" s="135">
        <v>153</v>
      </c>
      <c r="K10" s="1">
        <f t="shared" si="1"/>
        <v>15</v>
      </c>
      <c r="L10" s="1">
        <f t="shared" si="2"/>
        <v>51</v>
      </c>
      <c r="M10" s="1">
        <f t="shared" si="3"/>
        <v>153</v>
      </c>
      <c r="N10" s="1" t="str">
        <f t="shared" si="4"/>
        <v>{15,51,153},</v>
      </c>
      <c r="P10" s="1">
        <v>7</v>
      </c>
      <c r="Q10" s="123">
        <v>1195.2166999999999</v>
      </c>
      <c r="R10" s="123">
        <v>1287.9460999999999</v>
      </c>
      <c r="S10" s="130">
        <v>4677.43</v>
      </c>
      <c r="T10" s="132">
        <v>0.16691588718744099</v>
      </c>
      <c r="U10" s="132">
        <v>0.17986584853700899</v>
      </c>
      <c r="V10" s="132">
        <v>1287.9460999999999</v>
      </c>
      <c r="W10" s="132">
        <v>0.13838853057164199</v>
      </c>
      <c r="X10" s="132">
        <v>0.33553177304799597</v>
      </c>
    </row>
    <row r="11" spans="2:24">
      <c r="B11" s="133"/>
      <c r="C11" s="85"/>
      <c r="D11" s="124">
        <v>40.299999999999997</v>
      </c>
      <c r="E11" s="9">
        <v>0.17596999999999999</v>
      </c>
      <c r="F11" s="9">
        <v>0.34110000000000001</v>
      </c>
      <c r="G11" s="135">
        <v>5.1816079596169002</v>
      </c>
      <c r="H11" s="135">
        <v>128.30606046735278</v>
      </c>
      <c r="I11" s="135">
        <v>116</v>
      </c>
      <c r="K11" s="1">
        <f t="shared" si="1"/>
        <v>5</v>
      </c>
      <c r="L11" s="1">
        <f t="shared" si="2"/>
        <v>128</v>
      </c>
      <c r="M11" s="1">
        <f t="shared" si="3"/>
        <v>116</v>
      </c>
      <c r="N11" s="1" t="str">
        <f t="shared" si="4"/>
        <v>{5,128,116},</v>
      </c>
      <c r="P11" s="1">
        <v>8</v>
      </c>
      <c r="Q11" s="123">
        <v>1006.1129</v>
      </c>
      <c r="R11" s="123">
        <v>2468.8330000000001</v>
      </c>
      <c r="S11" s="130">
        <v>3843.681</v>
      </c>
      <c r="T11" s="132">
        <v>0.13747290492428299</v>
      </c>
      <c r="U11" s="132">
        <v>0.33733554582485997</v>
      </c>
      <c r="V11" s="132">
        <v>2468.8330000000001</v>
      </c>
      <c r="W11" s="132">
        <v>8.1187814054183696E-2</v>
      </c>
      <c r="X11" s="132">
        <v>0.44824800248895802</v>
      </c>
    </row>
    <row r="12" spans="2:24">
      <c r="B12" s="133"/>
      <c r="C12" s="86"/>
      <c r="D12" s="124">
        <v>49.4</v>
      </c>
      <c r="E12" s="9">
        <v>0.31192999999999999</v>
      </c>
      <c r="F12" s="9">
        <v>0.61539999999999995</v>
      </c>
      <c r="G12" s="135">
        <v>69.316345972082857</v>
      </c>
      <c r="H12" s="135">
        <v>173.12702391312297</v>
      </c>
      <c r="I12" s="135">
        <v>13</v>
      </c>
      <c r="K12" s="1">
        <f t="shared" si="1"/>
        <v>69</v>
      </c>
      <c r="L12" s="1">
        <f t="shared" si="2"/>
        <v>173</v>
      </c>
      <c r="M12" s="1">
        <f t="shared" si="3"/>
        <v>13</v>
      </c>
      <c r="N12" s="1" t="str">
        <f t="shared" si="4"/>
        <v>{69,173,13},</v>
      </c>
      <c r="P12" s="1">
        <v>9</v>
      </c>
      <c r="Q12" s="123">
        <v>1958.2256</v>
      </c>
      <c r="R12" s="123">
        <v>3681.8447999999999</v>
      </c>
      <c r="S12" s="130">
        <v>933.98409000000004</v>
      </c>
      <c r="T12" s="132">
        <v>0.29787182369399601</v>
      </c>
      <c r="U12" s="132">
        <v>0.56005693375383003</v>
      </c>
      <c r="V12" s="132">
        <v>3681.8447999999999</v>
      </c>
      <c r="W12" s="132">
        <v>0.13057481501628601</v>
      </c>
      <c r="X12" s="132">
        <v>0.55238857988426804</v>
      </c>
    </row>
    <row r="13" spans="2:24">
      <c r="B13" s="133"/>
      <c r="C13" s="87"/>
      <c r="D13" s="124">
        <v>27.3</v>
      </c>
      <c r="E13" s="9">
        <v>0.25833</v>
      </c>
      <c r="F13" s="9">
        <v>0.30124000000000001</v>
      </c>
      <c r="G13" s="135">
        <v>62.410956159725941</v>
      </c>
      <c r="H13" s="135">
        <v>86.221515675011119</v>
      </c>
      <c r="I13" s="135">
        <v>99</v>
      </c>
      <c r="K13" s="1">
        <f t="shared" si="1"/>
        <v>62</v>
      </c>
      <c r="L13" s="1">
        <f t="shared" si="2"/>
        <v>86</v>
      </c>
      <c r="M13" s="1">
        <f t="shared" si="3"/>
        <v>99</v>
      </c>
      <c r="N13" s="1" t="str">
        <f t="shared" si="4"/>
        <v>{62,86,99},</v>
      </c>
      <c r="P13" s="1">
        <v>10</v>
      </c>
      <c r="Q13" s="123">
        <v>2001.2397000000001</v>
      </c>
      <c r="R13" s="123">
        <v>2251.5720000000001</v>
      </c>
      <c r="S13" s="130">
        <v>3182.9468999999999</v>
      </c>
      <c r="T13" s="132">
        <v>0.269137260588314</v>
      </c>
      <c r="U13" s="132">
        <v>0.30280326744335101</v>
      </c>
      <c r="V13" s="132">
        <v>2251.5720000000001</v>
      </c>
      <c r="W13" s="132">
        <v>0.17661765906268201</v>
      </c>
      <c r="X13" s="132">
        <v>0.44709866372575702</v>
      </c>
    </row>
    <row r="14" spans="2:24">
      <c r="B14" s="133" t="s">
        <v>34</v>
      </c>
      <c r="C14" s="88"/>
      <c r="D14" s="125">
        <v>22.6</v>
      </c>
      <c r="E14" s="9">
        <v>0.19763</v>
      </c>
      <c r="F14" s="9">
        <v>0.22852</v>
      </c>
      <c r="G14" s="135">
        <v>35.396023333073195</v>
      </c>
      <c r="H14" s="135">
        <v>62.591056082397927</v>
      </c>
      <c r="I14" s="135">
        <v>118</v>
      </c>
      <c r="K14" s="1">
        <f t="shared" si="1"/>
        <v>35</v>
      </c>
      <c r="L14" s="1">
        <f t="shared" si="2"/>
        <v>63</v>
      </c>
      <c r="M14" s="1">
        <f t="shared" si="3"/>
        <v>118</v>
      </c>
      <c r="N14" s="1" t="str">
        <f t="shared" si="4"/>
        <v>{35,63,118},</v>
      </c>
      <c r="P14" s="1">
        <v>11</v>
      </c>
      <c r="Q14" s="123">
        <v>1474.0572</v>
      </c>
      <c r="R14" s="123">
        <v>1630.0423000000001</v>
      </c>
      <c r="S14" s="130">
        <v>3677.6925000000001</v>
      </c>
      <c r="T14" s="132">
        <v>0.21735511793932899</v>
      </c>
      <c r="U14" s="132">
        <v>0.240355690649315</v>
      </c>
      <c r="V14" s="132">
        <v>1630.0423000000001</v>
      </c>
      <c r="W14" s="132">
        <v>0.1595396293562</v>
      </c>
      <c r="X14" s="132">
        <v>0.39694984349867102</v>
      </c>
    </row>
    <row r="15" spans="2:24">
      <c r="B15" s="133"/>
      <c r="C15" s="89"/>
      <c r="D15" s="125">
        <v>28.6</v>
      </c>
      <c r="E15" s="9">
        <v>0.30370999999999998</v>
      </c>
      <c r="F15" s="9">
        <v>0.38968999999999998</v>
      </c>
      <c r="G15" s="135">
        <v>76.39444056238969</v>
      </c>
      <c r="H15" s="135">
        <v>112.75218048069323</v>
      </c>
      <c r="I15" s="135">
        <v>73</v>
      </c>
      <c r="K15" s="1">
        <f t="shared" si="1"/>
        <v>76</v>
      </c>
      <c r="L15" s="1">
        <f t="shared" si="2"/>
        <v>113</v>
      </c>
      <c r="M15" s="1">
        <f t="shared" si="3"/>
        <v>73</v>
      </c>
      <c r="N15" s="1" t="str">
        <f t="shared" si="4"/>
        <v>{76,113,73},</v>
      </c>
      <c r="P15" s="1">
        <v>12</v>
      </c>
      <c r="Q15" s="123">
        <v>2241.7139999999999</v>
      </c>
      <c r="R15" s="123">
        <v>2814.0644000000002</v>
      </c>
      <c r="S15" s="130">
        <v>2514.0549000000001</v>
      </c>
      <c r="T15" s="132">
        <v>0.29613782908535102</v>
      </c>
      <c r="U15" s="132">
        <v>0.37174720875293299</v>
      </c>
      <c r="V15" s="132">
        <v>2814.0644000000002</v>
      </c>
      <c r="W15" s="132">
        <v>0.17245663587874899</v>
      </c>
      <c r="X15" s="132">
        <v>0.48709789876533699</v>
      </c>
    </row>
    <row r="16" spans="2:24">
      <c r="B16" s="133"/>
      <c r="C16" s="90"/>
      <c r="D16" s="125">
        <v>13</v>
      </c>
      <c r="E16" s="9">
        <v>0.26643</v>
      </c>
      <c r="F16" s="9">
        <v>0.21495</v>
      </c>
      <c r="G16" s="135">
        <v>52.21380441217547</v>
      </c>
      <c r="H16" s="135">
        <v>38.310306821800729</v>
      </c>
      <c r="I16" s="135">
        <v>89</v>
      </c>
      <c r="K16" s="1">
        <f t="shared" si="1"/>
        <v>52</v>
      </c>
      <c r="L16" s="1">
        <f t="shared" si="2"/>
        <v>38</v>
      </c>
      <c r="M16" s="1">
        <f t="shared" si="3"/>
        <v>89</v>
      </c>
      <c r="N16" s="1" t="str">
        <f t="shared" si="4"/>
        <v>{52,38,89},</v>
      </c>
      <c r="P16" s="1">
        <v>13</v>
      </c>
      <c r="Q16" s="123">
        <v>1620.8398999999999</v>
      </c>
      <c r="R16" s="123">
        <v>1307.0544</v>
      </c>
      <c r="S16" s="130">
        <v>2727.6554999999998</v>
      </c>
      <c r="T16" s="132">
        <v>0.28659280835967499</v>
      </c>
      <c r="U16" s="132">
        <v>0.23111005052064101</v>
      </c>
      <c r="V16" s="132">
        <v>1307.0544</v>
      </c>
      <c r="W16" s="132">
        <v>0.22045028364593999</v>
      </c>
      <c r="X16" s="132">
        <v>0.39998778086997799</v>
      </c>
    </row>
    <row r="17" spans="2:24">
      <c r="B17" s="133"/>
      <c r="C17" s="91"/>
      <c r="D17" s="125">
        <v>24.3</v>
      </c>
      <c r="E17" s="9">
        <v>0.39599000000000001</v>
      </c>
      <c r="F17" s="9">
        <v>0.28621000000000002</v>
      </c>
      <c r="G17" s="135">
        <v>123.33083669643077</v>
      </c>
      <c r="H17" s="135">
        <v>59.923157865871687</v>
      </c>
      <c r="I17" s="135">
        <v>82</v>
      </c>
      <c r="K17" s="1">
        <f t="shared" si="1"/>
        <v>123</v>
      </c>
      <c r="L17" s="1">
        <f t="shared" si="2"/>
        <v>60</v>
      </c>
      <c r="M17" s="1">
        <f t="shared" si="3"/>
        <v>82</v>
      </c>
      <c r="N17" s="1" t="str">
        <f t="shared" si="4"/>
        <v>{123,60,82},</v>
      </c>
      <c r="P17" s="1">
        <v>14</v>
      </c>
      <c r="Q17" s="123">
        <v>3114.5717</v>
      </c>
      <c r="R17" s="123">
        <v>2349.6831999999999</v>
      </c>
      <c r="S17" s="130">
        <v>2594.8638999999998</v>
      </c>
      <c r="T17" s="132">
        <v>0.38646554012828299</v>
      </c>
      <c r="U17" s="132">
        <v>0.29155584603120599</v>
      </c>
      <c r="V17" s="132">
        <v>2349.6831999999999</v>
      </c>
      <c r="W17" s="132">
        <v>0.26998473752338298</v>
      </c>
      <c r="X17" s="132">
        <v>0.45828190583443001</v>
      </c>
    </row>
    <row r="18" spans="2:24">
      <c r="B18" s="133"/>
      <c r="C18" s="92"/>
      <c r="D18" s="125">
        <v>29.9</v>
      </c>
      <c r="E18" s="9">
        <v>0.49687999999999999</v>
      </c>
      <c r="F18" s="9">
        <v>0.35761999999999999</v>
      </c>
      <c r="G18" s="135">
        <v>169.02176060033716</v>
      </c>
      <c r="H18" s="135">
        <v>74.845490071868767</v>
      </c>
      <c r="I18" s="135">
        <v>52</v>
      </c>
      <c r="K18" s="1">
        <f t="shared" si="1"/>
        <v>169</v>
      </c>
      <c r="L18" s="1">
        <f t="shared" si="2"/>
        <v>75</v>
      </c>
      <c r="M18" s="1">
        <f t="shared" si="3"/>
        <v>52</v>
      </c>
      <c r="N18" s="1" t="str">
        <f t="shared" si="4"/>
        <v>{169,75,52},</v>
      </c>
      <c r="P18" s="1">
        <v>15</v>
      </c>
      <c r="Q18" s="123">
        <v>3927.0621999999998</v>
      </c>
      <c r="R18" s="123">
        <v>2974.7390999999998</v>
      </c>
      <c r="S18" s="130">
        <v>1747.2552000000001</v>
      </c>
      <c r="T18" s="132">
        <v>0.45404515509870902</v>
      </c>
      <c r="U18" s="132">
        <v>0.34393798907430001</v>
      </c>
      <c r="V18" s="132">
        <v>2974.7390999999998</v>
      </c>
      <c r="W18" s="132">
        <v>0.292029630543583</v>
      </c>
      <c r="X18" s="132">
        <v>0.497726241962055</v>
      </c>
    </row>
    <row r="19" spans="2:24">
      <c r="B19" s="133"/>
      <c r="C19" s="93"/>
      <c r="D19" s="125">
        <v>48.7</v>
      </c>
      <c r="E19" s="9">
        <v>0.43759999999999999</v>
      </c>
      <c r="F19" s="9">
        <v>0.4219</v>
      </c>
      <c r="G19" s="135">
        <v>165.82593620274878</v>
      </c>
      <c r="H19" s="135">
        <v>129.99031266237535</v>
      </c>
      <c r="I19" s="135">
        <v>57</v>
      </c>
      <c r="K19" s="1">
        <f t="shared" si="1"/>
        <v>166</v>
      </c>
      <c r="L19" s="1">
        <f t="shared" si="2"/>
        <v>130</v>
      </c>
      <c r="M19" s="1">
        <f t="shared" si="3"/>
        <v>57</v>
      </c>
      <c r="N19" s="1" t="str">
        <f t="shared" si="4"/>
        <v>{166,130,57},</v>
      </c>
      <c r="P19" s="1">
        <v>16</v>
      </c>
      <c r="Q19" s="123">
        <v>4020.2298000000001</v>
      </c>
      <c r="R19" s="123">
        <v>3902.1680000000001</v>
      </c>
      <c r="S19" s="130">
        <v>2087.3436000000002</v>
      </c>
      <c r="T19" s="132">
        <v>0.40163173446219103</v>
      </c>
      <c r="U19" s="132">
        <v>0.38983704414182002</v>
      </c>
      <c r="V19" s="132">
        <v>3902.1680000000001</v>
      </c>
      <c r="W19" s="132">
        <v>0.233684087339806</v>
      </c>
      <c r="X19" s="132">
        <v>0.510348382917027</v>
      </c>
    </row>
    <row r="20" spans="2:24">
      <c r="B20" s="133"/>
      <c r="C20" s="94"/>
      <c r="D20" s="125">
        <v>24.1</v>
      </c>
      <c r="E20" s="9">
        <v>0.18945000000000001</v>
      </c>
      <c r="F20" s="9">
        <v>0.32011000000000001</v>
      </c>
      <c r="G20" s="135">
        <v>26.218840087509349</v>
      </c>
      <c r="H20" s="135">
        <v>94.116526410768714</v>
      </c>
      <c r="I20" s="135">
        <v>95</v>
      </c>
      <c r="K20" s="1">
        <f t="shared" si="1"/>
        <v>26</v>
      </c>
      <c r="L20" s="1">
        <f t="shared" si="2"/>
        <v>94</v>
      </c>
      <c r="M20" s="1">
        <f t="shared" si="3"/>
        <v>95</v>
      </c>
      <c r="N20" s="1" t="str">
        <f t="shared" si="4"/>
        <v>{26,94,95},</v>
      </c>
      <c r="P20" s="1">
        <v>17</v>
      </c>
      <c r="Q20" s="123">
        <v>1250.9247</v>
      </c>
      <c r="R20" s="123">
        <v>2041.6079999999999</v>
      </c>
      <c r="S20" s="130">
        <v>3095.2390999999998</v>
      </c>
      <c r="T20" s="132">
        <v>0.19583115038643101</v>
      </c>
      <c r="U20" s="132">
        <v>0.31961191850967502</v>
      </c>
      <c r="V20" s="132">
        <v>2041.6079999999999</v>
      </c>
      <c r="W20" s="132">
        <v>0.12156477569584399</v>
      </c>
      <c r="X20" s="132">
        <v>0.446407479045213</v>
      </c>
    </row>
    <row r="21" spans="2:24">
      <c r="B21" s="133"/>
      <c r="C21" s="95"/>
      <c r="D21" s="125">
        <v>100</v>
      </c>
      <c r="E21" s="9">
        <v>0.31273000000000001</v>
      </c>
      <c r="F21" s="9">
        <v>0.32901999999999998</v>
      </c>
      <c r="G21" s="135">
        <v>154.81537240194368</v>
      </c>
      <c r="H21" s="135">
        <v>162.29276348014102</v>
      </c>
      <c r="I21" s="135">
        <v>154</v>
      </c>
      <c r="K21" s="1">
        <f t="shared" si="1"/>
        <v>155</v>
      </c>
      <c r="L21" s="1">
        <f t="shared" si="2"/>
        <v>162</v>
      </c>
      <c r="M21" s="1">
        <f t="shared" si="3"/>
        <v>154</v>
      </c>
      <c r="N21" s="1" t="str">
        <f t="shared" si="4"/>
        <v>{155,162,154},</v>
      </c>
      <c r="P21" s="1">
        <v>18</v>
      </c>
      <c r="Q21" s="123">
        <v>4359.3510999999999</v>
      </c>
      <c r="R21" s="123">
        <v>4524.4598999999998</v>
      </c>
      <c r="S21" s="130">
        <v>5056.9157999999998</v>
      </c>
      <c r="T21" s="132">
        <v>0.31270615675504099</v>
      </c>
      <c r="U21" s="132">
        <v>0.32454978602693801</v>
      </c>
      <c r="V21" s="132">
        <v>4524.4598999999998</v>
      </c>
      <c r="W21" s="132">
        <v>0.19951949149923301</v>
      </c>
      <c r="X21" s="132">
        <v>0.46592149041459602</v>
      </c>
    </row>
    <row r="22" spans="2:24">
      <c r="B22" s="133"/>
      <c r="C22" s="96"/>
      <c r="D22" s="125">
        <v>24.6</v>
      </c>
      <c r="E22" s="9">
        <v>0.63990999999999998</v>
      </c>
      <c r="F22" s="9">
        <v>0.32995000000000002</v>
      </c>
      <c r="G22" s="135">
        <v>122.775843392431</v>
      </c>
      <c r="H22" s="135">
        <v>0</v>
      </c>
      <c r="I22" s="135">
        <v>0</v>
      </c>
      <c r="K22" s="1">
        <f t="shared" si="1"/>
        <v>123</v>
      </c>
      <c r="L22" s="1">
        <f t="shared" si="2"/>
        <v>0</v>
      </c>
      <c r="M22" s="1">
        <f t="shared" si="3"/>
        <v>0</v>
      </c>
      <c r="N22" s="1" t="str">
        <f t="shared" si="4"/>
        <v>{123,0,0},</v>
      </c>
      <c r="P22" s="1">
        <v>19</v>
      </c>
      <c r="Q22" s="123">
        <v>2551.0313000000001</v>
      </c>
      <c r="R22" s="123">
        <v>1167.0347999999999</v>
      </c>
      <c r="S22" s="130">
        <v>-1.287363</v>
      </c>
      <c r="T22" s="132">
        <v>0.68635543854274905</v>
      </c>
      <c r="U22" s="132">
        <v>0.31399092670820999</v>
      </c>
      <c r="V22" s="132">
        <v>1167.0347999999999</v>
      </c>
      <c r="W22" s="132">
        <v>0.50886562270517</v>
      </c>
      <c r="X22" s="132">
        <v>0.52378571481908398</v>
      </c>
    </row>
    <row r="23" spans="2:24">
      <c r="B23" s="133"/>
      <c r="C23" s="97"/>
      <c r="D23" s="125">
        <v>69.8</v>
      </c>
      <c r="E23" s="9">
        <v>0.27287</v>
      </c>
      <c r="F23" s="9">
        <v>0.28921999999999998</v>
      </c>
      <c r="G23" s="135">
        <v>107.7747942260491</v>
      </c>
      <c r="H23" s="135">
        <v>123.70880080491325</v>
      </c>
      <c r="I23" s="135">
        <v>154</v>
      </c>
      <c r="K23" s="1">
        <f t="shared" si="1"/>
        <v>108</v>
      </c>
      <c r="L23" s="1">
        <f t="shared" si="2"/>
        <v>124</v>
      </c>
      <c r="M23" s="1">
        <f t="shared" si="3"/>
        <v>154</v>
      </c>
      <c r="N23" s="1" t="str">
        <f t="shared" si="4"/>
        <v>{108,124,154},</v>
      </c>
      <c r="P23" s="1">
        <v>20</v>
      </c>
      <c r="Q23" s="123">
        <v>3318.3242</v>
      </c>
      <c r="R23" s="123">
        <v>3440.1468</v>
      </c>
      <c r="S23" s="130">
        <v>4936.8647000000001</v>
      </c>
      <c r="T23" s="132">
        <v>0.28373056448478001</v>
      </c>
      <c r="U23" s="132">
        <v>0.29414690507772301</v>
      </c>
      <c r="V23" s="132">
        <v>3440.1468</v>
      </c>
      <c r="W23" s="132">
        <v>0.19034968523229101</v>
      </c>
      <c r="X23" s="132">
        <v>0.44401009286523702</v>
      </c>
    </row>
    <row r="24" spans="2:24">
      <c r="B24" s="133" t="s">
        <v>35</v>
      </c>
      <c r="C24" s="98"/>
      <c r="D24" s="126">
        <v>66.400000000000006</v>
      </c>
      <c r="E24" s="9">
        <v>0.29727999999999999</v>
      </c>
      <c r="F24" s="9">
        <v>0.27190999999999999</v>
      </c>
      <c r="G24" s="135">
        <v>102.82034440150308</v>
      </c>
      <c r="H24" s="135">
        <v>91.921580480985781</v>
      </c>
      <c r="I24" s="135">
        <v>109</v>
      </c>
      <c r="K24" s="1">
        <f t="shared" si="1"/>
        <v>103</v>
      </c>
      <c r="L24" s="1">
        <f t="shared" si="2"/>
        <v>92</v>
      </c>
      <c r="M24" s="1">
        <f t="shared" si="3"/>
        <v>109</v>
      </c>
      <c r="N24" s="1" t="str">
        <f t="shared" si="4"/>
        <v>{103,92,109},</v>
      </c>
      <c r="P24" s="1">
        <v>21</v>
      </c>
      <c r="Q24" s="123">
        <v>2905.2579999999998</v>
      </c>
      <c r="R24" s="123">
        <v>2756.4978000000001</v>
      </c>
      <c r="S24" s="130">
        <v>3495.6378</v>
      </c>
      <c r="T24" s="132">
        <v>0.31725817704286502</v>
      </c>
      <c r="U24" s="132">
        <v>0.30101335821144598</v>
      </c>
      <c r="V24" s="132">
        <v>2756.4978000000001</v>
      </c>
      <c r="W24" s="132">
        <v>0.212296469974489</v>
      </c>
      <c r="X24" s="132">
        <v>0.45320869711846701</v>
      </c>
    </row>
    <row r="25" spans="2:24">
      <c r="B25" s="133"/>
      <c r="C25" s="99"/>
      <c r="D25" s="126">
        <v>47.2</v>
      </c>
      <c r="E25" s="9">
        <v>0.51129999999999998</v>
      </c>
      <c r="F25" s="9">
        <v>0.37468000000000001</v>
      </c>
      <c r="G25" s="135">
        <v>209.23183035759908</v>
      </c>
      <c r="H25" s="135">
        <v>93.530960585314503</v>
      </c>
      <c r="I25" s="135">
        <v>53</v>
      </c>
      <c r="K25" s="1">
        <f t="shared" si="1"/>
        <v>209</v>
      </c>
      <c r="L25" s="1">
        <f t="shared" si="2"/>
        <v>94</v>
      </c>
      <c r="M25" s="1">
        <f t="shared" si="3"/>
        <v>53</v>
      </c>
      <c r="N25" s="1" t="str">
        <f t="shared" si="4"/>
        <v>{209,94,53},</v>
      </c>
      <c r="P25" s="1">
        <v>22</v>
      </c>
      <c r="Q25" s="123">
        <v>4761.6836000000003</v>
      </c>
      <c r="R25" s="123">
        <v>3664.0717</v>
      </c>
      <c r="S25" s="130">
        <v>1842.1766</v>
      </c>
      <c r="T25" s="132">
        <v>0.46374320032255001</v>
      </c>
      <c r="U25" s="132">
        <v>0.35684612399893301</v>
      </c>
      <c r="V25" s="132">
        <v>3664.0717</v>
      </c>
      <c r="W25" s="132">
        <v>0.29190715670772599</v>
      </c>
      <c r="X25" s="132">
        <v>0.50539470783412599</v>
      </c>
    </row>
    <row r="26" spans="2:24">
      <c r="B26" s="133"/>
      <c r="C26" s="100"/>
      <c r="D26" s="126">
        <v>35.9</v>
      </c>
      <c r="E26" s="9">
        <v>0.60202999999999995</v>
      </c>
      <c r="F26" s="9">
        <v>0.36354999999999998</v>
      </c>
      <c r="G26" s="135">
        <v>171.7535434027574</v>
      </c>
      <c r="H26" s="135">
        <v>44.550760404400506</v>
      </c>
      <c r="I26" s="135">
        <v>0</v>
      </c>
      <c r="K26" s="1">
        <f t="shared" si="1"/>
        <v>172</v>
      </c>
      <c r="L26" s="1">
        <f t="shared" si="2"/>
        <v>45</v>
      </c>
      <c r="M26" s="1">
        <f t="shared" si="3"/>
        <v>0</v>
      </c>
      <c r="N26" s="1" t="str">
        <f t="shared" si="4"/>
        <v>{172,45,0},</v>
      </c>
      <c r="P26" s="1">
        <v>23</v>
      </c>
      <c r="Q26" s="123">
        <v>3644.2957000000001</v>
      </c>
      <c r="R26" s="123">
        <v>2386.5279</v>
      </c>
      <c r="S26" s="130">
        <v>151.97352000000001</v>
      </c>
      <c r="T26" s="132">
        <v>0.58942508208970601</v>
      </c>
      <c r="U26" s="132">
        <v>0.38599485858594701</v>
      </c>
      <c r="V26" s="132">
        <v>2386.5279</v>
      </c>
      <c r="W26" s="132">
        <v>0.36536000712029298</v>
      </c>
      <c r="X26" s="132">
        <v>0.53833973014531999</v>
      </c>
    </row>
    <row r="27" spans="2:24">
      <c r="B27" s="133"/>
      <c r="C27" s="101"/>
      <c r="D27" s="126">
        <v>30.8</v>
      </c>
      <c r="E27" s="9">
        <v>0.62704000000000004</v>
      </c>
      <c r="F27" s="9">
        <v>0.33285999999999999</v>
      </c>
      <c r="G27" s="135">
        <v>179.11253770514867</v>
      </c>
      <c r="H27" s="135">
        <v>24.530682717547037</v>
      </c>
      <c r="I27" s="135">
        <v>17</v>
      </c>
      <c r="K27" s="1">
        <f t="shared" si="1"/>
        <v>179</v>
      </c>
      <c r="L27" s="1">
        <f t="shared" si="2"/>
        <v>25</v>
      </c>
      <c r="M27" s="1">
        <f t="shared" si="3"/>
        <v>17</v>
      </c>
      <c r="N27" s="1" t="str">
        <f t="shared" si="4"/>
        <v>{179,25,17},</v>
      </c>
      <c r="P27" s="1">
        <v>24</v>
      </c>
      <c r="Q27" s="123">
        <v>3822.0643</v>
      </c>
      <c r="R27" s="123">
        <v>2136.7557999999999</v>
      </c>
      <c r="S27" s="130">
        <v>545.43710999999996</v>
      </c>
      <c r="T27" s="132">
        <v>0.58762502413400097</v>
      </c>
      <c r="U27" s="132">
        <v>0.32851649788923398</v>
      </c>
      <c r="V27" s="132">
        <v>2136.7557999999999</v>
      </c>
      <c r="W27" s="132">
        <v>0.40758129369864998</v>
      </c>
      <c r="X27" s="132">
        <v>0.51268860387427595</v>
      </c>
    </row>
    <row r="28" spans="2:24">
      <c r="B28" s="133"/>
      <c r="C28" s="102"/>
      <c r="D28" s="126">
        <v>29.7</v>
      </c>
      <c r="E28" s="9">
        <v>0.63944999999999996</v>
      </c>
      <c r="F28" s="9">
        <v>0.32969999999999999</v>
      </c>
      <c r="G28" s="135">
        <v>163.8709065120625</v>
      </c>
      <c r="H28" s="135">
        <v>12.826622274922046</v>
      </c>
      <c r="I28" s="135">
        <v>11</v>
      </c>
      <c r="K28" s="1">
        <f t="shared" si="1"/>
        <v>164</v>
      </c>
      <c r="L28" s="1">
        <f t="shared" si="2"/>
        <v>13</v>
      </c>
      <c r="M28" s="1">
        <f t="shared" si="3"/>
        <v>11</v>
      </c>
      <c r="N28" s="1" t="str">
        <f t="shared" si="4"/>
        <v>{164,13,11},</v>
      </c>
      <c r="P28" s="1">
        <v>25</v>
      </c>
      <c r="Q28" s="123">
        <v>3456.8832000000002</v>
      </c>
      <c r="R28" s="123">
        <v>1779.059</v>
      </c>
      <c r="S28" s="130">
        <v>325.27526999999998</v>
      </c>
      <c r="T28" s="132">
        <v>0.62160547014177503</v>
      </c>
      <c r="U28" s="132">
        <v>0.31990459096360402</v>
      </c>
      <c r="V28" s="132">
        <v>1779.059</v>
      </c>
      <c r="W28" s="132">
        <v>0.44434953570063301</v>
      </c>
      <c r="X28" s="132">
        <v>0.514532597290696</v>
      </c>
    </row>
    <row r="29" spans="2:24">
      <c r="B29" s="133"/>
      <c r="C29" s="103"/>
      <c r="D29" s="126">
        <v>20.3</v>
      </c>
      <c r="E29" s="9">
        <v>0.26593</v>
      </c>
      <c r="F29" s="9">
        <v>0.12388</v>
      </c>
      <c r="G29" s="135">
        <v>72.86828162659198</v>
      </c>
      <c r="H29" s="135">
        <v>2.2781858954711081</v>
      </c>
      <c r="I29" s="135">
        <v>154</v>
      </c>
      <c r="K29" s="1">
        <f t="shared" si="1"/>
        <v>73</v>
      </c>
      <c r="L29" s="1">
        <f t="shared" si="2"/>
        <v>2</v>
      </c>
      <c r="M29" s="1">
        <f t="shared" si="3"/>
        <v>154</v>
      </c>
      <c r="N29" s="1" t="str">
        <f t="shared" si="4"/>
        <v>{73,2,154},</v>
      </c>
      <c r="P29" s="1">
        <v>26</v>
      </c>
      <c r="Q29" s="123">
        <v>2274.6689000000001</v>
      </c>
      <c r="R29" s="123">
        <v>986.16192000000001</v>
      </c>
      <c r="S29" s="130">
        <v>4524.9647000000004</v>
      </c>
      <c r="T29" s="132">
        <v>0.29215625996815298</v>
      </c>
      <c r="U29" s="132">
        <v>0.126661677341354</v>
      </c>
      <c r="V29" s="132">
        <v>986.16192000000001</v>
      </c>
      <c r="W29" s="132">
        <v>0.29693486178662798</v>
      </c>
      <c r="X29" s="132">
        <v>0.28965014212946799</v>
      </c>
    </row>
    <row r="30" spans="2:24">
      <c r="B30" s="133"/>
      <c r="C30" s="104"/>
      <c r="D30" s="126">
        <v>11.3</v>
      </c>
      <c r="E30" s="9">
        <v>0.19114999999999999</v>
      </c>
      <c r="F30" s="9">
        <v>8.2669999999999993E-2</v>
      </c>
      <c r="G30" s="135">
        <v>34.586223294372381</v>
      </c>
      <c r="H30" s="135">
        <v>3.1383017443451222</v>
      </c>
      <c r="I30" s="135">
        <v>154</v>
      </c>
      <c r="K30" s="1">
        <f t="shared" si="1"/>
        <v>35</v>
      </c>
      <c r="L30" s="1">
        <f t="shared" si="2"/>
        <v>3</v>
      </c>
      <c r="M30" s="1">
        <f t="shared" si="3"/>
        <v>154</v>
      </c>
      <c r="N30" s="1" t="str">
        <f t="shared" si="4"/>
        <v>{35,3,154},</v>
      </c>
      <c r="P30" s="1">
        <v>27</v>
      </c>
      <c r="Q30" s="123">
        <v>1489.1428000000001</v>
      </c>
      <c r="R30" s="123">
        <v>644.01427000000001</v>
      </c>
      <c r="S30" s="130">
        <v>4533.4858000000004</v>
      </c>
      <c r="T30" s="132">
        <v>0.22337221732713</v>
      </c>
      <c r="U30" s="132">
        <v>9.6602485322571305E-2</v>
      </c>
      <c r="V30" s="132">
        <v>644.01427000000001</v>
      </c>
      <c r="W30" s="132">
        <v>0.240671349684978</v>
      </c>
      <c r="X30" s="132">
        <v>0.23418876487123499</v>
      </c>
    </row>
    <row r="31" spans="2:24">
      <c r="B31" s="133"/>
      <c r="C31" s="105"/>
      <c r="D31" s="126">
        <v>14.7</v>
      </c>
      <c r="E31" s="9">
        <v>0.17471</v>
      </c>
      <c r="F31" s="9">
        <v>0.106</v>
      </c>
      <c r="G31" s="135">
        <v>28.630550026443629</v>
      </c>
      <c r="H31" s="135">
        <v>19.698537813208109</v>
      </c>
      <c r="I31" s="135">
        <v>154</v>
      </c>
      <c r="K31" s="1">
        <f t="shared" si="1"/>
        <v>29</v>
      </c>
      <c r="L31" s="1">
        <f t="shared" si="2"/>
        <v>20</v>
      </c>
      <c r="M31" s="1">
        <f t="shared" si="3"/>
        <v>154</v>
      </c>
      <c r="N31" s="1" t="str">
        <f t="shared" si="4"/>
        <v>{29,20,154},</v>
      </c>
      <c r="P31" s="1">
        <v>28</v>
      </c>
      <c r="Q31" s="123">
        <v>1406.0524</v>
      </c>
      <c r="R31" s="123">
        <v>880.93466000000001</v>
      </c>
      <c r="S31" s="130">
        <v>4585.0275000000001</v>
      </c>
      <c r="T31" s="132">
        <v>0.204605561836877</v>
      </c>
      <c r="U31" s="132">
        <v>0.12819161721915801</v>
      </c>
      <c r="V31" s="132">
        <v>880.93466000000001</v>
      </c>
      <c r="W31" s="132">
        <v>0.198208948625718</v>
      </c>
      <c r="X31" s="132">
        <v>0.27941387442228199</v>
      </c>
    </row>
    <row r="32" spans="2:24">
      <c r="B32" s="133"/>
      <c r="C32" s="106"/>
      <c r="D32" s="126">
        <v>53.3</v>
      </c>
      <c r="E32" s="9">
        <v>0.18432000000000001</v>
      </c>
      <c r="F32" s="9">
        <v>0.43181000000000003</v>
      </c>
      <c r="G32" s="134">
        <v>6</v>
      </c>
      <c r="H32" s="135">
        <v>176.05976903806337</v>
      </c>
      <c r="I32" s="135">
        <v>104</v>
      </c>
      <c r="K32" s="1">
        <f t="shared" si="1"/>
        <v>6</v>
      </c>
      <c r="L32" s="1">
        <f t="shared" si="2"/>
        <v>176</v>
      </c>
      <c r="M32" s="1">
        <f t="shared" si="3"/>
        <v>104</v>
      </c>
      <c r="N32" s="1" t="str">
        <f t="shared" si="4"/>
        <v>{6,176,104},</v>
      </c>
      <c r="P32" s="1">
        <v>29</v>
      </c>
      <c r="Q32" s="123">
        <v>1099.8765000000001</v>
      </c>
      <c r="R32" s="123">
        <v>3292.4686000000002</v>
      </c>
      <c r="S32" s="130">
        <v>3648.1866</v>
      </c>
      <c r="T32" s="132">
        <v>0.13679151342690399</v>
      </c>
      <c r="U32" s="132">
        <v>0.40948393997377103</v>
      </c>
      <c r="V32" s="132">
        <v>3292.4686000000002</v>
      </c>
      <c r="W32" s="132">
        <v>7.1616491296684098E-2</v>
      </c>
      <c r="X32" s="132">
        <v>0.48236221055922002</v>
      </c>
    </row>
    <row r="33" spans="2:24">
      <c r="B33" s="133"/>
      <c r="C33" s="107"/>
      <c r="D33" s="126">
        <v>74.7</v>
      </c>
      <c r="E33" s="9">
        <v>0.32716000000000001</v>
      </c>
      <c r="F33" s="9">
        <v>0.58289000000000002</v>
      </c>
      <c r="G33" s="135">
        <v>102.18732783596079</v>
      </c>
      <c r="H33" s="135">
        <v>220.79878657010573</v>
      </c>
      <c r="I33" s="135">
        <v>33</v>
      </c>
      <c r="K33" s="1">
        <f t="shared" si="1"/>
        <v>102</v>
      </c>
      <c r="L33" s="1">
        <f t="shared" si="2"/>
        <v>221</v>
      </c>
      <c r="M33" s="1">
        <f t="shared" si="3"/>
        <v>33</v>
      </c>
      <c r="N33" s="1" t="str">
        <f t="shared" si="4"/>
        <v>{102,221,33},</v>
      </c>
      <c r="P33" s="1">
        <v>30</v>
      </c>
      <c r="Q33" s="123">
        <v>2849.2433999999998</v>
      </c>
      <c r="R33" s="123">
        <v>4841.1809000000003</v>
      </c>
      <c r="S33" s="130">
        <v>1683.6980000000001</v>
      </c>
      <c r="T33" s="132">
        <v>0.30394775199380503</v>
      </c>
      <c r="U33" s="132">
        <v>0.51644097922639598</v>
      </c>
      <c r="V33" s="132">
        <v>4841.1809000000003</v>
      </c>
      <c r="W33" s="132">
        <v>0.14154557236059501</v>
      </c>
      <c r="X33" s="132">
        <v>0.541128698633215</v>
      </c>
    </row>
    <row r="34" spans="2:24">
      <c r="B34" s="133" t="s">
        <v>36</v>
      </c>
      <c r="C34" s="108"/>
      <c r="D34" s="127">
        <v>12.9</v>
      </c>
      <c r="E34" s="9">
        <v>0.15346000000000001</v>
      </c>
      <c r="F34" s="9">
        <v>9.7519999999999996E-2</v>
      </c>
      <c r="G34" s="135">
        <v>0</v>
      </c>
      <c r="H34" s="135">
        <v>23.039287582280586</v>
      </c>
      <c r="I34" s="135">
        <v>153</v>
      </c>
      <c r="K34" s="1">
        <f t="shared" si="1"/>
        <v>0</v>
      </c>
      <c r="L34" s="1">
        <f t="shared" si="2"/>
        <v>23</v>
      </c>
      <c r="M34" s="1">
        <f t="shared" si="3"/>
        <v>153</v>
      </c>
      <c r="N34" s="1" t="str">
        <f t="shared" si="4"/>
        <v>{0,23,153},</v>
      </c>
      <c r="P34" s="1">
        <v>31</v>
      </c>
      <c r="Q34" s="123">
        <v>810.59373000000005</v>
      </c>
      <c r="R34" s="123">
        <v>659.61500000000001</v>
      </c>
      <c r="S34" s="130">
        <v>4570.3811999999998</v>
      </c>
      <c r="T34" s="132">
        <v>0.134191153412726</v>
      </c>
      <c r="U34" s="132">
        <v>0.10919711611676999</v>
      </c>
      <c r="V34" s="132">
        <v>659.61500000000001</v>
      </c>
      <c r="W34" s="132">
        <v>0.13279734282748601</v>
      </c>
      <c r="X34" s="132">
        <v>0.24314155304481899</v>
      </c>
    </row>
    <row r="35" spans="2:24">
      <c r="B35" s="133"/>
      <c r="C35" s="109"/>
      <c r="D35" s="127">
        <v>45.3</v>
      </c>
      <c r="E35" s="9">
        <v>0.21</v>
      </c>
      <c r="F35" s="9">
        <v>0.71</v>
      </c>
      <c r="G35" s="135">
        <v>6</v>
      </c>
      <c r="H35" s="135">
        <v>122.68162795183075</v>
      </c>
      <c r="I35" s="135">
        <v>6</v>
      </c>
      <c r="K35" s="1">
        <f t="shared" si="1"/>
        <v>6</v>
      </c>
      <c r="L35" s="1">
        <f t="shared" si="2"/>
        <v>123</v>
      </c>
      <c r="M35" s="1">
        <f t="shared" si="3"/>
        <v>6</v>
      </c>
      <c r="N35" s="1" t="str">
        <f t="shared" si="4"/>
        <v>{6,123,6},</v>
      </c>
      <c r="P35" s="1">
        <v>32</v>
      </c>
      <c r="Q35" s="123">
        <v>469.07844999999998</v>
      </c>
      <c r="R35" s="123">
        <v>2201.1354999999999</v>
      </c>
      <c r="S35" s="130">
        <v>559.02380000000005</v>
      </c>
      <c r="T35" s="132">
        <v>0.14525980628090901</v>
      </c>
      <c r="U35" s="132">
        <v>0.68162695670208895</v>
      </c>
      <c r="V35" s="132">
        <v>2201.1354999999999</v>
      </c>
      <c r="W35" s="132">
        <v>5.33601817185924E-2</v>
      </c>
      <c r="X35" s="132">
        <v>0.56337959695505202</v>
      </c>
    </row>
    <row r="36" spans="2:24">
      <c r="B36" s="133"/>
      <c r="C36" s="110"/>
      <c r="D36" s="127">
        <v>68.099999999999994</v>
      </c>
      <c r="E36" s="9">
        <v>0.47871000000000002</v>
      </c>
      <c r="F36" s="9">
        <v>0.47254000000000002</v>
      </c>
      <c r="G36" s="135">
        <v>161.30327894408057</v>
      </c>
      <c r="H36" s="135">
        <v>120.89684665684148</v>
      </c>
      <c r="I36" s="135">
        <v>0</v>
      </c>
      <c r="K36" s="1">
        <f t="shared" si="1"/>
        <v>161</v>
      </c>
      <c r="L36" s="1">
        <f t="shared" si="2"/>
        <v>121</v>
      </c>
      <c r="M36" s="1">
        <f t="shared" si="3"/>
        <v>0</v>
      </c>
      <c r="N36" s="1" t="str">
        <f t="shared" si="4"/>
        <v>{161,121,0},</v>
      </c>
      <c r="P36" s="1">
        <v>33</v>
      </c>
      <c r="Q36" s="123">
        <v>3628.1941000000002</v>
      </c>
      <c r="R36" s="123">
        <v>3608.7575999999999</v>
      </c>
      <c r="S36" s="130">
        <v>413.51373999999998</v>
      </c>
      <c r="T36" s="132">
        <v>0.47424488463541098</v>
      </c>
      <c r="U36" s="132">
        <v>0.47170432025374898</v>
      </c>
      <c r="V36" s="132">
        <v>3608.7575999999999</v>
      </c>
      <c r="W36" s="132">
        <v>0.24597884693866001</v>
      </c>
      <c r="X36" s="132">
        <v>0.55048752077253305</v>
      </c>
    </row>
    <row r="37" spans="2:24">
      <c r="B37" s="133"/>
      <c r="C37" s="109"/>
      <c r="D37" s="127">
        <v>45.3</v>
      </c>
      <c r="E37" s="9">
        <v>0.21</v>
      </c>
      <c r="F37" s="9">
        <v>0.71</v>
      </c>
      <c r="G37" s="134">
        <v>3</v>
      </c>
      <c r="H37" s="134">
        <v>128</v>
      </c>
      <c r="I37" s="134">
        <v>0</v>
      </c>
      <c r="K37" s="1">
        <f t="shared" si="1"/>
        <v>3</v>
      </c>
      <c r="L37" s="1">
        <f t="shared" si="2"/>
        <v>128</v>
      </c>
      <c r="M37" s="1">
        <f t="shared" si="3"/>
        <v>0</v>
      </c>
      <c r="N37" s="1" t="str">
        <f t="shared" si="4"/>
        <v>{3,128,0},</v>
      </c>
      <c r="P37" s="1">
        <v>34</v>
      </c>
      <c r="Q37" s="123">
        <v>396.54291000000001</v>
      </c>
      <c r="R37" s="123">
        <v>2248.1079</v>
      </c>
      <c r="S37" s="130">
        <v>440.34931</v>
      </c>
      <c r="T37" s="132">
        <v>0.12853902579426801</v>
      </c>
      <c r="U37" s="132">
        <v>0.72872214345327202</v>
      </c>
      <c r="V37" s="132">
        <v>2248.1079</v>
      </c>
      <c r="W37" s="132">
        <v>4.4757534649896902E-2</v>
      </c>
      <c r="X37" s="132">
        <v>0.57092049954859403</v>
      </c>
    </row>
    <row r="38" spans="2:24">
      <c r="B38" s="133"/>
      <c r="C38" s="111"/>
      <c r="D38" s="127">
        <v>29.7</v>
      </c>
      <c r="E38" s="9">
        <v>0.64</v>
      </c>
      <c r="F38" s="9">
        <v>0.33</v>
      </c>
      <c r="G38" s="135">
        <v>134.14391230574415</v>
      </c>
      <c r="H38" s="135">
        <v>0</v>
      </c>
      <c r="I38" s="135">
        <v>0</v>
      </c>
      <c r="K38" s="1">
        <f t="shared" si="1"/>
        <v>134</v>
      </c>
      <c r="L38" s="1">
        <f t="shared" si="2"/>
        <v>0</v>
      </c>
      <c r="M38" s="1">
        <f t="shared" si="3"/>
        <v>0</v>
      </c>
      <c r="N38" s="1" t="str">
        <f t="shared" si="4"/>
        <v>{134,0,0},</v>
      </c>
      <c r="P38" s="1">
        <v>35</v>
      </c>
      <c r="Q38" s="123">
        <v>2780.1075999999998</v>
      </c>
      <c r="R38" s="123">
        <v>1272.0107</v>
      </c>
      <c r="S38" s="130">
        <v>-1.4389909999999999</v>
      </c>
      <c r="T38" s="132">
        <v>0.68633120223144295</v>
      </c>
      <c r="U38" s="132">
        <v>0.31402404460254002</v>
      </c>
      <c r="V38" s="132">
        <v>1272.0107</v>
      </c>
      <c r="W38" s="132">
        <v>0.50880560335176805</v>
      </c>
      <c r="X38" s="132">
        <v>0.52379767110009101</v>
      </c>
    </row>
    <row r="39" spans="2:24">
      <c r="B39" s="133"/>
      <c r="C39" s="112"/>
      <c r="D39" s="127">
        <v>36</v>
      </c>
      <c r="E39" s="9">
        <v>0.60116999999999998</v>
      </c>
      <c r="F39" s="9">
        <v>0.36431000000000002</v>
      </c>
      <c r="G39" s="135">
        <v>175.7110754674475</v>
      </c>
      <c r="H39" s="135">
        <v>45.890096645922078</v>
      </c>
      <c r="I39" s="135">
        <v>4</v>
      </c>
      <c r="K39" s="1">
        <f t="shared" si="1"/>
        <v>176</v>
      </c>
      <c r="L39" s="1">
        <f t="shared" si="2"/>
        <v>46</v>
      </c>
      <c r="M39" s="1">
        <f t="shared" si="3"/>
        <v>4</v>
      </c>
      <c r="N39" s="1" t="str">
        <f t="shared" si="4"/>
        <v>{176,46,4},</v>
      </c>
      <c r="P39" s="1">
        <v>36</v>
      </c>
      <c r="Q39" s="123">
        <v>3757.0315999999998</v>
      </c>
      <c r="R39" s="123">
        <v>2454.3017</v>
      </c>
      <c r="S39" s="130">
        <v>233.04954000000001</v>
      </c>
      <c r="T39" s="132">
        <v>0.582993235082229</v>
      </c>
      <c r="U39" s="132">
        <v>0.38084355956729599</v>
      </c>
      <c r="V39" s="132">
        <v>2454.3017</v>
      </c>
      <c r="W39" s="132">
        <v>0.36413543548195998</v>
      </c>
      <c r="X39" s="132">
        <v>0.53521535226124495</v>
      </c>
    </row>
    <row r="40" spans="2:24">
      <c r="B40" s="133"/>
      <c r="C40" s="113"/>
      <c r="D40" s="127">
        <v>20.3</v>
      </c>
      <c r="E40" s="9">
        <v>0.57308999999999999</v>
      </c>
      <c r="F40" s="9">
        <v>0.32979999999999998</v>
      </c>
      <c r="G40" s="135">
        <v>165.2061632624642</v>
      </c>
      <c r="H40" s="135">
        <v>38.548860263256444</v>
      </c>
      <c r="I40" s="135">
        <v>36</v>
      </c>
      <c r="K40" s="1">
        <f t="shared" si="1"/>
        <v>165</v>
      </c>
      <c r="L40" s="1">
        <f t="shared" si="2"/>
        <v>39</v>
      </c>
      <c r="M40" s="1">
        <f t="shared" si="3"/>
        <v>36</v>
      </c>
      <c r="N40" s="1" t="str">
        <f t="shared" si="4"/>
        <v>{165,39,36},</v>
      </c>
      <c r="P40" s="1">
        <v>37</v>
      </c>
      <c r="Q40" s="123">
        <v>3665.9513999999999</v>
      </c>
      <c r="R40" s="123">
        <v>2282.4029</v>
      </c>
      <c r="S40" s="130">
        <v>1154.3837000000001</v>
      </c>
      <c r="T40" s="132">
        <v>0.51613214509672201</v>
      </c>
      <c r="U40" s="132">
        <v>0.32134127712439903</v>
      </c>
      <c r="V40" s="132">
        <v>2282.4029</v>
      </c>
      <c r="W40" s="132">
        <v>0.35449664797508501</v>
      </c>
      <c r="X40" s="132">
        <v>0.49659261688572298</v>
      </c>
    </row>
    <row r="41" spans="2:24">
      <c r="B41" s="133"/>
      <c r="C41" s="114"/>
      <c r="D41" s="127">
        <v>5.8</v>
      </c>
      <c r="E41" s="9">
        <v>0.20277999999999999</v>
      </c>
      <c r="F41" s="9">
        <v>8.9080000000000006E-2</v>
      </c>
      <c r="G41" s="135">
        <v>27.733381615386914</v>
      </c>
      <c r="H41" s="135">
        <v>0</v>
      </c>
      <c r="I41" s="135">
        <v>108</v>
      </c>
      <c r="K41" s="1">
        <f t="shared" si="1"/>
        <v>28</v>
      </c>
      <c r="L41" s="1">
        <f t="shared" si="2"/>
        <v>0</v>
      </c>
      <c r="M41" s="1">
        <f t="shared" si="3"/>
        <v>108</v>
      </c>
      <c r="N41" s="1" t="str">
        <f t="shared" si="4"/>
        <v>{28,0,108},</v>
      </c>
      <c r="P41" s="1">
        <v>38</v>
      </c>
      <c r="Q41" s="123">
        <v>1105.6745000000001</v>
      </c>
      <c r="R41" s="123">
        <v>450.61928999999998</v>
      </c>
      <c r="S41" s="130">
        <v>3158.3519000000001</v>
      </c>
      <c r="T41" s="132">
        <v>0.23451910762778899</v>
      </c>
      <c r="U41" s="132">
        <v>9.5578611762021898E-2</v>
      </c>
      <c r="V41" s="132">
        <v>450.61928999999998</v>
      </c>
      <c r="W41" s="132">
        <v>0.25505726722205502</v>
      </c>
      <c r="X41" s="132">
        <v>0.23388518094260199</v>
      </c>
    </row>
    <row r="42" spans="2:24">
      <c r="B42" s="133"/>
      <c r="C42" s="115"/>
      <c r="D42" s="127">
        <v>7.5</v>
      </c>
      <c r="E42" s="9">
        <v>0.15068999999999999</v>
      </c>
      <c r="F42" s="9">
        <v>6.0380000000000003E-2</v>
      </c>
      <c r="G42" s="135">
        <v>8.6751439295541868</v>
      </c>
      <c r="H42" s="135">
        <v>0</v>
      </c>
      <c r="I42" s="135">
        <v>154</v>
      </c>
      <c r="K42" s="1">
        <f t="shared" si="1"/>
        <v>9</v>
      </c>
      <c r="L42" s="1">
        <f t="shared" si="2"/>
        <v>0</v>
      </c>
      <c r="M42" s="1">
        <f t="shared" si="3"/>
        <v>154</v>
      </c>
      <c r="N42" s="1" t="str">
        <f t="shared" si="4"/>
        <v>{9,0,154},</v>
      </c>
      <c r="P42" s="1">
        <v>39</v>
      </c>
      <c r="Q42" s="123">
        <v>935.17985999999996</v>
      </c>
      <c r="R42" s="123">
        <v>347.86946999999998</v>
      </c>
      <c r="S42" s="130">
        <v>4527.5936000000002</v>
      </c>
      <c r="T42" s="132">
        <v>0.16094257920611901</v>
      </c>
      <c r="U42" s="132">
        <v>5.9867638433601003E-2</v>
      </c>
      <c r="V42" s="132">
        <v>347.86946999999998</v>
      </c>
      <c r="W42" s="132">
        <v>0.18953784588328099</v>
      </c>
      <c r="X42" s="132">
        <v>0.15863522497459201</v>
      </c>
    </row>
    <row r="43" spans="2:24">
      <c r="B43" s="133"/>
      <c r="C43" s="108"/>
      <c r="D43" s="127">
        <v>12.9</v>
      </c>
      <c r="E43" s="9">
        <v>0.15346000000000001</v>
      </c>
      <c r="F43" s="9">
        <v>9.7519999999999996E-2</v>
      </c>
      <c r="G43" s="134">
        <v>0</v>
      </c>
      <c r="H43" s="134">
        <v>29</v>
      </c>
      <c r="I43" s="134">
        <v>153</v>
      </c>
      <c r="K43" s="1">
        <f t="shared" si="1"/>
        <v>0</v>
      </c>
      <c r="L43" s="1">
        <f t="shared" si="2"/>
        <v>29</v>
      </c>
      <c r="M43" s="1">
        <f t="shared" si="3"/>
        <v>153</v>
      </c>
      <c r="N43" s="1" t="str">
        <f t="shared" si="4"/>
        <v>{0,29,153},</v>
      </c>
      <c r="P43" s="1">
        <v>40</v>
      </c>
      <c r="Q43" s="123">
        <v>828.62526000000003</v>
      </c>
      <c r="R43" s="123">
        <v>763.69284000000005</v>
      </c>
      <c r="S43" s="130">
        <v>4602.1674999999996</v>
      </c>
      <c r="T43" s="132">
        <v>0.133768211520259</v>
      </c>
      <c r="U43" s="132">
        <v>0.123285917397241</v>
      </c>
      <c r="V43" s="132">
        <v>763.69284000000005</v>
      </c>
      <c r="W43" s="132">
        <v>0.12703851798531199</v>
      </c>
      <c r="X43" s="132">
        <v>0.26343804052821901</v>
      </c>
    </row>
    <row r="44" spans="2:24">
      <c r="B44" s="133"/>
      <c r="C44" s="116"/>
      <c r="D44" s="127">
        <v>100</v>
      </c>
      <c r="E44" s="9">
        <v>0.19545000000000001</v>
      </c>
      <c r="F44" s="9">
        <v>0.55235999999999996</v>
      </c>
      <c r="G44" s="134">
        <v>6</v>
      </c>
      <c r="H44" s="134">
        <v>239</v>
      </c>
      <c r="I44" s="134">
        <v>96</v>
      </c>
      <c r="K44" s="1">
        <f t="shared" si="1"/>
        <v>6</v>
      </c>
      <c r="L44" s="1">
        <f t="shared" si="2"/>
        <v>239</v>
      </c>
      <c r="M44" s="1">
        <f t="shared" si="3"/>
        <v>96</v>
      </c>
      <c r="N44" s="1" t="str">
        <f t="shared" si="4"/>
        <v>{6,239,96},</v>
      </c>
      <c r="P44" s="1">
        <v>41</v>
      </c>
      <c r="Q44" s="123">
        <v>1232.5093999999999</v>
      </c>
      <c r="R44" s="123">
        <v>4366.1115</v>
      </c>
      <c r="S44" s="130">
        <v>3615.5246000000002</v>
      </c>
      <c r="T44" s="132">
        <v>0.133762745552477</v>
      </c>
      <c r="U44" s="132">
        <v>0.47384876872196102</v>
      </c>
      <c r="V44" s="132">
        <v>4366.1115</v>
      </c>
      <c r="W44" s="132">
        <v>6.3555363816057295E-2</v>
      </c>
      <c r="X44" s="132">
        <v>0.50656981674860702</v>
      </c>
    </row>
    <row r="45" spans="2:24">
      <c r="B45" s="133"/>
      <c r="C45" s="109"/>
      <c r="D45" s="127">
        <v>45.3</v>
      </c>
      <c r="E45" s="9">
        <v>0.21</v>
      </c>
      <c r="F45" s="9">
        <v>0.71</v>
      </c>
      <c r="G45" s="135">
        <v>8</v>
      </c>
      <c r="H45" s="135">
        <v>122.68398326204837</v>
      </c>
      <c r="I45" s="135">
        <v>0</v>
      </c>
      <c r="K45" s="1">
        <f t="shared" si="1"/>
        <v>8</v>
      </c>
      <c r="L45" s="1">
        <f t="shared" si="2"/>
        <v>123</v>
      </c>
      <c r="M45" s="1">
        <f t="shared" si="3"/>
        <v>0</v>
      </c>
      <c r="N45" s="1" t="str">
        <f t="shared" si="4"/>
        <v>{8,123,0},</v>
      </c>
      <c r="P45" s="1">
        <v>42</v>
      </c>
      <c r="Q45" s="123">
        <v>488.53832999999997</v>
      </c>
      <c r="R45" s="123">
        <v>2212.2354999999998</v>
      </c>
      <c r="S45" s="130">
        <v>423.84573999999998</v>
      </c>
      <c r="T45" s="132">
        <v>0.15635129943195</v>
      </c>
      <c r="U45" s="132">
        <v>0.70800155040954305</v>
      </c>
      <c r="V45" s="132">
        <v>2212.2354999999998</v>
      </c>
      <c r="W45" s="132">
        <v>5.5923055146562102E-2</v>
      </c>
      <c r="X45" s="132">
        <v>0.56977858358275602</v>
      </c>
    </row>
    <row r="46" spans="2:24">
      <c r="B46" s="133" t="s">
        <v>37</v>
      </c>
      <c r="C46" s="95"/>
      <c r="D46" s="125">
        <v>100</v>
      </c>
      <c r="E46" s="9">
        <v>0.31273000000000001</v>
      </c>
      <c r="F46" s="9">
        <v>0.32901999999999998</v>
      </c>
      <c r="G46" s="135">
        <v>154.80396493585465</v>
      </c>
      <c r="H46" s="135">
        <v>162.20316998180223</v>
      </c>
      <c r="I46" s="135">
        <v>154</v>
      </c>
      <c r="K46" s="1">
        <f t="shared" si="1"/>
        <v>155</v>
      </c>
      <c r="L46" s="1">
        <f t="shared" si="2"/>
        <v>162</v>
      </c>
      <c r="M46" s="1">
        <f t="shared" si="3"/>
        <v>154</v>
      </c>
      <c r="N46" s="1" t="str">
        <f t="shared" si="4"/>
        <v>{155,162,154},</v>
      </c>
      <c r="P46" s="1">
        <v>43</v>
      </c>
      <c r="Q46" s="123">
        <v>4359.1971999999996</v>
      </c>
      <c r="R46" s="123">
        <v>4525.9571999999998</v>
      </c>
      <c r="S46" s="130">
        <v>5061.0639000000001</v>
      </c>
      <c r="T46" s="132">
        <v>0.312571989497683</v>
      </c>
      <c r="U46" s="132">
        <v>0.32452935287840701</v>
      </c>
      <c r="V46" s="132">
        <v>4525.9571999999998</v>
      </c>
      <c r="W46" s="132">
        <v>0.19943315120928901</v>
      </c>
      <c r="X46" s="132">
        <v>0.465890437332666</v>
      </c>
    </row>
    <row r="47" spans="2:24">
      <c r="B47" s="133"/>
      <c r="C47" s="117"/>
      <c r="D47" s="128">
        <v>50.4</v>
      </c>
      <c r="E47" s="9">
        <v>0.18448000000000001</v>
      </c>
      <c r="F47" s="9">
        <v>0.36168</v>
      </c>
      <c r="G47" s="135">
        <v>27.614267016430848</v>
      </c>
      <c r="H47" s="135">
        <v>149.71118863357296</v>
      </c>
      <c r="I47" s="135">
        <v>121</v>
      </c>
      <c r="K47" s="1">
        <f t="shared" si="1"/>
        <v>28</v>
      </c>
      <c r="L47" s="1">
        <f t="shared" si="2"/>
        <v>150</v>
      </c>
      <c r="M47" s="1">
        <f t="shared" si="3"/>
        <v>121</v>
      </c>
      <c r="N47" s="1" t="str">
        <f t="shared" si="4"/>
        <v>{28,150,121},</v>
      </c>
      <c r="P47" s="1">
        <v>44</v>
      </c>
      <c r="Q47" s="123">
        <v>1569.5039999999999</v>
      </c>
      <c r="R47" s="123">
        <v>3078.4182999999998</v>
      </c>
      <c r="S47" s="130">
        <v>4049.9043999999999</v>
      </c>
      <c r="T47" s="132">
        <v>0.18044783531959799</v>
      </c>
      <c r="U47" s="132">
        <v>0.353929597148676</v>
      </c>
      <c r="V47" s="132">
        <v>3078.4182999999998</v>
      </c>
      <c r="W47" s="132">
        <v>0.104816169327816</v>
      </c>
      <c r="X47" s="132">
        <v>0.46256844903737598</v>
      </c>
    </row>
    <row r="48" spans="2:24">
      <c r="B48" s="133"/>
      <c r="C48" s="118"/>
      <c r="D48" s="128">
        <v>34.6</v>
      </c>
      <c r="E48" s="9">
        <v>0.60940000000000005</v>
      </c>
      <c r="F48" s="9">
        <v>0.35704000000000002</v>
      </c>
      <c r="G48" s="135">
        <v>173.82916667682753</v>
      </c>
      <c r="H48" s="135">
        <v>40.831780971853455</v>
      </c>
      <c r="I48" s="135">
        <v>4</v>
      </c>
      <c r="K48" s="1">
        <f t="shared" si="1"/>
        <v>174</v>
      </c>
      <c r="L48" s="1">
        <f t="shared" si="2"/>
        <v>41</v>
      </c>
      <c r="M48" s="1">
        <f t="shared" si="3"/>
        <v>4</v>
      </c>
      <c r="N48" s="1" t="str">
        <f t="shared" si="4"/>
        <v>{174,41,4},</v>
      </c>
      <c r="P48" s="1">
        <v>45</v>
      </c>
      <c r="Q48" s="123">
        <v>3693.1464000000001</v>
      </c>
      <c r="R48" s="123">
        <v>2343.2525000000001</v>
      </c>
      <c r="S48" s="130">
        <v>215.53313</v>
      </c>
      <c r="T48" s="132">
        <v>0.59072081754542005</v>
      </c>
      <c r="U48" s="132">
        <v>0.374804538621959</v>
      </c>
      <c r="V48" s="132">
        <v>2343.2525000000001</v>
      </c>
      <c r="W48" s="132">
        <v>0.37409810821565698</v>
      </c>
      <c r="X48" s="132">
        <v>0.53406066883068104</v>
      </c>
    </row>
    <row r="49" spans="2:24">
      <c r="B49" s="133"/>
      <c r="C49" s="118"/>
      <c r="D49" s="128">
        <v>34.6</v>
      </c>
      <c r="E49" s="9">
        <v>0.60940000000000005</v>
      </c>
      <c r="F49" s="9">
        <v>0.35704000000000002</v>
      </c>
      <c r="G49" s="135">
        <v>173.87008852162583</v>
      </c>
      <c r="H49" s="135">
        <v>40.821804064673202</v>
      </c>
      <c r="I49" s="135">
        <v>4</v>
      </c>
      <c r="K49" s="1">
        <f t="shared" si="1"/>
        <v>174</v>
      </c>
      <c r="L49" s="1">
        <f t="shared" si="2"/>
        <v>41</v>
      </c>
      <c r="M49" s="1">
        <f t="shared" si="3"/>
        <v>4</v>
      </c>
      <c r="N49" s="1" t="str">
        <f t="shared" si="4"/>
        <v>{174,41,4},</v>
      </c>
      <c r="P49" s="1">
        <v>46</v>
      </c>
      <c r="Q49" s="123">
        <v>3693.7905999999998</v>
      </c>
      <c r="R49" s="123">
        <v>2343.7775000000001</v>
      </c>
      <c r="S49" s="130">
        <v>215.58018999999999</v>
      </c>
      <c r="T49" s="132">
        <v>0.59070894031204901</v>
      </c>
      <c r="U49" s="132">
        <v>0.37481559548942001</v>
      </c>
      <c r="V49" s="132">
        <v>2343.7775000000001</v>
      </c>
      <c r="W49" s="132">
        <v>0.374081321408474</v>
      </c>
      <c r="X49" s="132">
        <v>0.53406319639417599</v>
      </c>
    </row>
    <row r="50" spans="2:24">
      <c r="B50" s="133"/>
      <c r="C50" s="119"/>
      <c r="D50" s="128">
        <v>35.700000000000003</v>
      </c>
      <c r="E50" s="9">
        <v>0.16633999999999999</v>
      </c>
      <c r="F50" s="9">
        <v>0.23696</v>
      </c>
      <c r="G50" s="135">
        <v>2</v>
      </c>
      <c r="H50" s="135">
        <v>87.896807487961468</v>
      </c>
      <c r="I50" s="135">
        <v>145</v>
      </c>
      <c r="K50" s="1">
        <f t="shared" si="1"/>
        <v>2</v>
      </c>
      <c r="L50" s="1">
        <f t="shared" si="2"/>
        <v>88</v>
      </c>
      <c r="M50" s="1">
        <f t="shared" si="3"/>
        <v>145</v>
      </c>
      <c r="N50" s="1" t="str">
        <f t="shared" si="4"/>
        <v>{2,88,145},</v>
      </c>
      <c r="P50" s="1">
        <v>47</v>
      </c>
      <c r="Q50" s="123">
        <v>973.54372000000001</v>
      </c>
      <c r="R50" s="123">
        <v>1790.7451000000001</v>
      </c>
      <c r="S50" s="130">
        <v>4544.4610000000002</v>
      </c>
      <c r="T50" s="132">
        <v>0.13320249618285601</v>
      </c>
      <c r="U50" s="132">
        <v>0.24501387297451599</v>
      </c>
      <c r="V50" s="132">
        <v>1790.7451000000001</v>
      </c>
      <c r="W50" s="132">
        <v>9.3907716476451797E-2</v>
      </c>
      <c r="X50" s="132">
        <v>0.38865307666705501</v>
      </c>
    </row>
    <row r="51" spans="2:24">
      <c r="B51" s="133"/>
      <c r="C51" s="120"/>
      <c r="D51" s="128">
        <v>5.9</v>
      </c>
      <c r="E51" s="9">
        <v>0.22803000000000001</v>
      </c>
      <c r="F51" s="9">
        <v>0.10299</v>
      </c>
      <c r="G51" s="135">
        <v>30</v>
      </c>
      <c r="H51" s="135">
        <v>0.67850957556969127</v>
      </c>
      <c r="I51" s="135">
        <v>100</v>
      </c>
      <c r="K51" s="1">
        <f t="shared" si="1"/>
        <v>30</v>
      </c>
      <c r="L51" s="1">
        <f t="shared" si="2"/>
        <v>1</v>
      </c>
      <c r="M51" s="1">
        <f t="shared" si="3"/>
        <v>100</v>
      </c>
      <c r="N51" s="1" t="str">
        <f t="shared" si="4"/>
        <v>{30,1,100},</v>
      </c>
      <c r="P51" s="1">
        <v>48</v>
      </c>
      <c r="Q51" s="123">
        <v>1111.9708000000001</v>
      </c>
      <c r="R51" s="123">
        <v>465.97881000000001</v>
      </c>
      <c r="S51" s="130">
        <v>2926.1242999999999</v>
      </c>
      <c r="T51" s="132">
        <v>0.24688111745484201</v>
      </c>
      <c r="U51" s="132">
        <v>0.103457185497207</v>
      </c>
      <c r="V51" s="132">
        <v>465.97881000000001</v>
      </c>
      <c r="W51" s="132">
        <v>0.26349978605038699</v>
      </c>
      <c r="X51" s="132">
        <v>0.248448037181175</v>
      </c>
    </row>
    <row r="52" spans="2:24">
      <c r="B52" s="133"/>
      <c r="C52" s="121"/>
      <c r="D52" s="129">
        <v>70.7</v>
      </c>
      <c r="E52" s="9">
        <v>0.25833</v>
      </c>
      <c r="F52" s="9">
        <v>0.30124000000000001</v>
      </c>
      <c r="G52" s="135">
        <v>96.354808075059054</v>
      </c>
      <c r="H52" s="135">
        <v>134.13645591631135</v>
      </c>
      <c r="I52" s="135">
        <v>153</v>
      </c>
      <c r="K52" s="1">
        <f t="shared" si="1"/>
        <v>96</v>
      </c>
      <c r="L52" s="1">
        <f t="shared" si="2"/>
        <v>134</v>
      </c>
      <c r="M52" s="1">
        <f t="shared" si="3"/>
        <v>153</v>
      </c>
      <c r="N52" s="1" t="str">
        <f t="shared" si="4"/>
        <v>{96,134,153},</v>
      </c>
      <c r="P52" s="1">
        <v>49</v>
      </c>
      <c r="Q52" s="123">
        <v>3086.3710000000001</v>
      </c>
      <c r="R52" s="123">
        <v>3493.1468</v>
      </c>
      <c r="S52" s="130">
        <v>4935.9886999999999</v>
      </c>
      <c r="T52" s="132">
        <v>0.26801869288163699</v>
      </c>
      <c r="U52" s="132">
        <v>0.30334287076300098</v>
      </c>
      <c r="V52" s="132">
        <v>3493.1468</v>
      </c>
      <c r="W52" s="132">
        <v>0.17563257481724401</v>
      </c>
      <c r="X52" s="132">
        <v>0.44725612218099797</v>
      </c>
    </row>
    <row r="53" spans="2:24">
      <c r="B53" s="133"/>
      <c r="C53" s="122"/>
      <c r="D53" s="128">
        <v>65.400000000000006</v>
      </c>
      <c r="E53" s="9">
        <v>0.35955999999999999</v>
      </c>
      <c r="F53" s="9">
        <v>0.57782999999999995</v>
      </c>
      <c r="G53" s="135">
        <v>94.758799513760167</v>
      </c>
      <c r="H53" s="135">
        <v>161.57890175727465</v>
      </c>
      <c r="I53" s="135">
        <v>0</v>
      </c>
      <c r="K53" s="1">
        <f t="shared" si="1"/>
        <v>95</v>
      </c>
      <c r="L53" s="1">
        <f t="shared" si="2"/>
        <v>162</v>
      </c>
      <c r="M53" s="1">
        <f t="shared" si="3"/>
        <v>0</v>
      </c>
      <c r="N53" s="1" t="str">
        <f t="shared" si="4"/>
        <v>{95,162,0},</v>
      </c>
      <c r="P53" s="1">
        <v>50</v>
      </c>
      <c r="Q53" s="123">
        <v>2387.3606</v>
      </c>
      <c r="R53" s="123">
        <v>3701.2973999999999</v>
      </c>
      <c r="S53" s="130">
        <v>553.60888999999997</v>
      </c>
      <c r="T53" s="132">
        <v>0.35941955352534799</v>
      </c>
      <c r="U53" s="132">
        <v>0.55723406802161801</v>
      </c>
      <c r="V53" s="132">
        <v>3701.2973999999999</v>
      </c>
      <c r="W53" s="132">
        <v>0.16031256357000401</v>
      </c>
      <c r="X53" s="132">
        <v>0.55922430324946604</v>
      </c>
    </row>
    <row r="54" spans="2:24">
      <c r="B54" s="133"/>
      <c r="C54" s="120"/>
      <c r="D54" s="128">
        <v>5.9</v>
      </c>
      <c r="E54" s="9">
        <v>0.22803000000000001</v>
      </c>
      <c r="F54" s="9">
        <v>0.10299</v>
      </c>
      <c r="G54" s="135">
        <v>33.823557671841598</v>
      </c>
      <c r="H54" s="135">
        <v>0.67934539815341799</v>
      </c>
      <c r="I54" s="135">
        <v>100</v>
      </c>
      <c r="K54" s="1">
        <f t="shared" si="1"/>
        <v>34</v>
      </c>
      <c r="L54" s="1">
        <f t="shared" si="2"/>
        <v>1</v>
      </c>
      <c r="M54" s="1">
        <f t="shared" si="3"/>
        <v>100</v>
      </c>
      <c r="N54" s="1" t="str">
        <f t="shared" si="4"/>
        <v>{34,1,100},</v>
      </c>
      <c r="P54" s="1">
        <v>51</v>
      </c>
      <c r="Q54" s="123">
        <v>1192.6617000000001</v>
      </c>
      <c r="R54" s="123">
        <v>503.19459999999998</v>
      </c>
      <c r="S54" s="130">
        <v>2923.6406000000002</v>
      </c>
      <c r="T54" s="132">
        <v>0.25817999791275997</v>
      </c>
      <c r="U54" s="132">
        <v>0.108928441969514</v>
      </c>
      <c r="V54" s="132">
        <v>503.19459999999998</v>
      </c>
      <c r="W54" s="132">
        <v>0.27242932466817199</v>
      </c>
      <c r="X54" s="132">
        <v>0.25861580980843901</v>
      </c>
    </row>
  </sheetData>
  <mergeCells count="9">
    <mergeCell ref="K2:N2"/>
    <mergeCell ref="P2:X2"/>
    <mergeCell ref="B34:B45"/>
    <mergeCell ref="B46:B54"/>
    <mergeCell ref="E2:F2"/>
    <mergeCell ref="G2:I2"/>
    <mergeCell ref="B4:B13"/>
    <mergeCell ref="B14:B23"/>
    <mergeCell ref="B24:B3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4588-6DA4-4EA1-9C3D-908CC62CDC63}">
  <dimension ref="B2:AH67"/>
  <sheetViews>
    <sheetView zoomScale="70" zoomScaleNormal="70" workbookViewId="0"/>
  </sheetViews>
  <sheetFormatPr defaultRowHeight="16.899999999999999"/>
  <cols>
    <col min="1" max="1" width="2.625" style="1" customWidth="1"/>
    <col min="2" max="2" width="5.5" style="1" bestFit="1" customWidth="1"/>
    <col min="3" max="4" width="6.125" style="1" bestFit="1" customWidth="1"/>
    <col min="5" max="7" width="3.875" style="1" bestFit="1" customWidth="1"/>
    <col min="8" max="8" width="2.625" style="1" customWidth="1"/>
    <col min="9" max="11" width="4.5" style="1" bestFit="1" customWidth="1"/>
    <col min="12" max="12" width="12.375" style="1" bestFit="1" customWidth="1"/>
    <col min="13" max="13" width="2.625" style="1" customWidth="1"/>
    <col min="14" max="14" width="4.25" style="1" bestFit="1" customWidth="1"/>
    <col min="15" max="17" width="10.875" style="1" bestFit="1" customWidth="1"/>
    <col min="18" max="19" width="13.25" style="1" bestFit="1" customWidth="1"/>
    <col min="20" max="20" width="10.875" style="1" bestFit="1" customWidth="1"/>
    <col min="21" max="24" width="13.25" style="1" bestFit="1" customWidth="1"/>
    <col min="25" max="25" width="14.125" style="1" bestFit="1" customWidth="1"/>
    <col min="26" max="26" width="13.25" style="1" bestFit="1" customWidth="1"/>
    <col min="27" max="27" width="5.5" style="1" bestFit="1" customWidth="1"/>
    <col min="28" max="28" width="8" style="1" bestFit="1" customWidth="1"/>
    <col min="29" max="29" width="10.75" style="1" bestFit="1" customWidth="1"/>
    <col min="30" max="30" width="11.75" style="1" bestFit="1" customWidth="1"/>
    <col min="31" max="31" width="15.625" style="1" bestFit="1" customWidth="1"/>
    <col min="32" max="32" width="15.5" style="1" bestFit="1" customWidth="1"/>
    <col min="33" max="33" width="11.5" style="1" bestFit="1" customWidth="1"/>
    <col min="34" max="34" width="7.5" style="1" bestFit="1" customWidth="1"/>
    <col min="35" max="16384" width="9" style="1"/>
  </cols>
  <sheetData>
    <row r="2" spans="2:34">
      <c r="B2" s="5"/>
      <c r="C2" s="133" t="s">
        <v>29</v>
      </c>
      <c r="D2" s="133"/>
      <c r="E2" s="133" t="s">
        <v>39</v>
      </c>
      <c r="F2" s="133"/>
      <c r="G2" s="133"/>
      <c r="I2" s="133" t="s">
        <v>30</v>
      </c>
      <c r="J2" s="133"/>
      <c r="K2" s="133"/>
      <c r="L2" s="133"/>
      <c r="N2" s="133" t="s">
        <v>31</v>
      </c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2:34">
      <c r="B3" s="5" t="s">
        <v>32</v>
      </c>
      <c r="C3" s="5" t="s">
        <v>0</v>
      </c>
      <c r="D3" s="5" t="s">
        <v>1</v>
      </c>
      <c r="E3" s="2" t="s">
        <v>2</v>
      </c>
      <c r="F3" s="3" t="s">
        <v>3</v>
      </c>
      <c r="G3" s="4" t="s">
        <v>4</v>
      </c>
      <c r="H3" s="74"/>
      <c r="I3" s="2" t="s">
        <v>2</v>
      </c>
      <c r="J3" s="3" t="s">
        <v>3</v>
      </c>
      <c r="K3" s="4" t="s">
        <v>4</v>
      </c>
      <c r="L3" s="75" t="s">
        <v>38</v>
      </c>
      <c r="M3" s="74"/>
      <c r="N3" s="5" t="s">
        <v>5</v>
      </c>
      <c r="O3" s="5" t="s">
        <v>6</v>
      </c>
      <c r="P3" s="5" t="s">
        <v>7</v>
      </c>
      <c r="Q3" s="5" t="s">
        <v>8</v>
      </c>
      <c r="R3" s="5" t="s">
        <v>9</v>
      </c>
      <c r="S3" s="5" t="s">
        <v>10</v>
      </c>
      <c r="T3" s="5" t="s">
        <v>11</v>
      </c>
      <c r="U3" s="5" t="s">
        <v>12</v>
      </c>
      <c r="V3" s="5" t="s">
        <v>13</v>
      </c>
      <c r="W3" s="5" t="s">
        <v>14</v>
      </c>
      <c r="X3" s="5" t="s">
        <v>15</v>
      </c>
      <c r="Y3" s="5" t="s">
        <v>16</v>
      </c>
      <c r="Z3" s="5" t="s">
        <v>17</v>
      </c>
      <c r="AA3" s="5" t="s">
        <v>18</v>
      </c>
      <c r="AB3" s="5" t="s">
        <v>19</v>
      </c>
      <c r="AC3" s="5" t="s">
        <v>20</v>
      </c>
      <c r="AD3" s="5" t="s">
        <v>21</v>
      </c>
      <c r="AE3" s="5" t="s">
        <v>22</v>
      </c>
      <c r="AF3" s="5" t="s">
        <v>23</v>
      </c>
      <c r="AG3" s="5" t="s">
        <v>24</v>
      </c>
      <c r="AH3" s="5" t="s">
        <v>25</v>
      </c>
    </row>
    <row r="4" spans="2:34">
      <c r="B4" s="10"/>
      <c r="C4" s="6">
        <v>0.18110999999999999</v>
      </c>
      <c r="D4" s="6">
        <v>7.7410000000000007E-2</v>
      </c>
      <c r="E4" s="76">
        <v>70</v>
      </c>
      <c r="F4" s="76">
        <v>1</v>
      </c>
      <c r="G4" s="76">
        <v>185</v>
      </c>
      <c r="H4" s="76"/>
      <c r="I4" s="1">
        <v>19</v>
      </c>
      <c r="J4" s="1">
        <v>0</v>
      </c>
      <c r="K4" s="1">
        <v>131</v>
      </c>
      <c r="L4" s="1" t="str">
        <f>_xlfn.CONCAT("{", I4, ",", J4, ",", K4, "}", ",")</f>
        <v>{19,0,131},</v>
      </c>
      <c r="N4" s="1">
        <v>1</v>
      </c>
      <c r="O4" s="1">
        <v>1011.4116</v>
      </c>
      <c r="P4" s="1">
        <v>396.11619000000002</v>
      </c>
      <c r="Q4" s="1">
        <v>3691.5266000000001</v>
      </c>
      <c r="R4" s="1">
        <v>0.198352777327406</v>
      </c>
      <c r="S4" s="1">
        <v>7.7684244901729704E-2</v>
      </c>
      <c r="T4" s="1">
        <v>396.11619000000002</v>
      </c>
      <c r="U4" s="1">
        <v>0.224412360638165</v>
      </c>
      <c r="V4" s="1">
        <v>0.19775339821198001</v>
      </c>
      <c r="W4" s="1" t="s">
        <v>26</v>
      </c>
      <c r="X4" s="1" t="s">
        <v>26</v>
      </c>
      <c r="Y4" s="1">
        <v>441.52846520892803</v>
      </c>
      <c r="Z4" s="1">
        <v>79.478936204226699</v>
      </c>
      <c r="AA4" s="1">
        <v>0.31</v>
      </c>
      <c r="AB4" s="1">
        <v>0</v>
      </c>
      <c r="AC4" s="1" t="s">
        <v>27</v>
      </c>
      <c r="AD4" s="1" t="s">
        <v>28</v>
      </c>
      <c r="AE4" s="1">
        <v>1</v>
      </c>
      <c r="AF4" s="1" t="s">
        <v>26</v>
      </c>
      <c r="AG4" s="7">
        <v>45611</v>
      </c>
      <c r="AH4" s="8">
        <v>0.39222222222222225</v>
      </c>
    </row>
    <row r="5" spans="2:34">
      <c r="B5" s="11"/>
      <c r="C5" s="9">
        <v>0.19464999999999999</v>
      </c>
      <c r="D5" s="9">
        <v>8.4599999999999995E-2</v>
      </c>
      <c r="E5" s="77">
        <v>80</v>
      </c>
      <c r="F5" s="77">
        <v>0</v>
      </c>
      <c r="G5" s="77">
        <v>175</v>
      </c>
      <c r="H5" s="77"/>
      <c r="I5" s="1">
        <v>26</v>
      </c>
      <c r="J5" s="1">
        <v>0</v>
      </c>
      <c r="K5" s="1">
        <v>119</v>
      </c>
      <c r="L5" s="1" t="str">
        <f t="shared" ref="L5:L67" si="0">_xlfn.CONCAT("{", I5, ",", J5, ",", K5, "}", ",")</f>
        <v>{26,0,119},</v>
      </c>
      <c r="N5" s="1">
        <v>2</v>
      </c>
      <c r="O5" s="1">
        <v>1103.3995</v>
      </c>
      <c r="P5" s="1">
        <v>444.04786000000001</v>
      </c>
      <c r="Q5" s="1">
        <v>3338.7226000000001</v>
      </c>
      <c r="R5" s="1">
        <v>0.22582094135751299</v>
      </c>
      <c r="S5" s="1">
        <v>9.0878512952914103E-2</v>
      </c>
      <c r="T5" s="1">
        <v>444.04786000000001</v>
      </c>
      <c r="U5" s="1">
        <v>0.24822987653763801</v>
      </c>
      <c r="V5" s="1">
        <v>0.22476752735102401</v>
      </c>
      <c r="W5" s="1" t="s">
        <v>26</v>
      </c>
      <c r="X5" s="1" t="s">
        <v>26</v>
      </c>
      <c r="Y5" s="1">
        <v>-568.75591699186396</v>
      </c>
      <c r="Z5" s="1">
        <v>75.5716064180465</v>
      </c>
      <c r="AA5" s="1">
        <v>0.35</v>
      </c>
      <c r="AB5" s="1">
        <v>0</v>
      </c>
      <c r="AC5" s="1" t="s">
        <v>27</v>
      </c>
      <c r="AD5" s="1" t="s">
        <v>28</v>
      </c>
      <c r="AE5" s="1">
        <v>1</v>
      </c>
      <c r="AF5" s="1" t="s">
        <v>26</v>
      </c>
      <c r="AG5" s="7">
        <v>45611</v>
      </c>
      <c r="AH5" s="8">
        <v>0.39225694444444442</v>
      </c>
    </row>
    <row r="6" spans="2:34">
      <c r="B6" s="12"/>
      <c r="C6" s="9">
        <v>0.21226999999999999</v>
      </c>
      <c r="D6" s="9">
        <v>9.4310000000000005E-2</v>
      </c>
      <c r="E6" s="77">
        <v>90</v>
      </c>
      <c r="F6" s="77">
        <v>0</v>
      </c>
      <c r="G6" s="77">
        <v>165</v>
      </c>
      <c r="H6" s="77"/>
      <c r="I6" s="1">
        <v>32</v>
      </c>
      <c r="J6" s="1">
        <v>0</v>
      </c>
      <c r="K6" s="1">
        <v>110</v>
      </c>
      <c r="L6" s="1" t="str">
        <f t="shared" si="0"/>
        <v>{32,0,110},</v>
      </c>
      <c r="N6" s="1">
        <v>3</v>
      </c>
      <c r="O6" s="1">
        <v>1189.7141999999999</v>
      </c>
      <c r="P6" s="1">
        <v>487.52744999999999</v>
      </c>
      <c r="Q6" s="1">
        <v>3086.0272</v>
      </c>
      <c r="R6" s="1">
        <v>0.24976843370913199</v>
      </c>
      <c r="S6" s="1">
        <v>0.102351445058576</v>
      </c>
      <c r="T6" s="1">
        <v>487.52744999999999</v>
      </c>
      <c r="U6" s="1">
        <v>0.26794297392729699</v>
      </c>
      <c r="V6" s="1">
        <v>0.24704798711693199</v>
      </c>
      <c r="W6" s="1" t="s">
        <v>26</v>
      </c>
      <c r="X6" s="1" t="s">
        <v>26</v>
      </c>
      <c r="Y6" s="1">
        <v>-566.79672464348096</v>
      </c>
      <c r="Z6" s="1">
        <v>75.439489095194006</v>
      </c>
      <c r="AA6" s="1">
        <v>0.36</v>
      </c>
      <c r="AB6" s="1">
        <v>0</v>
      </c>
      <c r="AC6" s="1" t="s">
        <v>27</v>
      </c>
      <c r="AD6" s="1" t="s">
        <v>28</v>
      </c>
      <c r="AE6" s="1">
        <v>1</v>
      </c>
      <c r="AF6" s="1" t="s">
        <v>26</v>
      </c>
      <c r="AG6" s="7">
        <v>45611</v>
      </c>
      <c r="AH6" s="8">
        <v>0.39229166666666665</v>
      </c>
    </row>
    <row r="7" spans="2:34">
      <c r="B7" s="13"/>
      <c r="C7" s="9">
        <v>0.23594999999999999</v>
      </c>
      <c r="D7" s="9">
        <v>0.10736</v>
      </c>
      <c r="E7" s="77">
        <v>101</v>
      </c>
      <c r="F7" s="77">
        <v>0</v>
      </c>
      <c r="G7" s="77">
        <v>155</v>
      </c>
      <c r="H7" s="77"/>
      <c r="I7" s="1">
        <v>39</v>
      </c>
      <c r="J7" s="1">
        <v>0</v>
      </c>
      <c r="K7" s="1">
        <v>99</v>
      </c>
      <c r="L7" s="1" t="str">
        <f t="shared" si="0"/>
        <v>{39,0,99},</v>
      </c>
      <c r="N7" s="1">
        <v>4</v>
      </c>
      <c r="O7" s="1">
        <v>1292.6047000000001</v>
      </c>
      <c r="P7" s="1">
        <v>539.38043000000005</v>
      </c>
      <c r="Q7" s="1">
        <v>2780.317</v>
      </c>
      <c r="R7" s="1">
        <v>0.280251523765638</v>
      </c>
      <c r="S7" s="1">
        <v>0.116943863345743</v>
      </c>
      <c r="T7" s="1">
        <v>539.38043000000005</v>
      </c>
      <c r="U7" s="1">
        <v>0.29171419132953902</v>
      </c>
      <c r="V7" s="1">
        <v>0.27388580855536498</v>
      </c>
      <c r="W7" s="1" t="s">
        <v>26</v>
      </c>
      <c r="X7" s="1" t="s">
        <v>26</v>
      </c>
      <c r="Y7" s="1">
        <v>-563.57499743355197</v>
      </c>
      <c r="Z7" s="1">
        <v>75.2758833015357</v>
      </c>
      <c r="AA7" s="1">
        <v>0.38</v>
      </c>
      <c r="AB7" s="1">
        <v>0</v>
      </c>
      <c r="AC7" s="1" t="s">
        <v>27</v>
      </c>
      <c r="AD7" s="1" t="s">
        <v>28</v>
      </c>
      <c r="AE7" s="1">
        <v>1</v>
      </c>
      <c r="AF7" s="1" t="s">
        <v>26</v>
      </c>
      <c r="AG7" s="7">
        <v>45611</v>
      </c>
      <c r="AH7" s="8">
        <v>0.39232638888888888</v>
      </c>
    </row>
    <row r="8" spans="2:34">
      <c r="B8" s="14"/>
      <c r="C8" s="9">
        <v>0.26329999999999998</v>
      </c>
      <c r="D8" s="9">
        <v>0.12243</v>
      </c>
      <c r="E8" s="77">
        <v>111</v>
      </c>
      <c r="F8" s="77">
        <v>0</v>
      </c>
      <c r="G8" s="77">
        <v>145</v>
      </c>
      <c r="H8" s="77"/>
      <c r="I8" s="1">
        <v>46</v>
      </c>
      <c r="J8" s="1">
        <v>0</v>
      </c>
      <c r="K8" s="1">
        <v>87</v>
      </c>
      <c r="L8" s="1" t="str">
        <f t="shared" si="0"/>
        <v>{46,0,87},</v>
      </c>
      <c r="N8" s="1">
        <v>5</v>
      </c>
      <c r="O8" s="1">
        <v>1385.7909999999999</v>
      </c>
      <c r="P8" s="1">
        <v>587.41660999999999</v>
      </c>
      <c r="Q8" s="1">
        <v>2438.5435000000002</v>
      </c>
      <c r="R8" s="1">
        <v>0.31411359468100197</v>
      </c>
      <c r="S8" s="1">
        <v>0.13314817526050299</v>
      </c>
      <c r="T8" s="1">
        <v>587.41660999999999</v>
      </c>
      <c r="U8" s="1">
        <v>0.31652305412367199</v>
      </c>
      <c r="V8" s="1">
        <v>0.30188139751260601</v>
      </c>
      <c r="W8" s="1" t="s">
        <v>26</v>
      </c>
      <c r="X8" s="1" t="s">
        <v>26</v>
      </c>
      <c r="Y8" s="1">
        <v>-558.48128980460103</v>
      </c>
      <c r="Z8" s="1">
        <v>75.096357833085406</v>
      </c>
      <c r="AA8" s="1">
        <v>0.43</v>
      </c>
      <c r="AB8" s="1">
        <v>0</v>
      </c>
      <c r="AC8" s="1" t="s">
        <v>27</v>
      </c>
      <c r="AD8" s="1" t="s">
        <v>28</v>
      </c>
      <c r="AE8" s="1">
        <v>1</v>
      </c>
      <c r="AF8" s="1" t="s">
        <v>26</v>
      </c>
      <c r="AG8" s="7">
        <v>45611</v>
      </c>
      <c r="AH8" s="8">
        <v>0.3923611111111111</v>
      </c>
    </row>
    <row r="9" spans="2:34">
      <c r="B9" s="15"/>
      <c r="C9" s="9">
        <v>0.29560999999999998</v>
      </c>
      <c r="D9" s="9">
        <v>0.14022999999999999</v>
      </c>
      <c r="E9" s="77">
        <v>121</v>
      </c>
      <c r="F9" s="77">
        <v>0</v>
      </c>
      <c r="G9" s="77">
        <v>135</v>
      </c>
      <c r="H9" s="77"/>
      <c r="I9" s="1">
        <v>52</v>
      </c>
      <c r="J9" s="1">
        <v>0</v>
      </c>
      <c r="K9" s="1">
        <v>75</v>
      </c>
      <c r="L9" s="1" t="str">
        <f t="shared" si="0"/>
        <v>{52,0,75},</v>
      </c>
      <c r="N9" s="1">
        <v>6</v>
      </c>
      <c r="O9" s="1">
        <v>1458.0940000000001</v>
      </c>
      <c r="P9" s="1">
        <v>625.97550999999999</v>
      </c>
      <c r="Q9" s="1">
        <v>2096.3431999999998</v>
      </c>
      <c r="R9" s="1">
        <v>0.34879187801531703</v>
      </c>
      <c r="S9" s="1">
        <v>0.149740122189993</v>
      </c>
      <c r="T9" s="1">
        <v>625.97550999999999</v>
      </c>
      <c r="U9" s="1">
        <v>0.34034305646379298</v>
      </c>
      <c r="V9" s="1">
        <v>0.32875414155464799</v>
      </c>
      <c r="W9" s="1" t="s">
        <v>26</v>
      </c>
      <c r="X9" s="1" t="s">
        <v>26</v>
      </c>
      <c r="Y9" s="1">
        <v>-550.22432969569695</v>
      </c>
      <c r="Z9" s="1">
        <v>74.913665102777898</v>
      </c>
      <c r="AA9" s="1">
        <v>0.46</v>
      </c>
      <c r="AB9" s="1">
        <v>0</v>
      </c>
      <c r="AC9" s="1" t="s">
        <v>27</v>
      </c>
      <c r="AD9" s="1" t="s">
        <v>28</v>
      </c>
      <c r="AE9" s="1">
        <v>1</v>
      </c>
      <c r="AF9" s="1" t="s">
        <v>26</v>
      </c>
      <c r="AG9" s="7">
        <v>45611</v>
      </c>
      <c r="AH9" s="8">
        <v>0.39239583333333333</v>
      </c>
    </row>
    <row r="10" spans="2:34">
      <c r="B10" s="16"/>
      <c r="C10" s="9">
        <v>0.63202999999999998</v>
      </c>
      <c r="D10" s="9">
        <v>0.33633000000000002</v>
      </c>
      <c r="E10" s="77">
        <v>131</v>
      </c>
      <c r="F10" s="77">
        <v>0</v>
      </c>
      <c r="G10" s="77">
        <v>125</v>
      </c>
      <c r="H10" s="77"/>
      <c r="I10" s="1">
        <v>59</v>
      </c>
      <c r="J10" s="1">
        <v>0</v>
      </c>
      <c r="K10" s="1">
        <v>63</v>
      </c>
      <c r="L10" s="1" t="str">
        <f t="shared" si="0"/>
        <v>{59,0,63},</v>
      </c>
      <c r="N10" s="1">
        <v>7</v>
      </c>
      <c r="O10" s="1">
        <v>1549.5326</v>
      </c>
      <c r="P10" s="1">
        <v>673.19327999999996</v>
      </c>
      <c r="Q10" s="1">
        <v>1752.9906000000001</v>
      </c>
      <c r="R10" s="1">
        <v>0.38974927105466001</v>
      </c>
      <c r="S10" s="1">
        <v>0.169326279523836</v>
      </c>
      <c r="T10" s="1">
        <v>673.19327999999996</v>
      </c>
      <c r="U10" s="1">
        <v>0.36661436380236401</v>
      </c>
      <c r="V10" s="1">
        <v>0.35836950680628499</v>
      </c>
      <c r="W10" s="1" t="s">
        <v>26</v>
      </c>
      <c r="X10" s="1" t="s">
        <v>26</v>
      </c>
      <c r="Y10" s="1">
        <v>-532.62979758362906</v>
      </c>
      <c r="Z10" s="1">
        <v>74.701839650902699</v>
      </c>
      <c r="AA10" s="1">
        <v>0.47</v>
      </c>
      <c r="AB10" s="1">
        <v>0</v>
      </c>
      <c r="AC10" s="1" t="s">
        <v>27</v>
      </c>
      <c r="AD10" s="1" t="s">
        <v>28</v>
      </c>
      <c r="AE10" s="1">
        <v>1</v>
      </c>
      <c r="AF10" s="1" t="s">
        <v>26</v>
      </c>
      <c r="AG10" s="7">
        <v>45611</v>
      </c>
      <c r="AH10" s="8">
        <v>0.39243055555555556</v>
      </c>
    </row>
    <row r="11" spans="2:34">
      <c r="B11" s="17"/>
      <c r="C11" s="9">
        <v>0.38002999999999998</v>
      </c>
      <c r="D11" s="9">
        <v>0.18675</v>
      </c>
      <c r="E11" s="77">
        <v>145</v>
      </c>
      <c r="F11" s="77">
        <v>0</v>
      </c>
      <c r="G11" s="77">
        <v>115</v>
      </c>
      <c r="H11" s="77"/>
      <c r="I11" s="1">
        <v>66</v>
      </c>
      <c r="J11" s="1">
        <v>0</v>
      </c>
      <c r="K11" s="1">
        <v>52</v>
      </c>
      <c r="L11" s="1" t="str">
        <f t="shared" si="0"/>
        <v>{66,0,52},</v>
      </c>
      <c r="N11" s="1">
        <v>8</v>
      </c>
      <c r="O11" s="1">
        <v>1648.9059</v>
      </c>
      <c r="P11" s="1">
        <v>723.45838000000003</v>
      </c>
      <c r="Q11" s="1">
        <v>1440.7575999999999</v>
      </c>
      <c r="R11" s="1">
        <v>0.43242937201891901</v>
      </c>
      <c r="S11" s="1">
        <v>0.18972862729475601</v>
      </c>
      <c r="T11" s="1">
        <v>723.45838000000003</v>
      </c>
      <c r="U11" s="1">
        <v>0.39205862640496503</v>
      </c>
      <c r="V11" s="1">
        <v>0.38703586549657698</v>
      </c>
      <c r="W11" s="1" t="s">
        <v>26</v>
      </c>
      <c r="X11" s="1" t="s">
        <v>26</v>
      </c>
      <c r="Y11" s="1">
        <v>-512.23099554265298</v>
      </c>
      <c r="Z11" s="1">
        <v>74.484097695447701</v>
      </c>
      <c r="AA11" s="1">
        <v>0.52</v>
      </c>
      <c r="AB11" s="1">
        <v>0</v>
      </c>
      <c r="AC11" s="1" t="s">
        <v>27</v>
      </c>
      <c r="AD11" s="1" t="s">
        <v>28</v>
      </c>
      <c r="AE11" s="1">
        <v>1</v>
      </c>
      <c r="AF11" s="1" t="s">
        <v>26</v>
      </c>
      <c r="AG11" s="7">
        <v>45611</v>
      </c>
      <c r="AH11" s="8">
        <v>0.39246527777777779</v>
      </c>
    </row>
    <row r="12" spans="2:34">
      <c r="B12" s="18"/>
      <c r="C12" s="9">
        <v>0.45021</v>
      </c>
      <c r="D12" s="9">
        <v>0.22542000000000001</v>
      </c>
      <c r="E12" s="77">
        <v>165</v>
      </c>
      <c r="F12" s="77">
        <v>0</v>
      </c>
      <c r="G12" s="77">
        <v>100</v>
      </c>
      <c r="H12" s="77"/>
      <c r="I12" s="1">
        <v>77</v>
      </c>
      <c r="J12" s="1">
        <v>0</v>
      </c>
      <c r="K12" s="1">
        <v>37</v>
      </c>
      <c r="L12" s="1" t="str">
        <f t="shared" si="0"/>
        <v>{77,0,37},</v>
      </c>
      <c r="N12" s="1">
        <v>9</v>
      </c>
      <c r="O12" s="1">
        <v>1814.4308000000001</v>
      </c>
      <c r="P12" s="1">
        <v>805.54134999999997</v>
      </c>
      <c r="Q12" s="1">
        <v>1017.1731</v>
      </c>
      <c r="R12" s="1">
        <v>0.49886124289372302</v>
      </c>
      <c r="S12" s="1">
        <v>0.22147626631078299</v>
      </c>
      <c r="T12" s="1">
        <v>805.54134999999997</v>
      </c>
      <c r="U12" s="1">
        <v>0.42820774532923001</v>
      </c>
      <c r="V12" s="1">
        <v>0.42774453113294197</v>
      </c>
      <c r="W12" s="1" t="s">
        <v>26</v>
      </c>
      <c r="X12" s="1" t="s">
        <v>26</v>
      </c>
      <c r="Y12" s="1">
        <v>-500.63560547805798</v>
      </c>
      <c r="Z12" s="1">
        <v>74.148618910893902</v>
      </c>
      <c r="AA12" s="1">
        <v>0.55000000000000004</v>
      </c>
      <c r="AB12" s="1">
        <v>0</v>
      </c>
      <c r="AC12" s="1" t="s">
        <v>27</v>
      </c>
      <c r="AD12" s="1" t="s">
        <v>28</v>
      </c>
      <c r="AE12" s="1">
        <v>1</v>
      </c>
      <c r="AF12" s="1" t="s">
        <v>26</v>
      </c>
      <c r="AG12" s="7">
        <v>45611</v>
      </c>
      <c r="AH12" s="8">
        <v>0.39250000000000002</v>
      </c>
    </row>
    <row r="13" spans="2:34">
      <c r="B13" s="19"/>
      <c r="C13" s="9">
        <v>0.51304000000000005</v>
      </c>
      <c r="D13" s="9">
        <v>0.26003999999999999</v>
      </c>
      <c r="E13" s="77">
        <v>195</v>
      </c>
      <c r="F13" s="77">
        <v>0</v>
      </c>
      <c r="G13" s="77">
        <v>90</v>
      </c>
      <c r="H13" s="77"/>
      <c r="I13" s="1">
        <v>92</v>
      </c>
      <c r="J13" s="1">
        <v>0</v>
      </c>
      <c r="K13" s="1">
        <v>28</v>
      </c>
      <c r="L13" s="1" t="str">
        <f t="shared" si="0"/>
        <v>{92,0,28},</v>
      </c>
      <c r="N13" s="1">
        <v>10</v>
      </c>
      <c r="O13" s="1">
        <v>2090.3789999999999</v>
      </c>
      <c r="P13" s="1">
        <v>934.76086999999995</v>
      </c>
      <c r="Q13" s="1">
        <v>757.43052999999998</v>
      </c>
      <c r="R13" s="1">
        <v>0.55263452598264895</v>
      </c>
      <c r="S13" s="1">
        <v>0.24712319167939301</v>
      </c>
      <c r="T13" s="1">
        <v>934.76086999999995</v>
      </c>
      <c r="U13" s="1">
        <v>0.45482364874619302</v>
      </c>
      <c r="V13" s="1">
        <v>0.45761583741358602</v>
      </c>
      <c r="W13" s="1" t="s">
        <v>26</v>
      </c>
      <c r="X13" s="1" t="s">
        <v>26</v>
      </c>
      <c r="Y13" s="1">
        <v>-496.79711525006599</v>
      </c>
      <c r="Z13" s="1">
        <v>73.897171480276597</v>
      </c>
      <c r="AA13" s="1">
        <v>0.56000000000000005</v>
      </c>
      <c r="AB13" s="1">
        <v>0</v>
      </c>
      <c r="AC13" s="1" t="s">
        <v>27</v>
      </c>
      <c r="AD13" s="1" t="s">
        <v>28</v>
      </c>
      <c r="AE13" s="1">
        <v>1</v>
      </c>
      <c r="AF13" s="1" t="s">
        <v>26</v>
      </c>
      <c r="AG13" s="7">
        <v>45611</v>
      </c>
      <c r="AH13" s="8">
        <v>0.39253472222222224</v>
      </c>
    </row>
    <row r="14" spans="2:34">
      <c r="B14" s="20"/>
      <c r="C14" s="9">
        <v>0.57250999999999996</v>
      </c>
      <c r="D14" s="9">
        <v>0.29281000000000001</v>
      </c>
      <c r="E14" s="77">
        <v>220</v>
      </c>
      <c r="F14" s="77">
        <v>0</v>
      </c>
      <c r="G14" s="77">
        <v>70</v>
      </c>
      <c r="H14" s="77"/>
      <c r="I14" s="1">
        <v>103</v>
      </c>
      <c r="J14" s="1">
        <v>0</v>
      </c>
      <c r="K14" s="1">
        <v>16</v>
      </c>
      <c r="L14" s="1" t="str">
        <f t="shared" si="0"/>
        <v>{103,0,16},</v>
      </c>
      <c r="N14" s="1">
        <v>11</v>
      </c>
      <c r="O14" s="1">
        <v>2267.7395999999999</v>
      </c>
      <c r="P14" s="1">
        <v>1020.5557</v>
      </c>
      <c r="Q14" s="1">
        <v>422.56454000000002</v>
      </c>
      <c r="R14" s="1">
        <v>0.61110893371817598</v>
      </c>
      <c r="S14" s="1">
        <v>0.27501865982628998</v>
      </c>
      <c r="T14" s="1">
        <v>1020.5557</v>
      </c>
      <c r="U14" s="1">
        <v>0.481377081983205</v>
      </c>
      <c r="V14" s="1">
        <v>0.48742910383162502</v>
      </c>
      <c r="W14" s="1" t="s">
        <v>26</v>
      </c>
      <c r="X14" s="1" t="s">
        <v>26</v>
      </c>
      <c r="Y14" s="1">
        <v>-494.408839325619</v>
      </c>
      <c r="Z14" s="1">
        <v>73.62124292659</v>
      </c>
      <c r="AA14" s="1">
        <v>0.6</v>
      </c>
      <c r="AB14" s="1">
        <v>0</v>
      </c>
      <c r="AC14" s="1" t="s">
        <v>27</v>
      </c>
      <c r="AD14" s="1" t="s">
        <v>28</v>
      </c>
      <c r="AE14" s="1">
        <v>1</v>
      </c>
      <c r="AF14" s="1" t="s">
        <v>26</v>
      </c>
      <c r="AG14" s="7">
        <v>45611</v>
      </c>
      <c r="AH14" s="8">
        <v>0.39256944444444447</v>
      </c>
    </row>
    <row r="15" spans="2:34">
      <c r="B15" s="21"/>
      <c r="C15" s="9">
        <v>0.60570999999999997</v>
      </c>
      <c r="D15" s="9">
        <v>0.31111</v>
      </c>
      <c r="E15" s="77">
        <v>230</v>
      </c>
      <c r="F15" s="77">
        <v>0</v>
      </c>
      <c r="G15" s="77">
        <v>50</v>
      </c>
      <c r="H15" s="77"/>
      <c r="I15" s="1">
        <v>106</v>
      </c>
      <c r="J15" s="1">
        <v>0</v>
      </c>
      <c r="K15" s="1">
        <v>11</v>
      </c>
      <c r="L15" s="1" t="str">
        <f t="shared" si="0"/>
        <v>{106,0,11},</v>
      </c>
      <c r="N15" s="1">
        <v>12</v>
      </c>
      <c r="O15" s="1">
        <v>2301.1487000000002</v>
      </c>
      <c r="P15" s="1">
        <v>1037.9883</v>
      </c>
      <c r="Q15" s="1">
        <v>279.10489999999999</v>
      </c>
      <c r="R15" s="1">
        <v>0.635985310987637</v>
      </c>
      <c r="S15" s="1">
        <v>0.28687642470781199</v>
      </c>
      <c r="T15" s="1">
        <v>1037.9883</v>
      </c>
      <c r="U15" s="1">
        <v>0.49200626210162202</v>
      </c>
      <c r="V15" s="1">
        <v>0.499345250080313</v>
      </c>
      <c r="W15" s="1" t="s">
        <v>26</v>
      </c>
      <c r="X15" s="1" t="s">
        <v>26</v>
      </c>
      <c r="Y15" s="1">
        <v>652.29883842142306</v>
      </c>
      <c r="Z15" s="1">
        <v>76.858520708634799</v>
      </c>
      <c r="AA15" s="1">
        <v>0.62</v>
      </c>
      <c r="AB15" s="1">
        <v>0</v>
      </c>
      <c r="AC15" s="1" t="s">
        <v>27</v>
      </c>
      <c r="AD15" s="1" t="s">
        <v>28</v>
      </c>
      <c r="AE15" s="1">
        <v>1</v>
      </c>
      <c r="AF15" s="1" t="s">
        <v>26</v>
      </c>
      <c r="AG15" s="7">
        <v>45611</v>
      </c>
      <c r="AH15" s="8">
        <v>0.39260416666666664</v>
      </c>
    </row>
    <row r="16" spans="2:34">
      <c r="B16" s="22"/>
      <c r="C16" s="9">
        <v>0.62673999999999996</v>
      </c>
      <c r="D16" s="9">
        <v>0.32268999999999998</v>
      </c>
      <c r="E16" s="77">
        <v>240</v>
      </c>
      <c r="F16" s="77">
        <v>0</v>
      </c>
      <c r="G16" s="77">
        <v>30</v>
      </c>
      <c r="H16" s="77"/>
      <c r="I16" s="1">
        <v>110</v>
      </c>
      <c r="J16" s="1">
        <v>0</v>
      </c>
      <c r="K16" s="1">
        <v>8</v>
      </c>
      <c r="L16" s="1" t="str">
        <f t="shared" si="0"/>
        <v>{110,0,8},</v>
      </c>
      <c r="N16" s="1">
        <v>13</v>
      </c>
      <c r="O16" s="1">
        <v>2369.8778000000002</v>
      </c>
      <c r="P16" s="1">
        <v>1070.4971</v>
      </c>
      <c r="Q16" s="1">
        <v>190.32755</v>
      </c>
      <c r="R16" s="1">
        <v>0.65273258622446495</v>
      </c>
      <c r="S16" s="1">
        <v>0.29484572606603998</v>
      </c>
      <c r="T16" s="1">
        <v>1070.4971</v>
      </c>
      <c r="U16" s="1">
        <v>0.49896584128732502</v>
      </c>
      <c r="V16" s="1">
        <v>0.50712249539557197</v>
      </c>
      <c r="W16" s="1" t="s">
        <v>26</v>
      </c>
      <c r="X16" s="1" t="s">
        <v>26</v>
      </c>
      <c r="Y16" s="1">
        <v>633.47993365001105</v>
      </c>
      <c r="Z16" s="1">
        <v>84.284277076175997</v>
      </c>
      <c r="AA16" s="1">
        <v>0.65</v>
      </c>
      <c r="AB16" s="1">
        <v>0</v>
      </c>
      <c r="AC16" s="1" t="s">
        <v>27</v>
      </c>
      <c r="AD16" s="1" t="s">
        <v>28</v>
      </c>
      <c r="AE16" s="1">
        <v>1</v>
      </c>
      <c r="AF16" s="1" t="s">
        <v>26</v>
      </c>
      <c r="AG16" s="7">
        <v>45611</v>
      </c>
      <c r="AH16" s="8">
        <v>0.39263888888888887</v>
      </c>
    </row>
    <row r="17" spans="2:34">
      <c r="B17" s="23"/>
      <c r="C17" s="9">
        <v>0.63526000000000005</v>
      </c>
      <c r="D17" s="9">
        <v>0.32739000000000001</v>
      </c>
      <c r="E17" s="77">
        <v>245</v>
      </c>
      <c r="F17" s="77">
        <v>0</v>
      </c>
      <c r="G17" s="77">
        <v>15</v>
      </c>
      <c r="H17" s="77"/>
      <c r="I17" s="1">
        <v>113</v>
      </c>
      <c r="J17" s="1">
        <v>0</v>
      </c>
      <c r="K17" s="1">
        <v>5</v>
      </c>
      <c r="L17" s="1" t="str">
        <f t="shared" si="0"/>
        <v>{113,0,5},</v>
      </c>
      <c r="N17" s="1">
        <v>14</v>
      </c>
      <c r="O17" s="1">
        <v>2418.2698999999998</v>
      </c>
      <c r="P17" s="1">
        <v>1093.7342000000001</v>
      </c>
      <c r="Q17" s="1">
        <v>108.45829000000001</v>
      </c>
      <c r="R17" s="1">
        <v>0.66794504113050601</v>
      </c>
      <c r="S17" s="1">
        <v>0.30209793175064598</v>
      </c>
      <c r="T17" s="1">
        <v>1093.7342000000001</v>
      </c>
      <c r="U17" s="1">
        <v>0.50513067733011496</v>
      </c>
      <c r="V17" s="1">
        <v>0.51403570331272797</v>
      </c>
      <c r="W17" s="1" t="s">
        <v>26</v>
      </c>
      <c r="X17" s="1" t="s">
        <v>26</v>
      </c>
      <c r="Y17" s="1">
        <v>625.17686932498202</v>
      </c>
      <c r="Z17" s="1">
        <v>91.037859415940702</v>
      </c>
      <c r="AA17" s="1">
        <v>0.65</v>
      </c>
      <c r="AB17" s="1">
        <v>0</v>
      </c>
      <c r="AC17" s="1" t="s">
        <v>27</v>
      </c>
      <c r="AD17" s="1" t="s">
        <v>28</v>
      </c>
      <c r="AE17" s="1">
        <v>1</v>
      </c>
      <c r="AF17" s="1" t="s">
        <v>26</v>
      </c>
      <c r="AG17" s="7">
        <v>45611</v>
      </c>
      <c r="AH17" s="8">
        <v>0.3926736111111111</v>
      </c>
    </row>
    <row r="18" spans="2:34">
      <c r="B18" s="24"/>
      <c r="C18" s="9">
        <v>0.63861999999999997</v>
      </c>
      <c r="D18" s="9">
        <v>0.32923999999999998</v>
      </c>
      <c r="E18" s="77">
        <v>255</v>
      </c>
      <c r="F18" s="77">
        <v>0</v>
      </c>
      <c r="G18" s="77">
        <v>5</v>
      </c>
      <c r="H18" s="77"/>
      <c r="I18" s="1">
        <v>122</v>
      </c>
      <c r="J18" s="1">
        <v>0</v>
      </c>
      <c r="K18" s="1">
        <v>3</v>
      </c>
      <c r="L18" s="1" t="str">
        <f t="shared" si="0"/>
        <v>{122,0,3},</v>
      </c>
      <c r="N18" s="1">
        <v>15</v>
      </c>
      <c r="O18" s="1">
        <v>2599.3380999999999</v>
      </c>
      <c r="P18" s="1">
        <v>1176.5451</v>
      </c>
      <c r="Q18" s="1">
        <v>46.917046999999997</v>
      </c>
      <c r="R18" s="1">
        <v>0.67995655855674597</v>
      </c>
      <c r="S18" s="1">
        <v>0.30777048864201401</v>
      </c>
      <c r="T18" s="1">
        <v>1176.5451</v>
      </c>
      <c r="U18" s="1">
        <v>0.50996747502124895</v>
      </c>
      <c r="V18" s="1">
        <v>0.51936275672070198</v>
      </c>
      <c r="W18" s="1" t="s">
        <v>26</v>
      </c>
      <c r="X18" s="1" t="s">
        <v>26</v>
      </c>
      <c r="Y18" s="1">
        <v>620.77876185320702</v>
      </c>
      <c r="Z18" s="1">
        <v>96.360520985863801</v>
      </c>
      <c r="AA18" s="1">
        <v>0.67</v>
      </c>
      <c r="AB18" s="1">
        <v>0</v>
      </c>
      <c r="AC18" s="1" t="s">
        <v>27</v>
      </c>
      <c r="AD18" s="1" t="s">
        <v>28</v>
      </c>
      <c r="AE18" s="1">
        <v>1</v>
      </c>
      <c r="AF18" s="1" t="s">
        <v>26</v>
      </c>
      <c r="AG18" s="7">
        <v>45611</v>
      </c>
      <c r="AH18" s="8">
        <v>0.39270833333333333</v>
      </c>
    </row>
    <row r="19" spans="2:34">
      <c r="B19" s="25"/>
      <c r="C19" s="9">
        <v>0.6381</v>
      </c>
      <c r="D19" s="9">
        <v>0.33151000000000003</v>
      </c>
      <c r="E19" s="77">
        <v>255</v>
      </c>
      <c r="F19" s="77">
        <v>10</v>
      </c>
      <c r="G19" s="77">
        <v>0</v>
      </c>
      <c r="H19" s="77"/>
      <c r="I19" s="1">
        <v>122</v>
      </c>
      <c r="J19" s="1">
        <v>3</v>
      </c>
      <c r="K19" s="1">
        <v>0</v>
      </c>
      <c r="L19" s="1" t="str">
        <f t="shared" si="0"/>
        <v>{122,3,0},</v>
      </c>
      <c r="N19" s="1">
        <v>16</v>
      </c>
      <c r="O19" s="1">
        <v>2596.8006</v>
      </c>
      <c r="P19" s="1">
        <v>1214.5900999999999</v>
      </c>
      <c r="Q19" s="1">
        <v>6.1906477999999998</v>
      </c>
      <c r="R19" s="1">
        <v>0.68022141859439</v>
      </c>
      <c r="S19" s="1">
        <v>0.31815696624249901</v>
      </c>
      <c r="T19" s="1">
        <v>1214.5900999999999</v>
      </c>
      <c r="U19" s="1">
        <v>0.49856439953618198</v>
      </c>
      <c r="V19" s="1">
        <v>0.52468049096663605</v>
      </c>
      <c r="W19" s="1" t="s">
        <v>26</v>
      </c>
      <c r="X19" s="1" t="s">
        <v>26</v>
      </c>
      <c r="Y19" s="1">
        <v>615.66471052462805</v>
      </c>
      <c r="Z19" s="1">
        <v>99.564633801278603</v>
      </c>
      <c r="AA19" s="1">
        <v>0.7</v>
      </c>
      <c r="AB19" s="1">
        <v>0</v>
      </c>
      <c r="AC19" s="1" t="s">
        <v>27</v>
      </c>
      <c r="AD19" s="1" t="s">
        <v>28</v>
      </c>
      <c r="AE19" s="1">
        <v>1</v>
      </c>
      <c r="AF19" s="1" t="s">
        <v>26</v>
      </c>
      <c r="AG19" s="7">
        <v>45611</v>
      </c>
      <c r="AH19" s="8">
        <v>0.39274305555555555</v>
      </c>
    </row>
    <row r="20" spans="2:34">
      <c r="B20" s="26"/>
      <c r="C20" s="9">
        <v>0.63566</v>
      </c>
      <c r="D20" s="9">
        <v>0.33345000000000002</v>
      </c>
      <c r="E20" s="77">
        <v>255</v>
      </c>
      <c r="F20" s="77">
        <v>20</v>
      </c>
      <c r="G20" s="77">
        <v>0</v>
      </c>
      <c r="H20" s="77"/>
      <c r="I20" s="1">
        <v>121</v>
      </c>
      <c r="J20" s="1">
        <v>6</v>
      </c>
      <c r="K20" s="1">
        <v>0</v>
      </c>
      <c r="L20" s="1" t="str">
        <f t="shared" si="0"/>
        <v>{121,6,0},</v>
      </c>
      <c r="N20" s="1">
        <v>17</v>
      </c>
      <c r="O20" s="1">
        <v>2580.4029999999998</v>
      </c>
      <c r="P20" s="1">
        <v>1252.4992</v>
      </c>
      <c r="Q20" s="1">
        <v>15.511424999999999</v>
      </c>
      <c r="R20" s="1">
        <v>0.67051082639278403</v>
      </c>
      <c r="S20" s="1">
        <v>0.32545857125739702</v>
      </c>
      <c r="T20" s="1">
        <v>1252.4992</v>
      </c>
      <c r="U20" s="1">
        <v>0.481993416468189</v>
      </c>
      <c r="V20" s="1">
        <v>0.526397167107722</v>
      </c>
      <c r="W20" s="1" t="s">
        <v>26</v>
      </c>
      <c r="X20" s="1" t="s">
        <v>26</v>
      </c>
      <c r="Y20" s="1">
        <v>612.90555285555297</v>
      </c>
      <c r="Z20" s="1">
        <v>98.846022508120996</v>
      </c>
      <c r="AA20" s="1">
        <v>0.72</v>
      </c>
      <c r="AB20" s="1">
        <v>0</v>
      </c>
      <c r="AC20" s="1" t="s">
        <v>27</v>
      </c>
      <c r="AD20" s="1" t="s">
        <v>28</v>
      </c>
      <c r="AE20" s="1">
        <v>1</v>
      </c>
      <c r="AF20" s="1" t="s">
        <v>26</v>
      </c>
      <c r="AG20" s="7">
        <v>45611</v>
      </c>
      <c r="AH20" s="8">
        <v>0.39277777777777778</v>
      </c>
    </row>
    <row r="21" spans="2:34">
      <c r="B21" s="27"/>
      <c r="C21" s="9">
        <v>0.63202999999999998</v>
      </c>
      <c r="D21" s="9">
        <v>0.33633000000000002</v>
      </c>
      <c r="E21" s="77">
        <v>255</v>
      </c>
      <c r="F21" s="77">
        <v>30</v>
      </c>
      <c r="G21" s="77">
        <v>0</v>
      </c>
      <c r="H21" s="77"/>
      <c r="I21" s="1">
        <v>121</v>
      </c>
      <c r="J21" s="1">
        <v>10</v>
      </c>
      <c r="K21" s="1">
        <v>0</v>
      </c>
      <c r="L21" s="1" t="str">
        <f t="shared" si="0"/>
        <v>{121,10,0},</v>
      </c>
      <c r="N21" s="1">
        <v>18</v>
      </c>
      <c r="O21" s="1">
        <v>2588.7957999999999</v>
      </c>
      <c r="P21" s="1">
        <v>1318.0436999999999</v>
      </c>
      <c r="Q21" s="1">
        <v>28.208829000000001</v>
      </c>
      <c r="R21" s="1">
        <v>0.65788157693551896</v>
      </c>
      <c r="S21" s="1">
        <v>0.33494981250584799</v>
      </c>
      <c r="T21" s="1">
        <v>1318.0436999999999</v>
      </c>
      <c r="U21" s="1">
        <v>0.461377085673705</v>
      </c>
      <c r="V21" s="1">
        <v>0.52853110796429803</v>
      </c>
      <c r="W21" s="1" t="s">
        <v>26</v>
      </c>
      <c r="X21" s="1" t="s">
        <v>26</v>
      </c>
      <c r="Y21" s="1">
        <v>609.69880060554397</v>
      </c>
      <c r="Z21" s="1">
        <v>97.917966564262699</v>
      </c>
      <c r="AA21" s="1">
        <v>0.76</v>
      </c>
      <c r="AB21" s="1">
        <v>0</v>
      </c>
      <c r="AC21" s="1" t="s">
        <v>27</v>
      </c>
      <c r="AD21" s="1" t="s">
        <v>28</v>
      </c>
      <c r="AE21" s="1">
        <v>1</v>
      </c>
      <c r="AF21" s="1" t="s">
        <v>26</v>
      </c>
      <c r="AG21" s="7">
        <v>45611</v>
      </c>
      <c r="AH21" s="8">
        <v>0.39281250000000001</v>
      </c>
    </row>
    <row r="22" spans="2:34">
      <c r="B22" s="28"/>
      <c r="C22" s="9">
        <v>0.62716000000000005</v>
      </c>
      <c r="D22" s="9">
        <v>0.3402</v>
      </c>
      <c r="E22" s="77">
        <v>255</v>
      </c>
      <c r="F22" s="77">
        <v>40</v>
      </c>
      <c r="G22" s="77">
        <v>0</v>
      </c>
      <c r="H22" s="77"/>
      <c r="I22" s="1">
        <v>132</v>
      </c>
      <c r="J22" s="1">
        <v>14</v>
      </c>
      <c r="K22" s="1">
        <v>0</v>
      </c>
      <c r="L22" s="1" t="str">
        <f t="shared" si="0"/>
        <v>{132,14,0},</v>
      </c>
      <c r="N22" s="1">
        <v>19</v>
      </c>
      <c r="O22" s="1">
        <v>2828.7565</v>
      </c>
      <c r="P22" s="1">
        <v>1488.8869999999999</v>
      </c>
      <c r="Q22" s="1">
        <v>40.930731999999999</v>
      </c>
      <c r="R22" s="1">
        <v>0.64900959566816396</v>
      </c>
      <c r="S22" s="1">
        <v>0.34159955085055399</v>
      </c>
      <c r="T22" s="1">
        <v>1488.8869999999999</v>
      </c>
      <c r="U22" s="1">
        <v>0.44750213452055698</v>
      </c>
      <c r="V22" s="1">
        <v>0.52996086752599403</v>
      </c>
      <c r="W22" s="1" t="s">
        <v>26</v>
      </c>
      <c r="X22" s="1" t="s">
        <v>26</v>
      </c>
      <c r="Y22" s="1">
        <v>607.63347270639304</v>
      </c>
      <c r="Z22" s="1">
        <v>97.268068898747799</v>
      </c>
      <c r="AA22" s="1">
        <v>0.76</v>
      </c>
      <c r="AB22" s="1">
        <v>0</v>
      </c>
      <c r="AC22" s="1" t="s">
        <v>27</v>
      </c>
      <c r="AD22" s="1" t="s">
        <v>28</v>
      </c>
      <c r="AE22" s="1">
        <v>1</v>
      </c>
      <c r="AF22" s="1" t="s">
        <v>26</v>
      </c>
      <c r="AG22" s="7">
        <v>45611</v>
      </c>
      <c r="AH22" s="8">
        <v>0.39285879629629628</v>
      </c>
    </row>
    <row r="23" spans="2:34">
      <c r="B23" s="29"/>
      <c r="C23" s="9">
        <v>0.62105999999999995</v>
      </c>
      <c r="D23" s="9">
        <v>0.34504000000000001</v>
      </c>
      <c r="E23" s="77">
        <v>255</v>
      </c>
      <c r="F23" s="77">
        <v>50</v>
      </c>
      <c r="G23" s="77">
        <v>0</v>
      </c>
      <c r="H23" s="77"/>
      <c r="I23" s="1">
        <v>135</v>
      </c>
      <c r="J23" s="1">
        <v>15</v>
      </c>
      <c r="K23" s="1">
        <v>0</v>
      </c>
      <c r="L23" s="1" t="str">
        <f t="shared" si="0"/>
        <v>{135,15,0},</v>
      </c>
      <c r="N23" s="1">
        <v>20</v>
      </c>
      <c r="O23" s="1">
        <v>2892.8645000000001</v>
      </c>
      <c r="P23" s="1">
        <v>1532.8161</v>
      </c>
      <c r="Q23" s="1">
        <v>43.970205999999997</v>
      </c>
      <c r="R23" s="1">
        <v>0.64722382699710201</v>
      </c>
      <c r="S23" s="1">
        <v>0.34293866937935502</v>
      </c>
      <c r="T23" s="1">
        <v>1532.8161</v>
      </c>
      <c r="U23" s="1">
        <v>0.44476498477516602</v>
      </c>
      <c r="V23" s="1">
        <v>0.53024315210897899</v>
      </c>
      <c r="W23" s="1" t="s">
        <v>26</v>
      </c>
      <c r="X23" s="1" t="s">
        <v>26</v>
      </c>
      <c r="Y23" s="1">
        <v>607.23175120686096</v>
      </c>
      <c r="Z23" s="1">
        <v>97.1376868938641</v>
      </c>
      <c r="AA23" s="1">
        <v>0.79</v>
      </c>
      <c r="AB23" s="1">
        <v>0</v>
      </c>
      <c r="AC23" s="1" t="s">
        <v>27</v>
      </c>
      <c r="AD23" s="1" t="s">
        <v>28</v>
      </c>
      <c r="AE23" s="1">
        <v>1</v>
      </c>
      <c r="AF23" s="1" t="s">
        <v>26</v>
      </c>
      <c r="AG23" s="7">
        <v>45611</v>
      </c>
      <c r="AH23" s="8">
        <v>0.39288194444444446</v>
      </c>
    </row>
    <row r="24" spans="2:34">
      <c r="B24" s="30"/>
      <c r="C24" s="9">
        <v>0.61377999999999999</v>
      </c>
      <c r="D24" s="9">
        <v>0.35082000000000002</v>
      </c>
      <c r="E24" s="77">
        <v>255</v>
      </c>
      <c r="F24" s="77">
        <v>60</v>
      </c>
      <c r="G24" s="77">
        <v>0</v>
      </c>
      <c r="H24" s="77"/>
      <c r="I24" s="1">
        <v>138</v>
      </c>
      <c r="J24" s="1">
        <v>19</v>
      </c>
      <c r="K24" s="1">
        <v>0</v>
      </c>
      <c r="L24" s="1" t="str">
        <f t="shared" si="0"/>
        <v>{138,19,0},</v>
      </c>
      <c r="N24" s="1">
        <v>21</v>
      </c>
      <c r="O24" s="1">
        <v>2960.4713999999999</v>
      </c>
      <c r="P24" s="1">
        <v>1624.6958</v>
      </c>
      <c r="Q24" s="1">
        <v>56.561920999999998</v>
      </c>
      <c r="R24" s="1">
        <v>0.63779495158524102</v>
      </c>
      <c r="S24" s="1">
        <v>0.350019520236455</v>
      </c>
      <c r="T24" s="1">
        <v>1624.6958</v>
      </c>
      <c r="U24" s="1">
        <v>0.43060471820395702</v>
      </c>
      <c r="V24" s="1">
        <v>0.53170713742880404</v>
      </c>
      <c r="W24" s="1" t="s">
        <v>26</v>
      </c>
      <c r="X24" s="1" t="s">
        <v>26</v>
      </c>
      <c r="Y24" s="1">
        <v>605.20393018482901</v>
      </c>
      <c r="Z24" s="1">
        <v>96.4503261101042</v>
      </c>
      <c r="AA24" s="1">
        <v>0.81</v>
      </c>
      <c r="AB24" s="1">
        <v>0</v>
      </c>
      <c r="AC24" s="1" t="s">
        <v>27</v>
      </c>
      <c r="AD24" s="1" t="s">
        <v>28</v>
      </c>
      <c r="AE24" s="1">
        <v>1</v>
      </c>
      <c r="AF24" s="1" t="s">
        <v>26</v>
      </c>
      <c r="AG24" s="7">
        <v>45611</v>
      </c>
      <c r="AH24" s="8">
        <v>0.39291666666666669</v>
      </c>
    </row>
    <row r="25" spans="2:34">
      <c r="B25" s="31"/>
      <c r="C25" s="9">
        <v>0.60541</v>
      </c>
      <c r="D25" s="9">
        <v>0.35747000000000001</v>
      </c>
      <c r="E25" s="77">
        <v>255</v>
      </c>
      <c r="F25" s="77">
        <v>70</v>
      </c>
      <c r="G25" s="77">
        <v>0</v>
      </c>
      <c r="H25" s="77"/>
      <c r="I25" s="1">
        <v>140</v>
      </c>
      <c r="J25" s="1">
        <v>23</v>
      </c>
      <c r="K25" s="1">
        <v>0</v>
      </c>
      <c r="L25" s="1" t="str">
        <f t="shared" si="0"/>
        <v>{140,23,0},</v>
      </c>
      <c r="N25" s="1">
        <v>22</v>
      </c>
      <c r="O25" s="1">
        <v>3008.6505999999999</v>
      </c>
      <c r="P25" s="1">
        <v>1708.3788999999999</v>
      </c>
      <c r="Q25" s="1">
        <v>69.262955000000005</v>
      </c>
      <c r="R25" s="1">
        <v>0.62859731792131002</v>
      </c>
      <c r="S25" s="1">
        <v>0.35693157408618897</v>
      </c>
      <c r="T25" s="1">
        <v>1708.3788999999999</v>
      </c>
      <c r="U25" s="1">
        <v>0.41725785631675</v>
      </c>
      <c r="V25" s="1">
        <v>0.53308870913067297</v>
      </c>
      <c r="W25" s="1" t="s">
        <v>26</v>
      </c>
      <c r="X25" s="1" t="s">
        <v>26</v>
      </c>
      <c r="Y25" s="1">
        <v>603.35810237864598</v>
      </c>
      <c r="Z25" s="1">
        <v>95.776142253134395</v>
      </c>
      <c r="AA25" s="1">
        <v>0.83</v>
      </c>
      <c r="AB25" s="1">
        <v>0</v>
      </c>
      <c r="AC25" s="1" t="s">
        <v>27</v>
      </c>
      <c r="AD25" s="1" t="s">
        <v>28</v>
      </c>
      <c r="AE25" s="1">
        <v>1</v>
      </c>
      <c r="AF25" s="1" t="s">
        <v>26</v>
      </c>
      <c r="AG25" s="7">
        <v>45611</v>
      </c>
      <c r="AH25" s="8">
        <v>0.39295138888888886</v>
      </c>
    </row>
    <row r="26" spans="2:34">
      <c r="B26" s="32"/>
      <c r="C26" s="9">
        <v>0.59606999999999999</v>
      </c>
      <c r="D26" s="9">
        <v>0.36487999999999998</v>
      </c>
      <c r="E26" s="77">
        <v>255</v>
      </c>
      <c r="F26" s="77">
        <v>80</v>
      </c>
      <c r="G26" s="77">
        <v>0</v>
      </c>
      <c r="H26" s="77"/>
      <c r="I26" s="1">
        <v>142</v>
      </c>
      <c r="J26" s="1">
        <v>28</v>
      </c>
      <c r="K26" s="1">
        <v>0</v>
      </c>
      <c r="L26" s="1" t="str">
        <f t="shared" si="0"/>
        <v>{142,28,0},</v>
      </c>
      <c r="N26" s="1">
        <v>23</v>
      </c>
      <c r="O26" s="1">
        <v>3068.2518</v>
      </c>
      <c r="P26" s="1">
        <v>1813.3862999999999</v>
      </c>
      <c r="Q26" s="1">
        <v>85.284280999999993</v>
      </c>
      <c r="R26" s="1">
        <v>0.61773701391771396</v>
      </c>
      <c r="S26" s="1">
        <v>0.36509253837683397</v>
      </c>
      <c r="T26" s="1">
        <v>1813.3862999999999</v>
      </c>
      <c r="U26" s="1">
        <v>0.40206544639196501</v>
      </c>
      <c r="V26" s="1">
        <v>0.53466111791372195</v>
      </c>
      <c r="W26" s="1" t="s">
        <v>26</v>
      </c>
      <c r="X26" s="1" t="s">
        <v>26</v>
      </c>
      <c r="Y26" s="1">
        <v>601.29013064199296</v>
      </c>
      <c r="Z26" s="1">
        <v>94.976455430789898</v>
      </c>
      <c r="AA26" s="1">
        <v>0.84</v>
      </c>
      <c r="AB26" s="1">
        <v>0</v>
      </c>
      <c r="AC26" s="1" t="s">
        <v>27</v>
      </c>
      <c r="AD26" s="1" t="s">
        <v>28</v>
      </c>
      <c r="AE26" s="1">
        <v>1</v>
      </c>
      <c r="AF26" s="1" t="s">
        <v>26</v>
      </c>
      <c r="AG26" s="7">
        <v>45611</v>
      </c>
      <c r="AH26" s="8">
        <v>0.39299768518518519</v>
      </c>
    </row>
    <row r="27" spans="2:34">
      <c r="B27" s="33"/>
      <c r="C27" s="9">
        <v>0.58592999999999995</v>
      </c>
      <c r="D27" s="9">
        <v>0.37293999999999999</v>
      </c>
      <c r="E27" s="77">
        <v>255</v>
      </c>
      <c r="F27" s="77">
        <v>90</v>
      </c>
      <c r="G27" s="77">
        <v>0</v>
      </c>
      <c r="H27" s="77"/>
      <c r="I27" s="1">
        <v>143</v>
      </c>
      <c r="J27" s="1">
        <v>33</v>
      </c>
      <c r="K27" s="1">
        <v>0</v>
      </c>
      <c r="L27" s="1" t="str">
        <f t="shared" si="0"/>
        <v>{143,33,0},</v>
      </c>
      <c r="N27" s="1">
        <v>24</v>
      </c>
      <c r="O27" s="1">
        <v>3098.4234000000001</v>
      </c>
      <c r="P27" s="1">
        <v>1904.1005</v>
      </c>
      <c r="Q27" s="1">
        <v>101.10509999999999</v>
      </c>
      <c r="R27" s="1">
        <v>0.60710200525939495</v>
      </c>
      <c r="S27" s="1">
        <v>0.37308756181140901</v>
      </c>
      <c r="T27" s="1">
        <v>1904.1005</v>
      </c>
      <c r="U27" s="1">
        <v>0.38774827570548798</v>
      </c>
      <c r="V27" s="1">
        <v>0.53614405723283498</v>
      </c>
      <c r="W27" s="1" t="s">
        <v>26</v>
      </c>
      <c r="X27" s="1" t="s">
        <v>26</v>
      </c>
      <c r="Y27" s="1">
        <v>599.33423455135403</v>
      </c>
      <c r="Z27" s="1">
        <v>94.194320446850995</v>
      </c>
      <c r="AA27" s="1">
        <v>0.84</v>
      </c>
      <c r="AB27" s="1">
        <v>0</v>
      </c>
      <c r="AC27" s="1" t="s">
        <v>27</v>
      </c>
      <c r="AD27" s="1" t="s">
        <v>28</v>
      </c>
      <c r="AE27" s="1">
        <v>1</v>
      </c>
      <c r="AF27" s="1" t="s">
        <v>26</v>
      </c>
      <c r="AG27" s="7">
        <v>45611</v>
      </c>
      <c r="AH27" s="8">
        <v>0.39302083333333332</v>
      </c>
    </row>
    <row r="28" spans="2:34">
      <c r="B28" s="34"/>
      <c r="C28" s="9">
        <v>0.57515000000000005</v>
      </c>
      <c r="D28" s="9">
        <v>0.38150000000000001</v>
      </c>
      <c r="E28" s="77">
        <v>255</v>
      </c>
      <c r="F28" s="77">
        <v>100</v>
      </c>
      <c r="G28" s="77">
        <v>0</v>
      </c>
      <c r="H28" s="77"/>
      <c r="I28" s="1">
        <v>144</v>
      </c>
      <c r="J28" s="1">
        <v>38</v>
      </c>
      <c r="K28" s="1">
        <v>0</v>
      </c>
      <c r="L28" s="1" t="str">
        <f t="shared" si="0"/>
        <v>{144,38,0},</v>
      </c>
      <c r="N28" s="1">
        <v>25</v>
      </c>
      <c r="O28" s="1">
        <v>3128.6685000000002</v>
      </c>
      <c r="P28" s="1">
        <v>1994.7908</v>
      </c>
      <c r="Q28" s="1">
        <v>116.88763</v>
      </c>
      <c r="R28" s="1">
        <v>0.597034612744618</v>
      </c>
      <c r="S28" s="1">
        <v>0.38066006442821498</v>
      </c>
      <c r="T28" s="1">
        <v>1994.7908</v>
      </c>
      <c r="U28" s="1">
        <v>0.37467745100828598</v>
      </c>
      <c r="V28" s="1">
        <v>0.53749927406411202</v>
      </c>
      <c r="W28" s="1" t="s">
        <v>26</v>
      </c>
      <c r="X28" s="1" t="s">
        <v>26</v>
      </c>
      <c r="Y28" s="1">
        <v>597.52886321294295</v>
      </c>
      <c r="Z28" s="1">
        <v>93.4557745299565</v>
      </c>
      <c r="AA28" s="1">
        <v>0.88</v>
      </c>
      <c r="AB28" s="1">
        <v>0</v>
      </c>
      <c r="AC28" s="1" t="s">
        <v>27</v>
      </c>
      <c r="AD28" s="1" t="s">
        <v>28</v>
      </c>
      <c r="AE28" s="1">
        <v>1</v>
      </c>
      <c r="AF28" s="1" t="s">
        <v>26</v>
      </c>
      <c r="AG28" s="7">
        <v>45611</v>
      </c>
      <c r="AH28" s="8">
        <v>0.39305555555555555</v>
      </c>
    </row>
    <row r="29" spans="2:34">
      <c r="B29" s="35"/>
      <c r="C29" s="9">
        <v>0.56120000000000003</v>
      </c>
      <c r="D29" s="9">
        <v>0.39256999999999997</v>
      </c>
      <c r="E29" s="77">
        <v>250</v>
      </c>
      <c r="F29" s="77">
        <v>110</v>
      </c>
      <c r="G29" s="77">
        <v>0</v>
      </c>
      <c r="H29" s="77"/>
      <c r="I29" s="1">
        <v>141</v>
      </c>
      <c r="J29" s="1">
        <v>44</v>
      </c>
      <c r="K29" s="1">
        <v>0</v>
      </c>
      <c r="L29" s="1" t="str">
        <f t="shared" si="0"/>
        <v>{141,44,0},</v>
      </c>
      <c r="N29" s="1">
        <v>26</v>
      </c>
      <c r="O29" s="1">
        <v>3080.0587999999998</v>
      </c>
      <c r="P29" s="1">
        <v>2065.1100999999999</v>
      </c>
      <c r="Q29" s="1">
        <v>135.82748000000001</v>
      </c>
      <c r="R29" s="1">
        <v>0.58323440850379804</v>
      </c>
      <c r="S29" s="1">
        <v>0.39104554356842802</v>
      </c>
      <c r="T29" s="1">
        <v>2065.1100999999999</v>
      </c>
      <c r="U29" s="1">
        <v>0.35747929141833101</v>
      </c>
      <c r="V29" s="1">
        <v>0.53928409233937002</v>
      </c>
      <c r="W29" s="1" t="s">
        <v>26</v>
      </c>
      <c r="X29" s="1" t="s">
        <v>26</v>
      </c>
      <c r="Y29" s="1">
        <v>595.14566010548003</v>
      </c>
      <c r="Z29" s="1">
        <v>92.441629332724801</v>
      </c>
      <c r="AA29" s="1">
        <v>0.89</v>
      </c>
      <c r="AB29" s="1">
        <v>0</v>
      </c>
      <c r="AC29" s="1" t="s">
        <v>27</v>
      </c>
      <c r="AD29" s="1" t="s">
        <v>28</v>
      </c>
      <c r="AE29" s="1">
        <v>1</v>
      </c>
      <c r="AF29" s="1" t="s">
        <v>26</v>
      </c>
      <c r="AG29" s="7">
        <v>45611</v>
      </c>
      <c r="AH29" s="8">
        <v>0.39309027777777777</v>
      </c>
    </row>
    <row r="30" spans="2:34">
      <c r="B30" s="36"/>
      <c r="C30" s="9">
        <v>0.54308999999999996</v>
      </c>
      <c r="D30" s="9">
        <v>0.40695999999999999</v>
      </c>
      <c r="E30" s="77">
        <v>240</v>
      </c>
      <c r="F30" s="77">
        <v>120</v>
      </c>
      <c r="G30" s="77">
        <v>0</v>
      </c>
      <c r="H30" s="77"/>
      <c r="I30" s="1">
        <v>134</v>
      </c>
      <c r="J30" s="1">
        <v>52</v>
      </c>
      <c r="K30" s="1">
        <v>0</v>
      </c>
      <c r="L30" s="1" t="str">
        <f t="shared" si="0"/>
        <v>{134,52,0},</v>
      </c>
      <c r="N30" s="1">
        <v>27</v>
      </c>
      <c r="O30" s="1">
        <v>2951.6956</v>
      </c>
      <c r="P30" s="1">
        <v>2129.8636999999999</v>
      </c>
      <c r="Q30" s="1">
        <v>161.07183000000001</v>
      </c>
      <c r="R30" s="1">
        <v>0.56301798215584198</v>
      </c>
      <c r="S30" s="1">
        <v>0.406258545983188</v>
      </c>
      <c r="T30" s="1">
        <v>2129.8636999999999</v>
      </c>
      <c r="U30" s="1">
        <v>0.33368642899433298</v>
      </c>
      <c r="V30" s="1">
        <v>0.54175297671945899</v>
      </c>
      <c r="W30" s="1">
        <v>1698.44586542051</v>
      </c>
      <c r="X30" s="1">
        <v>6.9760694824669604E-4</v>
      </c>
      <c r="Y30" s="1">
        <v>591.86777159155895</v>
      </c>
      <c r="Z30" s="1">
        <v>90.9446433381557</v>
      </c>
      <c r="AA30" s="1">
        <v>0.87</v>
      </c>
      <c r="AB30" s="1">
        <v>0</v>
      </c>
      <c r="AC30" s="1" t="s">
        <v>27</v>
      </c>
      <c r="AD30" s="1" t="s">
        <v>28</v>
      </c>
      <c r="AE30" s="1">
        <v>1</v>
      </c>
      <c r="AF30" s="1" t="s">
        <v>26</v>
      </c>
      <c r="AG30" s="7">
        <v>45611</v>
      </c>
      <c r="AH30" s="8">
        <v>0.3931365740740741</v>
      </c>
    </row>
    <row r="31" spans="2:34">
      <c r="B31" s="37"/>
      <c r="C31" s="9">
        <v>0.56120000000000003</v>
      </c>
      <c r="D31" s="9">
        <v>0.39256999999999997</v>
      </c>
      <c r="E31" s="77">
        <v>230</v>
      </c>
      <c r="F31" s="77">
        <v>130</v>
      </c>
      <c r="G31" s="77">
        <v>0</v>
      </c>
      <c r="H31" s="77"/>
      <c r="I31" s="1">
        <v>126</v>
      </c>
      <c r="J31" s="1">
        <v>59</v>
      </c>
      <c r="K31" s="1">
        <v>0</v>
      </c>
      <c r="L31" s="1" t="str">
        <f t="shared" si="0"/>
        <v>{126,59,0},</v>
      </c>
      <c r="N31" s="1">
        <v>28</v>
      </c>
      <c r="O31" s="1">
        <v>2801.7646</v>
      </c>
      <c r="P31" s="1">
        <v>2170.8227000000002</v>
      </c>
      <c r="Q31" s="1">
        <v>183.40897000000001</v>
      </c>
      <c r="R31" s="1">
        <v>0.54339926820777196</v>
      </c>
      <c r="S31" s="1">
        <v>0.421028756873015</v>
      </c>
      <c r="T31" s="1">
        <v>2170.8227000000002</v>
      </c>
      <c r="U31" s="1">
        <v>0.312049752084474</v>
      </c>
      <c r="V31" s="1">
        <v>0.54400021402486298</v>
      </c>
      <c r="W31" s="1">
        <v>1915.43898800696</v>
      </c>
      <c r="X31" s="1">
        <v>3.0509524670839202E-3</v>
      </c>
      <c r="Y31" s="1">
        <v>588.79844516712501</v>
      </c>
      <c r="Z31" s="1">
        <v>89.502292473961901</v>
      </c>
      <c r="AA31" s="1">
        <v>0.9</v>
      </c>
      <c r="AB31" s="1">
        <v>0</v>
      </c>
      <c r="AC31" s="1" t="s">
        <v>27</v>
      </c>
      <c r="AD31" s="1" t="s">
        <v>28</v>
      </c>
      <c r="AE31" s="1">
        <v>1</v>
      </c>
      <c r="AF31" s="1" t="s">
        <v>26</v>
      </c>
      <c r="AG31" s="7">
        <v>45611</v>
      </c>
      <c r="AH31" s="8">
        <v>0.39317129629629627</v>
      </c>
    </row>
    <row r="32" spans="2:34">
      <c r="B32" s="38"/>
      <c r="C32" s="9">
        <v>0.49839</v>
      </c>
      <c r="D32" s="9">
        <v>0.44245000000000001</v>
      </c>
      <c r="E32" s="77">
        <v>215</v>
      </c>
      <c r="F32" s="77">
        <v>140</v>
      </c>
      <c r="G32" s="77">
        <v>0</v>
      </c>
      <c r="H32" s="77"/>
      <c r="I32" s="1">
        <v>115</v>
      </c>
      <c r="J32" s="1">
        <v>67</v>
      </c>
      <c r="K32" s="1">
        <v>0</v>
      </c>
      <c r="L32" s="1" t="str">
        <f t="shared" si="0"/>
        <v>{115,67,0},</v>
      </c>
      <c r="N32" s="1">
        <v>29</v>
      </c>
      <c r="O32" s="1">
        <v>2590.2231999999999</v>
      </c>
      <c r="P32" s="1">
        <v>2198.1905999999999</v>
      </c>
      <c r="Q32" s="1">
        <v>208.73817</v>
      </c>
      <c r="R32" s="1">
        <v>0.51833988951110499</v>
      </c>
      <c r="S32" s="1">
        <v>0.43988868323330199</v>
      </c>
      <c r="T32" s="1">
        <v>2198.1905999999999</v>
      </c>
      <c r="U32" s="1">
        <v>0.28629715805272998</v>
      </c>
      <c r="V32" s="1">
        <v>0.54667311052036205</v>
      </c>
      <c r="W32" s="1">
        <v>2240.0614645097198</v>
      </c>
      <c r="X32" s="1">
        <v>7.5711070022295296E-3</v>
      </c>
      <c r="Y32" s="1">
        <v>584.93147263433195</v>
      </c>
      <c r="Z32" s="1">
        <v>87.674159010658897</v>
      </c>
      <c r="AA32" s="1">
        <v>0.91</v>
      </c>
      <c r="AB32" s="1">
        <v>0</v>
      </c>
      <c r="AC32" s="1" t="s">
        <v>27</v>
      </c>
      <c r="AD32" s="1" t="s">
        <v>28</v>
      </c>
      <c r="AE32" s="1">
        <v>1</v>
      </c>
      <c r="AF32" s="1" t="s">
        <v>26</v>
      </c>
      <c r="AG32" s="7">
        <v>45611</v>
      </c>
      <c r="AH32" s="8">
        <v>0.39319444444444446</v>
      </c>
    </row>
    <row r="33" spans="2:34">
      <c r="B33" s="39"/>
      <c r="C33" s="9">
        <v>0.48131000000000002</v>
      </c>
      <c r="D33" s="9">
        <v>0.45601999999999998</v>
      </c>
      <c r="E33" s="77">
        <v>210</v>
      </c>
      <c r="F33" s="77">
        <v>150</v>
      </c>
      <c r="G33" s="77">
        <v>0</v>
      </c>
      <c r="H33" s="77"/>
      <c r="I33" s="1">
        <v>110</v>
      </c>
      <c r="J33" s="1">
        <v>75</v>
      </c>
      <c r="K33" s="1">
        <v>0</v>
      </c>
      <c r="L33" s="1" t="str">
        <f t="shared" si="0"/>
        <v>{110,75,0},</v>
      </c>
      <c r="N33" s="1">
        <v>30</v>
      </c>
      <c r="O33" s="1">
        <v>2500.3189000000002</v>
      </c>
      <c r="P33" s="1">
        <v>2278.8247999999999</v>
      </c>
      <c r="Q33" s="1">
        <v>233.61156</v>
      </c>
      <c r="R33" s="1">
        <v>0.49879133736124198</v>
      </c>
      <c r="S33" s="1">
        <v>0.45460523839737599</v>
      </c>
      <c r="T33" s="1">
        <v>2278.8247999999999</v>
      </c>
      <c r="U33" s="1">
        <v>0.26753163177714401</v>
      </c>
      <c r="V33" s="1">
        <v>0.54862196333275903</v>
      </c>
      <c r="W33" s="1">
        <v>2533.8682202003401</v>
      </c>
      <c r="X33" s="1">
        <v>1.2430940421102101E-2</v>
      </c>
      <c r="Y33" s="1">
        <v>581.93586978946996</v>
      </c>
      <c r="Z33" s="1">
        <v>86.245071303146105</v>
      </c>
      <c r="AA33" s="1">
        <v>0.93</v>
      </c>
      <c r="AB33" s="1">
        <v>0</v>
      </c>
      <c r="AC33" s="1" t="s">
        <v>27</v>
      </c>
      <c r="AD33" s="1" t="s">
        <v>28</v>
      </c>
      <c r="AE33" s="1">
        <v>1</v>
      </c>
      <c r="AF33" s="1" t="s">
        <v>26</v>
      </c>
      <c r="AG33" s="7">
        <v>45611</v>
      </c>
      <c r="AH33" s="8">
        <v>0.39322916666666669</v>
      </c>
    </row>
    <row r="34" spans="2:34">
      <c r="B34" s="40"/>
      <c r="C34" s="9">
        <v>0.46465000000000001</v>
      </c>
      <c r="D34" s="9">
        <v>0.46925</v>
      </c>
      <c r="E34" s="77">
        <v>205</v>
      </c>
      <c r="F34" s="77">
        <v>160</v>
      </c>
      <c r="G34" s="77">
        <v>0</v>
      </c>
      <c r="H34" s="77"/>
      <c r="I34" s="1">
        <v>105</v>
      </c>
      <c r="J34" s="1">
        <v>82</v>
      </c>
      <c r="K34" s="1">
        <v>0</v>
      </c>
      <c r="L34" s="1" t="str">
        <f t="shared" si="0"/>
        <v>{105,82,0},</v>
      </c>
      <c r="N34" s="1">
        <v>31</v>
      </c>
      <c r="O34" s="1">
        <v>2420.3506000000002</v>
      </c>
      <c r="P34" s="1">
        <v>2353.2204000000002</v>
      </c>
      <c r="Q34" s="1">
        <v>256.28541999999999</v>
      </c>
      <c r="R34" s="1">
        <v>0.48119675750108198</v>
      </c>
      <c r="S34" s="1">
        <v>0.46785041231852897</v>
      </c>
      <c r="T34" s="1">
        <v>2353.2204000000002</v>
      </c>
      <c r="U34" s="1">
        <v>0.25154658434844901</v>
      </c>
      <c r="V34" s="1">
        <v>0.55028194929195495</v>
      </c>
      <c r="W34" s="1">
        <v>2827.0478754333099</v>
      </c>
      <c r="X34" s="1">
        <v>1.7836646541154199E-2</v>
      </c>
      <c r="Y34" s="1">
        <v>579.23235345692899</v>
      </c>
      <c r="Z34" s="1">
        <v>84.953397952657895</v>
      </c>
      <c r="AA34" s="1">
        <v>0.94</v>
      </c>
      <c r="AB34" s="1">
        <v>0</v>
      </c>
      <c r="AC34" s="1" t="s">
        <v>27</v>
      </c>
      <c r="AD34" s="1" t="s">
        <v>28</v>
      </c>
      <c r="AE34" s="1">
        <v>1</v>
      </c>
      <c r="AF34" s="1" t="s">
        <v>26</v>
      </c>
      <c r="AG34" s="7">
        <v>45611</v>
      </c>
      <c r="AH34" s="8">
        <v>0.39327546296296295</v>
      </c>
    </row>
    <row r="35" spans="2:34">
      <c r="B35" s="41"/>
      <c r="C35" s="9">
        <v>0.43314999999999998</v>
      </c>
      <c r="D35" s="9">
        <v>0.49425999999999998</v>
      </c>
      <c r="E35" s="77">
        <v>200</v>
      </c>
      <c r="F35" s="77">
        <v>185</v>
      </c>
      <c r="G35" s="77">
        <v>0</v>
      </c>
      <c r="H35" s="77"/>
      <c r="I35" s="1">
        <v>95</v>
      </c>
      <c r="J35" s="1">
        <v>99</v>
      </c>
      <c r="K35" s="1">
        <v>0</v>
      </c>
      <c r="L35" s="1" t="str">
        <f t="shared" si="0"/>
        <v>{95,99,0},</v>
      </c>
      <c r="N35" s="1">
        <v>32</v>
      </c>
      <c r="O35" s="1">
        <v>2251.422</v>
      </c>
      <c r="P35" s="1">
        <v>2539.8424</v>
      </c>
      <c r="Q35" s="1">
        <v>310.1816</v>
      </c>
      <c r="R35" s="1">
        <v>0.44133016403584402</v>
      </c>
      <c r="S35" s="1">
        <v>0.497867153744252</v>
      </c>
      <c r="T35" s="1">
        <v>2539.8424</v>
      </c>
      <c r="U35" s="1">
        <v>0.21816314569771</v>
      </c>
      <c r="V35" s="1">
        <v>0.55375003753669805</v>
      </c>
      <c r="W35" s="1">
        <v>3558.5293458318001</v>
      </c>
      <c r="X35" s="1">
        <v>3.3266996694969603E-2</v>
      </c>
      <c r="Y35" s="1">
        <v>573.00128724673596</v>
      </c>
      <c r="Z35" s="1">
        <v>82.025837854177098</v>
      </c>
      <c r="AA35" s="1">
        <v>0.97</v>
      </c>
      <c r="AB35" s="1">
        <v>0</v>
      </c>
      <c r="AC35" s="1" t="s">
        <v>27</v>
      </c>
      <c r="AD35" s="1" t="s">
        <v>28</v>
      </c>
      <c r="AE35" s="1">
        <v>1</v>
      </c>
      <c r="AF35" s="1" t="s">
        <v>26</v>
      </c>
      <c r="AG35" s="7">
        <v>45611</v>
      </c>
      <c r="AH35" s="8">
        <v>0.39329861111111108</v>
      </c>
    </row>
    <row r="36" spans="2:34">
      <c r="B36" s="42"/>
      <c r="C36" s="9">
        <v>0.41496</v>
      </c>
      <c r="D36" s="9">
        <v>0.50870000000000004</v>
      </c>
      <c r="E36" s="77">
        <v>195</v>
      </c>
      <c r="F36" s="77">
        <v>200</v>
      </c>
      <c r="G36" s="77">
        <v>0</v>
      </c>
      <c r="H36" s="77"/>
      <c r="I36" s="1">
        <v>89</v>
      </c>
      <c r="J36" s="1">
        <v>108</v>
      </c>
      <c r="K36" s="1">
        <v>0</v>
      </c>
      <c r="L36" s="1" t="str">
        <f t="shared" si="0"/>
        <v>{89,108,0},</v>
      </c>
      <c r="N36" s="1">
        <v>33</v>
      </c>
      <c r="O36" s="1">
        <v>2148.3721</v>
      </c>
      <c r="P36" s="1">
        <v>2629.9674</v>
      </c>
      <c r="Q36" s="1">
        <v>338.19767999999999</v>
      </c>
      <c r="R36" s="1">
        <v>0.41988790942392801</v>
      </c>
      <c r="S36" s="1">
        <v>0.51401315137125603</v>
      </c>
      <c r="T36" s="1">
        <v>2629.9674</v>
      </c>
      <c r="U36" s="1">
        <v>0.20166601846292101</v>
      </c>
      <c r="V36" s="1">
        <v>0.55546423827226099</v>
      </c>
      <c r="W36" s="1">
        <v>3965.34510313589</v>
      </c>
      <c r="X36" s="1">
        <v>4.2881121126017802E-2</v>
      </c>
      <c r="Y36" s="1">
        <v>569.54537615093295</v>
      </c>
      <c r="Z36" s="1">
        <v>80.472718383850605</v>
      </c>
      <c r="AA36" s="1">
        <v>1</v>
      </c>
      <c r="AB36" s="1">
        <v>0</v>
      </c>
      <c r="AC36" s="1" t="s">
        <v>27</v>
      </c>
      <c r="AD36" s="1" t="s">
        <v>28</v>
      </c>
      <c r="AE36" s="1">
        <v>1</v>
      </c>
      <c r="AF36" s="1" t="s">
        <v>26</v>
      </c>
      <c r="AG36" s="7">
        <v>45611</v>
      </c>
      <c r="AH36" s="8">
        <v>0.39333333333333331</v>
      </c>
    </row>
    <row r="37" spans="2:34">
      <c r="B37" s="43"/>
      <c r="C37" s="9">
        <v>0.39118999999999998</v>
      </c>
      <c r="D37" s="9">
        <v>0.52758000000000005</v>
      </c>
      <c r="E37" s="77">
        <v>185</v>
      </c>
      <c r="F37" s="77">
        <v>220</v>
      </c>
      <c r="G37" s="77">
        <v>0</v>
      </c>
      <c r="H37" s="77"/>
      <c r="I37" s="1">
        <v>79</v>
      </c>
      <c r="J37" s="1">
        <v>122</v>
      </c>
      <c r="K37" s="1">
        <v>0</v>
      </c>
      <c r="L37" s="1" t="str">
        <f t="shared" si="0"/>
        <v>{79,122,0},</v>
      </c>
      <c r="N37" s="1">
        <v>34</v>
      </c>
      <c r="O37" s="1">
        <v>1974.1349</v>
      </c>
      <c r="P37" s="1">
        <v>2768.9025999999999</v>
      </c>
      <c r="Q37" s="1">
        <v>382.76830000000001</v>
      </c>
      <c r="R37" s="1">
        <v>0.38513649892861701</v>
      </c>
      <c r="S37" s="1">
        <v>0.54018874456773203</v>
      </c>
      <c r="T37" s="1">
        <v>2768.9025999999999</v>
      </c>
      <c r="U37" s="1">
        <v>0.17683051211050799</v>
      </c>
      <c r="V37" s="1">
        <v>0.55804674020491996</v>
      </c>
      <c r="W37" s="1">
        <v>4612.1388573023596</v>
      </c>
      <c r="X37" s="1">
        <v>5.94192389055858E-2</v>
      </c>
      <c r="Y37" s="1">
        <v>563.72974476423997</v>
      </c>
      <c r="Z37" s="1">
        <v>78.023371713985</v>
      </c>
      <c r="AA37" s="1">
        <v>0.99</v>
      </c>
      <c r="AB37" s="1">
        <v>0</v>
      </c>
      <c r="AC37" s="1" t="s">
        <v>27</v>
      </c>
      <c r="AD37" s="1" t="s">
        <v>28</v>
      </c>
      <c r="AE37" s="1">
        <v>1</v>
      </c>
      <c r="AF37" s="1" t="s">
        <v>26</v>
      </c>
      <c r="AG37" s="7">
        <v>45611</v>
      </c>
      <c r="AH37" s="8">
        <v>0.39336805555555554</v>
      </c>
    </row>
    <row r="38" spans="2:34">
      <c r="B38" s="44"/>
      <c r="C38" s="9">
        <v>0.37417</v>
      </c>
      <c r="D38" s="9">
        <v>0.54110000000000003</v>
      </c>
      <c r="E38" s="77">
        <v>175</v>
      </c>
      <c r="F38" s="77">
        <v>235</v>
      </c>
      <c r="G38" s="77">
        <v>0</v>
      </c>
      <c r="H38" s="77"/>
      <c r="I38" s="1">
        <v>71</v>
      </c>
      <c r="J38" s="1">
        <v>130</v>
      </c>
      <c r="K38" s="1">
        <v>0</v>
      </c>
      <c r="L38" s="1" t="str">
        <f t="shared" si="0"/>
        <v>{71,130,0},</v>
      </c>
      <c r="N38" s="1">
        <v>35</v>
      </c>
      <c r="O38" s="1">
        <v>1825.0572999999999</v>
      </c>
      <c r="P38" s="1">
        <v>2822.5545000000002</v>
      </c>
      <c r="Q38" s="1">
        <v>407.5428</v>
      </c>
      <c r="R38" s="1">
        <v>0.36102897822353403</v>
      </c>
      <c r="S38" s="1">
        <v>0.55835176633371397</v>
      </c>
      <c r="T38" s="1">
        <v>2822.5545000000002</v>
      </c>
      <c r="U38" s="1">
        <v>0.160847589240905</v>
      </c>
      <c r="V38" s="1">
        <v>0.55970979396573095</v>
      </c>
      <c r="W38" s="1">
        <v>5043.1856633850302</v>
      </c>
      <c r="X38" s="1">
        <v>7.1123643077366294E-2</v>
      </c>
      <c r="Y38" s="1">
        <v>559.50250807341604</v>
      </c>
      <c r="Z38" s="1">
        <v>76.399356955689001</v>
      </c>
      <c r="AA38" s="1">
        <v>1</v>
      </c>
      <c r="AB38" s="1">
        <v>0</v>
      </c>
      <c r="AC38" s="1" t="s">
        <v>27</v>
      </c>
      <c r="AD38" s="1" t="s">
        <v>28</v>
      </c>
      <c r="AE38" s="1">
        <v>1</v>
      </c>
      <c r="AF38" s="1" t="s">
        <v>26</v>
      </c>
      <c r="AG38" s="7">
        <v>45611</v>
      </c>
      <c r="AH38" s="8">
        <v>0.39340277777777777</v>
      </c>
    </row>
    <row r="39" spans="2:34">
      <c r="B39" s="45"/>
      <c r="C39" s="6">
        <v>0.36137000000000002</v>
      </c>
      <c r="D39" s="9">
        <v>0.54945999999999995</v>
      </c>
      <c r="E39" s="77">
        <v>165</v>
      </c>
      <c r="F39" s="77">
        <v>245</v>
      </c>
      <c r="G39" s="77">
        <v>10</v>
      </c>
      <c r="H39" s="77"/>
      <c r="I39" s="1">
        <v>64</v>
      </c>
      <c r="J39" s="1">
        <v>135</v>
      </c>
      <c r="K39" s="1">
        <v>0</v>
      </c>
      <c r="L39" s="1" t="str">
        <f t="shared" si="0"/>
        <v>{64,135,0},</v>
      </c>
      <c r="N39" s="1">
        <v>36</v>
      </c>
      <c r="O39" s="1">
        <v>1690.1021000000001</v>
      </c>
      <c r="P39" s="1">
        <v>2837.2226000000001</v>
      </c>
      <c r="Q39" s="1">
        <v>423.04615000000001</v>
      </c>
      <c r="R39" s="1">
        <v>0.341409189576171</v>
      </c>
      <c r="S39" s="1">
        <v>0.57313334414127803</v>
      </c>
      <c r="T39" s="1">
        <v>2837.2226000000001</v>
      </c>
      <c r="U39" s="1">
        <v>0.14852302048648799</v>
      </c>
      <c r="V39" s="1">
        <v>0.56099211892298395</v>
      </c>
      <c r="W39" s="1">
        <v>5381.5510269423903</v>
      </c>
      <c r="X39" s="1">
        <v>8.0600751873490403E-2</v>
      </c>
      <c r="Y39" s="1">
        <v>555.93824246657198</v>
      </c>
      <c r="Z39" s="1">
        <v>75.146972063907896</v>
      </c>
      <c r="AA39" s="1">
        <v>0.99</v>
      </c>
      <c r="AB39" s="1">
        <v>0</v>
      </c>
      <c r="AC39" s="1" t="s">
        <v>27</v>
      </c>
      <c r="AD39" s="1" t="s">
        <v>28</v>
      </c>
      <c r="AE39" s="1">
        <v>1</v>
      </c>
      <c r="AF39" s="1" t="s">
        <v>26</v>
      </c>
      <c r="AG39" s="7">
        <v>45611</v>
      </c>
      <c r="AH39" s="8">
        <v>0.3934375</v>
      </c>
    </row>
    <row r="40" spans="2:34">
      <c r="B40" s="46"/>
      <c r="C40" s="9">
        <v>0.35192000000000001</v>
      </c>
      <c r="D40" s="9">
        <v>0.55469000000000002</v>
      </c>
      <c r="E40" s="77">
        <v>155</v>
      </c>
      <c r="F40" s="77">
        <v>250</v>
      </c>
      <c r="G40" s="77">
        <v>20</v>
      </c>
      <c r="H40" s="77"/>
      <c r="I40" s="1">
        <v>57</v>
      </c>
      <c r="J40" s="1">
        <v>138</v>
      </c>
      <c r="K40" s="1">
        <v>1</v>
      </c>
      <c r="L40" s="1" t="str">
        <f t="shared" si="0"/>
        <v>{57,138,1},</v>
      </c>
      <c r="N40" s="1">
        <v>37</v>
      </c>
      <c r="O40" s="1">
        <v>1552.2706000000001</v>
      </c>
      <c r="P40" s="1">
        <v>2824.1851000000001</v>
      </c>
      <c r="Q40" s="1">
        <v>437.37580000000003</v>
      </c>
      <c r="R40" s="1">
        <v>0.32246051819636801</v>
      </c>
      <c r="S40" s="1">
        <v>0.586681336893491</v>
      </c>
      <c r="T40" s="1">
        <v>2824.1851000000001</v>
      </c>
      <c r="U40" s="1">
        <v>0.137286542187153</v>
      </c>
      <c r="V40" s="1">
        <v>0.561999863599704</v>
      </c>
      <c r="W40" s="1">
        <v>5698.3417809099701</v>
      </c>
      <c r="X40" s="1">
        <v>8.9460257730367407E-2</v>
      </c>
      <c r="Y40" s="1">
        <v>552.37128055244</v>
      </c>
      <c r="Z40" s="1">
        <v>73.816750926493697</v>
      </c>
      <c r="AA40" s="1">
        <v>1.01</v>
      </c>
      <c r="AB40" s="1">
        <v>0</v>
      </c>
      <c r="AC40" s="1" t="s">
        <v>27</v>
      </c>
      <c r="AD40" s="1" t="s">
        <v>28</v>
      </c>
      <c r="AE40" s="1">
        <v>1</v>
      </c>
      <c r="AF40" s="1" t="s">
        <v>26</v>
      </c>
      <c r="AG40" s="7">
        <v>45611</v>
      </c>
      <c r="AH40" s="8">
        <v>0.39347222222222222</v>
      </c>
    </row>
    <row r="41" spans="2:34">
      <c r="B41" s="47"/>
      <c r="C41" s="9">
        <v>0.34157999999999999</v>
      </c>
      <c r="D41" s="9">
        <v>0.55496000000000001</v>
      </c>
      <c r="E41" s="77">
        <v>145</v>
      </c>
      <c r="F41" s="77">
        <v>255</v>
      </c>
      <c r="G41" s="77">
        <v>40</v>
      </c>
      <c r="H41" s="77"/>
      <c r="I41" s="1">
        <v>52</v>
      </c>
      <c r="J41" s="1">
        <v>141</v>
      </c>
      <c r="K41" s="1">
        <v>4</v>
      </c>
      <c r="L41" s="1" t="str">
        <f t="shared" si="0"/>
        <v>{52,141,4},</v>
      </c>
      <c r="N41" s="1">
        <v>38</v>
      </c>
      <c r="O41" s="1">
        <v>1465.5519999999999</v>
      </c>
      <c r="P41" s="1">
        <v>2828.4780000000001</v>
      </c>
      <c r="Q41" s="1">
        <v>524.41765999999996</v>
      </c>
      <c r="R41" s="1">
        <v>0.30415438817903401</v>
      </c>
      <c r="S41" s="1">
        <v>0.58701021565107103</v>
      </c>
      <c r="T41" s="1">
        <v>2828.4780000000001</v>
      </c>
      <c r="U41" s="1">
        <v>0.12893615506054201</v>
      </c>
      <c r="V41" s="1">
        <v>0.55989785792997904</v>
      </c>
      <c r="W41" s="1">
        <v>6011.1938364949301</v>
      </c>
      <c r="X41" s="1">
        <v>9.5013021230818895E-2</v>
      </c>
      <c r="Y41" s="1">
        <v>548.50250016334599</v>
      </c>
      <c r="Z41" s="1">
        <v>68.803430187765599</v>
      </c>
      <c r="AA41" s="1">
        <v>1.04</v>
      </c>
      <c r="AB41" s="1">
        <v>0</v>
      </c>
      <c r="AC41" s="1" t="s">
        <v>27</v>
      </c>
      <c r="AD41" s="1" t="s">
        <v>28</v>
      </c>
      <c r="AE41" s="1">
        <v>1</v>
      </c>
      <c r="AF41" s="1" t="s">
        <v>26</v>
      </c>
      <c r="AG41" s="7">
        <v>45611</v>
      </c>
      <c r="AH41" s="8">
        <v>0.39350694444444445</v>
      </c>
    </row>
    <row r="42" spans="2:34">
      <c r="B42" s="48"/>
      <c r="C42" s="9">
        <v>0.33204</v>
      </c>
      <c r="D42" s="9">
        <v>0.54901</v>
      </c>
      <c r="E42" s="77">
        <v>135</v>
      </c>
      <c r="F42" s="77">
        <v>255</v>
      </c>
      <c r="G42" s="77">
        <v>60</v>
      </c>
      <c r="H42" s="77"/>
      <c r="I42" s="1">
        <v>47</v>
      </c>
      <c r="J42" s="1">
        <v>140</v>
      </c>
      <c r="K42" s="1">
        <v>9</v>
      </c>
      <c r="L42" s="1" t="str">
        <f t="shared" si="0"/>
        <v>{47,140,9},</v>
      </c>
      <c r="N42" s="1">
        <v>39</v>
      </c>
      <c r="O42" s="1">
        <v>1382.2638999999999</v>
      </c>
      <c r="P42" s="1">
        <v>2775.3483000000001</v>
      </c>
      <c r="Q42" s="1">
        <v>657.93006000000003</v>
      </c>
      <c r="R42" s="1">
        <v>0.287042211524482</v>
      </c>
      <c r="S42" s="1">
        <v>0.57633141817760702</v>
      </c>
      <c r="T42" s="1">
        <v>2775.3483000000001</v>
      </c>
      <c r="U42" s="1">
        <v>0.122905378584885</v>
      </c>
      <c r="V42" s="1">
        <v>0.55523896371158799</v>
      </c>
      <c r="W42" s="1">
        <v>6338.5820866272998</v>
      </c>
      <c r="X42" s="1">
        <v>9.7889049487800098E-2</v>
      </c>
      <c r="Y42" s="1">
        <v>543.84804803452403</v>
      </c>
      <c r="Z42" s="1">
        <v>61.0416170989891</v>
      </c>
      <c r="AA42" s="1">
        <v>1.02</v>
      </c>
      <c r="AB42" s="1">
        <v>0</v>
      </c>
      <c r="AC42" s="1" t="s">
        <v>27</v>
      </c>
      <c r="AD42" s="1" t="s">
        <v>28</v>
      </c>
      <c r="AE42" s="1">
        <v>1</v>
      </c>
      <c r="AF42" s="1" t="s">
        <v>26</v>
      </c>
      <c r="AG42" s="7">
        <v>45611</v>
      </c>
      <c r="AH42" s="8">
        <v>0.39354166666666668</v>
      </c>
    </row>
    <row r="43" spans="2:34">
      <c r="B43" s="49"/>
      <c r="C43" s="9">
        <v>0.32227</v>
      </c>
      <c r="D43" s="9">
        <v>0.53583000000000003</v>
      </c>
      <c r="E43" s="77">
        <v>125</v>
      </c>
      <c r="F43" s="77">
        <v>250</v>
      </c>
      <c r="G43" s="77">
        <v>80</v>
      </c>
      <c r="H43" s="77"/>
      <c r="I43" s="1">
        <v>44</v>
      </c>
      <c r="J43" s="1">
        <v>137</v>
      </c>
      <c r="K43" s="1">
        <v>16</v>
      </c>
      <c r="L43" s="1" t="str">
        <f t="shared" si="0"/>
        <v>{44,137,16},</v>
      </c>
      <c r="N43" s="1">
        <v>40</v>
      </c>
      <c r="O43" s="1">
        <v>1344.7792999999999</v>
      </c>
      <c r="P43" s="1">
        <v>2708.2478999999998</v>
      </c>
      <c r="Q43" s="1">
        <v>852.79911000000004</v>
      </c>
      <c r="R43" s="1">
        <v>0.27411881608177002</v>
      </c>
      <c r="S43" s="1">
        <v>0.55204724522748105</v>
      </c>
      <c r="T43" s="1">
        <v>2708.2478999999998</v>
      </c>
      <c r="U43" s="1">
        <v>0.120806024859699</v>
      </c>
      <c r="V43" s="1">
        <v>0.54740468718596702</v>
      </c>
      <c r="W43" s="1">
        <v>6660.2218892369101</v>
      </c>
      <c r="X43" s="1">
        <v>9.6516683426691702E-2</v>
      </c>
      <c r="Y43" s="1">
        <v>538.21684829892399</v>
      </c>
      <c r="Z43" s="1">
        <v>50.741303023792199</v>
      </c>
      <c r="AA43" s="1">
        <v>1.05</v>
      </c>
      <c r="AB43" s="1">
        <v>0</v>
      </c>
      <c r="AC43" s="1" t="s">
        <v>27</v>
      </c>
      <c r="AD43" s="1" t="s">
        <v>28</v>
      </c>
      <c r="AE43" s="1">
        <v>1</v>
      </c>
      <c r="AF43" s="1" t="s">
        <v>26</v>
      </c>
      <c r="AG43" s="7">
        <v>45611</v>
      </c>
      <c r="AH43" s="8">
        <v>0.39357638888888891</v>
      </c>
    </row>
    <row r="44" spans="2:34">
      <c r="B44" s="50"/>
      <c r="C44" s="9">
        <v>0.31078</v>
      </c>
      <c r="D44" s="9">
        <v>0.51671</v>
      </c>
      <c r="E44" s="77">
        <v>115</v>
      </c>
      <c r="F44" s="77">
        <v>245</v>
      </c>
      <c r="G44" s="77">
        <v>100</v>
      </c>
      <c r="H44" s="77"/>
      <c r="I44" s="1">
        <v>39</v>
      </c>
      <c r="J44" s="1">
        <v>135</v>
      </c>
      <c r="K44" s="1">
        <v>25</v>
      </c>
      <c r="L44" s="1" t="str">
        <f t="shared" si="0"/>
        <v>{39,135,25},</v>
      </c>
      <c r="N44" s="1">
        <v>41</v>
      </c>
      <c r="O44" s="1">
        <v>1274.6971000000001</v>
      </c>
      <c r="P44" s="1">
        <v>2641.2667999999999</v>
      </c>
      <c r="Q44" s="1">
        <v>1097.5091</v>
      </c>
      <c r="R44" s="1">
        <v>0.25425430634612001</v>
      </c>
      <c r="S44" s="1">
        <v>0.52683375376709896</v>
      </c>
      <c r="T44" s="1">
        <v>2641.2667999999999</v>
      </c>
      <c r="U44" s="1">
        <v>0.115393162426742</v>
      </c>
      <c r="V44" s="1">
        <v>0.53798215273708005</v>
      </c>
      <c r="W44" s="1">
        <v>7216.8888509372</v>
      </c>
      <c r="X44" s="1">
        <v>9.7483798147800602E-2</v>
      </c>
      <c r="Y44" s="1">
        <v>527.66846069528799</v>
      </c>
      <c r="Z44" s="1">
        <v>40.078305004681297</v>
      </c>
      <c r="AA44" s="1">
        <v>1.05</v>
      </c>
      <c r="AB44" s="1">
        <v>0</v>
      </c>
      <c r="AC44" s="1" t="s">
        <v>27</v>
      </c>
      <c r="AD44" s="1" t="s">
        <v>28</v>
      </c>
      <c r="AE44" s="1">
        <v>1</v>
      </c>
      <c r="AF44" s="1" t="s">
        <v>26</v>
      </c>
      <c r="AG44" s="7">
        <v>45611</v>
      </c>
      <c r="AH44" s="8">
        <v>0.39361111111111113</v>
      </c>
    </row>
    <row r="45" spans="2:34">
      <c r="B45" s="51"/>
      <c r="C45" s="9">
        <v>0.29782999999999998</v>
      </c>
      <c r="D45" s="9">
        <v>0.49186999999999997</v>
      </c>
      <c r="E45" s="77">
        <v>105</v>
      </c>
      <c r="F45" s="77">
        <v>240</v>
      </c>
      <c r="G45" s="77">
        <v>120</v>
      </c>
      <c r="H45" s="77"/>
      <c r="I45" s="1">
        <v>36</v>
      </c>
      <c r="J45" s="1">
        <v>131</v>
      </c>
      <c r="K45" s="1">
        <v>36</v>
      </c>
      <c r="L45" s="1" t="str">
        <f t="shared" si="0"/>
        <v>{36,131,36},</v>
      </c>
      <c r="N45" s="1">
        <v>42</v>
      </c>
      <c r="O45" s="1">
        <v>1250.0458000000001</v>
      </c>
      <c r="P45" s="1">
        <v>2562.1610000000001</v>
      </c>
      <c r="Q45" s="1">
        <v>1395.5286000000001</v>
      </c>
      <c r="R45" s="1">
        <v>0.24003635054115799</v>
      </c>
      <c r="S45" s="1">
        <v>0.49199139418642501</v>
      </c>
      <c r="T45" s="1">
        <v>2562.1610000000001</v>
      </c>
      <c r="U45" s="1">
        <v>0.11397975537494399</v>
      </c>
      <c r="V45" s="1">
        <v>0.52564281166757798</v>
      </c>
      <c r="W45" s="1">
        <v>7842.5574449820597</v>
      </c>
      <c r="X45" s="1">
        <v>9.4349691487455797E-2</v>
      </c>
      <c r="Y45" s="1">
        <v>516.21376901411202</v>
      </c>
      <c r="Z45" s="1">
        <v>32.559343811306697</v>
      </c>
      <c r="AA45" s="1">
        <v>1.05</v>
      </c>
      <c r="AB45" s="1">
        <v>0</v>
      </c>
      <c r="AC45" s="1" t="s">
        <v>27</v>
      </c>
      <c r="AD45" s="1" t="s">
        <v>28</v>
      </c>
      <c r="AE45" s="1">
        <v>1</v>
      </c>
      <c r="AF45" s="1" t="s">
        <v>26</v>
      </c>
      <c r="AG45" s="7">
        <v>45611</v>
      </c>
      <c r="AH45" s="8">
        <v>0.39364583333333331</v>
      </c>
    </row>
    <row r="46" spans="2:34">
      <c r="B46" s="52"/>
      <c r="C46" s="9">
        <v>0.28387000000000001</v>
      </c>
      <c r="D46" s="9">
        <v>0.46206999999999998</v>
      </c>
      <c r="E46" s="77">
        <v>95</v>
      </c>
      <c r="F46" s="77">
        <v>235</v>
      </c>
      <c r="G46" s="77">
        <v>140</v>
      </c>
      <c r="H46" s="77"/>
      <c r="I46" s="1">
        <v>34</v>
      </c>
      <c r="J46" s="1">
        <v>127</v>
      </c>
      <c r="K46" s="1">
        <v>48</v>
      </c>
      <c r="L46" s="1" t="str">
        <f t="shared" si="0"/>
        <v>{34,127,48},</v>
      </c>
      <c r="N46" s="1">
        <v>43</v>
      </c>
      <c r="O46" s="1">
        <v>1255.6208999999999</v>
      </c>
      <c r="P46" s="1">
        <v>2495.1725999999999</v>
      </c>
      <c r="Q46" s="1">
        <v>1724.7621999999999</v>
      </c>
      <c r="R46" s="1">
        <v>0.22931387585008001</v>
      </c>
      <c r="S46" s="1">
        <v>0.45569303586848697</v>
      </c>
      <c r="T46" s="1">
        <v>2495.1725999999999</v>
      </c>
      <c r="U46" s="1">
        <v>0.11451824661264</v>
      </c>
      <c r="V46" s="1">
        <v>0.51203454807321203</v>
      </c>
      <c r="W46" s="1">
        <v>8603.5603371151792</v>
      </c>
      <c r="X46" s="1">
        <v>8.9394796992884898E-2</v>
      </c>
      <c r="Y46" s="1">
        <v>508.03388353398202</v>
      </c>
      <c r="Z46" s="1">
        <v>31.980563134268699</v>
      </c>
      <c r="AA46" s="1">
        <v>1.08</v>
      </c>
      <c r="AB46" s="1">
        <v>0</v>
      </c>
      <c r="AC46" s="1" t="s">
        <v>27</v>
      </c>
      <c r="AD46" s="1" t="s">
        <v>28</v>
      </c>
      <c r="AE46" s="1">
        <v>1</v>
      </c>
      <c r="AF46" s="1" t="s">
        <v>26</v>
      </c>
      <c r="AG46" s="7">
        <v>45611</v>
      </c>
      <c r="AH46" s="8">
        <v>0.39368055555555553</v>
      </c>
    </row>
    <row r="47" spans="2:34">
      <c r="B47" s="53"/>
      <c r="C47" s="9">
        <v>0.26945000000000002</v>
      </c>
      <c r="D47" s="9">
        <v>0.42860999999999999</v>
      </c>
      <c r="E47" s="77">
        <v>85</v>
      </c>
      <c r="F47" s="77">
        <v>230</v>
      </c>
      <c r="G47" s="77">
        <v>160</v>
      </c>
      <c r="H47" s="77"/>
      <c r="I47" s="1">
        <v>31</v>
      </c>
      <c r="J47" s="1">
        <v>126</v>
      </c>
      <c r="K47" s="1">
        <v>61</v>
      </c>
      <c r="L47" s="1" t="str">
        <f t="shared" si="0"/>
        <v>{31,126,61},</v>
      </c>
      <c r="N47" s="1">
        <v>44</v>
      </c>
      <c r="O47" s="1">
        <v>1249.8581999999999</v>
      </c>
      <c r="P47" s="1">
        <v>2472.8171000000002</v>
      </c>
      <c r="Q47" s="1">
        <v>2089.0893999999998</v>
      </c>
      <c r="R47" s="1">
        <v>0.215056573092163</v>
      </c>
      <c r="S47" s="1">
        <v>0.42548472411486299</v>
      </c>
      <c r="T47" s="1">
        <v>2472.8171000000002</v>
      </c>
      <c r="U47" s="1">
        <v>0.112071328384146</v>
      </c>
      <c r="V47" s="1">
        <v>0.49889400958290298</v>
      </c>
      <c r="W47" s="1">
        <v>9754.6760595521791</v>
      </c>
      <c r="X47" s="1">
        <v>8.7549341790386107E-2</v>
      </c>
      <c r="Y47" s="1">
        <v>502.09694373908798</v>
      </c>
      <c r="Z47" s="1">
        <v>36.000532613246897</v>
      </c>
      <c r="AA47" s="1">
        <v>1.07</v>
      </c>
      <c r="AB47" s="1">
        <v>0</v>
      </c>
      <c r="AC47" s="1" t="s">
        <v>27</v>
      </c>
      <c r="AD47" s="1" t="s">
        <v>28</v>
      </c>
      <c r="AE47" s="1">
        <v>1</v>
      </c>
      <c r="AF47" s="1" t="s">
        <v>26</v>
      </c>
      <c r="AG47" s="7">
        <v>45611</v>
      </c>
      <c r="AH47" s="8">
        <v>0.39371527777777776</v>
      </c>
    </row>
    <row r="48" spans="2:34">
      <c r="B48" s="54"/>
      <c r="C48" s="9">
        <v>0.25219999999999998</v>
      </c>
      <c r="D48" s="9">
        <v>0.39354</v>
      </c>
      <c r="E48" s="77">
        <v>65</v>
      </c>
      <c r="F48" s="77">
        <v>225</v>
      </c>
      <c r="G48" s="77">
        <v>180</v>
      </c>
      <c r="H48" s="77"/>
      <c r="I48" s="1">
        <v>22</v>
      </c>
      <c r="J48" s="1">
        <v>118</v>
      </c>
      <c r="K48" s="1">
        <v>78</v>
      </c>
      <c r="L48" s="1" t="str">
        <f t="shared" si="0"/>
        <v>{22,118,78},</v>
      </c>
      <c r="N48" s="1">
        <v>45</v>
      </c>
      <c r="O48" s="1">
        <v>1116.0934999999999</v>
      </c>
      <c r="P48" s="1">
        <v>2281.8773999999999</v>
      </c>
      <c r="Q48" s="1">
        <v>2539.1484999999998</v>
      </c>
      <c r="R48" s="1">
        <v>0.18798569218601199</v>
      </c>
      <c r="S48" s="1">
        <v>0.38434083033600402</v>
      </c>
      <c r="T48" s="1">
        <v>2281.8773999999999</v>
      </c>
      <c r="U48" s="1">
        <v>0.103915208197069</v>
      </c>
      <c r="V48" s="1">
        <v>0.47802802496176799</v>
      </c>
      <c r="W48" s="1">
        <v>13085.989142808899</v>
      </c>
      <c r="X48" s="1">
        <v>8.9374905218445502E-2</v>
      </c>
      <c r="Y48" s="1">
        <v>496.24148737045499</v>
      </c>
      <c r="Z48" s="1">
        <v>46.224796298389599</v>
      </c>
      <c r="AA48" s="1">
        <v>1.07</v>
      </c>
      <c r="AB48" s="1">
        <v>0</v>
      </c>
      <c r="AC48" s="1" t="s">
        <v>27</v>
      </c>
      <c r="AD48" s="1" t="s">
        <v>28</v>
      </c>
      <c r="AE48" s="1">
        <v>1</v>
      </c>
      <c r="AF48" s="1" t="s">
        <v>26</v>
      </c>
      <c r="AG48" s="7">
        <v>45611</v>
      </c>
      <c r="AH48" s="8">
        <v>0.39374999999999999</v>
      </c>
    </row>
    <row r="49" spans="2:34">
      <c r="B49" s="55"/>
      <c r="C49" s="9">
        <v>0.23707</v>
      </c>
      <c r="D49" s="9">
        <v>0.35731000000000002</v>
      </c>
      <c r="E49" s="77">
        <v>45</v>
      </c>
      <c r="F49" s="77">
        <v>220</v>
      </c>
      <c r="G49" s="77">
        <v>200</v>
      </c>
      <c r="H49" s="77"/>
      <c r="I49" s="1">
        <v>18</v>
      </c>
      <c r="J49" s="1">
        <v>113</v>
      </c>
      <c r="K49" s="1">
        <v>94</v>
      </c>
      <c r="L49" s="1" t="str">
        <f t="shared" si="0"/>
        <v>{18,113,94},</v>
      </c>
      <c r="N49" s="1">
        <v>46</v>
      </c>
      <c r="O49" s="1">
        <v>1090.0220999999999</v>
      </c>
      <c r="P49" s="1">
        <v>2183.5063</v>
      </c>
      <c r="Q49" s="1">
        <v>2972.8094999999998</v>
      </c>
      <c r="R49" s="1">
        <v>0.17450578522176999</v>
      </c>
      <c r="S49" s="1">
        <v>0.349565831204873</v>
      </c>
      <c r="T49" s="1">
        <v>2183.5063</v>
      </c>
      <c r="U49" s="1">
        <v>0.101964028002674</v>
      </c>
      <c r="V49" s="1">
        <v>0.45956680090590202</v>
      </c>
      <c r="W49" s="1">
        <v>18379.0852646317</v>
      </c>
      <c r="X49" s="1">
        <v>8.6954379734949197E-2</v>
      </c>
      <c r="Y49" s="1">
        <v>493.02388215172198</v>
      </c>
      <c r="Z49" s="1">
        <v>52.648331232842303</v>
      </c>
      <c r="AA49" s="1">
        <v>1.0900000000000001</v>
      </c>
      <c r="AB49" s="1">
        <v>0</v>
      </c>
      <c r="AC49" s="1" t="s">
        <v>27</v>
      </c>
      <c r="AD49" s="1" t="s">
        <v>28</v>
      </c>
      <c r="AE49" s="1">
        <v>1</v>
      </c>
      <c r="AF49" s="1" t="s">
        <v>26</v>
      </c>
      <c r="AG49" s="7">
        <v>45611</v>
      </c>
      <c r="AH49" s="8">
        <v>0.39378472222222222</v>
      </c>
    </row>
    <row r="50" spans="2:34">
      <c r="B50" s="56"/>
      <c r="C50" s="9">
        <v>0.22702</v>
      </c>
      <c r="D50" s="9">
        <v>0.32877000000000001</v>
      </c>
      <c r="E50" s="77">
        <v>31</v>
      </c>
      <c r="F50" s="77">
        <v>210</v>
      </c>
      <c r="G50" s="77">
        <v>210</v>
      </c>
      <c r="H50" s="77"/>
      <c r="I50" s="1">
        <v>13</v>
      </c>
      <c r="J50" s="1">
        <v>105</v>
      </c>
      <c r="K50" s="1">
        <v>104</v>
      </c>
      <c r="L50" s="1" t="str">
        <f t="shared" si="0"/>
        <v>{13,105,104},</v>
      </c>
      <c r="N50" s="1">
        <v>47</v>
      </c>
      <c r="O50" s="1">
        <v>1012.4897999999999</v>
      </c>
      <c r="P50" s="1">
        <v>2022.8710000000001</v>
      </c>
      <c r="Q50" s="1">
        <v>3239.7262999999998</v>
      </c>
      <c r="R50" s="1">
        <v>0.16135071655021299</v>
      </c>
      <c r="S50" s="1">
        <v>0.32236540589213503</v>
      </c>
      <c r="T50" s="1">
        <v>2022.8710000000001</v>
      </c>
      <c r="U50" s="1">
        <v>9.8599767671774294E-2</v>
      </c>
      <c r="V50" s="1">
        <v>0.44323693326829799</v>
      </c>
      <c r="W50" s="1">
        <v>32476.838085849398</v>
      </c>
      <c r="X50" s="1">
        <v>8.6919733053326301E-2</v>
      </c>
      <c r="Y50" s="1">
        <v>490.89745782487199</v>
      </c>
      <c r="Z50" s="1">
        <v>58.878631987173698</v>
      </c>
      <c r="AA50" s="1">
        <v>1.0900000000000001</v>
      </c>
      <c r="AB50" s="1">
        <v>0</v>
      </c>
      <c r="AC50" s="1" t="s">
        <v>27</v>
      </c>
      <c r="AD50" s="1" t="s">
        <v>28</v>
      </c>
      <c r="AE50" s="1">
        <v>1</v>
      </c>
      <c r="AF50" s="1" t="s">
        <v>26</v>
      </c>
      <c r="AG50" s="7">
        <v>45611</v>
      </c>
      <c r="AH50" s="8">
        <v>0.39381944444444444</v>
      </c>
    </row>
    <row r="51" spans="2:34">
      <c r="B51" s="57"/>
      <c r="C51" s="9">
        <v>0.21748999999999999</v>
      </c>
      <c r="D51" s="9">
        <v>0.3</v>
      </c>
      <c r="E51" s="77">
        <v>15</v>
      </c>
      <c r="F51" s="77">
        <v>200</v>
      </c>
      <c r="G51" s="77">
        <v>220</v>
      </c>
      <c r="H51" s="77"/>
      <c r="I51" s="1">
        <v>7</v>
      </c>
      <c r="J51" s="1">
        <v>95</v>
      </c>
      <c r="K51" s="1">
        <v>113</v>
      </c>
      <c r="L51" s="1" t="str">
        <f t="shared" si="0"/>
        <v>{7,95,113},</v>
      </c>
      <c r="N51" s="1">
        <v>48</v>
      </c>
      <c r="O51" s="1">
        <v>899.92577000000006</v>
      </c>
      <c r="P51" s="1">
        <v>1813.7366999999999</v>
      </c>
      <c r="Q51" s="1">
        <v>3460.4703</v>
      </c>
      <c r="R51" s="1">
        <v>0.145757437282969</v>
      </c>
      <c r="S51" s="1">
        <v>0.293763799316548</v>
      </c>
      <c r="T51" s="1">
        <v>1813.7366999999999</v>
      </c>
      <c r="U51" s="1">
        <v>9.3529422096127204E-2</v>
      </c>
      <c r="V51" s="1">
        <v>0.424129344709684</v>
      </c>
      <c r="W51" s="1" t="s">
        <v>26</v>
      </c>
      <c r="X51" s="1" t="s">
        <v>26</v>
      </c>
      <c r="Y51" s="1">
        <v>488.97933127991098</v>
      </c>
      <c r="Z51" s="1">
        <v>66.233012227633594</v>
      </c>
      <c r="AA51" s="1">
        <v>1.1100000000000001</v>
      </c>
      <c r="AB51" s="1">
        <v>0</v>
      </c>
      <c r="AC51" s="1" t="s">
        <v>27</v>
      </c>
      <c r="AD51" s="1" t="s">
        <v>28</v>
      </c>
      <c r="AE51" s="1">
        <v>1</v>
      </c>
      <c r="AF51" s="1" t="s">
        <v>26</v>
      </c>
      <c r="AG51" s="7">
        <v>45611</v>
      </c>
      <c r="AH51" s="8">
        <v>0.39385416666666667</v>
      </c>
    </row>
    <row r="52" spans="2:34">
      <c r="B52" s="58"/>
      <c r="C52" s="9">
        <v>0.20907000000000001</v>
      </c>
      <c r="D52" s="9">
        <v>0.27172000000000002</v>
      </c>
      <c r="E52" s="77">
        <v>5</v>
      </c>
      <c r="F52" s="77">
        <v>190</v>
      </c>
      <c r="G52" s="77">
        <v>230</v>
      </c>
      <c r="H52" s="77"/>
      <c r="I52" s="1">
        <v>2</v>
      </c>
      <c r="J52" s="1">
        <v>88</v>
      </c>
      <c r="K52" s="1">
        <v>124</v>
      </c>
      <c r="L52" s="1" t="str">
        <f t="shared" si="0"/>
        <v>{2,88,124},</v>
      </c>
      <c r="N52" s="1">
        <v>49</v>
      </c>
      <c r="O52" s="1">
        <v>826.82509000000005</v>
      </c>
      <c r="P52" s="1">
        <v>1667.9277999999999</v>
      </c>
      <c r="Q52" s="1">
        <v>3751.7917000000002</v>
      </c>
      <c r="R52" s="1">
        <v>0.13236519456271101</v>
      </c>
      <c r="S52" s="1">
        <v>0.26701607200085598</v>
      </c>
      <c r="T52" s="1">
        <v>1667.9277999999999</v>
      </c>
      <c r="U52" s="1">
        <v>8.9142877910194804E-2</v>
      </c>
      <c r="V52" s="1">
        <v>0.40460641988554602</v>
      </c>
      <c r="W52" s="1" t="s">
        <v>26</v>
      </c>
      <c r="X52" s="1" t="s">
        <v>26</v>
      </c>
      <c r="Y52" s="1">
        <v>487.374660659195</v>
      </c>
      <c r="Z52" s="1">
        <v>72.876698083993404</v>
      </c>
      <c r="AA52" s="1">
        <v>1.0900000000000001</v>
      </c>
      <c r="AB52" s="1">
        <v>0</v>
      </c>
      <c r="AC52" s="1" t="s">
        <v>27</v>
      </c>
      <c r="AD52" s="1" t="s">
        <v>28</v>
      </c>
      <c r="AE52" s="1">
        <v>1</v>
      </c>
      <c r="AF52" s="1" t="s">
        <v>26</v>
      </c>
      <c r="AG52" s="7">
        <v>45611</v>
      </c>
      <c r="AH52" s="8">
        <v>0.3938888888888889</v>
      </c>
    </row>
    <row r="53" spans="2:34">
      <c r="B53" s="59"/>
      <c r="C53" s="9">
        <v>0.20125000000000001</v>
      </c>
      <c r="D53" s="9">
        <v>0.2445</v>
      </c>
      <c r="E53" s="77">
        <v>0</v>
      </c>
      <c r="F53" s="77">
        <v>180</v>
      </c>
      <c r="G53" s="77">
        <v>240</v>
      </c>
      <c r="H53" s="77"/>
      <c r="I53" s="1">
        <v>0</v>
      </c>
      <c r="J53" s="1">
        <v>81</v>
      </c>
      <c r="K53" s="1">
        <v>138</v>
      </c>
      <c r="L53" s="1" t="str">
        <f t="shared" si="0"/>
        <v>{0,81,138},</v>
      </c>
      <c r="N53" s="1">
        <v>50</v>
      </c>
      <c r="O53" s="1">
        <v>841.41277000000002</v>
      </c>
      <c r="P53" s="1">
        <v>1556.7507000000001</v>
      </c>
      <c r="Q53" s="1">
        <v>4117.6732000000002</v>
      </c>
      <c r="R53" s="1">
        <v>0.12913349622067799</v>
      </c>
      <c r="S53" s="1">
        <v>0.23891800529125301</v>
      </c>
      <c r="T53" s="1">
        <v>1556.7507000000001</v>
      </c>
      <c r="U53" s="1">
        <v>9.2094329473305203E-2</v>
      </c>
      <c r="V53" s="1">
        <v>0.38337640361174502</v>
      </c>
      <c r="W53" s="1" t="s">
        <v>26</v>
      </c>
      <c r="X53" s="1" t="s">
        <v>26</v>
      </c>
      <c r="Y53" s="1">
        <v>485.53958119233602</v>
      </c>
      <c r="Z53" s="1">
        <v>76.427404624009</v>
      </c>
      <c r="AA53" s="1">
        <v>1.1100000000000001</v>
      </c>
      <c r="AB53" s="1">
        <v>0</v>
      </c>
      <c r="AC53" s="1" t="s">
        <v>27</v>
      </c>
      <c r="AD53" s="1" t="s">
        <v>28</v>
      </c>
      <c r="AE53" s="1">
        <v>1</v>
      </c>
      <c r="AF53" s="1" t="s">
        <v>26</v>
      </c>
      <c r="AG53" s="7">
        <v>45611</v>
      </c>
      <c r="AH53" s="8">
        <v>0.39392361111111113</v>
      </c>
    </row>
    <row r="54" spans="2:34">
      <c r="B54" s="60"/>
      <c r="C54" s="9">
        <v>0.19209000000000001</v>
      </c>
      <c r="D54" s="9">
        <v>0.21151</v>
      </c>
      <c r="E54" s="77">
        <v>0</v>
      </c>
      <c r="F54" s="77">
        <v>165</v>
      </c>
      <c r="G54" s="77">
        <v>250</v>
      </c>
      <c r="H54" s="77"/>
      <c r="I54" s="1">
        <v>0</v>
      </c>
      <c r="J54" s="1">
        <v>71</v>
      </c>
      <c r="K54" s="1">
        <v>159</v>
      </c>
      <c r="L54" s="1" t="str">
        <f t="shared" si="0"/>
        <v>{0,71,159},</v>
      </c>
      <c r="N54" s="1">
        <v>51</v>
      </c>
      <c r="O54" s="1">
        <v>914.19428000000005</v>
      </c>
      <c r="P54" s="1">
        <v>1427.3362</v>
      </c>
      <c r="Q54" s="1">
        <v>4682.3307999999997</v>
      </c>
      <c r="R54" s="1">
        <v>0.13015551468863901</v>
      </c>
      <c r="S54" s="1">
        <v>0.20321247005037699</v>
      </c>
      <c r="T54" s="1">
        <v>1427.3362</v>
      </c>
      <c r="U54" s="1">
        <v>0.100540376340666</v>
      </c>
      <c r="V54" s="1">
        <v>0.353191957297607</v>
      </c>
      <c r="W54" s="1" t="s">
        <v>26</v>
      </c>
      <c r="X54" s="1" t="s">
        <v>26</v>
      </c>
      <c r="Y54" s="1">
        <v>482.96711326513099</v>
      </c>
      <c r="Z54" s="1">
        <v>79.656021027589304</v>
      </c>
      <c r="AA54" s="1">
        <v>1.1000000000000001</v>
      </c>
      <c r="AB54" s="1">
        <v>0</v>
      </c>
      <c r="AC54" s="1" t="s">
        <v>27</v>
      </c>
      <c r="AD54" s="1" t="s">
        <v>28</v>
      </c>
      <c r="AE54" s="1">
        <v>1</v>
      </c>
      <c r="AF54" s="1" t="s">
        <v>26</v>
      </c>
      <c r="AG54" s="7">
        <v>45611</v>
      </c>
      <c r="AH54" s="8">
        <v>0.39395833333333335</v>
      </c>
    </row>
    <row r="55" spans="2:34">
      <c r="B55" s="61"/>
      <c r="C55" s="9">
        <v>0.18481</v>
      </c>
      <c r="D55" s="9">
        <v>0.18532000000000001</v>
      </c>
      <c r="E55" s="77">
        <v>0</v>
      </c>
      <c r="F55" s="77">
        <v>150</v>
      </c>
      <c r="G55" s="77">
        <v>255</v>
      </c>
      <c r="H55" s="77"/>
      <c r="I55" s="1">
        <v>0</v>
      </c>
      <c r="J55" s="1">
        <v>63</v>
      </c>
      <c r="K55" s="1">
        <v>168</v>
      </c>
      <c r="L55" s="1" t="str">
        <f t="shared" si="0"/>
        <v>{0,63,168},</v>
      </c>
      <c r="N55" s="1">
        <v>52</v>
      </c>
      <c r="O55" s="1">
        <v>937.11193000000003</v>
      </c>
      <c r="P55" s="1">
        <v>1312.1521</v>
      </c>
      <c r="Q55" s="1">
        <v>4918.9745000000003</v>
      </c>
      <c r="R55" s="1">
        <v>0.130731130957496</v>
      </c>
      <c r="S55" s="1">
        <v>0.18305084219902501</v>
      </c>
      <c r="T55" s="1">
        <v>1312.1521</v>
      </c>
      <c r="U55" s="1">
        <v>0.10595924181189199</v>
      </c>
      <c r="V55" s="1">
        <v>0.33382132242221502</v>
      </c>
      <c r="W55" s="1" t="s">
        <v>26</v>
      </c>
      <c r="X55" s="1" t="s">
        <v>26</v>
      </c>
      <c r="Y55" s="1">
        <v>481.39893492050101</v>
      </c>
      <c r="Z55" s="1">
        <v>81.687600125101</v>
      </c>
      <c r="AA55" s="1">
        <v>1.1000000000000001</v>
      </c>
      <c r="AB55" s="1">
        <v>0</v>
      </c>
      <c r="AC55" s="1" t="s">
        <v>27</v>
      </c>
      <c r="AD55" s="1" t="s">
        <v>28</v>
      </c>
      <c r="AE55" s="1">
        <v>1</v>
      </c>
      <c r="AF55" s="1" t="s">
        <v>26</v>
      </c>
      <c r="AG55" s="7">
        <v>45611</v>
      </c>
      <c r="AH55" s="8">
        <v>0.39399305555555558</v>
      </c>
    </row>
    <row r="56" spans="2:34">
      <c r="B56" s="62"/>
      <c r="C56" s="9">
        <v>0.17716999999999999</v>
      </c>
      <c r="D56" s="9">
        <v>0.15781000000000001</v>
      </c>
      <c r="E56" s="77">
        <v>0</v>
      </c>
      <c r="F56" s="77">
        <v>130</v>
      </c>
      <c r="G56" s="77">
        <v>255</v>
      </c>
      <c r="H56" s="77"/>
      <c r="I56" s="1">
        <v>0</v>
      </c>
      <c r="J56" s="1">
        <v>51</v>
      </c>
      <c r="K56" s="1">
        <v>178</v>
      </c>
      <c r="L56" s="1" t="str">
        <f t="shared" si="0"/>
        <v>{0,51,178},</v>
      </c>
      <c r="N56" s="1">
        <v>53</v>
      </c>
      <c r="O56" s="1">
        <v>950.93407000000002</v>
      </c>
      <c r="P56" s="1">
        <v>1125.9782</v>
      </c>
      <c r="Q56" s="1">
        <v>5153.4953999999998</v>
      </c>
      <c r="R56" s="1">
        <v>0.13151873495951899</v>
      </c>
      <c r="S56" s="1">
        <v>0.155728176250953</v>
      </c>
      <c r="T56" s="1">
        <v>1125.9782</v>
      </c>
      <c r="U56" s="1">
        <v>0.114222564681583</v>
      </c>
      <c r="V56" s="1">
        <v>0.30430844170300098</v>
      </c>
      <c r="W56" s="1" t="s">
        <v>26</v>
      </c>
      <c r="X56" s="1" t="s">
        <v>26</v>
      </c>
      <c r="Y56" s="1">
        <v>479.13243274032999</v>
      </c>
      <c r="Z56" s="1">
        <v>84.594775096137496</v>
      </c>
      <c r="AA56" s="1">
        <v>1.1299999999999999</v>
      </c>
      <c r="AB56" s="1">
        <v>0</v>
      </c>
      <c r="AC56" s="1" t="s">
        <v>27</v>
      </c>
      <c r="AD56" s="1" t="s">
        <v>28</v>
      </c>
      <c r="AE56" s="1">
        <v>1</v>
      </c>
      <c r="AF56" s="1" t="s">
        <v>26</v>
      </c>
      <c r="AG56" s="7">
        <v>45611</v>
      </c>
      <c r="AH56" s="8">
        <v>0.39402777777777775</v>
      </c>
    </row>
    <row r="57" spans="2:34">
      <c r="B57" s="63"/>
      <c r="C57" s="9">
        <v>0.17007</v>
      </c>
      <c r="D57" s="9">
        <v>0.13227</v>
      </c>
      <c r="E57" s="77">
        <v>0</v>
      </c>
      <c r="F57" s="77">
        <v>110</v>
      </c>
      <c r="G57" s="77">
        <v>255</v>
      </c>
      <c r="H57" s="77"/>
      <c r="I57" s="1">
        <v>0</v>
      </c>
      <c r="J57" s="1">
        <v>40</v>
      </c>
      <c r="K57" s="1">
        <v>191</v>
      </c>
      <c r="L57" s="1" t="str">
        <f t="shared" si="0"/>
        <v>{0,40,191},</v>
      </c>
      <c r="N57" s="1">
        <v>54</v>
      </c>
      <c r="O57" s="1">
        <v>985.74873000000002</v>
      </c>
      <c r="P57" s="1">
        <v>967.65239999999994</v>
      </c>
      <c r="Q57" s="1">
        <v>5498.8312999999998</v>
      </c>
      <c r="R57" s="1">
        <v>0.13227562871385101</v>
      </c>
      <c r="S57" s="1">
        <v>0.12984731878525199</v>
      </c>
      <c r="T57" s="1">
        <v>967.65239999999994</v>
      </c>
      <c r="U57" s="1">
        <v>0.123230033813299</v>
      </c>
      <c r="V57" s="1">
        <v>0.27217751062780499</v>
      </c>
      <c r="W57" s="1" t="s">
        <v>26</v>
      </c>
      <c r="X57" s="1" t="s">
        <v>26</v>
      </c>
      <c r="Y57" s="1">
        <v>476.75672296544298</v>
      </c>
      <c r="Z57" s="1">
        <v>87.5242370360357</v>
      </c>
      <c r="AA57" s="1">
        <v>1.1100000000000001</v>
      </c>
      <c r="AB57" s="1">
        <v>0</v>
      </c>
      <c r="AC57" s="1" t="s">
        <v>27</v>
      </c>
      <c r="AD57" s="1" t="s">
        <v>28</v>
      </c>
      <c r="AE57" s="1">
        <v>1</v>
      </c>
      <c r="AF57" s="1" t="s">
        <v>26</v>
      </c>
      <c r="AG57" s="7">
        <v>45611</v>
      </c>
      <c r="AH57" s="8">
        <v>0.39406249999999998</v>
      </c>
    </row>
    <row r="58" spans="2:34">
      <c r="B58" s="64"/>
      <c r="C58" s="9">
        <v>0.1638</v>
      </c>
      <c r="D58" s="9">
        <v>0.10967</v>
      </c>
      <c r="E58" s="77">
        <v>0</v>
      </c>
      <c r="F58" s="77">
        <v>90</v>
      </c>
      <c r="G58" s="77">
        <v>255</v>
      </c>
      <c r="H58" s="77"/>
      <c r="I58" s="1">
        <v>0</v>
      </c>
      <c r="J58" s="1">
        <v>29</v>
      </c>
      <c r="K58" s="1">
        <v>199</v>
      </c>
      <c r="L58" s="1" t="str">
        <f t="shared" si="0"/>
        <v>{0,29,199},</v>
      </c>
      <c r="N58" s="1">
        <v>55</v>
      </c>
      <c r="O58" s="1">
        <v>993.52453000000003</v>
      </c>
      <c r="P58" s="1">
        <v>796.97688000000005</v>
      </c>
      <c r="Q58" s="1">
        <v>5682.1355000000003</v>
      </c>
      <c r="R58" s="1">
        <v>0.13295501199455401</v>
      </c>
      <c r="S58" s="1">
        <v>0.10665269697949201</v>
      </c>
      <c r="T58" s="1">
        <v>796.97688000000005</v>
      </c>
      <c r="U58" s="1">
        <v>0.13249385587499399</v>
      </c>
      <c r="V58" s="1">
        <v>0.23913623422810801</v>
      </c>
      <c r="W58" s="1" t="s">
        <v>26</v>
      </c>
      <c r="X58" s="1" t="s">
        <v>26</v>
      </c>
      <c r="Y58" s="1">
        <v>474.37041747868</v>
      </c>
      <c r="Z58" s="1">
        <v>90.365239124870897</v>
      </c>
      <c r="AA58" s="1">
        <v>1.1100000000000001</v>
      </c>
      <c r="AB58" s="1">
        <v>0</v>
      </c>
      <c r="AC58" s="1" t="s">
        <v>27</v>
      </c>
      <c r="AD58" s="1" t="s">
        <v>28</v>
      </c>
      <c r="AE58" s="1">
        <v>1</v>
      </c>
      <c r="AF58" s="1" t="s">
        <v>26</v>
      </c>
      <c r="AG58" s="7">
        <v>45611</v>
      </c>
      <c r="AH58" s="8">
        <v>0.39409722222222221</v>
      </c>
    </row>
    <row r="59" spans="2:34">
      <c r="B59" s="65"/>
      <c r="C59" s="9">
        <v>0.15858</v>
      </c>
      <c r="D59" s="9">
        <v>9.0899999999999995E-2</v>
      </c>
      <c r="E59" s="77">
        <v>0</v>
      </c>
      <c r="F59" s="77">
        <v>70</v>
      </c>
      <c r="G59" s="77">
        <v>255</v>
      </c>
      <c r="H59" s="77"/>
      <c r="I59" s="1">
        <v>0</v>
      </c>
      <c r="J59" s="1">
        <v>18</v>
      </c>
      <c r="K59" s="1">
        <v>199</v>
      </c>
      <c r="L59" s="1" t="str">
        <f t="shared" si="0"/>
        <v>{0,18,199},</v>
      </c>
      <c r="N59" s="1">
        <v>56</v>
      </c>
      <c r="O59" s="1">
        <v>966.952</v>
      </c>
      <c r="P59" s="1">
        <v>616.40142000000003</v>
      </c>
      <c r="Q59" s="1">
        <v>5654.5165999999999</v>
      </c>
      <c r="R59" s="1">
        <v>0.133596209565532</v>
      </c>
      <c r="S59" s="1">
        <v>8.5163372414361199E-2</v>
      </c>
      <c r="T59" s="1">
        <v>616.40142000000003</v>
      </c>
      <c r="U59" s="1">
        <v>0.14232166439274899</v>
      </c>
      <c r="V59" s="1">
        <v>0.20413254335688</v>
      </c>
      <c r="W59" s="1" t="s">
        <v>26</v>
      </c>
      <c r="X59" s="1" t="s">
        <v>26</v>
      </c>
      <c r="Y59" s="1">
        <v>471.86397915525498</v>
      </c>
      <c r="Z59" s="1">
        <v>93.222762586604802</v>
      </c>
      <c r="AA59" s="1">
        <v>1.1299999999999999</v>
      </c>
      <c r="AB59" s="1">
        <v>0</v>
      </c>
      <c r="AC59" s="1" t="s">
        <v>27</v>
      </c>
      <c r="AD59" s="1" t="s">
        <v>28</v>
      </c>
      <c r="AE59" s="1">
        <v>1</v>
      </c>
      <c r="AF59" s="1" t="s">
        <v>26</v>
      </c>
      <c r="AG59" s="7">
        <v>45611</v>
      </c>
      <c r="AH59" s="8">
        <v>0.39413194444444444</v>
      </c>
    </row>
    <row r="60" spans="2:34">
      <c r="B60" s="66"/>
      <c r="C60" s="9">
        <v>0.15568000000000001</v>
      </c>
      <c r="D60" s="9">
        <v>7.7740000000000004E-2</v>
      </c>
      <c r="E60" s="77">
        <v>11</v>
      </c>
      <c r="F60" s="77">
        <v>50</v>
      </c>
      <c r="G60" s="77">
        <v>250</v>
      </c>
      <c r="H60" s="77"/>
      <c r="I60" s="1">
        <v>3</v>
      </c>
      <c r="J60" s="1">
        <v>10</v>
      </c>
      <c r="K60" s="1">
        <v>188</v>
      </c>
      <c r="L60" s="1" t="str">
        <f t="shared" si="0"/>
        <v>{3,10,188},</v>
      </c>
      <c r="N60" s="1">
        <v>57</v>
      </c>
      <c r="O60" s="1">
        <v>947.17394999999999</v>
      </c>
      <c r="P60" s="1">
        <v>488.25407999999999</v>
      </c>
      <c r="Q60" s="1">
        <v>5308.8491999999997</v>
      </c>
      <c r="R60" s="1">
        <v>0.140441135157785</v>
      </c>
      <c r="S60" s="1">
        <v>7.2395315813552394E-2</v>
      </c>
      <c r="T60" s="1">
        <v>488.25407999999999</v>
      </c>
      <c r="U60" s="1">
        <v>0.15657364075682501</v>
      </c>
      <c r="V60" s="1">
        <v>0.181600610500259</v>
      </c>
      <c r="W60" s="1" t="s">
        <v>26</v>
      </c>
      <c r="X60" s="1" t="s">
        <v>26</v>
      </c>
      <c r="Y60" s="1">
        <v>469.04193836705798</v>
      </c>
      <c r="Z60" s="1">
        <v>93.284482108108605</v>
      </c>
      <c r="AA60" s="1">
        <v>1.1200000000000001</v>
      </c>
      <c r="AB60" s="1">
        <v>0</v>
      </c>
      <c r="AC60" s="1" t="s">
        <v>27</v>
      </c>
      <c r="AD60" s="1" t="s">
        <v>28</v>
      </c>
      <c r="AE60" s="1">
        <v>1</v>
      </c>
      <c r="AF60" s="1" t="s">
        <v>26</v>
      </c>
      <c r="AG60" s="7">
        <v>45611</v>
      </c>
      <c r="AH60" s="8">
        <v>0.39416666666666667</v>
      </c>
    </row>
    <row r="61" spans="2:34">
      <c r="B61" s="67"/>
      <c r="C61" s="9">
        <v>0.15636</v>
      </c>
      <c r="D61" s="9">
        <v>7.4219999999999994E-2</v>
      </c>
      <c r="E61" s="77">
        <v>25</v>
      </c>
      <c r="F61" s="77">
        <v>40</v>
      </c>
      <c r="G61" s="77">
        <v>240</v>
      </c>
      <c r="H61" s="77"/>
      <c r="I61" s="1">
        <v>5</v>
      </c>
      <c r="J61" s="1">
        <v>7</v>
      </c>
      <c r="K61" s="1">
        <v>169</v>
      </c>
      <c r="L61" s="1" t="str">
        <f t="shared" si="0"/>
        <v>{5,7,169},</v>
      </c>
      <c r="N61" s="1">
        <v>58</v>
      </c>
      <c r="O61" s="1">
        <v>895.30661999999995</v>
      </c>
      <c r="P61" s="1">
        <v>426.30734999999999</v>
      </c>
      <c r="Q61" s="1">
        <v>4771.8343000000004</v>
      </c>
      <c r="R61" s="1">
        <v>0.146929387159629</v>
      </c>
      <c r="S61" s="1">
        <v>6.9961593355743701E-2</v>
      </c>
      <c r="T61" s="1">
        <v>426.30734999999999</v>
      </c>
      <c r="U61" s="1">
        <v>0.16575593152661999</v>
      </c>
      <c r="V61" s="1">
        <v>0.177583504085744</v>
      </c>
      <c r="W61" s="1" t="s">
        <v>26</v>
      </c>
      <c r="X61" s="1" t="s">
        <v>26</v>
      </c>
      <c r="Y61" s="1">
        <v>467.30812956363599</v>
      </c>
      <c r="Z61" s="1">
        <v>91.974599133066803</v>
      </c>
      <c r="AA61" s="1">
        <v>1.1100000000000001</v>
      </c>
      <c r="AB61" s="1">
        <v>0</v>
      </c>
      <c r="AC61" s="1" t="s">
        <v>27</v>
      </c>
      <c r="AD61" s="1" t="s">
        <v>28</v>
      </c>
      <c r="AE61" s="1">
        <v>1</v>
      </c>
      <c r="AF61" s="1" t="s">
        <v>26</v>
      </c>
      <c r="AG61" s="7">
        <v>45611</v>
      </c>
      <c r="AH61" s="8">
        <v>0.39420138888888889</v>
      </c>
    </row>
    <row r="62" spans="2:34">
      <c r="B62" s="68"/>
      <c r="C62" s="9">
        <v>0.15744</v>
      </c>
      <c r="D62" s="9">
        <v>7.0999999999999994E-2</v>
      </c>
      <c r="E62" s="77">
        <v>35</v>
      </c>
      <c r="F62" s="77">
        <v>30</v>
      </c>
      <c r="G62" s="77">
        <v>235</v>
      </c>
      <c r="H62" s="77"/>
      <c r="I62" s="1">
        <v>8</v>
      </c>
      <c r="J62" s="1">
        <v>5</v>
      </c>
      <c r="K62" s="1">
        <v>185</v>
      </c>
      <c r="L62" s="1" t="str">
        <f t="shared" si="0"/>
        <v>{8,5,185},</v>
      </c>
      <c r="N62" s="1">
        <v>59</v>
      </c>
      <c r="O62" s="1">
        <v>1030.1999000000001</v>
      </c>
      <c r="P62" s="1">
        <v>449.72608000000002</v>
      </c>
      <c r="Q62" s="1">
        <v>5222.4219999999996</v>
      </c>
      <c r="R62" s="1">
        <v>0.15370731317952299</v>
      </c>
      <c r="S62" s="1">
        <v>6.7099780754743807E-2</v>
      </c>
      <c r="T62" s="1">
        <v>449.72608000000002</v>
      </c>
      <c r="U62" s="1">
        <v>0.17577685578146099</v>
      </c>
      <c r="V62" s="1">
        <v>0.17265166856158201</v>
      </c>
      <c r="W62" s="1" t="s">
        <v>26</v>
      </c>
      <c r="X62" s="1" t="s">
        <v>26</v>
      </c>
      <c r="Y62" s="1">
        <v>465.04122662540601</v>
      </c>
      <c r="Z62" s="1">
        <v>90.760041060434801</v>
      </c>
      <c r="AA62" s="1">
        <v>1.1299999999999999</v>
      </c>
      <c r="AB62" s="1">
        <v>0</v>
      </c>
      <c r="AC62" s="1" t="s">
        <v>27</v>
      </c>
      <c r="AD62" s="1" t="s">
        <v>28</v>
      </c>
      <c r="AE62" s="1">
        <v>1</v>
      </c>
      <c r="AF62" s="1" t="s">
        <v>26</v>
      </c>
      <c r="AG62" s="7">
        <v>45611</v>
      </c>
      <c r="AH62" s="8">
        <v>0.39423611111111112</v>
      </c>
    </row>
    <row r="63" spans="2:34">
      <c r="B63" s="69"/>
      <c r="C63" s="9">
        <v>0.16023999999999999</v>
      </c>
      <c r="D63" s="9">
        <v>6.9739999999999996E-2</v>
      </c>
      <c r="E63" s="77">
        <v>45</v>
      </c>
      <c r="F63" s="77">
        <v>20</v>
      </c>
      <c r="G63" s="77">
        <v>225</v>
      </c>
      <c r="H63" s="77"/>
      <c r="I63" s="1">
        <v>11</v>
      </c>
      <c r="J63" s="1">
        <v>4</v>
      </c>
      <c r="K63" s="1">
        <v>169</v>
      </c>
      <c r="L63" s="1" t="str">
        <f t="shared" si="0"/>
        <v>{11,4,169},</v>
      </c>
      <c r="N63" s="1">
        <v>60</v>
      </c>
      <c r="O63" s="1">
        <v>1017.2096</v>
      </c>
      <c r="P63" s="1">
        <v>436.24461000000002</v>
      </c>
      <c r="Q63" s="1">
        <v>4762.9877999999999</v>
      </c>
      <c r="R63" s="1">
        <v>0.16363212242045799</v>
      </c>
      <c r="S63" s="1">
        <v>7.0175931714353795E-2</v>
      </c>
      <c r="T63" s="1">
        <v>436.24461000000002</v>
      </c>
      <c r="U63" s="1">
        <v>0.18621820569994399</v>
      </c>
      <c r="V63" s="1">
        <v>0.17969015350529699</v>
      </c>
      <c r="W63" s="1" t="s">
        <v>26</v>
      </c>
      <c r="X63" s="1" t="s">
        <v>26</v>
      </c>
      <c r="Y63" s="1">
        <v>462.33760029729098</v>
      </c>
      <c r="Z63" s="1">
        <v>87.880753508224203</v>
      </c>
      <c r="AA63" s="1">
        <v>1.1100000000000001</v>
      </c>
      <c r="AB63" s="1">
        <v>0</v>
      </c>
      <c r="AC63" s="1" t="s">
        <v>27</v>
      </c>
      <c r="AD63" s="1" t="s">
        <v>28</v>
      </c>
      <c r="AE63" s="1">
        <v>1</v>
      </c>
      <c r="AF63" s="1" t="s">
        <v>26</v>
      </c>
      <c r="AG63" s="7">
        <v>45611</v>
      </c>
      <c r="AH63" s="8">
        <v>0.39427083333333335</v>
      </c>
    </row>
    <row r="64" spans="2:34">
      <c r="B64" s="70"/>
      <c r="C64" s="9">
        <v>0.16305</v>
      </c>
      <c r="D64" s="9">
        <v>6.9159999999999999E-2</v>
      </c>
      <c r="E64" s="77">
        <v>51</v>
      </c>
      <c r="F64" s="77">
        <v>10</v>
      </c>
      <c r="G64" s="77">
        <v>215</v>
      </c>
      <c r="H64" s="77"/>
      <c r="I64" s="1">
        <v>12</v>
      </c>
      <c r="J64" s="1">
        <v>3</v>
      </c>
      <c r="K64" s="1">
        <v>157</v>
      </c>
      <c r="L64" s="1" t="str">
        <f t="shared" si="0"/>
        <v>{12,3,157},</v>
      </c>
      <c r="N64" s="1">
        <v>61</v>
      </c>
      <c r="O64" s="1">
        <v>981.26643999999999</v>
      </c>
      <c r="P64" s="1">
        <v>410.35681</v>
      </c>
      <c r="Q64" s="1">
        <v>4421.2813999999998</v>
      </c>
      <c r="R64" s="1">
        <v>0.16880828072760501</v>
      </c>
      <c r="S64" s="1">
        <v>7.0594106510933397E-2</v>
      </c>
      <c r="T64" s="1">
        <v>410.35681</v>
      </c>
      <c r="U64" s="1">
        <v>0.192400819550231</v>
      </c>
      <c r="V64" s="1">
        <v>0.181035662181662</v>
      </c>
      <c r="W64" s="1" t="s">
        <v>26</v>
      </c>
      <c r="X64" s="1" t="s">
        <v>26</v>
      </c>
      <c r="Y64" s="1">
        <v>460.28955504596303</v>
      </c>
      <c r="Z64" s="1">
        <v>86.6724984375399</v>
      </c>
      <c r="AA64" s="1">
        <v>1.1299999999999999</v>
      </c>
      <c r="AB64" s="1">
        <v>0</v>
      </c>
      <c r="AC64" s="1" t="s">
        <v>27</v>
      </c>
      <c r="AD64" s="1" t="s">
        <v>28</v>
      </c>
      <c r="AE64" s="1">
        <v>1</v>
      </c>
      <c r="AF64" s="1" t="s">
        <v>26</v>
      </c>
      <c r="AG64" s="7">
        <v>45611</v>
      </c>
      <c r="AH64" s="8">
        <v>0.39430555555555558</v>
      </c>
    </row>
    <row r="65" spans="2:34">
      <c r="B65" s="71"/>
      <c r="C65" s="9">
        <v>0.16621</v>
      </c>
      <c r="D65" s="9">
        <v>7.0019999999999999E-2</v>
      </c>
      <c r="E65" s="77">
        <v>55</v>
      </c>
      <c r="F65" s="77">
        <v>5</v>
      </c>
      <c r="G65" s="77">
        <v>205</v>
      </c>
      <c r="H65" s="77"/>
      <c r="I65" s="1">
        <v>13</v>
      </c>
      <c r="J65" s="1">
        <v>2</v>
      </c>
      <c r="K65" s="1">
        <v>144</v>
      </c>
      <c r="L65" s="1" t="str">
        <f t="shared" si="0"/>
        <v>{13,2,144},</v>
      </c>
      <c r="N65" s="1">
        <v>62</v>
      </c>
      <c r="O65" s="1">
        <v>938.36072000000001</v>
      </c>
      <c r="P65" s="1">
        <v>380.14445000000001</v>
      </c>
      <c r="Q65" s="1">
        <v>4049.9965999999999</v>
      </c>
      <c r="R65" s="1">
        <v>0.17479005506595899</v>
      </c>
      <c r="S65" s="1">
        <v>7.0810156406076796E-2</v>
      </c>
      <c r="T65" s="1">
        <v>380.14445000000001</v>
      </c>
      <c r="U65" s="1">
        <v>0.19975197202221601</v>
      </c>
      <c r="V65" s="1">
        <v>0.18207588438569899</v>
      </c>
      <c r="W65" s="1" t="s">
        <v>26</v>
      </c>
      <c r="X65" s="1" t="s">
        <v>26</v>
      </c>
      <c r="Y65" s="1">
        <v>457.47285028245</v>
      </c>
      <c r="Z65" s="1">
        <v>85.393030843927306</v>
      </c>
      <c r="AA65" s="1">
        <v>1.1299999999999999</v>
      </c>
      <c r="AB65" s="1">
        <v>0</v>
      </c>
      <c r="AC65" s="1" t="s">
        <v>27</v>
      </c>
      <c r="AD65" s="1" t="s">
        <v>28</v>
      </c>
      <c r="AE65" s="1">
        <v>1</v>
      </c>
      <c r="AF65" s="1" t="s">
        <v>26</v>
      </c>
      <c r="AG65" s="7">
        <v>45611</v>
      </c>
      <c r="AH65" s="8">
        <v>0.39435185185185184</v>
      </c>
    </row>
    <row r="66" spans="2:34">
      <c r="B66" s="72"/>
      <c r="C66" s="9">
        <v>0.16888</v>
      </c>
      <c r="D66" s="9">
        <v>7.1050000000000002E-2</v>
      </c>
      <c r="E66" s="77">
        <v>60</v>
      </c>
      <c r="F66" s="77">
        <v>3</v>
      </c>
      <c r="G66" s="77">
        <v>195</v>
      </c>
      <c r="H66" s="77"/>
      <c r="I66" s="1">
        <v>15</v>
      </c>
      <c r="J66" s="1">
        <v>1</v>
      </c>
      <c r="K66" s="1">
        <v>136</v>
      </c>
      <c r="L66" s="1" t="str">
        <f t="shared" si="0"/>
        <v>{15,1,136},</v>
      </c>
      <c r="N66" s="1">
        <v>63</v>
      </c>
      <c r="O66" s="1">
        <v>943.70630000000006</v>
      </c>
      <c r="P66" s="1">
        <v>371.28942999999998</v>
      </c>
      <c r="Q66" s="1">
        <v>3824.5120999999999</v>
      </c>
      <c r="R66" s="1">
        <v>0.183618029432986</v>
      </c>
      <c r="S66" s="1">
        <v>7.2242215068286E-2</v>
      </c>
      <c r="T66" s="1">
        <v>371.28942999999998</v>
      </c>
      <c r="U66" s="1">
        <v>0.20986893283941799</v>
      </c>
      <c r="V66" s="1">
        <v>0.18578318488440301</v>
      </c>
      <c r="W66" s="1" t="s">
        <v>26</v>
      </c>
      <c r="X66" s="1" t="s">
        <v>26</v>
      </c>
      <c r="Y66" s="1">
        <v>452.65768299748697</v>
      </c>
      <c r="Z66" s="1">
        <v>83.383443802981802</v>
      </c>
      <c r="AA66" s="1">
        <v>1.1499999999999999</v>
      </c>
      <c r="AB66" s="1">
        <v>0</v>
      </c>
      <c r="AC66" s="1" t="s">
        <v>27</v>
      </c>
      <c r="AD66" s="1" t="s">
        <v>28</v>
      </c>
      <c r="AE66" s="1">
        <v>1</v>
      </c>
      <c r="AF66" s="1" t="s">
        <v>26</v>
      </c>
      <c r="AG66" s="7">
        <v>45611</v>
      </c>
      <c r="AH66" s="8">
        <v>0.39438657407407407</v>
      </c>
    </row>
    <row r="67" spans="2:34">
      <c r="B67" s="73"/>
      <c r="C67" s="9">
        <v>0.17568</v>
      </c>
      <c r="D67" s="9">
        <v>7.4660000000000004E-2</v>
      </c>
      <c r="E67" s="77">
        <v>65</v>
      </c>
      <c r="F67" s="77">
        <v>2</v>
      </c>
      <c r="G67" s="77">
        <v>190</v>
      </c>
      <c r="H67" s="77"/>
      <c r="I67" s="1">
        <v>17</v>
      </c>
      <c r="J67" s="1">
        <v>0</v>
      </c>
      <c r="K67" s="1">
        <v>129</v>
      </c>
      <c r="L67" s="1" t="str">
        <f t="shared" si="0"/>
        <v>{17,0,129},</v>
      </c>
      <c r="N67" s="1">
        <v>64</v>
      </c>
      <c r="O67" s="1">
        <v>952.42471</v>
      </c>
      <c r="P67" s="1">
        <v>371.51760000000002</v>
      </c>
      <c r="Q67" s="1">
        <v>3624.8218000000002</v>
      </c>
      <c r="R67" s="1">
        <v>0.192457083997079</v>
      </c>
      <c r="S67" s="1">
        <v>7.5072804389538797E-2</v>
      </c>
      <c r="T67" s="1">
        <v>371.51760000000002</v>
      </c>
      <c r="U67" s="1">
        <v>0.21895256169549199</v>
      </c>
      <c r="V67" s="1">
        <v>0.19216809592084499</v>
      </c>
      <c r="W67" s="1" t="s">
        <v>26</v>
      </c>
      <c r="X67" s="1" t="s">
        <v>26</v>
      </c>
      <c r="Y67" s="1">
        <v>446.720029097718</v>
      </c>
      <c r="Z67" s="1">
        <v>81.135281744263096</v>
      </c>
      <c r="AA67" s="1">
        <v>1.1299999999999999</v>
      </c>
      <c r="AB67" s="1">
        <v>0</v>
      </c>
      <c r="AC67" s="1" t="s">
        <v>27</v>
      </c>
      <c r="AD67" s="1" t="s">
        <v>28</v>
      </c>
      <c r="AE67" s="1">
        <v>1</v>
      </c>
      <c r="AF67" s="1" t="s">
        <v>26</v>
      </c>
      <c r="AG67" s="7">
        <v>45611</v>
      </c>
      <c r="AH67" s="8">
        <v>0.3944097222222222</v>
      </c>
    </row>
  </sheetData>
  <mergeCells count="4">
    <mergeCell ref="C2:D2"/>
    <mergeCell ref="N2:AH2"/>
    <mergeCell ref="E2:G2"/>
    <mergeCell ref="I2:L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전문가색상 54색</vt:lpstr>
      <vt:lpstr>커스텀컬러 64색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2025-01-02T07:36:58Z</dcterms:modified>
</cp:coreProperties>
</file>