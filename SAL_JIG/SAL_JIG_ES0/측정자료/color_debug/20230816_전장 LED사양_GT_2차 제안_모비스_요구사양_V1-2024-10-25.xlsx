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working\01_Project\Jig\SAL_JIG\SAL_JIG_ES0\측정자료\color_debug\"/>
    </mc:Choice>
  </mc:AlternateContent>
  <xr:revisionPtr revIDLastSave="0" documentId="13_ncr:1_{BC5430A3-C902-47A3-AF0A-FB6EDA7E3C71}" xr6:coauthVersionLast="47" xr6:coauthVersionMax="47" xr10:uidLastSave="{00000000-0000-0000-0000-000000000000}"/>
  <bookViews>
    <workbookView xWindow="-98" yWindow="-98" windowWidth="21795" windowHeight="12975" activeTab="5" xr2:uid="{00000000-000D-0000-FFFF-FFFF00000000}"/>
  </bookViews>
  <sheets>
    <sheet name="전장LED_IC개발사양" sheetId="2" r:id="rId1"/>
    <sheet name="Basic" sheetId="3" r:id="rId2"/>
    <sheet name="고유색" sheetId="4" r:id="rId3"/>
    <sheet name="Delta E" sheetId="5" r:id="rId4"/>
    <sheet name="Delta E 계산방법" sheetId="6" r:id="rId5"/>
    <sheet name="보정 RGB"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7" l="1"/>
  <c r="O4" i="7"/>
  <c r="P4" i="7"/>
  <c r="R4" i="7"/>
  <c r="N5" i="7"/>
  <c r="O5" i="7"/>
  <c r="P5" i="7"/>
  <c r="R5" i="7"/>
  <c r="N6" i="7"/>
  <c r="O6" i="7"/>
  <c r="P6" i="7"/>
  <c r="R6" i="7"/>
  <c r="N7" i="7"/>
  <c r="O7" i="7"/>
  <c r="P7" i="7"/>
  <c r="R7" i="7"/>
  <c r="N8" i="7"/>
  <c r="O8" i="7"/>
  <c r="P8" i="7"/>
  <c r="R8" i="7"/>
  <c r="N9" i="7"/>
  <c r="O9" i="7"/>
  <c r="P9" i="7"/>
  <c r="R9" i="7"/>
  <c r="N10" i="7"/>
  <c r="O10" i="7"/>
  <c r="P10" i="7"/>
  <c r="R10" i="7"/>
  <c r="N11" i="7"/>
  <c r="O11" i="7"/>
  <c r="P11" i="7"/>
  <c r="R11" i="7"/>
  <c r="N12" i="7"/>
  <c r="O12" i="7"/>
  <c r="P12" i="7"/>
  <c r="R12" i="7"/>
  <c r="N13" i="7"/>
  <c r="O13" i="7"/>
  <c r="P13" i="7"/>
  <c r="R13" i="7"/>
  <c r="N14" i="7"/>
  <c r="O14" i="7"/>
  <c r="P14" i="7"/>
  <c r="R14" i="7"/>
  <c r="N15" i="7"/>
  <c r="O15" i="7"/>
  <c r="P15" i="7"/>
  <c r="R15" i="7"/>
  <c r="N16" i="7"/>
  <c r="O16" i="7"/>
  <c r="P16" i="7"/>
  <c r="R16" i="7"/>
  <c r="N17" i="7"/>
  <c r="O17" i="7"/>
  <c r="P17" i="7"/>
  <c r="R17" i="7"/>
  <c r="N18" i="7"/>
  <c r="O18" i="7"/>
  <c r="P18" i="7"/>
  <c r="R18" i="7"/>
  <c r="N19" i="7"/>
  <c r="O19" i="7"/>
  <c r="P19" i="7"/>
  <c r="R19" i="7"/>
  <c r="N20" i="7"/>
  <c r="O20" i="7"/>
  <c r="P20" i="7"/>
  <c r="R20" i="7"/>
  <c r="N21" i="7"/>
  <c r="O21" i="7"/>
  <c r="P21" i="7"/>
  <c r="R21" i="7"/>
  <c r="N22" i="7"/>
  <c r="O22" i="7"/>
  <c r="P22" i="7"/>
  <c r="R22" i="7"/>
  <c r="N23" i="7"/>
  <c r="O23" i="7"/>
  <c r="P23" i="7"/>
  <c r="R23" i="7"/>
  <c r="N24" i="7"/>
  <c r="O24" i="7"/>
  <c r="P24" i="7"/>
  <c r="R24" i="7"/>
  <c r="N25" i="7"/>
  <c r="O25" i="7"/>
  <c r="P25" i="7"/>
  <c r="R25" i="7"/>
  <c r="N26" i="7"/>
  <c r="O26" i="7"/>
  <c r="P26" i="7"/>
  <c r="R26" i="7"/>
  <c r="N27" i="7"/>
  <c r="O27" i="7"/>
  <c r="R27" i="7" s="1"/>
  <c r="P27" i="7"/>
  <c r="N28" i="7"/>
  <c r="O28" i="7"/>
  <c r="P28" i="7"/>
  <c r="R28" i="7"/>
  <c r="N29" i="7"/>
  <c r="O29" i="7"/>
  <c r="P29" i="7"/>
  <c r="R29" i="7"/>
  <c r="N30" i="7"/>
  <c r="O30" i="7"/>
  <c r="R30" i="7" s="1"/>
  <c r="P30" i="7"/>
  <c r="N31" i="7"/>
  <c r="O31" i="7"/>
  <c r="R31" i="7" s="1"/>
  <c r="P31" i="7"/>
  <c r="N32" i="7"/>
  <c r="O32" i="7"/>
  <c r="P32" i="7"/>
  <c r="R32" i="7"/>
  <c r="N33" i="7"/>
  <c r="O33" i="7"/>
  <c r="P33" i="7"/>
  <c r="R33" i="7"/>
  <c r="N34" i="7"/>
  <c r="O34" i="7"/>
  <c r="P34" i="7"/>
  <c r="R34" i="7"/>
  <c r="N35" i="7"/>
  <c r="O35" i="7"/>
  <c r="P35" i="7"/>
  <c r="R35" i="7"/>
  <c r="N36" i="7"/>
  <c r="O36" i="7"/>
  <c r="P36" i="7"/>
  <c r="R36" i="7"/>
  <c r="N37" i="7"/>
  <c r="O37" i="7"/>
  <c r="P37" i="7"/>
  <c r="R37" i="7"/>
  <c r="N38" i="7"/>
  <c r="O38" i="7"/>
  <c r="R38" i="7" s="1"/>
  <c r="P38" i="7"/>
  <c r="N39" i="7"/>
  <c r="O39" i="7"/>
  <c r="P39" i="7"/>
  <c r="R39" i="7"/>
  <c r="N40" i="7"/>
  <c r="O40" i="7"/>
  <c r="P40" i="7"/>
  <c r="R40" i="7"/>
  <c r="N41" i="7"/>
  <c r="O41" i="7"/>
  <c r="R41" i="7" s="1"/>
  <c r="P41" i="7"/>
  <c r="N42" i="7"/>
  <c r="O42" i="7"/>
  <c r="R42" i="7" s="1"/>
  <c r="P42" i="7"/>
  <c r="N43" i="7"/>
  <c r="O43" i="7"/>
  <c r="P43" i="7"/>
  <c r="R43" i="7"/>
  <c r="N44" i="7"/>
  <c r="O44" i="7"/>
  <c r="P44" i="7"/>
  <c r="R44" i="7"/>
  <c r="N45" i="7"/>
  <c r="O45" i="7"/>
  <c r="P45" i="7"/>
  <c r="R45" i="7"/>
  <c r="N46" i="7"/>
  <c r="O46" i="7"/>
  <c r="P46" i="7"/>
  <c r="R46" i="7"/>
  <c r="N47" i="7"/>
  <c r="O47" i="7"/>
  <c r="P47" i="7"/>
  <c r="R47" i="7"/>
  <c r="N48" i="7"/>
  <c r="O48" i="7"/>
  <c r="P48" i="7"/>
  <c r="R48" i="7"/>
  <c r="N49" i="7"/>
  <c r="O49" i="7"/>
  <c r="R49" i="7" s="1"/>
  <c r="P49" i="7"/>
  <c r="N50" i="7"/>
  <c r="O50" i="7"/>
  <c r="P50" i="7"/>
  <c r="R50" i="7"/>
  <c r="N51" i="7"/>
  <c r="O51" i="7"/>
  <c r="P51" i="7"/>
  <c r="R51" i="7"/>
  <c r="N52" i="7"/>
  <c r="O52" i="7"/>
  <c r="R52" i="7" s="1"/>
  <c r="P52" i="7"/>
  <c r="N53" i="7"/>
  <c r="O53" i="7"/>
  <c r="R53" i="7" s="1"/>
  <c r="P53" i="7"/>
  <c r="N54" i="7"/>
  <c r="O54" i="7"/>
  <c r="P54" i="7"/>
  <c r="R54" i="7"/>
  <c r="N55" i="7"/>
  <c r="O55" i="7"/>
  <c r="P55" i="7"/>
  <c r="R55" i="7"/>
  <c r="N56" i="7"/>
  <c r="O56" i="7"/>
  <c r="P56" i="7"/>
  <c r="R56" i="7"/>
  <c r="N57" i="7"/>
  <c r="O57" i="7"/>
  <c r="P57" i="7"/>
  <c r="R57" i="7"/>
  <c r="N58" i="7"/>
  <c r="O58" i="7"/>
  <c r="P58" i="7"/>
  <c r="R58" i="7"/>
  <c r="N59" i="7"/>
  <c r="O59" i="7"/>
  <c r="P59" i="7"/>
  <c r="R59" i="7"/>
  <c r="N60" i="7"/>
  <c r="O60" i="7"/>
  <c r="R60" i="7" s="1"/>
  <c r="P60" i="7"/>
  <c r="N61" i="7"/>
  <c r="O61" i="7"/>
  <c r="P61" i="7"/>
  <c r="R61" i="7"/>
  <c r="N62" i="7"/>
  <c r="O62" i="7"/>
  <c r="P62" i="7"/>
  <c r="R62" i="7"/>
  <c r="N63" i="7"/>
  <c r="O63" i="7"/>
  <c r="R63" i="7" s="1"/>
  <c r="P63" i="7"/>
  <c r="N64" i="7"/>
  <c r="O64" i="7"/>
  <c r="R64" i="7" s="1"/>
  <c r="P64" i="7"/>
  <c r="N65" i="7"/>
  <c r="O65" i="7"/>
  <c r="P65" i="7"/>
  <c r="R65" i="7"/>
  <c r="N66" i="7"/>
  <c r="O66" i="7"/>
  <c r="P66" i="7"/>
  <c r="R66" i="7"/>
  <c r="R3" i="7"/>
  <c r="O3" i="7"/>
  <c r="P3" i="7"/>
  <c r="N3" i="7"/>
  <c r="CC4" i="5"/>
  <c r="CD4" i="5"/>
  <c r="CC5" i="5"/>
  <c r="CD5" i="5"/>
  <c r="CC6" i="5"/>
  <c r="CD6" i="5"/>
  <c r="CC7" i="5"/>
  <c r="CD7" i="5"/>
  <c r="CC8" i="5"/>
  <c r="CD8" i="5"/>
  <c r="CC9" i="5"/>
  <c r="CD9" i="5"/>
  <c r="CC10" i="5"/>
  <c r="CD10" i="5"/>
  <c r="CC11" i="5"/>
  <c r="CD11" i="5"/>
  <c r="CC12" i="5"/>
  <c r="CD12" i="5"/>
  <c r="CC13" i="5"/>
  <c r="CD13" i="5"/>
  <c r="CC14" i="5"/>
  <c r="CD14" i="5"/>
  <c r="CC15" i="5"/>
  <c r="CD15" i="5"/>
  <c r="CC16" i="5"/>
  <c r="CD16" i="5"/>
  <c r="CC17" i="5"/>
  <c r="CD17" i="5"/>
  <c r="CC18" i="5"/>
  <c r="CD18" i="5"/>
  <c r="CC19" i="5"/>
  <c r="CD19" i="5"/>
  <c r="CC20" i="5"/>
  <c r="CD20" i="5"/>
  <c r="CC21" i="5"/>
  <c r="CD21" i="5"/>
  <c r="CC22" i="5"/>
  <c r="CD22" i="5"/>
  <c r="CC23" i="5"/>
  <c r="CD23" i="5"/>
  <c r="CC24" i="5"/>
  <c r="CD24" i="5"/>
  <c r="CC25" i="5"/>
  <c r="CD25" i="5"/>
  <c r="CC26" i="5"/>
  <c r="CD26" i="5"/>
  <c r="CC27" i="5"/>
  <c r="CD27" i="5"/>
  <c r="CC28" i="5"/>
  <c r="CD28" i="5"/>
  <c r="CC29" i="5"/>
  <c r="CD29" i="5"/>
  <c r="CC30" i="5"/>
  <c r="CD30" i="5"/>
  <c r="CC31" i="5"/>
  <c r="CD31" i="5"/>
  <c r="CC32" i="5"/>
  <c r="CD32" i="5"/>
  <c r="CC33" i="5"/>
  <c r="CD33" i="5"/>
  <c r="CC34" i="5"/>
  <c r="CD34" i="5"/>
  <c r="CC35" i="5"/>
  <c r="CD35" i="5"/>
  <c r="CC36" i="5"/>
  <c r="CD36" i="5"/>
  <c r="CC37" i="5"/>
  <c r="CD37" i="5"/>
  <c r="CC38" i="5"/>
  <c r="CD38" i="5"/>
  <c r="CC39" i="5"/>
  <c r="CD39" i="5"/>
  <c r="CC40" i="5"/>
  <c r="CD40" i="5"/>
  <c r="CC41" i="5"/>
  <c r="CD41" i="5"/>
  <c r="CC42" i="5"/>
  <c r="CD42" i="5"/>
  <c r="CC43" i="5"/>
  <c r="CD43" i="5"/>
  <c r="CC44" i="5"/>
  <c r="CD44" i="5"/>
  <c r="CC45" i="5"/>
  <c r="CD45" i="5"/>
  <c r="CC46" i="5"/>
  <c r="CD46" i="5"/>
  <c r="CC47" i="5"/>
  <c r="CD47" i="5"/>
  <c r="CC48" i="5"/>
  <c r="CD48" i="5"/>
  <c r="CC49" i="5"/>
  <c r="CD49" i="5"/>
  <c r="CC50" i="5"/>
  <c r="CD50" i="5"/>
  <c r="CC51" i="5"/>
  <c r="CD51" i="5"/>
  <c r="CC52" i="5"/>
  <c r="CD52" i="5"/>
  <c r="CC53" i="5"/>
  <c r="CD53" i="5"/>
  <c r="CC54" i="5"/>
  <c r="CD54" i="5"/>
  <c r="CC55" i="5"/>
  <c r="CD55" i="5"/>
  <c r="CC56" i="5"/>
  <c r="CD56" i="5"/>
  <c r="CC57" i="5"/>
  <c r="CD57" i="5"/>
  <c r="CC58" i="5"/>
  <c r="CD58" i="5"/>
  <c r="CC59" i="5"/>
  <c r="CD59" i="5"/>
  <c r="CC60" i="5"/>
  <c r="CD60" i="5"/>
  <c r="CC61" i="5"/>
  <c r="CD61" i="5"/>
  <c r="CC62" i="5"/>
  <c r="CD62" i="5"/>
  <c r="CC63" i="5"/>
  <c r="CD63" i="5"/>
  <c r="CC64" i="5"/>
  <c r="CD64" i="5"/>
  <c r="CC65" i="5"/>
  <c r="CD65" i="5"/>
  <c r="CC66" i="5"/>
  <c r="CD66" i="5"/>
  <c r="CD3" i="5"/>
  <c r="CC3" i="5"/>
  <c r="CO4" i="5"/>
  <c r="CO5" i="5"/>
  <c r="CO6" i="5"/>
  <c r="CO7" i="5"/>
  <c r="CO8" i="5"/>
  <c r="CO9" i="5"/>
  <c r="CO10" i="5"/>
  <c r="CO11" i="5"/>
  <c r="CO12" i="5"/>
  <c r="CO13" i="5"/>
  <c r="CO14" i="5"/>
  <c r="CO15" i="5"/>
  <c r="CO16" i="5"/>
  <c r="CO17" i="5"/>
  <c r="CP18" i="5"/>
  <c r="CP19" i="5"/>
  <c r="CP20" i="5"/>
  <c r="CP21" i="5"/>
  <c r="CP22" i="5"/>
  <c r="CP23" i="5"/>
  <c r="CP24" i="5"/>
  <c r="CP25" i="5"/>
  <c r="CP26" i="5"/>
  <c r="CP27" i="5"/>
  <c r="CP28" i="5"/>
  <c r="CP29" i="5"/>
  <c r="CP30" i="5"/>
  <c r="CN52" i="5"/>
  <c r="CN53" i="5"/>
  <c r="CN54" i="5"/>
  <c r="CN55" i="5"/>
  <c r="CN56" i="5"/>
  <c r="CN57" i="5"/>
  <c r="CN58" i="5"/>
  <c r="CO66" i="5"/>
  <c r="CO3" i="5"/>
  <c r="CM13" i="5"/>
  <c r="CP13" i="5" s="1"/>
  <c r="CI4" i="5"/>
  <c r="CI5" i="5"/>
  <c r="CI6" i="5"/>
  <c r="CI7" i="5"/>
  <c r="CI8" i="5"/>
  <c r="CI9" i="5"/>
  <c r="CI10" i="5"/>
  <c r="CI11" i="5"/>
  <c r="CI12" i="5"/>
  <c r="CI13" i="5"/>
  <c r="CI14" i="5"/>
  <c r="CI15" i="5"/>
  <c r="CI16" i="5"/>
  <c r="CI17" i="5"/>
  <c r="CI18" i="5"/>
  <c r="CJ18" i="5"/>
  <c r="CI19" i="5"/>
  <c r="CJ19" i="5"/>
  <c r="CI20" i="5"/>
  <c r="CJ20" i="5"/>
  <c r="CJ21" i="5"/>
  <c r="CJ22" i="5"/>
  <c r="CJ23" i="5"/>
  <c r="CJ24" i="5"/>
  <c r="CJ25" i="5"/>
  <c r="CJ26" i="5"/>
  <c r="CJ27" i="5"/>
  <c r="CJ28" i="5"/>
  <c r="CJ29" i="5"/>
  <c r="CJ30" i="5"/>
  <c r="CH47" i="5"/>
  <c r="CH50" i="5"/>
  <c r="CH51" i="5"/>
  <c r="CH52" i="5"/>
  <c r="CH53" i="5"/>
  <c r="CH54" i="5"/>
  <c r="CH55" i="5"/>
  <c r="CH56" i="5"/>
  <c r="CH57" i="5"/>
  <c r="CH58" i="5"/>
  <c r="CH59" i="5"/>
  <c r="CH60" i="5"/>
  <c r="CI65" i="5"/>
  <c r="CI66" i="5"/>
  <c r="CI3" i="5"/>
  <c r="CH3" i="5"/>
  <c r="CK3" i="5" s="1"/>
  <c r="CN3" i="5" s="1"/>
  <c r="BI3" i="5"/>
  <c r="BL3" i="5" s="1"/>
  <c r="BG4" i="5"/>
  <c r="BJ4" i="5" s="1"/>
  <c r="BI4" i="5"/>
  <c r="CJ4" i="5" s="1"/>
  <c r="CM4" i="5" s="1"/>
  <c r="CP4" i="5" s="1"/>
  <c r="BG5" i="5"/>
  <c r="CH5" i="5" s="1"/>
  <c r="CK5" i="5" s="1"/>
  <c r="CN5" i="5" s="1"/>
  <c r="BI5" i="5"/>
  <c r="BL5" i="5" s="1"/>
  <c r="BG6" i="5"/>
  <c r="CH6" i="5" s="1"/>
  <c r="CK6" i="5" s="1"/>
  <c r="CN6" i="5" s="1"/>
  <c r="BI6" i="5"/>
  <c r="CJ6" i="5" s="1"/>
  <c r="CM6" i="5" s="1"/>
  <c r="CP6" i="5" s="1"/>
  <c r="BG7" i="5"/>
  <c r="BJ7" i="5" s="1"/>
  <c r="BI7" i="5"/>
  <c r="CJ7" i="5" s="1"/>
  <c r="CM7" i="5" s="1"/>
  <c r="CP7" i="5" s="1"/>
  <c r="BG8" i="5"/>
  <c r="BJ8" i="5" s="1"/>
  <c r="BI8" i="5"/>
  <c r="BL8" i="5" s="1"/>
  <c r="BG9" i="5"/>
  <c r="BJ9" i="5" s="1"/>
  <c r="BI9" i="5"/>
  <c r="BL9" i="5" s="1"/>
  <c r="BG10" i="5"/>
  <c r="CH10" i="5" s="1"/>
  <c r="CK10" i="5" s="1"/>
  <c r="CN10" i="5" s="1"/>
  <c r="BI10" i="5"/>
  <c r="CJ10" i="5" s="1"/>
  <c r="CM10" i="5" s="1"/>
  <c r="CP10" i="5" s="1"/>
  <c r="BG11" i="5"/>
  <c r="CH11" i="5" s="1"/>
  <c r="CK11" i="5" s="1"/>
  <c r="CN11" i="5" s="1"/>
  <c r="BI11" i="5"/>
  <c r="CJ11" i="5" s="1"/>
  <c r="CM11" i="5" s="1"/>
  <c r="CP11" i="5" s="1"/>
  <c r="BG12" i="5"/>
  <c r="CH12" i="5" s="1"/>
  <c r="CK12" i="5" s="1"/>
  <c r="CN12" i="5" s="1"/>
  <c r="BI12" i="5"/>
  <c r="CJ12" i="5" s="1"/>
  <c r="CM12" i="5" s="1"/>
  <c r="CP12" i="5" s="1"/>
  <c r="BG13" i="5"/>
  <c r="BJ13" i="5" s="1"/>
  <c r="BI13" i="5"/>
  <c r="CJ13" i="5" s="1"/>
  <c r="BG14" i="5"/>
  <c r="CH14" i="5" s="1"/>
  <c r="CK14" i="5" s="1"/>
  <c r="CN14" i="5" s="1"/>
  <c r="BI14" i="5"/>
  <c r="CJ14" i="5" s="1"/>
  <c r="CM14" i="5" s="1"/>
  <c r="CP14" i="5" s="1"/>
  <c r="BG15" i="5"/>
  <c r="BJ15" i="5" s="1"/>
  <c r="BI15" i="5"/>
  <c r="CJ15" i="5" s="1"/>
  <c r="BG16" i="5"/>
  <c r="CH16" i="5" s="1"/>
  <c r="CK16" i="5" s="1"/>
  <c r="CN16" i="5" s="1"/>
  <c r="BI16" i="5"/>
  <c r="CJ16" i="5" s="1"/>
  <c r="BG17" i="5"/>
  <c r="CH17" i="5" s="1"/>
  <c r="CK17" i="5" s="1"/>
  <c r="CN17" i="5" s="1"/>
  <c r="BI17" i="5"/>
  <c r="BL17" i="5" s="1"/>
  <c r="BG18" i="5"/>
  <c r="CH18" i="5" s="1"/>
  <c r="CK18" i="5" s="1"/>
  <c r="CN18" i="5" s="1"/>
  <c r="BG19" i="5"/>
  <c r="BJ19" i="5" s="1"/>
  <c r="BG20" i="5"/>
  <c r="CH20" i="5" s="1"/>
  <c r="CK20" i="5" s="1"/>
  <c r="CN20" i="5" s="1"/>
  <c r="BG21" i="5"/>
  <c r="CH21" i="5" s="1"/>
  <c r="CK21" i="5" s="1"/>
  <c r="CN21" i="5" s="1"/>
  <c r="BH21" i="5"/>
  <c r="CI21" i="5" s="1"/>
  <c r="CL21" i="5" s="1"/>
  <c r="CO21" i="5" s="1"/>
  <c r="BG22" i="5"/>
  <c r="CH22" i="5" s="1"/>
  <c r="CK22" i="5" s="1"/>
  <c r="CN22" i="5" s="1"/>
  <c r="BH22" i="5"/>
  <c r="CI22" i="5" s="1"/>
  <c r="CL22" i="5" s="1"/>
  <c r="CO22" i="5" s="1"/>
  <c r="BG23" i="5"/>
  <c r="CH23" i="5" s="1"/>
  <c r="CK23" i="5" s="1"/>
  <c r="CN23" i="5" s="1"/>
  <c r="BH23" i="5"/>
  <c r="CI23" i="5" s="1"/>
  <c r="CL23" i="5" s="1"/>
  <c r="CO23" i="5" s="1"/>
  <c r="BG24" i="5"/>
  <c r="CH24" i="5" s="1"/>
  <c r="CK24" i="5" s="1"/>
  <c r="CN24" i="5" s="1"/>
  <c r="BH24" i="5"/>
  <c r="CI24" i="5" s="1"/>
  <c r="CL24" i="5" s="1"/>
  <c r="CO24" i="5" s="1"/>
  <c r="BG25" i="5"/>
  <c r="CH25" i="5" s="1"/>
  <c r="CK25" i="5" s="1"/>
  <c r="CN25" i="5" s="1"/>
  <c r="BH25" i="5"/>
  <c r="CI25" i="5" s="1"/>
  <c r="CL25" i="5" s="1"/>
  <c r="CO25" i="5" s="1"/>
  <c r="BG26" i="5"/>
  <c r="CH26" i="5" s="1"/>
  <c r="CK26" i="5" s="1"/>
  <c r="CN26" i="5" s="1"/>
  <c r="BH26" i="5"/>
  <c r="CI26" i="5" s="1"/>
  <c r="CL26" i="5" s="1"/>
  <c r="CO26" i="5" s="1"/>
  <c r="BG27" i="5"/>
  <c r="CH27" i="5" s="1"/>
  <c r="CK27" i="5" s="1"/>
  <c r="CN27" i="5" s="1"/>
  <c r="BH27" i="5"/>
  <c r="CI27" i="5" s="1"/>
  <c r="CL27" i="5" s="1"/>
  <c r="CO27" i="5" s="1"/>
  <c r="BG28" i="5"/>
  <c r="CH28" i="5" s="1"/>
  <c r="CK28" i="5" s="1"/>
  <c r="CN28" i="5" s="1"/>
  <c r="BH28" i="5"/>
  <c r="BK28" i="5" s="1"/>
  <c r="BG29" i="5"/>
  <c r="BJ29" i="5" s="1"/>
  <c r="BH29" i="5"/>
  <c r="CI29" i="5" s="1"/>
  <c r="CL29" i="5" s="1"/>
  <c r="CO29" i="5" s="1"/>
  <c r="BG30" i="5"/>
  <c r="BJ30" i="5" s="1"/>
  <c r="BH30" i="5"/>
  <c r="BK30" i="5" s="1"/>
  <c r="BG31" i="5"/>
  <c r="CH31" i="5" s="1"/>
  <c r="CK31" i="5" s="1"/>
  <c r="CN31" i="5" s="1"/>
  <c r="BH31" i="5"/>
  <c r="CI31" i="5" s="1"/>
  <c r="CL31" i="5" s="1"/>
  <c r="CO31" i="5" s="1"/>
  <c r="BI31" i="5"/>
  <c r="CJ31" i="5" s="1"/>
  <c r="CM31" i="5" s="1"/>
  <c r="CP31" i="5" s="1"/>
  <c r="BG32" i="5"/>
  <c r="CH32" i="5" s="1"/>
  <c r="CK32" i="5" s="1"/>
  <c r="CN32" i="5" s="1"/>
  <c r="BH32" i="5"/>
  <c r="BK32" i="5" s="1"/>
  <c r="BI32" i="5"/>
  <c r="BL32" i="5" s="1"/>
  <c r="BG33" i="5"/>
  <c r="CH33" i="5" s="1"/>
  <c r="CK33" i="5" s="1"/>
  <c r="CN33" i="5" s="1"/>
  <c r="BH33" i="5"/>
  <c r="BK33" i="5" s="1"/>
  <c r="BI33" i="5"/>
  <c r="BL33" i="5" s="1"/>
  <c r="BG34" i="5"/>
  <c r="BJ34" i="5" s="1"/>
  <c r="BH34" i="5"/>
  <c r="BK34" i="5" s="1"/>
  <c r="BI34" i="5"/>
  <c r="BL34" i="5" s="1"/>
  <c r="BG35" i="5"/>
  <c r="CH35" i="5" s="1"/>
  <c r="CK35" i="5" s="1"/>
  <c r="CN35" i="5" s="1"/>
  <c r="BH35" i="5"/>
  <c r="BK35" i="5" s="1"/>
  <c r="BI35" i="5"/>
  <c r="BL35" i="5" s="1"/>
  <c r="BG36" i="5"/>
  <c r="BJ36" i="5" s="1"/>
  <c r="BH36" i="5"/>
  <c r="BK36" i="5" s="1"/>
  <c r="BI36" i="5"/>
  <c r="BL36" i="5" s="1"/>
  <c r="BG37" i="5"/>
  <c r="CH37" i="5" s="1"/>
  <c r="CK37" i="5" s="1"/>
  <c r="CN37" i="5" s="1"/>
  <c r="BH37" i="5"/>
  <c r="BK37" i="5" s="1"/>
  <c r="BI37" i="5"/>
  <c r="BL37" i="5" s="1"/>
  <c r="BG38" i="5"/>
  <c r="BJ38" i="5" s="1"/>
  <c r="BH38" i="5"/>
  <c r="BK38" i="5" s="1"/>
  <c r="BI38" i="5"/>
  <c r="BL38" i="5" s="1"/>
  <c r="BG39" i="5"/>
  <c r="CH39" i="5" s="1"/>
  <c r="CK39" i="5" s="1"/>
  <c r="CN39" i="5" s="1"/>
  <c r="BH39" i="5"/>
  <c r="CI39" i="5" s="1"/>
  <c r="CL39" i="5" s="1"/>
  <c r="CO39" i="5" s="1"/>
  <c r="BI39" i="5"/>
  <c r="BL39" i="5" s="1"/>
  <c r="BG40" i="5"/>
  <c r="BJ40" i="5" s="1"/>
  <c r="BH40" i="5"/>
  <c r="BK40" i="5" s="1"/>
  <c r="BI40" i="5"/>
  <c r="BL40" i="5" s="1"/>
  <c r="BG41" i="5"/>
  <c r="BJ41" i="5" s="1"/>
  <c r="BH41" i="5"/>
  <c r="BK41" i="5" s="1"/>
  <c r="BI41" i="5"/>
  <c r="BL41" i="5" s="1"/>
  <c r="BG42" i="5"/>
  <c r="CH42" i="5" s="1"/>
  <c r="CK42" i="5" s="1"/>
  <c r="CN42" i="5" s="1"/>
  <c r="BH42" i="5"/>
  <c r="BK42" i="5" s="1"/>
  <c r="BI42" i="5"/>
  <c r="BL42" i="5" s="1"/>
  <c r="BG43" i="5"/>
  <c r="CH43" i="5" s="1"/>
  <c r="CK43" i="5" s="1"/>
  <c r="CN43" i="5" s="1"/>
  <c r="BH43" i="5"/>
  <c r="BK43" i="5" s="1"/>
  <c r="BI43" i="5"/>
  <c r="BL43" i="5" s="1"/>
  <c r="BG44" i="5"/>
  <c r="CH44" i="5" s="1"/>
  <c r="CK44" i="5" s="1"/>
  <c r="CN44" i="5" s="1"/>
  <c r="BH44" i="5"/>
  <c r="CI44" i="5" s="1"/>
  <c r="CL44" i="5" s="1"/>
  <c r="CO44" i="5" s="1"/>
  <c r="BI44" i="5"/>
  <c r="CJ44" i="5" s="1"/>
  <c r="CM44" i="5" s="1"/>
  <c r="CP44" i="5" s="1"/>
  <c r="BG45" i="5"/>
  <c r="CH45" i="5" s="1"/>
  <c r="CK45" i="5" s="1"/>
  <c r="CN45" i="5" s="1"/>
  <c r="BH45" i="5"/>
  <c r="CI45" i="5" s="1"/>
  <c r="CL45" i="5" s="1"/>
  <c r="CO45" i="5" s="1"/>
  <c r="BI45" i="5"/>
  <c r="BL45" i="5" s="1"/>
  <c r="BG46" i="5"/>
  <c r="BJ46" i="5" s="1"/>
  <c r="BH46" i="5"/>
  <c r="BK46" i="5" s="1"/>
  <c r="BI46" i="5"/>
  <c r="BL46" i="5" s="1"/>
  <c r="BG47" i="5"/>
  <c r="BJ47" i="5" s="1"/>
  <c r="BH47" i="5"/>
  <c r="CI47" i="5" s="1"/>
  <c r="CL47" i="5" s="1"/>
  <c r="CO47" i="5" s="1"/>
  <c r="BI47" i="5"/>
  <c r="BL47" i="5" s="1"/>
  <c r="BG48" i="5"/>
  <c r="CH48" i="5" s="1"/>
  <c r="BH48" i="5"/>
  <c r="BK48" i="5" s="1"/>
  <c r="BI48" i="5"/>
  <c r="BL48" i="5" s="1"/>
  <c r="BG49" i="5"/>
  <c r="BJ49" i="5" s="1"/>
  <c r="BH49" i="5"/>
  <c r="BK49" i="5" s="1"/>
  <c r="BI49" i="5"/>
  <c r="BL49" i="5" s="1"/>
  <c r="BH50" i="5"/>
  <c r="BK50" i="5" s="1"/>
  <c r="BI50" i="5"/>
  <c r="BL50" i="5" s="1"/>
  <c r="BH51" i="5"/>
  <c r="BK51" i="5" s="1"/>
  <c r="BI51" i="5"/>
  <c r="BL51" i="5" s="1"/>
  <c r="BH52" i="5"/>
  <c r="BK52" i="5" s="1"/>
  <c r="BI52" i="5"/>
  <c r="BL52" i="5" s="1"/>
  <c r="BH53" i="5"/>
  <c r="CI53" i="5" s="1"/>
  <c r="CL53" i="5" s="1"/>
  <c r="BI53" i="5"/>
  <c r="CJ53" i="5" s="1"/>
  <c r="CM53" i="5" s="1"/>
  <c r="BH54" i="5"/>
  <c r="CI54" i="5" s="1"/>
  <c r="CL54" i="5" s="1"/>
  <c r="CO54" i="5" s="1"/>
  <c r="BI54" i="5"/>
  <c r="CJ54" i="5" s="1"/>
  <c r="CM54" i="5" s="1"/>
  <c r="CP54" i="5" s="1"/>
  <c r="BH55" i="5"/>
  <c r="CI55" i="5" s="1"/>
  <c r="CL55" i="5" s="1"/>
  <c r="CO55" i="5" s="1"/>
  <c r="BI55" i="5"/>
  <c r="CJ55" i="5" s="1"/>
  <c r="CM55" i="5" s="1"/>
  <c r="CP55" i="5" s="1"/>
  <c r="BH56" i="5"/>
  <c r="BK56" i="5" s="1"/>
  <c r="BI56" i="5"/>
  <c r="BL56" i="5" s="1"/>
  <c r="BH57" i="5"/>
  <c r="CI57" i="5" s="1"/>
  <c r="CL57" i="5" s="1"/>
  <c r="CO57" i="5" s="1"/>
  <c r="BI57" i="5"/>
  <c r="CJ57" i="5" s="1"/>
  <c r="CM57" i="5" s="1"/>
  <c r="CP57" i="5" s="1"/>
  <c r="BH58" i="5"/>
  <c r="CI58" i="5" s="1"/>
  <c r="CL58" i="5" s="1"/>
  <c r="CO58" i="5" s="1"/>
  <c r="BI58" i="5"/>
  <c r="CJ58" i="5" s="1"/>
  <c r="CM58" i="5" s="1"/>
  <c r="BH59" i="5"/>
  <c r="CI59" i="5" s="1"/>
  <c r="CL59" i="5" s="1"/>
  <c r="CO59" i="5" s="1"/>
  <c r="BI59" i="5"/>
  <c r="CJ59" i="5" s="1"/>
  <c r="CM59" i="5" s="1"/>
  <c r="CP59" i="5" s="1"/>
  <c r="BH60" i="5"/>
  <c r="CI60" i="5" s="1"/>
  <c r="CL60" i="5" s="1"/>
  <c r="CO60" i="5" s="1"/>
  <c r="BI60" i="5"/>
  <c r="CJ60" i="5" s="1"/>
  <c r="CM60" i="5" s="1"/>
  <c r="CP60" i="5" s="1"/>
  <c r="BG61" i="5"/>
  <c r="CH61" i="5" s="1"/>
  <c r="CK61" i="5" s="1"/>
  <c r="CN61" i="5" s="1"/>
  <c r="BH61" i="5"/>
  <c r="CI61" i="5" s="1"/>
  <c r="CL61" i="5" s="1"/>
  <c r="CO61" i="5" s="1"/>
  <c r="BI61" i="5"/>
  <c r="CJ61" i="5" s="1"/>
  <c r="CM61" i="5" s="1"/>
  <c r="CP61" i="5" s="1"/>
  <c r="BG62" i="5"/>
  <c r="CH62" i="5" s="1"/>
  <c r="CK62" i="5" s="1"/>
  <c r="CN62" i="5" s="1"/>
  <c r="BH62" i="5"/>
  <c r="BK62" i="5" s="1"/>
  <c r="BI62" i="5"/>
  <c r="BL62" i="5" s="1"/>
  <c r="BG63" i="5"/>
  <c r="CH63" i="5" s="1"/>
  <c r="CK63" i="5" s="1"/>
  <c r="CN63" i="5" s="1"/>
  <c r="BH63" i="5"/>
  <c r="CI63" i="5" s="1"/>
  <c r="BI63" i="5"/>
  <c r="CJ63" i="5" s="1"/>
  <c r="CM63" i="5" s="1"/>
  <c r="CP63" i="5" s="1"/>
  <c r="BG64" i="5"/>
  <c r="CH64" i="5" s="1"/>
  <c r="CK64" i="5" s="1"/>
  <c r="CN64" i="5" s="1"/>
  <c r="BH64" i="5"/>
  <c r="CI64" i="5" s="1"/>
  <c r="BI64" i="5"/>
  <c r="CJ64" i="5" s="1"/>
  <c r="CM64" i="5" s="1"/>
  <c r="CP64" i="5" s="1"/>
  <c r="BG65" i="5"/>
  <c r="BJ65" i="5" s="1"/>
  <c r="BI65" i="5"/>
  <c r="BL65" i="5" s="1"/>
  <c r="BG66" i="5"/>
  <c r="BJ66" i="5" s="1"/>
  <c r="BI66" i="5"/>
  <c r="BL66" i="5" s="1"/>
  <c r="BJ3" i="5"/>
  <c r="BK3" i="5"/>
  <c r="BK4" i="5"/>
  <c r="BK5" i="5"/>
  <c r="BJ6" i="5"/>
  <c r="BK6" i="5"/>
  <c r="BK7" i="5"/>
  <c r="BK8" i="5"/>
  <c r="BK9" i="5"/>
  <c r="BK10" i="5"/>
  <c r="BK11" i="5"/>
  <c r="BK12" i="5"/>
  <c r="BK13" i="5"/>
  <c r="BK14" i="5"/>
  <c r="BK15" i="5"/>
  <c r="BK16" i="5"/>
  <c r="BK17" i="5"/>
  <c r="BK18" i="5"/>
  <c r="BL18" i="5"/>
  <c r="BK19" i="5"/>
  <c r="BL19" i="5"/>
  <c r="BK20" i="5"/>
  <c r="BL20" i="5"/>
  <c r="BL21" i="5"/>
  <c r="BL22" i="5"/>
  <c r="BJ23" i="5"/>
  <c r="BL23" i="5"/>
  <c r="BL24" i="5"/>
  <c r="BL25" i="5"/>
  <c r="BL26" i="5"/>
  <c r="BL27" i="5"/>
  <c r="BL28" i="5"/>
  <c r="BL29" i="5"/>
  <c r="BL30" i="5"/>
  <c r="BJ50" i="5"/>
  <c r="BJ51" i="5"/>
  <c r="BJ52" i="5"/>
  <c r="BJ53" i="5"/>
  <c r="BK53" i="5"/>
  <c r="BL53" i="5"/>
  <c r="BJ54" i="5"/>
  <c r="BJ55" i="5"/>
  <c r="BJ56" i="5"/>
  <c r="BJ57" i="5"/>
  <c r="BJ58" i="5"/>
  <c r="BJ59" i="5"/>
  <c r="BJ60" i="5"/>
  <c r="BL60" i="5"/>
  <c r="BJ61" i="5"/>
  <c r="BL61" i="5"/>
  <c r="BK65" i="5"/>
  <c r="BK66" i="5"/>
  <c r="AM4" i="5"/>
  <c r="AN4" i="5"/>
  <c r="AO4" i="5"/>
  <c r="AM5" i="5"/>
  <c r="AN5" i="5"/>
  <c r="AO5" i="5"/>
  <c r="AM6" i="5"/>
  <c r="AN6" i="5"/>
  <c r="AO6" i="5"/>
  <c r="AM7" i="5"/>
  <c r="AN7" i="5"/>
  <c r="AO7" i="5"/>
  <c r="AM8" i="5"/>
  <c r="AN8" i="5"/>
  <c r="AO8" i="5"/>
  <c r="AM9" i="5"/>
  <c r="AN9" i="5"/>
  <c r="AO9" i="5"/>
  <c r="AM10" i="5"/>
  <c r="AN10" i="5"/>
  <c r="AO10" i="5"/>
  <c r="AM11" i="5"/>
  <c r="AN11" i="5"/>
  <c r="AO11" i="5"/>
  <c r="AM12" i="5"/>
  <c r="AN12" i="5"/>
  <c r="AO12" i="5"/>
  <c r="AM13" i="5"/>
  <c r="AN13" i="5"/>
  <c r="AO13" i="5"/>
  <c r="AM14" i="5"/>
  <c r="AN14" i="5"/>
  <c r="AO14" i="5"/>
  <c r="AM15" i="5"/>
  <c r="AN15" i="5"/>
  <c r="AO15" i="5"/>
  <c r="AM16" i="5"/>
  <c r="AN16" i="5"/>
  <c r="AO16" i="5"/>
  <c r="AM17" i="5"/>
  <c r="AN17" i="5"/>
  <c r="AO17" i="5"/>
  <c r="AM18" i="5"/>
  <c r="AN18" i="5"/>
  <c r="AO18" i="5"/>
  <c r="AM19" i="5"/>
  <c r="AN19" i="5"/>
  <c r="AO19" i="5"/>
  <c r="AM20" i="5"/>
  <c r="AN20" i="5"/>
  <c r="AO20" i="5"/>
  <c r="AM21" i="5"/>
  <c r="AN21" i="5"/>
  <c r="AO21" i="5"/>
  <c r="AM22" i="5"/>
  <c r="AN22" i="5"/>
  <c r="AO22" i="5"/>
  <c r="AM23" i="5"/>
  <c r="AN23" i="5"/>
  <c r="AO23" i="5"/>
  <c r="AM24" i="5"/>
  <c r="AN24" i="5"/>
  <c r="AO24" i="5"/>
  <c r="AM25" i="5"/>
  <c r="AN25" i="5"/>
  <c r="AO25" i="5"/>
  <c r="AM26" i="5"/>
  <c r="AN26" i="5"/>
  <c r="AO26" i="5"/>
  <c r="AM27" i="5"/>
  <c r="AN27" i="5"/>
  <c r="AO27" i="5"/>
  <c r="AM28" i="5"/>
  <c r="AN28" i="5"/>
  <c r="AO28" i="5"/>
  <c r="AM29" i="5"/>
  <c r="AN29" i="5"/>
  <c r="AO29" i="5"/>
  <c r="AM30" i="5"/>
  <c r="AN30" i="5"/>
  <c r="AO30" i="5"/>
  <c r="AM31" i="5"/>
  <c r="AN31" i="5"/>
  <c r="AO31" i="5"/>
  <c r="AM32" i="5"/>
  <c r="AN32" i="5"/>
  <c r="AO32" i="5"/>
  <c r="AM33" i="5"/>
  <c r="AN33" i="5"/>
  <c r="AO33" i="5"/>
  <c r="AM34" i="5"/>
  <c r="AN34" i="5"/>
  <c r="AO34" i="5"/>
  <c r="AM35" i="5"/>
  <c r="AN35" i="5"/>
  <c r="AO35" i="5"/>
  <c r="AM36" i="5"/>
  <c r="AN36" i="5"/>
  <c r="AO36" i="5"/>
  <c r="AM37" i="5"/>
  <c r="AN37" i="5"/>
  <c r="AO37" i="5"/>
  <c r="AM38" i="5"/>
  <c r="AN38" i="5"/>
  <c r="AO38" i="5"/>
  <c r="AM39" i="5"/>
  <c r="AN39" i="5"/>
  <c r="AO39" i="5"/>
  <c r="AM40" i="5"/>
  <c r="AN40" i="5"/>
  <c r="AO40" i="5"/>
  <c r="AM41" i="5"/>
  <c r="AN41" i="5"/>
  <c r="AO41" i="5"/>
  <c r="AM42" i="5"/>
  <c r="AN42" i="5"/>
  <c r="AO42" i="5"/>
  <c r="AM43" i="5"/>
  <c r="AN43" i="5"/>
  <c r="AO43" i="5"/>
  <c r="AM44" i="5"/>
  <c r="AN44" i="5"/>
  <c r="AO44" i="5"/>
  <c r="AM45" i="5"/>
  <c r="AN45" i="5"/>
  <c r="AO45" i="5"/>
  <c r="AM46" i="5"/>
  <c r="AN46" i="5"/>
  <c r="AO46" i="5"/>
  <c r="AM47" i="5"/>
  <c r="AN47" i="5"/>
  <c r="AO47" i="5"/>
  <c r="AM48" i="5"/>
  <c r="AN48" i="5"/>
  <c r="AO48" i="5"/>
  <c r="AM49" i="5"/>
  <c r="AN49" i="5"/>
  <c r="AO49" i="5"/>
  <c r="AM50" i="5"/>
  <c r="AN50" i="5"/>
  <c r="AO50" i="5"/>
  <c r="AM51" i="5"/>
  <c r="AN51" i="5"/>
  <c r="AO51" i="5"/>
  <c r="AM52" i="5"/>
  <c r="AN52" i="5"/>
  <c r="AO52" i="5"/>
  <c r="AM53" i="5"/>
  <c r="AN53" i="5"/>
  <c r="AO53" i="5"/>
  <c r="AM54" i="5"/>
  <c r="AN54" i="5"/>
  <c r="AO54" i="5"/>
  <c r="AM55" i="5"/>
  <c r="AN55" i="5"/>
  <c r="AO55" i="5"/>
  <c r="AM56" i="5"/>
  <c r="AN56" i="5"/>
  <c r="AO56" i="5"/>
  <c r="AM57" i="5"/>
  <c r="AN57" i="5"/>
  <c r="AO57" i="5"/>
  <c r="AM58" i="5"/>
  <c r="AN58" i="5"/>
  <c r="AO58" i="5"/>
  <c r="AM59" i="5"/>
  <c r="AN59" i="5"/>
  <c r="AO59" i="5"/>
  <c r="AM60" i="5"/>
  <c r="AN60" i="5"/>
  <c r="AO60" i="5"/>
  <c r="AM61" i="5"/>
  <c r="AN61" i="5"/>
  <c r="AO61" i="5"/>
  <c r="AM62" i="5"/>
  <c r="AN62" i="5"/>
  <c r="AO62" i="5"/>
  <c r="AM63" i="5"/>
  <c r="AN63" i="5"/>
  <c r="AO63" i="5"/>
  <c r="AM64" i="5"/>
  <c r="AN64" i="5"/>
  <c r="AO64" i="5"/>
  <c r="AM65" i="5"/>
  <c r="AN65" i="5"/>
  <c r="AO65" i="5"/>
  <c r="AM66" i="5"/>
  <c r="AN66" i="5"/>
  <c r="AO66" i="5"/>
  <c r="AO3" i="5"/>
  <c r="AN3" i="5"/>
  <c r="AM3" i="5"/>
  <c r="H67" i="5"/>
  <c r="I67" i="5"/>
  <c r="J67" i="5"/>
  <c r="H68" i="5"/>
  <c r="I68" i="5"/>
  <c r="J68" i="5"/>
  <c r="H69" i="5"/>
  <c r="I69" i="5"/>
  <c r="J69" i="5"/>
  <c r="H70" i="5"/>
  <c r="I70" i="5"/>
  <c r="J70" i="5"/>
  <c r="H71" i="5"/>
  <c r="I71" i="5"/>
  <c r="J71" i="5"/>
  <c r="H72" i="5"/>
  <c r="I72" i="5"/>
  <c r="J72" i="5"/>
  <c r="H73" i="5"/>
  <c r="I73" i="5"/>
  <c r="J73" i="5"/>
  <c r="H74" i="5"/>
  <c r="I74" i="5"/>
  <c r="J74" i="5"/>
  <c r="H75" i="5"/>
  <c r="I75" i="5"/>
  <c r="J75" i="5"/>
  <c r="H76" i="5"/>
  <c r="I76" i="5"/>
  <c r="J76" i="5"/>
  <c r="H77" i="5"/>
  <c r="I77" i="5"/>
  <c r="J77" i="5"/>
  <c r="H78" i="5"/>
  <c r="I78" i="5"/>
  <c r="J78" i="5"/>
  <c r="H4" i="5"/>
  <c r="I4" i="5"/>
  <c r="J4" i="5"/>
  <c r="H5" i="5"/>
  <c r="I5" i="5"/>
  <c r="J5" i="5"/>
  <c r="H6" i="5"/>
  <c r="I6" i="5"/>
  <c r="J6" i="5"/>
  <c r="H7" i="5"/>
  <c r="I7" i="5"/>
  <c r="J7" i="5"/>
  <c r="H8" i="5"/>
  <c r="I8" i="5"/>
  <c r="J8" i="5"/>
  <c r="H9" i="5"/>
  <c r="I9" i="5"/>
  <c r="J9" i="5"/>
  <c r="H10" i="5"/>
  <c r="I10" i="5"/>
  <c r="J10" i="5"/>
  <c r="H11" i="5"/>
  <c r="I11" i="5"/>
  <c r="J11" i="5"/>
  <c r="H12" i="5"/>
  <c r="I12" i="5"/>
  <c r="J12" i="5"/>
  <c r="H13" i="5"/>
  <c r="I13" i="5"/>
  <c r="J13" i="5"/>
  <c r="H14" i="5"/>
  <c r="I14" i="5"/>
  <c r="J14" i="5"/>
  <c r="H15" i="5"/>
  <c r="I15" i="5"/>
  <c r="J15" i="5"/>
  <c r="H16" i="5"/>
  <c r="I16" i="5"/>
  <c r="J16" i="5"/>
  <c r="H17" i="5"/>
  <c r="I17" i="5"/>
  <c r="J17" i="5"/>
  <c r="H18" i="5"/>
  <c r="I18" i="5"/>
  <c r="J18" i="5"/>
  <c r="H19" i="5"/>
  <c r="I19" i="5"/>
  <c r="J19" i="5"/>
  <c r="H20" i="5"/>
  <c r="I20" i="5"/>
  <c r="J20" i="5"/>
  <c r="H21" i="5"/>
  <c r="I21" i="5"/>
  <c r="J21" i="5"/>
  <c r="H22" i="5"/>
  <c r="I22" i="5"/>
  <c r="J22" i="5"/>
  <c r="H23" i="5"/>
  <c r="I23" i="5"/>
  <c r="J23" i="5"/>
  <c r="H24" i="5"/>
  <c r="I24" i="5"/>
  <c r="J24" i="5"/>
  <c r="H25" i="5"/>
  <c r="I25" i="5"/>
  <c r="J25" i="5"/>
  <c r="H26" i="5"/>
  <c r="I26" i="5"/>
  <c r="J26" i="5"/>
  <c r="H27" i="5"/>
  <c r="I27" i="5"/>
  <c r="J27" i="5"/>
  <c r="H28" i="5"/>
  <c r="I28" i="5"/>
  <c r="J28" i="5"/>
  <c r="H29" i="5"/>
  <c r="I29" i="5"/>
  <c r="J29" i="5"/>
  <c r="H30" i="5"/>
  <c r="I30" i="5"/>
  <c r="J30" i="5"/>
  <c r="H31" i="5"/>
  <c r="I31" i="5"/>
  <c r="J31" i="5"/>
  <c r="H32" i="5"/>
  <c r="I32" i="5"/>
  <c r="J32" i="5"/>
  <c r="H33" i="5"/>
  <c r="I33" i="5"/>
  <c r="J33" i="5"/>
  <c r="H34" i="5"/>
  <c r="I34" i="5"/>
  <c r="J34" i="5"/>
  <c r="H35" i="5"/>
  <c r="I35" i="5"/>
  <c r="J35" i="5"/>
  <c r="H36" i="5"/>
  <c r="I36" i="5"/>
  <c r="J36" i="5"/>
  <c r="H37" i="5"/>
  <c r="I37" i="5"/>
  <c r="J37" i="5"/>
  <c r="H38" i="5"/>
  <c r="I38" i="5"/>
  <c r="J38" i="5"/>
  <c r="H39" i="5"/>
  <c r="I39" i="5"/>
  <c r="J39" i="5"/>
  <c r="H40" i="5"/>
  <c r="I40" i="5"/>
  <c r="J40" i="5"/>
  <c r="H41" i="5"/>
  <c r="I41" i="5"/>
  <c r="J41" i="5"/>
  <c r="H42" i="5"/>
  <c r="I42" i="5"/>
  <c r="J42" i="5"/>
  <c r="H43" i="5"/>
  <c r="I43" i="5"/>
  <c r="J43" i="5"/>
  <c r="H44" i="5"/>
  <c r="I44" i="5"/>
  <c r="J44" i="5"/>
  <c r="H45" i="5"/>
  <c r="I45" i="5"/>
  <c r="J45" i="5"/>
  <c r="H46" i="5"/>
  <c r="I46" i="5"/>
  <c r="J46" i="5"/>
  <c r="H47" i="5"/>
  <c r="I47" i="5"/>
  <c r="J47" i="5"/>
  <c r="H48" i="5"/>
  <c r="I48" i="5"/>
  <c r="J48" i="5"/>
  <c r="H49" i="5"/>
  <c r="I49" i="5"/>
  <c r="J49" i="5"/>
  <c r="H50" i="5"/>
  <c r="I50" i="5"/>
  <c r="J50" i="5"/>
  <c r="H51" i="5"/>
  <c r="I51" i="5"/>
  <c r="J51" i="5"/>
  <c r="H52" i="5"/>
  <c r="I52" i="5"/>
  <c r="J52" i="5"/>
  <c r="H53" i="5"/>
  <c r="I53" i="5"/>
  <c r="J53" i="5"/>
  <c r="H54" i="5"/>
  <c r="I54" i="5"/>
  <c r="J54" i="5"/>
  <c r="H55" i="5"/>
  <c r="I55" i="5"/>
  <c r="J55" i="5"/>
  <c r="H56" i="5"/>
  <c r="I56" i="5"/>
  <c r="J56" i="5"/>
  <c r="H57" i="5"/>
  <c r="I57" i="5"/>
  <c r="J57" i="5"/>
  <c r="H58" i="5"/>
  <c r="I58" i="5"/>
  <c r="J58" i="5"/>
  <c r="H59" i="5"/>
  <c r="I59" i="5"/>
  <c r="J59" i="5"/>
  <c r="H60" i="5"/>
  <c r="I60" i="5"/>
  <c r="J60" i="5"/>
  <c r="H61" i="5"/>
  <c r="I61" i="5"/>
  <c r="J61" i="5"/>
  <c r="H62" i="5"/>
  <c r="I62" i="5"/>
  <c r="J62" i="5"/>
  <c r="H63" i="5"/>
  <c r="I63" i="5"/>
  <c r="J63" i="5"/>
  <c r="H64" i="5"/>
  <c r="I64" i="5"/>
  <c r="J64" i="5"/>
  <c r="H65" i="5"/>
  <c r="I65" i="5"/>
  <c r="J65" i="5"/>
  <c r="H66" i="5"/>
  <c r="I66" i="5"/>
  <c r="J66" i="5"/>
  <c r="I3" i="5"/>
  <c r="J3" i="5"/>
  <c r="H3" i="5"/>
  <c r="AB67" i="5"/>
  <c r="AC67" i="5"/>
  <c r="AD67" i="5"/>
  <c r="AB68" i="5"/>
  <c r="AC68" i="5"/>
  <c r="AD68" i="5"/>
  <c r="AB69" i="5"/>
  <c r="AC69" i="5"/>
  <c r="AD69" i="5"/>
  <c r="AB70" i="5"/>
  <c r="AC70" i="5"/>
  <c r="AD70" i="5"/>
  <c r="AB71" i="5"/>
  <c r="AC71" i="5"/>
  <c r="AD71" i="5"/>
  <c r="AB72" i="5"/>
  <c r="AC72" i="5"/>
  <c r="AD72" i="5"/>
  <c r="AB73" i="5"/>
  <c r="AC73" i="5"/>
  <c r="AD73" i="5"/>
  <c r="AB74" i="5"/>
  <c r="AC74" i="5"/>
  <c r="AD74" i="5"/>
  <c r="AB75" i="5"/>
  <c r="AC75" i="5"/>
  <c r="AD75" i="5"/>
  <c r="AB76" i="5"/>
  <c r="AC76" i="5"/>
  <c r="AD76" i="5"/>
  <c r="AB77" i="5"/>
  <c r="AC77" i="5"/>
  <c r="AD77" i="5"/>
  <c r="AB78" i="5"/>
  <c r="AC78" i="5"/>
  <c r="AD78" i="5"/>
  <c r="AB4" i="5"/>
  <c r="AC4" i="5"/>
  <c r="AD4" i="5"/>
  <c r="AB5" i="5"/>
  <c r="AC5" i="5"/>
  <c r="AD5" i="5"/>
  <c r="AB6" i="5"/>
  <c r="AC6" i="5"/>
  <c r="AD6" i="5"/>
  <c r="AB7" i="5"/>
  <c r="AC7" i="5"/>
  <c r="AD7" i="5"/>
  <c r="AB8" i="5"/>
  <c r="AC8" i="5"/>
  <c r="AD8" i="5"/>
  <c r="AB9" i="5"/>
  <c r="AC9" i="5"/>
  <c r="AD9" i="5"/>
  <c r="AB10" i="5"/>
  <c r="AC10" i="5"/>
  <c r="AD10" i="5"/>
  <c r="AB11" i="5"/>
  <c r="AC11" i="5"/>
  <c r="AD11" i="5"/>
  <c r="AB12" i="5"/>
  <c r="AC12" i="5"/>
  <c r="AD12" i="5"/>
  <c r="AB13" i="5"/>
  <c r="AC13" i="5"/>
  <c r="AD13" i="5"/>
  <c r="AB14" i="5"/>
  <c r="AC14" i="5"/>
  <c r="AD14" i="5"/>
  <c r="AB15" i="5"/>
  <c r="AC15" i="5"/>
  <c r="AD15" i="5"/>
  <c r="AB16" i="5"/>
  <c r="AC16" i="5"/>
  <c r="AD16" i="5"/>
  <c r="AB17" i="5"/>
  <c r="AC17" i="5"/>
  <c r="AD17" i="5"/>
  <c r="AB18" i="5"/>
  <c r="AC18" i="5"/>
  <c r="AD18" i="5"/>
  <c r="AB19" i="5"/>
  <c r="AC19" i="5"/>
  <c r="AD19" i="5"/>
  <c r="AB20" i="5"/>
  <c r="AC20" i="5"/>
  <c r="AD20" i="5"/>
  <c r="AB21" i="5"/>
  <c r="AC21" i="5"/>
  <c r="AD21" i="5"/>
  <c r="AB22" i="5"/>
  <c r="AC22" i="5"/>
  <c r="AD22" i="5"/>
  <c r="AB23" i="5"/>
  <c r="AC23" i="5"/>
  <c r="AD23" i="5"/>
  <c r="AB24" i="5"/>
  <c r="AC24" i="5"/>
  <c r="AD24" i="5"/>
  <c r="AB25" i="5"/>
  <c r="AC25" i="5"/>
  <c r="AD25" i="5"/>
  <c r="AB26" i="5"/>
  <c r="AC26" i="5"/>
  <c r="AD26" i="5"/>
  <c r="AB27" i="5"/>
  <c r="AC27" i="5"/>
  <c r="AD27" i="5"/>
  <c r="AB28" i="5"/>
  <c r="AC28" i="5"/>
  <c r="AD28" i="5"/>
  <c r="AB29" i="5"/>
  <c r="AC29" i="5"/>
  <c r="AD29" i="5"/>
  <c r="AB30" i="5"/>
  <c r="AC30" i="5"/>
  <c r="AD30" i="5"/>
  <c r="AB31" i="5"/>
  <c r="AC31" i="5"/>
  <c r="AD31" i="5"/>
  <c r="AB32" i="5"/>
  <c r="AC32" i="5"/>
  <c r="AD32" i="5"/>
  <c r="AB33" i="5"/>
  <c r="AC33" i="5"/>
  <c r="AD33" i="5"/>
  <c r="AB34" i="5"/>
  <c r="AC34" i="5"/>
  <c r="AD34" i="5"/>
  <c r="AB35" i="5"/>
  <c r="AC35" i="5"/>
  <c r="AD35" i="5"/>
  <c r="AB36" i="5"/>
  <c r="AC36" i="5"/>
  <c r="AD36" i="5"/>
  <c r="AB37" i="5"/>
  <c r="AC37" i="5"/>
  <c r="AD37" i="5"/>
  <c r="AB38" i="5"/>
  <c r="AC38" i="5"/>
  <c r="AD38" i="5"/>
  <c r="AB39" i="5"/>
  <c r="AC39" i="5"/>
  <c r="AD39" i="5"/>
  <c r="AB40" i="5"/>
  <c r="AC40" i="5"/>
  <c r="AD40" i="5"/>
  <c r="AB41" i="5"/>
  <c r="AC41" i="5"/>
  <c r="AD41" i="5"/>
  <c r="AB42" i="5"/>
  <c r="AC42" i="5"/>
  <c r="AD42" i="5"/>
  <c r="AB43" i="5"/>
  <c r="AC43" i="5"/>
  <c r="AD43" i="5"/>
  <c r="AB44" i="5"/>
  <c r="AC44" i="5"/>
  <c r="AD44" i="5"/>
  <c r="AB45" i="5"/>
  <c r="AC45" i="5"/>
  <c r="AD45" i="5"/>
  <c r="AB46" i="5"/>
  <c r="AC46" i="5"/>
  <c r="AD46" i="5"/>
  <c r="AB47" i="5"/>
  <c r="AC47" i="5"/>
  <c r="AD47" i="5"/>
  <c r="AB48" i="5"/>
  <c r="AC48" i="5"/>
  <c r="AD48" i="5"/>
  <c r="AB49" i="5"/>
  <c r="AC49" i="5"/>
  <c r="AD49" i="5"/>
  <c r="AB50" i="5"/>
  <c r="AC50" i="5"/>
  <c r="AD50" i="5"/>
  <c r="AB51" i="5"/>
  <c r="AC51" i="5"/>
  <c r="AD51" i="5"/>
  <c r="AB52" i="5"/>
  <c r="AC52" i="5"/>
  <c r="AD52" i="5"/>
  <c r="AB53" i="5"/>
  <c r="AC53" i="5"/>
  <c r="AD53" i="5"/>
  <c r="AB54" i="5"/>
  <c r="AC54" i="5"/>
  <c r="AD54" i="5"/>
  <c r="AB55" i="5"/>
  <c r="AC55" i="5"/>
  <c r="AD55" i="5"/>
  <c r="AB56" i="5"/>
  <c r="AC56" i="5"/>
  <c r="AD56" i="5"/>
  <c r="AB57" i="5"/>
  <c r="AC57" i="5"/>
  <c r="AD57" i="5"/>
  <c r="AB58" i="5"/>
  <c r="AC58" i="5"/>
  <c r="AD58" i="5"/>
  <c r="AB59" i="5"/>
  <c r="AC59" i="5"/>
  <c r="AD59" i="5"/>
  <c r="AB60" i="5"/>
  <c r="AC60" i="5"/>
  <c r="AD60" i="5"/>
  <c r="AB61" i="5"/>
  <c r="AC61" i="5"/>
  <c r="AD61" i="5"/>
  <c r="AB62" i="5"/>
  <c r="AC62" i="5"/>
  <c r="AD62" i="5"/>
  <c r="AB63" i="5"/>
  <c r="AC63" i="5"/>
  <c r="AD63" i="5"/>
  <c r="AB64" i="5"/>
  <c r="AC64" i="5"/>
  <c r="AD64" i="5"/>
  <c r="AB65" i="5"/>
  <c r="AC65" i="5"/>
  <c r="AD65" i="5"/>
  <c r="AB66" i="5"/>
  <c r="AC66" i="5"/>
  <c r="AD66" i="5"/>
  <c r="AD3" i="5"/>
  <c r="AC3" i="5"/>
  <c r="BK29" i="5" l="1"/>
  <c r="BN29" i="5" s="1"/>
  <c r="BP29" i="5" s="1"/>
  <c r="BS29" i="5" s="1"/>
  <c r="CI36" i="5"/>
  <c r="CL36" i="5" s="1"/>
  <c r="CO36" i="5" s="1"/>
  <c r="BJ31" i="5"/>
  <c r="BL13" i="5"/>
  <c r="BM13" i="5" s="1"/>
  <c r="BQ13" i="5" s="1"/>
  <c r="BJ11" i="5"/>
  <c r="BK63" i="5"/>
  <c r="BK61" i="5"/>
  <c r="BO61" i="5" s="1"/>
  <c r="BR61" i="5" s="1"/>
  <c r="BL14" i="5"/>
  <c r="BJ14" i="5"/>
  <c r="BK47" i="5"/>
  <c r="BO47" i="5" s="1"/>
  <c r="BR47" i="5" s="1"/>
  <c r="BK23" i="5"/>
  <c r="BM23" i="5" s="1"/>
  <c r="BQ23" i="5" s="1"/>
  <c r="CH13" i="5"/>
  <c r="CK13" i="5" s="1"/>
  <c r="CN13" i="5" s="1"/>
  <c r="BJ42" i="5"/>
  <c r="BM42" i="5" s="1"/>
  <c r="BQ42" i="5" s="1"/>
  <c r="BN65" i="5"/>
  <c r="BP65" i="5" s="1"/>
  <c r="BS65" i="5" s="1"/>
  <c r="BJ37" i="5"/>
  <c r="BM37" i="5" s="1"/>
  <c r="BQ37" i="5" s="1"/>
  <c r="BL31" i="5"/>
  <c r="CI42" i="5"/>
  <c r="CL42" i="5" s="1"/>
  <c r="CO42" i="5" s="1"/>
  <c r="BK55" i="5"/>
  <c r="BK31" i="5"/>
  <c r="CJ41" i="5"/>
  <c r="CM41" i="5" s="1"/>
  <c r="CP41" i="5" s="1"/>
  <c r="CI41" i="5"/>
  <c r="CL41" i="5" s="1"/>
  <c r="CO41" i="5" s="1"/>
  <c r="BL54" i="5"/>
  <c r="BK54" i="5"/>
  <c r="CH7" i="5"/>
  <c r="CK7" i="5" s="1"/>
  <c r="CN7" i="5" s="1"/>
  <c r="BL6" i="5"/>
  <c r="BN6" i="5" s="1"/>
  <c r="BP6" i="5" s="1"/>
  <c r="BS6" i="5" s="1"/>
  <c r="CH66" i="5"/>
  <c r="CK66" i="5" s="1"/>
  <c r="CN66" i="5" s="1"/>
  <c r="CH4" i="5"/>
  <c r="CK4" i="5" s="1"/>
  <c r="CN4" i="5" s="1"/>
  <c r="BL44" i="5"/>
  <c r="BJ16" i="5"/>
  <c r="BL7" i="5"/>
  <c r="BM7" i="5" s="1"/>
  <c r="BQ7" i="5" s="1"/>
  <c r="CI46" i="5"/>
  <c r="CL46" i="5" s="1"/>
  <c r="CO46" i="5" s="1"/>
  <c r="CH15" i="5"/>
  <c r="CK15" i="5" s="1"/>
  <c r="CN15" i="5" s="1"/>
  <c r="BJ24" i="5"/>
  <c r="BM24" i="5" s="1"/>
  <c r="BQ24" i="5" s="1"/>
  <c r="CI62" i="5"/>
  <c r="BK39" i="5"/>
  <c r="BJ63" i="5"/>
  <c r="BJ22" i="5"/>
  <c r="CH36" i="5"/>
  <c r="CK36" i="5" s="1"/>
  <c r="CN36" i="5" s="1"/>
  <c r="BJ62" i="5"/>
  <c r="BM62" i="5" s="1"/>
  <c r="BQ62" i="5" s="1"/>
  <c r="CJ35" i="5"/>
  <c r="CM35" i="5" s="1"/>
  <c r="CP35" i="5" s="1"/>
  <c r="BL12" i="5"/>
  <c r="CH34" i="5"/>
  <c r="CK34" i="5" s="1"/>
  <c r="CN34" i="5" s="1"/>
  <c r="BK60" i="5"/>
  <c r="BN60" i="5" s="1"/>
  <c r="BP60" i="5" s="1"/>
  <c r="BS60" i="5" s="1"/>
  <c r="BJ48" i="5"/>
  <c r="BN48" i="5" s="1"/>
  <c r="BP48" i="5" s="1"/>
  <c r="BS48" i="5" s="1"/>
  <c r="BK27" i="5"/>
  <c r="BJ10" i="5"/>
  <c r="BK44" i="5"/>
  <c r="BM9" i="5"/>
  <c r="BQ9" i="5" s="1"/>
  <c r="CJ65" i="5"/>
  <c r="CM65" i="5" s="1"/>
  <c r="CP65" i="5" s="1"/>
  <c r="CJ33" i="5"/>
  <c r="CM33" i="5" s="1"/>
  <c r="CP33" i="5" s="1"/>
  <c r="BJ43" i="5"/>
  <c r="BM43" i="5" s="1"/>
  <c r="BQ43" i="5" s="1"/>
  <c r="BJ28" i="5"/>
  <c r="BO28" i="5" s="1"/>
  <c r="BR28" i="5" s="1"/>
  <c r="BM14" i="5"/>
  <c r="BQ14" i="5" s="1"/>
  <c r="BN56" i="5"/>
  <c r="BP56" i="5" s="1"/>
  <c r="BS56" i="5" s="1"/>
  <c r="BM61" i="5"/>
  <c r="BQ61" i="5" s="1"/>
  <c r="CJ62" i="5"/>
  <c r="CM62" i="5" s="1"/>
  <c r="CP62" i="5" s="1"/>
  <c r="BN53" i="5"/>
  <c r="BP53" i="5" s="1"/>
  <c r="BS53" i="5" s="1"/>
  <c r="BJ39" i="5"/>
  <c r="CH41" i="5"/>
  <c r="CK41" i="5" s="1"/>
  <c r="CN41" i="5" s="1"/>
  <c r="CI30" i="5"/>
  <c r="CL30" i="5" s="1"/>
  <c r="CO30" i="5" s="1"/>
  <c r="BJ27" i="5"/>
  <c r="BM27" i="5" s="1"/>
  <c r="BQ27" i="5" s="1"/>
  <c r="CJ51" i="5"/>
  <c r="CM51" i="5" s="1"/>
  <c r="CP51" i="5" s="1"/>
  <c r="BL59" i="5"/>
  <c r="CI50" i="5"/>
  <c r="CL50" i="5" s="1"/>
  <c r="CO50" i="5" s="1"/>
  <c r="CJ39" i="5"/>
  <c r="CM39" i="5" s="1"/>
  <c r="CP39" i="5" s="1"/>
  <c r="BL64" i="5"/>
  <c r="BJ35" i="5"/>
  <c r="BM35" i="5" s="1"/>
  <c r="BQ35" i="5" s="1"/>
  <c r="BJ25" i="5"/>
  <c r="BJ18" i="5"/>
  <c r="BO18" i="5" s="1"/>
  <c r="BR18" i="5" s="1"/>
  <c r="CH29" i="5"/>
  <c r="CK29" i="5" s="1"/>
  <c r="CN29" i="5" s="1"/>
  <c r="BK64" i="5"/>
  <c r="BL58" i="5"/>
  <c r="CJ49" i="5"/>
  <c r="CM49" i="5" s="1"/>
  <c r="CP49" i="5" s="1"/>
  <c r="BJ64" i="5"/>
  <c r="BK58" i="5"/>
  <c r="BJ32" i="5"/>
  <c r="BM32" i="5" s="1"/>
  <c r="BQ32" i="5" s="1"/>
  <c r="BK24" i="5"/>
  <c r="BL16" i="5"/>
  <c r="BL10" i="5"/>
  <c r="BM10" i="5" s="1"/>
  <c r="BQ10" i="5" s="1"/>
  <c r="CJ47" i="5"/>
  <c r="CM47" i="5" s="1"/>
  <c r="CP47" i="5" s="1"/>
  <c r="BL63" i="5"/>
  <c r="BO50" i="5"/>
  <c r="BR50" i="5" s="1"/>
  <c r="CJ36" i="5"/>
  <c r="CM36" i="5" s="1"/>
  <c r="CP36" i="5" s="1"/>
  <c r="CJ17" i="5"/>
  <c r="CJ9" i="5"/>
  <c r="CM9" i="5" s="1"/>
  <c r="CP9" i="5" s="1"/>
  <c r="BL57" i="5"/>
  <c r="BL15" i="5"/>
  <c r="BN15" i="5" s="1"/>
  <c r="BP15" i="5" s="1"/>
  <c r="BS15" i="5" s="1"/>
  <c r="CJ46" i="5"/>
  <c r="CM46" i="5" s="1"/>
  <c r="CP46" i="5" s="1"/>
  <c r="BL55" i="5"/>
  <c r="BJ45" i="5"/>
  <c r="CI34" i="5"/>
  <c r="CL34" i="5" s="1"/>
  <c r="CO34" i="5" s="1"/>
  <c r="BM56" i="5"/>
  <c r="BQ56" i="5" s="1"/>
  <c r="BK59" i="5"/>
  <c r="BM47" i="5"/>
  <c r="BQ47" i="5" s="1"/>
  <c r="CJ3" i="5"/>
  <c r="CM3" i="5" s="1"/>
  <c r="CP3" i="5" s="1"/>
  <c r="CJ56" i="5"/>
  <c r="CM56" i="5" s="1"/>
  <c r="CP56" i="5" s="1"/>
  <c r="CI51" i="5"/>
  <c r="CL51" i="5" s="1"/>
  <c r="CO51" i="5" s="1"/>
  <c r="CH46" i="5"/>
  <c r="CK46" i="5" s="1"/>
  <c r="CN46" i="5" s="1"/>
  <c r="CJ40" i="5"/>
  <c r="CM40" i="5" s="1"/>
  <c r="CP40" i="5" s="1"/>
  <c r="CI35" i="5"/>
  <c r="CL35" i="5" s="1"/>
  <c r="CO35" i="5" s="1"/>
  <c r="CH30" i="5"/>
  <c r="CK30" i="5" s="1"/>
  <c r="CN30" i="5" s="1"/>
  <c r="CJ8" i="5"/>
  <c r="CM8" i="5" s="1"/>
  <c r="CP8" i="5" s="1"/>
  <c r="CH9" i="5"/>
  <c r="CK9" i="5" s="1"/>
  <c r="CN9" i="5" s="1"/>
  <c r="BJ12" i="5"/>
  <c r="CI56" i="5"/>
  <c r="CL56" i="5" s="1"/>
  <c r="CO56" i="5" s="1"/>
  <c r="CJ45" i="5"/>
  <c r="CM45" i="5" s="1"/>
  <c r="CP45" i="5" s="1"/>
  <c r="CI40" i="5"/>
  <c r="CL40" i="5" s="1"/>
  <c r="CO40" i="5" s="1"/>
  <c r="CH19" i="5"/>
  <c r="CK19" i="5" s="1"/>
  <c r="CN19" i="5" s="1"/>
  <c r="BK45" i="5"/>
  <c r="BM45" i="5" s="1"/>
  <c r="BQ45" i="5" s="1"/>
  <c r="BK22" i="5"/>
  <c r="BJ17" i="5"/>
  <c r="BN17" i="5" s="1"/>
  <c r="BP17" i="5" s="1"/>
  <c r="BL11" i="5"/>
  <c r="BO11" i="5" s="1"/>
  <c r="BR11" i="5" s="1"/>
  <c r="BO49" i="5"/>
  <c r="BR49" i="5" s="1"/>
  <c r="CJ66" i="5"/>
  <c r="CM66" i="5" s="1"/>
  <c r="CP66" i="5" s="1"/>
  <c r="CJ50" i="5"/>
  <c r="CM50" i="5" s="1"/>
  <c r="CP50" i="5" s="1"/>
  <c r="CH40" i="5"/>
  <c r="CK40" i="5" s="1"/>
  <c r="CN40" i="5" s="1"/>
  <c r="CJ34" i="5"/>
  <c r="CM34" i="5" s="1"/>
  <c r="CP34" i="5" s="1"/>
  <c r="CH8" i="5"/>
  <c r="CK8" i="5" s="1"/>
  <c r="CN8" i="5" s="1"/>
  <c r="BJ33" i="5"/>
  <c r="BM33" i="5" s="1"/>
  <c r="BQ33" i="5" s="1"/>
  <c r="BK57" i="5"/>
  <c r="BJ44" i="5"/>
  <c r="BK21" i="5"/>
  <c r="BJ5" i="5"/>
  <c r="BO5" i="5" s="1"/>
  <c r="BR5" i="5" s="1"/>
  <c r="CI49" i="5"/>
  <c r="CL49" i="5" s="1"/>
  <c r="CO49" i="5" s="1"/>
  <c r="CJ38" i="5"/>
  <c r="CM38" i="5" s="1"/>
  <c r="CP38" i="5" s="1"/>
  <c r="CI33" i="5"/>
  <c r="CL33" i="5" s="1"/>
  <c r="CO33" i="5" s="1"/>
  <c r="BK26" i="5"/>
  <c r="BK25" i="5"/>
  <c r="BO25" i="5" s="1"/>
  <c r="BR25" i="5" s="1"/>
  <c r="BJ21" i="5"/>
  <c r="BL4" i="5"/>
  <c r="BN4" i="5" s="1"/>
  <c r="BP4" i="5" s="1"/>
  <c r="CH65" i="5"/>
  <c r="CK65" i="5" s="1"/>
  <c r="CN65" i="5" s="1"/>
  <c r="CH49" i="5"/>
  <c r="CJ43" i="5"/>
  <c r="CM43" i="5" s="1"/>
  <c r="CP43" i="5" s="1"/>
  <c r="CI38" i="5"/>
  <c r="CL38" i="5" s="1"/>
  <c r="CO38" i="5" s="1"/>
  <c r="CI28" i="5"/>
  <c r="CL28" i="5" s="1"/>
  <c r="CO28" i="5" s="1"/>
  <c r="BM51" i="5"/>
  <c r="BQ51" i="5" s="1"/>
  <c r="CJ48" i="5"/>
  <c r="CM48" i="5" s="1"/>
  <c r="CP48" i="5" s="1"/>
  <c r="CI43" i="5"/>
  <c r="CL43" i="5" s="1"/>
  <c r="CO43" i="5" s="1"/>
  <c r="CH38" i="5"/>
  <c r="CK38" i="5" s="1"/>
  <c r="CN38" i="5" s="1"/>
  <c r="CJ32" i="5"/>
  <c r="CM32" i="5" s="1"/>
  <c r="CP32" i="5" s="1"/>
  <c r="BN38" i="5"/>
  <c r="BP38" i="5" s="1"/>
  <c r="BS38" i="5" s="1"/>
  <c r="BJ26" i="5"/>
  <c r="BN24" i="5"/>
  <c r="BP24" i="5" s="1"/>
  <c r="CI48" i="5"/>
  <c r="CL48" i="5" s="1"/>
  <c r="CO48" i="5" s="1"/>
  <c r="CJ37" i="5"/>
  <c r="CM37" i="5" s="1"/>
  <c r="CP37" i="5" s="1"/>
  <c r="CI32" i="5"/>
  <c r="CL32" i="5" s="1"/>
  <c r="CO32" i="5" s="1"/>
  <c r="CJ5" i="5"/>
  <c r="CM5" i="5" s="1"/>
  <c r="CP5" i="5" s="1"/>
  <c r="BO66" i="5"/>
  <c r="BR66" i="5" s="1"/>
  <c r="BJ20" i="5"/>
  <c r="BO20" i="5" s="1"/>
  <c r="BR20" i="5" s="1"/>
  <c r="BM36" i="5"/>
  <c r="BQ36" i="5" s="1"/>
  <c r="CJ42" i="5"/>
  <c r="CM42" i="5" s="1"/>
  <c r="CP42" i="5" s="1"/>
  <c r="CI37" i="5"/>
  <c r="CL37" i="5" s="1"/>
  <c r="CO37" i="5" s="1"/>
  <c r="BN3" i="5"/>
  <c r="BP3" i="5" s="1"/>
  <c r="BS3" i="5" s="1"/>
  <c r="BN8" i="5"/>
  <c r="BP8" i="5" s="1"/>
  <c r="BS8" i="5" s="1"/>
  <c r="BM30" i="5"/>
  <c r="BQ30" i="5" s="1"/>
  <c r="CJ52" i="5"/>
  <c r="CM52" i="5" s="1"/>
  <c r="CP52" i="5" s="1"/>
  <c r="CI52" i="5"/>
  <c r="CL52" i="5" s="1"/>
  <c r="CO52" i="5" s="1"/>
  <c r="BO32" i="5"/>
  <c r="BR32" i="5" s="1"/>
  <c r="BO34" i="5"/>
  <c r="BR34" i="5" s="1"/>
  <c r="BM19" i="5"/>
  <c r="BQ19" i="5" s="1"/>
  <c r="BN19" i="5"/>
  <c r="BP19" i="5" s="1"/>
  <c r="BS19" i="5" s="1"/>
  <c r="BO19" i="5"/>
  <c r="BR19" i="5" s="1"/>
  <c r="BN52" i="5"/>
  <c r="BP52" i="5" s="1"/>
  <c r="BS52" i="5" s="1"/>
  <c r="BN40" i="5"/>
  <c r="BP40" i="5" s="1"/>
  <c r="BS40" i="5" s="1"/>
  <c r="BM40" i="5"/>
  <c r="BQ40" i="5" s="1"/>
  <c r="BO33" i="5"/>
  <c r="BR33" i="5" s="1"/>
  <c r="BM49" i="5"/>
  <c r="BQ49" i="5" s="1"/>
  <c r="BM41" i="5"/>
  <c r="BQ41" i="5" s="1"/>
  <c r="BO53" i="5"/>
  <c r="BR53" i="5" s="1"/>
  <c r="BM38" i="5"/>
  <c r="BQ38" i="5" s="1"/>
  <c r="BM8" i="5"/>
  <c r="BQ8" i="5" s="1"/>
  <c r="BM66" i="5"/>
  <c r="BQ66" i="5" s="1"/>
  <c r="BO56" i="5"/>
  <c r="BR56" i="5" s="1"/>
  <c r="BM50" i="5"/>
  <c r="BQ50" i="5" s="1"/>
  <c r="BM53" i="5"/>
  <c r="BQ53" i="5" s="1"/>
  <c r="BT53" i="5" s="1"/>
  <c r="BO40" i="5"/>
  <c r="BR40" i="5" s="1"/>
  <c r="BM34" i="5"/>
  <c r="BQ34" i="5" s="1"/>
  <c r="BM65" i="5"/>
  <c r="BQ65" i="5" s="1"/>
  <c r="BM46" i="5"/>
  <c r="BQ46" i="5" s="1"/>
  <c r="BN42" i="5"/>
  <c r="BP42" i="5" s="1"/>
  <c r="BS42" i="5" s="1"/>
  <c r="BM52" i="5"/>
  <c r="BQ52" i="5" s="1"/>
  <c r="BN23" i="5"/>
  <c r="BP23" i="5" s="1"/>
  <c r="BS23" i="5" s="1"/>
  <c r="BM3" i="5"/>
  <c r="BQ3" i="5" s="1"/>
  <c r="BN61" i="5"/>
  <c r="BP61" i="5" s="1"/>
  <c r="BO51" i="5"/>
  <c r="BR51" i="5" s="1"/>
  <c r="BO42" i="5"/>
  <c r="BR42" i="5" s="1"/>
  <c r="BO8" i="5"/>
  <c r="BR8" i="5" s="1"/>
  <c r="BN51" i="5"/>
  <c r="BP51" i="5" s="1"/>
  <c r="BS51" i="5" s="1"/>
  <c r="BO38" i="5"/>
  <c r="BR38" i="5" s="1"/>
  <c r="BO6" i="5"/>
  <c r="BR6" i="5" s="1"/>
  <c r="BO65" i="5"/>
  <c r="BR65" i="5" s="1"/>
  <c r="BU65" i="5" s="1"/>
  <c r="BN49" i="5"/>
  <c r="BP49" i="5" s="1"/>
  <c r="BO23" i="5"/>
  <c r="BR23" i="5" s="1"/>
  <c r="BN66" i="5"/>
  <c r="BP66" i="5" s="1"/>
  <c r="BN50" i="5"/>
  <c r="BP50" i="5" s="1"/>
  <c r="BN34" i="5"/>
  <c r="BP34" i="5" s="1"/>
  <c r="BO3" i="5"/>
  <c r="BR3" i="5" s="1"/>
  <c r="BO46" i="5"/>
  <c r="BR46" i="5" s="1"/>
  <c r="BO30" i="5"/>
  <c r="BR30" i="5" s="1"/>
  <c r="BO14" i="5"/>
  <c r="BR14" i="5" s="1"/>
  <c r="BN46" i="5"/>
  <c r="BP46" i="5" s="1"/>
  <c r="BO41" i="5"/>
  <c r="BR41" i="5" s="1"/>
  <c r="BN30" i="5"/>
  <c r="BP30" i="5" s="1"/>
  <c r="BO9" i="5"/>
  <c r="BR9" i="5" s="1"/>
  <c r="BO52" i="5"/>
  <c r="BR52" i="5" s="1"/>
  <c r="BN41" i="5"/>
  <c r="BP41" i="5" s="1"/>
  <c r="BO36" i="5"/>
  <c r="BR36" i="5" s="1"/>
  <c r="BN9" i="5"/>
  <c r="BP9" i="5" s="1"/>
  <c r="BN36" i="5"/>
  <c r="BP36" i="5" s="1"/>
  <c r="AP20" i="5"/>
  <c r="AT20" i="5" s="1"/>
  <c r="AR66" i="5"/>
  <c r="AU66" i="5" s="1"/>
  <c r="AR50" i="5"/>
  <c r="AU50" i="5" s="1"/>
  <c r="AR34" i="5"/>
  <c r="AU34" i="5" s="1"/>
  <c r="AP4" i="5"/>
  <c r="AT4" i="5" s="1"/>
  <c r="AR12" i="5"/>
  <c r="AU12" i="5" s="1"/>
  <c r="AQ57" i="5"/>
  <c r="AS57" i="5" s="1"/>
  <c r="AV57" i="5" s="1"/>
  <c r="AQ41" i="5"/>
  <c r="AS41" i="5" s="1"/>
  <c r="AV41" i="5" s="1"/>
  <c r="AR18" i="5"/>
  <c r="AU18" i="5" s="1"/>
  <c r="AQ7" i="5"/>
  <c r="AS7" i="5" s="1"/>
  <c r="AV7" i="5" s="1"/>
  <c r="AP49" i="5"/>
  <c r="AT49" i="5" s="1"/>
  <c r="AR3" i="5"/>
  <c r="AU3" i="5" s="1"/>
  <c r="AQ62" i="5"/>
  <c r="AS62" i="5" s="1"/>
  <c r="AV62" i="5" s="1"/>
  <c r="AR51" i="5"/>
  <c r="AU51" i="5" s="1"/>
  <c r="AQ46" i="5"/>
  <c r="AS46" i="5" s="1"/>
  <c r="AV46" i="5" s="1"/>
  <c r="AR35" i="5"/>
  <c r="AU35" i="5" s="1"/>
  <c r="AQ61" i="5"/>
  <c r="AS61" i="5" s="1"/>
  <c r="AV61" i="5" s="1"/>
  <c r="AP56" i="5"/>
  <c r="AT56" i="5" s="1"/>
  <c r="AP40" i="5"/>
  <c r="AT40" i="5" s="1"/>
  <c r="AR7" i="5"/>
  <c r="AU7" i="5" s="1"/>
  <c r="AP24" i="5"/>
  <c r="AT24" i="5" s="1"/>
  <c r="AP19" i="5"/>
  <c r="AT19" i="5" s="1"/>
  <c r="AP55" i="5"/>
  <c r="AT55" i="5" s="1"/>
  <c r="AP39" i="5"/>
  <c r="AT39" i="5" s="1"/>
  <c r="AP23" i="5"/>
  <c r="AT23" i="5" s="1"/>
  <c r="AP7" i="5"/>
  <c r="AT7" i="5" s="1"/>
  <c r="AQ45" i="5"/>
  <c r="AS45" i="5" s="1"/>
  <c r="AV45" i="5" s="1"/>
  <c r="AQ29" i="5"/>
  <c r="AS29" i="5" s="1"/>
  <c r="AV29" i="5" s="1"/>
  <c r="AP60" i="5"/>
  <c r="AT60" i="5" s="1"/>
  <c r="AP44" i="5"/>
  <c r="AT44" i="5" s="1"/>
  <c r="AP22" i="5"/>
  <c r="AT22" i="5" s="1"/>
  <c r="AP37" i="5"/>
  <c r="AT37" i="5" s="1"/>
  <c r="AP64" i="5"/>
  <c r="AT64" i="5" s="1"/>
  <c r="AP32" i="5"/>
  <c r="AT32" i="5" s="1"/>
  <c r="AQ58" i="5"/>
  <c r="AS58" i="5" s="1"/>
  <c r="AV58" i="5" s="1"/>
  <c r="AQ42" i="5"/>
  <c r="AS42" i="5" s="1"/>
  <c r="AV42" i="5" s="1"/>
  <c r="AP10" i="5"/>
  <c r="AT10" i="5" s="1"/>
  <c r="AP53" i="5"/>
  <c r="AT53" i="5" s="1"/>
  <c r="AP48" i="5"/>
  <c r="AT48" i="5" s="1"/>
  <c r="AR62" i="5"/>
  <c r="AU62" i="5" s="1"/>
  <c r="AQ51" i="5"/>
  <c r="AS51" i="5" s="1"/>
  <c r="AR46" i="5"/>
  <c r="AU46" i="5" s="1"/>
  <c r="AQ35" i="5"/>
  <c r="AS35" i="5" s="1"/>
  <c r="AV35" i="5" s="1"/>
  <c r="AR30" i="5"/>
  <c r="AU30" i="5" s="1"/>
  <c r="AQ19" i="5"/>
  <c r="AS19" i="5" s="1"/>
  <c r="AR14" i="5"/>
  <c r="AU14" i="5" s="1"/>
  <c r="AP51" i="5"/>
  <c r="AT51" i="5" s="1"/>
  <c r="AP35" i="5"/>
  <c r="AT35" i="5" s="1"/>
  <c r="AQ13" i="5"/>
  <c r="AS13" i="5" s="1"/>
  <c r="AV13" i="5" s="1"/>
  <c r="AP8" i="5"/>
  <c r="AT8" i="5" s="1"/>
  <c r="AQ66" i="5"/>
  <c r="AS66" i="5" s="1"/>
  <c r="AV66" i="5" s="1"/>
  <c r="AP61" i="5"/>
  <c r="AT61" i="5" s="1"/>
  <c r="AR55" i="5"/>
  <c r="AU55" i="5" s="1"/>
  <c r="AQ50" i="5"/>
  <c r="AS50" i="5" s="1"/>
  <c r="AP45" i="5"/>
  <c r="AT45" i="5" s="1"/>
  <c r="AR39" i="5"/>
  <c r="AU39" i="5" s="1"/>
  <c r="AQ34" i="5"/>
  <c r="AS34" i="5" s="1"/>
  <c r="AP29" i="5"/>
  <c r="AT29" i="5" s="1"/>
  <c r="AR23" i="5"/>
  <c r="AU23" i="5" s="1"/>
  <c r="AQ18" i="5"/>
  <c r="AS18" i="5" s="1"/>
  <c r="AP13" i="5"/>
  <c r="AT13" i="5" s="1"/>
  <c r="AP66" i="5"/>
  <c r="AT66" i="5" s="1"/>
  <c r="AR60" i="5"/>
  <c r="AU60" i="5" s="1"/>
  <c r="AQ55" i="5"/>
  <c r="AS55" i="5" s="1"/>
  <c r="AP50" i="5"/>
  <c r="AT50" i="5" s="1"/>
  <c r="AR44" i="5"/>
  <c r="AU44" i="5" s="1"/>
  <c r="AQ39" i="5"/>
  <c r="AS39" i="5" s="1"/>
  <c r="AP34" i="5"/>
  <c r="AT34" i="5" s="1"/>
  <c r="AR28" i="5"/>
  <c r="AU28" i="5" s="1"/>
  <c r="AQ23" i="5"/>
  <c r="AS23" i="5" s="1"/>
  <c r="AP18" i="5"/>
  <c r="AT18" i="5" s="1"/>
  <c r="AP28" i="5"/>
  <c r="AT28" i="5" s="1"/>
  <c r="AP12" i="5"/>
  <c r="AT12" i="5" s="1"/>
  <c r="AP33" i="5"/>
  <c r="AT33" i="5" s="1"/>
  <c r="AP17" i="5"/>
  <c r="AT17" i="5" s="1"/>
  <c r="AP54" i="5"/>
  <c r="AT54" i="5" s="1"/>
  <c r="AP38" i="5"/>
  <c r="AT38" i="5" s="1"/>
  <c r="AP6" i="5"/>
  <c r="AT6" i="5" s="1"/>
  <c r="AP59" i="5"/>
  <c r="AT59" i="5" s="1"/>
  <c r="AP43" i="5"/>
  <c r="AT43" i="5" s="1"/>
  <c r="AP27" i="5"/>
  <c r="AT27" i="5" s="1"/>
  <c r="AP11" i="5"/>
  <c r="AT11" i="5" s="1"/>
  <c r="AP65" i="5"/>
  <c r="AT65" i="5" s="1"/>
  <c r="AP16" i="5"/>
  <c r="AT16" i="5" s="1"/>
  <c r="AQ26" i="5"/>
  <c r="AS26" i="5" s="1"/>
  <c r="AV26" i="5" s="1"/>
  <c r="AP21" i="5"/>
  <c r="AT21" i="5" s="1"/>
  <c r="AQ10" i="5"/>
  <c r="AS10" i="5" s="1"/>
  <c r="AP5" i="5"/>
  <c r="AT5" i="5" s="1"/>
  <c r="AP26" i="5"/>
  <c r="AT26" i="5" s="1"/>
  <c r="AP58" i="5"/>
  <c r="AT58" i="5" s="1"/>
  <c r="AP42" i="5"/>
  <c r="AT42" i="5" s="1"/>
  <c r="AP63" i="5"/>
  <c r="AT63" i="5" s="1"/>
  <c r="AQ52" i="5"/>
  <c r="AS52" i="5" s="1"/>
  <c r="AV52" i="5" s="1"/>
  <c r="AP47" i="5"/>
  <c r="AT47" i="5" s="1"/>
  <c r="AQ36" i="5"/>
  <c r="AS36" i="5" s="1"/>
  <c r="AV36" i="5" s="1"/>
  <c r="AP31" i="5"/>
  <c r="AT31" i="5" s="1"/>
  <c r="AQ20" i="5"/>
  <c r="AS20" i="5" s="1"/>
  <c r="AV20" i="5" s="1"/>
  <c r="AP15" i="5"/>
  <c r="AT15" i="5" s="1"/>
  <c r="AQ4" i="5"/>
  <c r="AS4" i="5" s="1"/>
  <c r="AP52" i="5"/>
  <c r="AT52" i="5" s="1"/>
  <c r="AP36" i="5"/>
  <c r="AT36" i="5" s="1"/>
  <c r="AQ25" i="5"/>
  <c r="AS25" i="5" s="1"/>
  <c r="AV25" i="5" s="1"/>
  <c r="AR19" i="5"/>
  <c r="AU19" i="5" s="1"/>
  <c r="AQ14" i="5"/>
  <c r="AS14" i="5" s="1"/>
  <c r="AV14" i="5" s="1"/>
  <c r="AQ9" i="5"/>
  <c r="AS9" i="5" s="1"/>
  <c r="AV9" i="5" s="1"/>
  <c r="AQ30" i="5"/>
  <c r="AS30" i="5" s="1"/>
  <c r="AP3" i="5"/>
  <c r="AT3" i="5" s="1"/>
  <c r="AQ3" i="5"/>
  <c r="AS3" i="5" s="1"/>
  <c r="AP62" i="5"/>
  <c r="AT62" i="5" s="1"/>
  <c r="AR56" i="5"/>
  <c r="AU56" i="5" s="1"/>
  <c r="AP46" i="5"/>
  <c r="AT46" i="5" s="1"/>
  <c r="AR40" i="5"/>
  <c r="AU40" i="5" s="1"/>
  <c r="AP30" i="5"/>
  <c r="AT30" i="5" s="1"/>
  <c r="AR24" i="5"/>
  <c r="AU24" i="5" s="1"/>
  <c r="AP14" i="5"/>
  <c r="AT14" i="5" s="1"/>
  <c r="AR8" i="5"/>
  <c r="AU8" i="5" s="1"/>
  <c r="AR61" i="5"/>
  <c r="AU61" i="5" s="1"/>
  <c r="AQ56" i="5"/>
  <c r="AS56" i="5" s="1"/>
  <c r="AR45" i="5"/>
  <c r="AU45" i="5" s="1"/>
  <c r="AQ40" i="5"/>
  <c r="AS40" i="5" s="1"/>
  <c r="AR29" i="5"/>
  <c r="AU29" i="5" s="1"/>
  <c r="AQ24" i="5"/>
  <c r="AS24" i="5" s="1"/>
  <c r="AR13" i="5"/>
  <c r="AU13" i="5" s="1"/>
  <c r="AQ8" i="5"/>
  <c r="AS8" i="5" s="1"/>
  <c r="AP57" i="5"/>
  <c r="AT57" i="5" s="1"/>
  <c r="AP9" i="5"/>
  <c r="AT9" i="5" s="1"/>
  <c r="AP41" i="5"/>
  <c r="AT41" i="5" s="1"/>
  <c r="AR65" i="5"/>
  <c r="AU65" i="5" s="1"/>
  <c r="AQ60" i="5"/>
  <c r="AS60" i="5" s="1"/>
  <c r="AR49" i="5"/>
  <c r="AU49" i="5" s="1"/>
  <c r="AQ44" i="5"/>
  <c r="AS44" i="5" s="1"/>
  <c r="AR33" i="5"/>
  <c r="AU33" i="5" s="1"/>
  <c r="AQ28" i="5"/>
  <c r="AS28" i="5" s="1"/>
  <c r="AR17" i="5"/>
  <c r="AU17" i="5" s="1"/>
  <c r="AQ12" i="5"/>
  <c r="AS12" i="5" s="1"/>
  <c r="AQ65" i="5"/>
  <c r="AS65" i="5" s="1"/>
  <c r="AR54" i="5"/>
  <c r="AU54" i="5" s="1"/>
  <c r="AQ49" i="5"/>
  <c r="AS49" i="5" s="1"/>
  <c r="AR38" i="5"/>
  <c r="AU38" i="5" s="1"/>
  <c r="AQ33" i="5"/>
  <c r="AS33" i="5" s="1"/>
  <c r="AR22" i="5"/>
  <c r="AU22" i="5" s="1"/>
  <c r="AQ17" i="5"/>
  <c r="AS17" i="5" s="1"/>
  <c r="AR6" i="5"/>
  <c r="AU6" i="5" s="1"/>
  <c r="AP25" i="5"/>
  <c r="AT25" i="5" s="1"/>
  <c r="AR59" i="5"/>
  <c r="AU59" i="5" s="1"/>
  <c r="AQ54" i="5"/>
  <c r="AS54" i="5" s="1"/>
  <c r="AR43" i="5"/>
  <c r="AU43" i="5" s="1"/>
  <c r="AQ38" i="5"/>
  <c r="AS38" i="5" s="1"/>
  <c r="AR27" i="5"/>
  <c r="AU27" i="5" s="1"/>
  <c r="AQ22" i="5"/>
  <c r="AS22" i="5" s="1"/>
  <c r="AR11" i="5"/>
  <c r="AU11" i="5" s="1"/>
  <c r="AQ6" i="5"/>
  <c r="AS6" i="5" s="1"/>
  <c r="AR64" i="5"/>
  <c r="AU64" i="5" s="1"/>
  <c r="AQ59" i="5"/>
  <c r="AS59" i="5" s="1"/>
  <c r="AR48" i="5"/>
  <c r="AU48" i="5" s="1"/>
  <c r="AQ43" i="5"/>
  <c r="AS43" i="5" s="1"/>
  <c r="AR32" i="5"/>
  <c r="AU32" i="5" s="1"/>
  <c r="AQ27" i="5"/>
  <c r="AS27" i="5" s="1"/>
  <c r="AR16" i="5"/>
  <c r="AU16" i="5" s="1"/>
  <c r="AQ11" i="5"/>
  <c r="AS11" i="5" s="1"/>
  <c r="AQ64" i="5"/>
  <c r="AS64" i="5" s="1"/>
  <c r="AR53" i="5"/>
  <c r="AU53" i="5" s="1"/>
  <c r="AQ48" i="5"/>
  <c r="AS48" i="5" s="1"/>
  <c r="AR37" i="5"/>
  <c r="AU37" i="5" s="1"/>
  <c r="AQ32" i="5"/>
  <c r="AS32" i="5" s="1"/>
  <c r="AR21" i="5"/>
  <c r="AU21" i="5" s="1"/>
  <c r="AQ16" i="5"/>
  <c r="AS16" i="5" s="1"/>
  <c r="AR5" i="5"/>
  <c r="AU5" i="5" s="1"/>
  <c r="AR58" i="5"/>
  <c r="AU58" i="5" s="1"/>
  <c r="AQ53" i="5"/>
  <c r="AS53" i="5" s="1"/>
  <c r="AR42" i="5"/>
  <c r="AU42" i="5" s="1"/>
  <c r="AQ37" i="5"/>
  <c r="AS37" i="5" s="1"/>
  <c r="AR26" i="5"/>
  <c r="AU26" i="5" s="1"/>
  <c r="AQ21" i="5"/>
  <c r="AS21" i="5" s="1"/>
  <c r="AR10" i="5"/>
  <c r="AU10" i="5" s="1"/>
  <c r="AQ5" i="5"/>
  <c r="AS5" i="5" s="1"/>
  <c r="AR63" i="5"/>
  <c r="AU63" i="5" s="1"/>
  <c r="AR47" i="5"/>
  <c r="AU47" i="5" s="1"/>
  <c r="AR31" i="5"/>
  <c r="AU31" i="5" s="1"/>
  <c r="AR15" i="5"/>
  <c r="AU15" i="5" s="1"/>
  <c r="AQ63" i="5"/>
  <c r="AS63" i="5" s="1"/>
  <c r="AR52" i="5"/>
  <c r="AU52" i="5" s="1"/>
  <c r="AQ47" i="5"/>
  <c r="AS47" i="5" s="1"/>
  <c r="AR36" i="5"/>
  <c r="AU36" i="5" s="1"/>
  <c r="AQ31" i="5"/>
  <c r="AS31" i="5" s="1"/>
  <c r="AR20" i="5"/>
  <c r="AU20" i="5" s="1"/>
  <c r="AQ15" i="5"/>
  <c r="AS15" i="5" s="1"/>
  <c r="AR4" i="5"/>
  <c r="AU4" i="5" s="1"/>
  <c r="AR57" i="5"/>
  <c r="AU57" i="5" s="1"/>
  <c r="AR41" i="5"/>
  <c r="AU41" i="5" s="1"/>
  <c r="AR25" i="5"/>
  <c r="AU25" i="5" s="1"/>
  <c r="AR9" i="5"/>
  <c r="AU9" i="5" s="1"/>
  <c r="M69" i="5"/>
  <c r="P69" i="5" s="1"/>
  <c r="L69" i="5"/>
  <c r="N69" i="5" s="1"/>
  <c r="Q69" i="5" s="1"/>
  <c r="K73" i="5"/>
  <c r="O73" i="5" s="1"/>
  <c r="L68" i="5"/>
  <c r="N68" i="5" s="1"/>
  <c r="Q68" i="5" s="1"/>
  <c r="K69" i="5"/>
  <c r="O69" i="5" s="1"/>
  <c r="L72" i="5"/>
  <c r="N72" i="5" s="1"/>
  <c r="Q72" i="5" s="1"/>
  <c r="K76" i="5"/>
  <c r="O76" i="5" s="1"/>
  <c r="L75" i="5"/>
  <c r="N75" i="5" s="1"/>
  <c r="Q75" i="5" s="1"/>
  <c r="L73" i="5"/>
  <c r="N73" i="5" s="1"/>
  <c r="Q73" i="5" s="1"/>
  <c r="K74" i="5"/>
  <c r="O74" i="5" s="1"/>
  <c r="K70" i="5"/>
  <c r="O70" i="5" s="1"/>
  <c r="K78" i="5"/>
  <c r="O78" i="5" s="1"/>
  <c r="M73" i="5"/>
  <c r="P73" i="5" s="1"/>
  <c r="K77" i="5"/>
  <c r="O77" i="5" s="1"/>
  <c r="K72" i="5"/>
  <c r="O72" i="5" s="1"/>
  <c r="L71" i="5"/>
  <c r="N71" i="5" s="1"/>
  <c r="Q71" i="5" s="1"/>
  <c r="K75" i="5"/>
  <c r="O75" i="5" s="1"/>
  <c r="L76" i="5"/>
  <c r="N76" i="5" s="1"/>
  <c r="K68" i="5"/>
  <c r="O68" i="5" s="1"/>
  <c r="M77" i="5"/>
  <c r="P77" i="5" s="1"/>
  <c r="K71" i="5"/>
  <c r="O71" i="5" s="1"/>
  <c r="L77" i="5"/>
  <c r="N77" i="5" s="1"/>
  <c r="Q77" i="5" s="1"/>
  <c r="K67" i="5"/>
  <c r="O67" i="5" s="1"/>
  <c r="L67" i="5"/>
  <c r="N67" i="5" s="1"/>
  <c r="M78" i="5"/>
  <c r="P78" i="5" s="1"/>
  <c r="M74" i="5"/>
  <c r="P74" i="5" s="1"/>
  <c r="M70" i="5"/>
  <c r="P70" i="5" s="1"/>
  <c r="L78" i="5"/>
  <c r="N78" i="5" s="1"/>
  <c r="L74" i="5"/>
  <c r="N74" i="5" s="1"/>
  <c r="L70" i="5"/>
  <c r="N70" i="5" s="1"/>
  <c r="M75" i="5"/>
  <c r="P75" i="5" s="1"/>
  <c r="M71" i="5"/>
  <c r="P71" i="5" s="1"/>
  <c r="M67" i="5"/>
  <c r="P67" i="5" s="1"/>
  <c r="M76" i="5"/>
  <c r="P76" i="5" s="1"/>
  <c r="M72" i="5"/>
  <c r="P72" i="5" s="1"/>
  <c r="M68" i="5"/>
  <c r="P68" i="5" s="1"/>
  <c r="K56" i="5"/>
  <c r="O56" i="5" s="1"/>
  <c r="M3" i="5"/>
  <c r="P3" i="5" s="1"/>
  <c r="M30" i="5"/>
  <c r="P30" i="5" s="1"/>
  <c r="L6" i="5"/>
  <c r="N6" i="5" s="1"/>
  <c r="Q6" i="5" s="1"/>
  <c r="K8" i="5"/>
  <c r="O8" i="5" s="1"/>
  <c r="M11" i="5"/>
  <c r="P11" i="5" s="1"/>
  <c r="K55" i="5"/>
  <c r="O55" i="5" s="1"/>
  <c r="L12" i="5"/>
  <c r="N12" i="5" s="1"/>
  <c r="Q12" i="5" s="1"/>
  <c r="L38" i="5"/>
  <c r="N38" i="5" s="1"/>
  <c r="Q38" i="5" s="1"/>
  <c r="L37" i="5"/>
  <c r="N37" i="5" s="1"/>
  <c r="Q37" i="5" s="1"/>
  <c r="K32" i="5"/>
  <c r="O32" i="5" s="1"/>
  <c r="L5" i="5"/>
  <c r="N5" i="5" s="1"/>
  <c r="Q5" i="5" s="1"/>
  <c r="K27" i="5"/>
  <c r="O27" i="5" s="1"/>
  <c r="K26" i="5"/>
  <c r="O26" i="5" s="1"/>
  <c r="K10" i="5"/>
  <c r="O10" i="5" s="1"/>
  <c r="M56" i="5"/>
  <c r="P56" i="5" s="1"/>
  <c r="K24" i="5"/>
  <c r="O24" i="5" s="1"/>
  <c r="K7" i="5"/>
  <c r="O7" i="5" s="1"/>
  <c r="K33" i="5"/>
  <c r="O33" i="5" s="1"/>
  <c r="M59" i="5"/>
  <c r="P59" i="5" s="1"/>
  <c r="M48" i="5"/>
  <c r="P48" i="5" s="1"/>
  <c r="K49" i="5"/>
  <c r="O49" i="5" s="1"/>
  <c r="L21" i="5"/>
  <c r="N21" i="5" s="1"/>
  <c r="K57" i="5"/>
  <c r="O57" i="5" s="1"/>
  <c r="L36" i="5"/>
  <c r="N36" i="5" s="1"/>
  <c r="L3" i="5"/>
  <c r="N3" i="5" s="1"/>
  <c r="K62" i="5"/>
  <c r="O62" i="5" s="1"/>
  <c r="K41" i="5"/>
  <c r="O41" i="5" s="1"/>
  <c r="K3" i="5"/>
  <c r="O3" i="5" s="1"/>
  <c r="M54" i="5"/>
  <c r="P54" i="5" s="1"/>
  <c r="L43" i="5"/>
  <c r="N43" i="5" s="1"/>
  <c r="L13" i="5"/>
  <c r="N13" i="5" s="1"/>
  <c r="M8" i="5"/>
  <c r="P8" i="5" s="1"/>
  <c r="M63" i="5"/>
  <c r="P63" i="5" s="1"/>
  <c r="K43" i="5"/>
  <c r="O43" i="5" s="1"/>
  <c r="K38" i="5"/>
  <c r="O38" i="5" s="1"/>
  <c r="L23" i="5"/>
  <c r="N23" i="5" s="1"/>
  <c r="L48" i="5"/>
  <c r="N48" i="5" s="1"/>
  <c r="M39" i="5"/>
  <c r="P39" i="5" s="1"/>
  <c r="K58" i="5"/>
  <c r="O58" i="5" s="1"/>
  <c r="K42" i="5"/>
  <c r="O42" i="5" s="1"/>
  <c r="L27" i="5"/>
  <c r="N27" i="5" s="1"/>
  <c r="L22" i="5"/>
  <c r="N22" i="5" s="1"/>
  <c r="K34" i="5"/>
  <c r="O34" i="5" s="1"/>
  <c r="K16" i="5"/>
  <c r="O16" i="5" s="1"/>
  <c r="K54" i="5"/>
  <c r="O54" i="5" s="1"/>
  <c r="M47" i="5"/>
  <c r="P47" i="5" s="1"/>
  <c r="K51" i="5"/>
  <c r="O51" i="5" s="1"/>
  <c r="M31" i="5"/>
  <c r="P31" i="5" s="1"/>
  <c r="L41" i="5"/>
  <c r="N41" i="5" s="1"/>
  <c r="K40" i="5"/>
  <c r="O40" i="5" s="1"/>
  <c r="L30" i="5"/>
  <c r="N30" i="5" s="1"/>
  <c r="L20" i="5"/>
  <c r="N20" i="5" s="1"/>
  <c r="K14" i="5"/>
  <c r="O14" i="5" s="1"/>
  <c r="L66" i="5"/>
  <c r="N66" i="5" s="1"/>
  <c r="K65" i="5"/>
  <c r="O65" i="5" s="1"/>
  <c r="L50" i="5"/>
  <c r="N50" i="5" s="1"/>
  <c r="K45" i="5"/>
  <c r="O45" i="5" s="1"/>
  <c r="M35" i="5"/>
  <c r="P35" i="5" s="1"/>
  <c r="K9" i="5"/>
  <c r="O9" i="5" s="1"/>
  <c r="L46" i="5"/>
  <c r="N46" i="5" s="1"/>
  <c r="L19" i="5"/>
  <c r="N19" i="5" s="1"/>
  <c r="L8" i="5"/>
  <c r="N8" i="5" s="1"/>
  <c r="K64" i="5"/>
  <c r="O64" i="5" s="1"/>
  <c r="K60" i="5"/>
  <c r="O60" i="5" s="1"/>
  <c r="K48" i="5"/>
  <c r="O48" i="5" s="1"/>
  <c r="M40" i="5"/>
  <c r="P40" i="5" s="1"/>
  <c r="K37" i="5"/>
  <c r="O37" i="5" s="1"/>
  <c r="L33" i="5"/>
  <c r="N33" i="5" s="1"/>
  <c r="L29" i="5"/>
  <c r="N29" i="5" s="1"/>
  <c r="K21" i="5"/>
  <c r="O21" i="5" s="1"/>
  <c r="L11" i="5"/>
  <c r="N11" i="5" s="1"/>
  <c r="L64" i="5"/>
  <c r="N64" i="5" s="1"/>
  <c r="L59" i="5"/>
  <c r="N59" i="5" s="1"/>
  <c r="L52" i="5"/>
  <c r="N52" i="5" s="1"/>
  <c r="M32" i="5"/>
  <c r="P32" i="5" s="1"/>
  <c r="K29" i="5"/>
  <c r="O29" i="5" s="1"/>
  <c r="L25" i="5"/>
  <c r="N25" i="5" s="1"/>
  <c r="K59" i="5"/>
  <c r="O59" i="5" s="1"/>
  <c r="L56" i="5"/>
  <c r="N56" i="5" s="1"/>
  <c r="L51" i="5"/>
  <c r="N51" i="5" s="1"/>
  <c r="L44" i="5"/>
  <c r="N44" i="5" s="1"/>
  <c r="L40" i="5"/>
  <c r="N40" i="5" s="1"/>
  <c r="M24" i="5"/>
  <c r="P24" i="5" s="1"/>
  <c r="K15" i="5"/>
  <c r="O15" i="5" s="1"/>
  <c r="K11" i="5"/>
  <c r="O11" i="5" s="1"/>
  <c r="M55" i="5"/>
  <c r="P55" i="5" s="1"/>
  <c r="L32" i="5"/>
  <c r="N32" i="5" s="1"/>
  <c r="K6" i="5"/>
  <c r="O6" i="5" s="1"/>
  <c r="K63" i="5"/>
  <c r="O63" i="5" s="1"/>
  <c r="L35" i="5"/>
  <c r="N35" i="5" s="1"/>
  <c r="L28" i="5"/>
  <c r="N28" i="5" s="1"/>
  <c r="L24" i="5"/>
  <c r="N24" i="5" s="1"/>
  <c r="K35" i="5"/>
  <c r="O35" i="5" s="1"/>
  <c r="L14" i="5"/>
  <c r="N14" i="5" s="1"/>
  <c r="K19" i="5"/>
  <c r="O19" i="5" s="1"/>
  <c r="M13" i="5"/>
  <c r="P13" i="5" s="1"/>
  <c r="M62" i="5"/>
  <c r="P62" i="5" s="1"/>
  <c r="L55" i="5"/>
  <c r="N55" i="5" s="1"/>
  <c r="M51" i="5"/>
  <c r="P51" i="5" s="1"/>
  <c r="K47" i="5"/>
  <c r="O47" i="5" s="1"/>
  <c r="K66" i="5"/>
  <c r="O66" i="5" s="1"/>
  <c r="L62" i="5"/>
  <c r="N62" i="5" s="1"/>
  <c r="K50" i="5"/>
  <c r="O50" i="5" s="1"/>
  <c r="L47" i="5"/>
  <c r="N47" i="5" s="1"/>
  <c r="M43" i="5"/>
  <c r="P43" i="5" s="1"/>
  <c r="K39" i="5"/>
  <c r="O39" i="5" s="1"/>
  <c r="K31" i="5"/>
  <c r="O31" i="5" s="1"/>
  <c r="M23" i="5"/>
  <c r="P23" i="5" s="1"/>
  <c r="M5" i="5"/>
  <c r="P5" i="5" s="1"/>
  <c r="L54" i="5"/>
  <c r="N54" i="5" s="1"/>
  <c r="M46" i="5"/>
  <c r="P46" i="5" s="1"/>
  <c r="L39" i="5"/>
  <c r="N39" i="5" s="1"/>
  <c r="K23" i="5"/>
  <c r="O23" i="5" s="1"/>
  <c r="L58" i="5"/>
  <c r="N58" i="5" s="1"/>
  <c r="M38" i="5"/>
  <c r="P38" i="5" s="1"/>
  <c r="L31" i="5"/>
  <c r="N31" i="5" s="1"/>
  <c r="M27" i="5"/>
  <c r="P27" i="5" s="1"/>
  <c r="K18" i="5"/>
  <c r="O18" i="5" s="1"/>
  <c r="K13" i="5"/>
  <c r="O13" i="5" s="1"/>
  <c r="K46" i="5"/>
  <c r="O46" i="5" s="1"/>
  <c r="L42" i="5"/>
  <c r="N42" i="5" s="1"/>
  <c r="K5" i="5"/>
  <c r="O5" i="5" s="1"/>
  <c r="K17" i="5"/>
  <c r="O17" i="5" s="1"/>
  <c r="L34" i="5"/>
  <c r="N34" i="5" s="1"/>
  <c r="M61" i="5"/>
  <c r="P61" i="5" s="1"/>
  <c r="L57" i="5"/>
  <c r="N57" i="5" s="1"/>
  <c r="L53" i="5"/>
  <c r="N53" i="5" s="1"/>
  <c r="K30" i="5"/>
  <c r="O30" i="5" s="1"/>
  <c r="L26" i="5"/>
  <c r="N26" i="5" s="1"/>
  <c r="L65" i="5"/>
  <c r="N65" i="5" s="1"/>
  <c r="K53" i="5"/>
  <c r="O53" i="5" s="1"/>
  <c r="L49" i="5"/>
  <c r="N49" i="5" s="1"/>
  <c r="M45" i="5"/>
  <c r="P45" i="5" s="1"/>
  <c r="K25" i="5"/>
  <c r="O25" i="5" s="1"/>
  <c r="K12" i="5"/>
  <c r="O12" i="5" s="1"/>
  <c r="K4" i="5"/>
  <c r="O4" i="5" s="1"/>
  <c r="K22" i="5"/>
  <c r="O22" i="5" s="1"/>
  <c r="M19" i="5"/>
  <c r="P19" i="5" s="1"/>
  <c r="M16" i="5"/>
  <c r="P16" i="5" s="1"/>
  <c r="M22" i="5"/>
  <c r="P22" i="5" s="1"/>
  <c r="L16" i="5"/>
  <c r="N16" i="5" s="1"/>
  <c r="M64" i="5"/>
  <c r="P64" i="5" s="1"/>
  <c r="M53" i="5"/>
  <c r="P53" i="5" s="1"/>
  <c r="M37" i="5"/>
  <c r="P37" i="5" s="1"/>
  <c r="M29" i="5"/>
  <c r="P29" i="5" s="1"/>
  <c r="M21" i="5"/>
  <c r="P21" i="5" s="1"/>
  <c r="L61" i="5"/>
  <c r="N61" i="5" s="1"/>
  <c r="L45" i="5"/>
  <c r="N45" i="5" s="1"/>
  <c r="K61" i="5"/>
  <c r="O61" i="5" s="1"/>
  <c r="M58" i="5"/>
  <c r="P58" i="5" s="1"/>
  <c r="M50" i="5"/>
  <c r="P50" i="5" s="1"/>
  <c r="M42" i="5"/>
  <c r="P42" i="5" s="1"/>
  <c r="M34" i="5"/>
  <c r="P34" i="5" s="1"/>
  <c r="M26" i="5"/>
  <c r="P26" i="5" s="1"/>
  <c r="M18" i="5"/>
  <c r="P18" i="5" s="1"/>
  <c r="M10" i="5"/>
  <c r="P10" i="5" s="1"/>
  <c r="M66" i="5"/>
  <c r="P66" i="5" s="1"/>
  <c r="L18" i="5"/>
  <c r="N18" i="5" s="1"/>
  <c r="L10" i="5"/>
  <c r="N10" i="5" s="1"/>
  <c r="M15" i="5"/>
  <c r="P15" i="5" s="1"/>
  <c r="M7" i="5"/>
  <c r="P7" i="5" s="1"/>
  <c r="L15" i="5"/>
  <c r="N15" i="5" s="1"/>
  <c r="L7" i="5"/>
  <c r="N7" i="5" s="1"/>
  <c r="L63" i="5"/>
  <c r="N63" i="5" s="1"/>
  <c r="M60" i="5"/>
  <c r="P60" i="5" s="1"/>
  <c r="M52" i="5"/>
  <c r="P52" i="5" s="1"/>
  <c r="M44" i="5"/>
  <c r="P44" i="5" s="1"/>
  <c r="M36" i="5"/>
  <c r="P36" i="5" s="1"/>
  <c r="M28" i="5"/>
  <c r="P28" i="5" s="1"/>
  <c r="M20" i="5"/>
  <c r="P20" i="5" s="1"/>
  <c r="M12" i="5"/>
  <c r="P12" i="5" s="1"/>
  <c r="M4" i="5"/>
  <c r="P4" i="5" s="1"/>
  <c r="L4" i="5"/>
  <c r="N4" i="5" s="1"/>
  <c r="M57" i="5"/>
  <c r="P57" i="5" s="1"/>
  <c r="K52" i="5"/>
  <c r="O52" i="5" s="1"/>
  <c r="K44" i="5"/>
  <c r="O44" i="5" s="1"/>
  <c r="M41" i="5"/>
  <c r="P41" i="5" s="1"/>
  <c r="K36" i="5"/>
  <c r="O36" i="5" s="1"/>
  <c r="M33" i="5"/>
  <c r="P33" i="5" s="1"/>
  <c r="K28" i="5"/>
  <c r="O28" i="5" s="1"/>
  <c r="M25" i="5"/>
  <c r="P25" i="5" s="1"/>
  <c r="K20" i="5"/>
  <c r="O20" i="5" s="1"/>
  <c r="M17" i="5"/>
  <c r="P17" i="5" s="1"/>
  <c r="M9" i="5"/>
  <c r="P9" i="5" s="1"/>
  <c r="L60" i="5"/>
  <c r="N60" i="5" s="1"/>
  <c r="M65" i="5"/>
  <c r="P65" i="5" s="1"/>
  <c r="M49" i="5"/>
  <c r="P49" i="5" s="1"/>
  <c r="L17" i="5"/>
  <c r="N17" i="5" s="1"/>
  <c r="L9" i="5"/>
  <c r="N9" i="5" s="1"/>
  <c r="M14" i="5"/>
  <c r="P14" i="5" s="1"/>
  <c r="M6" i="5"/>
  <c r="P6" i="5" s="1"/>
  <c r="AB3" i="5"/>
  <c r="AE5" i="3"/>
  <c r="AF5" i="3" s="1"/>
  <c r="AE6" i="3"/>
  <c r="AF6" i="3" s="1"/>
  <c r="AE7" i="3"/>
  <c r="AF7" i="3" s="1"/>
  <c r="AE8" i="3"/>
  <c r="AF8" i="3" s="1"/>
  <c r="AE9" i="3"/>
  <c r="AF9" i="3" s="1"/>
  <c r="AE10" i="3"/>
  <c r="AF10" i="3" s="1"/>
  <c r="AE11" i="3"/>
  <c r="AF11" i="3" s="1"/>
  <c r="AE12" i="3"/>
  <c r="AF12" i="3" s="1"/>
  <c r="AE13" i="3"/>
  <c r="AF13" i="3" s="1"/>
  <c r="AE14" i="3"/>
  <c r="AF14" i="3" s="1"/>
  <c r="AE15" i="3"/>
  <c r="AF15" i="3" s="1"/>
  <c r="AE16" i="3"/>
  <c r="AF16" i="3" s="1"/>
  <c r="AE17" i="3"/>
  <c r="AF17" i="3" s="1"/>
  <c r="AE18" i="3"/>
  <c r="AF18" i="3" s="1"/>
  <c r="AE19" i="3"/>
  <c r="AF19" i="3" s="1"/>
  <c r="AE20" i="3"/>
  <c r="AF20" i="3" s="1"/>
  <c r="AE21" i="3"/>
  <c r="AF21" i="3" s="1"/>
  <c r="AE22" i="3"/>
  <c r="AF22" i="3" s="1"/>
  <c r="AE23" i="3"/>
  <c r="AF23" i="3" s="1"/>
  <c r="AE24" i="3"/>
  <c r="AF24" i="3" s="1"/>
  <c r="AE25" i="3"/>
  <c r="AF25" i="3" s="1"/>
  <c r="AE26" i="3"/>
  <c r="AF26" i="3" s="1"/>
  <c r="AE27" i="3"/>
  <c r="AF27" i="3" s="1"/>
  <c r="AE28" i="3"/>
  <c r="AF28" i="3" s="1"/>
  <c r="AE29" i="3"/>
  <c r="AF29" i="3" s="1"/>
  <c r="AE30" i="3"/>
  <c r="AF30" i="3" s="1"/>
  <c r="AE31" i="3"/>
  <c r="AF31" i="3" s="1"/>
  <c r="AE32" i="3"/>
  <c r="AF32" i="3" s="1"/>
  <c r="AE33" i="3"/>
  <c r="AF33" i="3" s="1"/>
  <c r="AE34" i="3"/>
  <c r="AF34" i="3" s="1"/>
  <c r="AE35" i="3"/>
  <c r="AF35" i="3" s="1"/>
  <c r="AE36" i="3"/>
  <c r="AF36" i="3" s="1"/>
  <c r="AE37" i="3"/>
  <c r="AF37" i="3" s="1"/>
  <c r="AE38" i="3"/>
  <c r="AF38" i="3" s="1"/>
  <c r="AE39" i="3"/>
  <c r="AF39" i="3" s="1"/>
  <c r="AE40" i="3"/>
  <c r="AF40" i="3" s="1"/>
  <c r="AE41" i="3"/>
  <c r="AF41" i="3" s="1"/>
  <c r="AE42" i="3"/>
  <c r="AF42" i="3" s="1"/>
  <c r="AE43" i="3"/>
  <c r="AF43" i="3" s="1"/>
  <c r="AE44" i="3"/>
  <c r="AF44" i="3" s="1"/>
  <c r="AE45" i="3"/>
  <c r="AF45" i="3" s="1"/>
  <c r="AE46" i="3"/>
  <c r="AF46" i="3" s="1"/>
  <c r="AE47" i="3"/>
  <c r="AF47" i="3" s="1"/>
  <c r="AE48" i="3"/>
  <c r="AF48" i="3" s="1"/>
  <c r="AE49" i="3"/>
  <c r="AF49" i="3" s="1"/>
  <c r="AE50" i="3"/>
  <c r="AF50" i="3" s="1"/>
  <c r="AE51" i="3"/>
  <c r="AF51" i="3" s="1"/>
  <c r="AE52" i="3"/>
  <c r="AF52" i="3" s="1"/>
  <c r="AE53" i="3"/>
  <c r="AF53" i="3" s="1"/>
  <c r="AE54" i="3"/>
  <c r="AF54" i="3" s="1"/>
  <c r="AE55" i="3"/>
  <c r="AF55" i="3" s="1"/>
  <c r="AE56" i="3"/>
  <c r="AF56" i="3" s="1"/>
  <c r="AE57" i="3"/>
  <c r="AF57" i="3" s="1"/>
  <c r="AE58" i="3"/>
  <c r="AF58" i="3" s="1"/>
  <c r="AE59" i="3"/>
  <c r="AF59" i="3" s="1"/>
  <c r="AE60" i="3"/>
  <c r="AF60" i="3" s="1"/>
  <c r="AE61" i="3"/>
  <c r="AF61" i="3" s="1"/>
  <c r="AE62" i="3"/>
  <c r="AF62" i="3" s="1"/>
  <c r="AE63" i="3"/>
  <c r="AF63" i="3" s="1"/>
  <c r="AE64" i="3"/>
  <c r="AF64" i="3" s="1"/>
  <c r="AE65" i="3"/>
  <c r="AF65" i="3" s="1"/>
  <c r="AE66" i="3"/>
  <c r="AF66" i="3" s="1"/>
  <c r="AE67" i="3"/>
  <c r="AF67" i="3" s="1"/>
  <c r="AE68" i="3"/>
  <c r="AF68" i="3" s="1"/>
  <c r="AE69" i="3"/>
  <c r="AF69" i="3" s="1"/>
  <c r="AE70" i="3"/>
  <c r="AF70" i="3" s="1"/>
  <c r="AE71" i="3"/>
  <c r="AF71" i="3" s="1"/>
  <c r="AE72" i="3"/>
  <c r="AF72" i="3" s="1"/>
  <c r="AE73" i="3"/>
  <c r="AF73" i="3" s="1"/>
  <c r="AE74" i="3"/>
  <c r="AF74" i="3" s="1"/>
  <c r="AE75" i="3"/>
  <c r="AF75" i="3" s="1"/>
  <c r="AE76" i="3"/>
  <c r="AF76" i="3" s="1"/>
  <c r="AE77" i="3"/>
  <c r="AF77" i="3" s="1"/>
  <c r="AE78" i="3"/>
  <c r="AF78" i="3" s="1"/>
  <c r="AE79" i="3"/>
  <c r="AF79" i="3" s="1"/>
  <c r="AE4" i="3"/>
  <c r="AF4" i="3" s="1"/>
  <c r="Q79" i="3"/>
  <c r="P79" i="3"/>
  <c r="M79" i="3"/>
  <c r="L79" i="3"/>
  <c r="I79" i="3"/>
  <c r="H79" i="3"/>
  <c r="C79" i="3"/>
  <c r="B79" i="3"/>
  <c r="Q78" i="3"/>
  <c r="P78" i="3"/>
  <c r="M78" i="3"/>
  <c r="L78" i="3"/>
  <c r="I78" i="3"/>
  <c r="H78" i="3"/>
  <c r="C78" i="3"/>
  <c r="B78" i="3"/>
  <c r="Q77" i="3"/>
  <c r="P77" i="3"/>
  <c r="M77" i="3"/>
  <c r="L77" i="3"/>
  <c r="I77" i="3"/>
  <c r="H77" i="3"/>
  <c r="C77" i="3"/>
  <c r="B77" i="3"/>
  <c r="Q76" i="3"/>
  <c r="P76" i="3"/>
  <c r="M76" i="3"/>
  <c r="L76" i="3"/>
  <c r="I76" i="3"/>
  <c r="H76" i="3"/>
  <c r="C76" i="3"/>
  <c r="B76" i="3"/>
  <c r="Q75" i="3"/>
  <c r="P75" i="3"/>
  <c r="M75" i="3"/>
  <c r="L75" i="3"/>
  <c r="I75" i="3"/>
  <c r="H75" i="3"/>
  <c r="C75" i="3"/>
  <c r="B75" i="3"/>
  <c r="Q74" i="3"/>
  <c r="P74" i="3"/>
  <c r="M74" i="3"/>
  <c r="L74" i="3"/>
  <c r="I74" i="3"/>
  <c r="H74" i="3"/>
  <c r="C74" i="3"/>
  <c r="B74" i="3"/>
  <c r="Q73" i="3"/>
  <c r="P73" i="3"/>
  <c r="M73" i="3"/>
  <c r="L73" i="3"/>
  <c r="I73" i="3"/>
  <c r="H73" i="3"/>
  <c r="C73" i="3"/>
  <c r="B73" i="3"/>
  <c r="Q72" i="3"/>
  <c r="P72" i="3"/>
  <c r="M72" i="3"/>
  <c r="L72" i="3"/>
  <c r="I72" i="3"/>
  <c r="H72" i="3"/>
  <c r="C72" i="3"/>
  <c r="B72" i="3"/>
  <c r="Q71" i="3"/>
  <c r="P71" i="3"/>
  <c r="M71" i="3"/>
  <c r="L71" i="3"/>
  <c r="I71" i="3"/>
  <c r="H71" i="3"/>
  <c r="C71" i="3"/>
  <c r="B71" i="3"/>
  <c r="Q70" i="3"/>
  <c r="P70" i="3"/>
  <c r="M70" i="3"/>
  <c r="L70" i="3"/>
  <c r="I70" i="3"/>
  <c r="H70" i="3"/>
  <c r="C70" i="3"/>
  <c r="B70" i="3"/>
  <c r="Q69" i="3"/>
  <c r="P69" i="3"/>
  <c r="M69" i="3"/>
  <c r="L69" i="3"/>
  <c r="I69" i="3"/>
  <c r="H69" i="3"/>
  <c r="C69" i="3"/>
  <c r="B69" i="3"/>
  <c r="Q68" i="3"/>
  <c r="P68" i="3"/>
  <c r="M68" i="3"/>
  <c r="L68" i="3"/>
  <c r="I68" i="3"/>
  <c r="H68" i="3"/>
  <c r="C68" i="3"/>
  <c r="B68" i="3"/>
  <c r="Q67" i="3"/>
  <c r="P67" i="3"/>
  <c r="M67" i="3"/>
  <c r="L67" i="3"/>
  <c r="I67" i="3"/>
  <c r="H67" i="3"/>
  <c r="C67" i="3"/>
  <c r="B67" i="3"/>
  <c r="Q66" i="3"/>
  <c r="P66" i="3"/>
  <c r="M66" i="3"/>
  <c r="L66" i="3"/>
  <c r="I66" i="3"/>
  <c r="H66" i="3"/>
  <c r="C66" i="3"/>
  <c r="B66" i="3"/>
  <c r="Q65" i="3"/>
  <c r="P65" i="3"/>
  <c r="M65" i="3"/>
  <c r="L65" i="3"/>
  <c r="I65" i="3"/>
  <c r="H65" i="3"/>
  <c r="C65" i="3"/>
  <c r="B65" i="3"/>
  <c r="Q64" i="3"/>
  <c r="P64" i="3"/>
  <c r="M64" i="3"/>
  <c r="L64" i="3"/>
  <c r="I64" i="3"/>
  <c r="H64" i="3"/>
  <c r="C64" i="3"/>
  <c r="B64" i="3"/>
  <c r="Q63" i="3"/>
  <c r="P63" i="3"/>
  <c r="M63" i="3"/>
  <c r="L63" i="3"/>
  <c r="I63" i="3"/>
  <c r="H63" i="3"/>
  <c r="C63" i="3"/>
  <c r="B63" i="3"/>
  <c r="Q62" i="3"/>
  <c r="P62" i="3"/>
  <c r="M62" i="3"/>
  <c r="L62" i="3"/>
  <c r="I62" i="3"/>
  <c r="H62" i="3"/>
  <c r="C62" i="3"/>
  <c r="B62" i="3"/>
  <c r="Q61" i="3"/>
  <c r="P61" i="3"/>
  <c r="M61" i="3"/>
  <c r="L61" i="3"/>
  <c r="I61" i="3"/>
  <c r="H61" i="3"/>
  <c r="C61" i="3"/>
  <c r="B61" i="3"/>
  <c r="Q60" i="3"/>
  <c r="P60" i="3"/>
  <c r="M60" i="3"/>
  <c r="L60" i="3"/>
  <c r="I60" i="3"/>
  <c r="H60" i="3"/>
  <c r="C60" i="3"/>
  <c r="B60" i="3"/>
  <c r="Q59" i="3"/>
  <c r="P59" i="3"/>
  <c r="M59" i="3"/>
  <c r="L59" i="3"/>
  <c r="I59" i="3"/>
  <c r="H59" i="3"/>
  <c r="C59" i="3"/>
  <c r="B59" i="3"/>
  <c r="Q58" i="3"/>
  <c r="P58" i="3"/>
  <c r="M58" i="3"/>
  <c r="L58" i="3"/>
  <c r="I58" i="3"/>
  <c r="H58" i="3"/>
  <c r="C58" i="3"/>
  <c r="B58" i="3"/>
  <c r="Q57" i="3"/>
  <c r="P57" i="3"/>
  <c r="M57" i="3"/>
  <c r="L57" i="3"/>
  <c r="I57" i="3"/>
  <c r="H57" i="3"/>
  <c r="C57" i="3"/>
  <c r="B57" i="3"/>
  <c r="Q56" i="3"/>
  <c r="P56" i="3"/>
  <c r="M56" i="3"/>
  <c r="L56" i="3"/>
  <c r="I56" i="3"/>
  <c r="H56" i="3"/>
  <c r="C56" i="3"/>
  <c r="B56" i="3"/>
  <c r="Q55" i="3"/>
  <c r="P55" i="3"/>
  <c r="M55" i="3"/>
  <c r="L55" i="3"/>
  <c r="I55" i="3"/>
  <c r="H55" i="3"/>
  <c r="C55" i="3"/>
  <c r="B55" i="3"/>
  <c r="Q54" i="3"/>
  <c r="P54" i="3"/>
  <c r="M54" i="3"/>
  <c r="L54" i="3"/>
  <c r="I54" i="3"/>
  <c r="H54" i="3"/>
  <c r="C54" i="3"/>
  <c r="B54" i="3"/>
  <c r="Q53" i="3"/>
  <c r="P53" i="3"/>
  <c r="M53" i="3"/>
  <c r="L53" i="3"/>
  <c r="I53" i="3"/>
  <c r="H53" i="3"/>
  <c r="C53" i="3"/>
  <c r="B53" i="3"/>
  <c r="Q52" i="3"/>
  <c r="P52" i="3"/>
  <c r="M52" i="3"/>
  <c r="L52" i="3"/>
  <c r="I52" i="3"/>
  <c r="H52" i="3"/>
  <c r="C52" i="3"/>
  <c r="B52" i="3"/>
  <c r="Q51" i="3"/>
  <c r="P51" i="3"/>
  <c r="M51" i="3"/>
  <c r="L51" i="3"/>
  <c r="I51" i="3"/>
  <c r="H51" i="3"/>
  <c r="C51" i="3"/>
  <c r="B51" i="3"/>
  <c r="Q50" i="3"/>
  <c r="P50" i="3"/>
  <c r="M50" i="3"/>
  <c r="L50" i="3"/>
  <c r="I50" i="3"/>
  <c r="H50" i="3"/>
  <c r="C50" i="3"/>
  <c r="B50" i="3"/>
  <c r="Q49" i="3"/>
  <c r="P49" i="3"/>
  <c r="M49" i="3"/>
  <c r="L49" i="3"/>
  <c r="I49" i="3"/>
  <c r="H49" i="3"/>
  <c r="C49" i="3"/>
  <c r="B49" i="3"/>
  <c r="Q48" i="3"/>
  <c r="P48" i="3"/>
  <c r="M48" i="3"/>
  <c r="L48" i="3"/>
  <c r="I48" i="3"/>
  <c r="H48" i="3"/>
  <c r="C48" i="3"/>
  <c r="B48" i="3"/>
  <c r="Q47" i="3"/>
  <c r="P47" i="3"/>
  <c r="M47" i="3"/>
  <c r="L47" i="3"/>
  <c r="I47" i="3"/>
  <c r="H47" i="3"/>
  <c r="C47" i="3"/>
  <c r="B47" i="3"/>
  <c r="Q46" i="3"/>
  <c r="P46" i="3"/>
  <c r="M46" i="3"/>
  <c r="L46" i="3"/>
  <c r="I46" i="3"/>
  <c r="H46" i="3"/>
  <c r="C46" i="3"/>
  <c r="B46" i="3"/>
  <c r="Q45" i="3"/>
  <c r="P45" i="3"/>
  <c r="M45" i="3"/>
  <c r="L45" i="3"/>
  <c r="I45" i="3"/>
  <c r="H45" i="3"/>
  <c r="C45" i="3"/>
  <c r="B45" i="3"/>
  <c r="Q44" i="3"/>
  <c r="P44" i="3"/>
  <c r="M44" i="3"/>
  <c r="L44" i="3"/>
  <c r="I44" i="3"/>
  <c r="H44" i="3"/>
  <c r="C44" i="3"/>
  <c r="B44" i="3"/>
  <c r="Q43" i="3"/>
  <c r="P43" i="3"/>
  <c r="M43" i="3"/>
  <c r="L43" i="3"/>
  <c r="I43" i="3"/>
  <c r="H43" i="3"/>
  <c r="C43" i="3"/>
  <c r="B43" i="3"/>
  <c r="Q42" i="3"/>
  <c r="P42" i="3"/>
  <c r="M42" i="3"/>
  <c r="L42" i="3"/>
  <c r="I42" i="3"/>
  <c r="H42" i="3"/>
  <c r="C42" i="3"/>
  <c r="B42" i="3"/>
  <c r="Q41" i="3"/>
  <c r="P41" i="3"/>
  <c r="M41" i="3"/>
  <c r="L41" i="3"/>
  <c r="I41" i="3"/>
  <c r="H41" i="3"/>
  <c r="C41" i="3"/>
  <c r="B41" i="3"/>
  <c r="Q40" i="3"/>
  <c r="P40" i="3"/>
  <c r="M40" i="3"/>
  <c r="L40" i="3"/>
  <c r="I40" i="3"/>
  <c r="H40" i="3"/>
  <c r="C40" i="3"/>
  <c r="B40" i="3"/>
  <c r="Q39" i="3"/>
  <c r="P39" i="3"/>
  <c r="M39" i="3"/>
  <c r="L39" i="3"/>
  <c r="I39" i="3"/>
  <c r="H39" i="3"/>
  <c r="C39" i="3"/>
  <c r="B39" i="3"/>
  <c r="Q38" i="3"/>
  <c r="P38" i="3"/>
  <c r="M38" i="3"/>
  <c r="L38" i="3"/>
  <c r="I38" i="3"/>
  <c r="H38" i="3"/>
  <c r="C38" i="3"/>
  <c r="B38" i="3"/>
  <c r="Q37" i="3"/>
  <c r="P37" i="3"/>
  <c r="M37" i="3"/>
  <c r="L37" i="3"/>
  <c r="I37" i="3"/>
  <c r="H37" i="3"/>
  <c r="C37" i="3"/>
  <c r="B37" i="3"/>
  <c r="Q36" i="3"/>
  <c r="P36" i="3"/>
  <c r="M36" i="3"/>
  <c r="L36" i="3"/>
  <c r="I36" i="3"/>
  <c r="H36" i="3"/>
  <c r="C36" i="3"/>
  <c r="B36" i="3"/>
  <c r="Q35" i="3"/>
  <c r="P35" i="3"/>
  <c r="M35" i="3"/>
  <c r="L35" i="3"/>
  <c r="I35" i="3"/>
  <c r="H35" i="3"/>
  <c r="C35" i="3"/>
  <c r="B35" i="3"/>
  <c r="Q34" i="3"/>
  <c r="P34" i="3"/>
  <c r="M34" i="3"/>
  <c r="L34" i="3"/>
  <c r="I34" i="3"/>
  <c r="H34" i="3"/>
  <c r="C34" i="3"/>
  <c r="B34" i="3"/>
  <c r="Q33" i="3"/>
  <c r="P33" i="3"/>
  <c r="M33" i="3"/>
  <c r="L33" i="3"/>
  <c r="I33" i="3"/>
  <c r="H33" i="3"/>
  <c r="C33" i="3"/>
  <c r="B33" i="3"/>
  <c r="Q32" i="3"/>
  <c r="P32" i="3"/>
  <c r="M32" i="3"/>
  <c r="L32" i="3"/>
  <c r="I32" i="3"/>
  <c r="H32" i="3"/>
  <c r="C32" i="3"/>
  <c r="B32" i="3"/>
  <c r="Q31" i="3"/>
  <c r="P31" i="3"/>
  <c r="M31" i="3"/>
  <c r="L31" i="3"/>
  <c r="I31" i="3"/>
  <c r="H31" i="3"/>
  <c r="C31" i="3"/>
  <c r="B31" i="3"/>
  <c r="Q30" i="3"/>
  <c r="P30" i="3"/>
  <c r="M30" i="3"/>
  <c r="L30" i="3"/>
  <c r="I30" i="3"/>
  <c r="H30" i="3"/>
  <c r="C30" i="3"/>
  <c r="B30" i="3"/>
  <c r="Q29" i="3"/>
  <c r="P29" i="3"/>
  <c r="M29" i="3"/>
  <c r="L29" i="3"/>
  <c r="I29" i="3"/>
  <c r="H29" i="3"/>
  <c r="C29" i="3"/>
  <c r="B29" i="3"/>
  <c r="Q28" i="3"/>
  <c r="P28" i="3"/>
  <c r="M28" i="3"/>
  <c r="L28" i="3"/>
  <c r="I28" i="3"/>
  <c r="H28" i="3"/>
  <c r="C28" i="3"/>
  <c r="B28" i="3"/>
  <c r="Q27" i="3"/>
  <c r="P27" i="3"/>
  <c r="M27" i="3"/>
  <c r="L27" i="3"/>
  <c r="I27" i="3"/>
  <c r="H27" i="3"/>
  <c r="C27" i="3"/>
  <c r="B27" i="3"/>
  <c r="Q26" i="3"/>
  <c r="P26" i="3"/>
  <c r="M26" i="3"/>
  <c r="L26" i="3"/>
  <c r="I26" i="3"/>
  <c r="H26" i="3"/>
  <c r="C26" i="3"/>
  <c r="B26" i="3"/>
  <c r="Q25" i="3"/>
  <c r="P25" i="3"/>
  <c r="M25" i="3"/>
  <c r="L25" i="3"/>
  <c r="I25" i="3"/>
  <c r="H25" i="3"/>
  <c r="C25" i="3"/>
  <c r="B25" i="3"/>
  <c r="Q24" i="3"/>
  <c r="P24" i="3"/>
  <c r="M24" i="3"/>
  <c r="L24" i="3"/>
  <c r="I24" i="3"/>
  <c r="H24" i="3"/>
  <c r="C24" i="3"/>
  <c r="B24" i="3"/>
  <c r="Q23" i="3"/>
  <c r="P23" i="3"/>
  <c r="M23" i="3"/>
  <c r="L23" i="3"/>
  <c r="I23" i="3"/>
  <c r="H23" i="3"/>
  <c r="C23" i="3"/>
  <c r="B23" i="3"/>
  <c r="Q22" i="3"/>
  <c r="P22" i="3"/>
  <c r="M22" i="3"/>
  <c r="L22" i="3"/>
  <c r="I22" i="3"/>
  <c r="H22" i="3"/>
  <c r="C22" i="3"/>
  <c r="B22" i="3"/>
  <c r="Q21" i="3"/>
  <c r="P21" i="3"/>
  <c r="M21" i="3"/>
  <c r="L21" i="3"/>
  <c r="I21" i="3"/>
  <c r="H21" i="3"/>
  <c r="C21" i="3"/>
  <c r="B21" i="3"/>
  <c r="Q20" i="3"/>
  <c r="P20" i="3"/>
  <c r="M20" i="3"/>
  <c r="L20" i="3"/>
  <c r="I20" i="3"/>
  <c r="H20" i="3"/>
  <c r="C20" i="3"/>
  <c r="B20" i="3"/>
  <c r="Q19" i="3"/>
  <c r="P19" i="3"/>
  <c r="M19" i="3"/>
  <c r="L19" i="3"/>
  <c r="I19" i="3"/>
  <c r="H19" i="3"/>
  <c r="C19" i="3"/>
  <c r="B19" i="3"/>
  <c r="Q18" i="3"/>
  <c r="P18" i="3"/>
  <c r="M18" i="3"/>
  <c r="L18" i="3"/>
  <c r="I18" i="3"/>
  <c r="H18" i="3"/>
  <c r="C18" i="3"/>
  <c r="B18" i="3"/>
  <c r="Q17" i="3"/>
  <c r="P17" i="3"/>
  <c r="M17" i="3"/>
  <c r="L17" i="3"/>
  <c r="I17" i="3"/>
  <c r="H17" i="3"/>
  <c r="C17" i="3"/>
  <c r="B17" i="3"/>
  <c r="Q16" i="3"/>
  <c r="P16" i="3"/>
  <c r="M16" i="3"/>
  <c r="L16" i="3"/>
  <c r="I16" i="3"/>
  <c r="H16" i="3"/>
  <c r="C16" i="3"/>
  <c r="B16" i="3"/>
  <c r="Q15" i="3"/>
  <c r="P15" i="3"/>
  <c r="M15" i="3"/>
  <c r="L15" i="3"/>
  <c r="I15" i="3"/>
  <c r="H15" i="3"/>
  <c r="C15" i="3"/>
  <c r="B15" i="3"/>
  <c r="Q14" i="3"/>
  <c r="P14" i="3"/>
  <c r="M14" i="3"/>
  <c r="L14" i="3"/>
  <c r="I14" i="3"/>
  <c r="H14" i="3"/>
  <c r="C14" i="3"/>
  <c r="B14" i="3"/>
  <c r="Q13" i="3"/>
  <c r="P13" i="3"/>
  <c r="M13" i="3"/>
  <c r="L13" i="3"/>
  <c r="I13" i="3"/>
  <c r="H13" i="3"/>
  <c r="C13" i="3"/>
  <c r="B13" i="3"/>
  <c r="Q12" i="3"/>
  <c r="P12" i="3"/>
  <c r="M12" i="3"/>
  <c r="L12" i="3"/>
  <c r="I12" i="3"/>
  <c r="H12" i="3"/>
  <c r="C12" i="3"/>
  <c r="B12" i="3"/>
  <c r="Q11" i="3"/>
  <c r="P11" i="3"/>
  <c r="M11" i="3"/>
  <c r="L11" i="3"/>
  <c r="I11" i="3"/>
  <c r="H11" i="3"/>
  <c r="C11" i="3"/>
  <c r="B11" i="3"/>
  <c r="Q10" i="3"/>
  <c r="P10" i="3"/>
  <c r="M10" i="3"/>
  <c r="L10" i="3"/>
  <c r="I10" i="3"/>
  <c r="H10" i="3"/>
  <c r="C10" i="3"/>
  <c r="B10" i="3"/>
  <c r="Q9" i="3"/>
  <c r="P9" i="3"/>
  <c r="M9" i="3"/>
  <c r="L9" i="3"/>
  <c r="I9" i="3"/>
  <c r="H9" i="3"/>
  <c r="C9" i="3"/>
  <c r="B9" i="3"/>
  <c r="Q8" i="3"/>
  <c r="P8" i="3"/>
  <c r="M8" i="3"/>
  <c r="L8" i="3"/>
  <c r="I8" i="3"/>
  <c r="H8" i="3"/>
  <c r="C8" i="3"/>
  <c r="B8" i="3"/>
  <c r="Q7" i="3"/>
  <c r="P7" i="3"/>
  <c r="M7" i="3"/>
  <c r="L7" i="3"/>
  <c r="I7" i="3"/>
  <c r="H7" i="3"/>
  <c r="C7" i="3"/>
  <c r="B7" i="3"/>
  <c r="Q6" i="3"/>
  <c r="P6" i="3"/>
  <c r="M6" i="3"/>
  <c r="L6" i="3"/>
  <c r="I6" i="3"/>
  <c r="H6" i="3"/>
  <c r="C6" i="3"/>
  <c r="B6" i="3"/>
  <c r="Q5" i="3"/>
  <c r="P5" i="3"/>
  <c r="M5" i="3"/>
  <c r="L5" i="3"/>
  <c r="I5" i="3"/>
  <c r="H5" i="3"/>
  <c r="C5" i="3"/>
  <c r="B5" i="3"/>
  <c r="Q4" i="3"/>
  <c r="P4" i="3"/>
  <c r="M4" i="3"/>
  <c r="L4" i="3"/>
  <c r="I4" i="3"/>
  <c r="H4" i="3"/>
  <c r="C4" i="3"/>
  <c r="B4" i="3"/>
  <c r="BO59" i="5" l="1"/>
  <c r="BR59" i="5" s="1"/>
  <c r="BM29" i="5"/>
  <c r="BQ29" i="5" s="1"/>
  <c r="BT29" i="5" s="1"/>
  <c r="BO10" i="5"/>
  <c r="BR10" i="5" s="1"/>
  <c r="BO37" i="5"/>
  <c r="BR37" i="5" s="1"/>
  <c r="BO29" i="5"/>
  <c r="BR29" i="5" s="1"/>
  <c r="BU29" i="5" s="1"/>
  <c r="BN37" i="5"/>
  <c r="BP37" i="5" s="1"/>
  <c r="BS37" i="5" s="1"/>
  <c r="BT65" i="5"/>
  <c r="BU52" i="5"/>
  <c r="BM11" i="5"/>
  <c r="BQ11" i="5" s="1"/>
  <c r="BM31" i="5"/>
  <c r="BQ31" i="5" s="1"/>
  <c r="BM63" i="5"/>
  <c r="BQ63" i="5" s="1"/>
  <c r="BO43" i="5"/>
  <c r="BR43" i="5" s="1"/>
  <c r="BN13" i="5"/>
  <c r="BP13" i="5" s="1"/>
  <c r="BT13" i="5" s="1"/>
  <c r="BO13" i="5"/>
  <c r="BR13" i="5" s="1"/>
  <c r="BU13" i="5" s="1"/>
  <c r="BN43" i="5"/>
  <c r="BP43" i="5" s="1"/>
  <c r="BT43" i="5" s="1"/>
  <c r="BM28" i="5"/>
  <c r="BQ28" i="5" s="1"/>
  <c r="BT50" i="5"/>
  <c r="BM58" i="5"/>
  <c r="BQ58" i="5" s="1"/>
  <c r="BN14" i="5"/>
  <c r="BP14" i="5" s="1"/>
  <c r="BT14" i="5" s="1"/>
  <c r="BO57" i="5"/>
  <c r="BR57" i="5" s="1"/>
  <c r="BN32" i="5"/>
  <c r="BP32" i="5" s="1"/>
  <c r="BT32" i="5" s="1"/>
  <c r="BN28" i="5"/>
  <c r="BP28" i="5" s="1"/>
  <c r="BS28" i="5" s="1"/>
  <c r="BN54" i="5"/>
  <c r="BP54" i="5" s="1"/>
  <c r="BS54" i="5" s="1"/>
  <c r="BO54" i="5"/>
  <c r="BR54" i="5" s="1"/>
  <c r="BN25" i="5"/>
  <c r="BP25" i="5" s="1"/>
  <c r="BS25" i="5" s="1"/>
  <c r="BM54" i="5"/>
  <c r="BQ54" i="5" s="1"/>
  <c r="BN31" i="5"/>
  <c r="BP31" i="5" s="1"/>
  <c r="BS31" i="5" s="1"/>
  <c r="BO63" i="5"/>
  <c r="BR63" i="5" s="1"/>
  <c r="BU63" i="5" s="1"/>
  <c r="BM6" i="5"/>
  <c r="BQ6" i="5" s="1"/>
  <c r="BT6" i="5" s="1"/>
  <c r="BM22" i="5"/>
  <c r="BQ22" i="5" s="1"/>
  <c r="BO31" i="5"/>
  <c r="BR31" i="5" s="1"/>
  <c r="BT51" i="5"/>
  <c r="BU6" i="5"/>
  <c r="BN59" i="5"/>
  <c r="BP59" i="5" s="1"/>
  <c r="BS59" i="5" s="1"/>
  <c r="BO24" i="5"/>
  <c r="BR24" i="5" s="1"/>
  <c r="BN10" i="5"/>
  <c r="BP10" i="5" s="1"/>
  <c r="BS10" i="5" s="1"/>
  <c r="BN47" i="5"/>
  <c r="BP47" i="5" s="1"/>
  <c r="BS47" i="5" s="1"/>
  <c r="BM55" i="5"/>
  <c r="BQ55" i="5" s="1"/>
  <c r="BO27" i="5"/>
  <c r="BR27" i="5" s="1"/>
  <c r="BT9" i="5"/>
  <c r="BM59" i="5"/>
  <c r="BQ59" i="5" s="1"/>
  <c r="BN58" i="5"/>
  <c r="BP58" i="5" s="1"/>
  <c r="BS58" i="5" s="1"/>
  <c r="BM16" i="5"/>
  <c r="BQ16" i="5" s="1"/>
  <c r="BM39" i="5"/>
  <c r="BQ39" i="5" s="1"/>
  <c r="BO45" i="5"/>
  <c r="BR45" i="5" s="1"/>
  <c r="AW7" i="5"/>
  <c r="BT66" i="5"/>
  <c r="BN26" i="5"/>
  <c r="BP26" i="5" s="1"/>
  <c r="BS26" i="5" s="1"/>
  <c r="BO15" i="5"/>
  <c r="BR15" i="5" s="1"/>
  <c r="BU15" i="5" s="1"/>
  <c r="BN62" i="5"/>
  <c r="BP62" i="5" s="1"/>
  <c r="BS62" i="5" s="1"/>
  <c r="BN16" i="5"/>
  <c r="BP16" i="5" s="1"/>
  <c r="BS16" i="5" s="1"/>
  <c r="BN35" i="5"/>
  <c r="BP35" i="5" s="1"/>
  <c r="BT35" i="5" s="1"/>
  <c r="BO48" i="5"/>
  <c r="BR48" i="5" s="1"/>
  <c r="BU48" i="5" s="1"/>
  <c r="BN64" i="5"/>
  <c r="BP64" i="5" s="1"/>
  <c r="BS64" i="5" s="1"/>
  <c r="BM60" i="5"/>
  <c r="BQ60" i="5" s="1"/>
  <c r="BT60" i="5" s="1"/>
  <c r="BN63" i="5"/>
  <c r="BP63" i="5" s="1"/>
  <c r="BO21" i="5"/>
  <c r="BR21" i="5" s="1"/>
  <c r="BN7" i="5"/>
  <c r="BP7" i="5" s="1"/>
  <c r="BS7" i="5" s="1"/>
  <c r="BO7" i="5"/>
  <c r="BR7" i="5" s="1"/>
  <c r="BO4" i="5"/>
  <c r="BR4" i="5" s="1"/>
  <c r="BU4" i="5" s="1"/>
  <c r="BO62" i="5"/>
  <c r="BR62" i="5" s="1"/>
  <c r="BT38" i="5"/>
  <c r="BU19" i="5"/>
  <c r="BO58" i="5"/>
  <c r="BR58" i="5" s="1"/>
  <c r="BO16" i="5"/>
  <c r="BR16" i="5" s="1"/>
  <c r="BM44" i="5"/>
  <c r="BQ44" i="5" s="1"/>
  <c r="BU53" i="5"/>
  <c r="BO60" i="5"/>
  <c r="BR60" i="5" s="1"/>
  <c r="BU60" i="5" s="1"/>
  <c r="BM48" i="5"/>
  <c r="BQ48" i="5" s="1"/>
  <c r="BT48" i="5" s="1"/>
  <c r="BN11" i="5"/>
  <c r="BP11" i="5" s="1"/>
  <c r="BT11" i="5" s="1"/>
  <c r="BM12" i="5"/>
  <c r="BQ12" i="5" s="1"/>
  <c r="BM26" i="5"/>
  <c r="BQ26" i="5" s="1"/>
  <c r="BT41" i="5"/>
  <c r="BO22" i="5"/>
  <c r="BR22" i="5" s="1"/>
  <c r="BT56" i="5"/>
  <c r="BM15" i="5"/>
  <c r="BQ15" i="5" s="1"/>
  <c r="BT15" i="5" s="1"/>
  <c r="BN27" i="5"/>
  <c r="BP27" i="5" s="1"/>
  <c r="BS27" i="5" s="1"/>
  <c r="BU61" i="5"/>
  <c r="BT3" i="5"/>
  <c r="BU51" i="5"/>
  <c r="BM25" i="5"/>
  <c r="BQ25" i="5" s="1"/>
  <c r="BN18" i="5"/>
  <c r="BP18" i="5" s="1"/>
  <c r="BU18" i="5" s="1"/>
  <c r="BU40" i="5"/>
  <c r="BN22" i="5"/>
  <c r="BP22" i="5" s="1"/>
  <c r="BU22" i="5" s="1"/>
  <c r="BT61" i="5"/>
  <c r="BM18" i="5"/>
  <c r="BQ18" i="5" s="1"/>
  <c r="BN12" i="5"/>
  <c r="BP12" i="5" s="1"/>
  <c r="BS12" i="5" s="1"/>
  <c r="BO17" i="5"/>
  <c r="BR17" i="5" s="1"/>
  <c r="BU17" i="5" s="1"/>
  <c r="BM17" i="5"/>
  <c r="BQ17" i="5" s="1"/>
  <c r="BT17" i="5" s="1"/>
  <c r="BN20" i="5"/>
  <c r="BP20" i="5" s="1"/>
  <c r="BM64" i="5"/>
  <c r="BQ64" i="5" s="1"/>
  <c r="BT36" i="5"/>
  <c r="BT52" i="5"/>
  <c r="BN39" i="5"/>
  <c r="BP39" i="5" s="1"/>
  <c r="BS39" i="5" s="1"/>
  <c r="BU47" i="5"/>
  <c r="BO39" i="5"/>
  <c r="BR39" i="5" s="1"/>
  <c r="BM57" i="5"/>
  <c r="BQ57" i="5" s="1"/>
  <c r="BO55" i="5"/>
  <c r="BR55" i="5" s="1"/>
  <c r="BO35" i="5"/>
  <c r="BR35" i="5" s="1"/>
  <c r="BM20" i="5"/>
  <c r="BQ20" i="5" s="1"/>
  <c r="BU56" i="5"/>
  <c r="BT24" i="5"/>
  <c r="BU3" i="5"/>
  <c r="BN55" i="5"/>
  <c r="BP55" i="5" s="1"/>
  <c r="BS55" i="5" s="1"/>
  <c r="BU42" i="5"/>
  <c r="BM5" i="5"/>
  <c r="BQ5" i="5" s="1"/>
  <c r="BN21" i="5"/>
  <c r="BP21" i="5" s="1"/>
  <c r="BS21" i="5" s="1"/>
  <c r="BO64" i="5"/>
  <c r="BR64" i="5" s="1"/>
  <c r="BO12" i="5"/>
  <c r="BR12" i="5" s="1"/>
  <c r="BN44" i="5"/>
  <c r="BP44" i="5" s="1"/>
  <c r="BS44" i="5" s="1"/>
  <c r="BN33" i="5"/>
  <c r="BP33" i="5" s="1"/>
  <c r="BT33" i="5" s="1"/>
  <c r="BM4" i="5"/>
  <c r="BQ4" i="5" s="1"/>
  <c r="BT4" i="5" s="1"/>
  <c r="BO44" i="5"/>
  <c r="BR44" i="5" s="1"/>
  <c r="BN57" i="5"/>
  <c r="BP57" i="5" s="1"/>
  <c r="BT49" i="5"/>
  <c r="BT23" i="5"/>
  <c r="BU24" i="5"/>
  <c r="BS61" i="5"/>
  <c r="BS24" i="5"/>
  <c r="BN45" i="5"/>
  <c r="BP45" i="5" s="1"/>
  <c r="BN5" i="5"/>
  <c r="BP5" i="5" s="1"/>
  <c r="BT19" i="5"/>
  <c r="BT34" i="5"/>
  <c r="BU8" i="5"/>
  <c r="BM21" i="5"/>
  <c r="BQ21" i="5" s="1"/>
  <c r="BU38" i="5"/>
  <c r="BT8" i="5"/>
  <c r="BO26" i="5"/>
  <c r="BR26" i="5" s="1"/>
  <c r="BU26" i="5" s="1"/>
  <c r="BT46" i="5"/>
  <c r="BT42" i="5"/>
  <c r="BU23" i="5"/>
  <c r="BT40" i="5"/>
  <c r="BS17" i="5"/>
  <c r="BS41" i="5"/>
  <c r="BU41" i="5"/>
  <c r="BS13" i="5"/>
  <c r="BU49" i="5"/>
  <c r="BS49" i="5"/>
  <c r="BU34" i="5"/>
  <c r="BS34" i="5"/>
  <c r="BS4" i="5"/>
  <c r="BS30" i="5"/>
  <c r="BU30" i="5"/>
  <c r="BU50" i="5"/>
  <c r="BS50" i="5"/>
  <c r="BT30" i="5"/>
  <c r="BS46" i="5"/>
  <c r="BU46" i="5"/>
  <c r="BU66" i="5"/>
  <c r="BS66" i="5"/>
  <c r="BS36" i="5"/>
  <c r="BU36" i="5"/>
  <c r="R21" i="5"/>
  <c r="BS9" i="5"/>
  <c r="BU9" i="5"/>
  <c r="AX34" i="5"/>
  <c r="AX13" i="5"/>
  <c r="AX20" i="5"/>
  <c r="AW4" i="5"/>
  <c r="AX42" i="5"/>
  <c r="AX18" i="5"/>
  <c r="AW41" i="5"/>
  <c r="AW46" i="5"/>
  <c r="AW53" i="5"/>
  <c r="AW13" i="5"/>
  <c r="AX30" i="5"/>
  <c r="AX61" i="5"/>
  <c r="AX62" i="5"/>
  <c r="AX57" i="5"/>
  <c r="AW57" i="5"/>
  <c r="AW61" i="5"/>
  <c r="AW20" i="5"/>
  <c r="AW50" i="5"/>
  <c r="AX41" i="5"/>
  <c r="AW59" i="5"/>
  <c r="AW49" i="5"/>
  <c r="AV30" i="5"/>
  <c r="AX51" i="5"/>
  <c r="AW47" i="5"/>
  <c r="AX29" i="5"/>
  <c r="AW22" i="5"/>
  <c r="AW36" i="5"/>
  <c r="AW63" i="5"/>
  <c r="AW52" i="5"/>
  <c r="AW34" i="5"/>
  <c r="AX7" i="5"/>
  <c r="AX25" i="5"/>
  <c r="AW65" i="5"/>
  <c r="AW39" i="5"/>
  <c r="AW48" i="5"/>
  <c r="AX36" i="5"/>
  <c r="AW32" i="5"/>
  <c r="AW60" i="5"/>
  <c r="AX19" i="5"/>
  <c r="AW62" i="5"/>
  <c r="AW8" i="5"/>
  <c r="AX23" i="5"/>
  <c r="AW19" i="5"/>
  <c r="AW16" i="5"/>
  <c r="AW12" i="5"/>
  <c r="AX45" i="5"/>
  <c r="AX52" i="5"/>
  <c r="AW56" i="5"/>
  <c r="AW31" i="5"/>
  <c r="AW55" i="5"/>
  <c r="AW28" i="5"/>
  <c r="AV19" i="5"/>
  <c r="AW51" i="5"/>
  <c r="AW38" i="5"/>
  <c r="AV34" i="5"/>
  <c r="AV51" i="5"/>
  <c r="AX46" i="5"/>
  <c r="AW44" i="5"/>
  <c r="AV55" i="5"/>
  <c r="AW42" i="5"/>
  <c r="AW35" i="5"/>
  <c r="AW30" i="5"/>
  <c r="AW58" i="5"/>
  <c r="AW29" i="5"/>
  <c r="AV4" i="5"/>
  <c r="AW10" i="5"/>
  <c r="AW18" i="5"/>
  <c r="AW45" i="5"/>
  <c r="AX55" i="5"/>
  <c r="AX58" i="5"/>
  <c r="AW6" i="5"/>
  <c r="AX14" i="5"/>
  <c r="AW14" i="5"/>
  <c r="AW66" i="5"/>
  <c r="AX35" i="5"/>
  <c r="AW23" i="5"/>
  <c r="AX66" i="5"/>
  <c r="AX9" i="5"/>
  <c r="AW25" i="5"/>
  <c r="AV39" i="5"/>
  <c r="AX10" i="5"/>
  <c r="AV10" i="5"/>
  <c r="AX39" i="5"/>
  <c r="AW9" i="5"/>
  <c r="AV18" i="5"/>
  <c r="AV50" i="5"/>
  <c r="AX26" i="5"/>
  <c r="AV23" i="5"/>
  <c r="AX50" i="5"/>
  <c r="AX4" i="5"/>
  <c r="AW26" i="5"/>
  <c r="AV64" i="5"/>
  <c r="AX64" i="5"/>
  <c r="AV60" i="5"/>
  <c r="AX60" i="5"/>
  <c r="AV54" i="5"/>
  <c r="AX54" i="5"/>
  <c r="AV5" i="5"/>
  <c r="AX5" i="5"/>
  <c r="AV11" i="5"/>
  <c r="AX11" i="5"/>
  <c r="AV21" i="5"/>
  <c r="AX21" i="5"/>
  <c r="AV17" i="5"/>
  <c r="AX17" i="5"/>
  <c r="AV43" i="5"/>
  <c r="AX43" i="5"/>
  <c r="AV3" i="5"/>
  <c r="AX3" i="5"/>
  <c r="AV53" i="5"/>
  <c r="AX53" i="5"/>
  <c r="AV59" i="5"/>
  <c r="AX59" i="5"/>
  <c r="AV49" i="5"/>
  <c r="AX49" i="5"/>
  <c r="AV24" i="5"/>
  <c r="AX24" i="5"/>
  <c r="AW5" i="5"/>
  <c r="AV31" i="5"/>
  <c r="AX31" i="5"/>
  <c r="AW64" i="5"/>
  <c r="AW54" i="5"/>
  <c r="AV15" i="5"/>
  <c r="AX15" i="5"/>
  <c r="AV6" i="5"/>
  <c r="AX6" i="5"/>
  <c r="AV65" i="5"/>
  <c r="AX65" i="5"/>
  <c r="AV40" i="5"/>
  <c r="AX40" i="5"/>
  <c r="AW24" i="5"/>
  <c r="AV27" i="5"/>
  <c r="AX27" i="5"/>
  <c r="AV47" i="5"/>
  <c r="AX47" i="5"/>
  <c r="AV16" i="5"/>
  <c r="AX16" i="5"/>
  <c r="AV12" i="5"/>
  <c r="AX12" i="5"/>
  <c r="AW21" i="5"/>
  <c r="AV22" i="5"/>
  <c r="AX22" i="5"/>
  <c r="AV56" i="5"/>
  <c r="AX56" i="5"/>
  <c r="AW11" i="5"/>
  <c r="AV37" i="5"/>
  <c r="AX37" i="5"/>
  <c r="AV33" i="5"/>
  <c r="AX33" i="5"/>
  <c r="AV8" i="5"/>
  <c r="AX8" i="5"/>
  <c r="AV63" i="5"/>
  <c r="AX63" i="5"/>
  <c r="AV32" i="5"/>
  <c r="AX32" i="5"/>
  <c r="AV28" i="5"/>
  <c r="AX28" i="5"/>
  <c r="AW27" i="5"/>
  <c r="AW17" i="5"/>
  <c r="AW40" i="5"/>
  <c r="AW3" i="5"/>
  <c r="AV38" i="5"/>
  <c r="AX38" i="5"/>
  <c r="AW15" i="5"/>
  <c r="AW37" i="5"/>
  <c r="AW43" i="5"/>
  <c r="AW33" i="5"/>
  <c r="AV48" i="5"/>
  <c r="AX48" i="5"/>
  <c r="AV44" i="5"/>
  <c r="AX44" i="5"/>
  <c r="R69" i="5"/>
  <c r="R72" i="5"/>
  <c r="S69" i="5"/>
  <c r="S68" i="5"/>
  <c r="S72" i="5"/>
  <c r="R75" i="5"/>
  <c r="R73" i="5"/>
  <c r="R53" i="5"/>
  <c r="R37" i="5"/>
  <c r="R68" i="5"/>
  <c r="R76" i="5"/>
  <c r="S71" i="5"/>
  <c r="S75" i="5"/>
  <c r="S67" i="5"/>
  <c r="S73" i="5"/>
  <c r="R71" i="5"/>
  <c r="R74" i="5"/>
  <c r="S76" i="5"/>
  <c r="R67" i="5"/>
  <c r="S38" i="5"/>
  <c r="R78" i="5"/>
  <c r="Q76" i="5"/>
  <c r="R36" i="5"/>
  <c r="Q67" i="5"/>
  <c r="S77" i="5"/>
  <c r="R77" i="5"/>
  <c r="Q74" i="5"/>
  <c r="S74" i="5"/>
  <c r="S78" i="5"/>
  <c r="Q78" i="5"/>
  <c r="Q70" i="5"/>
  <c r="S70" i="5"/>
  <c r="R70" i="5"/>
  <c r="R8" i="5"/>
  <c r="R12" i="5"/>
  <c r="R50" i="5"/>
  <c r="R38" i="5"/>
  <c r="R35" i="5"/>
  <c r="R6" i="5"/>
  <c r="R20" i="5"/>
  <c r="S6" i="5"/>
  <c r="R52" i="5"/>
  <c r="R28" i="5"/>
  <c r="R43" i="5"/>
  <c r="R24" i="5"/>
  <c r="R63" i="5"/>
  <c r="R45" i="5"/>
  <c r="R27" i="5"/>
  <c r="S12" i="5"/>
  <c r="R33" i="5"/>
  <c r="R26" i="5"/>
  <c r="R23" i="5"/>
  <c r="R48" i="5"/>
  <c r="R44" i="5"/>
  <c r="S37" i="5"/>
  <c r="R30" i="5"/>
  <c r="R60" i="5"/>
  <c r="R66" i="5"/>
  <c r="R10" i="5"/>
  <c r="R64" i="5"/>
  <c r="S5" i="5"/>
  <c r="R54" i="5"/>
  <c r="R29" i="5"/>
  <c r="R3" i="5"/>
  <c r="R31" i="5"/>
  <c r="R5" i="5"/>
  <c r="R62" i="5"/>
  <c r="R16" i="5"/>
  <c r="Q17" i="5"/>
  <c r="S17" i="5"/>
  <c r="S34" i="5"/>
  <c r="Q34" i="5"/>
  <c r="Q24" i="5"/>
  <c r="S24" i="5"/>
  <c r="S46" i="5"/>
  <c r="Q46" i="5"/>
  <c r="R17" i="5"/>
  <c r="Q28" i="5"/>
  <c r="S28" i="5"/>
  <c r="R9" i="5"/>
  <c r="R34" i="5"/>
  <c r="R41" i="5"/>
  <c r="S9" i="5"/>
  <c r="Q9" i="5"/>
  <c r="Q19" i="5"/>
  <c r="S19" i="5"/>
  <c r="R39" i="5"/>
  <c r="Q60" i="5"/>
  <c r="S60" i="5"/>
  <c r="R4" i="5"/>
  <c r="R46" i="5"/>
  <c r="Q47" i="5"/>
  <c r="S47" i="5"/>
  <c r="Q64" i="5"/>
  <c r="S64" i="5"/>
  <c r="S50" i="5"/>
  <c r="Q50" i="5"/>
  <c r="R42" i="5"/>
  <c r="Q36" i="5"/>
  <c r="S36" i="5"/>
  <c r="Q52" i="5"/>
  <c r="S52" i="5"/>
  <c r="Q42" i="5"/>
  <c r="S42" i="5"/>
  <c r="R13" i="5"/>
  <c r="Q32" i="5"/>
  <c r="S32" i="5"/>
  <c r="Q11" i="5"/>
  <c r="S11" i="5"/>
  <c r="R65" i="5"/>
  <c r="R58" i="5"/>
  <c r="R57" i="5"/>
  <c r="Q22" i="5"/>
  <c r="S22" i="5"/>
  <c r="R22" i="5"/>
  <c r="Q59" i="5"/>
  <c r="S59" i="5"/>
  <c r="R25" i="5"/>
  <c r="R18" i="5"/>
  <c r="S62" i="5"/>
  <c r="Q62" i="5"/>
  <c r="S66" i="5"/>
  <c r="Q66" i="5"/>
  <c r="Q21" i="5"/>
  <c r="S21" i="5"/>
  <c r="R32" i="5"/>
  <c r="Q4" i="5"/>
  <c r="S4" i="5"/>
  <c r="S25" i="5"/>
  <c r="Q25" i="5"/>
  <c r="S3" i="5"/>
  <c r="Q3" i="5"/>
  <c r="R61" i="5"/>
  <c r="R11" i="5"/>
  <c r="Q29" i="5"/>
  <c r="S29" i="5"/>
  <c r="R14" i="5"/>
  <c r="Q48" i="5"/>
  <c r="S48" i="5"/>
  <c r="R49" i="5"/>
  <c r="Q16" i="5"/>
  <c r="S16" i="5"/>
  <c r="Q35" i="5"/>
  <c r="S35" i="5"/>
  <c r="Q27" i="5"/>
  <c r="S27" i="5"/>
  <c r="Q63" i="5"/>
  <c r="S63" i="5"/>
  <c r="Q45" i="5"/>
  <c r="S45" i="5"/>
  <c r="Q49" i="5"/>
  <c r="S49" i="5"/>
  <c r="Q31" i="5"/>
  <c r="S31" i="5"/>
  <c r="R47" i="5"/>
  <c r="R15" i="5"/>
  <c r="Q33" i="5"/>
  <c r="S33" i="5"/>
  <c r="Q20" i="5"/>
  <c r="S20" i="5"/>
  <c r="S23" i="5"/>
  <c r="Q23" i="5"/>
  <c r="S7" i="5"/>
  <c r="Q7" i="5"/>
  <c r="Q61" i="5"/>
  <c r="S61" i="5"/>
  <c r="S30" i="5"/>
  <c r="Q30" i="5"/>
  <c r="Q15" i="5"/>
  <c r="S15" i="5"/>
  <c r="Q65" i="5"/>
  <c r="S65" i="5"/>
  <c r="Q58" i="5"/>
  <c r="S58" i="5"/>
  <c r="S55" i="5"/>
  <c r="Q55" i="5"/>
  <c r="Q40" i="5"/>
  <c r="S40" i="5"/>
  <c r="R40" i="5"/>
  <c r="Q26" i="5"/>
  <c r="S26" i="5"/>
  <c r="Q44" i="5"/>
  <c r="S44" i="5"/>
  <c r="S41" i="5"/>
  <c r="Q41" i="5"/>
  <c r="R7" i="5"/>
  <c r="Q39" i="5"/>
  <c r="S39" i="5"/>
  <c r="Q51" i="5"/>
  <c r="S51" i="5"/>
  <c r="Q10" i="5"/>
  <c r="S10" i="5"/>
  <c r="Q53" i="5"/>
  <c r="S53" i="5"/>
  <c r="R19" i="5"/>
  <c r="Q56" i="5"/>
  <c r="S56" i="5"/>
  <c r="R51" i="5"/>
  <c r="R55" i="5"/>
  <c r="Q13" i="5"/>
  <c r="S13" i="5"/>
  <c r="S18" i="5"/>
  <c r="Q18" i="5"/>
  <c r="S57" i="5"/>
  <c r="Q57" i="5"/>
  <c r="Q54" i="5"/>
  <c r="S54" i="5"/>
  <c r="S14" i="5"/>
  <c r="Q14" i="5"/>
  <c r="R59" i="5"/>
  <c r="S8" i="5"/>
  <c r="Q8" i="5"/>
  <c r="Q43" i="5"/>
  <c r="S43" i="5"/>
  <c r="R56" i="5"/>
  <c r="BS43" i="5" l="1"/>
  <c r="BT54" i="5"/>
  <c r="BT37" i="5"/>
  <c r="BU54" i="5"/>
  <c r="BU37" i="5"/>
  <c r="BU14" i="5"/>
  <c r="BS14" i="5"/>
  <c r="BT16" i="5"/>
  <c r="BU43" i="5"/>
  <c r="BT26" i="5"/>
  <c r="BT59" i="5"/>
  <c r="BU59" i="5"/>
  <c r="BT10" i="5"/>
  <c r="BU11" i="5"/>
  <c r="BT25" i="5"/>
  <c r="BS32" i="5"/>
  <c r="BU32" i="5"/>
  <c r="BU25" i="5"/>
  <c r="BU10" i="5"/>
  <c r="BT28" i="5"/>
  <c r="BT58" i="5"/>
  <c r="BT20" i="5"/>
  <c r="BS22" i="5"/>
  <c r="BU28" i="5"/>
  <c r="BS35" i="5"/>
  <c r="BT47" i="5"/>
  <c r="BT7" i="5"/>
  <c r="BU16" i="5"/>
  <c r="BU62" i="5"/>
  <c r="BT22" i="5"/>
  <c r="BU7" i="5"/>
  <c r="BS11" i="5"/>
  <c r="BU35" i="5"/>
  <c r="BT62" i="5"/>
  <c r="BU55" i="5"/>
  <c r="BU31" i="5"/>
  <c r="BU58" i="5"/>
  <c r="BT5" i="5"/>
  <c r="BU64" i="5"/>
  <c r="BT31" i="5"/>
  <c r="BS18" i="5"/>
  <c r="BT18" i="5"/>
  <c r="BS20" i="5"/>
  <c r="BT27" i="5"/>
  <c r="BU39" i="5"/>
  <c r="BS63" i="5"/>
  <c r="BT63" i="5"/>
  <c r="BU27" i="5"/>
  <c r="BT64" i="5"/>
  <c r="BS33" i="5"/>
  <c r="BT55" i="5"/>
  <c r="BU33" i="5"/>
  <c r="BT21" i="5"/>
  <c r="BU12" i="5"/>
  <c r="BT12" i="5"/>
  <c r="BT57" i="5"/>
  <c r="BU21" i="5"/>
  <c r="BU20" i="5"/>
  <c r="BT39" i="5"/>
  <c r="BU57" i="5"/>
  <c r="BU44" i="5"/>
  <c r="BS5" i="5"/>
  <c r="BU5" i="5"/>
  <c r="BS57" i="5"/>
  <c r="BS45" i="5"/>
  <c r="BU45" i="5"/>
  <c r="BT44" i="5"/>
  <c r="BT45" i="5"/>
  <c r="AY38" i="5"/>
  <c r="AY18" i="5"/>
  <c r="AY62" i="5"/>
  <c r="AY6" i="5"/>
  <c r="AY46" i="5"/>
  <c r="AY58" i="5"/>
  <c r="AY21" i="5"/>
  <c r="AY30" i="5"/>
  <c r="AY34" i="5"/>
  <c r="AY37" i="5"/>
  <c r="AY5" i="5"/>
  <c r="AY12" i="5"/>
  <c r="AY11" i="5"/>
  <c r="AY66" i="5"/>
  <c r="AY51" i="5"/>
  <c r="AY47" i="5"/>
  <c r="AY41" i="5"/>
  <c r="AY49" i="5"/>
  <c r="AY52" i="5"/>
  <c r="AY19" i="5"/>
  <c r="AY17" i="5"/>
  <c r="AY24" i="5"/>
  <c r="AY42" i="5"/>
  <c r="AY45" i="5"/>
  <c r="AY56" i="5"/>
  <c r="AY59" i="5"/>
  <c r="AY63" i="5"/>
  <c r="AY36" i="5"/>
  <c r="AY48" i="5"/>
  <c r="AY7" i="5"/>
  <c r="AY23" i="5"/>
  <c r="AY25" i="5"/>
  <c r="AY15" i="5"/>
  <c r="AY13" i="5"/>
  <c r="AY26" i="5"/>
  <c r="AY14" i="5"/>
  <c r="AY32" i="5"/>
  <c r="AY29" i="5"/>
  <c r="AY8" i="5"/>
  <c r="AY40" i="5"/>
  <c r="AY27" i="5"/>
  <c r="AY39" i="5"/>
  <c r="AY60" i="5"/>
  <c r="AY3" i="5"/>
  <c r="AY50" i="5"/>
  <c r="AY20" i="5"/>
  <c r="AY35" i="5"/>
  <c r="AY4" i="5"/>
  <c r="AY44" i="5"/>
  <c r="AY43" i="5"/>
  <c r="AY61" i="5"/>
  <c r="AY9" i="5"/>
  <c r="AY53" i="5"/>
  <c r="AY22" i="5"/>
  <c r="AY55" i="5"/>
  <c r="AY10" i="5"/>
  <c r="AY54" i="5"/>
  <c r="AY64" i="5"/>
  <c r="AY28" i="5"/>
  <c r="AY65" i="5"/>
  <c r="AY31" i="5"/>
  <c r="AY57" i="5"/>
  <c r="AY33" i="5"/>
  <c r="AY16" i="5"/>
  <c r="AY79" i="5" l="1"/>
</calcChain>
</file>

<file path=xl/sharedStrings.xml><?xml version="1.0" encoding="utf-8"?>
<sst xmlns="http://schemas.openxmlformats.org/spreadsheetml/2006/main" count="637" uniqueCount="288">
  <si>
    <t>Data Communication</t>
    <phoneticPr fontId="2" type="noConversion"/>
  </si>
  <si>
    <t>Pre-calibration</t>
    <phoneticPr fontId="2" type="noConversion"/>
  </si>
  <si>
    <t>Temperature compensation</t>
    <phoneticPr fontId="2" type="noConversion"/>
  </si>
  <si>
    <t>12-bit</t>
    <phoneticPr fontId="2" type="noConversion"/>
  </si>
  <si>
    <t>Protection</t>
    <phoneticPr fontId="2" type="noConversion"/>
  </si>
  <si>
    <t>Temperature protection</t>
    <phoneticPr fontId="2" type="noConversion"/>
  </si>
  <si>
    <t>WHITE@D65</t>
    <phoneticPr fontId="2" type="noConversion"/>
  </si>
  <si>
    <t xml:space="preserve">Tj </t>
    <phoneticPr fontId="2" type="noConversion"/>
  </si>
  <si>
    <t>125℃</t>
    <phoneticPr fontId="2" type="noConversion"/>
  </si>
  <si>
    <t>MSL</t>
    <phoneticPr fontId="2" type="noConversion"/>
  </si>
  <si>
    <t>Yes</t>
    <phoneticPr fontId="2" type="noConversion"/>
  </si>
  <si>
    <t>-</t>
    <phoneticPr fontId="2" type="noConversion"/>
  </si>
  <si>
    <t>View angle</t>
    <phoneticPr fontId="2" type="noConversion"/>
  </si>
  <si>
    <t>Model</t>
    <phoneticPr fontId="2" type="noConversion"/>
  </si>
  <si>
    <t>Maker</t>
    <phoneticPr fontId="2" type="noConversion"/>
  </si>
  <si>
    <t>Size</t>
    <phoneticPr fontId="2" type="noConversion"/>
  </si>
  <si>
    <t>TBD</t>
    <phoneticPr fontId="2" type="noConversion"/>
  </si>
  <si>
    <t>LED Current</t>
    <phoneticPr fontId="2" type="noConversion"/>
  </si>
  <si>
    <t>Current Gains control</t>
    <phoneticPr fontId="2" type="noConversion"/>
  </si>
  <si>
    <t>LED error detection</t>
    <phoneticPr fontId="2" type="noConversion"/>
  </si>
  <si>
    <t>AEC-Qualified</t>
    <phoneticPr fontId="2" type="noConversion"/>
  </si>
  <si>
    <t>OUT</t>
    <phoneticPr fontId="2" type="noConversion"/>
  </si>
  <si>
    <t>Power saving</t>
    <phoneticPr fontId="2" type="noConversion"/>
  </si>
  <si>
    <t>Data rate</t>
    <phoneticPr fontId="2" type="noConversion"/>
  </si>
  <si>
    <t>2Mbit/s</t>
    <phoneticPr fontId="2" type="noConversion"/>
  </si>
  <si>
    <t>Oscillator Variance</t>
    <phoneticPr fontId="2" type="noConversion"/>
  </si>
  <si>
    <t>OTP (e-fuse)</t>
    <phoneticPr fontId="2" type="noConversion"/>
  </si>
  <si>
    <t>OSIRE® E3731i</t>
    <phoneticPr fontId="2" type="noConversion"/>
  </si>
  <si>
    <t>fpwm</t>
    <phoneticPr fontId="2" type="noConversion"/>
  </si>
  <si>
    <t>1 kHz</t>
    <phoneticPr fontId="2" type="noConversion"/>
  </si>
  <si>
    <t>Auto-addressing</t>
    <phoneticPr fontId="2" type="noConversion"/>
  </si>
  <si>
    <t>LED Strings</t>
    <phoneticPr fontId="2" type="noConversion"/>
  </si>
  <si>
    <t>1,000 LEDs</t>
    <phoneticPr fontId="2" type="noConversion"/>
  </si>
  <si>
    <t>4.8Mbit/s</t>
    <phoneticPr fontId="2" type="noConversion"/>
  </si>
  <si>
    <t>a built-in temperature sensor with a resolution of 8 bit that offers accurate and stable reading over the full temperature range.</t>
    <phoneticPr fontId="2" type="noConversion"/>
  </si>
  <si>
    <t>CRC</t>
    <phoneticPr fontId="2" type="noConversion"/>
  </si>
  <si>
    <t>CRC8 check word</t>
    <phoneticPr fontId="2" type="noConversion"/>
  </si>
  <si>
    <t>INLC10AQ</t>
    <phoneticPr fontId="2" type="noConversion"/>
  </si>
  <si>
    <t>Bidirectional, half-duplex, 2Mbps, CRC</t>
    <phoneticPr fontId="2" type="noConversion"/>
  </si>
  <si>
    <t>16 multicast address groups</t>
    <phoneticPr fontId="2" type="noConversion"/>
  </si>
  <si>
    <t>3mm x 3mm x 0.9mm 0.5 pitch</t>
    <phoneticPr fontId="2" type="noConversion"/>
  </si>
  <si>
    <t>ATR</t>
    <phoneticPr fontId="2" type="noConversion"/>
  </si>
  <si>
    <t>As each device is individually calibrated to compensate for production variations, the corresponding parameters can be stored in an on-die non-volatile memory.</t>
    <phoneticPr fontId="2" type="noConversion"/>
  </si>
  <si>
    <t>5V</t>
    <phoneticPr fontId="2" type="noConversion"/>
  </si>
  <si>
    <t>ESD protection HBM
AEC-Q100-002-E</t>
    <phoneticPr fontId="2" type="noConversion"/>
  </si>
  <si>
    <t>ESD protection CDM
AEC-Q100-011-C1</t>
    <phoneticPr fontId="2" type="noConversion"/>
  </si>
  <si>
    <t>±2500 V</t>
    <phoneticPr fontId="2" type="noConversion"/>
  </si>
  <si>
    <t>±500V</t>
    <phoneticPr fontId="2" type="noConversion"/>
  </si>
  <si>
    <t>RED (mcd), Vhdmin</t>
    <phoneticPr fontId="2" type="noConversion"/>
  </si>
  <si>
    <t>GREEN (mcd), Vhdmin</t>
    <phoneticPr fontId="2" type="noConversion"/>
  </si>
  <si>
    <t>BLUE (mcd), Vhdmin</t>
    <phoneticPr fontId="2" type="noConversion"/>
  </si>
  <si>
    <t>1.05V</t>
    <phoneticPr fontId="2" type="noConversion"/>
  </si>
  <si>
    <t>0.76V</t>
    <phoneticPr fontId="2" type="noConversion"/>
  </si>
  <si>
    <t>24 mA</t>
    <phoneticPr fontId="2" type="noConversion"/>
  </si>
  <si>
    <t>1.2 mA typ</t>
    <phoneticPr fontId="2" type="noConversion"/>
  </si>
  <si>
    <t>3.3 V</t>
    <phoneticPr fontId="2" type="noConversion"/>
  </si>
  <si>
    <t>ADC</t>
    <phoneticPr fontId="2" type="noConversion"/>
  </si>
  <si>
    <t>PROG5, LDO, RED, GREEN, BLUE, BG</t>
    <phoneticPr fontId="2" type="noConversion"/>
  </si>
  <si>
    <t>16 Mhz±30% (11.2-20.8Mhz)</t>
    <phoneticPr fontId="2" type="noConversion"/>
  </si>
  <si>
    <t>488Hz (16Mhz/15bit)</t>
    <phoneticPr fontId="2" type="noConversion"/>
  </si>
  <si>
    <t>Phase shift</t>
    <phoneticPr fontId="2" type="noConversion"/>
  </si>
  <si>
    <t>Green: 0º, 
Red: 25% / PWM Frequency, 
Blue: 75% / PWM Frequency</t>
    <phoneticPr fontId="2" type="noConversion"/>
  </si>
  <si>
    <t>8-bit DAC x 3ch
&gt; Blue and Green Brightness Control Scaler</t>
    <phoneticPr fontId="2" type="noConversion"/>
  </si>
  <si>
    <t>fpwm reduction
(accurate low light colors)</t>
    <phoneticPr fontId="2" type="noConversion"/>
  </si>
  <si>
    <t>9bit, For RED LED</t>
    <phoneticPr fontId="2" type="noConversion"/>
  </si>
  <si>
    <t>RGB Driver IC</t>
    <phoneticPr fontId="2" type="noConversion"/>
  </si>
  <si>
    <t>Calibration data is stored as encoded (u’, v’, Iv) triplets for every LED and every current setting in the built-in nonvolatile memory.</t>
    <phoneticPr fontId="2" type="noConversion"/>
  </si>
  <si>
    <t>AMS (OSRAM)</t>
    <phoneticPr fontId="2" type="noConversion"/>
  </si>
  <si>
    <t xml:space="preserve">&gt; 4 Differential Modes by Resistor-selection
&gt; LVDS, MCU, EOL, CAN modes </t>
    <phoneticPr fontId="2" type="noConversion"/>
  </si>
  <si>
    <t>&gt; 4 Differential Modes by Resistor-selection
&gt; LVDS, MCU, EOL, CAN modes</t>
    <phoneticPr fontId="2" type="noConversion"/>
  </si>
  <si>
    <t>INOVA (ISLED)</t>
    <phoneticPr fontId="2" type="noConversion"/>
  </si>
  <si>
    <t>0.5mA typ</t>
    <phoneticPr fontId="2" type="noConversion"/>
  </si>
  <si>
    <t>No Need</t>
    <phoneticPr fontId="2" type="noConversion"/>
  </si>
  <si>
    <t>Built in temperature Sensor</t>
    <phoneticPr fontId="2" type="noConversion"/>
  </si>
  <si>
    <t>Use OTP</t>
    <phoneticPr fontId="2" type="noConversion"/>
  </si>
  <si>
    <t>2 kHz</t>
    <phoneticPr fontId="2" type="noConversion"/>
  </si>
  <si>
    <t>MSL 2</t>
    <phoneticPr fontId="2" type="noConversion"/>
  </si>
  <si>
    <t>±700V</t>
    <phoneticPr fontId="2" type="noConversion"/>
  </si>
  <si>
    <t>±4,000 V</t>
    <phoneticPr fontId="2" type="noConversion"/>
  </si>
  <si>
    <t>Max 1.2Mbit/s</t>
    <phoneticPr fontId="2" type="noConversion"/>
  </si>
  <si>
    <t xml:space="preserve">40V </t>
    <phoneticPr fontId="2" type="noConversion"/>
  </si>
  <si>
    <t>Dim mode 4개 (fpwm: x1, x1/2, x1/4)</t>
    <phoneticPr fontId="2" type="noConversion"/>
  </si>
  <si>
    <t>128 bit (32bit 암호화서명, 96bit사용)</t>
    <phoneticPr fontId="2" type="noConversion"/>
  </si>
  <si>
    <t>128 bit (32bit암호화서명, 96bit사용)</t>
    <phoneticPr fontId="2" type="noConversion"/>
  </si>
  <si>
    <t>AEC-Q100 (Temp. grade 2 : -40~105℃)</t>
    <phoneticPr fontId="2" type="noConversion"/>
  </si>
  <si>
    <t>OK</t>
    <phoneticPr fontId="2" type="noConversion"/>
  </si>
  <si>
    <t>Max 32mA (fix after system spec is defined)</t>
    <phoneticPr fontId="2" type="noConversion"/>
  </si>
  <si>
    <t>Target 16 Mhz±10% (14.4-17.6Mhz)</t>
    <phoneticPr fontId="2" type="noConversion"/>
  </si>
  <si>
    <t>무드조명용 RGB Driver IC</t>
    <phoneticPr fontId="2" type="noConversion"/>
  </si>
  <si>
    <t>3.3V</t>
    <phoneticPr fontId="2" type="noConversion"/>
  </si>
  <si>
    <t xml:space="preserve">8-bit, 1-ch multiplexing </t>
    <phoneticPr fontId="2" type="noConversion"/>
  </si>
  <si>
    <t xml:space="preserve">±2,500V </t>
    <phoneticPr fontId="2" type="noConversion"/>
  </si>
  <si>
    <t xml:space="preserve">±500V </t>
    <phoneticPr fontId="2" type="noConversion"/>
  </si>
  <si>
    <t>CRC8 Check word</t>
    <phoneticPr fontId="2" type="noConversion"/>
  </si>
  <si>
    <t>Max TBD mA (fix after system spec is defined)</t>
    <phoneticPr fontId="2" type="noConversion"/>
  </si>
  <si>
    <t>Board to Board : CAN 
In module : 1-wire duty (RGB) communication</t>
    <phoneticPr fontId="2" type="noConversion"/>
  </si>
  <si>
    <t xml:space="preserve">Use OTP (IC trimming, 정밀도 ±5%) </t>
    <phoneticPr fontId="2" type="noConversion"/>
  </si>
  <si>
    <t>a built-in temperature sensor with a resolution of 8 bit that offers accurate and stable reading over the full temperature range.
(Require system level requirement from the customer)</t>
    <phoneticPr fontId="2" type="noConversion"/>
  </si>
  <si>
    <t xml:space="preserve"> IC : 1,000 X 1,000um 
 Package : TBD</t>
    <phoneticPr fontId="2" type="noConversion"/>
  </si>
  <si>
    <t xml:space="preserve">GT 제안 ('23.7.6) </t>
    <phoneticPr fontId="2" type="noConversion"/>
  </si>
  <si>
    <t>GT 제안 업데이트 ('23.8.2)</t>
    <phoneticPr fontId="2" type="noConversion"/>
  </si>
  <si>
    <t>4,079 ISELEDs</t>
    <phoneticPr fontId="2" type="noConversion"/>
  </si>
  <si>
    <t xml:space="preserve">전장용 RGB LED Driver IC 개발 목표 사양 </t>
    <phoneticPr fontId="2" type="noConversion"/>
  </si>
  <si>
    <t>기본 Color 64, 고유 Color 12 (HMC 기준) 구현 필요 / Cx, Cy 값은 CIE 1931 기준의 좌표임</t>
    <phoneticPr fontId="2" type="noConversion"/>
  </si>
  <si>
    <t>Default</t>
    <phoneticPr fontId="2" type="noConversion"/>
  </si>
  <si>
    <t>Center</t>
    <phoneticPr fontId="2" type="noConversion"/>
  </si>
  <si>
    <t>Driver</t>
    <phoneticPr fontId="2" type="noConversion"/>
  </si>
  <si>
    <t>Passsenger</t>
    <phoneticPr fontId="2" type="noConversion"/>
  </si>
  <si>
    <t xml:space="preserve">*) Defualt 값에서 위치별 tunning </t>
    <phoneticPr fontId="2" type="noConversion"/>
  </si>
  <si>
    <t>Cx</t>
    <phoneticPr fontId="2" type="noConversion"/>
  </si>
  <si>
    <t>Cy</t>
    <phoneticPr fontId="2" type="noConversion"/>
  </si>
  <si>
    <t>Hex x</t>
    <phoneticPr fontId="2" type="noConversion"/>
  </si>
  <si>
    <t>Hex y</t>
    <phoneticPr fontId="2" type="noConversion"/>
  </si>
  <si>
    <t>2F</t>
  </si>
  <si>
    <t>2A</t>
  </si>
  <si>
    <t>1A</t>
  </si>
  <si>
    <t>1E</t>
  </si>
  <si>
    <t>5C</t>
  </si>
  <si>
    <t>2D</t>
  </si>
  <si>
    <t>3D</t>
  </si>
  <si>
    <t>4C</t>
  </si>
  <si>
    <t>9A</t>
  </si>
  <si>
    <t>4F</t>
  </si>
  <si>
    <t>9E</t>
  </si>
  <si>
    <t>A0</t>
  </si>
  <si>
    <t>9F</t>
  </si>
  <si>
    <t>9D</t>
  </si>
  <si>
    <t>8D</t>
  </si>
  <si>
    <t>9C</t>
  </si>
  <si>
    <t xml:space="preserve"> </t>
    <phoneticPr fontId="2" type="noConversion"/>
  </si>
  <si>
    <t>5B</t>
  </si>
  <si>
    <t>5D</t>
  </si>
  <si>
    <t>7A</t>
  </si>
  <si>
    <t>6E</t>
  </si>
  <si>
    <t>7D</t>
  </si>
  <si>
    <t>7E</t>
  </si>
  <si>
    <t>6D</t>
  </si>
  <si>
    <t>6B</t>
  </si>
  <si>
    <t>7F</t>
  </si>
  <si>
    <t>6A</t>
  </si>
  <si>
    <t>6F</t>
  </si>
  <si>
    <t>8B</t>
  </si>
  <si>
    <t>8A</t>
  </si>
  <si>
    <t>5A</t>
  </si>
  <si>
    <t>3A</t>
  </si>
  <si>
    <t>7B</t>
  </si>
  <si>
    <t>2E</t>
  </si>
  <si>
    <t>2C</t>
  </si>
  <si>
    <t>2B</t>
  </si>
  <si>
    <t>4A</t>
  </si>
  <si>
    <t>3B</t>
  </si>
  <si>
    <t>1F</t>
  </si>
  <si>
    <t>F</t>
  </si>
  <si>
    <t>1C</t>
  </si>
  <si>
    <t>9B</t>
  </si>
  <si>
    <t>4B</t>
  </si>
  <si>
    <t>wndml</t>
    <phoneticPr fontId="2" type="noConversion"/>
  </si>
  <si>
    <t>고유 색으로
제조사별 다름
(고유색 tap 참고)</t>
    <phoneticPr fontId="2" type="noConversion"/>
  </si>
  <si>
    <t>8C</t>
  </si>
  <si>
    <t>AF</t>
  </si>
  <si>
    <t>3F</t>
  </si>
  <si>
    <t>1D</t>
  </si>
  <si>
    <t>END</t>
    <phoneticPr fontId="2" type="noConversion"/>
  </si>
  <si>
    <t>각 LED 사별 CIE 1931 기준의 좌표를 기준으로 색 구현을 위한 tunning 좌표를 제시함</t>
    <phoneticPr fontId="2" type="noConversion"/>
  </si>
  <si>
    <t>현대차 고유색</t>
    <phoneticPr fontId="2" type="noConversion"/>
  </si>
  <si>
    <t>기아차 고유색</t>
    <phoneticPr fontId="2" type="noConversion"/>
  </si>
  <si>
    <t>8/7 협의 결과</t>
    <phoneticPr fontId="2" type="noConversion"/>
  </si>
  <si>
    <t>Operating Vcc range</t>
    <phoneticPr fontId="2" type="noConversion"/>
  </si>
  <si>
    <t>MOBIS 요구사양</t>
    <phoneticPr fontId="2" type="noConversion"/>
  </si>
  <si>
    <t>Smart Ambient Light LED Driver IC</t>
    <phoneticPr fontId="2" type="noConversion"/>
  </si>
  <si>
    <t>Absolute Maximum Rating
Vhd</t>
    <phoneticPr fontId="2" type="noConversion"/>
  </si>
  <si>
    <t>Driver standby current
(Ivcc)</t>
    <phoneticPr fontId="2" type="noConversion"/>
  </si>
  <si>
    <r>
      <t>&lt; Max 1.5mA (Tj=25</t>
    </r>
    <r>
      <rPr>
        <sz val="11"/>
        <color theme="1"/>
        <rFont val="맑은 고딕"/>
        <family val="3"/>
        <charset val="129"/>
      </rPr>
      <t>℃)</t>
    </r>
    <phoneticPr fontId="2" type="noConversion"/>
  </si>
  <si>
    <t>LED Red = 26.7mA (TBD)
LED Green = 13.6mA (TBD)
LED Blue = 13.5mA (TBD)</t>
    <phoneticPr fontId="2" type="noConversion"/>
  </si>
  <si>
    <t>Green: 0º, 
Red: 25% / PWM Frequency, 
Blue: 75% / PWM Frequency
"Same as ISELED"</t>
    <phoneticPr fontId="2" type="noConversion"/>
  </si>
  <si>
    <t>Dim mode 4개 (fpwm: x1, x1/2, x1/4)
Minimum on-time of 1us for the LEDs.</t>
    <phoneticPr fontId="2" type="noConversion"/>
  </si>
  <si>
    <t>Board to Board : CAN-FD tran, single ended Manchester coded
MCU to IC : Single ended Manchester coded
IC to IC(in module) : LVDS differential Manchester coded</t>
    <phoneticPr fontId="2" type="noConversion"/>
  </si>
  <si>
    <t>Typ 2.0Mbit/s data transfer rate,
(For the transceiver the data transfer rate depends on the data signal due to the Manchester encoded data. It means up to the double transfer rate is needed (Typ 4.0Mbit/s)</t>
    <phoneticPr fontId="2" type="noConversion"/>
  </si>
  <si>
    <r>
      <rPr>
        <strike/>
        <sz val="11"/>
        <color theme="1"/>
        <rFont val="맑은 고딕"/>
        <family val="3"/>
        <charset val="129"/>
        <scheme val="minor"/>
      </rPr>
      <t>Max 1.2Mbit/s</t>
    </r>
    <r>
      <rPr>
        <sz val="11"/>
        <color theme="1"/>
        <rFont val="맑은 고딕"/>
        <family val="3"/>
        <charset val="129"/>
        <scheme val="minor"/>
      </rPr>
      <t xml:space="preserve">
(Signals in the AM frequency band(500K~1.6MHz) are not used in vehicles.)</t>
    </r>
    <phoneticPr fontId="2" type="noConversion"/>
  </si>
  <si>
    <t>Auto addressing needed</t>
    <phoneticPr fontId="2" type="noConversion"/>
  </si>
  <si>
    <t>PWM Dimming Resolution</t>
    <phoneticPr fontId="2" type="noConversion"/>
  </si>
  <si>
    <t>12-bit (4095)</t>
    <phoneticPr fontId="2" type="noConversion"/>
  </si>
  <si>
    <t>1 kHz 이상
"Flicker free"</t>
    <phoneticPr fontId="2" type="noConversion"/>
  </si>
  <si>
    <t>4.3~5.5V</t>
    <phoneticPr fontId="2" type="noConversion"/>
  </si>
  <si>
    <t>-0.3~5.5V</t>
    <phoneticPr fontId="2" type="noConversion"/>
  </si>
  <si>
    <t>(TBD)
The variance of the oscillator is related to the asynchronous communication frequency tolerance. need to discuss</t>
    <phoneticPr fontId="2" type="noConversion"/>
  </si>
  <si>
    <t>UVLO
"LED Driver disable"</t>
    <phoneticPr fontId="2" type="noConversion"/>
  </si>
  <si>
    <t>Power of RESET
"Logic Reset"</t>
    <phoneticPr fontId="2" type="noConversion"/>
  </si>
  <si>
    <t>Max 3.4V</t>
    <phoneticPr fontId="2" type="noConversion"/>
  </si>
  <si>
    <t>Max 4.2V</t>
    <phoneticPr fontId="2" type="noConversion"/>
  </si>
  <si>
    <t>8-bit</t>
    <phoneticPr fontId="2" type="noConversion"/>
  </si>
  <si>
    <t xml:space="preserve">±2,000V 이상 </t>
    <phoneticPr fontId="2" type="noConversion"/>
  </si>
  <si>
    <t>±500V 이상</t>
    <phoneticPr fontId="2" type="noConversion"/>
  </si>
  <si>
    <t>Implemented at the similar characteristic as ISELED</t>
    <phoneticPr fontId="2" type="noConversion"/>
  </si>
  <si>
    <t>Yxy</t>
    <phoneticPr fontId="2" type="noConversion"/>
  </si>
  <si>
    <t>Default Color(sRGB,r/g/b)</t>
    <phoneticPr fontId="2" type="noConversion"/>
  </si>
  <si>
    <t>Adobe Color(R/G/B)</t>
    <phoneticPr fontId="2" type="noConversion"/>
  </si>
  <si>
    <t>Cx</t>
  </si>
  <si>
    <t>Cy</t>
  </si>
  <si>
    <t>R</t>
    <phoneticPr fontId="2" type="noConversion"/>
  </si>
  <si>
    <t>G</t>
    <phoneticPr fontId="2" type="noConversion"/>
  </si>
  <si>
    <t>B</t>
    <phoneticPr fontId="2" type="noConversion"/>
  </si>
  <si>
    <t>X</t>
    <phoneticPr fontId="2" type="noConversion"/>
  </si>
  <si>
    <t>Y</t>
    <phoneticPr fontId="2" type="noConversion"/>
  </si>
  <si>
    <t>Z</t>
    <phoneticPr fontId="2" type="noConversion"/>
  </si>
  <si>
    <t>Default Color</t>
    <phoneticPr fontId="2" type="noConversion"/>
  </si>
  <si>
    <t>측정값</t>
    <phoneticPr fontId="2" type="noConversion"/>
  </si>
  <si>
    <t>b</t>
    <phoneticPr fontId="2" type="noConversion"/>
  </si>
  <si>
    <t>'This function is just a thin wrapper to RGBtoXYZ and XYZtoLAB.  There is no direct conversion from RGB to CieLAB.</t>
  </si>
  <si>
    <t>Public Sub RGBtoLAB(ByVal r As Long, ByVal g As Long, ByVal b As Long, ByRef labL As Double, ByRef labA As Double, ByRef labB As Double)</t>
  </si>
  <si>
    <t xml:space="preserve">    Dim x As Double, y As Double, z As Double</t>
  </si>
  <si>
    <t xml:space="preserve">    RGBtoXYZ r, g, b, x, y, z</t>
  </si>
  <si>
    <t xml:space="preserve">    XYZtoLab x, y, z, labL, labA, labB</t>
  </si>
  <si>
    <t>End Sub</t>
  </si>
  <si>
    <t>'Convert RGB to XYZ space, using an sRGB conversion and the assumption of a D65 (e.g. color temperature of 6500k) illuminant</t>
  </si>
  <si>
    <t>' Formula adopted from http://www.easyrgb.com/index.php?X=MATH&amp;H=02#text2</t>
  </si>
  <si>
    <t>Public Sub RGBtoXYZ(ByVal r As Long, ByVal g As Long, ByVal b As Long, ByRef x As Double, ByRef y As Double, ByRef z As Double)</t>
  </si>
  <si>
    <t xml:space="preserve">    'Normalize RGB to [0, 1]</t>
  </si>
  <si>
    <t xml:space="preserve">    Dim rFloat As Double, gFloat As Double, bFloat As Double</t>
  </si>
  <si>
    <t xml:space="preserve">    rFloat = r / 255</t>
  </si>
  <si>
    <t xml:space="preserve">    gFloat = g / 255</t>
  </si>
  <si>
    <t xml:space="preserve">    bFloat = b / 255</t>
  </si>
  <si>
    <t xml:space="preserve">    </t>
  </si>
  <si>
    <t xml:space="preserve">    'Convert RGB values to the sRGB color space</t>
  </si>
  <si>
    <t xml:space="preserve">    If rFloat &gt; 0.04045 Then</t>
  </si>
  <si>
    <t xml:space="preserve">        rFloat = ((rFloat + 0.055) / (1.055)) ^ 2.2</t>
  </si>
  <si>
    <t xml:space="preserve">    Else</t>
  </si>
  <si>
    <t xml:space="preserve">        rFloat = rFloat / 12.92</t>
  </si>
  <si>
    <t xml:space="preserve">    End If</t>
  </si>
  <si>
    <t xml:space="preserve">    If gFloat &gt; 0.04045 Then</t>
  </si>
  <si>
    <t xml:space="preserve">        gFloat = ((gFloat + 0.055) / (1.055)) ^ 2.2</t>
  </si>
  <si>
    <t xml:space="preserve">        gFloat = gFloat / 12.92</t>
  </si>
  <si>
    <t xml:space="preserve">    If bFloat &gt; 0.04045 Then</t>
  </si>
  <si>
    <t xml:space="preserve">        bFloat = ((bFloat + 0.055) / (1.055)) ^ 2.2</t>
  </si>
  <si>
    <t xml:space="preserve">        bFloat = bFloat / 12.92</t>
  </si>
  <si>
    <t xml:space="preserve">    'Calculate XYZ using D65 correction</t>
  </si>
  <si>
    <t xml:space="preserve">    x = rFloat * 0.4124 + gFloat * 0.3576 + bFloat * 0.1805</t>
  </si>
  <si>
    <t xml:space="preserve">    y = rFloat * 0.2126 + gFloat * 0.7152 + bFloat * 0.0722</t>
  </si>
  <si>
    <t xml:space="preserve">    z = rFloat * 0.0193 + gFloat * 0.1192 + bFloat * 0.9505</t>
  </si>
  <si>
    <t>'Convert an XYZ color to CIELab.  As with the original XYZ calculation, D65 is assumed.</t>
  </si>
  <si>
    <t>' Formula adopted from http://www.easyrgb.com/index.php?X=MATH&amp;H=07#text7, with minor changes by me (not re-applying D65 values until after</t>
  </si>
  <si>
    <t>'  fXYZ has been calculated)</t>
  </si>
  <si>
    <t>Public Sub XYZtoLab(ByVal x As Double, ByVal y As Double, ByVal z As Double, ByRef l As Double, ByRef a As Double, ByRef b As Double)</t>
  </si>
  <si>
    <t xml:space="preserve">    l = 116 * fXYZ(y) - 16</t>
  </si>
  <si>
    <t xml:space="preserve">    a = 500 * (fXYZ(x / 0.9505) - fXYZ(y))</t>
  </si>
  <si>
    <t xml:space="preserve">    b = 200 * (fXYZ(y) - fXYZ(z / 1.089))</t>
  </si>
  <si>
    <t>Private Function fXYZ(ByVal t As Double) As Double</t>
  </si>
  <si>
    <t xml:space="preserve">    If t &gt; 0.008856 Then</t>
  </si>
  <si>
    <t xml:space="preserve">        fXYZ = t ^ (1 / 3)</t>
  </si>
  <si>
    <t xml:space="preserve">        fXYZ = (7.787 * t) + (16 / 116)</t>
  </si>
  <si>
    <t>End Function</t>
  </si>
  <si>
    <t>rfloat</t>
    <phoneticPr fontId="2" type="noConversion"/>
  </si>
  <si>
    <t>gfloat</t>
    <phoneticPr fontId="2" type="noConversion"/>
  </si>
  <si>
    <t>bfloat</t>
    <phoneticPr fontId="2" type="noConversion"/>
  </si>
  <si>
    <t>l</t>
    <phoneticPr fontId="2" type="noConversion"/>
  </si>
  <si>
    <t>a</t>
    <phoneticPr fontId="2" type="noConversion"/>
  </si>
  <si>
    <t>fXYZ(y)</t>
    <phoneticPr fontId="2" type="noConversion"/>
  </si>
  <si>
    <t>fXYZ(x./0.9505)</t>
    <phoneticPr fontId="2" type="noConversion"/>
  </si>
  <si>
    <t>fXYZ(z/1.089)</t>
    <phoneticPr fontId="2" type="noConversion"/>
  </si>
  <si>
    <t>Y</t>
    <phoneticPr fontId="2" type="noConversion"/>
  </si>
  <si>
    <t>R</t>
    <phoneticPr fontId="2" type="noConversion"/>
  </si>
  <si>
    <t>G</t>
    <phoneticPr fontId="2" type="noConversion"/>
  </si>
  <si>
    <t>B</t>
    <phoneticPr fontId="2" type="noConversion"/>
  </si>
  <si>
    <t>x</t>
    <phoneticPr fontId="2" type="noConversion"/>
  </si>
  <si>
    <t>y</t>
    <phoneticPr fontId="2" type="noConversion"/>
  </si>
  <si>
    <t>z</t>
    <phoneticPr fontId="2" type="noConversion"/>
  </si>
  <si>
    <t>l</t>
    <phoneticPr fontId="2" type="noConversion"/>
  </si>
  <si>
    <t>a</t>
    <phoneticPr fontId="2" type="noConversion"/>
  </si>
  <si>
    <t>b</t>
    <phoneticPr fontId="2" type="noConversion"/>
  </si>
  <si>
    <r>
      <rPr>
        <sz val="11"/>
        <color theme="1"/>
        <rFont val="Calibri"/>
        <family val="3"/>
        <charset val="161"/>
      </rPr>
      <t>Δ</t>
    </r>
    <r>
      <rPr>
        <sz val="11"/>
        <color theme="1"/>
        <rFont val="Calibri"/>
        <family val="3"/>
      </rPr>
      <t>E</t>
    </r>
    <phoneticPr fontId="2" type="noConversion"/>
  </si>
  <si>
    <t>R</t>
  </si>
  <si>
    <t>R</t>
    <phoneticPr fontId="2" type="noConversion"/>
  </si>
  <si>
    <t>G</t>
  </si>
  <si>
    <t>G</t>
    <phoneticPr fontId="2" type="noConversion"/>
  </si>
  <si>
    <t>B</t>
  </si>
  <si>
    <t>B</t>
    <phoneticPr fontId="2" type="noConversion"/>
  </si>
  <si>
    <t>번호</t>
    <phoneticPr fontId="2" type="noConversion"/>
  </si>
  <si>
    <t>Y</t>
    <phoneticPr fontId="2" type="noConversion"/>
  </si>
  <si>
    <t>Cx</t>
    <phoneticPr fontId="2" type="noConversion"/>
  </si>
  <si>
    <t>Cy</t>
    <phoneticPr fontId="2" type="noConversion"/>
  </si>
  <si>
    <t>보정값 1</t>
    <phoneticPr fontId="2" type="noConversion"/>
  </si>
  <si>
    <t>보정값 2</t>
    <phoneticPr fontId="2" type="noConversion"/>
  </si>
  <si>
    <t>2024-11-07-1</t>
    <phoneticPr fontId="2" type="noConversion"/>
  </si>
  <si>
    <t>2024-11-07-2</t>
    <phoneticPr fontId="2" type="noConversion"/>
  </si>
  <si>
    <t>x</t>
  </si>
  <si>
    <t>y</t>
  </si>
  <si>
    <t>ΔCx</t>
    <phoneticPr fontId="2" type="noConversion"/>
  </si>
  <si>
    <t>Δcy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</si>
</sst>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00000"/>
  </numFmts>
  <fonts count="48">
    <font>
      <sz val="11"/>
      <color theme="1"/>
      <name val="맑은 고딕"/>
      <family val="2"/>
      <scheme val="minor"/>
    </font>
    <font>
      <sz val="11"/>
      <color theme="1"/>
      <name val="맑은 고딕"/>
      <family val="2"/>
      <charset val="129"/>
      <scheme val="minor"/>
    </font>
    <font>
      <sz val="8"/>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name val="맑은 고딕"/>
      <family val="3"/>
      <charset val="129"/>
      <scheme val="minor"/>
    </font>
    <font>
      <sz val="20"/>
      <color theme="1"/>
      <name val="맑은 고딕"/>
      <family val="3"/>
      <charset val="129"/>
      <scheme val="minor"/>
    </font>
    <font>
      <b/>
      <sz val="18"/>
      <color theme="1"/>
      <name val="맑은 고딕"/>
      <family val="3"/>
      <charset val="129"/>
      <scheme val="minor"/>
    </font>
    <font>
      <sz val="10"/>
      <color theme="1"/>
      <name val="맑은 고딕"/>
      <family val="3"/>
      <charset val="129"/>
      <scheme val="minor"/>
    </font>
    <font>
      <sz val="10"/>
      <color theme="0"/>
      <name val="맑은 고딕"/>
      <family val="3"/>
      <charset val="129"/>
      <scheme val="minor"/>
    </font>
    <font>
      <b/>
      <sz val="10"/>
      <color theme="1"/>
      <name val="맑은 고딕"/>
      <family val="3"/>
      <charset val="129"/>
      <scheme val="minor"/>
    </font>
    <font>
      <sz val="1"/>
      <color theme="0"/>
      <name val="맑은 고딕"/>
      <family val="3"/>
      <charset val="129"/>
      <scheme val="minor"/>
    </font>
    <font>
      <sz val="11"/>
      <color theme="1"/>
      <name val="맑은 고딕"/>
      <family val="2"/>
      <charset val="129"/>
      <scheme val="minor"/>
    </font>
    <font>
      <sz val="10"/>
      <color theme="1"/>
      <name val="맑은 고딕"/>
      <family val="3"/>
      <charset val="129"/>
      <scheme val="major"/>
    </font>
    <font>
      <sz val="10"/>
      <color rgb="FF0000FF"/>
      <name val="맑은 고딕"/>
      <family val="3"/>
      <charset val="129"/>
      <scheme val="major"/>
    </font>
    <font>
      <sz val="11"/>
      <color rgb="FFD29600"/>
      <name val="맑은 고딕"/>
      <family val="2"/>
      <charset val="129"/>
      <scheme val="minor"/>
    </font>
    <font>
      <sz val="10"/>
      <color theme="1"/>
      <name val="맑은 고딕"/>
      <family val="2"/>
      <charset val="129"/>
      <scheme val="minor"/>
    </font>
    <font>
      <sz val="10"/>
      <color rgb="FF000000"/>
      <name val="맑은 고딕"/>
      <family val="3"/>
      <charset val="129"/>
    </font>
    <font>
      <sz val="10"/>
      <color rgb="FF0000FF"/>
      <name val="맑은 고딕"/>
      <family val="3"/>
      <charset val="129"/>
    </font>
    <font>
      <sz val="11"/>
      <color theme="1"/>
      <name val="맑은 고딕"/>
      <family val="3"/>
      <charset val="129"/>
    </font>
    <font>
      <strike/>
      <sz val="11"/>
      <color theme="1"/>
      <name val="맑은 고딕"/>
      <family val="3"/>
      <charset val="129"/>
      <scheme val="minor"/>
    </font>
    <font>
      <sz val="9"/>
      <color theme="1"/>
      <name val="맑은 고딕"/>
      <family val="3"/>
      <charset val="129"/>
      <scheme val="minor"/>
    </font>
    <font>
      <sz val="10"/>
      <name val="맑은 고딕"/>
      <family val="3"/>
      <charset val="129"/>
      <scheme val="minor"/>
    </font>
    <font>
      <sz val="10"/>
      <color rgb="FF000000"/>
      <name val="Arial Unicode MS"/>
      <family val="3"/>
      <charset val="129"/>
    </font>
    <font>
      <sz val="11"/>
      <color theme="1"/>
      <name val="Calibri"/>
      <family val="3"/>
      <charset val="161"/>
    </font>
    <font>
      <sz val="11"/>
      <color theme="1"/>
      <name val="Calibri"/>
      <family val="3"/>
    </font>
    <font>
      <i/>
      <sz val="14"/>
      <color rgb="FF333333"/>
      <name val="Courier New"/>
      <family val="3"/>
    </font>
    <font>
      <sz val="14"/>
      <color theme="1"/>
      <name val="맑은 고딕"/>
      <family val="2"/>
      <scheme val="minor"/>
    </font>
    <font>
      <i/>
      <sz val="10"/>
      <color rgb="FF333333"/>
      <name val="Courier New"/>
      <family val="3"/>
    </font>
    <font>
      <sz val="10"/>
      <color theme="1"/>
      <name val="맑은 고딕"/>
      <family val="2"/>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color rgb="FFFF0000"/>
      <name val="맑은 고딕"/>
      <family val="2"/>
      <scheme val="minor"/>
    </font>
    <font>
      <sz val="11"/>
      <name val="맑은 고딕"/>
      <family val="2"/>
      <scheme val="minor"/>
    </font>
  </fonts>
  <fills count="11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4601B9"/>
        <bgColor indexed="64"/>
      </patternFill>
    </fill>
    <fill>
      <patternFill patternType="solid">
        <fgColor rgb="FF5000AF"/>
        <bgColor indexed="64"/>
      </patternFill>
    </fill>
    <fill>
      <patternFill patternType="solid">
        <fgColor rgb="FF5A00A5"/>
        <bgColor indexed="64"/>
      </patternFill>
    </fill>
    <fill>
      <patternFill patternType="solid">
        <fgColor rgb="FF65009B"/>
        <bgColor indexed="64"/>
      </patternFill>
    </fill>
    <fill>
      <patternFill patternType="solid">
        <fgColor rgb="FF6F0091"/>
        <bgColor indexed="64"/>
      </patternFill>
    </fill>
    <fill>
      <patternFill patternType="solid">
        <fgColor rgb="FF790087"/>
        <bgColor indexed="64"/>
      </patternFill>
    </fill>
    <fill>
      <patternFill patternType="solid">
        <fgColor rgb="FF83007D"/>
        <bgColor indexed="64"/>
      </patternFill>
    </fill>
    <fill>
      <patternFill patternType="solid">
        <fgColor rgb="FF910073"/>
        <bgColor indexed="64"/>
      </patternFill>
    </fill>
    <fill>
      <patternFill patternType="solid">
        <fgColor rgb="FFA50064"/>
        <bgColor indexed="64"/>
      </patternFill>
    </fill>
    <fill>
      <patternFill patternType="solid">
        <fgColor rgb="FFC3005A"/>
        <bgColor indexed="64"/>
      </patternFill>
    </fill>
    <fill>
      <patternFill patternType="solid">
        <fgColor rgb="FFDC0046"/>
        <bgColor indexed="64"/>
      </patternFill>
    </fill>
    <fill>
      <patternFill patternType="solid">
        <fgColor rgb="FFE60032"/>
        <bgColor indexed="64"/>
      </patternFill>
    </fill>
    <fill>
      <patternFill patternType="solid">
        <fgColor rgb="FFF0001E"/>
        <bgColor indexed="64"/>
      </patternFill>
    </fill>
    <fill>
      <patternFill patternType="solid">
        <fgColor rgb="FFF5000F"/>
        <bgColor indexed="64"/>
      </patternFill>
    </fill>
    <fill>
      <patternFill patternType="solid">
        <fgColor rgb="FFFF0005"/>
        <bgColor indexed="64"/>
      </patternFill>
    </fill>
    <fill>
      <patternFill patternType="solid">
        <fgColor rgb="FFFF0A00"/>
        <bgColor indexed="64"/>
      </patternFill>
    </fill>
    <fill>
      <patternFill patternType="solid">
        <fgColor rgb="FFFF1400"/>
        <bgColor indexed="64"/>
      </patternFill>
    </fill>
    <fill>
      <patternFill patternType="solid">
        <fgColor rgb="FFFF1E00"/>
        <bgColor indexed="64"/>
      </patternFill>
    </fill>
    <fill>
      <patternFill patternType="solid">
        <fgColor rgb="FFFF2800"/>
        <bgColor indexed="64"/>
      </patternFill>
    </fill>
    <fill>
      <patternFill patternType="solid">
        <fgColor rgb="FFFF3200"/>
        <bgColor indexed="64"/>
      </patternFill>
    </fill>
    <fill>
      <patternFill patternType="solid">
        <fgColor rgb="FFFF3C00"/>
        <bgColor indexed="64"/>
      </patternFill>
    </fill>
    <fill>
      <patternFill patternType="solid">
        <fgColor rgb="FFFF4600"/>
        <bgColor indexed="64"/>
      </patternFill>
    </fill>
    <fill>
      <patternFill patternType="solid">
        <fgColor rgb="FFFF5000"/>
        <bgColor indexed="64"/>
      </patternFill>
    </fill>
    <fill>
      <patternFill patternType="solid">
        <fgColor rgb="FFFF5A00"/>
        <bgColor indexed="64"/>
      </patternFill>
    </fill>
    <fill>
      <patternFill patternType="solid">
        <fgColor rgb="FFFF6400"/>
        <bgColor indexed="64"/>
      </patternFill>
    </fill>
    <fill>
      <patternFill patternType="solid">
        <fgColor rgb="FFFA6E00"/>
        <bgColor indexed="64"/>
      </patternFill>
    </fill>
    <fill>
      <patternFill patternType="solid">
        <fgColor rgb="FFF07800"/>
        <bgColor indexed="64"/>
      </patternFill>
    </fill>
    <fill>
      <patternFill patternType="solid">
        <fgColor rgb="FFE68200"/>
        <bgColor indexed="64"/>
      </patternFill>
    </fill>
    <fill>
      <patternFill patternType="solid">
        <fgColor rgb="FFD78C00"/>
        <bgColor indexed="64"/>
      </patternFill>
    </fill>
    <fill>
      <patternFill patternType="solid">
        <fgColor rgb="FFD29600"/>
        <bgColor indexed="64"/>
      </patternFill>
    </fill>
    <fill>
      <patternFill patternType="solid">
        <fgColor rgb="FFCDA000"/>
        <bgColor indexed="64"/>
      </patternFill>
    </fill>
    <fill>
      <patternFill patternType="solid">
        <fgColor rgb="FFC8B900"/>
        <bgColor indexed="64"/>
      </patternFill>
    </fill>
    <fill>
      <patternFill patternType="solid">
        <fgColor rgb="FFC3C800"/>
        <bgColor indexed="64"/>
      </patternFill>
    </fill>
    <fill>
      <patternFill patternType="solid">
        <fgColor rgb="FFB9DC00"/>
        <bgColor indexed="64"/>
      </patternFill>
    </fill>
    <fill>
      <patternFill patternType="solid">
        <fgColor rgb="FFAFEB00"/>
        <bgColor indexed="64"/>
      </patternFill>
    </fill>
    <fill>
      <patternFill patternType="solid">
        <fgColor rgb="FFA5F50A"/>
        <bgColor indexed="64"/>
      </patternFill>
    </fill>
    <fill>
      <patternFill patternType="solid">
        <fgColor rgb="FF9BFA14"/>
        <bgColor indexed="64"/>
      </patternFill>
    </fill>
    <fill>
      <patternFill patternType="solid">
        <fgColor rgb="FF91FF28"/>
        <bgColor indexed="64"/>
      </patternFill>
    </fill>
    <fill>
      <patternFill patternType="solid">
        <fgColor rgb="FF87FF3C"/>
        <bgColor indexed="64"/>
      </patternFill>
    </fill>
    <fill>
      <patternFill patternType="solid">
        <fgColor rgb="FF7DFA50"/>
        <bgColor indexed="64"/>
      </patternFill>
    </fill>
    <fill>
      <patternFill patternType="solid">
        <fgColor rgb="FF73F564"/>
        <bgColor indexed="64"/>
      </patternFill>
    </fill>
    <fill>
      <patternFill patternType="solid">
        <fgColor rgb="FF69F078"/>
        <bgColor indexed="64"/>
      </patternFill>
    </fill>
    <fill>
      <patternFill patternType="solid">
        <fgColor rgb="FF5FEB8C"/>
        <bgColor indexed="64"/>
      </patternFill>
    </fill>
    <fill>
      <patternFill patternType="solid">
        <fgColor rgb="FF55E6A0"/>
        <bgColor indexed="64"/>
      </patternFill>
    </fill>
    <fill>
      <patternFill patternType="solid">
        <fgColor rgb="FF41E1B4"/>
        <bgColor indexed="64"/>
      </patternFill>
    </fill>
    <fill>
      <patternFill patternType="solid">
        <fgColor rgb="FF2DDCC8"/>
        <bgColor indexed="64"/>
      </patternFill>
    </fill>
    <fill>
      <patternFill patternType="solid">
        <fgColor rgb="FF1FD2D2"/>
        <bgColor indexed="64"/>
      </patternFill>
    </fill>
    <fill>
      <patternFill patternType="solid">
        <fgColor rgb="FF0FC8DC"/>
        <bgColor indexed="64"/>
      </patternFill>
    </fill>
    <fill>
      <patternFill patternType="solid">
        <fgColor rgb="FF05BEE6"/>
        <bgColor indexed="64"/>
      </patternFill>
    </fill>
    <fill>
      <patternFill patternType="solid">
        <fgColor rgb="FF00B4F0"/>
        <bgColor indexed="64"/>
      </patternFill>
    </fill>
    <fill>
      <patternFill patternType="solid">
        <fgColor rgb="FF00A5FA"/>
        <bgColor indexed="64"/>
      </patternFill>
    </fill>
    <fill>
      <patternFill patternType="solid">
        <fgColor rgb="FF0096FF"/>
        <bgColor indexed="64"/>
      </patternFill>
    </fill>
    <fill>
      <patternFill patternType="solid">
        <fgColor rgb="FF0082FF"/>
        <bgColor indexed="64"/>
      </patternFill>
    </fill>
    <fill>
      <patternFill patternType="solid">
        <fgColor rgb="FF006EFF"/>
        <bgColor indexed="64"/>
      </patternFill>
    </fill>
    <fill>
      <patternFill patternType="solid">
        <fgColor rgb="FF005AFF"/>
        <bgColor indexed="64"/>
      </patternFill>
    </fill>
    <fill>
      <patternFill patternType="solid">
        <fgColor rgb="FF0046FF"/>
        <bgColor indexed="64"/>
      </patternFill>
    </fill>
    <fill>
      <patternFill patternType="solid">
        <fgColor rgb="FF0B32FA"/>
        <bgColor indexed="64"/>
      </patternFill>
    </fill>
    <fill>
      <patternFill patternType="solid">
        <fgColor rgb="FF1928F0"/>
        <bgColor indexed="64"/>
      </patternFill>
    </fill>
    <fill>
      <patternFill patternType="solid">
        <fgColor rgb="FF231EEB"/>
        <bgColor indexed="64"/>
      </patternFill>
    </fill>
    <fill>
      <patternFill patternType="solid">
        <fgColor rgb="FF2D14E1"/>
        <bgColor indexed="64"/>
      </patternFill>
    </fill>
    <fill>
      <patternFill patternType="solid">
        <fgColor rgb="FF330AD7"/>
        <bgColor indexed="64"/>
      </patternFill>
    </fill>
    <fill>
      <patternFill patternType="solid">
        <fgColor rgb="FF3705CD"/>
        <bgColor indexed="64"/>
      </patternFill>
    </fill>
    <fill>
      <patternFill patternType="solid">
        <fgColor rgb="FF3C03C3"/>
        <bgColor indexed="64"/>
      </patternFill>
    </fill>
    <fill>
      <patternFill patternType="solid">
        <fgColor rgb="FF4102BE"/>
        <bgColor indexed="64"/>
      </patternFill>
    </fill>
    <fill>
      <patternFill patternType="solid">
        <fgColor rgb="FFFE001E"/>
        <bgColor indexed="64"/>
      </patternFill>
    </fill>
    <fill>
      <patternFill patternType="solid">
        <fgColor rgb="FFFFD893"/>
        <bgColor indexed="64"/>
      </patternFill>
    </fill>
    <fill>
      <patternFill patternType="solid">
        <fgColor rgb="FFF2F2F2"/>
        <bgColor rgb="FF000000"/>
      </patternFill>
    </fill>
    <fill>
      <patternFill patternType="solid">
        <fgColor rgb="FFFFFFFF"/>
        <bgColor rgb="FF000000"/>
      </patternFill>
    </fill>
    <fill>
      <patternFill patternType="solid">
        <fgColor rgb="FFE5F2FA"/>
        <bgColor rgb="FF000000"/>
      </patternFill>
    </fill>
    <fill>
      <patternFill patternType="solid">
        <fgColor rgb="FFF4E9DF"/>
        <bgColor rgb="FF000000"/>
      </patternFill>
    </fill>
    <fill>
      <patternFill patternType="solid">
        <fgColor rgb="FFFEA811"/>
        <bgColor rgb="FF000000"/>
      </patternFill>
    </fill>
    <fill>
      <patternFill patternType="solid">
        <fgColor rgb="FFE93E3E"/>
        <bgColor rgb="FF000000"/>
      </patternFill>
    </fill>
    <fill>
      <patternFill patternType="solid">
        <fgColor rgb="FFBB0FEC"/>
        <bgColor rgb="FF000000"/>
      </patternFill>
    </fill>
    <fill>
      <patternFill patternType="solid">
        <fgColor rgb="FF8A25FC"/>
        <bgColor rgb="FF000000"/>
      </patternFill>
    </fill>
    <fill>
      <patternFill patternType="solid">
        <fgColor rgb="FF188EFD"/>
        <bgColor rgb="FF000000"/>
      </patternFill>
    </fill>
    <fill>
      <patternFill patternType="solid">
        <fgColor rgb="FF03C7C0"/>
        <bgColor rgb="FF000000"/>
      </patternFill>
    </fill>
    <fill>
      <patternFill patternType="solid">
        <fgColor rgb="FF80D715"/>
        <bgColor rgb="FF000000"/>
      </patternFill>
    </fill>
    <fill>
      <patternFill patternType="solid">
        <fgColor rgb="FFB7E4FC"/>
        <bgColor rgb="FF000000"/>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double">
        <color indexed="64"/>
      </bottom>
      <diagonal/>
    </border>
    <border>
      <left style="thick">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12" fillId="0" borderId="0">
      <alignment vertical="center"/>
    </xf>
    <xf numFmtId="0" fontId="30" fillId="0" borderId="0" applyNumberFormat="0" applyFill="0" applyBorder="0" applyAlignment="0" applyProtection="0">
      <alignment vertical="center"/>
    </xf>
    <xf numFmtId="0" fontId="31" fillId="0" borderId="22" applyNumberFormat="0" applyFill="0" applyAlignment="0" applyProtection="0">
      <alignment vertical="center"/>
    </xf>
    <xf numFmtId="0" fontId="32" fillId="0" borderId="23" applyNumberFormat="0" applyFill="0" applyAlignment="0" applyProtection="0">
      <alignment vertical="center"/>
    </xf>
    <xf numFmtId="0" fontId="33" fillId="0" borderId="24" applyNumberFormat="0" applyFill="0" applyAlignment="0" applyProtection="0">
      <alignment vertical="center"/>
    </xf>
    <xf numFmtId="0" fontId="33" fillId="0" borderId="0" applyNumberFormat="0" applyFill="0" applyBorder="0" applyAlignment="0" applyProtection="0">
      <alignment vertical="center"/>
    </xf>
    <xf numFmtId="0" fontId="34" fillId="85" borderId="0" applyNumberFormat="0" applyBorder="0" applyAlignment="0" applyProtection="0">
      <alignment vertical="center"/>
    </xf>
    <xf numFmtId="0" fontId="35" fillId="86" borderId="0" applyNumberFormat="0" applyBorder="0" applyAlignment="0" applyProtection="0">
      <alignment vertical="center"/>
    </xf>
    <xf numFmtId="0" fontId="36" fillId="87" borderId="0" applyNumberFormat="0" applyBorder="0" applyAlignment="0" applyProtection="0">
      <alignment vertical="center"/>
    </xf>
    <xf numFmtId="0" fontId="37" fillId="88" borderId="25" applyNumberFormat="0" applyAlignment="0" applyProtection="0">
      <alignment vertical="center"/>
    </xf>
    <xf numFmtId="0" fontId="38" fillId="89" borderId="26" applyNumberFormat="0" applyAlignment="0" applyProtection="0">
      <alignment vertical="center"/>
    </xf>
    <xf numFmtId="0" fontId="39" fillId="89" borderId="25" applyNumberFormat="0" applyAlignment="0" applyProtection="0">
      <alignment vertical="center"/>
    </xf>
    <xf numFmtId="0" fontId="40" fillId="0" borderId="27" applyNumberFormat="0" applyFill="0" applyAlignment="0" applyProtection="0">
      <alignment vertical="center"/>
    </xf>
    <xf numFmtId="0" fontId="41" fillId="90" borderId="28" applyNumberForma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30" applyNumberFormat="0" applyFill="0" applyAlignment="0" applyProtection="0">
      <alignment vertical="center"/>
    </xf>
    <xf numFmtId="0" fontId="45" fillId="92" borderId="0" applyNumberFormat="0" applyBorder="0" applyAlignment="0" applyProtection="0">
      <alignment vertical="center"/>
    </xf>
    <xf numFmtId="0" fontId="1" fillId="93" borderId="0" applyNumberFormat="0" applyBorder="0" applyAlignment="0" applyProtection="0">
      <alignment vertical="center"/>
    </xf>
    <xf numFmtId="0" fontId="1" fillId="94" borderId="0" applyNumberFormat="0" applyBorder="0" applyAlignment="0" applyProtection="0">
      <alignment vertical="center"/>
    </xf>
    <xf numFmtId="0" fontId="1" fillId="95" borderId="0" applyNumberFormat="0" applyBorder="0" applyAlignment="0" applyProtection="0">
      <alignment vertical="center"/>
    </xf>
    <xf numFmtId="0" fontId="45" fillId="96" borderId="0" applyNumberFormat="0" applyBorder="0" applyAlignment="0" applyProtection="0">
      <alignment vertical="center"/>
    </xf>
    <xf numFmtId="0" fontId="1" fillId="97" borderId="0" applyNumberFormat="0" applyBorder="0" applyAlignment="0" applyProtection="0">
      <alignment vertical="center"/>
    </xf>
    <xf numFmtId="0" fontId="1" fillId="98" borderId="0" applyNumberFormat="0" applyBorder="0" applyAlignment="0" applyProtection="0">
      <alignment vertical="center"/>
    </xf>
    <xf numFmtId="0" fontId="1" fillId="99" borderId="0" applyNumberFormat="0" applyBorder="0" applyAlignment="0" applyProtection="0">
      <alignment vertical="center"/>
    </xf>
    <xf numFmtId="0" fontId="45" fillId="100" borderId="0" applyNumberFormat="0" applyBorder="0" applyAlignment="0" applyProtection="0">
      <alignment vertical="center"/>
    </xf>
    <xf numFmtId="0" fontId="1" fillId="101" borderId="0" applyNumberFormat="0" applyBorder="0" applyAlignment="0" applyProtection="0">
      <alignment vertical="center"/>
    </xf>
    <xf numFmtId="0" fontId="1" fillId="102" borderId="0" applyNumberFormat="0" applyBorder="0" applyAlignment="0" applyProtection="0">
      <alignment vertical="center"/>
    </xf>
    <xf numFmtId="0" fontId="1" fillId="103" borderId="0" applyNumberFormat="0" applyBorder="0" applyAlignment="0" applyProtection="0">
      <alignment vertical="center"/>
    </xf>
    <xf numFmtId="0" fontId="45" fillId="104" borderId="0" applyNumberFormat="0" applyBorder="0" applyAlignment="0" applyProtection="0">
      <alignment vertical="center"/>
    </xf>
    <xf numFmtId="0" fontId="1" fillId="105" borderId="0" applyNumberFormat="0" applyBorder="0" applyAlignment="0" applyProtection="0">
      <alignment vertical="center"/>
    </xf>
    <xf numFmtId="0" fontId="1" fillId="106" borderId="0" applyNumberFormat="0" applyBorder="0" applyAlignment="0" applyProtection="0">
      <alignment vertical="center"/>
    </xf>
    <xf numFmtId="0" fontId="1" fillId="107" borderId="0" applyNumberFormat="0" applyBorder="0" applyAlignment="0" applyProtection="0">
      <alignment vertical="center"/>
    </xf>
    <xf numFmtId="0" fontId="45" fillId="108" borderId="0" applyNumberFormat="0" applyBorder="0" applyAlignment="0" applyProtection="0">
      <alignment vertical="center"/>
    </xf>
    <xf numFmtId="0" fontId="1" fillId="109" borderId="0" applyNumberFormat="0" applyBorder="0" applyAlignment="0" applyProtection="0">
      <alignment vertical="center"/>
    </xf>
    <xf numFmtId="0" fontId="1" fillId="110" borderId="0" applyNumberFormat="0" applyBorder="0" applyAlignment="0" applyProtection="0">
      <alignment vertical="center"/>
    </xf>
    <xf numFmtId="0" fontId="1" fillId="111" borderId="0" applyNumberFormat="0" applyBorder="0" applyAlignment="0" applyProtection="0">
      <alignment vertical="center"/>
    </xf>
    <xf numFmtId="0" fontId="45" fillId="112" borderId="0" applyNumberFormat="0" applyBorder="0" applyAlignment="0" applyProtection="0">
      <alignment vertical="center"/>
    </xf>
    <xf numFmtId="0" fontId="1" fillId="113" borderId="0" applyNumberFormat="0" applyBorder="0" applyAlignment="0" applyProtection="0">
      <alignment vertical="center"/>
    </xf>
    <xf numFmtId="0" fontId="1" fillId="114" borderId="0" applyNumberFormat="0" applyBorder="0" applyAlignment="0" applyProtection="0">
      <alignment vertical="center"/>
    </xf>
    <xf numFmtId="0" fontId="1" fillId="115" borderId="0" applyNumberFormat="0" applyBorder="0" applyAlignment="0" applyProtection="0">
      <alignment vertical="center"/>
    </xf>
    <xf numFmtId="0" fontId="1" fillId="0" borderId="0">
      <alignment vertical="center"/>
    </xf>
    <xf numFmtId="0" fontId="1" fillId="91" borderId="29" applyNumberFormat="0" applyFont="0" applyAlignment="0" applyProtection="0">
      <alignment vertical="center"/>
    </xf>
  </cellStyleXfs>
  <cellXfs count="233">
    <xf numFmtId="0" fontId="0" fillId="0" borderId="0" xfId="0"/>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3" fillId="2" borderId="1" xfId="0" applyFont="1" applyFill="1" applyBorder="1" applyAlignment="1">
      <alignment horizontal="center"/>
    </xf>
    <xf numFmtId="0" fontId="3" fillId="2" borderId="2" xfId="0" applyFont="1" applyFill="1" applyBorder="1" applyAlignment="1">
      <alignment horizontal="center" vertical="center"/>
    </xf>
    <xf numFmtId="0" fontId="3" fillId="2" borderId="2" xfId="0" quotePrefix="1"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left" vertical="center" wrapText="1"/>
    </xf>
    <xf numFmtId="0" fontId="4" fillId="3" borderId="2" xfId="0" applyFont="1" applyFill="1" applyBorder="1" applyAlignment="1">
      <alignment vertical="center"/>
    </xf>
    <xf numFmtId="0" fontId="4" fillId="3" borderId="2" xfId="0" applyFont="1" applyFill="1" applyBorder="1" applyAlignment="1">
      <alignment horizontal="left" vertical="center"/>
    </xf>
    <xf numFmtId="0" fontId="4" fillId="3" borderId="2" xfId="0" applyFont="1" applyFill="1" applyBorder="1" applyAlignment="1">
      <alignment vertical="center" wrapText="1"/>
    </xf>
    <xf numFmtId="0" fontId="4" fillId="3" borderId="2" xfId="0" applyFont="1" applyFill="1" applyBorder="1" applyAlignment="1">
      <alignment vertical="top" wrapText="1"/>
    </xf>
    <xf numFmtId="0" fontId="4" fillId="3" borderId="2" xfId="0" quotePrefix="1" applyFont="1" applyFill="1" applyBorder="1" applyAlignment="1">
      <alignment vertical="center"/>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left" vertical="top" wrapText="1"/>
    </xf>
    <xf numFmtId="0" fontId="4" fillId="3" borderId="2" xfId="0" quotePrefix="1" applyFont="1" applyFill="1" applyBorder="1" applyAlignment="1">
      <alignment horizontal="left" vertical="center"/>
    </xf>
    <xf numFmtId="0" fontId="3" fillId="3" borderId="1" xfId="0" applyFont="1" applyFill="1" applyBorder="1" applyAlignment="1">
      <alignment horizontal="center"/>
    </xf>
    <xf numFmtId="0" fontId="3" fillId="3" borderId="0" xfId="0" applyFont="1" applyFill="1" applyAlignment="1">
      <alignment horizontal="center"/>
    </xf>
    <xf numFmtId="0" fontId="3" fillId="3" borderId="0" xfId="0" applyFont="1" applyFill="1"/>
    <xf numFmtId="0" fontId="4" fillId="3" borderId="0" xfId="0" applyFont="1" applyFill="1"/>
    <xf numFmtId="0" fontId="3" fillId="3" borderId="1" xfId="0" applyFont="1" applyFill="1" applyBorder="1" applyAlignment="1">
      <alignment horizontal="center" vertical="center"/>
    </xf>
    <xf numFmtId="0" fontId="4" fillId="3" borderId="0" xfId="0" applyFont="1" applyFill="1" applyAlignment="1">
      <alignment horizontal="center" vertical="center"/>
    </xf>
    <xf numFmtId="0" fontId="3" fillId="3" borderId="1" xfId="0" applyFont="1" applyFill="1" applyBorder="1" applyAlignment="1">
      <alignment horizontal="center" wrapText="1"/>
    </xf>
    <xf numFmtId="0" fontId="4" fillId="3" borderId="3" xfId="0" applyFont="1" applyFill="1" applyBorder="1" applyAlignment="1">
      <alignment horizontal="left" vertical="center"/>
    </xf>
    <xf numFmtId="0" fontId="4" fillId="3" borderId="3" xfId="0" quotePrefix="1" applyFont="1" applyFill="1" applyBorder="1" applyAlignment="1">
      <alignment horizontal="left" vertical="center"/>
    </xf>
    <xf numFmtId="0" fontId="4" fillId="3" borderId="3" xfId="0" quotePrefix="1" applyFont="1" applyFill="1" applyBorder="1" applyAlignment="1">
      <alignment horizontal="left" vertical="center" wrapText="1"/>
    </xf>
    <xf numFmtId="0" fontId="6" fillId="0" borderId="0" xfId="0" applyFont="1"/>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center" vertical="center" shrinkToFit="1"/>
    </xf>
    <xf numFmtId="0" fontId="8" fillId="0" borderId="0" xfId="0" applyFont="1" applyAlignment="1">
      <alignment vertical="center" shrinkToFit="1"/>
    </xf>
    <xf numFmtId="0" fontId="10" fillId="4" borderId="7"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8" xfId="0" applyFont="1" applyFill="1" applyBorder="1" applyAlignment="1">
      <alignment horizontal="center" vertical="center"/>
    </xf>
    <xf numFmtId="0" fontId="8" fillId="4" borderId="1" xfId="0" applyFont="1" applyFill="1" applyBorder="1" applyAlignment="1">
      <alignment horizontal="center" vertical="center" shrinkToFit="1"/>
    </xf>
    <xf numFmtId="0" fontId="11" fillId="0" borderId="0" xfId="0" applyFont="1" applyAlignment="1">
      <alignment horizontal="center" vertical="center"/>
    </xf>
    <xf numFmtId="0" fontId="8" fillId="0" borderId="3" xfId="0" applyFont="1" applyBorder="1" applyAlignment="1">
      <alignment horizontal="center" vertical="center"/>
    </xf>
    <xf numFmtId="0" fontId="8" fillId="5" borderId="7" xfId="0" applyFont="1" applyFill="1" applyBorder="1" applyAlignment="1">
      <alignment horizontal="center" vertical="center"/>
    </xf>
    <xf numFmtId="0" fontId="8" fillId="5" borderId="2" xfId="0" applyFont="1" applyFill="1" applyBorder="1" applyAlignment="1">
      <alignment horizontal="center" vertical="center"/>
    </xf>
    <xf numFmtId="0" fontId="13" fillId="5" borderId="2" xfId="1" applyFont="1" applyFill="1" applyBorder="1" applyAlignment="1">
      <alignment horizontal="center" vertical="center"/>
    </xf>
    <xf numFmtId="0" fontId="8" fillId="3" borderId="7" xfId="0" applyFont="1" applyFill="1" applyBorder="1" applyAlignment="1">
      <alignment horizontal="center" vertical="center"/>
    </xf>
    <xf numFmtId="0" fontId="8" fillId="3" borderId="2" xfId="0" applyFont="1" applyFill="1" applyBorder="1" applyAlignment="1">
      <alignment horizontal="center" vertical="center"/>
    </xf>
    <xf numFmtId="0" fontId="14" fillId="3" borderId="2" xfId="1" applyFont="1" applyFill="1" applyBorder="1" applyAlignment="1">
      <alignment horizontal="center" vertical="center"/>
    </xf>
    <xf numFmtId="0" fontId="14" fillId="3" borderId="8" xfId="1" applyFont="1" applyFill="1" applyBorder="1" applyAlignment="1">
      <alignment horizontal="center" vertical="center"/>
    </xf>
    <xf numFmtId="0" fontId="14" fillId="5" borderId="2" xfId="1" applyFont="1" applyFill="1" applyBorder="1" applyAlignment="1">
      <alignment horizontal="center" vertical="center"/>
    </xf>
    <xf numFmtId="0" fontId="14" fillId="5" borderId="8" xfId="1" applyFont="1" applyFill="1" applyBorder="1" applyAlignment="1">
      <alignment horizontal="center" vertical="center"/>
    </xf>
    <xf numFmtId="0" fontId="0" fillId="6" borderId="0" xfId="0" applyFill="1" applyAlignment="1">
      <alignment vertical="center"/>
    </xf>
    <xf numFmtId="0" fontId="0" fillId="7" borderId="0" xfId="0" applyFill="1" applyAlignment="1">
      <alignment vertical="center"/>
    </xf>
    <xf numFmtId="0" fontId="0" fillId="8" borderId="0" xfId="0" applyFill="1" applyAlignment="1">
      <alignment vertical="center"/>
    </xf>
    <xf numFmtId="0" fontId="0" fillId="9"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alignment vertical="center"/>
    </xf>
    <xf numFmtId="0" fontId="0" fillId="13" borderId="0" xfId="0" applyFill="1" applyAlignment="1">
      <alignment vertical="center"/>
    </xf>
    <xf numFmtId="0" fontId="0" fillId="14" borderId="0" xfId="0" applyFill="1" applyAlignment="1">
      <alignment vertical="center"/>
    </xf>
    <xf numFmtId="0" fontId="0" fillId="15" borderId="0" xfId="0" applyFill="1" applyAlignment="1">
      <alignment vertical="center"/>
    </xf>
    <xf numFmtId="0" fontId="0" fillId="16" borderId="0" xfId="0" applyFill="1" applyAlignment="1">
      <alignment vertical="center"/>
    </xf>
    <xf numFmtId="0" fontId="0" fillId="17"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23" borderId="0" xfId="0" applyFill="1" applyAlignment="1">
      <alignment vertical="center"/>
    </xf>
    <xf numFmtId="0" fontId="0" fillId="24" borderId="0" xfId="0" applyFill="1" applyAlignment="1">
      <alignment vertical="center"/>
    </xf>
    <xf numFmtId="0" fontId="0" fillId="25" borderId="0" xfId="0" applyFill="1" applyAlignment="1">
      <alignment vertical="center"/>
    </xf>
    <xf numFmtId="0" fontId="0" fillId="26" borderId="0" xfId="0" applyFill="1" applyAlignment="1">
      <alignment vertical="center"/>
    </xf>
    <xf numFmtId="0" fontId="0" fillId="27" borderId="0" xfId="0" applyFill="1" applyAlignment="1">
      <alignment vertical="center"/>
    </xf>
    <xf numFmtId="0" fontId="0" fillId="28" borderId="0" xfId="0" applyFill="1" applyAlignment="1">
      <alignment vertical="center"/>
    </xf>
    <xf numFmtId="0" fontId="0" fillId="29" borderId="0" xfId="0" applyFill="1" applyAlignment="1">
      <alignment vertical="center"/>
    </xf>
    <xf numFmtId="0" fontId="0" fillId="30" borderId="0" xfId="0" applyFill="1" applyAlignment="1">
      <alignment vertical="center"/>
    </xf>
    <xf numFmtId="0" fontId="0" fillId="31" borderId="0" xfId="0" applyFill="1" applyAlignment="1">
      <alignment vertical="center"/>
    </xf>
    <xf numFmtId="0" fontId="0" fillId="32" borderId="0" xfId="0" applyFill="1" applyAlignment="1">
      <alignment vertical="center"/>
    </xf>
    <xf numFmtId="0" fontId="0" fillId="33" borderId="0" xfId="0" applyFill="1" applyAlignment="1">
      <alignment vertical="center"/>
    </xf>
    <xf numFmtId="0" fontId="0" fillId="34" borderId="0" xfId="0" applyFill="1" applyAlignment="1">
      <alignment vertical="center"/>
    </xf>
    <xf numFmtId="0" fontId="15" fillId="35" borderId="0" xfId="0" applyFont="1" applyFill="1" applyAlignment="1">
      <alignment vertical="center"/>
    </xf>
    <xf numFmtId="0" fontId="0" fillId="36" borderId="0" xfId="0" applyFill="1" applyAlignment="1">
      <alignment vertical="center"/>
    </xf>
    <xf numFmtId="0" fontId="0" fillId="37" borderId="0" xfId="0" applyFill="1" applyAlignment="1">
      <alignment vertical="center"/>
    </xf>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42" borderId="0" xfId="0" applyFill="1" applyAlignment="1">
      <alignment vertical="center"/>
    </xf>
    <xf numFmtId="0" fontId="0" fillId="43" borderId="0" xfId="0" applyFill="1" applyAlignment="1">
      <alignment vertical="center"/>
    </xf>
    <xf numFmtId="0" fontId="0" fillId="44" borderId="0" xfId="0" applyFill="1" applyAlignment="1">
      <alignment vertical="center"/>
    </xf>
    <xf numFmtId="0" fontId="0" fillId="45" borderId="0" xfId="0" applyFill="1" applyAlignment="1">
      <alignment vertical="center"/>
    </xf>
    <xf numFmtId="0" fontId="0" fillId="46" borderId="0" xfId="0" applyFill="1" applyAlignment="1">
      <alignment vertical="center"/>
    </xf>
    <xf numFmtId="0" fontId="0" fillId="47" borderId="0" xfId="0" applyFill="1" applyAlignment="1">
      <alignment vertical="center"/>
    </xf>
    <xf numFmtId="0" fontId="0" fillId="48" borderId="0" xfId="0" applyFill="1" applyAlignment="1">
      <alignment vertical="center"/>
    </xf>
    <xf numFmtId="0" fontId="0" fillId="49" borderId="0" xfId="0" applyFill="1" applyAlignment="1">
      <alignment vertical="center"/>
    </xf>
    <xf numFmtId="0" fontId="0" fillId="50" borderId="0" xfId="0" applyFill="1" applyAlignment="1">
      <alignment vertical="center"/>
    </xf>
    <xf numFmtId="0" fontId="0" fillId="51" borderId="0" xfId="0" applyFill="1" applyAlignment="1">
      <alignment vertical="center"/>
    </xf>
    <xf numFmtId="0" fontId="0" fillId="52" borderId="0" xfId="0" applyFill="1" applyAlignment="1">
      <alignment vertical="center"/>
    </xf>
    <xf numFmtId="0" fontId="0" fillId="53" borderId="0" xfId="0" applyFill="1" applyAlignment="1">
      <alignment vertical="center"/>
    </xf>
    <xf numFmtId="0" fontId="0" fillId="54" borderId="0" xfId="0" applyFill="1" applyAlignment="1">
      <alignment vertical="center"/>
    </xf>
    <xf numFmtId="0" fontId="0" fillId="55" borderId="0" xfId="0" applyFill="1" applyAlignment="1">
      <alignment vertical="center"/>
    </xf>
    <xf numFmtId="0" fontId="0" fillId="56" borderId="0" xfId="0" applyFill="1" applyAlignment="1">
      <alignment vertical="center"/>
    </xf>
    <xf numFmtId="0" fontId="0" fillId="57" borderId="0" xfId="0" applyFill="1" applyAlignment="1">
      <alignment vertical="center"/>
    </xf>
    <xf numFmtId="0" fontId="0" fillId="58" borderId="0" xfId="0" applyFill="1" applyAlignment="1">
      <alignment vertical="center"/>
    </xf>
    <xf numFmtId="0" fontId="0" fillId="59" borderId="0" xfId="0" applyFill="1" applyAlignment="1">
      <alignment vertical="center"/>
    </xf>
    <xf numFmtId="0" fontId="0" fillId="60" borderId="0" xfId="0" applyFill="1" applyAlignment="1">
      <alignment vertical="center"/>
    </xf>
    <xf numFmtId="0" fontId="0" fillId="61" borderId="0" xfId="0" applyFill="1" applyAlignment="1">
      <alignment vertical="center"/>
    </xf>
    <xf numFmtId="0" fontId="0" fillId="62" borderId="0" xfId="0" applyFill="1" applyAlignment="1">
      <alignment vertical="center"/>
    </xf>
    <xf numFmtId="0" fontId="0" fillId="63" borderId="0" xfId="0" applyFill="1" applyAlignment="1">
      <alignment vertical="center"/>
    </xf>
    <xf numFmtId="0" fontId="0" fillId="64" borderId="0" xfId="0" applyFill="1" applyAlignment="1">
      <alignment vertical="center"/>
    </xf>
    <xf numFmtId="0" fontId="0" fillId="65" borderId="0" xfId="0" applyFill="1" applyAlignment="1">
      <alignment vertical="center"/>
    </xf>
    <xf numFmtId="0" fontId="0" fillId="66" borderId="0" xfId="0" applyFill="1" applyAlignment="1">
      <alignment vertical="center"/>
    </xf>
    <xf numFmtId="0" fontId="0" fillId="67" borderId="0" xfId="0" applyFill="1" applyAlignment="1">
      <alignment vertical="center"/>
    </xf>
    <xf numFmtId="0" fontId="0" fillId="68" borderId="0" xfId="0" applyFill="1" applyAlignment="1">
      <alignment vertical="center"/>
    </xf>
    <xf numFmtId="0" fontId="0" fillId="69" borderId="0" xfId="0" applyFill="1" applyAlignment="1">
      <alignment vertical="center"/>
    </xf>
    <xf numFmtId="0" fontId="14" fillId="3" borderId="9" xfId="1" applyFont="1" applyFill="1" applyBorder="1" applyAlignment="1">
      <alignment horizontal="center" vertical="center"/>
    </xf>
    <xf numFmtId="0" fontId="14" fillId="3" borderId="10" xfId="1" applyFont="1" applyFill="1" applyBorder="1" applyAlignment="1">
      <alignment horizontal="center" vertical="center"/>
    </xf>
    <xf numFmtId="0" fontId="14" fillId="5" borderId="9" xfId="1" applyFont="1" applyFill="1" applyBorder="1" applyAlignment="1">
      <alignment horizontal="center" vertical="center"/>
    </xf>
    <xf numFmtId="0" fontId="14" fillId="5" borderId="10" xfId="1" applyFont="1" applyFill="1" applyBorder="1" applyAlignment="1">
      <alignment horizontal="center" vertical="center"/>
    </xf>
    <xf numFmtId="0" fontId="16" fillId="70" borderId="0" xfId="1" applyFont="1" applyFill="1">
      <alignment vertical="center"/>
    </xf>
    <xf numFmtId="0" fontId="8" fillId="5" borderId="11" xfId="0" applyFont="1" applyFill="1" applyBorder="1" applyAlignment="1">
      <alignment horizontal="center" vertical="center"/>
    </xf>
    <xf numFmtId="0" fontId="8" fillId="5" borderId="12"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12" xfId="0" applyFont="1" applyFill="1" applyBorder="1" applyAlignment="1">
      <alignment horizontal="center" vertical="center"/>
    </xf>
    <xf numFmtId="0" fontId="14" fillId="3" borderId="12" xfId="1" applyFont="1" applyFill="1" applyBorder="1" applyAlignment="1">
      <alignment horizontal="center" vertical="center"/>
    </xf>
    <xf numFmtId="0" fontId="14" fillId="3" borderId="13" xfId="1" applyFont="1" applyFill="1" applyBorder="1" applyAlignment="1">
      <alignment horizontal="center" vertical="center"/>
    </xf>
    <xf numFmtId="0" fontId="14" fillId="5" borderId="12" xfId="1" applyFont="1" applyFill="1" applyBorder="1" applyAlignment="1">
      <alignment horizontal="center" vertical="center"/>
    </xf>
    <xf numFmtId="0" fontId="14" fillId="5" borderId="13" xfId="1" applyFont="1" applyFill="1" applyBorder="1" applyAlignment="1">
      <alignment horizontal="center" vertical="center"/>
    </xf>
    <xf numFmtId="0" fontId="16" fillId="71" borderId="14" xfId="1" applyFont="1" applyFill="1" applyBorder="1">
      <alignment vertical="center"/>
    </xf>
    <xf numFmtId="0" fontId="17" fillId="72" borderId="7" xfId="0" applyFont="1" applyFill="1" applyBorder="1" applyAlignment="1">
      <alignment horizontal="center" vertical="center"/>
    </xf>
    <xf numFmtId="0" fontId="17" fillId="72" borderId="2" xfId="0" applyFont="1" applyFill="1" applyBorder="1" applyAlignment="1">
      <alignment horizontal="center" vertical="center"/>
    </xf>
    <xf numFmtId="0" fontId="17" fillId="73" borderId="7" xfId="0" applyFont="1" applyFill="1" applyBorder="1" applyAlignment="1">
      <alignment horizontal="center" vertical="center"/>
    </xf>
    <xf numFmtId="0" fontId="17" fillId="73" borderId="2" xfId="0" applyFont="1" applyFill="1" applyBorder="1" applyAlignment="1">
      <alignment horizontal="center" vertical="center"/>
    </xf>
    <xf numFmtId="0" fontId="18" fillId="73" borderId="15" xfId="1" applyFont="1" applyFill="1" applyBorder="1" applyAlignment="1">
      <alignment horizontal="center" vertical="center"/>
    </xf>
    <xf numFmtId="0" fontId="18" fillId="73" borderId="16" xfId="1" applyFont="1" applyFill="1" applyBorder="1" applyAlignment="1">
      <alignment horizontal="center" vertical="center"/>
    </xf>
    <xf numFmtId="0" fontId="18" fillId="72" borderId="15" xfId="1" applyFont="1" applyFill="1" applyBorder="1" applyAlignment="1">
      <alignment horizontal="center" vertical="center"/>
    </xf>
    <xf numFmtId="0" fontId="18" fillId="72" borderId="16" xfId="1" applyFont="1" applyFill="1" applyBorder="1" applyAlignment="1">
      <alignment horizontal="center" vertical="center"/>
    </xf>
    <xf numFmtId="0" fontId="17" fillId="74" borderId="17" xfId="1" applyFont="1" applyFill="1" applyBorder="1" applyAlignment="1">
      <alignment horizontal="center" vertical="center"/>
    </xf>
    <xf numFmtId="0" fontId="17" fillId="72" borderId="2" xfId="1" applyFont="1" applyFill="1" applyBorder="1" applyAlignment="1">
      <alignment horizontal="center" vertical="center"/>
    </xf>
    <xf numFmtId="0" fontId="18" fillId="73" borderId="2" xfId="1" applyFont="1" applyFill="1" applyBorder="1" applyAlignment="1">
      <alignment horizontal="center" vertical="center"/>
    </xf>
    <xf numFmtId="0" fontId="18" fillId="73" borderId="8" xfId="1" applyFont="1" applyFill="1" applyBorder="1" applyAlignment="1">
      <alignment horizontal="center" vertical="center"/>
    </xf>
    <xf numFmtId="0" fontId="18" fillId="72" borderId="2" xfId="1" applyFont="1" applyFill="1" applyBorder="1" applyAlignment="1">
      <alignment horizontal="center" vertical="center"/>
    </xf>
    <xf numFmtId="0" fontId="18" fillId="72" borderId="8" xfId="1" applyFont="1" applyFill="1" applyBorder="1" applyAlignment="1">
      <alignment horizontal="center" vertical="center"/>
    </xf>
    <xf numFmtId="0" fontId="17" fillId="75" borderId="1" xfId="1" applyFont="1" applyFill="1" applyBorder="1" applyAlignment="1">
      <alignment horizontal="center" vertical="center"/>
    </xf>
    <xf numFmtId="0" fontId="17" fillId="76" borderId="1" xfId="1" applyFont="1" applyFill="1" applyBorder="1" applyAlignment="1">
      <alignment horizontal="center" vertical="center"/>
    </xf>
    <xf numFmtId="0" fontId="17" fillId="77" borderId="1" xfId="1" applyFont="1" applyFill="1" applyBorder="1" applyAlignment="1">
      <alignment horizontal="center" vertical="center"/>
    </xf>
    <xf numFmtId="0" fontId="17" fillId="78" borderId="1" xfId="1" applyFont="1" applyFill="1" applyBorder="1" applyAlignment="1">
      <alignment horizontal="center" vertical="center"/>
    </xf>
    <xf numFmtId="0" fontId="17" fillId="79" borderId="1" xfId="1" applyFont="1" applyFill="1" applyBorder="1" applyAlignment="1">
      <alignment horizontal="center" vertical="center"/>
    </xf>
    <xf numFmtId="0" fontId="17" fillId="80" borderId="1" xfId="1" applyFont="1" applyFill="1" applyBorder="1" applyAlignment="1">
      <alignment horizontal="center" vertical="center"/>
    </xf>
    <xf numFmtId="0" fontId="18" fillId="73" borderId="9" xfId="1" applyFont="1" applyFill="1" applyBorder="1" applyAlignment="1">
      <alignment horizontal="center" vertical="center"/>
    </xf>
    <xf numFmtId="0" fontId="18" fillId="73" borderId="10" xfId="1" applyFont="1" applyFill="1" applyBorder="1" applyAlignment="1">
      <alignment horizontal="center" vertical="center"/>
    </xf>
    <xf numFmtId="0" fontId="18" fillId="72" borderId="9" xfId="1" applyFont="1" applyFill="1" applyBorder="1" applyAlignment="1">
      <alignment horizontal="center" vertical="center"/>
    </xf>
    <xf numFmtId="0" fontId="18" fillId="72" borderId="10" xfId="1" applyFont="1" applyFill="1" applyBorder="1" applyAlignment="1">
      <alignment horizontal="center" vertical="center"/>
    </xf>
    <xf numFmtId="0" fontId="17" fillId="81" borderId="19" xfId="1" applyFont="1" applyFill="1" applyBorder="1" applyAlignment="1">
      <alignment horizontal="center" vertical="center"/>
    </xf>
    <xf numFmtId="0" fontId="17" fillId="82" borderId="1" xfId="1" applyFont="1" applyFill="1" applyBorder="1" applyAlignment="1">
      <alignment horizontal="center" vertical="center"/>
    </xf>
    <xf numFmtId="0" fontId="17" fillId="72" borderId="11" xfId="0" applyFont="1" applyFill="1" applyBorder="1" applyAlignment="1">
      <alignment horizontal="center" vertical="center"/>
    </xf>
    <xf numFmtId="0" fontId="17" fillId="72" borderId="12" xfId="0" applyFont="1" applyFill="1" applyBorder="1" applyAlignment="1">
      <alignment horizontal="center" vertical="center"/>
    </xf>
    <xf numFmtId="0" fontId="17" fillId="73" borderId="11" xfId="0" applyFont="1" applyFill="1" applyBorder="1" applyAlignment="1">
      <alignment horizontal="center" vertical="center"/>
    </xf>
    <xf numFmtId="0" fontId="17" fillId="73" borderId="12" xfId="0" applyFont="1" applyFill="1" applyBorder="1" applyAlignment="1">
      <alignment horizontal="center" vertical="center"/>
    </xf>
    <xf numFmtId="0" fontId="18" fillId="73" borderId="12" xfId="1" applyFont="1" applyFill="1" applyBorder="1" applyAlignment="1">
      <alignment horizontal="center" vertical="center"/>
    </xf>
    <xf numFmtId="0" fontId="18" fillId="73" borderId="13" xfId="1" applyFont="1" applyFill="1" applyBorder="1" applyAlignment="1">
      <alignment horizontal="center" vertical="center"/>
    </xf>
    <xf numFmtId="0" fontId="18" fillId="72" borderId="12" xfId="1" applyFont="1" applyFill="1" applyBorder="1" applyAlignment="1">
      <alignment horizontal="center" vertical="center"/>
    </xf>
    <xf numFmtId="0" fontId="18" fillId="72" borderId="13" xfId="1" applyFont="1" applyFill="1" applyBorder="1" applyAlignment="1">
      <alignment horizontal="center" vertical="center"/>
    </xf>
    <xf numFmtId="0" fontId="17" fillId="83" borderId="20" xfId="1" applyFont="1" applyFill="1" applyBorder="1" applyAlignment="1">
      <alignment horizontal="center" vertical="center"/>
    </xf>
    <xf numFmtId="0" fontId="9" fillId="84" borderId="2" xfId="0" applyFont="1" applyFill="1" applyBorder="1" applyAlignment="1">
      <alignment horizontal="center" vertical="center"/>
    </xf>
    <xf numFmtId="0" fontId="9" fillId="84" borderId="15" xfId="0" applyFont="1" applyFill="1" applyBorder="1" applyAlignment="1">
      <alignment horizontal="center" vertical="center"/>
    </xf>
    <xf numFmtId="0" fontId="4" fillId="0" borderId="0" xfId="0" applyFont="1" applyAlignment="1">
      <alignment horizontal="center"/>
    </xf>
    <xf numFmtId="0" fontId="4" fillId="3" borderId="2" xfId="0" quotePrefix="1" applyFont="1" applyFill="1" applyBorder="1" applyAlignment="1">
      <alignment horizontal="center" vertical="center" wrapText="1"/>
    </xf>
    <xf numFmtId="0" fontId="4" fillId="3" borderId="2" xfId="0" applyFont="1" applyFill="1" applyBorder="1" applyAlignment="1">
      <alignment horizontal="center" vertical="top" wrapText="1"/>
    </xf>
    <xf numFmtId="0" fontId="4" fillId="3" borderId="2" xfId="0" quotePrefix="1" applyFont="1" applyFill="1" applyBorder="1" applyAlignment="1">
      <alignment horizontal="center" vertical="center"/>
    </xf>
    <xf numFmtId="0" fontId="5" fillId="0" borderId="0" xfId="0" applyFont="1" applyAlignment="1">
      <alignment horizontal="center"/>
    </xf>
    <xf numFmtId="0" fontId="3" fillId="3" borderId="1" xfId="0" applyFont="1" applyFill="1" applyBorder="1" applyAlignment="1">
      <alignment horizontal="center" vertical="center" wrapText="1"/>
    </xf>
    <xf numFmtId="0" fontId="21" fillId="0" borderId="0" xfId="0" applyFont="1" applyAlignment="1">
      <alignment horizontal="left" vertical="center"/>
    </xf>
    <xf numFmtId="0" fontId="3" fillId="0" borderId="4" xfId="0" applyFont="1" applyBorder="1" applyAlignment="1">
      <alignment vertical="center"/>
    </xf>
    <xf numFmtId="0" fontId="10" fillId="4"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20" xfId="0" applyFont="1" applyFill="1" applyBorder="1" applyAlignment="1">
      <alignment horizontal="center" vertical="center"/>
    </xf>
    <xf numFmtId="0" fontId="17" fillId="73" borderId="1" xfId="0" applyFont="1" applyFill="1" applyBorder="1" applyAlignment="1">
      <alignment horizontal="center" vertical="center"/>
    </xf>
    <xf numFmtId="0" fontId="17" fillId="73" borderId="20" xfId="0" applyFont="1" applyFill="1" applyBorder="1" applyAlignment="1">
      <alignment horizontal="center" vertical="center"/>
    </xf>
    <xf numFmtId="0" fontId="10" fillId="4" borderId="21" xfId="0" applyFont="1" applyFill="1" applyBorder="1" applyAlignment="1">
      <alignment horizontal="center" vertical="center"/>
    </xf>
    <xf numFmtId="0" fontId="8" fillId="5" borderId="21" xfId="0" applyFont="1" applyFill="1" applyBorder="1" applyAlignment="1">
      <alignment horizontal="center" vertical="center"/>
    </xf>
    <xf numFmtId="0" fontId="17" fillId="72" borderId="21" xfId="0" applyFont="1" applyFill="1" applyBorder="1" applyAlignment="1">
      <alignment horizontal="center" vertical="center"/>
    </xf>
    <xf numFmtId="0" fontId="22" fillId="0" borderId="0" xfId="0" applyFont="1" applyAlignment="1">
      <alignment horizontal="center" vertical="center"/>
    </xf>
    <xf numFmtId="0" fontId="22" fillId="0" borderId="0" xfId="0" applyFont="1" applyAlignment="1">
      <alignment vertical="center" shrinkToFit="1"/>
    </xf>
    <xf numFmtId="0" fontId="22" fillId="0" borderId="0" xfId="0" applyFont="1" applyAlignment="1">
      <alignment horizontal="center" vertical="center" wrapText="1"/>
    </xf>
    <xf numFmtId="0" fontId="0" fillId="0" borderId="0" xfId="0" applyAlignment="1">
      <alignment horizontal="center"/>
    </xf>
    <xf numFmtId="176" fontId="0" fillId="0" borderId="0" xfId="0" applyNumberFormat="1" applyAlignment="1">
      <alignment horizontal="center" vertical="center"/>
    </xf>
    <xf numFmtId="0" fontId="26" fillId="0" borderId="0" xfId="0" applyFont="1" applyAlignment="1">
      <alignment horizontal="left" vertical="center" readingOrder="1"/>
    </xf>
    <xf numFmtId="0" fontId="27" fillId="0" borderId="0" xfId="0" applyFont="1" applyAlignment="1">
      <alignment horizontal="left" vertical="center" readingOrder="1"/>
    </xf>
    <xf numFmtId="0" fontId="0" fillId="0" borderId="2" xfId="0" applyBorder="1"/>
    <xf numFmtId="0" fontId="0" fillId="0" borderId="2" xfId="0" applyBorder="1" applyAlignment="1">
      <alignment horizontal="center"/>
    </xf>
    <xf numFmtId="0" fontId="26" fillId="0" borderId="2" xfId="0" applyFont="1" applyBorder="1" applyAlignment="1">
      <alignment horizontal="left" vertical="center" readingOrder="1"/>
    </xf>
    <xf numFmtId="0" fontId="24" fillId="0" borderId="2" xfId="0" applyFont="1" applyBorder="1" applyAlignment="1">
      <alignment horizont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76" fontId="0" fillId="0" borderId="2" xfId="0" applyNumberFormat="1" applyBorder="1" applyAlignment="1">
      <alignment horizontal="center"/>
    </xf>
    <xf numFmtId="176" fontId="0" fillId="0" borderId="2" xfId="0" applyNumberFormat="1" applyBorder="1" applyAlignment="1">
      <alignment horizontal="center" vertical="center"/>
    </xf>
    <xf numFmtId="177" fontId="0" fillId="0" borderId="2" xfId="0" applyNumberFormat="1" applyBorder="1" applyAlignment="1">
      <alignment horizontal="center" vertical="center"/>
    </xf>
    <xf numFmtId="0" fontId="28" fillId="0" borderId="2" xfId="0" applyFont="1" applyBorder="1" applyAlignment="1">
      <alignment horizontal="left" vertical="center" readingOrder="1"/>
    </xf>
    <xf numFmtId="0" fontId="29" fillId="0" borderId="2" xfId="0" applyFont="1" applyBorder="1"/>
    <xf numFmtId="0" fontId="27" fillId="0" borderId="2" xfId="0" applyFont="1" applyBorder="1" applyAlignment="1">
      <alignment horizontal="left" vertical="center" readingOrder="1"/>
    </xf>
    <xf numFmtId="0" fontId="22" fillId="0" borderId="2" xfId="0" applyFont="1" applyBorder="1" applyAlignment="1">
      <alignment horizontal="center" vertical="center" wrapText="1"/>
    </xf>
    <xf numFmtId="1" fontId="0" fillId="0" borderId="2" xfId="0" applyNumberFormat="1" applyBorder="1" applyAlignment="1">
      <alignment horizontal="center" vertical="center"/>
    </xf>
    <xf numFmtId="1" fontId="0" fillId="0" borderId="2" xfId="0" applyNumberFormat="1" applyBorder="1"/>
    <xf numFmtId="1" fontId="0" fillId="0" borderId="0" xfId="0" applyNumberFormat="1" applyAlignment="1">
      <alignment horizontal="center" vertical="center"/>
    </xf>
    <xf numFmtId="1" fontId="0" fillId="0" borderId="0" xfId="0" applyNumberFormat="1" applyAlignment="1">
      <alignment horizontal="center"/>
    </xf>
    <xf numFmtId="1" fontId="0" fillId="0" borderId="2" xfId="0" applyNumberFormat="1" applyBorder="1" applyAlignment="1">
      <alignment horizontal="center"/>
    </xf>
    <xf numFmtId="0" fontId="3" fillId="0" borderId="2" xfId="0" applyFont="1" applyBorder="1" applyAlignment="1">
      <alignment horizontal="center"/>
    </xf>
    <xf numFmtId="14" fontId="0" fillId="0" borderId="0" xfId="0" applyNumberFormat="1"/>
    <xf numFmtId="0" fontId="24" fillId="0" borderId="0" xfId="0" applyFont="1" applyAlignment="1">
      <alignment horizontal="center"/>
    </xf>
    <xf numFmtId="176" fontId="1" fillId="0" borderId="0" xfId="42" applyNumberFormat="1" applyAlignment="1">
      <alignment horizontal="center" vertical="center"/>
    </xf>
    <xf numFmtId="1" fontId="23" fillId="0" borderId="0" xfId="0" applyNumberFormat="1" applyFont="1" applyAlignment="1">
      <alignment vertical="center"/>
    </xf>
    <xf numFmtId="176" fontId="0" fillId="0" borderId="2" xfId="0" applyNumberFormat="1" applyBorder="1"/>
    <xf numFmtId="0" fontId="0" fillId="0" borderId="0" xfId="0" applyAlignment="1">
      <alignment horizontal="center" vertical="center"/>
    </xf>
    <xf numFmtId="1" fontId="46" fillId="0" borderId="0" xfId="0" applyNumberFormat="1" applyFont="1" applyAlignment="1">
      <alignment horizontal="center" vertical="center"/>
    </xf>
    <xf numFmtId="1" fontId="47" fillId="0" borderId="0" xfId="0" applyNumberFormat="1" applyFont="1" applyAlignment="1">
      <alignment horizontal="center" vertical="center"/>
    </xf>
    <xf numFmtId="1" fontId="46" fillId="0" borderId="0" xfId="0" applyNumberFormat="1" applyFont="1" applyAlignment="1">
      <alignment horizontal="center"/>
    </xf>
    <xf numFmtId="0" fontId="0" fillId="116" borderId="2" xfId="0" applyFill="1" applyBorder="1" applyAlignment="1">
      <alignment horizontal="center"/>
    </xf>
    <xf numFmtId="1" fontId="0" fillId="116" borderId="2" xfId="0" applyNumberFormat="1" applyFill="1" applyBorder="1" applyAlignment="1">
      <alignment horizontal="center"/>
    </xf>
    <xf numFmtId="14" fontId="3" fillId="0" borderId="0" xfId="0" applyNumberFormat="1" applyFont="1"/>
    <xf numFmtId="0" fontId="22" fillId="0" borderId="0" xfId="0" applyFont="1" applyAlignment="1">
      <alignment horizontal="center" vertical="center"/>
    </xf>
    <xf numFmtId="0" fontId="22" fillId="0" borderId="18" xfId="0" applyFont="1" applyBorder="1" applyAlignment="1">
      <alignment horizontal="center" vertical="center" wrapText="1"/>
    </xf>
    <xf numFmtId="0" fontId="9" fillId="0" borderId="0" xfId="0" applyFont="1" applyAlignment="1">
      <alignment horizontal="center" vertical="center"/>
    </xf>
    <xf numFmtId="0" fontId="9" fillId="0" borderId="4" xfId="0" applyFont="1" applyBorder="1" applyAlignment="1">
      <alignment horizontal="center" vertical="center"/>
    </xf>
    <xf numFmtId="0" fontId="8" fillId="0" borderId="6" xfId="0" applyFont="1" applyBorder="1" applyAlignment="1">
      <alignment horizontal="center" vertical="center"/>
    </xf>
    <xf numFmtId="0" fontId="8" fillId="0" borderId="5" xfId="0" applyFont="1" applyBorder="1" applyAlignment="1">
      <alignment horizontal="center" vertical="center"/>
    </xf>
    <xf numFmtId="0" fontId="10" fillId="3" borderId="21" xfId="0" applyFont="1" applyFill="1" applyBorder="1" applyAlignment="1">
      <alignment horizontal="center" vertical="center"/>
    </xf>
    <xf numFmtId="0" fontId="10" fillId="3" borderId="2" xfId="0" applyFont="1" applyFill="1" applyBorder="1" applyAlignment="1">
      <alignment horizontal="center" vertical="center"/>
    </xf>
    <xf numFmtId="0" fontId="22" fillId="0" borderId="18" xfId="0" applyFont="1" applyBorder="1" applyAlignment="1">
      <alignment horizontal="center" vertical="center"/>
    </xf>
    <xf numFmtId="0" fontId="3" fillId="0" borderId="0" xfId="0" applyFont="1" applyAlignment="1">
      <alignment horizontal="left" indent="1"/>
    </xf>
    <xf numFmtId="0" fontId="0" fillId="0" borderId="2" xfId="0" applyBorder="1" applyAlignment="1">
      <alignment horizontal="center"/>
    </xf>
    <xf numFmtId="0" fontId="0" fillId="0" borderId="0" xfId="0" applyAlignment="1">
      <alignment horizontal="center"/>
    </xf>
    <xf numFmtId="1" fontId="0" fillId="0" borderId="0" xfId="0" applyNumberFormat="1"/>
  </cellXfs>
  <cellStyles count="44">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5" builtinId="11" customBuiltin="1"/>
    <cellStyle name="계산" xfId="12" builtinId="22" customBuiltin="1"/>
    <cellStyle name="나쁨" xfId="8" builtinId="27" customBuiltin="1"/>
    <cellStyle name="메모 2" xfId="43" xr:uid="{4FC4D4E9-BC1B-43FE-8FBA-B9649665648A}"/>
    <cellStyle name="보통" xfId="9" builtinId="28" customBuiltin="1"/>
    <cellStyle name="설명 텍스트" xfId="16" builtinId="53" customBuiltin="1"/>
    <cellStyle name="셀 확인" xfId="14" builtinId="23" customBuiltin="1"/>
    <cellStyle name="연결된 셀" xfId="13" builtinId="24" customBuiltin="1"/>
    <cellStyle name="요약" xfId="17" builtinId="25" customBuiltin="1"/>
    <cellStyle name="입력" xfId="10" builtinId="20" customBuiltin="1"/>
    <cellStyle name="제목" xfId="2" builtinId="15" customBuiltin="1"/>
    <cellStyle name="제목 1" xfId="3" builtinId="16" customBuiltin="1"/>
    <cellStyle name="제목 2" xfId="4" builtinId="17" customBuiltin="1"/>
    <cellStyle name="제목 3" xfId="5" builtinId="18" customBuiltin="1"/>
    <cellStyle name="제목 4" xfId="6" builtinId="19" customBuiltin="1"/>
    <cellStyle name="좋음" xfId="7" builtinId="26" customBuiltin="1"/>
    <cellStyle name="출력" xfId="11" builtinId="21" customBuiltin="1"/>
    <cellStyle name="표준" xfId="0" builtinId="0"/>
    <cellStyle name="표준 2" xfId="42" xr:uid="{B0B489F4-057C-4DEA-A667-BA4BA742B1A0}"/>
    <cellStyle name="표준 2 2 2" xfId="1" xr:uid="{777D7801-0D5E-476E-847D-901732AFAC69}"/>
  </cellStyles>
  <dxfs count="0"/>
  <tableStyles count="0" defaultTableStyle="TableStyleMedium2" defaultPivotStyle="PivotStyleLight16"/>
  <colors>
    <mruColors>
      <color rgb="FF4600AA"/>
      <color rgb="FF65009B"/>
      <color rgb="FFFF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val>
            <c:numRef>
              <c:f>'Delta E'!$C$3:$C$66</c:f>
              <c:numCache>
                <c:formatCode>General</c:formatCode>
                <c:ptCount val="64"/>
                <c:pt idx="0">
                  <c:v>0.188</c:v>
                </c:pt>
                <c:pt idx="1">
                  <c:v>0.20400000000000001</c:v>
                </c:pt>
                <c:pt idx="2">
                  <c:v>0.22800000000000001</c:v>
                </c:pt>
                <c:pt idx="3">
                  <c:v>0.25600000000000001</c:v>
                </c:pt>
                <c:pt idx="4">
                  <c:v>0.28800000000000003</c:v>
                </c:pt>
                <c:pt idx="5">
                  <c:v>0.32800000000000001</c:v>
                </c:pt>
                <c:pt idx="6">
                  <c:v>0.36799999999999999</c:v>
                </c:pt>
                <c:pt idx="7">
                  <c:v>0.41600000000000004</c:v>
                </c:pt>
                <c:pt idx="8">
                  <c:v>0.48399999999999999</c:v>
                </c:pt>
                <c:pt idx="9">
                  <c:v>0.54</c:v>
                </c:pt>
                <c:pt idx="10">
                  <c:v>0.59199999999999997</c:v>
                </c:pt>
                <c:pt idx="11">
                  <c:v>0.61599999999999999</c:v>
                </c:pt>
                <c:pt idx="12">
                  <c:v>0.63200000000000001</c:v>
                </c:pt>
                <c:pt idx="13">
                  <c:v>0.64</c:v>
                </c:pt>
                <c:pt idx="14">
                  <c:v>0.64</c:v>
                </c:pt>
                <c:pt idx="15">
                  <c:v>0.64</c:v>
                </c:pt>
                <c:pt idx="16">
                  <c:v>0.64</c:v>
                </c:pt>
                <c:pt idx="17">
                  <c:v>0.63600000000000001</c:v>
                </c:pt>
                <c:pt idx="18">
                  <c:v>0.63200000000000001</c:v>
                </c:pt>
                <c:pt idx="19">
                  <c:v>0.628</c:v>
                </c:pt>
                <c:pt idx="20">
                  <c:v>0.624</c:v>
                </c:pt>
                <c:pt idx="21">
                  <c:v>0.61599999999999999</c:v>
                </c:pt>
                <c:pt idx="22">
                  <c:v>0.60799999999999998</c:v>
                </c:pt>
                <c:pt idx="23">
                  <c:v>0.6</c:v>
                </c:pt>
                <c:pt idx="24">
                  <c:v>0.59199999999999997</c:v>
                </c:pt>
                <c:pt idx="25">
                  <c:v>0.57999999999999996</c:v>
                </c:pt>
                <c:pt idx="26">
                  <c:v>0.56400000000000006</c:v>
                </c:pt>
                <c:pt idx="27">
                  <c:v>0.54800000000000004</c:v>
                </c:pt>
                <c:pt idx="28">
                  <c:v>0.52</c:v>
                </c:pt>
                <c:pt idx="29">
                  <c:v>0.504</c:v>
                </c:pt>
                <c:pt idx="30">
                  <c:v>0.48399999999999999</c:v>
                </c:pt>
                <c:pt idx="31">
                  <c:v>0.44400000000000001</c:v>
                </c:pt>
                <c:pt idx="32">
                  <c:v>0.42</c:v>
                </c:pt>
                <c:pt idx="33">
                  <c:v>0.38800000000000001</c:v>
                </c:pt>
                <c:pt idx="34">
                  <c:v>0.36</c:v>
                </c:pt>
                <c:pt idx="35">
                  <c:v>0.34</c:v>
                </c:pt>
                <c:pt idx="36">
                  <c:v>0.32400000000000001</c:v>
                </c:pt>
                <c:pt idx="37">
                  <c:v>0.30399999999999999</c:v>
                </c:pt>
                <c:pt idx="38">
                  <c:v>0.28800000000000003</c:v>
                </c:pt>
                <c:pt idx="39">
                  <c:v>0.27600000000000002</c:v>
                </c:pt>
                <c:pt idx="40">
                  <c:v>0.26</c:v>
                </c:pt>
                <c:pt idx="41">
                  <c:v>0.24399999999999999</c:v>
                </c:pt>
                <c:pt idx="42">
                  <c:v>0.23200000000000001</c:v>
                </c:pt>
                <c:pt idx="43">
                  <c:v>0.216</c:v>
                </c:pt>
                <c:pt idx="44">
                  <c:v>0.19600000000000001</c:v>
                </c:pt>
                <c:pt idx="45">
                  <c:v>0.184</c:v>
                </c:pt>
                <c:pt idx="46">
                  <c:v>0.17599999999999999</c:v>
                </c:pt>
                <c:pt idx="47">
                  <c:v>0.17200000000000001</c:v>
                </c:pt>
                <c:pt idx="48">
                  <c:v>0.16800000000000001</c:v>
                </c:pt>
                <c:pt idx="49">
                  <c:v>0.16800000000000001</c:v>
                </c:pt>
                <c:pt idx="50">
                  <c:v>0.16400000000000001</c:v>
                </c:pt>
                <c:pt idx="51">
                  <c:v>0.16</c:v>
                </c:pt>
                <c:pt idx="52">
                  <c:v>0.16</c:v>
                </c:pt>
                <c:pt idx="53">
                  <c:v>0.156</c:v>
                </c:pt>
                <c:pt idx="54">
                  <c:v>0.152</c:v>
                </c:pt>
                <c:pt idx="55">
                  <c:v>0.152</c:v>
                </c:pt>
                <c:pt idx="56">
                  <c:v>0.152</c:v>
                </c:pt>
                <c:pt idx="57">
                  <c:v>0.152</c:v>
                </c:pt>
                <c:pt idx="58">
                  <c:v>0.156</c:v>
                </c:pt>
                <c:pt idx="59">
                  <c:v>0.16</c:v>
                </c:pt>
                <c:pt idx="60">
                  <c:v>0.16400000000000001</c:v>
                </c:pt>
                <c:pt idx="61">
                  <c:v>0.16800000000000001</c:v>
                </c:pt>
                <c:pt idx="62">
                  <c:v>0.17599999999999999</c:v>
                </c:pt>
                <c:pt idx="63">
                  <c:v>0.18</c:v>
                </c:pt>
              </c:numCache>
            </c:numRef>
          </c:val>
          <c:smooth val="0"/>
          <c:extLst>
            <c:ext xmlns:c16="http://schemas.microsoft.com/office/drawing/2014/chart" uri="{C3380CC4-5D6E-409C-BE32-E72D297353CC}">
              <c16:uniqueId val="{00000000-B7DA-4AA3-9DC3-221EA5B0769A}"/>
            </c:ext>
          </c:extLst>
        </c:ser>
        <c:ser>
          <c:idx val="1"/>
          <c:order val="1"/>
          <c:spPr>
            <a:ln w="28575" cap="rnd">
              <a:solidFill>
                <a:schemeClr val="accent2"/>
              </a:solidFill>
              <a:round/>
            </a:ln>
            <a:effectLst/>
          </c:spPr>
          <c:marker>
            <c:symbol val="none"/>
          </c:marker>
          <c:val>
            <c:numRef>
              <c:f>'Delta E'!$D$3:$D$66</c:f>
              <c:numCache>
                <c:formatCode>General</c:formatCode>
                <c:ptCount val="64"/>
                <c:pt idx="0">
                  <c:v>7.2000000000000008E-2</c:v>
                </c:pt>
                <c:pt idx="1">
                  <c:v>9.1999999999999998E-2</c:v>
                </c:pt>
                <c:pt idx="2">
                  <c:v>0.10400000000000001</c:v>
                </c:pt>
                <c:pt idx="3">
                  <c:v>0.12</c:v>
                </c:pt>
                <c:pt idx="4">
                  <c:v>0.13600000000000001</c:v>
                </c:pt>
                <c:pt idx="5">
                  <c:v>0.156</c:v>
                </c:pt>
                <c:pt idx="6">
                  <c:v>0.18</c:v>
                </c:pt>
                <c:pt idx="7">
                  <c:v>0.20800000000000002</c:v>
                </c:pt>
                <c:pt idx="8">
                  <c:v>0.24399999999999999</c:v>
                </c:pt>
                <c:pt idx="9">
                  <c:v>0.27600000000000002</c:v>
                </c:pt>
                <c:pt idx="10">
                  <c:v>0.30399999999999999</c:v>
                </c:pt>
                <c:pt idx="11">
                  <c:v>0.316</c:v>
                </c:pt>
                <c:pt idx="12">
                  <c:v>0.32800000000000001</c:v>
                </c:pt>
                <c:pt idx="13">
                  <c:v>0.32400000000000001</c:v>
                </c:pt>
                <c:pt idx="14">
                  <c:v>0.32800000000000001</c:v>
                </c:pt>
                <c:pt idx="15">
                  <c:v>0.33200000000000002</c:v>
                </c:pt>
                <c:pt idx="16">
                  <c:v>0.33600000000000002</c:v>
                </c:pt>
                <c:pt idx="17">
                  <c:v>0.33200000000000002</c:v>
                </c:pt>
                <c:pt idx="18">
                  <c:v>0.33600000000000002</c:v>
                </c:pt>
                <c:pt idx="19">
                  <c:v>0.34</c:v>
                </c:pt>
                <c:pt idx="20">
                  <c:v>0.34400000000000003</c:v>
                </c:pt>
                <c:pt idx="21">
                  <c:v>0.35199999999999998</c:v>
                </c:pt>
                <c:pt idx="22">
                  <c:v>0.35599999999999998</c:v>
                </c:pt>
                <c:pt idx="23">
                  <c:v>0.36399999999999999</c:v>
                </c:pt>
                <c:pt idx="24">
                  <c:v>0.372</c:v>
                </c:pt>
                <c:pt idx="25">
                  <c:v>0.38400000000000001</c:v>
                </c:pt>
                <c:pt idx="26">
                  <c:v>0.39600000000000002</c:v>
                </c:pt>
                <c:pt idx="27">
                  <c:v>0.41200000000000003</c:v>
                </c:pt>
                <c:pt idx="28">
                  <c:v>0.436</c:v>
                </c:pt>
                <c:pt idx="29">
                  <c:v>0.45200000000000001</c:v>
                </c:pt>
                <c:pt idx="30">
                  <c:v>0.46800000000000003</c:v>
                </c:pt>
                <c:pt idx="31">
                  <c:v>0.5</c:v>
                </c:pt>
                <c:pt idx="32">
                  <c:v>0.52400000000000002</c:v>
                </c:pt>
                <c:pt idx="33">
                  <c:v>0.55200000000000005</c:v>
                </c:pt>
                <c:pt idx="34">
                  <c:v>0.57600000000000007</c:v>
                </c:pt>
                <c:pt idx="35">
                  <c:v>0.59599999999999997</c:v>
                </c:pt>
                <c:pt idx="36">
                  <c:v>0.60799999999999998</c:v>
                </c:pt>
                <c:pt idx="37">
                  <c:v>0.61199999999999999</c:v>
                </c:pt>
                <c:pt idx="38">
                  <c:v>0.60799999999999998</c:v>
                </c:pt>
                <c:pt idx="39">
                  <c:v>0.59199999999999997</c:v>
                </c:pt>
                <c:pt idx="40">
                  <c:v>0.56400000000000006</c:v>
                </c:pt>
                <c:pt idx="41">
                  <c:v>0.53200000000000003</c:v>
                </c:pt>
                <c:pt idx="42">
                  <c:v>0.49199999999999999</c:v>
                </c:pt>
                <c:pt idx="43">
                  <c:v>0.44800000000000001</c:v>
                </c:pt>
                <c:pt idx="44">
                  <c:v>0.40400000000000003</c:v>
                </c:pt>
                <c:pt idx="45">
                  <c:v>0.36</c:v>
                </c:pt>
                <c:pt idx="46">
                  <c:v>0.32800000000000001</c:v>
                </c:pt>
                <c:pt idx="47">
                  <c:v>0.29599999999999999</c:v>
                </c:pt>
                <c:pt idx="48">
                  <c:v>0.26400000000000001</c:v>
                </c:pt>
                <c:pt idx="49">
                  <c:v>0.23600000000000002</c:v>
                </c:pt>
                <c:pt idx="50">
                  <c:v>0.20400000000000001</c:v>
                </c:pt>
                <c:pt idx="51">
                  <c:v>0.17599999999999999</c:v>
                </c:pt>
                <c:pt idx="52">
                  <c:v>0.14799999999999999</c:v>
                </c:pt>
                <c:pt idx="53">
                  <c:v>0.124</c:v>
                </c:pt>
                <c:pt idx="54">
                  <c:v>0.10400000000000001</c:v>
                </c:pt>
                <c:pt idx="55">
                  <c:v>8.4000000000000005E-2</c:v>
                </c:pt>
                <c:pt idx="56">
                  <c:v>7.2000000000000008E-2</c:v>
                </c:pt>
                <c:pt idx="57">
                  <c:v>6.8000000000000005E-2</c:v>
                </c:pt>
                <c:pt idx="58">
                  <c:v>6.8000000000000005E-2</c:v>
                </c:pt>
                <c:pt idx="59">
                  <c:v>6.8000000000000005E-2</c:v>
                </c:pt>
                <c:pt idx="60">
                  <c:v>6.8000000000000005E-2</c:v>
                </c:pt>
                <c:pt idx="61">
                  <c:v>7.2000000000000008E-2</c:v>
                </c:pt>
                <c:pt idx="62">
                  <c:v>7.2000000000000008E-2</c:v>
                </c:pt>
                <c:pt idx="63">
                  <c:v>7.5999999999999998E-2</c:v>
                </c:pt>
              </c:numCache>
            </c:numRef>
          </c:val>
          <c:smooth val="0"/>
          <c:extLst>
            <c:ext xmlns:c16="http://schemas.microsoft.com/office/drawing/2014/chart" uri="{C3380CC4-5D6E-409C-BE32-E72D297353CC}">
              <c16:uniqueId val="{00000001-B7DA-4AA3-9DC3-221EA5B0769A}"/>
            </c:ext>
          </c:extLst>
        </c:ser>
        <c:ser>
          <c:idx val="2"/>
          <c:order val="2"/>
          <c:spPr>
            <a:ln w="28575" cap="rnd">
              <a:solidFill>
                <a:schemeClr val="accent3"/>
              </a:solidFill>
              <a:round/>
            </a:ln>
            <a:effectLst/>
          </c:spPr>
          <c:marker>
            <c:symbol val="none"/>
          </c:marker>
          <c:val>
            <c:numRef>
              <c:f>'Delta E'!$BX$3:$BX$66</c:f>
              <c:numCache>
                <c:formatCode>0.000</c:formatCode>
                <c:ptCount val="64"/>
                <c:pt idx="0">
                  <c:v>0.200776170296005</c:v>
                </c:pt>
                <c:pt idx="1">
                  <c:v>0.229055662816355</c:v>
                </c:pt>
                <c:pt idx="2">
                  <c:v>0.25341160461463902</c:v>
                </c:pt>
                <c:pt idx="3">
                  <c:v>0.28457088162698502</c:v>
                </c:pt>
                <c:pt idx="4">
                  <c:v>0.31885725159088002</c:v>
                </c:pt>
                <c:pt idx="5">
                  <c:v>0.35388778351322198</c:v>
                </c:pt>
                <c:pt idx="6">
                  <c:v>0.39511593435780301</c:v>
                </c:pt>
                <c:pt idx="7">
                  <c:v>0.43748857390372498</c:v>
                </c:pt>
                <c:pt idx="8">
                  <c:v>0.50312823539684004</c:v>
                </c:pt>
                <c:pt idx="9">
                  <c:v>0.55598719926416595</c:v>
                </c:pt>
                <c:pt idx="10">
                  <c:v>0.61324638471901405</c:v>
                </c:pt>
                <c:pt idx="11">
                  <c:v>0.63754757442405596</c:v>
                </c:pt>
                <c:pt idx="12">
                  <c:v>0.68851093078331305</c:v>
                </c:pt>
                <c:pt idx="13">
                  <c:v>0.68853903951965401</c:v>
                </c:pt>
                <c:pt idx="14">
                  <c:v>0.68861008954944103</c:v>
                </c:pt>
                <c:pt idx="15">
                  <c:v>0.68862759058076595</c:v>
                </c:pt>
                <c:pt idx="16">
                  <c:v>0.68862931516446302</c:v>
                </c:pt>
                <c:pt idx="17">
                  <c:v>0.68863249066724996</c:v>
                </c:pt>
                <c:pt idx="18">
                  <c:v>0.64881511828466598</c:v>
                </c:pt>
                <c:pt idx="19">
                  <c:v>0.64703641544963597</c:v>
                </c:pt>
                <c:pt idx="20">
                  <c:v>0.63730750008705095</c:v>
                </c:pt>
                <c:pt idx="21">
                  <c:v>0.62805092221721803</c:v>
                </c:pt>
                <c:pt idx="22">
                  <c:v>0.61701516339201401</c:v>
                </c:pt>
                <c:pt idx="23">
                  <c:v>0.60610911297921899</c:v>
                </c:pt>
                <c:pt idx="24">
                  <c:v>0.59611011135663705</c:v>
                </c:pt>
                <c:pt idx="25">
                  <c:v>0.582028125502695</c:v>
                </c:pt>
                <c:pt idx="26">
                  <c:v>0.56198682205727601</c:v>
                </c:pt>
                <c:pt idx="27">
                  <c:v>0.54201944314127304</c:v>
                </c:pt>
                <c:pt idx="28">
                  <c:v>0.51697000536147297</c:v>
                </c:pt>
                <c:pt idx="29">
                  <c:v>0.49746552205732902</c:v>
                </c:pt>
                <c:pt idx="30">
                  <c:v>0.47994602180525803</c:v>
                </c:pt>
                <c:pt idx="31">
                  <c:v>0.43989531532554799</c:v>
                </c:pt>
                <c:pt idx="32">
                  <c:v>0.41824197184364398</c:v>
                </c:pt>
                <c:pt idx="33">
                  <c:v>0.38372864124330702</c:v>
                </c:pt>
                <c:pt idx="34">
                  <c:v>0.359635917860815</c:v>
                </c:pt>
                <c:pt idx="35">
                  <c:v>0.34010718391412798</c:v>
                </c:pt>
                <c:pt idx="36">
                  <c:v>0.321154055676243</c:v>
                </c:pt>
                <c:pt idx="37">
                  <c:v>0.30299286394192199</c:v>
                </c:pt>
                <c:pt idx="38">
                  <c:v>0.28625115558884801</c:v>
                </c:pt>
                <c:pt idx="39">
                  <c:v>0.27366420169039801</c:v>
                </c:pt>
                <c:pt idx="40">
                  <c:v>0.25399325651301502</c:v>
                </c:pt>
                <c:pt idx="41">
                  <c:v>0.24014611524837701</c:v>
                </c:pt>
                <c:pt idx="42">
                  <c:v>0.229688905918666</c:v>
                </c:pt>
                <c:pt idx="43">
                  <c:v>0.215481851644618</c:v>
                </c:pt>
                <c:pt idx="44">
                  <c:v>0.12409117206706299</c:v>
                </c:pt>
                <c:pt idx="45">
                  <c:v>0.12530829400205801</c:v>
                </c:pt>
                <c:pt idx="46">
                  <c:v>0.12621047158021301</c:v>
                </c:pt>
                <c:pt idx="47">
                  <c:v>0.12711003480869901</c:v>
                </c:pt>
                <c:pt idx="48">
                  <c:v>0.127919845941454</c:v>
                </c:pt>
                <c:pt idx="49">
                  <c:v>0.12878261776146699</c:v>
                </c:pt>
                <c:pt idx="50">
                  <c:v>0.13007776743021601</c:v>
                </c:pt>
                <c:pt idx="51">
                  <c:v>0.130530709945338</c:v>
                </c:pt>
                <c:pt idx="52">
                  <c:v>0.131399223228023</c:v>
                </c:pt>
                <c:pt idx="53">
                  <c:v>0.13223368557145301</c:v>
                </c:pt>
                <c:pt idx="54">
                  <c:v>0.13298955286307201</c:v>
                </c:pt>
                <c:pt idx="55">
                  <c:v>0.133720565448743</c:v>
                </c:pt>
                <c:pt idx="56">
                  <c:v>0.13423511241379399</c:v>
                </c:pt>
                <c:pt idx="57">
                  <c:v>0.134431810483818</c:v>
                </c:pt>
                <c:pt idx="58">
                  <c:v>0.15462745187527199</c:v>
                </c:pt>
                <c:pt idx="59">
                  <c:v>0.165562617821156</c:v>
                </c:pt>
                <c:pt idx="60">
                  <c:v>0.17090493074236701</c:v>
                </c:pt>
                <c:pt idx="61">
                  <c:v>0.17683072502234501</c:v>
                </c:pt>
                <c:pt idx="62">
                  <c:v>0.18574862739199699</c:v>
                </c:pt>
                <c:pt idx="63">
                  <c:v>0.19470283143292799</c:v>
                </c:pt>
              </c:numCache>
            </c:numRef>
          </c:val>
          <c:smooth val="0"/>
          <c:extLst>
            <c:ext xmlns:c16="http://schemas.microsoft.com/office/drawing/2014/chart" uri="{C3380CC4-5D6E-409C-BE32-E72D297353CC}">
              <c16:uniqueId val="{00000002-B7DA-4AA3-9DC3-221EA5B0769A}"/>
            </c:ext>
          </c:extLst>
        </c:ser>
        <c:ser>
          <c:idx val="3"/>
          <c:order val="3"/>
          <c:spPr>
            <a:ln w="28575" cap="rnd">
              <a:solidFill>
                <a:schemeClr val="accent4"/>
              </a:solidFill>
              <a:round/>
            </a:ln>
            <a:effectLst/>
          </c:spPr>
          <c:marker>
            <c:symbol val="none"/>
          </c:marker>
          <c:val>
            <c:numRef>
              <c:f>'Delta E'!$BY$3:$BY$66</c:f>
              <c:numCache>
                <c:formatCode>0.000</c:formatCode>
                <c:ptCount val="64"/>
                <c:pt idx="0">
                  <c:v>8.0078977031725701E-2</c:v>
                </c:pt>
                <c:pt idx="1">
                  <c:v>9.3569122015897496E-2</c:v>
                </c:pt>
                <c:pt idx="2">
                  <c:v>0.105184784654502</c:v>
                </c:pt>
                <c:pt idx="3">
                  <c:v>0.120032278419135</c:v>
                </c:pt>
                <c:pt idx="4">
                  <c:v>0.13635895746993101</c:v>
                </c:pt>
                <c:pt idx="5">
                  <c:v>0.15303551438912499</c:v>
                </c:pt>
                <c:pt idx="6">
                  <c:v>0.17265259292606699</c:v>
                </c:pt>
                <c:pt idx="7">
                  <c:v>0.19280420292032099</c:v>
                </c:pt>
                <c:pt idx="8">
                  <c:v>0.223999713316163</c:v>
                </c:pt>
                <c:pt idx="9">
                  <c:v>0.249048687474349</c:v>
                </c:pt>
                <c:pt idx="10">
                  <c:v>0.27619537109058301</c:v>
                </c:pt>
                <c:pt idx="11">
                  <c:v>0.287713404415469</c:v>
                </c:pt>
                <c:pt idx="12">
                  <c:v>0.31187982733747999</c:v>
                </c:pt>
                <c:pt idx="13">
                  <c:v>0.31184813075814299</c:v>
                </c:pt>
                <c:pt idx="14">
                  <c:v>0.31178097928692999</c:v>
                </c:pt>
                <c:pt idx="15">
                  <c:v>0.31176777530264599</c:v>
                </c:pt>
                <c:pt idx="16">
                  <c:v>0.31176320211458403</c:v>
                </c:pt>
                <c:pt idx="17">
                  <c:v>0.31175932973753401</c:v>
                </c:pt>
                <c:pt idx="18">
                  <c:v>0.34153820839052701</c:v>
                </c:pt>
                <c:pt idx="19">
                  <c:v>0.34285879595559898</c:v>
                </c:pt>
                <c:pt idx="20">
                  <c:v>0.35011775587121002</c:v>
                </c:pt>
                <c:pt idx="21">
                  <c:v>0.35702764483161198</c:v>
                </c:pt>
                <c:pt idx="22">
                  <c:v>0.36527265687365901</c:v>
                </c:pt>
                <c:pt idx="23">
                  <c:v>0.37342264262346098</c:v>
                </c:pt>
                <c:pt idx="24">
                  <c:v>0.38089324520428702</c:v>
                </c:pt>
                <c:pt idx="25">
                  <c:v>0.39142272824337399</c:v>
                </c:pt>
                <c:pt idx="26">
                  <c:v>0.40641925469613299</c:v>
                </c:pt>
                <c:pt idx="27">
                  <c:v>0.42135652904631798</c:v>
                </c:pt>
                <c:pt idx="28">
                  <c:v>0.44010836241053403</c:v>
                </c:pt>
                <c:pt idx="29">
                  <c:v>0.454704420210571</c:v>
                </c:pt>
                <c:pt idx="30">
                  <c:v>0.467820904474126</c:v>
                </c:pt>
                <c:pt idx="31">
                  <c:v>0.49780240660802499</c:v>
                </c:pt>
                <c:pt idx="32">
                  <c:v>0.51400944578225005</c:v>
                </c:pt>
                <c:pt idx="33">
                  <c:v>0.53985975632557803</c:v>
                </c:pt>
                <c:pt idx="34">
                  <c:v>0.55790240118970202</c:v>
                </c:pt>
                <c:pt idx="35">
                  <c:v>0.57253163591278999</c:v>
                </c:pt>
                <c:pt idx="36">
                  <c:v>0.58609981089501695</c:v>
                </c:pt>
                <c:pt idx="37">
                  <c:v>0.58672887455717504</c:v>
                </c:pt>
                <c:pt idx="38">
                  <c:v>0.57663531038179106</c:v>
                </c:pt>
                <c:pt idx="39">
                  <c:v>0.55326338209542802</c:v>
                </c:pt>
                <c:pt idx="40">
                  <c:v>0.52936895040780896</c:v>
                </c:pt>
                <c:pt idx="41">
                  <c:v>0.49541134042221002</c:v>
                </c:pt>
                <c:pt idx="42">
                  <c:v>0.46001997230831798</c:v>
                </c:pt>
                <c:pt idx="43">
                  <c:v>0.43071872675314798</c:v>
                </c:pt>
                <c:pt idx="44">
                  <c:v>0.40031256791770498</c:v>
                </c:pt>
                <c:pt idx="45">
                  <c:v>0.35999681481218498</c:v>
                </c:pt>
                <c:pt idx="46">
                  <c:v>0.32986870423867498</c:v>
                </c:pt>
                <c:pt idx="47">
                  <c:v>0.29980895625411802</c:v>
                </c:pt>
                <c:pt idx="48">
                  <c:v>0.27313880462409601</c:v>
                </c:pt>
                <c:pt idx="49">
                  <c:v>0.245057443830549</c:v>
                </c:pt>
                <c:pt idx="50">
                  <c:v>0.20182805896207301</c:v>
                </c:pt>
                <c:pt idx="51">
                  <c:v>0.188165442040266</c:v>
                </c:pt>
                <c:pt idx="52">
                  <c:v>0.16028240727120999</c:v>
                </c:pt>
                <c:pt idx="53">
                  <c:v>0.133746061798836</c:v>
                </c:pt>
                <c:pt idx="54">
                  <c:v>0.10993223014652601</c:v>
                </c:pt>
                <c:pt idx="55">
                  <c:v>8.7138953062470201E-2</c:v>
                </c:pt>
                <c:pt idx="56">
                  <c:v>7.1613691210283603E-2</c:v>
                </c:pt>
                <c:pt idx="57">
                  <c:v>6.6079968446287093E-2</c:v>
                </c:pt>
                <c:pt idx="58">
                  <c:v>6.9007625015046897E-2</c:v>
                </c:pt>
                <c:pt idx="59">
                  <c:v>6.3522728896739697E-2</c:v>
                </c:pt>
                <c:pt idx="60">
                  <c:v>6.6050148737366005E-2</c:v>
                </c:pt>
                <c:pt idx="61">
                  <c:v>6.8849065960323405E-2</c:v>
                </c:pt>
                <c:pt idx="62">
                  <c:v>7.3090567177074198E-2</c:v>
                </c:pt>
                <c:pt idx="63">
                  <c:v>7.7339408796267994E-2</c:v>
                </c:pt>
              </c:numCache>
            </c:numRef>
          </c:val>
          <c:smooth val="0"/>
          <c:extLst>
            <c:ext xmlns:c16="http://schemas.microsoft.com/office/drawing/2014/chart" uri="{C3380CC4-5D6E-409C-BE32-E72D297353CC}">
              <c16:uniqueId val="{00000003-B7DA-4AA3-9DC3-221EA5B0769A}"/>
            </c:ext>
          </c:extLst>
        </c:ser>
        <c:dLbls>
          <c:showLegendKey val="0"/>
          <c:showVal val="0"/>
          <c:showCatName val="0"/>
          <c:showSerName val="0"/>
          <c:showPercent val="0"/>
          <c:showBubbleSize val="0"/>
        </c:dLbls>
        <c:smooth val="0"/>
        <c:axId val="278590511"/>
        <c:axId val="278590991"/>
      </c:lineChart>
      <c:catAx>
        <c:axId val="2785905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78590991"/>
        <c:crosses val="autoZero"/>
        <c:auto val="1"/>
        <c:lblAlgn val="ctr"/>
        <c:lblOffset val="100"/>
        <c:noMultiLvlLbl val="0"/>
      </c:catAx>
      <c:valAx>
        <c:axId val="27859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78590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21</xdr:col>
      <xdr:colOff>8963</xdr:colOff>
      <xdr:row>3</xdr:row>
      <xdr:rowOff>26894</xdr:rowOff>
    </xdr:from>
    <xdr:to>
      <xdr:col>24</xdr:col>
      <xdr:colOff>8965</xdr:colOff>
      <xdr:row>79</xdr:row>
      <xdr:rowOff>62753</xdr:rowOff>
    </xdr:to>
    <xdr:sp macro="" textlink="">
      <xdr:nvSpPr>
        <xdr:cNvPr id="3" name="직사각형 2">
          <a:extLst>
            <a:ext uri="{FF2B5EF4-FFF2-40B4-BE49-F238E27FC236}">
              <a16:creationId xmlns:a16="http://schemas.microsoft.com/office/drawing/2014/main" id="{227F90DA-BDCA-85CA-6DD4-F9DF91F6FC0A}"/>
            </a:ext>
          </a:extLst>
        </xdr:cNvPr>
        <xdr:cNvSpPr/>
      </xdr:nvSpPr>
      <xdr:spPr>
        <a:xfrm>
          <a:off x="12460939" y="753035"/>
          <a:ext cx="1990167" cy="16764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19</xdr:col>
      <xdr:colOff>661671</xdr:colOff>
      <xdr:row>15</xdr:row>
      <xdr:rowOff>858</xdr:rowOff>
    </xdr:from>
    <xdr:to>
      <xdr:col>20</xdr:col>
      <xdr:colOff>661280</xdr:colOff>
      <xdr:row>16</xdr:row>
      <xdr:rowOff>12980</xdr:rowOff>
    </xdr:to>
    <xdr:pic>
      <xdr:nvPicPr>
        <xdr:cNvPr id="2" name="그림 1">
          <a:extLst>
            <a:ext uri="{FF2B5EF4-FFF2-40B4-BE49-F238E27FC236}">
              <a16:creationId xmlns:a16="http://schemas.microsoft.com/office/drawing/2014/main" id="{A5A13164-9FB1-74E7-E4F6-67D0498E8812}"/>
            </a:ext>
          </a:extLst>
        </xdr:cNvPr>
        <xdr:cNvPicPr>
          <a:picLocks noChangeAspect="1"/>
        </xdr:cNvPicPr>
      </xdr:nvPicPr>
      <xdr:blipFill>
        <a:blip xmlns:r="http://schemas.openxmlformats.org/officeDocument/2006/relationships" r:embed="rId1"/>
        <a:stretch>
          <a:fillRect/>
        </a:stretch>
      </xdr:blipFill>
      <xdr:spPr>
        <a:xfrm>
          <a:off x="13137394" y="3373113"/>
          <a:ext cx="661631" cy="2336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12</xdr:col>
      <xdr:colOff>618105</xdr:colOff>
      <xdr:row>31</xdr:row>
      <xdr:rowOff>142490</xdr:rowOff>
    </xdr:to>
    <xdr:pic>
      <xdr:nvPicPr>
        <xdr:cNvPr id="2" name="그림 1">
          <a:extLst>
            <a:ext uri="{FF2B5EF4-FFF2-40B4-BE49-F238E27FC236}">
              <a16:creationId xmlns:a16="http://schemas.microsoft.com/office/drawing/2014/main" id="{786767CD-D2B9-4786-AA9F-93CF4C61AA69}"/>
            </a:ext>
          </a:extLst>
        </xdr:cNvPr>
        <xdr:cNvPicPr>
          <a:picLocks noChangeAspect="1"/>
        </xdr:cNvPicPr>
      </xdr:nvPicPr>
      <xdr:blipFill>
        <a:blip xmlns:r="http://schemas.openxmlformats.org/officeDocument/2006/relationships" r:embed="rId1"/>
        <a:stretch>
          <a:fillRect/>
        </a:stretch>
      </xdr:blipFill>
      <xdr:spPr>
        <a:xfrm>
          <a:off x="699715" y="3919993"/>
          <a:ext cx="8314967" cy="3370720"/>
        </a:xfrm>
        <a:prstGeom prst="rect">
          <a:avLst/>
        </a:prstGeom>
      </xdr:spPr>
    </xdr:pic>
    <xdr:clientData/>
  </xdr:twoCellAnchor>
  <xdr:twoCellAnchor editAs="oneCell">
    <xdr:from>
      <xdr:col>1</xdr:col>
      <xdr:colOff>0</xdr:colOff>
      <xdr:row>34</xdr:row>
      <xdr:rowOff>0</xdr:rowOff>
    </xdr:from>
    <xdr:to>
      <xdr:col>13</xdr:col>
      <xdr:colOff>273210</xdr:colOff>
      <xdr:row>47</xdr:row>
      <xdr:rowOff>95250</xdr:rowOff>
    </xdr:to>
    <xdr:pic>
      <xdr:nvPicPr>
        <xdr:cNvPr id="3" name="그림 2">
          <a:extLst>
            <a:ext uri="{FF2B5EF4-FFF2-40B4-BE49-F238E27FC236}">
              <a16:creationId xmlns:a16="http://schemas.microsoft.com/office/drawing/2014/main" id="{7A5BB212-0ECE-48AE-9F3F-9C20AFC13BD9}"/>
            </a:ext>
          </a:extLst>
        </xdr:cNvPr>
        <xdr:cNvPicPr>
          <a:picLocks noChangeAspect="1"/>
        </xdr:cNvPicPr>
      </xdr:nvPicPr>
      <xdr:blipFill>
        <a:blip xmlns:r="http://schemas.openxmlformats.org/officeDocument/2006/relationships" r:embed="rId2"/>
        <a:stretch>
          <a:fillRect/>
        </a:stretch>
      </xdr:blipFill>
      <xdr:spPr>
        <a:xfrm>
          <a:off x="699715" y="7839986"/>
          <a:ext cx="8669787" cy="3092892"/>
        </a:xfrm>
        <a:prstGeom prst="rect">
          <a:avLst/>
        </a:prstGeom>
      </xdr:spPr>
    </xdr:pic>
    <xdr:clientData/>
  </xdr:twoCellAnchor>
  <xdr:twoCellAnchor editAs="oneCell">
    <xdr:from>
      <xdr:col>1</xdr:col>
      <xdr:colOff>0</xdr:colOff>
      <xdr:row>3</xdr:row>
      <xdr:rowOff>0</xdr:rowOff>
    </xdr:from>
    <xdr:to>
      <xdr:col>12</xdr:col>
      <xdr:colOff>555952</xdr:colOff>
      <xdr:row>14</xdr:row>
      <xdr:rowOff>142875</xdr:rowOff>
    </xdr:to>
    <xdr:pic>
      <xdr:nvPicPr>
        <xdr:cNvPr id="4" name="그림 3">
          <a:extLst>
            <a:ext uri="{FF2B5EF4-FFF2-40B4-BE49-F238E27FC236}">
              <a16:creationId xmlns:a16="http://schemas.microsoft.com/office/drawing/2014/main" id="{87DBBE71-777A-43BB-82CD-46ADA04E8B4C}"/>
            </a:ext>
          </a:extLst>
        </xdr:cNvPr>
        <xdr:cNvPicPr>
          <a:picLocks noChangeAspect="1"/>
        </xdr:cNvPicPr>
      </xdr:nvPicPr>
      <xdr:blipFill>
        <a:blip xmlns:r="http://schemas.openxmlformats.org/officeDocument/2006/relationships" r:embed="rId3"/>
        <a:stretch>
          <a:fillRect/>
        </a:stretch>
      </xdr:blipFill>
      <xdr:spPr>
        <a:xfrm>
          <a:off x="699715" y="691763"/>
          <a:ext cx="8252814" cy="2679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96</xdr:col>
      <xdr:colOff>348344</xdr:colOff>
      <xdr:row>11</xdr:row>
      <xdr:rowOff>119743</xdr:rowOff>
    </xdr:from>
    <xdr:to>
      <xdr:col>116</xdr:col>
      <xdr:colOff>108858</xdr:colOff>
      <xdr:row>57</xdr:row>
      <xdr:rowOff>163286</xdr:rowOff>
    </xdr:to>
    <xdr:graphicFrame macro="">
      <xdr:nvGraphicFramePr>
        <xdr:cNvPr id="9" name="차트 8">
          <a:extLst>
            <a:ext uri="{FF2B5EF4-FFF2-40B4-BE49-F238E27FC236}">
              <a16:creationId xmlns:a16="http://schemas.microsoft.com/office/drawing/2014/main" id="{4D970221-4590-0A9A-8177-3C3322E60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0A8F-8660-4A4E-B805-A383DAF9BD8A}">
  <dimension ref="A3:L42"/>
  <sheetViews>
    <sheetView topLeftCell="A3" zoomScaleNormal="100" workbookViewId="0">
      <pane xSplit="2" ySplit="3" topLeftCell="C6" activePane="bottomRight" state="frozen"/>
      <selection activeCell="A3" sqref="A3"/>
      <selection pane="topRight" activeCell="C3" sqref="C3"/>
      <selection pane="bottomLeft" activeCell="A8" sqref="A8"/>
      <selection pane="bottomRight" activeCell="E8" sqref="E8"/>
    </sheetView>
  </sheetViews>
  <sheetFormatPr defaultColWidth="8.6875" defaultRowHeight="16.899999999999999"/>
  <cols>
    <col min="1" max="1" width="3.1875" style="3" customWidth="1"/>
    <col min="2" max="2" width="28.125" style="2" customWidth="1"/>
    <col min="3" max="3" width="36.6875" style="3" customWidth="1"/>
    <col min="4" max="4" width="40" style="3" customWidth="1"/>
    <col min="5" max="5" width="64.625" style="166" customWidth="1"/>
    <col min="6" max="6" width="40" style="3" customWidth="1"/>
    <col min="7" max="7" width="35.6875" style="23" hidden="1" customWidth="1"/>
    <col min="8" max="8" width="35.6875" style="24" hidden="1" customWidth="1"/>
    <col min="9" max="16384" width="8.6875" style="3"/>
  </cols>
  <sheetData>
    <row r="3" spans="1:12" ht="28.5">
      <c r="A3" s="31"/>
      <c r="B3" s="32" t="s">
        <v>102</v>
      </c>
    </row>
    <row r="4" spans="1:12" ht="22.5" customHeight="1">
      <c r="B4" s="5" t="s">
        <v>14</v>
      </c>
      <c r="C4" s="6" t="s">
        <v>99</v>
      </c>
      <c r="D4" s="7" t="s">
        <v>100</v>
      </c>
      <c r="E4" s="7" t="s">
        <v>168</v>
      </c>
      <c r="F4" s="7" t="s">
        <v>166</v>
      </c>
      <c r="G4" s="8" t="s">
        <v>67</v>
      </c>
      <c r="H4" s="9" t="s">
        <v>70</v>
      </c>
      <c r="I4" s="1"/>
      <c r="J4" s="1"/>
      <c r="K4" s="1"/>
      <c r="L4" s="1"/>
    </row>
    <row r="5" spans="1:12" s="24" customFormat="1" ht="22.5" customHeight="1">
      <c r="B5" s="21" t="s">
        <v>13</v>
      </c>
      <c r="C5" s="8" t="s">
        <v>65</v>
      </c>
      <c r="D5" s="8" t="s">
        <v>88</v>
      </c>
      <c r="E5" s="8" t="s">
        <v>169</v>
      </c>
      <c r="F5" s="8"/>
      <c r="G5" s="8" t="s">
        <v>27</v>
      </c>
      <c r="H5" s="9" t="s">
        <v>37</v>
      </c>
      <c r="I5" s="22"/>
      <c r="J5" s="23"/>
      <c r="K5" s="23"/>
      <c r="L5" s="23"/>
    </row>
    <row r="6" spans="1:12" s="26" customFormat="1" ht="35.75" customHeight="1">
      <c r="B6" s="25" t="s">
        <v>15</v>
      </c>
      <c r="C6" s="10" t="s">
        <v>16</v>
      </c>
      <c r="D6" s="18" t="s">
        <v>98</v>
      </c>
      <c r="E6" s="167" t="s">
        <v>11</v>
      </c>
      <c r="F6" s="18"/>
      <c r="G6" s="10"/>
      <c r="H6" s="11" t="s">
        <v>40</v>
      </c>
    </row>
    <row r="7" spans="1:12" s="26" customFormat="1" ht="66" customHeight="1">
      <c r="B7" s="25" t="s">
        <v>167</v>
      </c>
      <c r="C7" s="10" t="s">
        <v>43</v>
      </c>
      <c r="D7" s="13" t="s">
        <v>43</v>
      </c>
      <c r="E7" s="17" t="s">
        <v>183</v>
      </c>
      <c r="F7" s="13"/>
      <c r="G7" s="10"/>
      <c r="H7" s="11" t="s">
        <v>43</v>
      </c>
    </row>
    <row r="8" spans="1:12" s="26" customFormat="1" ht="71.25" customHeight="1">
      <c r="B8" s="171" t="s">
        <v>170</v>
      </c>
      <c r="C8" s="17" t="s">
        <v>80</v>
      </c>
      <c r="D8" s="18" t="s">
        <v>43</v>
      </c>
      <c r="E8" s="167" t="s">
        <v>184</v>
      </c>
      <c r="F8" s="18"/>
      <c r="G8" s="10"/>
      <c r="H8" s="11" t="s">
        <v>43</v>
      </c>
    </row>
    <row r="9" spans="1:12" s="24" customFormat="1" ht="37.25" customHeight="1">
      <c r="B9" s="21" t="s">
        <v>31</v>
      </c>
      <c r="C9" s="12" t="s">
        <v>32</v>
      </c>
      <c r="D9" s="18" t="s">
        <v>32</v>
      </c>
      <c r="E9" s="18" t="s">
        <v>32</v>
      </c>
      <c r="F9" s="18"/>
      <c r="G9" s="12" t="s">
        <v>32</v>
      </c>
      <c r="H9" s="28" t="s">
        <v>101</v>
      </c>
    </row>
    <row r="10" spans="1:12" s="24" customFormat="1" ht="59.25" customHeight="1">
      <c r="B10" s="21" t="s">
        <v>17</v>
      </c>
      <c r="C10" s="12" t="s">
        <v>86</v>
      </c>
      <c r="D10" s="12" t="s">
        <v>94</v>
      </c>
      <c r="E10" s="17" t="s">
        <v>173</v>
      </c>
      <c r="F10" s="12"/>
      <c r="G10" s="12"/>
      <c r="H10" s="28" t="s">
        <v>53</v>
      </c>
    </row>
    <row r="11" spans="1:12" s="24" customFormat="1" ht="54.75" customHeight="1">
      <c r="B11" s="27" t="s">
        <v>171</v>
      </c>
      <c r="C11" s="13" t="s">
        <v>71</v>
      </c>
      <c r="D11" s="13" t="s">
        <v>71</v>
      </c>
      <c r="E11" s="10" t="s">
        <v>172</v>
      </c>
      <c r="F11" s="13"/>
      <c r="G11" s="12"/>
      <c r="H11" s="28" t="s">
        <v>54</v>
      </c>
    </row>
    <row r="12" spans="1:12" s="24" customFormat="1" ht="95.25" customHeight="1">
      <c r="B12" s="25" t="s">
        <v>0</v>
      </c>
      <c r="C12" s="14" t="s">
        <v>68</v>
      </c>
      <c r="D12" s="18" t="s">
        <v>95</v>
      </c>
      <c r="E12" s="18" t="s">
        <v>176</v>
      </c>
      <c r="F12" s="18"/>
      <c r="G12" s="14" t="s">
        <v>69</v>
      </c>
      <c r="H12" s="11" t="s">
        <v>38</v>
      </c>
    </row>
    <row r="13" spans="1:12" s="24" customFormat="1" ht="22.5" customHeight="1">
      <c r="B13" s="25" t="s">
        <v>35</v>
      </c>
      <c r="C13" s="14" t="s">
        <v>36</v>
      </c>
      <c r="D13" s="13" t="s">
        <v>93</v>
      </c>
      <c r="E13" s="10" t="s">
        <v>93</v>
      </c>
      <c r="F13" s="13"/>
      <c r="G13" s="14" t="s">
        <v>36</v>
      </c>
      <c r="H13" s="28"/>
    </row>
    <row r="14" spans="1:12" s="24" customFormat="1" ht="67.5">
      <c r="B14" s="25" t="s">
        <v>23</v>
      </c>
      <c r="C14" s="12" t="s">
        <v>79</v>
      </c>
      <c r="D14" s="18" t="s">
        <v>178</v>
      </c>
      <c r="E14" s="18" t="s">
        <v>177</v>
      </c>
      <c r="F14" s="13"/>
      <c r="G14" s="12" t="s">
        <v>33</v>
      </c>
      <c r="H14" s="11" t="s">
        <v>24</v>
      </c>
    </row>
    <row r="15" spans="1:12" s="24" customFormat="1" ht="39.5" customHeight="1">
      <c r="B15" s="25" t="s">
        <v>30</v>
      </c>
      <c r="C15" s="12" t="s">
        <v>72</v>
      </c>
      <c r="D15" s="18" t="s">
        <v>85</v>
      </c>
      <c r="E15" s="17" t="s">
        <v>179</v>
      </c>
      <c r="F15" s="18"/>
      <c r="G15" s="12" t="s">
        <v>10</v>
      </c>
      <c r="H15" s="28" t="s">
        <v>39</v>
      </c>
    </row>
    <row r="16" spans="1:12" s="24" customFormat="1" ht="56.25" customHeight="1">
      <c r="B16" s="21" t="s">
        <v>25</v>
      </c>
      <c r="C16" s="12" t="s">
        <v>87</v>
      </c>
      <c r="D16" s="12" t="s">
        <v>87</v>
      </c>
      <c r="E16" s="17" t="s">
        <v>185</v>
      </c>
      <c r="F16" s="12"/>
      <c r="G16" s="12"/>
      <c r="H16" s="28" t="s">
        <v>58</v>
      </c>
    </row>
    <row r="17" spans="2:8" s="24" customFormat="1" ht="66.5" customHeight="1">
      <c r="B17" s="25" t="s">
        <v>1</v>
      </c>
      <c r="C17" s="15" t="s">
        <v>74</v>
      </c>
      <c r="D17" s="19" t="s">
        <v>96</v>
      </c>
      <c r="E17" s="168" t="s">
        <v>74</v>
      </c>
      <c r="F17" s="19"/>
      <c r="G17" s="15" t="s">
        <v>66</v>
      </c>
      <c r="H17" s="11" t="s">
        <v>42</v>
      </c>
    </row>
    <row r="18" spans="2:8" s="24" customFormat="1" ht="98.25" customHeight="1">
      <c r="B18" s="25" t="s">
        <v>2</v>
      </c>
      <c r="C18" s="15" t="s">
        <v>73</v>
      </c>
      <c r="D18" s="15" t="s">
        <v>97</v>
      </c>
      <c r="E18" s="19" t="s">
        <v>193</v>
      </c>
      <c r="F18" s="15"/>
      <c r="G18" s="15" t="s">
        <v>34</v>
      </c>
      <c r="H18" s="28" t="s">
        <v>64</v>
      </c>
    </row>
    <row r="19" spans="2:8" s="24" customFormat="1" ht="52.25" customHeight="1">
      <c r="B19" s="25" t="s">
        <v>18</v>
      </c>
      <c r="C19" s="14" t="s">
        <v>62</v>
      </c>
      <c r="D19" s="14" t="s">
        <v>62</v>
      </c>
      <c r="E19" s="14" t="s">
        <v>62</v>
      </c>
      <c r="F19" s="14"/>
      <c r="G19" s="12"/>
      <c r="H19" s="11" t="s">
        <v>62</v>
      </c>
    </row>
    <row r="20" spans="2:8" s="24" customFormat="1" ht="22.5" customHeight="1">
      <c r="B20" s="21" t="s">
        <v>180</v>
      </c>
      <c r="C20" s="12" t="s">
        <v>3</v>
      </c>
      <c r="D20" s="13" t="s">
        <v>3</v>
      </c>
      <c r="E20" s="13" t="s">
        <v>181</v>
      </c>
      <c r="F20" s="13"/>
      <c r="G20" s="12"/>
      <c r="H20" s="28" t="s">
        <v>3</v>
      </c>
    </row>
    <row r="21" spans="2:8" s="24" customFormat="1" ht="37.5" customHeight="1">
      <c r="B21" s="25" t="s">
        <v>28</v>
      </c>
      <c r="C21" s="12" t="s">
        <v>75</v>
      </c>
      <c r="D21" s="12" t="s">
        <v>75</v>
      </c>
      <c r="E21" s="17" t="s">
        <v>182</v>
      </c>
      <c r="F21" s="12"/>
      <c r="G21" s="12" t="s">
        <v>29</v>
      </c>
      <c r="H21" s="28" t="s">
        <v>59</v>
      </c>
    </row>
    <row r="22" spans="2:8" s="24" customFormat="1" ht="35.25" customHeight="1">
      <c r="B22" s="27" t="s">
        <v>63</v>
      </c>
      <c r="C22" s="14" t="s">
        <v>81</v>
      </c>
      <c r="D22" s="14" t="s">
        <v>81</v>
      </c>
      <c r="E22" s="14" t="s">
        <v>175</v>
      </c>
      <c r="F22" s="14"/>
      <c r="G22" s="12"/>
      <c r="H22" s="11" t="s">
        <v>81</v>
      </c>
    </row>
    <row r="23" spans="2:8" s="24" customFormat="1" ht="78.75" customHeight="1">
      <c r="B23" s="25" t="s">
        <v>60</v>
      </c>
      <c r="C23" s="14" t="s">
        <v>61</v>
      </c>
      <c r="D23" s="14" t="s">
        <v>61</v>
      </c>
      <c r="E23" s="14" t="s">
        <v>174</v>
      </c>
      <c r="F23" s="14"/>
      <c r="G23" s="12"/>
      <c r="H23" s="11" t="s">
        <v>61</v>
      </c>
    </row>
    <row r="24" spans="2:8" s="24" customFormat="1" ht="22.5" customHeight="1">
      <c r="B24" s="25" t="s">
        <v>26</v>
      </c>
      <c r="C24" s="14" t="s">
        <v>82</v>
      </c>
      <c r="D24" s="14" t="s">
        <v>82</v>
      </c>
      <c r="E24" s="167" t="s">
        <v>11</v>
      </c>
      <c r="F24" s="14"/>
      <c r="G24" s="14"/>
      <c r="H24" s="11" t="s">
        <v>83</v>
      </c>
    </row>
    <row r="25" spans="2:8" s="24" customFormat="1" ht="22.5" customHeight="1">
      <c r="B25" s="21" t="s">
        <v>22</v>
      </c>
      <c r="C25" s="12" t="s">
        <v>10</v>
      </c>
      <c r="D25" s="12" t="s">
        <v>10</v>
      </c>
      <c r="E25" s="12" t="s">
        <v>10</v>
      </c>
      <c r="F25" s="12"/>
      <c r="G25" s="12"/>
      <c r="H25" s="28" t="s">
        <v>10</v>
      </c>
    </row>
    <row r="26" spans="2:8" s="24" customFormat="1" ht="22.5" customHeight="1">
      <c r="B26" s="21" t="s">
        <v>4</v>
      </c>
      <c r="C26" s="12" t="s">
        <v>19</v>
      </c>
      <c r="D26" s="12" t="s">
        <v>19</v>
      </c>
      <c r="E26" s="12" t="s">
        <v>19</v>
      </c>
      <c r="F26" s="12"/>
      <c r="G26" s="12" t="s">
        <v>19</v>
      </c>
      <c r="H26" s="29" t="s">
        <v>11</v>
      </c>
    </row>
    <row r="27" spans="2:8" s="24" customFormat="1" ht="22.5" customHeight="1">
      <c r="B27" s="21" t="s">
        <v>5</v>
      </c>
      <c r="C27" s="12" t="s">
        <v>41</v>
      </c>
      <c r="D27" s="13" t="s">
        <v>41</v>
      </c>
      <c r="E27" s="10"/>
      <c r="F27" s="13"/>
      <c r="G27" s="12"/>
      <c r="H27" s="28" t="s">
        <v>41</v>
      </c>
    </row>
    <row r="28" spans="2:8" s="24" customFormat="1" ht="45.75" customHeight="1">
      <c r="B28" s="27" t="s">
        <v>186</v>
      </c>
      <c r="C28" s="12" t="s">
        <v>55</v>
      </c>
      <c r="D28" s="13" t="s">
        <v>89</v>
      </c>
      <c r="E28" s="10" t="s">
        <v>189</v>
      </c>
      <c r="F28" s="13"/>
      <c r="G28" s="12"/>
      <c r="H28" s="28" t="s">
        <v>55</v>
      </c>
    </row>
    <row r="29" spans="2:8" s="24" customFormat="1" ht="48" customHeight="1">
      <c r="B29" s="27" t="s">
        <v>187</v>
      </c>
      <c r="C29" s="12"/>
      <c r="D29" s="13"/>
      <c r="E29" s="10" t="s">
        <v>188</v>
      </c>
      <c r="F29" s="13"/>
      <c r="G29" s="12"/>
      <c r="H29" s="28"/>
    </row>
    <row r="30" spans="2:8" s="24" customFormat="1" ht="22.5" customHeight="1">
      <c r="B30" s="21" t="s">
        <v>48</v>
      </c>
      <c r="C30" s="12" t="s">
        <v>21</v>
      </c>
      <c r="D30" s="12" t="s">
        <v>21</v>
      </c>
      <c r="E30" s="10"/>
      <c r="F30" s="12"/>
      <c r="G30" s="12" t="s">
        <v>21</v>
      </c>
      <c r="H30" s="28" t="s">
        <v>51</v>
      </c>
    </row>
    <row r="31" spans="2:8" s="24" customFormat="1" ht="22.5" customHeight="1">
      <c r="B31" s="21" t="s">
        <v>49</v>
      </c>
      <c r="C31" s="12" t="s">
        <v>21</v>
      </c>
      <c r="D31" s="12" t="s">
        <v>21</v>
      </c>
      <c r="E31" s="10"/>
      <c r="F31" s="12"/>
      <c r="G31" s="12" t="s">
        <v>21</v>
      </c>
      <c r="H31" s="28" t="s">
        <v>52</v>
      </c>
    </row>
    <row r="32" spans="2:8" s="24" customFormat="1" ht="22.5" customHeight="1">
      <c r="B32" s="21" t="s">
        <v>50</v>
      </c>
      <c r="C32" s="12" t="s">
        <v>21</v>
      </c>
      <c r="D32" s="12" t="s">
        <v>21</v>
      </c>
      <c r="E32" s="10"/>
      <c r="F32" s="12"/>
      <c r="G32" s="12" t="s">
        <v>21</v>
      </c>
      <c r="H32" s="28" t="s">
        <v>52</v>
      </c>
    </row>
    <row r="33" spans="2:8" s="24" customFormat="1" ht="22.5" hidden="1" customHeight="1">
      <c r="B33" s="21" t="s">
        <v>6</v>
      </c>
      <c r="C33" s="16" t="s">
        <v>11</v>
      </c>
      <c r="D33" s="20"/>
      <c r="E33" s="169"/>
      <c r="F33" s="20"/>
      <c r="G33" s="12"/>
      <c r="H33" s="29" t="s">
        <v>11</v>
      </c>
    </row>
    <row r="34" spans="2:8" s="24" customFormat="1" ht="22.5" customHeight="1">
      <c r="B34" s="25" t="s">
        <v>56</v>
      </c>
      <c r="C34" s="13" t="s">
        <v>90</v>
      </c>
      <c r="D34" s="13" t="s">
        <v>90</v>
      </c>
      <c r="E34" s="13" t="s">
        <v>190</v>
      </c>
      <c r="F34" s="13"/>
      <c r="G34" s="12"/>
      <c r="H34" s="30" t="s">
        <v>57</v>
      </c>
    </row>
    <row r="35" spans="2:8" s="24" customFormat="1" ht="22.5" customHeight="1">
      <c r="B35" s="21" t="s">
        <v>7</v>
      </c>
      <c r="C35" s="12" t="s">
        <v>8</v>
      </c>
      <c r="D35" s="12" t="s">
        <v>8</v>
      </c>
      <c r="E35" s="12" t="s">
        <v>8</v>
      </c>
      <c r="F35" s="12"/>
      <c r="G35" s="12"/>
      <c r="H35" s="28"/>
    </row>
    <row r="36" spans="2:8" s="24" customFormat="1" ht="22.5" hidden="1" customHeight="1">
      <c r="B36" s="21" t="s">
        <v>12</v>
      </c>
      <c r="C36" s="12" t="s">
        <v>16</v>
      </c>
      <c r="D36" s="12" t="s">
        <v>16</v>
      </c>
      <c r="E36" s="12" t="s">
        <v>16</v>
      </c>
      <c r="F36" s="12"/>
      <c r="G36" s="12"/>
      <c r="H36" s="28"/>
    </row>
    <row r="37" spans="2:8" s="24" customFormat="1" ht="22.5" customHeight="1">
      <c r="B37" s="21" t="s">
        <v>9</v>
      </c>
      <c r="C37" s="12" t="s">
        <v>76</v>
      </c>
      <c r="D37" s="12" t="s">
        <v>76</v>
      </c>
      <c r="E37" s="12" t="s">
        <v>76</v>
      </c>
      <c r="F37" s="12"/>
      <c r="G37" s="12"/>
      <c r="H37" s="28"/>
    </row>
    <row r="38" spans="2:8" s="24" customFormat="1">
      <c r="B38" s="25" t="s">
        <v>20</v>
      </c>
      <c r="C38" s="12" t="s">
        <v>84</v>
      </c>
      <c r="D38" s="12" t="s">
        <v>84</v>
      </c>
      <c r="E38" s="12" t="s">
        <v>84</v>
      </c>
      <c r="F38" s="12"/>
      <c r="G38" s="12"/>
      <c r="H38" s="13" t="s">
        <v>84</v>
      </c>
    </row>
    <row r="39" spans="2:8" s="24" customFormat="1" ht="33.75">
      <c r="B39" s="27" t="s">
        <v>44</v>
      </c>
      <c r="C39" s="12" t="s">
        <v>78</v>
      </c>
      <c r="D39" s="13" t="s">
        <v>91</v>
      </c>
      <c r="E39" s="13" t="s">
        <v>191</v>
      </c>
      <c r="F39" s="13"/>
      <c r="G39" s="12"/>
      <c r="H39" s="28" t="s">
        <v>46</v>
      </c>
    </row>
    <row r="40" spans="2:8" s="24" customFormat="1" ht="33.75">
      <c r="B40" s="27" t="s">
        <v>45</v>
      </c>
      <c r="C40" s="12" t="s">
        <v>77</v>
      </c>
      <c r="D40" s="13" t="s">
        <v>92</v>
      </c>
      <c r="E40" s="13" t="s">
        <v>192</v>
      </c>
      <c r="F40" s="13"/>
      <c r="G40" s="12"/>
      <c r="H40" s="28" t="s">
        <v>47</v>
      </c>
    </row>
    <row r="41" spans="2:8">
      <c r="C41" s="4"/>
      <c r="D41" s="4"/>
      <c r="E41" s="170"/>
      <c r="F41" s="4"/>
      <c r="G41" s="24"/>
    </row>
    <row r="42" spans="2:8">
      <c r="G42" s="24"/>
    </row>
  </sheetData>
  <phoneticPr fontId="2" type="noConversion"/>
  <pageMargins left="0.7" right="0.7" top="0.75" bottom="0.75" header="0.3" footer="0.3"/>
  <pageSetup paperSize="9" orientation="portrait" verticalDpi="0"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0E99-964E-4858-87B6-4B97C94A270F}">
  <dimension ref="A1:AH80"/>
  <sheetViews>
    <sheetView showGridLines="0" topLeftCell="R13" zoomScale="282" zoomScaleNormal="282" workbookViewId="0">
      <selection activeCell="V17" sqref="V17"/>
    </sheetView>
  </sheetViews>
  <sheetFormatPr defaultColWidth="8.625" defaultRowHeight="15.75"/>
  <cols>
    <col min="1" max="8" width="8.625" style="33"/>
    <col min="9" max="9" width="8.625" style="33" customWidth="1"/>
    <col min="10" max="19" width="8.625" style="33"/>
    <col min="20" max="20" width="8.6875" style="34" customWidth="1"/>
    <col min="21" max="30" width="8.6875" style="182" customWidth="1"/>
    <col min="31" max="31" width="10.1875" style="33" bestFit="1" customWidth="1"/>
    <col min="32" max="32" width="11.6875" style="33" bestFit="1" customWidth="1"/>
    <col min="33" max="34" width="8.625" style="33" customWidth="1"/>
    <col min="35" max="16384" width="8.625" style="33"/>
  </cols>
  <sheetData>
    <row r="1" spans="1:34" ht="25.5" customHeight="1">
      <c r="B1" s="173" t="s">
        <v>103</v>
      </c>
      <c r="C1" s="173"/>
      <c r="D1" s="173"/>
      <c r="E1" s="173"/>
      <c r="F1" s="173"/>
      <c r="G1" s="173"/>
      <c r="H1" s="173"/>
      <c r="I1" s="173"/>
      <c r="J1" s="173"/>
      <c r="K1" s="173"/>
      <c r="L1" s="173"/>
      <c r="M1" s="173"/>
      <c r="N1" s="173" t="s">
        <v>108</v>
      </c>
      <c r="O1" s="173"/>
      <c r="P1" s="173"/>
      <c r="Q1" s="173"/>
      <c r="R1" s="173"/>
      <c r="S1" s="173"/>
    </row>
    <row r="2" spans="1:34" ht="16.25" customHeight="1">
      <c r="A2" s="222"/>
      <c r="B2" s="226" t="s">
        <v>104</v>
      </c>
      <c r="C2" s="227"/>
      <c r="D2" s="227"/>
      <c r="E2" s="227"/>
      <c r="F2" s="227"/>
      <c r="G2" s="227"/>
      <c r="H2" s="224" t="s">
        <v>105</v>
      </c>
      <c r="I2" s="224"/>
      <c r="J2" s="224"/>
      <c r="K2" s="224"/>
      <c r="L2" s="225" t="s">
        <v>106</v>
      </c>
      <c r="M2" s="224"/>
      <c r="N2" s="224"/>
      <c r="O2" s="224"/>
      <c r="P2" s="225" t="s">
        <v>107</v>
      </c>
      <c r="Q2" s="224"/>
      <c r="R2" s="224"/>
      <c r="S2" s="224"/>
      <c r="T2" s="172"/>
      <c r="U2" s="183"/>
      <c r="V2" s="183"/>
      <c r="W2" s="183"/>
      <c r="X2" s="183"/>
      <c r="Y2" s="183"/>
      <c r="Z2" s="183"/>
      <c r="AA2" s="183"/>
      <c r="AB2" s="183"/>
      <c r="AC2" s="183"/>
      <c r="AD2" s="183"/>
      <c r="AE2" s="35"/>
      <c r="AF2" s="35"/>
      <c r="AG2" s="35"/>
    </row>
    <row r="3" spans="1:34">
      <c r="A3" s="223"/>
      <c r="B3" s="179" t="s">
        <v>109</v>
      </c>
      <c r="C3" s="37" t="s">
        <v>110</v>
      </c>
      <c r="D3" s="37"/>
      <c r="E3" s="37"/>
      <c r="F3" s="37" t="s">
        <v>111</v>
      </c>
      <c r="G3" s="37" t="s">
        <v>112</v>
      </c>
      <c r="H3" s="174" t="s">
        <v>109</v>
      </c>
      <c r="I3" s="37" t="s">
        <v>110</v>
      </c>
      <c r="J3" s="37" t="s">
        <v>111</v>
      </c>
      <c r="K3" s="38" t="s">
        <v>112</v>
      </c>
      <c r="L3" s="36" t="s">
        <v>109</v>
      </c>
      <c r="M3" s="37" t="s">
        <v>110</v>
      </c>
      <c r="N3" s="37" t="s">
        <v>111</v>
      </c>
      <c r="O3" s="38" t="s">
        <v>112</v>
      </c>
      <c r="P3" s="36" t="s">
        <v>109</v>
      </c>
      <c r="Q3" s="37" t="s">
        <v>110</v>
      </c>
      <c r="R3" s="37" t="s">
        <v>111</v>
      </c>
      <c r="S3" s="38" t="s">
        <v>112</v>
      </c>
      <c r="T3" s="39"/>
      <c r="U3" s="228" t="s">
        <v>195</v>
      </c>
      <c r="V3" s="220"/>
      <c r="W3" s="220"/>
      <c r="X3" s="220"/>
      <c r="Y3" s="220" t="s">
        <v>194</v>
      </c>
      <c r="Z3" s="220"/>
      <c r="AA3" s="220"/>
      <c r="AB3" s="220" t="s">
        <v>196</v>
      </c>
      <c r="AC3" s="220"/>
      <c r="AD3" s="220"/>
      <c r="AH3" s="40"/>
    </row>
    <row r="4" spans="1:34" ht="16.899999999999999">
      <c r="A4" s="41">
        <v>1</v>
      </c>
      <c r="B4" s="180">
        <f>HEX2DEC(F4) * 0.004</f>
        <v>0.188</v>
      </c>
      <c r="C4" s="43">
        <f>HEX2DEC(G4) * 0.004</f>
        <v>7.2000000000000008E-2</v>
      </c>
      <c r="D4" s="210">
        <v>0.225711320901711</v>
      </c>
      <c r="E4" s="210">
        <v>9.1868034709733398E-2</v>
      </c>
      <c r="F4" s="44" t="s">
        <v>113</v>
      </c>
      <c r="G4" s="44">
        <v>12</v>
      </c>
      <c r="H4" s="175">
        <f>HEX2DEC(J4) * 0.004</f>
        <v>0.16400000000000001</v>
      </c>
      <c r="I4" s="46">
        <f>HEX2DEC(K4) * 0.004</f>
        <v>7.2000000000000008E-2</v>
      </c>
      <c r="J4" s="47">
        <v>29</v>
      </c>
      <c r="K4" s="48">
        <v>12</v>
      </c>
      <c r="L4" s="42">
        <f>HEX2DEC(N4) * 0.004</f>
        <v>0.16800000000000001</v>
      </c>
      <c r="M4" s="43">
        <f>HEX2DEC(O4) * 0.004</f>
        <v>7.2000000000000008E-2</v>
      </c>
      <c r="N4" s="49" t="s">
        <v>114</v>
      </c>
      <c r="O4" s="50">
        <v>12</v>
      </c>
      <c r="P4" s="45">
        <f>HEX2DEC(R4) * 0.004</f>
        <v>0.16800000000000001</v>
      </c>
      <c r="Q4" s="46">
        <f>HEX2DEC(S4) * 0.004</f>
        <v>6.8000000000000005E-2</v>
      </c>
      <c r="R4" s="47" t="s">
        <v>114</v>
      </c>
      <c r="S4" s="48">
        <v>11</v>
      </c>
      <c r="T4" s="51"/>
      <c r="U4" s="182">
        <v>1</v>
      </c>
      <c r="V4" s="182">
        <v>70</v>
      </c>
      <c r="W4" s="182">
        <v>1</v>
      </c>
      <c r="X4" s="182">
        <v>185</v>
      </c>
      <c r="Y4" s="182">
        <v>4.8360000000000003</v>
      </c>
      <c r="Z4" s="182">
        <v>0.18099999999999999</v>
      </c>
      <c r="AA4" s="182">
        <v>7.6999999999999999E-2</v>
      </c>
      <c r="AB4" s="182">
        <v>62</v>
      </c>
      <c r="AC4" s="182">
        <v>6</v>
      </c>
      <c r="AD4" s="182">
        <v>180</v>
      </c>
      <c r="AE4" s="33" t="e">
        <f xml:space="preserve"> CONCATENATE(#REF!, ",",#REF!, ",",#REF!)</f>
        <v>#REF!</v>
      </c>
      <c r="AF4" s="33" t="e">
        <f>CONCATENATE("{", AE4, "}", ",")</f>
        <v>#REF!</v>
      </c>
    </row>
    <row r="5" spans="1:34" ht="17.25" customHeight="1">
      <c r="A5" s="41">
        <v>2</v>
      </c>
      <c r="B5" s="180">
        <f t="shared" ref="B5:C68" si="0">HEX2DEC(F5) * 0.004</f>
        <v>0.20400000000000001</v>
      </c>
      <c r="C5" s="43">
        <f t="shared" si="0"/>
        <v>9.1999999999999998E-2</v>
      </c>
      <c r="D5" s="210">
        <v>0.25625195935626499</v>
      </c>
      <c r="E5" s="210">
        <v>0.106766241317997</v>
      </c>
      <c r="F5" s="44">
        <v>33</v>
      </c>
      <c r="G5" s="44">
        <v>17</v>
      </c>
      <c r="H5" s="175">
        <f t="shared" ref="H5:I68" si="1">HEX2DEC(J5) * 0.004</f>
        <v>0.20400000000000001</v>
      </c>
      <c r="I5" s="46">
        <f t="shared" si="1"/>
        <v>9.1999999999999998E-2</v>
      </c>
      <c r="J5" s="47">
        <v>33</v>
      </c>
      <c r="K5" s="48">
        <v>17</v>
      </c>
      <c r="L5" s="42">
        <f t="shared" ref="L5:M68" si="2">HEX2DEC(N5) * 0.004</f>
        <v>0.20400000000000001</v>
      </c>
      <c r="M5" s="43">
        <f t="shared" si="2"/>
        <v>9.1999999999999998E-2</v>
      </c>
      <c r="N5" s="49">
        <v>33</v>
      </c>
      <c r="O5" s="50">
        <v>17</v>
      </c>
      <c r="P5" s="45">
        <f t="shared" ref="P5:Q68" si="3">HEX2DEC(R5) * 0.004</f>
        <v>0.20400000000000001</v>
      </c>
      <c r="Q5" s="46">
        <f t="shared" si="3"/>
        <v>9.1999999999999998E-2</v>
      </c>
      <c r="R5" s="47">
        <v>33</v>
      </c>
      <c r="S5" s="48">
        <v>17</v>
      </c>
      <c r="T5" s="52"/>
      <c r="U5" s="182">
        <v>2</v>
      </c>
      <c r="V5" s="182">
        <v>80</v>
      </c>
      <c r="W5" s="182">
        <v>0</v>
      </c>
      <c r="X5" s="182">
        <v>175</v>
      </c>
      <c r="Y5" s="182">
        <v>4.8</v>
      </c>
      <c r="Z5" s="182">
        <v>0.19400000000000001</v>
      </c>
      <c r="AA5" s="182">
        <v>8.4000000000000005E-2</v>
      </c>
      <c r="AB5" s="182">
        <v>70</v>
      </c>
      <c r="AC5" s="182">
        <v>0</v>
      </c>
      <c r="AD5" s="182">
        <v>170</v>
      </c>
      <c r="AE5" s="33" t="e">
        <f xml:space="preserve"> CONCATENATE(#REF!, ",",#REF!, ",",#REF!)</f>
        <v>#REF!</v>
      </c>
      <c r="AF5" s="33" t="e">
        <f t="shared" ref="AF5:AF68" si="4">CONCATENATE("{", AE5, "}", ",")</f>
        <v>#REF!</v>
      </c>
    </row>
    <row r="6" spans="1:34" ht="16.899999999999999">
      <c r="A6" s="41">
        <v>3</v>
      </c>
      <c r="B6" s="180">
        <f t="shared" si="0"/>
        <v>0.22800000000000001</v>
      </c>
      <c r="C6" s="43">
        <f t="shared" si="0"/>
        <v>0.10400000000000001</v>
      </c>
      <c r="D6" s="210">
        <v>0.28500948641561002</v>
      </c>
      <c r="E6" s="210">
        <v>0.120787241153445</v>
      </c>
      <c r="F6" s="44">
        <v>39</v>
      </c>
      <c r="G6" s="44" t="s">
        <v>115</v>
      </c>
      <c r="H6" s="175">
        <f t="shared" si="1"/>
        <v>0.22800000000000001</v>
      </c>
      <c r="I6" s="46">
        <f t="shared" si="1"/>
        <v>0.10400000000000001</v>
      </c>
      <c r="J6" s="47">
        <v>39</v>
      </c>
      <c r="K6" s="48" t="s">
        <v>115</v>
      </c>
      <c r="L6" s="42">
        <f t="shared" si="2"/>
        <v>0.22800000000000001</v>
      </c>
      <c r="M6" s="43">
        <f t="shared" si="2"/>
        <v>0.10400000000000001</v>
      </c>
      <c r="N6" s="49">
        <v>39</v>
      </c>
      <c r="O6" s="50" t="s">
        <v>115</v>
      </c>
      <c r="P6" s="45">
        <f t="shared" si="3"/>
        <v>0.22800000000000001</v>
      </c>
      <c r="Q6" s="46">
        <f t="shared" si="3"/>
        <v>0.10400000000000001</v>
      </c>
      <c r="R6" s="47">
        <v>39</v>
      </c>
      <c r="S6" s="48" t="s">
        <v>115</v>
      </c>
      <c r="T6" s="53"/>
      <c r="U6" s="182">
        <v>3</v>
      </c>
      <c r="V6" s="182">
        <v>90</v>
      </c>
      <c r="W6" s="182">
        <v>0</v>
      </c>
      <c r="X6" s="182">
        <v>165</v>
      </c>
      <c r="Y6" s="182">
        <v>4.8899999999999997</v>
      </c>
      <c r="Z6" s="182">
        <v>0.21199999999999999</v>
      </c>
      <c r="AA6" s="182">
        <v>9.4E-2</v>
      </c>
      <c r="AB6" s="182">
        <v>78</v>
      </c>
      <c r="AC6" s="182">
        <v>0</v>
      </c>
      <c r="AD6" s="182">
        <v>160</v>
      </c>
      <c r="AE6" s="33" t="e">
        <f xml:space="preserve"> CONCATENATE(#REF!, ",",#REF!, ",",#REF!)</f>
        <v>#REF!</v>
      </c>
      <c r="AF6" s="33" t="e">
        <f t="shared" si="4"/>
        <v>#REF!</v>
      </c>
    </row>
    <row r="7" spans="1:34" ht="16.899999999999999">
      <c r="A7" s="41">
        <v>4</v>
      </c>
      <c r="B7" s="180">
        <f t="shared" si="0"/>
        <v>0.25600000000000001</v>
      </c>
      <c r="C7" s="43">
        <f t="shared" si="0"/>
        <v>0.12</v>
      </c>
      <c r="D7" s="210">
        <v>0.31436659178040799</v>
      </c>
      <c r="E7" s="210">
        <v>0.13509512721893799</v>
      </c>
      <c r="F7" s="44">
        <v>40</v>
      </c>
      <c r="G7" s="44" t="s">
        <v>116</v>
      </c>
      <c r="H7" s="175">
        <f t="shared" si="1"/>
        <v>0.25600000000000001</v>
      </c>
      <c r="I7" s="46">
        <f t="shared" si="1"/>
        <v>0.12</v>
      </c>
      <c r="J7" s="47">
        <v>40</v>
      </c>
      <c r="K7" s="48" t="s">
        <v>116</v>
      </c>
      <c r="L7" s="42">
        <f t="shared" si="2"/>
        <v>0.25600000000000001</v>
      </c>
      <c r="M7" s="43">
        <f t="shared" si="2"/>
        <v>0.12</v>
      </c>
      <c r="N7" s="49">
        <v>40</v>
      </c>
      <c r="O7" s="50" t="s">
        <v>116</v>
      </c>
      <c r="P7" s="45">
        <f t="shared" si="3"/>
        <v>0.25600000000000001</v>
      </c>
      <c r="Q7" s="46">
        <f t="shared" si="3"/>
        <v>0.12</v>
      </c>
      <c r="R7" s="47">
        <v>40</v>
      </c>
      <c r="S7" s="48" t="s">
        <v>116</v>
      </c>
      <c r="T7" s="54"/>
      <c r="U7" s="182">
        <v>4</v>
      </c>
      <c r="V7" s="182">
        <v>101</v>
      </c>
      <c r="W7" s="182">
        <v>0</v>
      </c>
      <c r="X7" s="182">
        <v>155</v>
      </c>
      <c r="Y7" s="182">
        <v>5.133</v>
      </c>
      <c r="Z7" s="182">
        <v>0.23599999999999999</v>
      </c>
      <c r="AA7" s="182">
        <v>0.107</v>
      </c>
      <c r="AB7" s="182">
        <v>87</v>
      </c>
      <c r="AC7" s="182">
        <v>0</v>
      </c>
      <c r="AD7" s="182">
        <v>150</v>
      </c>
      <c r="AE7" s="33" t="e">
        <f xml:space="preserve"> CONCATENATE(#REF!, ",",#REF!, ",",#REF!)</f>
        <v>#REF!</v>
      </c>
      <c r="AF7" s="33" t="e">
        <f t="shared" si="4"/>
        <v>#REF!</v>
      </c>
    </row>
    <row r="8" spans="1:34" ht="16.899999999999999">
      <c r="A8" s="41">
        <v>5</v>
      </c>
      <c r="B8" s="180">
        <f t="shared" si="0"/>
        <v>0.28800000000000003</v>
      </c>
      <c r="C8" s="43">
        <f t="shared" si="0"/>
        <v>0.13600000000000001</v>
      </c>
      <c r="D8" s="210">
        <v>0.34335066927311497</v>
      </c>
      <c r="E8" s="210">
        <v>0.149215575348636</v>
      </c>
      <c r="F8" s="44">
        <v>48</v>
      </c>
      <c r="G8" s="44">
        <v>22</v>
      </c>
      <c r="H8" s="175">
        <f t="shared" si="1"/>
        <v>0.28800000000000003</v>
      </c>
      <c r="I8" s="46">
        <f t="shared" si="1"/>
        <v>0.13600000000000001</v>
      </c>
      <c r="J8" s="47">
        <v>48</v>
      </c>
      <c r="K8" s="48">
        <v>22</v>
      </c>
      <c r="L8" s="42">
        <f t="shared" si="2"/>
        <v>0.27600000000000002</v>
      </c>
      <c r="M8" s="43">
        <f t="shared" si="2"/>
        <v>0.13600000000000001</v>
      </c>
      <c r="N8" s="49">
        <v>45</v>
      </c>
      <c r="O8" s="50">
        <v>22</v>
      </c>
      <c r="P8" s="45">
        <f t="shared" si="3"/>
        <v>0.26800000000000002</v>
      </c>
      <c r="Q8" s="46">
        <f t="shared" si="3"/>
        <v>0.14400000000000002</v>
      </c>
      <c r="R8" s="47">
        <v>43</v>
      </c>
      <c r="S8" s="48">
        <v>24</v>
      </c>
      <c r="T8" s="55"/>
      <c r="U8" s="182">
        <v>5</v>
      </c>
      <c r="V8" s="182">
        <v>111</v>
      </c>
      <c r="W8" s="182">
        <v>0</v>
      </c>
      <c r="X8" s="182">
        <v>145</v>
      </c>
      <c r="Y8" s="182">
        <v>5.4240000000000004</v>
      </c>
      <c r="Z8" s="182">
        <v>0.26300000000000001</v>
      </c>
      <c r="AA8" s="182">
        <v>0.122</v>
      </c>
      <c r="AB8" s="182">
        <v>95</v>
      </c>
      <c r="AC8" s="182">
        <v>0</v>
      </c>
      <c r="AD8" s="182">
        <v>140</v>
      </c>
      <c r="AE8" s="33" t="e">
        <f xml:space="preserve"> CONCATENATE(#REF!, ",",#REF!, ",",#REF!)</f>
        <v>#REF!</v>
      </c>
      <c r="AF8" s="33" t="e">
        <f t="shared" si="4"/>
        <v>#REF!</v>
      </c>
    </row>
    <row r="9" spans="1:34" ht="16.899999999999999">
      <c r="A9" s="41">
        <v>6</v>
      </c>
      <c r="B9" s="180">
        <f t="shared" si="0"/>
        <v>0.32800000000000001</v>
      </c>
      <c r="C9" s="43">
        <f t="shared" si="0"/>
        <v>0.156</v>
      </c>
      <c r="D9" s="210">
        <v>0.37537360210951098</v>
      </c>
      <c r="E9" s="210">
        <v>0.16481444466089801</v>
      </c>
      <c r="F9" s="44">
        <v>52</v>
      </c>
      <c r="G9" s="44">
        <v>27</v>
      </c>
      <c r="H9" s="175">
        <f t="shared" si="1"/>
        <v>0.32800000000000001</v>
      </c>
      <c r="I9" s="46">
        <f t="shared" si="1"/>
        <v>0.156</v>
      </c>
      <c r="J9" s="47">
        <v>52</v>
      </c>
      <c r="K9" s="48">
        <v>27</v>
      </c>
      <c r="L9" s="42">
        <f t="shared" si="2"/>
        <v>0.32800000000000001</v>
      </c>
      <c r="M9" s="43">
        <f t="shared" si="2"/>
        <v>0.156</v>
      </c>
      <c r="N9" s="49">
        <v>52</v>
      </c>
      <c r="O9" s="50">
        <v>27</v>
      </c>
      <c r="P9" s="45">
        <f t="shared" si="3"/>
        <v>0.32800000000000001</v>
      </c>
      <c r="Q9" s="46">
        <f t="shared" si="3"/>
        <v>0.156</v>
      </c>
      <c r="R9" s="47">
        <v>52</v>
      </c>
      <c r="S9" s="48">
        <v>27</v>
      </c>
      <c r="T9" s="56"/>
      <c r="U9" s="182">
        <v>6</v>
      </c>
      <c r="V9" s="182">
        <v>121</v>
      </c>
      <c r="W9" s="182">
        <v>0</v>
      </c>
      <c r="X9" s="182">
        <v>135</v>
      </c>
      <c r="Y9" s="182">
        <v>5.8150000000000004</v>
      </c>
      <c r="Z9" s="182">
        <v>0.29499999999999998</v>
      </c>
      <c r="AA9" s="182">
        <v>0.14000000000000001</v>
      </c>
      <c r="AB9" s="182">
        <v>103</v>
      </c>
      <c r="AC9" s="182">
        <v>0</v>
      </c>
      <c r="AD9" s="182">
        <v>131</v>
      </c>
      <c r="AE9" s="33" t="e">
        <f xml:space="preserve"> CONCATENATE(#REF!, ",",#REF!, ",",#REF!)</f>
        <v>#REF!</v>
      </c>
      <c r="AF9" s="33" t="e">
        <f t="shared" si="4"/>
        <v>#REF!</v>
      </c>
    </row>
    <row r="10" spans="1:34" ht="16.899999999999999">
      <c r="A10" s="41">
        <v>7</v>
      </c>
      <c r="B10" s="180">
        <f t="shared" si="0"/>
        <v>0.36799999999999999</v>
      </c>
      <c r="C10" s="43">
        <f t="shared" si="0"/>
        <v>0.18</v>
      </c>
      <c r="D10" s="210">
        <v>0.40541240182868599</v>
      </c>
      <c r="E10" s="210">
        <v>0.179430568158051</v>
      </c>
      <c r="F10" s="44" t="s">
        <v>117</v>
      </c>
      <c r="G10" s="44" t="s">
        <v>118</v>
      </c>
      <c r="H10" s="175">
        <f t="shared" si="1"/>
        <v>0.36799999999999999</v>
      </c>
      <c r="I10" s="46">
        <f t="shared" si="1"/>
        <v>0.18</v>
      </c>
      <c r="J10" s="47" t="s">
        <v>117</v>
      </c>
      <c r="K10" s="48" t="s">
        <v>118</v>
      </c>
      <c r="L10" s="42">
        <f t="shared" si="2"/>
        <v>0.36799999999999999</v>
      </c>
      <c r="M10" s="43">
        <f t="shared" si="2"/>
        <v>0.18</v>
      </c>
      <c r="N10" s="49" t="s">
        <v>117</v>
      </c>
      <c r="O10" s="50" t="s">
        <v>118</v>
      </c>
      <c r="P10" s="45">
        <f t="shared" si="3"/>
        <v>0.36799999999999999</v>
      </c>
      <c r="Q10" s="46">
        <f t="shared" si="3"/>
        <v>0.18</v>
      </c>
      <c r="R10" s="47" t="s">
        <v>117</v>
      </c>
      <c r="S10" s="48" t="s">
        <v>118</v>
      </c>
      <c r="T10" s="57"/>
      <c r="U10" s="182">
        <v>7</v>
      </c>
      <c r="V10" s="182">
        <v>131</v>
      </c>
      <c r="W10" s="182">
        <v>0</v>
      </c>
      <c r="X10" s="182">
        <v>125</v>
      </c>
      <c r="AE10" s="33" t="e">
        <f xml:space="preserve"> CONCATENATE(#REF!, ",",#REF!, ",",#REF!)</f>
        <v>#REF!</v>
      </c>
      <c r="AF10" s="33" t="e">
        <f t="shared" si="4"/>
        <v>#REF!</v>
      </c>
    </row>
    <row r="11" spans="1:34" ht="16.899999999999999">
      <c r="A11" s="41">
        <v>8</v>
      </c>
      <c r="B11" s="180">
        <f t="shared" si="0"/>
        <v>0.41600000000000004</v>
      </c>
      <c r="C11" s="43">
        <f t="shared" si="0"/>
        <v>0.20800000000000002</v>
      </c>
      <c r="D11" s="210">
        <v>0.44850415490893503</v>
      </c>
      <c r="E11" s="210">
        <v>0.20041107055770199</v>
      </c>
      <c r="F11" s="44">
        <v>68</v>
      </c>
      <c r="G11" s="44">
        <v>34</v>
      </c>
      <c r="H11" s="175">
        <f t="shared" si="1"/>
        <v>0.41600000000000004</v>
      </c>
      <c r="I11" s="46">
        <f t="shared" si="1"/>
        <v>0.20800000000000002</v>
      </c>
      <c r="J11" s="47">
        <v>68</v>
      </c>
      <c r="K11" s="48">
        <v>34</v>
      </c>
      <c r="L11" s="42">
        <f t="shared" si="2"/>
        <v>0.41600000000000004</v>
      </c>
      <c r="M11" s="43">
        <f t="shared" si="2"/>
        <v>0.20800000000000002</v>
      </c>
      <c r="N11" s="49">
        <v>68</v>
      </c>
      <c r="O11" s="50">
        <v>34</v>
      </c>
      <c r="P11" s="45">
        <f t="shared" si="3"/>
        <v>0.41600000000000004</v>
      </c>
      <c r="Q11" s="46">
        <f t="shared" si="3"/>
        <v>0.20800000000000002</v>
      </c>
      <c r="R11" s="47">
        <v>68</v>
      </c>
      <c r="S11" s="48">
        <v>34</v>
      </c>
      <c r="T11" s="58"/>
      <c r="U11" s="182">
        <v>8</v>
      </c>
      <c r="V11" s="182">
        <v>145</v>
      </c>
      <c r="W11" s="182">
        <v>0</v>
      </c>
      <c r="X11" s="182">
        <v>115</v>
      </c>
      <c r="AE11" s="33" t="e">
        <f xml:space="preserve"> CONCATENATE(#REF!, ",",#REF!, ",",#REF!)</f>
        <v>#REF!</v>
      </c>
      <c r="AF11" s="33" t="e">
        <f t="shared" si="4"/>
        <v>#REF!</v>
      </c>
    </row>
    <row r="12" spans="1:34" ht="16.899999999999999">
      <c r="A12" s="41">
        <v>9</v>
      </c>
      <c r="B12" s="180">
        <f t="shared" si="0"/>
        <v>0.48399999999999999</v>
      </c>
      <c r="C12" s="43">
        <f t="shared" si="0"/>
        <v>0.24399999999999999</v>
      </c>
      <c r="D12" s="210">
        <v>0.50687024290100302</v>
      </c>
      <c r="E12" s="210">
        <v>0.22881894793471799</v>
      </c>
      <c r="F12" s="44">
        <v>79</v>
      </c>
      <c r="G12" s="44" t="s">
        <v>119</v>
      </c>
      <c r="H12" s="175">
        <f t="shared" si="1"/>
        <v>0.48399999999999999</v>
      </c>
      <c r="I12" s="46">
        <f t="shared" si="1"/>
        <v>0.24399999999999999</v>
      </c>
      <c r="J12" s="47">
        <v>79</v>
      </c>
      <c r="K12" s="48" t="s">
        <v>119</v>
      </c>
      <c r="L12" s="42">
        <f t="shared" si="2"/>
        <v>0.48399999999999999</v>
      </c>
      <c r="M12" s="43">
        <f t="shared" si="2"/>
        <v>0.24399999999999999</v>
      </c>
      <c r="N12" s="49">
        <v>79</v>
      </c>
      <c r="O12" s="50" t="s">
        <v>119</v>
      </c>
      <c r="P12" s="45">
        <f t="shared" si="3"/>
        <v>0.48399999999999999</v>
      </c>
      <c r="Q12" s="46">
        <f t="shared" si="3"/>
        <v>0.24399999999999999</v>
      </c>
      <c r="R12" s="47">
        <v>79</v>
      </c>
      <c r="S12" s="48" t="s">
        <v>119</v>
      </c>
      <c r="T12" s="59"/>
      <c r="U12" s="182">
        <v>9</v>
      </c>
      <c r="V12" s="182">
        <v>165</v>
      </c>
      <c r="W12" s="182">
        <v>0</v>
      </c>
      <c r="X12" s="182">
        <v>100</v>
      </c>
      <c r="AE12" s="33" t="e">
        <f xml:space="preserve"> CONCATENATE(#REF!, ",",#REF!, ",",#REF!)</f>
        <v>#REF!</v>
      </c>
      <c r="AF12" s="33" t="e">
        <f t="shared" si="4"/>
        <v>#REF!</v>
      </c>
    </row>
    <row r="13" spans="1:34" ht="16.899999999999999">
      <c r="A13" s="41">
        <v>10</v>
      </c>
      <c r="B13" s="180">
        <f t="shared" si="0"/>
        <v>0.54</v>
      </c>
      <c r="C13" s="43">
        <f t="shared" si="0"/>
        <v>0.27600000000000002</v>
      </c>
      <c r="D13" s="210">
        <v>0.55587867876055896</v>
      </c>
      <c r="E13" s="210">
        <v>0.25262129178193299</v>
      </c>
      <c r="F13" s="44">
        <v>87</v>
      </c>
      <c r="G13" s="44">
        <v>45</v>
      </c>
      <c r="H13" s="175">
        <f t="shared" si="1"/>
        <v>0.53200000000000003</v>
      </c>
      <c r="I13" s="46">
        <f t="shared" si="1"/>
        <v>0.27200000000000002</v>
      </c>
      <c r="J13" s="47">
        <v>85</v>
      </c>
      <c r="K13" s="48">
        <v>44</v>
      </c>
      <c r="L13" s="42">
        <f t="shared" si="2"/>
        <v>0.54</v>
      </c>
      <c r="M13" s="43">
        <f t="shared" si="2"/>
        <v>0.27600000000000002</v>
      </c>
      <c r="N13" s="49">
        <v>87</v>
      </c>
      <c r="O13" s="50">
        <v>45</v>
      </c>
      <c r="P13" s="45">
        <f t="shared" si="3"/>
        <v>0.52400000000000002</v>
      </c>
      <c r="Q13" s="46">
        <f t="shared" si="3"/>
        <v>0.26800000000000002</v>
      </c>
      <c r="R13" s="47">
        <v>83</v>
      </c>
      <c r="S13" s="48">
        <v>43</v>
      </c>
      <c r="T13" s="60"/>
      <c r="U13" s="182">
        <v>10</v>
      </c>
      <c r="V13" s="182">
        <v>195</v>
      </c>
      <c r="W13" s="182">
        <v>0</v>
      </c>
      <c r="X13" s="182">
        <v>90</v>
      </c>
      <c r="AE13" s="33" t="e">
        <f xml:space="preserve"> CONCATENATE(#REF!, ",",#REF!, ",",#REF!)</f>
        <v>#REF!</v>
      </c>
      <c r="AF13" s="33" t="e">
        <f t="shared" si="4"/>
        <v>#REF!</v>
      </c>
    </row>
    <row r="14" spans="1:34" ht="16.899999999999999">
      <c r="A14" s="41">
        <v>11</v>
      </c>
      <c r="B14" s="180">
        <f t="shared" si="0"/>
        <v>0.59199999999999997</v>
      </c>
      <c r="C14" s="43">
        <f t="shared" si="0"/>
        <v>0.30399999999999999</v>
      </c>
      <c r="D14" s="210">
        <v>0.60518135477117996</v>
      </c>
      <c r="E14" s="210">
        <v>0.27656153210652401</v>
      </c>
      <c r="F14" s="44">
        <v>94</v>
      </c>
      <c r="G14" s="44" t="s">
        <v>120</v>
      </c>
      <c r="H14" s="175">
        <f t="shared" si="1"/>
        <v>0.59199999999999997</v>
      </c>
      <c r="I14" s="46">
        <f t="shared" si="1"/>
        <v>0.30399999999999999</v>
      </c>
      <c r="J14" s="47">
        <v>94</v>
      </c>
      <c r="K14" s="48" t="s">
        <v>120</v>
      </c>
      <c r="L14" s="42">
        <f t="shared" si="2"/>
        <v>0.59199999999999997</v>
      </c>
      <c r="M14" s="43">
        <f t="shared" si="2"/>
        <v>0.30399999999999999</v>
      </c>
      <c r="N14" s="49">
        <v>94</v>
      </c>
      <c r="O14" s="50" t="s">
        <v>120</v>
      </c>
      <c r="P14" s="45">
        <f t="shared" si="3"/>
        <v>0.59199999999999997</v>
      </c>
      <c r="Q14" s="46">
        <f t="shared" si="3"/>
        <v>0.30399999999999999</v>
      </c>
      <c r="R14" s="47">
        <v>94</v>
      </c>
      <c r="S14" s="48" t="s">
        <v>120</v>
      </c>
      <c r="T14" s="61"/>
      <c r="U14" s="182">
        <v>11</v>
      </c>
      <c r="V14" s="182">
        <v>220</v>
      </c>
      <c r="W14" s="182">
        <v>0</v>
      </c>
      <c r="X14" s="182">
        <v>70</v>
      </c>
      <c r="AE14" s="33" t="e">
        <f xml:space="preserve"> CONCATENATE(#REF!, ",",#REF!, ",",#REF!)</f>
        <v>#REF!</v>
      </c>
      <c r="AF14" s="33" t="e">
        <f t="shared" si="4"/>
        <v>#REF!</v>
      </c>
    </row>
    <row r="15" spans="1:34" ht="16.899999999999999">
      <c r="A15" s="41">
        <v>12</v>
      </c>
      <c r="B15" s="180">
        <f t="shared" si="0"/>
        <v>0.61599999999999999</v>
      </c>
      <c r="C15" s="43">
        <f t="shared" si="0"/>
        <v>0.316</v>
      </c>
      <c r="D15" s="210">
        <v>0.64459258559449795</v>
      </c>
      <c r="E15" s="210">
        <v>0.29573256393977698</v>
      </c>
      <c r="F15" s="44" t="s">
        <v>121</v>
      </c>
      <c r="G15" s="44" t="s">
        <v>122</v>
      </c>
      <c r="H15" s="175">
        <f t="shared" si="1"/>
        <v>0.61599999999999999</v>
      </c>
      <c r="I15" s="46">
        <f t="shared" si="1"/>
        <v>0.316</v>
      </c>
      <c r="J15" s="47" t="s">
        <v>121</v>
      </c>
      <c r="K15" s="48" t="s">
        <v>122</v>
      </c>
      <c r="L15" s="42">
        <f t="shared" si="2"/>
        <v>0.61599999999999999</v>
      </c>
      <c r="M15" s="43">
        <f t="shared" si="2"/>
        <v>0.316</v>
      </c>
      <c r="N15" s="49" t="s">
        <v>121</v>
      </c>
      <c r="O15" s="50" t="s">
        <v>122</v>
      </c>
      <c r="P15" s="45">
        <f t="shared" si="3"/>
        <v>0.61599999999999999</v>
      </c>
      <c r="Q15" s="46">
        <f t="shared" si="3"/>
        <v>0.316</v>
      </c>
      <c r="R15" s="47" t="s">
        <v>121</v>
      </c>
      <c r="S15" s="48" t="s">
        <v>122</v>
      </c>
      <c r="T15" s="62"/>
      <c r="U15" s="182">
        <v>12</v>
      </c>
      <c r="V15" s="182">
        <v>230</v>
      </c>
      <c r="W15" s="182">
        <v>0</v>
      </c>
      <c r="X15" s="182">
        <v>50</v>
      </c>
      <c r="AE15" s="33" t="e">
        <f xml:space="preserve"> CONCATENATE(#REF!, ",",#REF!, ",",#REF!)</f>
        <v>#REF!</v>
      </c>
      <c r="AF15" s="33" t="e">
        <f t="shared" si="4"/>
        <v>#REF!</v>
      </c>
    </row>
    <row r="16" spans="1:34" ht="16.899999999999999">
      <c r="A16" s="41">
        <v>13</v>
      </c>
      <c r="B16" s="180">
        <f t="shared" si="0"/>
        <v>0.63200000000000001</v>
      </c>
      <c r="C16" s="43">
        <f t="shared" si="0"/>
        <v>0.32800000000000001</v>
      </c>
      <c r="D16" s="210">
        <v>0.670342638092568</v>
      </c>
      <c r="E16" s="210">
        <v>0.30825446755918401</v>
      </c>
      <c r="F16" s="44" t="s">
        <v>123</v>
      </c>
      <c r="G16" s="44">
        <v>52</v>
      </c>
      <c r="H16" s="175">
        <f t="shared" si="1"/>
        <v>0.63200000000000001</v>
      </c>
      <c r="I16" s="46">
        <f t="shared" si="1"/>
        <v>0.32800000000000001</v>
      </c>
      <c r="J16" s="47" t="s">
        <v>123</v>
      </c>
      <c r="K16" s="48">
        <v>52</v>
      </c>
      <c r="L16" s="42">
        <f t="shared" si="2"/>
        <v>0.63200000000000001</v>
      </c>
      <c r="M16" s="43">
        <f t="shared" si="2"/>
        <v>0.32800000000000001</v>
      </c>
      <c r="N16" s="49" t="s">
        <v>123</v>
      </c>
      <c r="O16" s="50">
        <v>52</v>
      </c>
      <c r="P16" s="45">
        <f t="shared" si="3"/>
        <v>0.63200000000000001</v>
      </c>
      <c r="Q16" s="46">
        <f t="shared" si="3"/>
        <v>0.32800000000000001</v>
      </c>
      <c r="R16" s="47" t="s">
        <v>123</v>
      </c>
      <c r="S16" s="48">
        <v>52</v>
      </c>
      <c r="T16" s="63"/>
      <c r="U16" s="182">
        <v>13</v>
      </c>
      <c r="V16" s="182">
        <v>240</v>
      </c>
      <c r="W16" s="182">
        <v>0</v>
      </c>
      <c r="X16" s="182">
        <v>30</v>
      </c>
      <c r="AE16" s="33" t="e">
        <f xml:space="preserve"> CONCATENATE(#REF!, ",",#REF!, ",",#REF!)</f>
        <v>#REF!</v>
      </c>
      <c r="AF16" s="33" t="e">
        <f t="shared" si="4"/>
        <v>#REF!</v>
      </c>
    </row>
    <row r="17" spans="1:33" ht="16.899999999999999">
      <c r="A17" s="41">
        <v>14</v>
      </c>
      <c r="B17" s="180">
        <f t="shared" si="0"/>
        <v>0.64</v>
      </c>
      <c r="C17" s="43">
        <f t="shared" si="0"/>
        <v>0.32400000000000001</v>
      </c>
      <c r="D17" s="210">
        <v>0.68387316189907599</v>
      </c>
      <c r="E17" s="210">
        <v>0.31477384018454402</v>
      </c>
      <c r="F17" s="44" t="s">
        <v>124</v>
      </c>
      <c r="G17" s="44">
        <v>51</v>
      </c>
      <c r="H17" s="175">
        <f t="shared" si="1"/>
        <v>0.64</v>
      </c>
      <c r="I17" s="46">
        <f t="shared" si="1"/>
        <v>0.32400000000000001</v>
      </c>
      <c r="J17" s="47" t="s">
        <v>124</v>
      </c>
      <c r="K17" s="48">
        <v>51</v>
      </c>
      <c r="L17" s="42">
        <f t="shared" si="2"/>
        <v>0.64</v>
      </c>
      <c r="M17" s="43">
        <f t="shared" si="2"/>
        <v>0.32400000000000001</v>
      </c>
      <c r="N17" s="49" t="s">
        <v>124</v>
      </c>
      <c r="O17" s="50">
        <v>51</v>
      </c>
      <c r="P17" s="45">
        <f t="shared" si="3"/>
        <v>0.64</v>
      </c>
      <c r="Q17" s="46">
        <f t="shared" si="3"/>
        <v>0.32400000000000001</v>
      </c>
      <c r="R17" s="47" t="s">
        <v>124</v>
      </c>
      <c r="S17" s="48">
        <v>51</v>
      </c>
      <c r="T17" s="64"/>
      <c r="U17" s="182">
        <v>14</v>
      </c>
      <c r="V17" s="182">
        <v>245</v>
      </c>
      <c r="W17" s="182">
        <v>0</v>
      </c>
      <c r="X17" s="182">
        <v>15</v>
      </c>
      <c r="AE17" s="33" t="e">
        <f xml:space="preserve"> CONCATENATE(#REF!, ",",#REF!, ",",#REF!)</f>
        <v>#REF!</v>
      </c>
      <c r="AF17" s="33" t="e">
        <f t="shared" si="4"/>
        <v>#REF!</v>
      </c>
    </row>
    <row r="18" spans="1:33" ht="16.899999999999999">
      <c r="A18" s="41">
        <v>15</v>
      </c>
      <c r="B18" s="180">
        <f t="shared" si="0"/>
        <v>0.64</v>
      </c>
      <c r="C18" s="43">
        <f t="shared" si="0"/>
        <v>0.32800000000000001</v>
      </c>
      <c r="D18" s="210">
        <v>0.68507743535182297</v>
      </c>
      <c r="E18" s="210">
        <v>0.31526617335335499</v>
      </c>
      <c r="F18" s="44" t="s">
        <v>124</v>
      </c>
      <c r="G18" s="44">
        <v>52</v>
      </c>
      <c r="H18" s="175">
        <f t="shared" si="1"/>
        <v>0.64</v>
      </c>
      <c r="I18" s="46">
        <f t="shared" si="1"/>
        <v>0.32800000000000001</v>
      </c>
      <c r="J18" s="47" t="s">
        <v>124</v>
      </c>
      <c r="K18" s="48">
        <v>52</v>
      </c>
      <c r="L18" s="42">
        <f t="shared" si="2"/>
        <v>0.64</v>
      </c>
      <c r="M18" s="43">
        <f t="shared" si="2"/>
        <v>0.32800000000000001</v>
      </c>
      <c r="N18" s="49" t="s">
        <v>124</v>
      </c>
      <c r="O18" s="50">
        <v>52</v>
      </c>
      <c r="P18" s="45">
        <f t="shared" si="3"/>
        <v>0.64</v>
      </c>
      <c r="Q18" s="46">
        <f t="shared" si="3"/>
        <v>0.32800000000000001</v>
      </c>
      <c r="R18" s="47" t="s">
        <v>124</v>
      </c>
      <c r="S18" s="48">
        <v>52</v>
      </c>
      <c r="T18" s="65"/>
      <c r="U18" s="182">
        <v>15</v>
      </c>
      <c r="V18" s="182">
        <v>255</v>
      </c>
      <c r="W18" s="182">
        <v>0</v>
      </c>
      <c r="X18" s="182">
        <v>5</v>
      </c>
      <c r="AE18" s="33" t="e">
        <f xml:space="preserve"> CONCATENATE(#REF!, ",",#REF!, ",",#REF!)</f>
        <v>#REF!</v>
      </c>
      <c r="AF18" s="33" t="e">
        <f t="shared" si="4"/>
        <v>#REF!</v>
      </c>
    </row>
    <row r="19" spans="1:33" ht="16.899999999999999">
      <c r="A19" s="41">
        <v>16</v>
      </c>
      <c r="B19" s="180">
        <f t="shared" si="0"/>
        <v>0.64</v>
      </c>
      <c r="C19" s="43">
        <f t="shared" si="0"/>
        <v>0.33200000000000002</v>
      </c>
      <c r="D19" s="210">
        <v>0.68508750114384598</v>
      </c>
      <c r="E19" s="210">
        <v>0.31525439856450499</v>
      </c>
      <c r="F19" s="44" t="s">
        <v>124</v>
      </c>
      <c r="G19" s="44">
        <v>53</v>
      </c>
      <c r="H19" s="175">
        <f t="shared" si="1"/>
        <v>0.64</v>
      </c>
      <c r="I19" s="46">
        <f t="shared" si="1"/>
        <v>0.33200000000000002</v>
      </c>
      <c r="J19" s="47" t="s">
        <v>124</v>
      </c>
      <c r="K19" s="48">
        <v>53</v>
      </c>
      <c r="L19" s="42">
        <f t="shared" si="2"/>
        <v>0.64</v>
      </c>
      <c r="M19" s="43">
        <f t="shared" si="2"/>
        <v>0.33200000000000002</v>
      </c>
      <c r="N19" s="49" t="s">
        <v>124</v>
      </c>
      <c r="O19" s="50">
        <v>53</v>
      </c>
      <c r="P19" s="45">
        <f t="shared" si="3"/>
        <v>0.64</v>
      </c>
      <c r="Q19" s="46">
        <f t="shared" si="3"/>
        <v>0.33200000000000002</v>
      </c>
      <c r="R19" s="47" t="s">
        <v>124</v>
      </c>
      <c r="S19" s="48">
        <v>53</v>
      </c>
      <c r="T19" s="66"/>
      <c r="U19" s="182">
        <v>16</v>
      </c>
      <c r="V19" s="182">
        <v>255</v>
      </c>
      <c r="W19" s="182">
        <v>10</v>
      </c>
      <c r="X19" s="182">
        <v>0</v>
      </c>
      <c r="AE19" s="33" t="e">
        <f xml:space="preserve"> CONCATENATE(#REF!, ",",#REF!, ",",#REF!)</f>
        <v>#REF!</v>
      </c>
      <c r="AF19" s="33" t="e">
        <f t="shared" si="4"/>
        <v>#REF!</v>
      </c>
    </row>
    <row r="20" spans="1:33" ht="16.899999999999999">
      <c r="A20" s="41">
        <v>17</v>
      </c>
      <c r="B20" s="180">
        <f t="shared" si="0"/>
        <v>0.64</v>
      </c>
      <c r="C20" s="43">
        <f t="shared" si="0"/>
        <v>0.33600000000000002</v>
      </c>
      <c r="D20" s="210">
        <v>0.68509493021400003</v>
      </c>
      <c r="E20" s="210">
        <v>0.31525011580782403</v>
      </c>
      <c r="F20" s="44" t="s">
        <v>124</v>
      </c>
      <c r="G20" s="44">
        <v>54</v>
      </c>
      <c r="H20" s="175">
        <f t="shared" si="1"/>
        <v>0.64</v>
      </c>
      <c r="I20" s="46">
        <f t="shared" si="1"/>
        <v>0.33600000000000002</v>
      </c>
      <c r="J20" s="47" t="s">
        <v>124</v>
      </c>
      <c r="K20" s="48">
        <v>54</v>
      </c>
      <c r="L20" s="42">
        <f t="shared" si="2"/>
        <v>0.64</v>
      </c>
      <c r="M20" s="43">
        <f t="shared" si="2"/>
        <v>0.33600000000000002</v>
      </c>
      <c r="N20" s="49" t="s">
        <v>124</v>
      </c>
      <c r="O20" s="50">
        <v>54</v>
      </c>
      <c r="P20" s="45">
        <f t="shared" si="3"/>
        <v>0.64</v>
      </c>
      <c r="Q20" s="46">
        <f t="shared" si="3"/>
        <v>0.33600000000000002</v>
      </c>
      <c r="R20" s="47" t="s">
        <v>124</v>
      </c>
      <c r="S20" s="48">
        <v>54</v>
      </c>
      <c r="T20" s="67"/>
      <c r="U20" s="182">
        <v>17</v>
      </c>
      <c r="V20" s="182">
        <v>255</v>
      </c>
      <c r="W20" s="182">
        <v>20</v>
      </c>
      <c r="X20" s="182">
        <v>0</v>
      </c>
      <c r="AE20" s="33" t="e">
        <f xml:space="preserve"> CONCATENATE(#REF!, ",",#REF!, ",",#REF!)</f>
        <v>#REF!</v>
      </c>
      <c r="AF20" s="33" t="e">
        <f t="shared" si="4"/>
        <v>#REF!</v>
      </c>
    </row>
    <row r="21" spans="1:33" ht="16.899999999999999">
      <c r="A21" s="41">
        <v>18</v>
      </c>
      <c r="B21" s="180">
        <f t="shared" si="0"/>
        <v>0.63600000000000001</v>
      </c>
      <c r="C21" s="43">
        <f t="shared" si="0"/>
        <v>0.33200000000000002</v>
      </c>
      <c r="D21" s="210">
        <v>0.68509870471394696</v>
      </c>
      <c r="E21" s="210">
        <v>0.315246882343858</v>
      </c>
      <c r="F21" s="44" t="s">
        <v>125</v>
      </c>
      <c r="G21" s="44">
        <v>53</v>
      </c>
      <c r="H21" s="175">
        <f t="shared" si="1"/>
        <v>0.63600000000000001</v>
      </c>
      <c r="I21" s="46">
        <f t="shared" si="1"/>
        <v>0.33200000000000002</v>
      </c>
      <c r="J21" s="47" t="s">
        <v>125</v>
      </c>
      <c r="K21" s="48">
        <v>53</v>
      </c>
      <c r="L21" s="42">
        <f t="shared" si="2"/>
        <v>0.63600000000000001</v>
      </c>
      <c r="M21" s="43">
        <f t="shared" si="2"/>
        <v>0.33200000000000002</v>
      </c>
      <c r="N21" s="49" t="s">
        <v>125</v>
      </c>
      <c r="O21" s="50">
        <v>53</v>
      </c>
      <c r="P21" s="45">
        <f t="shared" si="3"/>
        <v>0.63600000000000001</v>
      </c>
      <c r="Q21" s="46">
        <f t="shared" si="3"/>
        <v>0.33200000000000002</v>
      </c>
      <c r="R21" s="47" t="s">
        <v>125</v>
      </c>
      <c r="S21" s="48">
        <v>53</v>
      </c>
      <c r="T21" s="68"/>
      <c r="U21" s="182">
        <v>18</v>
      </c>
      <c r="V21" s="182">
        <v>255</v>
      </c>
      <c r="W21" s="182">
        <v>30</v>
      </c>
      <c r="X21" s="182">
        <v>0</v>
      </c>
      <c r="AE21" s="33" t="e">
        <f xml:space="preserve"> CONCATENATE(#REF!, ",",#REF!, ",",#REF!)</f>
        <v>#REF!</v>
      </c>
      <c r="AF21" s="33" t="e">
        <f t="shared" si="4"/>
        <v>#REF!</v>
      </c>
    </row>
    <row r="22" spans="1:33" ht="16.899999999999999">
      <c r="A22" s="41">
        <v>19</v>
      </c>
      <c r="B22" s="180">
        <f t="shared" si="0"/>
        <v>0.63200000000000001</v>
      </c>
      <c r="C22" s="43">
        <f t="shared" si="0"/>
        <v>0.33600000000000002</v>
      </c>
      <c r="D22" s="210">
        <v>0.64303333167384702</v>
      </c>
      <c r="E22" s="210">
        <v>0.34635602728355402</v>
      </c>
      <c r="F22" s="44" t="s">
        <v>123</v>
      </c>
      <c r="G22" s="44">
        <v>54</v>
      </c>
      <c r="H22" s="175">
        <f t="shared" si="1"/>
        <v>0.63200000000000001</v>
      </c>
      <c r="I22" s="46">
        <f t="shared" si="1"/>
        <v>0.33600000000000002</v>
      </c>
      <c r="J22" s="47" t="s">
        <v>123</v>
      </c>
      <c r="K22" s="48">
        <v>54</v>
      </c>
      <c r="L22" s="42">
        <f t="shared" si="2"/>
        <v>0.63200000000000001</v>
      </c>
      <c r="M22" s="43">
        <f t="shared" si="2"/>
        <v>0.33600000000000002</v>
      </c>
      <c r="N22" s="49" t="s">
        <v>123</v>
      </c>
      <c r="O22" s="50">
        <v>54</v>
      </c>
      <c r="P22" s="45">
        <f t="shared" si="3"/>
        <v>0.63200000000000001</v>
      </c>
      <c r="Q22" s="46">
        <f t="shared" si="3"/>
        <v>0.33600000000000002</v>
      </c>
      <c r="R22" s="47" t="s">
        <v>123</v>
      </c>
      <c r="S22" s="48">
        <v>54</v>
      </c>
      <c r="T22" s="69"/>
      <c r="U22" s="182">
        <v>19</v>
      </c>
      <c r="V22" s="182">
        <v>255</v>
      </c>
      <c r="W22" s="182">
        <v>40</v>
      </c>
      <c r="X22" s="182">
        <v>0</v>
      </c>
      <c r="AE22" s="33" t="e">
        <f xml:space="preserve"> CONCATENATE(#REF!, ",",#REF!, ",",#REF!)</f>
        <v>#REF!</v>
      </c>
      <c r="AF22" s="33" t="e">
        <f t="shared" si="4"/>
        <v>#REF!</v>
      </c>
    </row>
    <row r="23" spans="1:33" ht="16.899999999999999">
      <c r="A23" s="41">
        <v>20</v>
      </c>
      <c r="B23" s="180">
        <f t="shared" si="0"/>
        <v>0.628</v>
      </c>
      <c r="C23" s="43">
        <f t="shared" si="0"/>
        <v>0.34</v>
      </c>
      <c r="D23" s="210">
        <v>0.635277142268455</v>
      </c>
      <c r="E23" s="210">
        <v>0.35206162766091298</v>
      </c>
      <c r="F23" s="44" t="s">
        <v>126</v>
      </c>
      <c r="G23" s="44">
        <v>55</v>
      </c>
      <c r="H23" s="175">
        <f t="shared" si="1"/>
        <v>0.56400000000000006</v>
      </c>
      <c r="I23" s="46">
        <f t="shared" si="1"/>
        <v>0.34400000000000003</v>
      </c>
      <c r="J23" s="47" t="s">
        <v>127</v>
      </c>
      <c r="K23" s="48">
        <v>56</v>
      </c>
      <c r="L23" s="42">
        <f t="shared" si="2"/>
        <v>0.628</v>
      </c>
      <c r="M23" s="43">
        <f t="shared" si="2"/>
        <v>0.34</v>
      </c>
      <c r="N23" s="49" t="s">
        <v>126</v>
      </c>
      <c r="O23" s="50">
        <v>55</v>
      </c>
      <c r="P23" s="45">
        <f t="shared" si="3"/>
        <v>0.628</v>
      </c>
      <c r="Q23" s="46">
        <f t="shared" si="3"/>
        <v>0.34</v>
      </c>
      <c r="R23" s="47" t="s">
        <v>126</v>
      </c>
      <c r="S23" s="48">
        <v>55</v>
      </c>
      <c r="T23" s="70"/>
      <c r="U23" s="182">
        <v>20</v>
      </c>
      <c r="V23" s="182">
        <v>255</v>
      </c>
      <c r="W23" s="182">
        <v>50</v>
      </c>
      <c r="X23" s="182">
        <v>0</v>
      </c>
      <c r="AE23" s="33" t="e">
        <f xml:space="preserve"> CONCATENATE(#REF!, ",",#REF!, ",",#REF!)</f>
        <v>#REF!</v>
      </c>
      <c r="AF23" s="33" t="e">
        <f t="shared" si="4"/>
        <v>#REF!</v>
      </c>
    </row>
    <row r="24" spans="1:33" ht="16.899999999999999">
      <c r="A24" s="41">
        <v>21</v>
      </c>
      <c r="B24" s="180">
        <f t="shared" si="0"/>
        <v>0.624</v>
      </c>
      <c r="C24" s="43">
        <f t="shared" si="0"/>
        <v>0.34400000000000003</v>
      </c>
      <c r="D24" s="210">
        <v>0.62691255127593604</v>
      </c>
      <c r="E24" s="210">
        <v>0.35822024884284498</v>
      </c>
      <c r="F24" s="44" t="s">
        <v>128</v>
      </c>
      <c r="G24" s="44">
        <v>56</v>
      </c>
      <c r="H24" s="175">
        <f t="shared" si="1"/>
        <v>0.624</v>
      </c>
      <c r="I24" s="46">
        <f t="shared" si="1"/>
        <v>0.34400000000000003</v>
      </c>
      <c r="J24" s="47" t="s">
        <v>128</v>
      </c>
      <c r="K24" s="48">
        <v>56</v>
      </c>
      <c r="L24" s="42">
        <f t="shared" si="2"/>
        <v>0.624</v>
      </c>
      <c r="M24" s="43">
        <f t="shared" si="2"/>
        <v>0.34400000000000003</v>
      </c>
      <c r="N24" s="49" t="s">
        <v>128</v>
      </c>
      <c r="O24" s="50">
        <v>56</v>
      </c>
      <c r="P24" s="45">
        <f t="shared" si="3"/>
        <v>0.624</v>
      </c>
      <c r="Q24" s="46">
        <f t="shared" si="3"/>
        <v>0.34400000000000003</v>
      </c>
      <c r="R24" s="47" t="s">
        <v>128</v>
      </c>
      <c r="S24" s="48">
        <v>56</v>
      </c>
      <c r="T24" s="71"/>
      <c r="U24" s="182">
        <v>21</v>
      </c>
      <c r="V24" s="182">
        <v>255</v>
      </c>
      <c r="W24" s="182">
        <v>60</v>
      </c>
      <c r="X24" s="182">
        <v>0</v>
      </c>
      <c r="AE24" s="33" t="e">
        <f xml:space="preserve"> CONCATENATE(#REF!, ",",#REF!, ",",#REF!)</f>
        <v>#REF!</v>
      </c>
      <c r="AF24" s="33" t="e">
        <f t="shared" si="4"/>
        <v>#REF!</v>
      </c>
    </row>
    <row r="25" spans="1:33" ht="16.899999999999999">
      <c r="A25" s="41">
        <v>22</v>
      </c>
      <c r="B25" s="180">
        <f t="shared" si="0"/>
        <v>0.61599999999999999</v>
      </c>
      <c r="C25" s="43">
        <f t="shared" si="0"/>
        <v>0.35199999999999998</v>
      </c>
      <c r="D25" s="210">
        <v>0.619548123385392</v>
      </c>
      <c r="E25" s="210">
        <v>0.36364428237233698</v>
      </c>
      <c r="F25" s="44" t="s">
        <v>121</v>
      </c>
      <c r="G25" s="44">
        <v>58</v>
      </c>
      <c r="H25" s="175">
        <f t="shared" si="1"/>
        <v>0.61599999999999999</v>
      </c>
      <c r="I25" s="46">
        <f t="shared" si="1"/>
        <v>0.35199999999999998</v>
      </c>
      <c r="J25" s="47" t="s">
        <v>121</v>
      </c>
      <c r="K25" s="48">
        <v>58</v>
      </c>
      <c r="L25" s="42">
        <f t="shared" si="2"/>
        <v>0.61599999999999999</v>
      </c>
      <c r="M25" s="43">
        <f t="shared" si="2"/>
        <v>0.35199999999999998</v>
      </c>
      <c r="N25" s="49" t="s">
        <v>121</v>
      </c>
      <c r="O25" s="50">
        <v>58</v>
      </c>
      <c r="P25" s="45">
        <f t="shared" si="3"/>
        <v>0.61599999999999999</v>
      </c>
      <c r="Q25" s="46">
        <f t="shared" si="3"/>
        <v>0.35199999999999998</v>
      </c>
      <c r="R25" s="47" t="s">
        <v>121</v>
      </c>
      <c r="S25" s="48">
        <v>58</v>
      </c>
      <c r="T25" s="72"/>
      <c r="U25" s="182">
        <v>22</v>
      </c>
      <c r="V25" s="182">
        <v>255</v>
      </c>
      <c r="W25" s="182">
        <v>70</v>
      </c>
      <c r="X25" s="182">
        <v>0</v>
      </c>
      <c r="AE25" s="33" t="e">
        <f xml:space="preserve"> CONCATENATE(#REF!, ",",#REF!, ",",#REF!)</f>
        <v>#REF!</v>
      </c>
      <c r="AF25" s="33" t="e">
        <f t="shared" si="4"/>
        <v>#REF!</v>
      </c>
      <c r="AG25" s="33" t="s">
        <v>129</v>
      </c>
    </row>
    <row r="26" spans="1:33" ht="16.899999999999999">
      <c r="A26" s="41">
        <v>23</v>
      </c>
      <c r="B26" s="180">
        <f t="shared" si="0"/>
        <v>0.60799999999999998</v>
      </c>
      <c r="C26" s="43">
        <f t="shared" si="0"/>
        <v>0.35599999999999998</v>
      </c>
      <c r="D26" s="210">
        <v>0.60833915374683101</v>
      </c>
      <c r="E26" s="210">
        <v>0.37190707257446098</v>
      </c>
      <c r="F26" s="44">
        <v>98</v>
      </c>
      <c r="G26" s="44">
        <v>59</v>
      </c>
      <c r="H26" s="175">
        <f t="shared" si="1"/>
        <v>0.60799999999999998</v>
      </c>
      <c r="I26" s="46">
        <f t="shared" si="1"/>
        <v>0.35599999999999998</v>
      </c>
      <c r="J26" s="47">
        <v>98</v>
      </c>
      <c r="K26" s="48">
        <v>59</v>
      </c>
      <c r="L26" s="42">
        <f t="shared" si="2"/>
        <v>0.60799999999999998</v>
      </c>
      <c r="M26" s="43">
        <f t="shared" si="2"/>
        <v>0.35599999999999998</v>
      </c>
      <c r="N26" s="49">
        <v>98</v>
      </c>
      <c r="O26" s="50">
        <v>59</v>
      </c>
      <c r="P26" s="45">
        <f t="shared" si="3"/>
        <v>0.60799999999999998</v>
      </c>
      <c r="Q26" s="46">
        <f t="shared" si="3"/>
        <v>0.35599999999999998</v>
      </c>
      <c r="R26" s="47">
        <v>98</v>
      </c>
      <c r="S26" s="48">
        <v>59</v>
      </c>
      <c r="T26" s="73"/>
      <c r="U26" s="182">
        <v>23</v>
      </c>
      <c r="V26" s="182">
        <v>255</v>
      </c>
      <c r="W26" s="182">
        <v>80</v>
      </c>
      <c r="X26" s="182">
        <v>0</v>
      </c>
      <c r="AE26" s="33" t="e">
        <f xml:space="preserve"> CONCATENATE(#REF!, ",",#REF!, ",",#REF!)</f>
        <v>#REF!</v>
      </c>
      <c r="AF26" s="33" t="e">
        <f t="shared" si="4"/>
        <v>#REF!</v>
      </c>
    </row>
    <row r="27" spans="1:33" ht="16.899999999999999">
      <c r="A27" s="41">
        <v>24</v>
      </c>
      <c r="B27" s="180">
        <f t="shared" si="0"/>
        <v>0.6</v>
      </c>
      <c r="C27" s="43">
        <f t="shared" si="0"/>
        <v>0.36399999999999999</v>
      </c>
      <c r="D27" s="210">
        <v>0.59745314243122305</v>
      </c>
      <c r="E27" s="210">
        <v>0.379933501071826</v>
      </c>
      <c r="F27" s="44">
        <v>96</v>
      </c>
      <c r="G27" s="44" t="s">
        <v>130</v>
      </c>
      <c r="H27" s="175">
        <f t="shared" si="1"/>
        <v>0.6</v>
      </c>
      <c r="I27" s="46">
        <f t="shared" si="1"/>
        <v>0.36399999999999999</v>
      </c>
      <c r="J27" s="47">
        <v>96</v>
      </c>
      <c r="K27" s="48" t="s">
        <v>130</v>
      </c>
      <c r="L27" s="42">
        <f t="shared" si="2"/>
        <v>0.6</v>
      </c>
      <c r="M27" s="43">
        <f t="shared" si="2"/>
        <v>0.36399999999999999</v>
      </c>
      <c r="N27" s="49">
        <v>96</v>
      </c>
      <c r="O27" s="50" t="s">
        <v>130</v>
      </c>
      <c r="P27" s="45">
        <f t="shared" si="3"/>
        <v>0.6</v>
      </c>
      <c r="Q27" s="46">
        <f t="shared" si="3"/>
        <v>0.36399999999999999</v>
      </c>
      <c r="R27" s="47">
        <v>96</v>
      </c>
      <c r="S27" s="48" t="s">
        <v>130</v>
      </c>
      <c r="T27" s="74"/>
      <c r="U27" s="182">
        <v>24</v>
      </c>
      <c r="V27" s="182">
        <v>255</v>
      </c>
      <c r="W27" s="182">
        <v>90</v>
      </c>
      <c r="X27" s="182">
        <v>0</v>
      </c>
      <c r="AE27" s="33" t="e">
        <f xml:space="preserve"> CONCATENATE(#REF!, ",",#REF!, ",",#REF!)</f>
        <v>#REF!</v>
      </c>
      <c r="AF27" s="33" t="e">
        <f t="shared" si="4"/>
        <v>#REF!</v>
      </c>
    </row>
    <row r="28" spans="1:33" ht="16.899999999999999">
      <c r="A28" s="41">
        <v>25</v>
      </c>
      <c r="B28" s="180">
        <f t="shared" si="0"/>
        <v>0.59199999999999997</v>
      </c>
      <c r="C28" s="43">
        <f t="shared" si="0"/>
        <v>0.372</v>
      </c>
      <c r="D28" s="210">
        <v>0.58310039968974803</v>
      </c>
      <c r="E28" s="210">
        <v>0.39051804637400001</v>
      </c>
      <c r="F28" s="44">
        <v>94</v>
      </c>
      <c r="G28" s="44" t="s">
        <v>131</v>
      </c>
      <c r="H28" s="175">
        <f t="shared" si="1"/>
        <v>0.53200000000000003</v>
      </c>
      <c r="I28" s="46">
        <f t="shared" si="1"/>
        <v>0.41600000000000004</v>
      </c>
      <c r="J28" s="47">
        <v>85</v>
      </c>
      <c r="K28" s="48">
        <v>68</v>
      </c>
      <c r="L28" s="42">
        <f t="shared" si="2"/>
        <v>0.59199999999999997</v>
      </c>
      <c r="M28" s="43">
        <f t="shared" si="2"/>
        <v>0.372</v>
      </c>
      <c r="N28" s="49">
        <v>94</v>
      </c>
      <c r="O28" s="50" t="s">
        <v>131</v>
      </c>
      <c r="P28" s="45">
        <f t="shared" si="3"/>
        <v>0.58399999999999996</v>
      </c>
      <c r="Q28" s="46">
        <f t="shared" si="3"/>
        <v>0.372</v>
      </c>
      <c r="R28" s="47">
        <v>92</v>
      </c>
      <c r="S28" s="48" t="s">
        <v>131</v>
      </c>
      <c r="T28" s="75"/>
      <c r="U28" s="182">
        <v>25</v>
      </c>
      <c r="V28" s="182">
        <v>255</v>
      </c>
      <c r="W28" s="182">
        <v>100</v>
      </c>
      <c r="X28" s="182">
        <v>0</v>
      </c>
      <c r="AE28" s="33" t="e">
        <f xml:space="preserve"> CONCATENATE(#REF!, ",",#REF!, ",",#REF!)</f>
        <v>#REF!</v>
      </c>
      <c r="AF28" s="33" t="e">
        <f t="shared" si="4"/>
        <v>#REF!</v>
      </c>
    </row>
    <row r="29" spans="1:33" ht="16.899999999999999">
      <c r="A29" s="41">
        <v>26</v>
      </c>
      <c r="B29" s="180">
        <f t="shared" si="0"/>
        <v>0.57999999999999996</v>
      </c>
      <c r="C29" s="43">
        <f t="shared" si="0"/>
        <v>0.38400000000000001</v>
      </c>
      <c r="D29" s="210">
        <v>0.57075680449939104</v>
      </c>
      <c r="E29" s="210">
        <v>0.39962450443665498</v>
      </c>
      <c r="F29" s="44">
        <v>91</v>
      </c>
      <c r="G29" s="44">
        <v>60</v>
      </c>
      <c r="H29" s="175">
        <f t="shared" si="1"/>
        <v>0.57999999999999996</v>
      </c>
      <c r="I29" s="46">
        <f t="shared" si="1"/>
        <v>0.38400000000000001</v>
      </c>
      <c r="J29" s="47">
        <v>91</v>
      </c>
      <c r="K29" s="48">
        <v>60</v>
      </c>
      <c r="L29" s="42">
        <f t="shared" si="2"/>
        <v>0.57999999999999996</v>
      </c>
      <c r="M29" s="43">
        <f t="shared" si="2"/>
        <v>0.38400000000000001</v>
      </c>
      <c r="N29" s="49">
        <v>91</v>
      </c>
      <c r="O29" s="50">
        <v>60</v>
      </c>
      <c r="P29" s="45">
        <f t="shared" si="3"/>
        <v>0.57999999999999996</v>
      </c>
      <c r="Q29" s="46">
        <f t="shared" si="3"/>
        <v>0.38400000000000001</v>
      </c>
      <c r="R29" s="47">
        <v>91</v>
      </c>
      <c r="S29" s="48">
        <v>60</v>
      </c>
      <c r="T29" s="76"/>
      <c r="U29" s="182">
        <v>26</v>
      </c>
      <c r="V29" s="182">
        <v>250</v>
      </c>
      <c r="W29" s="182">
        <v>110</v>
      </c>
      <c r="X29" s="182">
        <v>0</v>
      </c>
      <c r="AE29" s="33" t="e">
        <f xml:space="preserve"> CONCATENATE(#REF!, ",",#REF!, ",",#REF!)</f>
        <v>#REF!</v>
      </c>
      <c r="AF29" s="33" t="e">
        <f t="shared" si="4"/>
        <v>#REF!</v>
      </c>
    </row>
    <row r="30" spans="1:33" ht="16.899999999999999">
      <c r="A30" s="41">
        <v>27</v>
      </c>
      <c r="B30" s="180">
        <f t="shared" si="0"/>
        <v>0.56400000000000006</v>
      </c>
      <c r="C30" s="43">
        <f t="shared" si="0"/>
        <v>0.39600000000000002</v>
      </c>
      <c r="D30" s="210">
        <v>0.55279240113088102</v>
      </c>
      <c r="E30" s="210">
        <v>0.41288001029014199</v>
      </c>
      <c r="F30" s="44" t="s">
        <v>127</v>
      </c>
      <c r="G30" s="44">
        <v>63</v>
      </c>
      <c r="H30" s="175">
        <f t="shared" si="1"/>
        <v>0.48799999999999999</v>
      </c>
      <c r="I30" s="46">
        <f t="shared" si="1"/>
        <v>0.45600000000000002</v>
      </c>
      <c r="J30" s="47" t="s">
        <v>132</v>
      </c>
      <c r="K30" s="48">
        <v>72</v>
      </c>
      <c r="L30" s="42">
        <f t="shared" si="2"/>
        <v>0.53600000000000003</v>
      </c>
      <c r="M30" s="43">
        <f t="shared" si="2"/>
        <v>0.40800000000000003</v>
      </c>
      <c r="N30" s="49">
        <v>86</v>
      </c>
      <c r="O30" s="50">
        <v>66</v>
      </c>
      <c r="P30" s="45">
        <f t="shared" si="3"/>
        <v>0.51200000000000001</v>
      </c>
      <c r="Q30" s="46">
        <f t="shared" si="3"/>
        <v>0.41600000000000004</v>
      </c>
      <c r="R30" s="47">
        <v>80</v>
      </c>
      <c r="S30" s="48">
        <v>68</v>
      </c>
      <c r="T30" s="77"/>
      <c r="U30" s="182">
        <v>27</v>
      </c>
      <c r="V30" s="182">
        <v>240</v>
      </c>
      <c r="W30" s="182">
        <v>120</v>
      </c>
      <c r="X30" s="182">
        <v>0</v>
      </c>
      <c r="AE30" s="33" t="e">
        <f xml:space="preserve"> CONCATENATE(#REF!, ",",#REF!, ",",#REF!)</f>
        <v>#REF!</v>
      </c>
      <c r="AF30" s="33" t="e">
        <f t="shared" si="4"/>
        <v>#REF!</v>
      </c>
    </row>
    <row r="31" spans="1:33" ht="16.899999999999999">
      <c r="A31" s="41">
        <v>28</v>
      </c>
      <c r="B31" s="180">
        <f t="shared" si="0"/>
        <v>0.54800000000000004</v>
      </c>
      <c r="C31" s="43">
        <f t="shared" si="0"/>
        <v>0.41200000000000003</v>
      </c>
      <c r="D31" s="210">
        <v>0.53415802068023599</v>
      </c>
      <c r="E31" s="210">
        <v>0.42663525394204299</v>
      </c>
      <c r="F31" s="44">
        <v>89</v>
      </c>
      <c r="G31" s="44">
        <v>67</v>
      </c>
      <c r="H31" s="175">
        <f t="shared" si="1"/>
        <v>0.44</v>
      </c>
      <c r="I31" s="46">
        <f t="shared" si="1"/>
        <v>0.5</v>
      </c>
      <c r="J31" s="47" t="s">
        <v>133</v>
      </c>
      <c r="K31" s="48" t="s">
        <v>134</v>
      </c>
      <c r="L31" s="42">
        <f t="shared" si="2"/>
        <v>0.504</v>
      </c>
      <c r="M31" s="43">
        <f t="shared" si="2"/>
        <v>0.436</v>
      </c>
      <c r="N31" s="49" t="s">
        <v>135</v>
      </c>
      <c r="O31" s="50" t="s">
        <v>136</v>
      </c>
      <c r="P31" s="45">
        <f t="shared" si="3"/>
        <v>0.51200000000000001</v>
      </c>
      <c r="Q31" s="46">
        <f t="shared" si="3"/>
        <v>0.436</v>
      </c>
      <c r="R31" s="47">
        <v>80</v>
      </c>
      <c r="S31" s="48" t="s">
        <v>136</v>
      </c>
      <c r="T31" s="78"/>
      <c r="U31" s="182">
        <v>28</v>
      </c>
      <c r="V31" s="182">
        <v>230</v>
      </c>
      <c r="W31" s="182">
        <v>130</v>
      </c>
      <c r="X31" s="182">
        <v>0</v>
      </c>
      <c r="AE31" s="33" t="e">
        <f xml:space="preserve"> CONCATENATE(#REF!, ",",#REF!, ",",#REF!)</f>
        <v>#REF!</v>
      </c>
      <c r="AF31" s="33" t="e">
        <f t="shared" si="4"/>
        <v>#REF!</v>
      </c>
    </row>
    <row r="32" spans="1:33" ht="16.899999999999999">
      <c r="A32" s="41">
        <v>29</v>
      </c>
      <c r="B32" s="180">
        <f t="shared" si="0"/>
        <v>0.52</v>
      </c>
      <c r="C32" s="43">
        <f t="shared" si="0"/>
        <v>0.436</v>
      </c>
      <c r="D32" s="210">
        <v>0.508464073121497</v>
      </c>
      <c r="E32" s="210">
        <v>0.44559073767603202</v>
      </c>
      <c r="F32" s="44">
        <v>82</v>
      </c>
      <c r="G32" s="44" t="s">
        <v>136</v>
      </c>
      <c r="H32" s="175">
        <f t="shared" si="1"/>
        <v>0.42799999999999999</v>
      </c>
      <c r="I32" s="46">
        <f t="shared" si="1"/>
        <v>0.50800000000000001</v>
      </c>
      <c r="J32" s="47" t="s">
        <v>137</v>
      </c>
      <c r="K32" s="48" t="s">
        <v>138</v>
      </c>
      <c r="L32" s="42">
        <f t="shared" si="2"/>
        <v>0.48</v>
      </c>
      <c r="M32" s="43">
        <f t="shared" si="2"/>
        <v>0.46400000000000002</v>
      </c>
      <c r="N32" s="49">
        <v>78</v>
      </c>
      <c r="O32" s="50">
        <v>74</v>
      </c>
      <c r="P32" s="45">
        <f t="shared" si="3"/>
        <v>0.46800000000000003</v>
      </c>
      <c r="Q32" s="46">
        <f t="shared" si="3"/>
        <v>0.47600000000000003</v>
      </c>
      <c r="R32" s="47">
        <v>75</v>
      </c>
      <c r="S32" s="48">
        <v>77</v>
      </c>
      <c r="T32" s="79"/>
      <c r="U32" s="182">
        <v>29</v>
      </c>
      <c r="V32" s="182">
        <v>215</v>
      </c>
      <c r="W32" s="182">
        <v>140</v>
      </c>
      <c r="X32" s="182">
        <v>0</v>
      </c>
      <c r="AE32" s="33" t="e">
        <f xml:space="preserve"> CONCATENATE(#REF!, ",",#REF!, ",",#REF!)</f>
        <v>#REF!</v>
      </c>
      <c r="AF32" s="33" t="e">
        <f t="shared" si="4"/>
        <v>#REF!</v>
      </c>
    </row>
    <row r="33" spans="1:32" ht="16.899999999999999">
      <c r="A33" s="41">
        <v>30</v>
      </c>
      <c r="B33" s="180">
        <f t="shared" si="0"/>
        <v>0.504</v>
      </c>
      <c r="C33" s="43">
        <f t="shared" si="0"/>
        <v>0.45200000000000001</v>
      </c>
      <c r="D33" s="210">
        <v>0.49565673188252901</v>
      </c>
      <c r="E33" s="210">
        <v>0.45504750354690998</v>
      </c>
      <c r="F33" s="44" t="s">
        <v>135</v>
      </c>
      <c r="G33" s="44">
        <v>71</v>
      </c>
      <c r="H33" s="175">
        <f t="shared" si="1"/>
        <v>0.41200000000000003</v>
      </c>
      <c r="I33" s="46">
        <f t="shared" si="1"/>
        <v>0.53200000000000003</v>
      </c>
      <c r="J33" s="47">
        <v>67</v>
      </c>
      <c r="K33" s="48">
        <v>85</v>
      </c>
      <c r="L33" s="42">
        <f t="shared" si="2"/>
        <v>0.42799999999999999</v>
      </c>
      <c r="M33" s="43">
        <f t="shared" si="2"/>
        <v>0.51200000000000001</v>
      </c>
      <c r="N33" s="49" t="s">
        <v>137</v>
      </c>
      <c r="O33" s="50">
        <v>80</v>
      </c>
      <c r="P33" s="45">
        <f t="shared" si="3"/>
        <v>0.42799999999999999</v>
      </c>
      <c r="Q33" s="46">
        <f t="shared" si="3"/>
        <v>0.51200000000000001</v>
      </c>
      <c r="R33" s="47" t="s">
        <v>137</v>
      </c>
      <c r="S33" s="48">
        <v>80</v>
      </c>
      <c r="T33" s="80"/>
      <c r="U33" s="182">
        <v>30</v>
      </c>
      <c r="V33" s="182">
        <v>210</v>
      </c>
      <c r="W33" s="182">
        <v>150</v>
      </c>
      <c r="X33" s="182">
        <v>0</v>
      </c>
      <c r="AE33" s="33" t="e">
        <f xml:space="preserve"> CONCATENATE(#REF!, ",",#REF!, ",",#REF!)</f>
        <v>#REF!</v>
      </c>
      <c r="AF33" s="33" t="e">
        <f t="shared" si="4"/>
        <v>#REF!</v>
      </c>
    </row>
    <row r="34" spans="1:32" ht="16.899999999999999">
      <c r="A34" s="41">
        <v>31</v>
      </c>
      <c r="B34" s="180">
        <f t="shared" si="0"/>
        <v>0.48399999999999999</v>
      </c>
      <c r="C34" s="43">
        <f t="shared" si="0"/>
        <v>0.46800000000000003</v>
      </c>
      <c r="D34" s="210">
        <v>0.47791060378794498</v>
      </c>
      <c r="E34" s="210">
        <v>0.46814681803560898</v>
      </c>
      <c r="F34" s="44">
        <v>79</v>
      </c>
      <c r="G34" s="44">
        <v>75</v>
      </c>
      <c r="H34" s="175">
        <f t="shared" si="1"/>
        <v>0.40400000000000003</v>
      </c>
      <c r="I34" s="46">
        <f t="shared" si="1"/>
        <v>0.54</v>
      </c>
      <c r="J34" s="47">
        <v>65</v>
      </c>
      <c r="K34" s="48">
        <v>87</v>
      </c>
      <c r="L34" s="42">
        <f t="shared" si="2"/>
        <v>0.42399999999999999</v>
      </c>
      <c r="M34" s="43">
        <f t="shared" si="2"/>
        <v>0.51600000000000001</v>
      </c>
      <c r="N34" s="49" t="s">
        <v>139</v>
      </c>
      <c r="O34" s="50">
        <v>81</v>
      </c>
      <c r="P34" s="45">
        <f t="shared" si="3"/>
        <v>0.41600000000000004</v>
      </c>
      <c r="Q34" s="46">
        <f t="shared" si="3"/>
        <v>0.52400000000000002</v>
      </c>
      <c r="R34" s="47">
        <v>68</v>
      </c>
      <c r="S34" s="48">
        <v>83</v>
      </c>
      <c r="T34" s="81"/>
      <c r="U34" s="182">
        <v>31</v>
      </c>
      <c r="V34" s="182">
        <v>205</v>
      </c>
      <c r="W34" s="182">
        <v>160</v>
      </c>
      <c r="X34" s="182">
        <v>0</v>
      </c>
      <c r="AE34" s="33" t="e">
        <f xml:space="preserve"> CONCATENATE(#REF!, ",",#REF!, ",",#REF!)</f>
        <v>#REF!</v>
      </c>
      <c r="AF34" s="33" t="e">
        <f t="shared" si="4"/>
        <v>#REF!</v>
      </c>
    </row>
    <row r="35" spans="1:32" ht="16.899999999999999">
      <c r="A35" s="41">
        <v>32</v>
      </c>
      <c r="B35" s="180">
        <f t="shared" si="0"/>
        <v>0.44400000000000001</v>
      </c>
      <c r="C35" s="43">
        <f t="shared" si="0"/>
        <v>0.5</v>
      </c>
      <c r="D35" s="210">
        <v>0.43508837063855199</v>
      </c>
      <c r="E35" s="210">
        <v>0.499756556844695</v>
      </c>
      <c r="F35" s="44" t="s">
        <v>140</v>
      </c>
      <c r="G35" s="44" t="s">
        <v>134</v>
      </c>
      <c r="H35" s="175">
        <f t="shared" si="1"/>
        <v>0.4</v>
      </c>
      <c r="I35" s="46">
        <f t="shared" si="1"/>
        <v>0.54</v>
      </c>
      <c r="J35" s="47">
        <v>64</v>
      </c>
      <c r="K35" s="48">
        <v>87</v>
      </c>
      <c r="L35" s="42">
        <f t="shared" si="2"/>
        <v>0.41200000000000003</v>
      </c>
      <c r="M35" s="43">
        <f t="shared" si="2"/>
        <v>0.53200000000000003</v>
      </c>
      <c r="N35" s="49">
        <v>67</v>
      </c>
      <c r="O35" s="50">
        <v>85</v>
      </c>
      <c r="P35" s="45">
        <f t="shared" si="3"/>
        <v>0.41200000000000003</v>
      </c>
      <c r="Q35" s="46">
        <f t="shared" si="3"/>
        <v>0.53200000000000003</v>
      </c>
      <c r="R35" s="47">
        <v>67</v>
      </c>
      <c r="S35" s="48">
        <v>85</v>
      </c>
      <c r="T35" s="82"/>
      <c r="U35" s="182">
        <v>32</v>
      </c>
      <c r="V35" s="182">
        <v>200</v>
      </c>
      <c r="W35" s="182">
        <v>185</v>
      </c>
      <c r="X35" s="182">
        <v>0</v>
      </c>
      <c r="AE35" s="33" t="e">
        <f xml:space="preserve"> CONCATENATE(#REF!, ",",#REF!, ",",#REF!)</f>
        <v>#REF!</v>
      </c>
      <c r="AF35" s="33" t="e">
        <f t="shared" si="4"/>
        <v>#REF!</v>
      </c>
    </row>
    <row r="36" spans="1:32" ht="16.899999999999999">
      <c r="A36" s="41">
        <v>33</v>
      </c>
      <c r="B36" s="180">
        <f t="shared" si="0"/>
        <v>0.42</v>
      </c>
      <c r="C36" s="43">
        <f t="shared" si="0"/>
        <v>0.52400000000000002</v>
      </c>
      <c r="D36" s="210">
        <v>0.42291551666483301</v>
      </c>
      <c r="E36" s="210">
        <v>0.50873816500135705</v>
      </c>
      <c r="F36" s="44">
        <v>69</v>
      </c>
      <c r="G36" s="44">
        <v>83</v>
      </c>
      <c r="H36" s="175">
        <f t="shared" si="1"/>
        <v>0.39200000000000002</v>
      </c>
      <c r="I36" s="46">
        <f t="shared" si="1"/>
        <v>0.55600000000000005</v>
      </c>
      <c r="J36" s="47">
        <v>62</v>
      </c>
      <c r="K36" s="48" t="s">
        <v>141</v>
      </c>
      <c r="L36" s="42">
        <f t="shared" si="2"/>
        <v>0.40800000000000003</v>
      </c>
      <c r="M36" s="43">
        <f t="shared" si="2"/>
        <v>0.53200000000000003</v>
      </c>
      <c r="N36" s="49">
        <v>66</v>
      </c>
      <c r="O36" s="50">
        <v>85</v>
      </c>
      <c r="P36" s="45">
        <f t="shared" si="3"/>
        <v>0.39600000000000002</v>
      </c>
      <c r="Q36" s="46">
        <f t="shared" si="3"/>
        <v>0.54400000000000004</v>
      </c>
      <c r="R36" s="47">
        <v>63</v>
      </c>
      <c r="S36" s="48">
        <v>88</v>
      </c>
      <c r="T36" s="83"/>
      <c r="U36" s="182">
        <v>33</v>
      </c>
      <c r="V36" s="182">
        <v>195</v>
      </c>
      <c r="W36" s="182">
        <v>200</v>
      </c>
      <c r="X36" s="182">
        <v>0</v>
      </c>
      <c r="AE36" s="33" t="e">
        <f xml:space="preserve"> CONCATENATE(#REF!, ",",#REF!, ",",#REF!)</f>
        <v>#REF!</v>
      </c>
      <c r="AF36" s="33" t="e">
        <f t="shared" si="4"/>
        <v>#REF!</v>
      </c>
    </row>
    <row r="37" spans="1:32" ht="16.899999999999999">
      <c r="A37" s="41">
        <v>34</v>
      </c>
      <c r="B37" s="180">
        <f t="shared" si="0"/>
        <v>0.38800000000000001</v>
      </c>
      <c r="C37" s="43">
        <f t="shared" si="0"/>
        <v>0.55200000000000005</v>
      </c>
      <c r="D37" s="210">
        <v>0.38601013007665302</v>
      </c>
      <c r="E37" s="210">
        <v>0.53598825206315104</v>
      </c>
      <c r="F37" s="44">
        <v>61</v>
      </c>
      <c r="G37" s="44" t="s">
        <v>142</v>
      </c>
      <c r="H37" s="175">
        <f t="shared" si="1"/>
        <v>0.36</v>
      </c>
      <c r="I37" s="46">
        <f t="shared" si="1"/>
        <v>0.57600000000000007</v>
      </c>
      <c r="J37" s="47" t="s">
        <v>143</v>
      </c>
      <c r="K37" s="48">
        <v>90</v>
      </c>
      <c r="L37" s="42">
        <f t="shared" si="2"/>
        <v>0.40400000000000003</v>
      </c>
      <c r="M37" s="43">
        <f t="shared" si="2"/>
        <v>0.54</v>
      </c>
      <c r="N37" s="49">
        <v>65</v>
      </c>
      <c r="O37" s="50">
        <v>87</v>
      </c>
      <c r="P37" s="45">
        <f t="shared" si="3"/>
        <v>0.38400000000000001</v>
      </c>
      <c r="Q37" s="46">
        <f t="shared" si="3"/>
        <v>0.55600000000000005</v>
      </c>
      <c r="R37" s="47">
        <v>60</v>
      </c>
      <c r="S37" s="48" t="s">
        <v>141</v>
      </c>
      <c r="T37" s="84"/>
      <c r="U37" s="182">
        <v>34</v>
      </c>
      <c r="V37" s="182">
        <v>185</v>
      </c>
      <c r="W37" s="182">
        <v>220</v>
      </c>
      <c r="X37" s="182">
        <v>0</v>
      </c>
      <c r="AE37" s="33" t="e">
        <f xml:space="preserve"> CONCATENATE(#REF!, ",",#REF!, ",",#REF!)</f>
        <v>#REF!</v>
      </c>
      <c r="AF37" s="33" t="e">
        <f t="shared" si="4"/>
        <v>#REF!</v>
      </c>
    </row>
    <row r="38" spans="1:32" ht="16.899999999999999">
      <c r="A38" s="41">
        <v>35</v>
      </c>
      <c r="B38" s="180">
        <f t="shared" si="0"/>
        <v>0.36</v>
      </c>
      <c r="C38" s="43">
        <f t="shared" si="0"/>
        <v>0.57600000000000007</v>
      </c>
      <c r="D38" s="210">
        <v>0.363211644256559</v>
      </c>
      <c r="E38" s="210">
        <v>0.55281219490482703</v>
      </c>
      <c r="F38" s="44" t="s">
        <v>143</v>
      </c>
      <c r="G38" s="44">
        <v>90</v>
      </c>
      <c r="H38" s="175">
        <f t="shared" si="1"/>
        <v>0.34</v>
      </c>
      <c r="I38" s="46">
        <f t="shared" si="1"/>
        <v>0.59599999999999997</v>
      </c>
      <c r="J38" s="47">
        <v>55</v>
      </c>
      <c r="K38" s="48">
        <v>95</v>
      </c>
      <c r="L38" s="42">
        <f t="shared" si="2"/>
        <v>0.36</v>
      </c>
      <c r="M38" s="43">
        <f t="shared" si="2"/>
        <v>0.57600000000000007</v>
      </c>
      <c r="N38" s="49" t="s">
        <v>143</v>
      </c>
      <c r="O38" s="50">
        <v>90</v>
      </c>
      <c r="P38" s="45">
        <f t="shared" si="3"/>
        <v>0.36</v>
      </c>
      <c r="Q38" s="46">
        <f t="shared" si="3"/>
        <v>0.57600000000000007</v>
      </c>
      <c r="R38" s="47" t="s">
        <v>143</v>
      </c>
      <c r="S38" s="48">
        <v>90</v>
      </c>
      <c r="T38" s="85"/>
      <c r="U38" s="182">
        <v>35</v>
      </c>
      <c r="V38" s="182">
        <v>175</v>
      </c>
      <c r="W38" s="182">
        <v>235</v>
      </c>
      <c r="X38" s="182">
        <v>0</v>
      </c>
      <c r="AE38" s="33" t="e">
        <f xml:space="preserve"> CONCATENATE(#REF!, ",",#REF!, ",",#REF!)</f>
        <v>#REF!</v>
      </c>
      <c r="AF38" s="33" t="e">
        <f t="shared" si="4"/>
        <v>#REF!</v>
      </c>
    </row>
    <row r="39" spans="1:32" ht="16.899999999999999">
      <c r="A39" s="41">
        <v>36</v>
      </c>
      <c r="B39" s="180">
        <f t="shared" si="0"/>
        <v>0.34</v>
      </c>
      <c r="C39" s="43">
        <f t="shared" si="0"/>
        <v>0.59599999999999997</v>
      </c>
      <c r="D39" s="210">
        <v>0.34543950861581602</v>
      </c>
      <c r="E39" s="210">
        <v>0.56489733436235201</v>
      </c>
      <c r="F39" s="44">
        <v>55</v>
      </c>
      <c r="G39" s="44">
        <v>95</v>
      </c>
      <c r="H39" s="175">
        <f t="shared" si="1"/>
        <v>0.34</v>
      </c>
      <c r="I39" s="46">
        <f t="shared" si="1"/>
        <v>0.59599999999999997</v>
      </c>
      <c r="J39" s="47">
        <v>55</v>
      </c>
      <c r="K39" s="48">
        <v>95</v>
      </c>
      <c r="L39" s="42">
        <f t="shared" si="2"/>
        <v>0.34</v>
      </c>
      <c r="M39" s="43">
        <f t="shared" si="2"/>
        <v>0.59599999999999997</v>
      </c>
      <c r="N39" s="49">
        <v>55</v>
      </c>
      <c r="O39" s="50">
        <v>95</v>
      </c>
      <c r="P39" s="45">
        <f t="shared" si="3"/>
        <v>0.34</v>
      </c>
      <c r="Q39" s="46">
        <f t="shared" si="3"/>
        <v>0.59599999999999997</v>
      </c>
      <c r="R39" s="47">
        <v>55</v>
      </c>
      <c r="S39" s="48">
        <v>95</v>
      </c>
      <c r="T39" s="86"/>
      <c r="U39" s="182">
        <v>36</v>
      </c>
      <c r="V39" s="182">
        <v>165</v>
      </c>
      <c r="W39" s="182">
        <v>245</v>
      </c>
      <c r="X39" s="182">
        <v>10</v>
      </c>
      <c r="AE39" s="33" t="e">
        <f xml:space="preserve"> CONCATENATE(#REF!, ",",#REF!, ",",#REF!)</f>
        <v>#REF!</v>
      </c>
      <c r="AF39" s="33" t="e">
        <f t="shared" si="4"/>
        <v>#REF!</v>
      </c>
    </row>
    <row r="40" spans="1:32" ht="16.899999999999999">
      <c r="A40" s="41">
        <v>37</v>
      </c>
      <c r="B40" s="180">
        <f t="shared" si="0"/>
        <v>0.32400000000000001</v>
      </c>
      <c r="C40" s="43">
        <f t="shared" si="0"/>
        <v>0.60799999999999998</v>
      </c>
      <c r="D40" s="210">
        <v>0.32969379772073698</v>
      </c>
      <c r="E40" s="210">
        <v>0.57148243478514404</v>
      </c>
      <c r="F40" s="44">
        <v>51</v>
      </c>
      <c r="G40" s="44">
        <v>98</v>
      </c>
      <c r="H40" s="175">
        <f t="shared" si="1"/>
        <v>0.32400000000000001</v>
      </c>
      <c r="I40" s="46">
        <f t="shared" si="1"/>
        <v>0.60799999999999998</v>
      </c>
      <c r="J40" s="47">
        <v>51</v>
      </c>
      <c r="K40" s="48">
        <v>98</v>
      </c>
      <c r="L40" s="42">
        <f t="shared" si="2"/>
        <v>0.32400000000000001</v>
      </c>
      <c r="M40" s="43">
        <f t="shared" si="2"/>
        <v>0.60799999999999998</v>
      </c>
      <c r="N40" s="49">
        <v>51</v>
      </c>
      <c r="O40" s="50">
        <v>98</v>
      </c>
      <c r="P40" s="45">
        <f t="shared" si="3"/>
        <v>0.32400000000000001</v>
      </c>
      <c r="Q40" s="46">
        <f t="shared" si="3"/>
        <v>0.60799999999999998</v>
      </c>
      <c r="R40" s="47">
        <v>51</v>
      </c>
      <c r="S40" s="48">
        <v>98</v>
      </c>
      <c r="T40" s="87"/>
      <c r="U40" s="182">
        <v>37</v>
      </c>
      <c r="V40" s="182">
        <v>155</v>
      </c>
      <c r="W40" s="182">
        <v>250</v>
      </c>
      <c r="X40" s="182">
        <v>20</v>
      </c>
      <c r="AE40" s="33" t="e">
        <f xml:space="preserve"> CONCATENATE(#REF!, ",",#REF!, ",",#REF!)</f>
        <v>#REF!</v>
      </c>
      <c r="AF40" s="33" t="e">
        <f t="shared" si="4"/>
        <v>#REF!</v>
      </c>
    </row>
    <row r="41" spans="1:32" ht="16.899999999999999">
      <c r="A41" s="41">
        <v>38</v>
      </c>
      <c r="B41" s="180">
        <f t="shared" si="0"/>
        <v>0.30399999999999999</v>
      </c>
      <c r="C41" s="43">
        <f t="shared" si="0"/>
        <v>0.61199999999999999</v>
      </c>
      <c r="D41" s="210">
        <v>0.30638062851826597</v>
      </c>
      <c r="E41" s="210">
        <v>0.55785028135745696</v>
      </c>
      <c r="F41" s="44" t="s">
        <v>120</v>
      </c>
      <c r="G41" s="44">
        <v>99</v>
      </c>
      <c r="H41" s="175">
        <f t="shared" si="1"/>
        <v>0.30399999999999999</v>
      </c>
      <c r="I41" s="46">
        <f t="shared" si="1"/>
        <v>0.61199999999999999</v>
      </c>
      <c r="J41" s="47" t="s">
        <v>120</v>
      </c>
      <c r="K41" s="48">
        <v>99</v>
      </c>
      <c r="L41" s="42">
        <f t="shared" si="2"/>
        <v>0.30399999999999999</v>
      </c>
      <c r="M41" s="43">
        <f t="shared" si="2"/>
        <v>0.61199999999999999</v>
      </c>
      <c r="N41" s="49" t="s">
        <v>120</v>
      </c>
      <c r="O41" s="50">
        <v>99</v>
      </c>
      <c r="P41" s="45">
        <f t="shared" si="3"/>
        <v>0.30399999999999999</v>
      </c>
      <c r="Q41" s="46">
        <f t="shared" si="3"/>
        <v>0.61199999999999999</v>
      </c>
      <c r="R41" s="47" t="s">
        <v>120</v>
      </c>
      <c r="S41" s="48">
        <v>99</v>
      </c>
      <c r="T41" s="88"/>
      <c r="U41" s="182">
        <v>38</v>
      </c>
      <c r="V41" s="182">
        <v>145</v>
      </c>
      <c r="W41" s="182">
        <v>255</v>
      </c>
      <c r="X41" s="182">
        <v>40</v>
      </c>
      <c r="AE41" s="33" t="e">
        <f xml:space="preserve"> CONCATENATE(#REF!, ",",#REF!, ",",#REF!)</f>
        <v>#REF!</v>
      </c>
      <c r="AF41" s="33" t="e">
        <f t="shared" si="4"/>
        <v>#REF!</v>
      </c>
    </row>
    <row r="42" spans="1:32" ht="16.899999999999999">
      <c r="A42" s="41">
        <v>39</v>
      </c>
      <c r="B42" s="180">
        <f t="shared" si="0"/>
        <v>0.28800000000000003</v>
      </c>
      <c r="C42" s="43">
        <f t="shared" si="0"/>
        <v>0.60799999999999998</v>
      </c>
      <c r="D42" s="210">
        <v>0.28823169202068899</v>
      </c>
      <c r="E42" s="210">
        <v>0.54068930582710695</v>
      </c>
      <c r="F42" s="44">
        <v>48</v>
      </c>
      <c r="G42" s="44">
        <v>98</v>
      </c>
      <c r="H42" s="175">
        <f t="shared" si="1"/>
        <v>0.28800000000000003</v>
      </c>
      <c r="I42" s="46">
        <f t="shared" si="1"/>
        <v>0.60799999999999998</v>
      </c>
      <c r="J42" s="47">
        <v>48</v>
      </c>
      <c r="K42" s="48">
        <v>98</v>
      </c>
      <c r="L42" s="42">
        <f t="shared" si="2"/>
        <v>0.28800000000000003</v>
      </c>
      <c r="M42" s="43">
        <f t="shared" si="2"/>
        <v>0.60799999999999998</v>
      </c>
      <c r="N42" s="49">
        <v>48</v>
      </c>
      <c r="O42" s="50">
        <v>98</v>
      </c>
      <c r="P42" s="45">
        <f t="shared" si="3"/>
        <v>0.28800000000000003</v>
      </c>
      <c r="Q42" s="46">
        <f t="shared" si="3"/>
        <v>0.60799999999999998</v>
      </c>
      <c r="R42" s="47">
        <v>48</v>
      </c>
      <c r="S42" s="48">
        <v>98</v>
      </c>
      <c r="T42" s="89"/>
      <c r="U42" s="182">
        <v>39</v>
      </c>
      <c r="V42" s="182">
        <v>135</v>
      </c>
      <c r="W42" s="182">
        <v>255</v>
      </c>
      <c r="X42" s="182">
        <v>60</v>
      </c>
      <c r="AE42" s="33" t="e">
        <f xml:space="preserve"> CONCATENATE(#REF!, ",",#REF!, ",",#REF!)</f>
        <v>#REF!</v>
      </c>
      <c r="AF42" s="33" t="e">
        <f t="shared" si="4"/>
        <v>#REF!</v>
      </c>
    </row>
    <row r="43" spans="1:32" ht="16.899999999999999">
      <c r="A43" s="41">
        <v>40</v>
      </c>
      <c r="B43" s="180">
        <f t="shared" si="0"/>
        <v>0.27600000000000002</v>
      </c>
      <c r="C43" s="43">
        <f t="shared" si="0"/>
        <v>0.59199999999999997</v>
      </c>
      <c r="D43" s="210">
        <v>0.27046911721099298</v>
      </c>
      <c r="E43" s="210">
        <v>0.51815977855367501</v>
      </c>
      <c r="F43" s="44">
        <v>45</v>
      </c>
      <c r="G43" s="44">
        <v>94</v>
      </c>
      <c r="H43" s="175">
        <f t="shared" si="1"/>
        <v>0.27600000000000002</v>
      </c>
      <c r="I43" s="46">
        <f t="shared" si="1"/>
        <v>0.59199999999999997</v>
      </c>
      <c r="J43" s="47">
        <v>45</v>
      </c>
      <c r="K43" s="48">
        <v>94</v>
      </c>
      <c r="L43" s="42">
        <f t="shared" si="2"/>
        <v>0.27600000000000002</v>
      </c>
      <c r="M43" s="43">
        <f t="shared" si="2"/>
        <v>0.59199999999999997</v>
      </c>
      <c r="N43" s="49">
        <v>45</v>
      </c>
      <c r="O43" s="50">
        <v>94</v>
      </c>
      <c r="P43" s="45">
        <f t="shared" si="3"/>
        <v>0.27600000000000002</v>
      </c>
      <c r="Q43" s="46">
        <f t="shared" si="3"/>
        <v>0.59199999999999997</v>
      </c>
      <c r="R43" s="47">
        <v>45</v>
      </c>
      <c r="S43" s="48">
        <v>94</v>
      </c>
      <c r="T43" s="90"/>
      <c r="U43" s="182">
        <v>40</v>
      </c>
      <c r="V43" s="182">
        <v>125</v>
      </c>
      <c r="W43" s="182">
        <v>250</v>
      </c>
      <c r="X43" s="182">
        <v>80</v>
      </c>
      <c r="AE43" s="33" t="e">
        <f xml:space="preserve"> CONCATENATE(#REF!, ",",#REF!, ",",#REF!)</f>
        <v>#REF!</v>
      </c>
      <c r="AF43" s="33" t="e">
        <f t="shared" si="4"/>
        <v>#REF!</v>
      </c>
    </row>
    <row r="44" spans="1:32" ht="16.899999999999999">
      <c r="A44" s="41">
        <v>41</v>
      </c>
      <c r="B44" s="180">
        <f t="shared" si="0"/>
        <v>0.26</v>
      </c>
      <c r="C44" s="43">
        <f t="shared" si="0"/>
        <v>0.56400000000000006</v>
      </c>
      <c r="D44" s="210">
        <v>0.25481280690450198</v>
      </c>
      <c r="E44" s="210">
        <v>0.49030350201693701</v>
      </c>
      <c r="F44" s="44">
        <v>41</v>
      </c>
      <c r="G44" s="44" t="s">
        <v>127</v>
      </c>
      <c r="H44" s="175">
        <f t="shared" si="1"/>
        <v>0.26</v>
      </c>
      <c r="I44" s="46">
        <f t="shared" si="1"/>
        <v>0.56400000000000006</v>
      </c>
      <c r="J44" s="47">
        <v>41</v>
      </c>
      <c r="K44" s="48" t="s">
        <v>127</v>
      </c>
      <c r="L44" s="42">
        <f t="shared" si="2"/>
        <v>0.26</v>
      </c>
      <c r="M44" s="43">
        <f t="shared" si="2"/>
        <v>0.56400000000000006</v>
      </c>
      <c r="N44" s="49">
        <v>41</v>
      </c>
      <c r="O44" s="50" t="s">
        <v>127</v>
      </c>
      <c r="P44" s="45">
        <f t="shared" si="3"/>
        <v>0.26</v>
      </c>
      <c r="Q44" s="46">
        <f t="shared" si="3"/>
        <v>0.56400000000000006</v>
      </c>
      <c r="R44" s="47">
        <v>41</v>
      </c>
      <c r="S44" s="48" t="s">
        <v>127</v>
      </c>
      <c r="T44" s="91"/>
      <c r="U44" s="182">
        <v>41</v>
      </c>
      <c r="V44" s="182">
        <v>115</v>
      </c>
      <c r="W44" s="182">
        <v>245</v>
      </c>
      <c r="X44" s="182">
        <v>100</v>
      </c>
      <c r="AE44" s="33" t="e">
        <f xml:space="preserve"> CONCATENATE(#REF!, ",",#REF!, ",",#REF!)</f>
        <v>#REF!</v>
      </c>
      <c r="AF44" s="33" t="e">
        <f t="shared" si="4"/>
        <v>#REF!</v>
      </c>
    </row>
    <row r="45" spans="1:32" ht="16.899999999999999">
      <c r="A45" s="41">
        <v>42</v>
      </c>
      <c r="B45" s="180">
        <f t="shared" si="0"/>
        <v>0.24399999999999999</v>
      </c>
      <c r="C45" s="43">
        <f t="shared" si="0"/>
        <v>0.53200000000000003</v>
      </c>
      <c r="D45" s="210">
        <v>0.236968252590564</v>
      </c>
      <c r="E45" s="210">
        <v>0.46384077838331</v>
      </c>
      <c r="F45" s="44" t="s">
        <v>119</v>
      </c>
      <c r="G45" s="44">
        <v>85</v>
      </c>
      <c r="H45" s="175">
        <f t="shared" si="1"/>
        <v>0.24399999999999999</v>
      </c>
      <c r="I45" s="46">
        <f t="shared" si="1"/>
        <v>0.53200000000000003</v>
      </c>
      <c r="J45" s="47" t="s">
        <v>119</v>
      </c>
      <c r="K45" s="48">
        <v>85</v>
      </c>
      <c r="L45" s="42">
        <f t="shared" si="2"/>
        <v>0.24399999999999999</v>
      </c>
      <c r="M45" s="43">
        <f t="shared" si="2"/>
        <v>0.53200000000000003</v>
      </c>
      <c r="N45" s="49" t="s">
        <v>119</v>
      </c>
      <c r="O45" s="50">
        <v>85</v>
      </c>
      <c r="P45" s="45">
        <f t="shared" si="3"/>
        <v>0.24399999999999999</v>
      </c>
      <c r="Q45" s="46">
        <f t="shared" si="3"/>
        <v>0.53200000000000003</v>
      </c>
      <c r="R45" s="47" t="s">
        <v>119</v>
      </c>
      <c r="S45" s="48">
        <v>85</v>
      </c>
      <c r="T45" s="92"/>
      <c r="U45" s="182">
        <v>42</v>
      </c>
      <c r="V45" s="182">
        <v>105</v>
      </c>
      <c r="W45" s="182">
        <v>240</v>
      </c>
      <c r="X45" s="182">
        <v>120</v>
      </c>
      <c r="AE45" s="33" t="e">
        <f xml:space="preserve"> CONCATENATE(#REF!, ",",#REF!, ",",#REF!)</f>
        <v>#REF!</v>
      </c>
      <c r="AF45" s="33" t="e">
        <f t="shared" si="4"/>
        <v>#REF!</v>
      </c>
    </row>
    <row r="46" spans="1:32" ht="16.899999999999999">
      <c r="A46" s="41">
        <v>43</v>
      </c>
      <c r="B46" s="180">
        <f t="shared" si="0"/>
        <v>0.23200000000000001</v>
      </c>
      <c r="C46" s="43">
        <f t="shared" si="0"/>
        <v>0.49199999999999999</v>
      </c>
      <c r="D46" s="210">
        <v>0.21776055004063599</v>
      </c>
      <c r="E46" s="210">
        <v>0.43015408796397397</v>
      </c>
      <c r="F46" s="44" t="s">
        <v>144</v>
      </c>
      <c r="G46" s="44" t="s">
        <v>145</v>
      </c>
      <c r="H46" s="175">
        <f t="shared" si="1"/>
        <v>0.23200000000000001</v>
      </c>
      <c r="I46" s="46">
        <f t="shared" si="1"/>
        <v>0.49199999999999999</v>
      </c>
      <c r="J46" s="47" t="s">
        <v>144</v>
      </c>
      <c r="K46" s="48" t="s">
        <v>145</v>
      </c>
      <c r="L46" s="42">
        <f t="shared" si="2"/>
        <v>0.23200000000000001</v>
      </c>
      <c r="M46" s="43">
        <f t="shared" si="2"/>
        <v>0.49199999999999999</v>
      </c>
      <c r="N46" s="49" t="s">
        <v>144</v>
      </c>
      <c r="O46" s="50" t="s">
        <v>145</v>
      </c>
      <c r="P46" s="45">
        <f t="shared" si="3"/>
        <v>0.23200000000000001</v>
      </c>
      <c r="Q46" s="46">
        <f t="shared" si="3"/>
        <v>0.49199999999999999</v>
      </c>
      <c r="R46" s="47" t="s">
        <v>144</v>
      </c>
      <c r="S46" s="48" t="s">
        <v>145</v>
      </c>
      <c r="T46" s="93"/>
      <c r="U46" s="182">
        <v>43</v>
      </c>
      <c r="V46" s="182">
        <v>95</v>
      </c>
      <c r="W46" s="182">
        <v>235</v>
      </c>
      <c r="X46" s="182">
        <v>140</v>
      </c>
      <c r="AE46" s="33" t="e">
        <f xml:space="preserve"> CONCATENATE(#REF!, ",",#REF!, ",",#REF!)</f>
        <v>#REF!</v>
      </c>
      <c r="AF46" s="33" t="e">
        <f t="shared" si="4"/>
        <v>#REF!</v>
      </c>
    </row>
    <row r="47" spans="1:32" ht="16.899999999999999">
      <c r="A47" s="41">
        <v>44</v>
      </c>
      <c r="B47" s="180">
        <f t="shared" si="0"/>
        <v>0.216</v>
      </c>
      <c r="C47" s="43">
        <f t="shared" si="0"/>
        <v>0.44800000000000001</v>
      </c>
      <c r="D47" s="210">
        <v>0.20416176225959701</v>
      </c>
      <c r="E47" s="210">
        <v>0.40679059687957397</v>
      </c>
      <c r="F47" s="44">
        <v>36</v>
      </c>
      <c r="G47" s="44">
        <v>70</v>
      </c>
      <c r="H47" s="175">
        <f t="shared" si="1"/>
        <v>0.216</v>
      </c>
      <c r="I47" s="46">
        <f t="shared" si="1"/>
        <v>0.44800000000000001</v>
      </c>
      <c r="J47" s="47">
        <v>36</v>
      </c>
      <c r="K47" s="48">
        <v>70</v>
      </c>
      <c r="L47" s="42">
        <f t="shared" si="2"/>
        <v>0.216</v>
      </c>
      <c r="M47" s="43">
        <f t="shared" si="2"/>
        <v>0.44800000000000001</v>
      </c>
      <c r="N47" s="49">
        <v>36</v>
      </c>
      <c r="O47" s="50">
        <v>70</v>
      </c>
      <c r="P47" s="45">
        <f t="shared" si="3"/>
        <v>0.216</v>
      </c>
      <c r="Q47" s="46">
        <f t="shared" si="3"/>
        <v>0.44800000000000001</v>
      </c>
      <c r="R47" s="47">
        <v>36</v>
      </c>
      <c r="S47" s="48">
        <v>70</v>
      </c>
      <c r="T47" s="94"/>
      <c r="U47" s="182">
        <v>44</v>
      </c>
      <c r="V47" s="182">
        <v>85</v>
      </c>
      <c r="W47" s="182">
        <v>235</v>
      </c>
      <c r="X47" s="182">
        <v>160</v>
      </c>
      <c r="AE47" s="33" t="e">
        <f xml:space="preserve"> CONCATENATE(#REF!, ",",#REF!, ",",#REF!)</f>
        <v>#REF!</v>
      </c>
      <c r="AF47" s="33" t="e">
        <f t="shared" si="4"/>
        <v>#REF!</v>
      </c>
    </row>
    <row r="48" spans="1:32" ht="16.899999999999999">
      <c r="A48" s="41">
        <v>45</v>
      </c>
      <c r="B48" s="180">
        <f t="shared" si="0"/>
        <v>0.19600000000000001</v>
      </c>
      <c r="C48" s="43">
        <f t="shared" si="0"/>
        <v>0.40400000000000003</v>
      </c>
      <c r="D48" s="210">
        <v>0.175005117584557</v>
      </c>
      <c r="E48" s="210">
        <v>0.37001650720082102</v>
      </c>
      <c r="F48" s="44">
        <v>31</v>
      </c>
      <c r="G48" s="44">
        <v>65</v>
      </c>
      <c r="H48" s="175">
        <f t="shared" si="1"/>
        <v>0.19600000000000001</v>
      </c>
      <c r="I48" s="46">
        <f t="shared" si="1"/>
        <v>0.40400000000000003</v>
      </c>
      <c r="J48" s="47">
        <v>31</v>
      </c>
      <c r="K48" s="48">
        <v>65</v>
      </c>
      <c r="L48" s="42">
        <f t="shared" si="2"/>
        <v>0.19600000000000001</v>
      </c>
      <c r="M48" s="43">
        <f t="shared" si="2"/>
        <v>0.40400000000000003</v>
      </c>
      <c r="N48" s="49">
        <v>31</v>
      </c>
      <c r="O48" s="50">
        <v>65</v>
      </c>
      <c r="P48" s="45">
        <f t="shared" si="3"/>
        <v>0.19600000000000001</v>
      </c>
      <c r="Q48" s="46">
        <f t="shared" si="3"/>
        <v>0.40400000000000003</v>
      </c>
      <c r="R48" s="47">
        <v>31</v>
      </c>
      <c r="S48" s="48">
        <v>65</v>
      </c>
      <c r="T48" s="95"/>
      <c r="U48" s="182">
        <v>45</v>
      </c>
      <c r="V48" s="182">
        <v>65</v>
      </c>
      <c r="W48" s="182">
        <v>225</v>
      </c>
      <c r="X48" s="182">
        <v>180</v>
      </c>
      <c r="AE48" s="33" t="e">
        <f xml:space="preserve"> CONCATENATE(#REF!, ",",#REF!, ",",#REF!)</f>
        <v>#REF!</v>
      </c>
      <c r="AF48" s="33" t="e">
        <f t="shared" si="4"/>
        <v>#REF!</v>
      </c>
    </row>
    <row r="49" spans="1:32" ht="16.899999999999999">
      <c r="A49" s="41">
        <v>46</v>
      </c>
      <c r="B49" s="180">
        <f t="shared" si="0"/>
        <v>0.184</v>
      </c>
      <c r="C49" s="43">
        <f t="shared" si="0"/>
        <v>0.36</v>
      </c>
      <c r="D49" s="210">
        <v>0.15546988738217701</v>
      </c>
      <c r="E49" s="210">
        <v>0.34323046987716399</v>
      </c>
      <c r="F49" s="44" t="s">
        <v>146</v>
      </c>
      <c r="G49" s="44" t="s">
        <v>143</v>
      </c>
      <c r="H49" s="175">
        <f t="shared" si="1"/>
        <v>0.184</v>
      </c>
      <c r="I49" s="46">
        <f t="shared" si="1"/>
        <v>0.36</v>
      </c>
      <c r="J49" s="47" t="s">
        <v>146</v>
      </c>
      <c r="K49" s="48" t="s">
        <v>143</v>
      </c>
      <c r="L49" s="42">
        <f t="shared" si="2"/>
        <v>0.184</v>
      </c>
      <c r="M49" s="43">
        <f t="shared" si="2"/>
        <v>0.36</v>
      </c>
      <c r="N49" s="49" t="s">
        <v>146</v>
      </c>
      <c r="O49" s="50" t="s">
        <v>143</v>
      </c>
      <c r="P49" s="45">
        <f t="shared" si="3"/>
        <v>0.184</v>
      </c>
      <c r="Q49" s="46">
        <f t="shared" si="3"/>
        <v>0.36</v>
      </c>
      <c r="R49" s="47" t="s">
        <v>146</v>
      </c>
      <c r="S49" s="48" t="s">
        <v>143</v>
      </c>
      <c r="T49" s="96"/>
      <c r="U49" s="182">
        <v>46</v>
      </c>
      <c r="V49" s="182">
        <v>45</v>
      </c>
      <c r="W49" s="182">
        <v>220</v>
      </c>
      <c r="X49" s="182">
        <v>200</v>
      </c>
      <c r="AE49" s="33" t="e">
        <f xml:space="preserve"> CONCATENATE(#REF!, ",",#REF!, ",",#REF!)</f>
        <v>#REF!</v>
      </c>
      <c r="AF49" s="33" t="e">
        <f t="shared" si="4"/>
        <v>#REF!</v>
      </c>
    </row>
    <row r="50" spans="1:32" ht="16.899999999999999">
      <c r="A50" s="41">
        <v>47</v>
      </c>
      <c r="B50" s="180">
        <f t="shared" si="0"/>
        <v>0.17599999999999999</v>
      </c>
      <c r="C50" s="43">
        <f t="shared" si="0"/>
        <v>0.32800000000000001</v>
      </c>
      <c r="D50" s="210">
        <v>0.15190569157008399</v>
      </c>
      <c r="E50" s="210">
        <v>0.321048387014159</v>
      </c>
      <c r="F50" s="44" t="s">
        <v>147</v>
      </c>
      <c r="G50" s="44">
        <v>52</v>
      </c>
      <c r="H50" s="175">
        <f t="shared" si="1"/>
        <v>0.17599999999999999</v>
      </c>
      <c r="I50" s="46">
        <f t="shared" si="1"/>
        <v>0.32800000000000001</v>
      </c>
      <c r="J50" s="47" t="s">
        <v>147</v>
      </c>
      <c r="K50" s="48">
        <v>52</v>
      </c>
      <c r="L50" s="42">
        <f t="shared" si="2"/>
        <v>0.17599999999999999</v>
      </c>
      <c r="M50" s="43">
        <f t="shared" si="2"/>
        <v>0.32800000000000001</v>
      </c>
      <c r="N50" s="49" t="s">
        <v>147</v>
      </c>
      <c r="O50" s="50">
        <v>52</v>
      </c>
      <c r="P50" s="45">
        <f t="shared" si="3"/>
        <v>0.17599999999999999</v>
      </c>
      <c r="Q50" s="46">
        <f t="shared" si="3"/>
        <v>0.32800000000000001</v>
      </c>
      <c r="R50" s="47" t="s">
        <v>147</v>
      </c>
      <c r="S50" s="48">
        <v>52</v>
      </c>
      <c r="T50" s="97"/>
      <c r="U50" s="182">
        <v>47</v>
      </c>
      <c r="V50" s="182">
        <v>31</v>
      </c>
      <c r="W50" s="182">
        <v>210</v>
      </c>
      <c r="X50" s="182">
        <v>210</v>
      </c>
      <c r="AE50" s="33" t="e">
        <f xml:space="preserve"> CONCATENATE(#REF!, ",",#REF!, ",",#REF!)</f>
        <v>#REF!</v>
      </c>
      <c r="AF50" s="33" t="e">
        <f t="shared" si="4"/>
        <v>#REF!</v>
      </c>
    </row>
    <row r="51" spans="1:32" ht="16.899999999999999">
      <c r="A51" s="41">
        <v>48</v>
      </c>
      <c r="B51" s="180">
        <f t="shared" si="0"/>
        <v>0.17200000000000001</v>
      </c>
      <c r="C51" s="43">
        <f t="shared" si="0"/>
        <v>0.29599999999999999</v>
      </c>
      <c r="D51" s="210">
        <v>0.12680203207469501</v>
      </c>
      <c r="E51" s="210">
        <v>0.29810035046205302</v>
      </c>
      <c r="F51" s="44" t="s">
        <v>148</v>
      </c>
      <c r="G51" s="44" t="s">
        <v>149</v>
      </c>
      <c r="H51" s="175">
        <f t="shared" si="1"/>
        <v>0.17200000000000001</v>
      </c>
      <c r="I51" s="46">
        <f t="shared" si="1"/>
        <v>0.29599999999999999</v>
      </c>
      <c r="J51" s="47" t="s">
        <v>148</v>
      </c>
      <c r="K51" s="48" t="s">
        <v>149</v>
      </c>
      <c r="L51" s="42">
        <f t="shared" si="2"/>
        <v>0.17200000000000001</v>
      </c>
      <c r="M51" s="43">
        <f t="shared" si="2"/>
        <v>0.29599999999999999</v>
      </c>
      <c r="N51" s="49" t="s">
        <v>148</v>
      </c>
      <c r="O51" s="50" t="s">
        <v>149</v>
      </c>
      <c r="P51" s="45">
        <f t="shared" si="3"/>
        <v>0.17200000000000001</v>
      </c>
      <c r="Q51" s="46">
        <f t="shared" si="3"/>
        <v>0.29599999999999999</v>
      </c>
      <c r="R51" s="47" t="s">
        <v>148</v>
      </c>
      <c r="S51" s="48" t="s">
        <v>149</v>
      </c>
      <c r="T51" s="98"/>
      <c r="U51" s="182">
        <v>48</v>
      </c>
      <c r="V51" s="182">
        <v>15</v>
      </c>
      <c r="W51" s="182">
        <v>200</v>
      </c>
      <c r="X51" s="182">
        <v>220</v>
      </c>
      <c r="AE51" s="33" t="e">
        <f xml:space="preserve"> CONCATENATE(#REF!, ",",#REF!, ",",#REF!)</f>
        <v>#REF!</v>
      </c>
      <c r="AF51" s="33" t="e">
        <f t="shared" si="4"/>
        <v>#REF!</v>
      </c>
    </row>
    <row r="52" spans="1:32" ht="16.899999999999999">
      <c r="A52" s="41">
        <v>49</v>
      </c>
      <c r="B52" s="180">
        <f t="shared" si="0"/>
        <v>0.16800000000000001</v>
      </c>
      <c r="C52" s="43">
        <f t="shared" si="0"/>
        <v>0.26400000000000001</v>
      </c>
      <c r="D52" s="210">
        <v>0.127765016420293</v>
      </c>
      <c r="E52" s="210">
        <v>0.27088591330233702</v>
      </c>
      <c r="F52" s="44" t="s">
        <v>114</v>
      </c>
      <c r="G52" s="44">
        <v>42</v>
      </c>
      <c r="H52" s="175">
        <f t="shared" si="1"/>
        <v>0.16800000000000001</v>
      </c>
      <c r="I52" s="46">
        <f t="shared" si="1"/>
        <v>0.26400000000000001</v>
      </c>
      <c r="J52" s="47" t="s">
        <v>114</v>
      </c>
      <c r="K52" s="48">
        <v>42</v>
      </c>
      <c r="L52" s="42">
        <f t="shared" si="2"/>
        <v>0.16800000000000001</v>
      </c>
      <c r="M52" s="43">
        <f t="shared" si="2"/>
        <v>0.26400000000000001</v>
      </c>
      <c r="N52" s="49" t="s">
        <v>114</v>
      </c>
      <c r="O52" s="50">
        <v>42</v>
      </c>
      <c r="P52" s="45">
        <f t="shared" si="3"/>
        <v>0.16800000000000001</v>
      </c>
      <c r="Q52" s="46">
        <f t="shared" si="3"/>
        <v>0.26400000000000001</v>
      </c>
      <c r="R52" s="47" t="s">
        <v>114</v>
      </c>
      <c r="S52" s="48">
        <v>42</v>
      </c>
      <c r="T52" s="99"/>
      <c r="U52" s="182">
        <v>49</v>
      </c>
      <c r="V52" s="182">
        <v>5</v>
      </c>
      <c r="W52" s="182">
        <v>190</v>
      </c>
      <c r="X52" s="182">
        <v>230</v>
      </c>
      <c r="AE52" s="33" t="e">
        <f xml:space="preserve"> CONCATENATE(#REF!, ",",#REF!, ",",#REF!)</f>
        <v>#REF!</v>
      </c>
      <c r="AF52" s="33" t="e">
        <f t="shared" si="4"/>
        <v>#REF!</v>
      </c>
    </row>
    <row r="53" spans="1:32" ht="16.899999999999999">
      <c r="A53" s="41">
        <v>50</v>
      </c>
      <c r="B53" s="180">
        <f t="shared" si="0"/>
        <v>0.16800000000000001</v>
      </c>
      <c r="C53" s="43">
        <f t="shared" si="0"/>
        <v>0.23600000000000002</v>
      </c>
      <c r="D53" s="210">
        <v>0.128517858731414</v>
      </c>
      <c r="E53" s="210">
        <v>0.24968265637296</v>
      </c>
      <c r="F53" s="44" t="s">
        <v>114</v>
      </c>
      <c r="G53" s="44" t="s">
        <v>150</v>
      </c>
      <c r="H53" s="175">
        <f t="shared" si="1"/>
        <v>0.18</v>
      </c>
      <c r="I53" s="46">
        <f t="shared" si="1"/>
        <v>0.23600000000000002</v>
      </c>
      <c r="J53" s="47" t="s">
        <v>118</v>
      </c>
      <c r="K53" s="48" t="s">
        <v>150</v>
      </c>
      <c r="L53" s="42">
        <f t="shared" si="2"/>
        <v>0.16800000000000001</v>
      </c>
      <c r="M53" s="43">
        <f t="shared" si="2"/>
        <v>0.23600000000000002</v>
      </c>
      <c r="N53" s="49" t="s">
        <v>114</v>
      </c>
      <c r="O53" s="50" t="s">
        <v>150</v>
      </c>
      <c r="P53" s="45">
        <f t="shared" si="3"/>
        <v>0.16800000000000001</v>
      </c>
      <c r="Q53" s="46">
        <f t="shared" si="3"/>
        <v>0.23600000000000002</v>
      </c>
      <c r="R53" s="47" t="s">
        <v>114</v>
      </c>
      <c r="S53" s="48" t="s">
        <v>150</v>
      </c>
      <c r="T53" s="100"/>
      <c r="U53" s="182">
        <v>50</v>
      </c>
      <c r="V53" s="182">
        <v>0</v>
      </c>
      <c r="W53" s="182">
        <v>180</v>
      </c>
      <c r="X53" s="182">
        <v>240</v>
      </c>
      <c r="AE53" s="33" t="e">
        <f xml:space="preserve"> CONCATENATE(#REF!, ",",#REF!, ",",#REF!)</f>
        <v>#REF!</v>
      </c>
      <c r="AF53" s="33" t="e">
        <f t="shared" si="4"/>
        <v>#REF!</v>
      </c>
    </row>
    <row r="54" spans="1:32" ht="16.899999999999999">
      <c r="A54" s="41">
        <v>51</v>
      </c>
      <c r="B54" s="180">
        <f t="shared" si="0"/>
        <v>0.16400000000000001</v>
      </c>
      <c r="C54" s="43">
        <f t="shared" si="0"/>
        <v>0.20400000000000001</v>
      </c>
      <c r="D54" s="210">
        <v>0.130131532876571</v>
      </c>
      <c r="E54" s="210">
        <v>0.204500787123264</v>
      </c>
      <c r="F54" s="44">
        <v>29</v>
      </c>
      <c r="G54" s="44">
        <v>33</v>
      </c>
      <c r="H54" s="175">
        <f t="shared" si="1"/>
        <v>0.16400000000000001</v>
      </c>
      <c r="I54" s="46">
        <f t="shared" si="1"/>
        <v>0.20400000000000001</v>
      </c>
      <c r="J54" s="47">
        <v>29</v>
      </c>
      <c r="K54" s="48">
        <v>33</v>
      </c>
      <c r="L54" s="42">
        <f t="shared" si="2"/>
        <v>0.16400000000000001</v>
      </c>
      <c r="M54" s="43">
        <f t="shared" si="2"/>
        <v>0.20400000000000001</v>
      </c>
      <c r="N54" s="49">
        <v>29</v>
      </c>
      <c r="O54" s="50">
        <v>33</v>
      </c>
      <c r="P54" s="45">
        <f t="shared" si="3"/>
        <v>0.16400000000000001</v>
      </c>
      <c r="Q54" s="46">
        <f t="shared" si="3"/>
        <v>0.20400000000000001</v>
      </c>
      <c r="R54" s="47">
        <v>29</v>
      </c>
      <c r="S54" s="48">
        <v>33</v>
      </c>
      <c r="T54" s="101"/>
      <c r="U54" s="182">
        <v>51</v>
      </c>
      <c r="V54" s="182">
        <v>0</v>
      </c>
      <c r="W54" s="182">
        <v>165</v>
      </c>
      <c r="X54" s="182">
        <v>250</v>
      </c>
      <c r="AE54" s="33" t="e">
        <f xml:space="preserve"> CONCATENATE(#REF!, ",",#REF!, ",",#REF!)</f>
        <v>#REF!</v>
      </c>
      <c r="AF54" s="33" t="e">
        <f t="shared" si="4"/>
        <v>#REF!</v>
      </c>
    </row>
    <row r="55" spans="1:32" ht="16.899999999999999">
      <c r="A55" s="41">
        <v>52</v>
      </c>
      <c r="B55" s="180">
        <f t="shared" si="0"/>
        <v>0.16</v>
      </c>
      <c r="C55" s="43">
        <f t="shared" si="0"/>
        <v>0.17599999999999999</v>
      </c>
      <c r="D55" s="210">
        <v>0.13033679476069801</v>
      </c>
      <c r="E55" s="210">
        <v>0.19882582334987101</v>
      </c>
      <c r="F55" s="44">
        <v>28</v>
      </c>
      <c r="G55" s="44" t="s">
        <v>147</v>
      </c>
      <c r="H55" s="175">
        <f t="shared" si="1"/>
        <v>0.16</v>
      </c>
      <c r="I55" s="46">
        <f t="shared" si="1"/>
        <v>0.17599999999999999</v>
      </c>
      <c r="J55" s="47">
        <v>28</v>
      </c>
      <c r="K55" s="48" t="s">
        <v>147</v>
      </c>
      <c r="L55" s="42">
        <f t="shared" si="2"/>
        <v>0.16</v>
      </c>
      <c r="M55" s="43">
        <f t="shared" si="2"/>
        <v>0.17599999999999999</v>
      </c>
      <c r="N55" s="49">
        <v>28</v>
      </c>
      <c r="O55" s="50" t="s">
        <v>147</v>
      </c>
      <c r="P55" s="45">
        <f t="shared" si="3"/>
        <v>0.16</v>
      </c>
      <c r="Q55" s="46">
        <f t="shared" si="3"/>
        <v>0.17599999999999999</v>
      </c>
      <c r="R55" s="47">
        <v>28</v>
      </c>
      <c r="S55" s="48" t="s">
        <v>147</v>
      </c>
      <c r="T55" s="102"/>
      <c r="U55" s="182">
        <v>52</v>
      </c>
      <c r="V55" s="182">
        <v>0</v>
      </c>
      <c r="W55" s="182">
        <v>150</v>
      </c>
      <c r="X55" s="182">
        <v>255</v>
      </c>
      <c r="AE55" s="33" t="e">
        <f xml:space="preserve"> CONCATENATE(#REF!, ",",#REF!, ",",#REF!)</f>
        <v>#REF!</v>
      </c>
      <c r="AF55" s="33" t="e">
        <f t="shared" si="4"/>
        <v>#REF!</v>
      </c>
    </row>
    <row r="56" spans="1:32" ht="16.899999999999999">
      <c r="A56" s="41">
        <v>53</v>
      </c>
      <c r="B56" s="180">
        <f t="shared" si="0"/>
        <v>0.16</v>
      </c>
      <c r="C56" s="43">
        <f t="shared" si="0"/>
        <v>0.14799999999999999</v>
      </c>
      <c r="D56" s="210">
        <v>0.13130553546874399</v>
      </c>
      <c r="E56" s="210">
        <v>0.17182941947132599</v>
      </c>
      <c r="F56" s="44">
        <v>28</v>
      </c>
      <c r="G56" s="44">
        <v>25</v>
      </c>
      <c r="H56" s="175">
        <f t="shared" si="1"/>
        <v>0.16</v>
      </c>
      <c r="I56" s="46">
        <f t="shared" si="1"/>
        <v>0.14799999999999999</v>
      </c>
      <c r="J56" s="47">
        <v>28</v>
      </c>
      <c r="K56" s="48">
        <v>25</v>
      </c>
      <c r="L56" s="42">
        <f t="shared" si="2"/>
        <v>0.16</v>
      </c>
      <c r="M56" s="43">
        <f t="shared" si="2"/>
        <v>0.14799999999999999</v>
      </c>
      <c r="N56" s="49">
        <v>28</v>
      </c>
      <c r="O56" s="50">
        <v>25</v>
      </c>
      <c r="P56" s="45">
        <f t="shared" si="3"/>
        <v>0.16</v>
      </c>
      <c r="Q56" s="46">
        <f t="shared" si="3"/>
        <v>0.14799999999999999</v>
      </c>
      <c r="R56" s="47">
        <v>28</v>
      </c>
      <c r="S56" s="48">
        <v>25</v>
      </c>
      <c r="T56" s="103"/>
      <c r="U56" s="182">
        <v>53</v>
      </c>
      <c r="V56" s="182">
        <v>0</v>
      </c>
      <c r="W56" s="182">
        <v>130</v>
      </c>
      <c r="X56" s="182">
        <v>255</v>
      </c>
      <c r="AE56" s="33" t="e">
        <f xml:space="preserve"> CONCATENATE(#REF!, ",",#REF!, ",",#REF!)</f>
        <v>#REF!</v>
      </c>
      <c r="AF56" s="33" t="e">
        <f t="shared" si="4"/>
        <v>#REF!</v>
      </c>
    </row>
    <row r="57" spans="1:32" ht="16.899999999999999">
      <c r="A57" s="41">
        <v>54</v>
      </c>
      <c r="B57" s="180">
        <f t="shared" si="0"/>
        <v>0.156</v>
      </c>
      <c r="C57" s="43">
        <f t="shared" si="0"/>
        <v>0.124</v>
      </c>
      <c r="D57" s="210">
        <v>0.13218246873147699</v>
      </c>
      <c r="E57" s="210">
        <v>0.14767212806024299</v>
      </c>
      <c r="F57" s="44">
        <v>27</v>
      </c>
      <c r="G57" s="44" t="s">
        <v>151</v>
      </c>
      <c r="H57" s="175">
        <f t="shared" si="1"/>
        <v>0.156</v>
      </c>
      <c r="I57" s="46">
        <f t="shared" si="1"/>
        <v>0.124</v>
      </c>
      <c r="J57" s="47">
        <v>27</v>
      </c>
      <c r="K57" s="48" t="s">
        <v>151</v>
      </c>
      <c r="L57" s="42">
        <f t="shared" si="2"/>
        <v>0.156</v>
      </c>
      <c r="M57" s="43">
        <f t="shared" si="2"/>
        <v>0.124</v>
      </c>
      <c r="N57" s="49">
        <v>27</v>
      </c>
      <c r="O57" s="50" t="s">
        <v>151</v>
      </c>
      <c r="P57" s="45">
        <f t="shared" si="3"/>
        <v>0.156</v>
      </c>
      <c r="Q57" s="46">
        <f t="shared" si="3"/>
        <v>0.124</v>
      </c>
      <c r="R57" s="47">
        <v>27</v>
      </c>
      <c r="S57" s="48" t="s">
        <v>151</v>
      </c>
      <c r="T57" s="104"/>
      <c r="U57" s="182">
        <v>54</v>
      </c>
      <c r="V57" s="182">
        <v>0</v>
      </c>
      <c r="W57" s="182">
        <v>110</v>
      </c>
      <c r="X57" s="182">
        <v>255</v>
      </c>
      <c r="AE57" s="33" t="e">
        <f xml:space="preserve"> CONCATENATE(#REF!, ",",#REF!, ",",#REF!)</f>
        <v>#REF!</v>
      </c>
      <c r="AF57" s="33" t="e">
        <f t="shared" si="4"/>
        <v>#REF!</v>
      </c>
    </row>
    <row r="58" spans="1:32" ht="16.899999999999999">
      <c r="A58" s="41">
        <v>55</v>
      </c>
      <c r="B58" s="180">
        <f t="shared" si="0"/>
        <v>0.152</v>
      </c>
      <c r="C58" s="43">
        <f t="shared" si="0"/>
        <v>0.10400000000000001</v>
      </c>
      <c r="D58" s="210">
        <v>0.133121190982737</v>
      </c>
      <c r="E58" s="210">
        <v>0.12187705838532201</v>
      </c>
      <c r="F58" s="44">
        <v>26</v>
      </c>
      <c r="G58" s="44" t="s">
        <v>115</v>
      </c>
      <c r="H58" s="175">
        <f t="shared" si="1"/>
        <v>0.152</v>
      </c>
      <c r="I58" s="46">
        <f t="shared" si="1"/>
        <v>0.10400000000000001</v>
      </c>
      <c r="J58" s="47">
        <v>26</v>
      </c>
      <c r="K58" s="48" t="s">
        <v>115</v>
      </c>
      <c r="L58" s="42">
        <f t="shared" si="2"/>
        <v>0.152</v>
      </c>
      <c r="M58" s="43">
        <f t="shared" si="2"/>
        <v>0.10400000000000001</v>
      </c>
      <c r="N58" s="49">
        <v>26</v>
      </c>
      <c r="O58" s="50" t="s">
        <v>115</v>
      </c>
      <c r="P58" s="45">
        <f t="shared" si="3"/>
        <v>0.152</v>
      </c>
      <c r="Q58" s="46">
        <f t="shared" si="3"/>
        <v>0.10400000000000001</v>
      </c>
      <c r="R58" s="47">
        <v>26</v>
      </c>
      <c r="S58" s="48" t="s">
        <v>115</v>
      </c>
      <c r="T58" s="105"/>
      <c r="U58" s="182">
        <v>55</v>
      </c>
      <c r="V58" s="182">
        <v>0</v>
      </c>
      <c r="W58" s="182">
        <v>90</v>
      </c>
      <c r="X58" s="182">
        <v>255</v>
      </c>
      <c r="AE58" s="33" t="e">
        <f xml:space="preserve"> CONCATENATE(#REF!, ",",#REF!, ",",#REF!)</f>
        <v>#REF!</v>
      </c>
      <c r="AF58" s="33" t="e">
        <f t="shared" si="4"/>
        <v>#REF!</v>
      </c>
    </row>
    <row r="59" spans="1:32" ht="16.899999999999999">
      <c r="A59" s="41">
        <v>56</v>
      </c>
      <c r="B59" s="180">
        <f t="shared" si="0"/>
        <v>0.152</v>
      </c>
      <c r="C59" s="43">
        <f t="shared" si="0"/>
        <v>8.4000000000000005E-2</v>
      </c>
      <c r="D59" s="210">
        <v>0.133937852089895</v>
      </c>
      <c r="E59" s="210">
        <v>9.9506971660703006E-2</v>
      </c>
      <c r="F59" s="44">
        <v>26</v>
      </c>
      <c r="G59" s="44">
        <v>15</v>
      </c>
      <c r="H59" s="175">
        <f t="shared" si="1"/>
        <v>0.152</v>
      </c>
      <c r="I59" s="46">
        <f t="shared" si="1"/>
        <v>8.4000000000000005E-2</v>
      </c>
      <c r="J59" s="47">
        <v>26</v>
      </c>
      <c r="K59" s="48">
        <v>15</v>
      </c>
      <c r="L59" s="42">
        <f t="shared" si="2"/>
        <v>0.152</v>
      </c>
      <c r="M59" s="43">
        <f t="shared" si="2"/>
        <v>8.4000000000000005E-2</v>
      </c>
      <c r="N59" s="49">
        <v>26</v>
      </c>
      <c r="O59" s="50">
        <v>15</v>
      </c>
      <c r="P59" s="45">
        <f t="shared" si="3"/>
        <v>0.152</v>
      </c>
      <c r="Q59" s="46">
        <f t="shared" si="3"/>
        <v>8.4000000000000005E-2</v>
      </c>
      <c r="R59" s="47">
        <v>26</v>
      </c>
      <c r="S59" s="48">
        <v>15</v>
      </c>
      <c r="T59" s="106"/>
      <c r="U59" s="182">
        <v>56</v>
      </c>
      <c r="V59" s="182">
        <v>0</v>
      </c>
      <c r="W59" s="182">
        <v>70</v>
      </c>
      <c r="X59" s="182">
        <v>255</v>
      </c>
      <c r="AE59" s="33" t="e">
        <f xml:space="preserve"> CONCATENATE(#REF!, ",",#REF!, ",",#REF!)</f>
        <v>#REF!</v>
      </c>
      <c r="AF59" s="33" t="e">
        <f t="shared" si="4"/>
        <v>#REF!</v>
      </c>
    </row>
    <row r="60" spans="1:32" ht="16.899999999999999">
      <c r="A60" s="41">
        <v>57</v>
      </c>
      <c r="B60" s="180">
        <f t="shared" si="0"/>
        <v>0.152</v>
      </c>
      <c r="C60" s="43">
        <f t="shared" si="0"/>
        <v>7.2000000000000008E-2</v>
      </c>
      <c r="D60" s="210">
        <v>0.13471685761521901</v>
      </c>
      <c r="E60" s="210">
        <v>7.8430468321258107E-2</v>
      </c>
      <c r="F60" s="44">
        <v>26</v>
      </c>
      <c r="G60" s="44">
        <v>12</v>
      </c>
      <c r="H60" s="175">
        <f t="shared" si="1"/>
        <v>0.14400000000000002</v>
      </c>
      <c r="I60" s="46">
        <f t="shared" si="1"/>
        <v>0.08</v>
      </c>
      <c r="J60" s="47">
        <v>24</v>
      </c>
      <c r="K60" s="48">
        <v>14</v>
      </c>
      <c r="L60" s="42">
        <f t="shared" si="2"/>
        <v>0.14799999999999999</v>
      </c>
      <c r="M60" s="43">
        <f t="shared" si="2"/>
        <v>0.08</v>
      </c>
      <c r="N60" s="49">
        <v>25</v>
      </c>
      <c r="O60" s="50">
        <v>14</v>
      </c>
      <c r="P60" s="45">
        <f t="shared" si="3"/>
        <v>0.14799999999999999</v>
      </c>
      <c r="Q60" s="46">
        <f t="shared" si="3"/>
        <v>0.08</v>
      </c>
      <c r="R60" s="47">
        <v>25</v>
      </c>
      <c r="S60" s="48">
        <v>14</v>
      </c>
      <c r="T60" s="107"/>
      <c r="U60" s="182">
        <v>57</v>
      </c>
      <c r="V60" s="182">
        <v>11</v>
      </c>
      <c r="W60" s="182">
        <v>50</v>
      </c>
      <c r="X60" s="182">
        <v>250</v>
      </c>
      <c r="AE60" s="33" t="e">
        <f xml:space="preserve"> CONCATENATE(#REF!, ",",#REF!, ",",#REF!)</f>
        <v>#REF!</v>
      </c>
      <c r="AF60" s="33" t="e">
        <f t="shared" si="4"/>
        <v>#REF!</v>
      </c>
    </row>
    <row r="61" spans="1:32" ht="16.899999999999999">
      <c r="A61" s="41">
        <v>58</v>
      </c>
      <c r="B61" s="180">
        <f t="shared" si="0"/>
        <v>0.152</v>
      </c>
      <c r="C61" s="43">
        <f t="shared" si="0"/>
        <v>6.8000000000000005E-2</v>
      </c>
      <c r="D61" s="210">
        <v>0.13495602912638599</v>
      </c>
      <c r="E61" s="210">
        <v>7.2192408978863296E-2</v>
      </c>
      <c r="F61" s="44">
        <v>26</v>
      </c>
      <c r="G61" s="44">
        <v>11</v>
      </c>
      <c r="H61" s="175">
        <f t="shared" si="1"/>
        <v>0.14799999999999999</v>
      </c>
      <c r="I61" s="46">
        <f t="shared" si="1"/>
        <v>7.2000000000000008E-2</v>
      </c>
      <c r="J61" s="47">
        <v>25</v>
      </c>
      <c r="K61" s="48">
        <v>12</v>
      </c>
      <c r="L61" s="42">
        <f t="shared" si="2"/>
        <v>0.14799999999999999</v>
      </c>
      <c r="M61" s="43">
        <f t="shared" si="2"/>
        <v>7.2000000000000008E-2</v>
      </c>
      <c r="N61" s="49">
        <v>25</v>
      </c>
      <c r="O61" s="50">
        <v>12</v>
      </c>
      <c r="P61" s="45">
        <f t="shared" si="3"/>
        <v>0.14799999999999999</v>
      </c>
      <c r="Q61" s="46">
        <f t="shared" si="3"/>
        <v>7.2000000000000008E-2</v>
      </c>
      <c r="R61" s="47">
        <v>25</v>
      </c>
      <c r="S61" s="48">
        <v>12</v>
      </c>
      <c r="T61" s="108"/>
      <c r="U61" s="182">
        <v>58</v>
      </c>
      <c r="V61" s="182">
        <v>25</v>
      </c>
      <c r="W61" s="182">
        <v>40</v>
      </c>
      <c r="X61" s="182">
        <v>240</v>
      </c>
      <c r="AE61" s="33" t="e">
        <f xml:space="preserve"> CONCATENATE(#REF!, ",",#REF!, ",",#REF!)</f>
        <v>#REF!</v>
      </c>
      <c r="AF61" s="33" t="e">
        <f t="shared" si="4"/>
        <v>#REF!</v>
      </c>
    </row>
    <row r="62" spans="1:32" ht="16.899999999999999">
      <c r="A62" s="41">
        <v>59</v>
      </c>
      <c r="B62" s="180">
        <f t="shared" si="0"/>
        <v>0.156</v>
      </c>
      <c r="C62" s="43">
        <f t="shared" si="0"/>
        <v>6.8000000000000005E-2</v>
      </c>
      <c r="D62" s="210">
        <v>0.170684157300481</v>
      </c>
      <c r="E62" s="210">
        <v>7.9855165691159802E-2</v>
      </c>
      <c r="F62" s="44">
        <v>27</v>
      </c>
      <c r="G62" s="44">
        <v>11</v>
      </c>
      <c r="H62" s="175">
        <f t="shared" si="1"/>
        <v>0.14799999999999999</v>
      </c>
      <c r="I62" s="46">
        <f t="shared" si="1"/>
        <v>7.2000000000000008E-2</v>
      </c>
      <c r="J62" s="47">
        <v>25</v>
      </c>
      <c r="K62" s="48">
        <v>12</v>
      </c>
      <c r="L62" s="42">
        <f t="shared" si="2"/>
        <v>0.14799999999999999</v>
      </c>
      <c r="M62" s="43">
        <f t="shared" si="2"/>
        <v>7.2000000000000008E-2</v>
      </c>
      <c r="N62" s="49">
        <v>25</v>
      </c>
      <c r="O62" s="50">
        <v>12</v>
      </c>
      <c r="P62" s="45">
        <f t="shared" si="3"/>
        <v>0.14799999999999999</v>
      </c>
      <c r="Q62" s="46">
        <f t="shared" si="3"/>
        <v>7.2000000000000008E-2</v>
      </c>
      <c r="R62" s="47">
        <v>25</v>
      </c>
      <c r="S62" s="48">
        <v>12</v>
      </c>
      <c r="T62" s="109"/>
      <c r="U62" s="182">
        <v>59</v>
      </c>
      <c r="V62" s="182">
        <v>35</v>
      </c>
      <c r="W62" s="182">
        <v>30</v>
      </c>
      <c r="X62" s="182">
        <v>235</v>
      </c>
      <c r="AE62" s="33" t="e">
        <f xml:space="preserve"> CONCATENATE(#REF!, ",",#REF!, ",",#REF!)</f>
        <v>#REF!</v>
      </c>
      <c r="AF62" s="33" t="e">
        <f t="shared" si="4"/>
        <v>#REF!</v>
      </c>
    </row>
    <row r="63" spans="1:32" ht="16.899999999999999">
      <c r="A63" s="41">
        <v>60</v>
      </c>
      <c r="B63" s="180">
        <f t="shared" si="0"/>
        <v>0.16</v>
      </c>
      <c r="C63" s="43">
        <f t="shared" si="0"/>
        <v>6.8000000000000005E-2</v>
      </c>
      <c r="D63" s="210">
        <v>0.17845177434739301</v>
      </c>
      <c r="E63" s="210">
        <v>7.5082924652261407E-2</v>
      </c>
      <c r="F63" s="44">
        <v>28</v>
      </c>
      <c r="G63" s="44">
        <v>11</v>
      </c>
      <c r="H63" s="175">
        <f t="shared" si="1"/>
        <v>0.152</v>
      </c>
      <c r="I63" s="46">
        <f t="shared" si="1"/>
        <v>0.06</v>
      </c>
      <c r="J63" s="47">
        <v>26</v>
      </c>
      <c r="K63" s="48" t="s">
        <v>152</v>
      </c>
      <c r="L63" s="42">
        <f t="shared" si="2"/>
        <v>0.152</v>
      </c>
      <c r="M63" s="43">
        <f t="shared" si="2"/>
        <v>8.4000000000000005E-2</v>
      </c>
      <c r="N63" s="49">
        <v>26</v>
      </c>
      <c r="O63" s="50">
        <v>15</v>
      </c>
      <c r="P63" s="45">
        <f t="shared" si="3"/>
        <v>0.152</v>
      </c>
      <c r="Q63" s="46">
        <f t="shared" si="3"/>
        <v>7.5999999999999998E-2</v>
      </c>
      <c r="R63" s="47">
        <v>26</v>
      </c>
      <c r="S63" s="48">
        <v>13</v>
      </c>
      <c r="T63" s="110"/>
      <c r="U63" s="182">
        <v>60</v>
      </c>
      <c r="V63" s="182">
        <v>45</v>
      </c>
      <c r="W63" s="182">
        <v>20</v>
      </c>
      <c r="X63" s="182">
        <v>225</v>
      </c>
      <c r="AE63" s="33" t="e">
        <f xml:space="preserve"> CONCATENATE(#REF!, ",",#REF!, ",",#REF!)</f>
        <v>#REF!</v>
      </c>
      <c r="AF63" s="33" t="e">
        <f t="shared" si="4"/>
        <v>#REF!</v>
      </c>
    </row>
    <row r="64" spans="1:32" ht="16.899999999999999">
      <c r="A64" s="41">
        <v>61</v>
      </c>
      <c r="B64" s="180">
        <f t="shared" si="0"/>
        <v>0.16400000000000001</v>
      </c>
      <c r="C64" s="43">
        <f t="shared" si="0"/>
        <v>6.8000000000000005E-2</v>
      </c>
      <c r="D64" s="210">
        <v>0.18575619865382501</v>
      </c>
      <c r="E64" s="210">
        <v>7.4330341790780796E-2</v>
      </c>
      <c r="F64" s="44">
        <v>29</v>
      </c>
      <c r="G64" s="44">
        <v>11</v>
      </c>
      <c r="H64" s="175">
        <f t="shared" si="1"/>
        <v>0.152</v>
      </c>
      <c r="I64" s="46">
        <f t="shared" si="1"/>
        <v>7.5999999999999998E-2</v>
      </c>
      <c r="J64" s="47">
        <v>26</v>
      </c>
      <c r="K64" s="48">
        <v>13</v>
      </c>
      <c r="L64" s="42">
        <f t="shared" si="2"/>
        <v>0.152</v>
      </c>
      <c r="M64" s="43">
        <f t="shared" si="2"/>
        <v>7.2000000000000008E-2</v>
      </c>
      <c r="N64" s="49">
        <v>26</v>
      </c>
      <c r="O64" s="50">
        <v>12</v>
      </c>
      <c r="P64" s="45">
        <f t="shared" si="3"/>
        <v>0.152</v>
      </c>
      <c r="Q64" s="46">
        <f t="shared" si="3"/>
        <v>7.2000000000000008E-2</v>
      </c>
      <c r="R64" s="47">
        <v>26</v>
      </c>
      <c r="S64" s="48">
        <v>12</v>
      </c>
      <c r="T64" s="111"/>
      <c r="U64" s="182">
        <v>61</v>
      </c>
      <c r="V64" s="182">
        <v>51</v>
      </c>
      <c r="W64" s="182">
        <v>10</v>
      </c>
      <c r="X64" s="182">
        <v>215</v>
      </c>
      <c r="AE64" s="33" t="e">
        <f xml:space="preserve"> CONCATENATE(#REF!, ",",#REF!, ",",#REF!)</f>
        <v>#REF!</v>
      </c>
      <c r="AF64" s="33" t="e">
        <f t="shared" si="4"/>
        <v>#REF!</v>
      </c>
    </row>
    <row r="65" spans="1:32" ht="16.899999999999999">
      <c r="A65" s="41">
        <v>62</v>
      </c>
      <c r="B65" s="180">
        <f t="shared" si="0"/>
        <v>0.16800000000000001</v>
      </c>
      <c r="C65" s="43">
        <f t="shared" si="0"/>
        <v>7.2000000000000008E-2</v>
      </c>
      <c r="D65" s="210">
        <v>0.196329111741607</v>
      </c>
      <c r="E65" s="210">
        <v>7.76266673182026E-2</v>
      </c>
      <c r="F65" s="44" t="s">
        <v>114</v>
      </c>
      <c r="G65" s="44">
        <v>12</v>
      </c>
      <c r="H65" s="175">
        <f t="shared" si="1"/>
        <v>0.16</v>
      </c>
      <c r="I65" s="46">
        <f t="shared" si="1"/>
        <v>8.7999999999999995E-2</v>
      </c>
      <c r="J65" s="47">
        <v>28</v>
      </c>
      <c r="K65" s="48">
        <v>16</v>
      </c>
      <c r="L65" s="42">
        <f t="shared" si="2"/>
        <v>0.16800000000000001</v>
      </c>
      <c r="M65" s="43">
        <f t="shared" si="2"/>
        <v>9.1999999999999998E-2</v>
      </c>
      <c r="N65" s="49" t="s">
        <v>114</v>
      </c>
      <c r="O65" s="50">
        <v>17</v>
      </c>
      <c r="P65" s="45">
        <f t="shared" si="3"/>
        <v>0.16400000000000001</v>
      </c>
      <c r="Q65" s="46">
        <f t="shared" si="3"/>
        <v>9.1999999999999998E-2</v>
      </c>
      <c r="R65" s="47">
        <v>29</v>
      </c>
      <c r="S65" s="48">
        <v>17</v>
      </c>
      <c r="T65" s="112"/>
      <c r="U65" s="182">
        <v>62</v>
      </c>
      <c r="V65" s="182">
        <v>55</v>
      </c>
      <c r="W65" s="182">
        <v>5</v>
      </c>
      <c r="X65" s="182">
        <v>205</v>
      </c>
      <c r="AE65" s="33" t="e">
        <f xml:space="preserve"> CONCATENATE(#REF!, ",",#REF!, ",",#REF!)</f>
        <v>#REF!</v>
      </c>
      <c r="AF65" s="33" t="e">
        <f t="shared" si="4"/>
        <v>#REF!</v>
      </c>
    </row>
    <row r="66" spans="1:32" ht="16.899999999999999">
      <c r="A66" s="41">
        <v>63</v>
      </c>
      <c r="B66" s="180">
        <f t="shared" si="0"/>
        <v>0.17599999999999999</v>
      </c>
      <c r="C66" s="43">
        <f t="shared" si="0"/>
        <v>7.2000000000000008E-2</v>
      </c>
      <c r="D66" s="210">
        <v>0.20563362567037599</v>
      </c>
      <c r="E66" s="210">
        <v>8.2153086474676396E-2</v>
      </c>
      <c r="F66" s="44" t="s">
        <v>147</v>
      </c>
      <c r="G66" s="44">
        <v>12</v>
      </c>
      <c r="H66" s="175">
        <f t="shared" si="1"/>
        <v>0.16800000000000001</v>
      </c>
      <c r="I66" s="46">
        <f t="shared" si="1"/>
        <v>0.112</v>
      </c>
      <c r="J66" s="47" t="s">
        <v>114</v>
      </c>
      <c r="K66" s="48" t="s">
        <v>153</v>
      </c>
      <c r="L66" s="42">
        <f t="shared" si="2"/>
        <v>0.16800000000000001</v>
      </c>
      <c r="M66" s="43">
        <f t="shared" si="2"/>
        <v>0.1</v>
      </c>
      <c r="N66" s="49" t="s">
        <v>114</v>
      </c>
      <c r="O66" s="50">
        <v>19</v>
      </c>
      <c r="P66" s="45">
        <f t="shared" si="3"/>
        <v>0.16800000000000001</v>
      </c>
      <c r="Q66" s="46">
        <f t="shared" si="3"/>
        <v>9.1999999999999998E-2</v>
      </c>
      <c r="R66" s="47" t="s">
        <v>114</v>
      </c>
      <c r="S66" s="48">
        <v>17</v>
      </c>
      <c r="T66" s="113"/>
      <c r="U66" s="182">
        <v>63</v>
      </c>
      <c r="V66" s="182">
        <v>60</v>
      </c>
      <c r="W66" s="182">
        <v>3</v>
      </c>
      <c r="X66" s="182">
        <v>195</v>
      </c>
      <c r="AE66" s="33" t="e">
        <f xml:space="preserve"> CONCATENATE(#REF!, ",",#REF!, ",",#REF!)</f>
        <v>#REF!</v>
      </c>
      <c r="AF66" s="33" t="e">
        <f t="shared" si="4"/>
        <v>#REF!</v>
      </c>
    </row>
    <row r="67" spans="1:32" ht="16.899999999999999">
      <c r="A67" s="41">
        <v>64</v>
      </c>
      <c r="B67" s="180">
        <f t="shared" si="0"/>
        <v>0.18</v>
      </c>
      <c r="C67" s="43">
        <f t="shared" si="0"/>
        <v>7.5999999999999998E-2</v>
      </c>
      <c r="D67" s="210">
        <v>0.214412883095564</v>
      </c>
      <c r="E67" s="210">
        <v>8.6429934047922402E-2</v>
      </c>
      <c r="F67" s="44" t="s">
        <v>118</v>
      </c>
      <c r="G67" s="44">
        <v>13</v>
      </c>
      <c r="H67" s="175">
        <f t="shared" si="1"/>
        <v>0.156</v>
      </c>
      <c r="I67" s="46">
        <f t="shared" si="1"/>
        <v>7.2000000000000008E-2</v>
      </c>
      <c r="J67" s="47">
        <v>27</v>
      </c>
      <c r="K67" s="48">
        <v>12</v>
      </c>
      <c r="L67" s="42">
        <f t="shared" si="2"/>
        <v>0.16</v>
      </c>
      <c r="M67" s="43">
        <f t="shared" si="2"/>
        <v>7.5999999999999998E-2</v>
      </c>
      <c r="N67" s="49">
        <v>28</v>
      </c>
      <c r="O67" s="50">
        <v>13</v>
      </c>
      <c r="P67" s="45">
        <f t="shared" si="3"/>
        <v>0.16</v>
      </c>
      <c r="Q67" s="46">
        <f t="shared" si="3"/>
        <v>6.8000000000000005E-2</v>
      </c>
      <c r="R67" s="47">
        <v>28</v>
      </c>
      <c r="S67" s="48">
        <v>11</v>
      </c>
      <c r="T67" s="114"/>
      <c r="V67" s="182">
        <v>65</v>
      </c>
      <c r="W67" s="182">
        <v>2</v>
      </c>
      <c r="X67" s="182">
        <v>190</v>
      </c>
      <c r="AE67" s="33" t="e">
        <f xml:space="preserve"> CONCATENATE(#REF!, ",",#REF!, ",",#REF!)</f>
        <v>#REF!</v>
      </c>
      <c r="AF67" s="33" t="e">
        <f t="shared" si="4"/>
        <v>#REF!</v>
      </c>
    </row>
    <row r="68" spans="1:32">
      <c r="A68" s="41">
        <v>65</v>
      </c>
      <c r="B68" s="180">
        <f t="shared" si="0"/>
        <v>0.62</v>
      </c>
      <c r="C68" s="43">
        <f t="shared" si="0"/>
        <v>0.3</v>
      </c>
      <c r="D68" s="43"/>
      <c r="E68" s="43"/>
      <c r="F68" s="44" t="s">
        <v>154</v>
      </c>
      <c r="G68" s="44" t="s">
        <v>155</v>
      </c>
      <c r="H68" s="175">
        <f t="shared" si="1"/>
        <v>0.62</v>
      </c>
      <c r="I68" s="46">
        <f t="shared" si="1"/>
        <v>0.3</v>
      </c>
      <c r="J68" s="115" t="s">
        <v>154</v>
      </c>
      <c r="K68" s="116" t="s">
        <v>155</v>
      </c>
      <c r="L68" s="42">
        <f t="shared" si="2"/>
        <v>0.62</v>
      </c>
      <c r="M68" s="43">
        <f t="shared" si="2"/>
        <v>0.3</v>
      </c>
      <c r="N68" s="117" t="s">
        <v>154</v>
      </c>
      <c r="O68" s="118" t="s">
        <v>155</v>
      </c>
      <c r="P68" s="45">
        <f t="shared" si="3"/>
        <v>0.62</v>
      </c>
      <c r="Q68" s="46">
        <f t="shared" si="3"/>
        <v>0.3</v>
      </c>
      <c r="R68" s="115" t="s">
        <v>154</v>
      </c>
      <c r="S68" s="116" t="s">
        <v>155</v>
      </c>
      <c r="T68" s="119"/>
      <c r="U68" s="182" t="s">
        <v>156</v>
      </c>
      <c r="V68" s="182">
        <v>254</v>
      </c>
      <c r="W68" s="182">
        <v>0</v>
      </c>
      <c r="X68" s="182">
        <v>30</v>
      </c>
      <c r="AE68" s="33" t="e">
        <f xml:space="preserve"> CONCATENATE(#REF!, ",",#REF!, ",",#REF!)</f>
        <v>#REF!</v>
      </c>
      <c r="AF68" s="33" t="e">
        <f t="shared" si="4"/>
        <v>#REF!</v>
      </c>
    </row>
    <row r="69" spans="1:32" ht="16.149999999999999" thickBot="1">
      <c r="A69" s="41">
        <v>66</v>
      </c>
      <c r="B69" s="180">
        <f t="shared" ref="B69:C79" si="5">HEX2DEC(F69) * 0.004</f>
        <v>0.39200000000000002</v>
      </c>
      <c r="C69" s="43">
        <f t="shared" si="5"/>
        <v>0.4</v>
      </c>
      <c r="D69" s="43"/>
      <c r="E69" s="43"/>
      <c r="F69" s="44">
        <v>62</v>
      </c>
      <c r="G69" s="44">
        <v>64</v>
      </c>
      <c r="H69" s="176">
        <f t="shared" ref="H69:I79" si="6">HEX2DEC(J69) * 0.004</f>
        <v>0.39200000000000002</v>
      </c>
      <c r="I69" s="123">
        <f t="shared" si="6"/>
        <v>0.4</v>
      </c>
      <c r="J69" s="124">
        <v>62</v>
      </c>
      <c r="K69" s="125">
        <v>64</v>
      </c>
      <c r="L69" s="120">
        <f t="shared" ref="L69:M79" si="7">HEX2DEC(N69) * 0.004</f>
        <v>0.39200000000000002</v>
      </c>
      <c r="M69" s="121">
        <f t="shared" si="7"/>
        <v>0.4</v>
      </c>
      <c r="N69" s="126">
        <v>62</v>
      </c>
      <c r="O69" s="127">
        <v>64</v>
      </c>
      <c r="P69" s="122">
        <f t="shared" ref="P69:Q79" si="8">HEX2DEC(R69) * 0.004</f>
        <v>0.39200000000000002</v>
      </c>
      <c r="Q69" s="123">
        <f t="shared" si="8"/>
        <v>0.4</v>
      </c>
      <c r="R69" s="124">
        <v>62</v>
      </c>
      <c r="S69" s="125">
        <v>64</v>
      </c>
      <c r="T69" s="128"/>
      <c r="U69" s="182">
        <v>64</v>
      </c>
      <c r="V69" s="182">
        <v>255</v>
      </c>
      <c r="W69" s="182">
        <v>216</v>
      </c>
      <c r="X69" s="182">
        <v>147</v>
      </c>
      <c r="AE69" s="33" t="e">
        <f xml:space="preserve"> CONCATENATE(#REF!, ",",#REF!, ",",#REF!)</f>
        <v>#REF!</v>
      </c>
      <c r="AF69" s="33" t="e">
        <f t="shared" ref="AF69:AF79" si="9">CONCATENATE("{", AE69, "}", ",")</f>
        <v>#REF!</v>
      </c>
    </row>
    <row r="70" spans="1:32" ht="16.149999999999999" thickTop="1">
      <c r="A70" s="41">
        <v>67</v>
      </c>
      <c r="B70" s="181">
        <f t="shared" si="5"/>
        <v>0.26</v>
      </c>
      <c r="C70" s="130">
        <f t="shared" si="5"/>
        <v>0.21199999999999999</v>
      </c>
      <c r="D70" s="130"/>
      <c r="E70" s="130"/>
      <c r="F70" s="138">
        <v>41</v>
      </c>
      <c r="G70" s="138">
        <v>35</v>
      </c>
      <c r="H70" s="177">
        <f t="shared" si="6"/>
        <v>0.25600000000000001</v>
      </c>
      <c r="I70" s="132">
        <f t="shared" si="6"/>
        <v>0.33600000000000002</v>
      </c>
      <c r="J70" s="133">
        <v>40</v>
      </c>
      <c r="K70" s="134">
        <v>54</v>
      </c>
      <c r="L70" s="129">
        <f t="shared" si="7"/>
        <v>0.25600000000000001</v>
      </c>
      <c r="M70" s="130">
        <f t="shared" si="7"/>
        <v>0.32</v>
      </c>
      <c r="N70" s="135">
        <v>40</v>
      </c>
      <c r="O70" s="136">
        <v>50</v>
      </c>
      <c r="P70" s="131">
        <f t="shared" si="8"/>
        <v>0.25600000000000001</v>
      </c>
      <c r="Q70" s="132">
        <f t="shared" si="8"/>
        <v>0.32800000000000001</v>
      </c>
      <c r="R70" s="133">
        <v>40</v>
      </c>
      <c r="S70" s="134">
        <v>52</v>
      </c>
      <c r="T70" s="137"/>
      <c r="U70" s="221" t="s">
        <v>157</v>
      </c>
      <c r="V70" s="184">
        <v>229</v>
      </c>
      <c r="W70" s="184">
        <v>242</v>
      </c>
      <c r="X70" s="184">
        <v>250</v>
      </c>
      <c r="Y70" s="184"/>
      <c r="Z70" s="184"/>
      <c r="AA70" s="184"/>
      <c r="AB70" s="184"/>
      <c r="AC70" s="184"/>
      <c r="AD70" s="184"/>
      <c r="AE70" s="33" t="e">
        <f xml:space="preserve"> CONCATENATE(#REF!, ",",#REF!, ",",#REF!)</f>
        <v>#REF!</v>
      </c>
      <c r="AF70" s="33" t="e">
        <f t="shared" si="9"/>
        <v>#REF!</v>
      </c>
    </row>
    <row r="71" spans="1:32">
      <c r="A71" s="41">
        <v>68</v>
      </c>
      <c r="B71" s="181">
        <f t="shared" si="5"/>
        <v>0.29199999999999998</v>
      </c>
      <c r="C71" s="130">
        <f t="shared" si="5"/>
        <v>0.23200000000000001</v>
      </c>
      <c r="D71" s="130"/>
      <c r="E71" s="130"/>
      <c r="F71" s="138">
        <v>49</v>
      </c>
      <c r="G71" s="138" t="s">
        <v>144</v>
      </c>
      <c r="H71" s="177">
        <f t="shared" si="6"/>
        <v>0.34400000000000003</v>
      </c>
      <c r="I71" s="132">
        <f t="shared" si="6"/>
        <v>0.4</v>
      </c>
      <c r="J71" s="139">
        <v>56</v>
      </c>
      <c r="K71" s="140">
        <v>64</v>
      </c>
      <c r="L71" s="129">
        <f t="shared" si="7"/>
        <v>0.34400000000000003</v>
      </c>
      <c r="M71" s="130">
        <f t="shared" si="7"/>
        <v>0.36799999999999999</v>
      </c>
      <c r="N71" s="141">
        <v>56</v>
      </c>
      <c r="O71" s="142" t="s">
        <v>117</v>
      </c>
      <c r="P71" s="131">
        <f t="shared" si="8"/>
        <v>0.33600000000000002</v>
      </c>
      <c r="Q71" s="132">
        <f t="shared" si="8"/>
        <v>0.372</v>
      </c>
      <c r="R71" s="139">
        <v>54</v>
      </c>
      <c r="S71" s="140" t="s">
        <v>131</v>
      </c>
      <c r="T71" s="143"/>
      <c r="U71" s="221"/>
      <c r="V71" s="184">
        <v>244</v>
      </c>
      <c r="W71" s="184">
        <v>233</v>
      </c>
      <c r="X71" s="184">
        <v>223</v>
      </c>
      <c r="Y71" s="184"/>
      <c r="Z71" s="184"/>
      <c r="AA71" s="184"/>
      <c r="AB71" s="184"/>
      <c r="AC71" s="184"/>
      <c r="AD71" s="184"/>
      <c r="AE71" s="33" t="e">
        <f xml:space="preserve"> CONCATENATE(#REF!, ",",#REF!, ",",#REF!)</f>
        <v>#REF!</v>
      </c>
      <c r="AF71" s="33" t="e">
        <f t="shared" si="9"/>
        <v>#REF!</v>
      </c>
    </row>
    <row r="72" spans="1:32">
      <c r="A72" s="41">
        <v>69</v>
      </c>
      <c r="B72" s="181">
        <f t="shared" si="5"/>
        <v>0.56000000000000005</v>
      </c>
      <c r="C72" s="130">
        <f t="shared" si="5"/>
        <v>0.4</v>
      </c>
      <c r="D72" s="130"/>
      <c r="E72" s="130"/>
      <c r="F72" s="138" t="s">
        <v>158</v>
      </c>
      <c r="G72" s="138">
        <v>64</v>
      </c>
      <c r="H72" s="177">
        <f t="shared" si="6"/>
        <v>0.46400000000000002</v>
      </c>
      <c r="I72" s="132">
        <f t="shared" si="6"/>
        <v>0.47600000000000003</v>
      </c>
      <c r="J72" s="139">
        <v>74</v>
      </c>
      <c r="K72" s="140">
        <v>77</v>
      </c>
      <c r="L72" s="129">
        <f t="shared" si="7"/>
        <v>0.46800000000000003</v>
      </c>
      <c r="M72" s="130">
        <f t="shared" si="7"/>
        <v>0.45600000000000002</v>
      </c>
      <c r="N72" s="141">
        <v>75</v>
      </c>
      <c r="O72" s="142">
        <v>72</v>
      </c>
      <c r="P72" s="131">
        <f t="shared" si="8"/>
        <v>0.44</v>
      </c>
      <c r="Q72" s="132">
        <f t="shared" si="8"/>
        <v>0.45600000000000002</v>
      </c>
      <c r="R72" s="139" t="s">
        <v>133</v>
      </c>
      <c r="S72" s="140">
        <v>72</v>
      </c>
      <c r="T72" s="144"/>
      <c r="U72" s="221"/>
      <c r="V72" s="184">
        <v>254</v>
      </c>
      <c r="W72" s="184">
        <v>168</v>
      </c>
      <c r="X72" s="184">
        <v>17</v>
      </c>
      <c r="Y72" s="184"/>
      <c r="Z72" s="184"/>
      <c r="AA72" s="184"/>
      <c r="AB72" s="184"/>
      <c r="AC72" s="184"/>
      <c r="AD72" s="184"/>
      <c r="AE72" s="33" t="e">
        <f xml:space="preserve"> CONCATENATE(#REF!, ",",#REF!, ",",#REF!)</f>
        <v>#REF!</v>
      </c>
      <c r="AF72" s="33" t="e">
        <f t="shared" si="9"/>
        <v>#REF!</v>
      </c>
    </row>
    <row r="73" spans="1:32">
      <c r="A73" s="41">
        <v>70</v>
      </c>
      <c r="B73" s="181">
        <f t="shared" si="5"/>
        <v>0.70000000000000007</v>
      </c>
      <c r="C73" s="130">
        <f t="shared" si="5"/>
        <v>0.252</v>
      </c>
      <c r="D73" s="130"/>
      <c r="E73" s="130"/>
      <c r="F73" s="138" t="s">
        <v>159</v>
      </c>
      <c r="G73" s="138" t="s">
        <v>160</v>
      </c>
      <c r="H73" s="177">
        <f t="shared" si="6"/>
        <v>0.70000000000000007</v>
      </c>
      <c r="I73" s="132">
        <f t="shared" si="6"/>
        <v>0.252</v>
      </c>
      <c r="J73" s="139" t="s">
        <v>159</v>
      </c>
      <c r="K73" s="140" t="s">
        <v>160</v>
      </c>
      <c r="L73" s="129">
        <f t="shared" si="7"/>
        <v>0.70000000000000007</v>
      </c>
      <c r="M73" s="130">
        <f t="shared" si="7"/>
        <v>0.252</v>
      </c>
      <c r="N73" s="141" t="s">
        <v>159</v>
      </c>
      <c r="O73" s="142" t="s">
        <v>160</v>
      </c>
      <c r="P73" s="131">
        <f t="shared" si="8"/>
        <v>0.70000000000000007</v>
      </c>
      <c r="Q73" s="132">
        <f t="shared" si="8"/>
        <v>0.252</v>
      </c>
      <c r="R73" s="139" t="s">
        <v>159</v>
      </c>
      <c r="S73" s="140" t="s">
        <v>160</v>
      </c>
      <c r="T73" s="145"/>
      <c r="U73" s="221"/>
      <c r="V73" s="184">
        <v>233</v>
      </c>
      <c r="W73" s="184">
        <v>62</v>
      </c>
      <c r="X73" s="184">
        <v>62</v>
      </c>
      <c r="Y73" s="184"/>
      <c r="Z73" s="184"/>
      <c r="AA73" s="184"/>
      <c r="AB73" s="184"/>
      <c r="AC73" s="184"/>
      <c r="AD73" s="184"/>
      <c r="AE73" s="33" t="e">
        <f xml:space="preserve"> CONCATENATE(#REF!, ",",#REF!, ",",#REF!)</f>
        <v>#REF!</v>
      </c>
      <c r="AF73" s="33" t="e">
        <f t="shared" si="9"/>
        <v>#REF!</v>
      </c>
    </row>
    <row r="74" spans="1:32">
      <c r="A74" s="41">
        <v>71</v>
      </c>
      <c r="B74" s="181">
        <f t="shared" si="5"/>
        <v>0.252</v>
      </c>
      <c r="C74" s="130">
        <f t="shared" si="5"/>
        <v>0.06</v>
      </c>
      <c r="D74" s="130"/>
      <c r="E74" s="130"/>
      <c r="F74" s="138" t="s">
        <v>160</v>
      </c>
      <c r="G74" s="138" t="s">
        <v>152</v>
      </c>
      <c r="H74" s="177">
        <f t="shared" si="6"/>
        <v>0.252</v>
      </c>
      <c r="I74" s="132">
        <f t="shared" si="6"/>
        <v>0.11600000000000001</v>
      </c>
      <c r="J74" s="139" t="s">
        <v>160</v>
      </c>
      <c r="K74" s="140" t="s">
        <v>161</v>
      </c>
      <c r="L74" s="129">
        <f t="shared" si="7"/>
        <v>0.252</v>
      </c>
      <c r="M74" s="130">
        <f t="shared" si="7"/>
        <v>0.06</v>
      </c>
      <c r="N74" s="141" t="s">
        <v>160</v>
      </c>
      <c r="O74" s="142" t="s">
        <v>152</v>
      </c>
      <c r="P74" s="131">
        <f t="shared" si="8"/>
        <v>0.252</v>
      </c>
      <c r="Q74" s="132">
        <f t="shared" si="8"/>
        <v>0.06</v>
      </c>
      <c r="R74" s="139" t="s">
        <v>160</v>
      </c>
      <c r="S74" s="140" t="s">
        <v>152</v>
      </c>
      <c r="T74" s="146"/>
      <c r="U74" s="221"/>
      <c r="V74" s="184">
        <v>187</v>
      </c>
      <c r="W74" s="184">
        <v>15</v>
      </c>
      <c r="X74" s="184">
        <v>236</v>
      </c>
      <c r="Y74" s="184"/>
      <c r="Z74" s="184"/>
      <c r="AA74" s="184"/>
      <c r="AB74" s="184"/>
      <c r="AC74" s="184"/>
      <c r="AD74" s="184"/>
      <c r="AE74" s="33" t="e">
        <f xml:space="preserve"> CONCATENATE(#REF!, ",",#REF!, ",",#REF!)</f>
        <v>#REF!</v>
      </c>
      <c r="AF74" s="33" t="e">
        <f t="shared" si="9"/>
        <v>#REF!</v>
      </c>
    </row>
    <row r="75" spans="1:32">
      <c r="A75" s="41">
        <v>72</v>
      </c>
      <c r="B75" s="181">
        <f t="shared" si="5"/>
        <v>0.2</v>
      </c>
      <c r="C75" s="130">
        <f t="shared" si="5"/>
        <v>0.06</v>
      </c>
      <c r="D75" s="130"/>
      <c r="E75" s="130"/>
      <c r="F75" s="138">
        <v>32</v>
      </c>
      <c r="G75" s="138" t="s">
        <v>152</v>
      </c>
      <c r="H75" s="177">
        <f t="shared" si="6"/>
        <v>0.16800000000000001</v>
      </c>
      <c r="I75" s="132">
        <f t="shared" si="6"/>
        <v>8.4000000000000005E-2</v>
      </c>
      <c r="J75" s="139" t="s">
        <v>114</v>
      </c>
      <c r="K75" s="140">
        <v>15</v>
      </c>
      <c r="L75" s="129">
        <f t="shared" si="7"/>
        <v>0.16800000000000001</v>
      </c>
      <c r="M75" s="130">
        <f t="shared" si="7"/>
        <v>9.6000000000000002E-2</v>
      </c>
      <c r="N75" s="141" t="s">
        <v>114</v>
      </c>
      <c r="O75" s="142">
        <v>18</v>
      </c>
      <c r="P75" s="131">
        <f t="shared" si="8"/>
        <v>0.16800000000000001</v>
      </c>
      <c r="Q75" s="132">
        <f t="shared" si="8"/>
        <v>9.1999999999999998E-2</v>
      </c>
      <c r="R75" s="139" t="s">
        <v>114</v>
      </c>
      <c r="S75" s="140">
        <v>17</v>
      </c>
      <c r="T75" s="147"/>
      <c r="U75" s="221"/>
      <c r="V75" s="184">
        <v>138</v>
      </c>
      <c r="W75" s="184">
        <v>37</v>
      </c>
      <c r="X75" s="184">
        <v>252</v>
      </c>
      <c r="Y75" s="184"/>
      <c r="Z75" s="184"/>
      <c r="AA75" s="184"/>
      <c r="AB75" s="184"/>
      <c r="AC75" s="184"/>
      <c r="AD75" s="184"/>
      <c r="AE75" s="33" t="e">
        <f xml:space="preserve"> CONCATENATE(#REF!, ",",#REF!, ",",#REF!)</f>
        <v>#REF!</v>
      </c>
      <c r="AF75" s="33" t="e">
        <f t="shared" si="9"/>
        <v>#REF!</v>
      </c>
    </row>
    <row r="76" spans="1:32">
      <c r="A76" s="41">
        <v>73</v>
      </c>
      <c r="B76" s="181">
        <f t="shared" si="5"/>
        <v>0.16</v>
      </c>
      <c r="C76" s="130">
        <f t="shared" si="5"/>
        <v>7.2000000000000008E-2</v>
      </c>
      <c r="D76" s="130"/>
      <c r="E76" s="130"/>
      <c r="F76" s="138">
        <v>28</v>
      </c>
      <c r="G76" s="138">
        <v>12</v>
      </c>
      <c r="H76" s="177">
        <f t="shared" si="6"/>
        <v>0.16</v>
      </c>
      <c r="I76" s="132">
        <f t="shared" si="6"/>
        <v>0.17200000000000001</v>
      </c>
      <c r="J76" s="139">
        <v>28</v>
      </c>
      <c r="K76" s="140" t="s">
        <v>148</v>
      </c>
      <c r="L76" s="129">
        <f t="shared" si="7"/>
        <v>0.16400000000000001</v>
      </c>
      <c r="M76" s="130">
        <f t="shared" si="7"/>
        <v>0.188</v>
      </c>
      <c r="N76" s="141">
        <v>29</v>
      </c>
      <c r="O76" s="142" t="s">
        <v>113</v>
      </c>
      <c r="P76" s="131">
        <f t="shared" si="8"/>
        <v>0.16400000000000001</v>
      </c>
      <c r="Q76" s="132">
        <f t="shared" si="8"/>
        <v>0.18</v>
      </c>
      <c r="R76" s="139">
        <v>29</v>
      </c>
      <c r="S76" s="140" t="s">
        <v>118</v>
      </c>
      <c r="T76" s="148"/>
      <c r="U76" s="221"/>
      <c r="V76" s="184">
        <v>24</v>
      </c>
      <c r="W76" s="184">
        <v>142</v>
      </c>
      <c r="X76" s="184">
        <v>253</v>
      </c>
      <c r="Y76" s="184"/>
      <c r="Z76" s="184"/>
      <c r="AA76" s="184"/>
      <c r="AB76" s="184"/>
      <c r="AC76" s="184"/>
      <c r="AD76" s="184"/>
      <c r="AE76" s="33" t="e">
        <f xml:space="preserve"> CONCATENATE(#REF!, ",",#REF!, ",",#REF!)</f>
        <v>#REF!</v>
      </c>
      <c r="AF76" s="33" t="e">
        <f t="shared" si="9"/>
        <v>#REF!</v>
      </c>
    </row>
    <row r="77" spans="1:32">
      <c r="A77" s="41">
        <v>74</v>
      </c>
      <c r="B77" s="181">
        <f t="shared" si="5"/>
        <v>0.1</v>
      </c>
      <c r="C77" s="130">
        <f t="shared" si="5"/>
        <v>0.14000000000000001</v>
      </c>
      <c r="D77" s="130"/>
      <c r="E77" s="130"/>
      <c r="F77" s="138">
        <v>19</v>
      </c>
      <c r="G77" s="138">
        <v>23</v>
      </c>
      <c r="H77" s="177">
        <f t="shared" si="6"/>
        <v>0.18</v>
      </c>
      <c r="I77" s="132">
        <f t="shared" si="6"/>
        <v>0.33600000000000002</v>
      </c>
      <c r="J77" s="149" t="s">
        <v>118</v>
      </c>
      <c r="K77" s="150">
        <v>54</v>
      </c>
      <c r="L77" s="129">
        <f t="shared" si="7"/>
        <v>0.18</v>
      </c>
      <c r="M77" s="130">
        <f t="shared" si="7"/>
        <v>0.33600000000000002</v>
      </c>
      <c r="N77" s="151" t="s">
        <v>118</v>
      </c>
      <c r="O77" s="152">
        <v>54</v>
      </c>
      <c r="P77" s="131">
        <f t="shared" si="8"/>
        <v>0.188</v>
      </c>
      <c r="Q77" s="132">
        <f t="shared" si="8"/>
        <v>0.34400000000000003</v>
      </c>
      <c r="R77" s="149" t="s">
        <v>113</v>
      </c>
      <c r="S77" s="150">
        <v>56</v>
      </c>
      <c r="T77" s="153"/>
      <c r="U77" s="221"/>
      <c r="V77" s="184">
        <v>3</v>
      </c>
      <c r="W77" s="184">
        <v>199</v>
      </c>
      <c r="X77" s="184">
        <v>192</v>
      </c>
      <c r="Y77" s="184"/>
      <c r="Z77" s="184"/>
      <c r="AA77" s="184"/>
      <c r="AB77" s="184"/>
      <c r="AC77" s="184"/>
      <c r="AD77" s="184"/>
      <c r="AE77" s="33" t="e">
        <f xml:space="preserve"> CONCATENATE(#REF!, ",",#REF!, ",",#REF!)</f>
        <v>#REF!</v>
      </c>
      <c r="AF77" s="33" t="e">
        <f t="shared" si="9"/>
        <v>#REF!</v>
      </c>
    </row>
    <row r="78" spans="1:32">
      <c r="A78" s="41">
        <v>75</v>
      </c>
      <c r="B78" s="181">
        <f t="shared" si="5"/>
        <v>0.13200000000000001</v>
      </c>
      <c r="C78" s="130">
        <f t="shared" si="5"/>
        <v>0.6</v>
      </c>
      <c r="D78" s="130"/>
      <c r="E78" s="130"/>
      <c r="F78" s="138">
        <v>21</v>
      </c>
      <c r="G78" s="138">
        <v>96</v>
      </c>
      <c r="H78" s="177">
        <f t="shared" si="6"/>
        <v>0.27600000000000002</v>
      </c>
      <c r="I78" s="132">
        <f t="shared" si="6"/>
        <v>0.55200000000000005</v>
      </c>
      <c r="J78" s="139">
        <v>45</v>
      </c>
      <c r="K78" s="140" t="s">
        <v>142</v>
      </c>
      <c r="L78" s="129">
        <f t="shared" si="7"/>
        <v>0.29199999999999998</v>
      </c>
      <c r="M78" s="130">
        <f t="shared" si="7"/>
        <v>0.58399999999999996</v>
      </c>
      <c r="N78" s="141">
        <v>49</v>
      </c>
      <c r="O78" s="142">
        <v>92</v>
      </c>
      <c r="P78" s="131">
        <f t="shared" si="8"/>
        <v>0.28800000000000003</v>
      </c>
      <c r="Q78" s="132">
        <f t="shared" si="8"/>
        <v>0.61599999999999999</v>
      </c>
      <c r="R78" s="139">
        <v>48</v>
      </c>
      <c r="S78" s="140" t="s">
        <v>121</v>
      </c>
      <c r="T78" s="154"/>
      <c r="U78" s="221"/>
      <c r="V78" s="184">
        <v>128</v>
      </c>
      <c r="W78" s="184">
        <v>215</v>
      </c>
      <c r="X78" s="184">
        <v>21</v>
      </c>
      <c r="Y78" s="184"/>
      <c r="Z78" s="184"/>
      <c r="AA78" s="184"/>
      <c r="AB78" s="184"/>
      <c r="AC78" s="184"/>
      <c r="AD78" s="184"/>
      <c r="AE78" s="33" t="e">
        <f xml:space="preserve"> CONCATENATE(#REF!, ",",#REF!, ",",#REF!)</f>
        <v>#REF!</v>
      </c>
      <c r="AF78" s="33" t="e">
        <f t="shared" si="9"/>
        <v>#REF!</v>
      </c>
    </row>
    <row r="79" spans="1:32" ht="16.149999999999999" thickBot="1">
      <c r="A79" s="41">
        <v>76</v>
      </c>
      <c r="B79" s="181">
        <f t="shared" si="5"/>
        <v>0.192</v>
      </c>
      <c r="C79" s="130">
        <f t="shared" si="5"/>
        <v>0.16</v>
      </c>
      <c r="D79" s="130"/>
      <c r="E79" s="130"/>
      <c r="F79" s="138">
        <v>30</v>
      </c>
      <c r="G79" s="138">
        <v>28</v>
      </c>
      <c r="H79" s="178">
        <f t="shared" si="6"/>
        <v>0.19600000000000001</v>
      </c>
      <c r="I79" s="158">
        <f t="shared" si="6"/>
        <v>0.24399999999999999</v>
      </c>
      <c r="J79" s="159">
        <v>31</v>
      </c>
      <c r="K79" s="160" t="s">
        <v>119</v>
      </c>
      <c r="L79" s="155">
        <f t="shared" si="7"/>
        <v>0.22</v>
      </c>
      <c r="M79" s="156">
        <f t="shared" si="7"/>
        <v>0.28400000000000003</v>
      </c>
      <c r="N79" s="161">
        <v>37</v>
      </c>
      <c r="O79" s="162">
        <v>47</v>
      </c>
      <c r="P79" s="157">
        <f t="shared" si="8"/>
        <v>0.224</v>
      </c>
      <c r="Q79" s="158">
        <f t="shared" si="8"/>
        <v>0.28800000000000003</v>
      </c>
      <c r="R79" s="159">
        <v>38</v>
      </c>
      <c r="S79" s="160">
        <v>48</v>
      </c>
      <c r="T79" s="163"/>
      <c r="U79" s="221"/>
      <c r="V79" s="184">
        <v>183</v>
      </c>
      <c r="W79" s="184">
        <v>228</v>
      </c>
      <c r="X79" s="184">
        <v>252</v>
      </c>
      <c r="Y79" s="184"/>
      <c r="Z79" s="184"/>
      <c r="AA79" s="184"/>
      <c r="AB79" s="184"/>
      <c r="AC79" s="184"/>
      <c r="AD79" s="184"/>
      <c r="AE79" s="33" t="e">
        <f xml:space="preserve"> CONCATENATE(#REF!, ",",#REF!, ",",#REF!)</f>
        <v>#REF!</v>
      </c>
      <c r="AF79" s="33" t="e">
        <f t="shared" si="9"/>
        <v>#REF!</v>
      </c>
    </row>
    <row r="80" spans="1:32" ht="16.149999999999999" thickTop="1">
      <c r="A80" s="164" t="s">
        <v>162</v>
      </c>
      <c r="B80" s="165" t="s">
        <v>162</v>
      </c>
      <c r="C80" s="165" t="s">
        <v>162</v>
      </c>
      <c r="D80" s="165"/>
      <c r="E80" s="165"/>
      <c r="F80" s="165" t="s">
        <v>162</v>
      </c>
      <c r="G80" s="165" t="s">
        <v>162</v>
      </c>
      <c r="H80" s="165" t="s">
        <v>162</v>
      </c>
      <c r="I80" s="165" t="s">
        <v>162</v>
      </c>
      <c r="J80" s="165" t="s">
        <v>162</v>
      </c>
      <c r="K80" s="165" t="s">
        <v>162</v>
      </c>
      <c r="L80" s="165" t="s">
        <v>162</v>
      </c>
      <c r="M80" s="165" t="s">
        <v>162</v>
      </c>
      <c r="N80" s="165" t="s">
        <v>162</v>
      </c>
      <c r="O80" s="165" t="s">
        <v>162</v>
      </c>
      <c r="P80" s="165" t="s">
        <v>162</v>
      </c>
      <c r="Q80" s="165" t="s">
        <v>162</v>
      </c>
      <c r="R80" s="165" t="s">
        <v>162</v>
      </c>
      <c r="S80" s="165" t="s">
        <v>162</v>
      </c>
      <c r="T80" s="164" t="s">
        <v>162</v>
      </c>
    </row>
  </sheetData>
  <mergeCells count="9">
    <mergeCell ref="Y3:AA3"/>
    <mergeCell ref="AB3:AD3"/>
    <mergeCell ref="U70:U79"/>
    <mergeCell ref="A2:A3"/>
    <mergeCell ref="H2:K2"/>
    <mergeCell ref="L2:O2"/>
    <mergeCell ref="P2:S2"/>
    <mergeCell ref="B2:G2"/>
    <mergeCell ref="U3:X3"/>
  </mergeCells>
  <phoneticPr fontId="2" type="noConversion"/>
  <pageMargins left="0.7" right="0.7" top="0.75" bottom="0.75" header="0.3" footer="0.3"/>
  <pageSetup paperSize="9" orientation="portrait"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8E8D-790D-4905-8A7B-72A5073E37D5}">
  <dimension ref="B2:L17"/>
  <sheetViews>
    <sheetView workbookViewId="0">
      <selection activeCell="B34" sqref="B34"/>
    </sheetView>
  </sheetViews>
  <sheetFormatPr defaultRowHeight="16.899999999999999"/>
  <sheetData>
    <row r="2" spans="2:12">
      <c r="B2" s="229" t="s">
        <v>163</v>
      </c>
      <c r="C2" s="229"/>
      <c r="D2" s="229"/>
      <c r="E2" s="229"/>
      <c r="F2" s="229"/>
      <c r="G2" s="229"/>
      <c r="H2" s="229"/>
      <c r="I2" s="229"/>
      <c r="J2" s="229"/>
      <c r="K2" s="229"/>
      <c r="L2" s="229"/>
    </row>
    <row r="3" spans="2:12">
      <c r="B3" t="s">
        <v>164</v>
      </c>
    </row>
    <row r="17" spans="2:2">
      <c r="B17" t="s">
        <v>165</v>
      </c>
    </row>
  </sheetData>
  <mergeCells count="1">
    <mergeCell ref="B2:L2"/>
  </mergeCells>
  <phoneticPr fontId="2" type="noConversion"/>
  <pageMargins left="0.7" right="0.7" top="0.75" bottom="0.75" header="0.3" footer="0.3"/>
  <pageSetup paperSize="9" orientation="portrait" verticalDpi="0" r:id="rId1"/>
  <headerFooter>
    <oddHeader>&amp;C&amp;G</oddHeader>
    <oddFooter>&amp;C&amp;1#&amp;"맑은 고딕"&amp;6&amp;K737373 / 1628615@mobis.co.kr / 본 문서는 현대모비스의 대외비 정보자산이므로 무단 전재 및 복제할 수 없으며, 위반 시 당사 사규 및 관련 법규에 의해 제재될 수 있습니다.</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E77F-B944-4C4D-83F2-2290280B0C16}">
  <dimension ref="A1:CP79"/>
  <sheetViews>
    <sheetView zoomScale="70" zoomScaleNormal="70" workbookViewId="0">
      <selection activeCell="CN2" sqref="CN2:CP66"/>
    </sheetView>
  </sheetViews>
  <sheetFormatPr defaultRowHeight="16.899999999999999"/>
  <cols>
    <col min="3" max="4" width="8.6875" style="185"/>
    <col min="7" max="7" width="8.8125" customWidth="1"/>
    <col min="8" max="14" width="8.8125" hidden="1" customWidth="1"/>
    <col min="15" max="15" width="14.375" hidden="1" customWidth="1"/>
    <col min="16" max="16" width="12.875" hidden="1" customWidth="1"/>
    <col min="17" max="58" width="8.8125" hidden="1" customWidth="1"/>
    <col min="59" max="61" width="0" hidden="1" customWidth="1"/>
    <col min="62" max="73" width="8.8125" hidden="1" customWidth="1"/>
    <col min="74" max="85" width="8.8125" customWidth="1"/>
  </cols>
  <sheetData>
    <row r="1" spans="1:94">
      <c r="A1" s="189"/>
      <c r="B1" s="230" t="s">
        <v>205</v>
      </c>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190"/>
      <c r="AF1" s="190"/>
      <c r="AG1" s="230" t="s">
        <v>206</v>
      </c>
      <c r="AH1" s="230"/>
      <c r="AI1" s="230"/>
      <c r="AJ1" s="230"/>
      <c r="AK1" s="230"/>
      <c r="AL1" s="230"/>
      <c r="AM1" s="230"/>
      <c r="AN1" s="230"/>
      <c r="AO1" s="230"/>
      <c r="AP1" s="230"/>
      <c r="AQ1" s="230"/>
      <c r="AR1" s="230"/>
      <c r="AS1" s="230"/>
      <c r="AT1" s="230"/>
      <c r="AU1" s="230"/>
      <c r="AV1" s="230"/>
      <c r="AW1" s="230"/>
      <c r="AX1" s="230"/>
      <c r="AY1" s="230"/>
      <c r="AZ1" s="185"/>
      <c r="BA1" s="185"/>
      <c r="BB1" s="185"/>
      <c r="BC1" s="185"/>
      <c r="BD1" s="185"/>
      <c r="BE1" s="185"/>
      <c r="BG1" s="231" t="s">
        <v>280</v>
      </c>
      <c r="BH1" s="231"/>
      <c r="BI1" s="231"/>
      <c r="BJ1" s="185"/>
      <c r="BK1" s="185"/>
      <c r="BL1" s="185"/>
      <c r="BM1" s="185"/>
      <c r="BN1" s="185"/>
      <c r="BO1" s="185"/>
      <c r="BP1" s="185"/>
      <c r="BQ1" s="185"/>
      <c r="BR1" s="185"/>
      <c r="BS1" s="185"/>
      <c r="BT1" s="185"/>
      <c r="BU1" s="185"/>
      <c r="BV1" s="185"/>
      <c r="BW1" s="185"/>
      <c r="BX1" s="185"/>
      <c r="BY1" s="185"/>
      <c r="BZ1" s="185"/>
      <c r="CA1" s="185"/>
      <c r="CB1" s="185"/>
      <c r="CC1" s="185"/>
      <c r="CD1" s="185"/>
      <c r="CE1" s="185"/>
      <c r="CF1" s="185"/>
      <c r="CG1" s="185"/>
      <c r="CH1" s="231" t="s">
        <v>281</v>
      </c>
      <c r="CI1" s="231"/>
      <c r="CJ1" s="231"/>
    </row>
    <row r="2" spans="1:94" ht="18">
      <c r="A2" s="189"/>
      <c r="B2" s="190" t="s">
        <v>259</v>
      </c>
      <c r="C2" s="190" t="s">
        <v>197</v>
      </c>
      <c r="D2" s="190" t="s">
        <v>198</v>
      </c>
      <c r="E2" s="190" t="s">
        <v>199</v>
      </c>
      <c r="F2" s="190" t="s">
        <v>200</v>
      </c>
      <c r="G2" s="190" t="s">
        <v>201</v>
      </c>
      <c r="H2" s="190" t="s">
        <v>251</v>
      </c>
      <c r="I2" s="190" t="s">
        <v>252</v>
      </c>
      <c r="J2" s="190" t="s">
        <v>253</v>
      </c>
      <c r="K2" s="190" t="s">
        <v>263</v>
      </c>
      <c r="L2" s="190" t="s">
        <v>264</v>
      </c>
      <c r="M2" s="190" t="s">
        <v>265</v>
      </c>
      <c r="N2" s="190" t="s">
        <v>256</v>
      </c>
      <c r="O2" s="190" t="s">
        <v>257</v>
      </c>
      <c r="P2" s="190" t="s">
        <v>258</v>
      </c>
      <c r="Q2" s="190" t="s">
        <v>254</v>
      </c>
      <c r="R2" s="190" t="s">
        <v>255</v>
      </c>
      <c r="S2" s="190" t="s">
        <v>207</v>
      </c>
      <c r="T2" s="191" t="s">
        <v>224</v>
      </c>
      <c r="U2" s="190"/>
      <c r="V2" s="190"/>
      <c r="W2" s="190"/>
      <c r="X2" s="190"/>
      <c r="Y2" s="190"/>
      <c r="Z2" s="190"/>
      <c r="AA2" s="190"/>
      <c r="AB2" s="190" t="s">
        <v>202</v>
      </c>
      <c r="AC2" s="190" t="s">
        <v>203</v>
      </c>
      <c r="AD2" s="190" t="s">
        <v>204</v>
      </c>
      <c r="AE2" s="190"/>
      <c r="AF2" s="190"/>
      <c r="AG2" s="190" t="s">
        <v>259</v>
      </c>
      <c r="AH2" s="190" t="s">
        <v>109</v>
      </c>
      <c r="AI2" s="190" t="s">
        <v>110</v>
      </c>
      <c r="AJ2" s="190" t="s">
        <v>260</v>
      </c>
      <c r="AK2" s="190" t="s">
        <v>261</v>
      </c>
      <c r="AL2" s="190" t="s">
        <v>262</v>
      </c>
      <c r="AM2" s="190" t="s">
        <v>251</v>
      </c>
      <c r="AN2" s="190" t="s">
        <v>252</v>
      </c>
      <c r="AO2" s="190" t="s">
        <v>253</v>
      </c>
      <c r="AP2" s="190" t="s">
        <v>263</v>
      </c>
      <c r="AQ2" s="190" t="s">
        <v>264</v>
      </c>
      <c r="AR2" s="190" t="s">
        <v>265</v>
      </c>
      <c r="AS2" s="190" t="s">
        <v>256</v>
      </c>
      <c r="AT2" s="190" t="s">
        <v>257</v>
      </c>
      <c r="AU2" s="190" t="s">
        <v>258</v>
      </c>
      <c r="AV2" s="190" t="s">
        <v>266</v>
      </c>
      <c r="AW2" s="190" t="s">
        <v>267</v>
      </c>
      <c r="AX2" s="190" t="s">
        <v>268</v>
      </c>
      <c r="AY2" s="192" t="s">
        <v>269</v>
      </c>
      <c r="AZ2" s="209" t="s">
        <v>277</v>
      </c>
      <c r="BA2" s="209" t="s">
        <v>278</v>
      </c>
      <c r="BB2" s="209" t="s">
        <v>279</v>
      </c>
      <c r="BC2" s="209" t="s">
        <v>271</v>
      </c>
      <c r="BD2" s="209" t="s">
        <v>273</v>
      </c>
      <c r="BE2" s="209" t="s">
        <v>275</v>
      </c>
      <c r="BF2" s="209"/>
      <c r="BG2" s="185" t="s">
        <v>271</v>
      </c>
      <c r="BH2" s="185" t="s">
        <v>273</v>
      </c>
      <c r="BI2" s="185" t="s">
        <v>275</v>
      </c>
      <c r="BJ2" s="190" t="s">
        <v>251</v>
      </c>
      <c r="BK2" s="190" t="s">
        <v>252</v>
      </c>
      <c r="BL2" s="190" t="s">
        <v>253</v>
      </c>
      <c r="BM2" s="190" t="s">
        <v>263</v>
      </c>
      <c r="BN2" s="190" t="s">
        <v>264</v>
      </c>
      <c r="BO2" s="190" t="s">
        <v>265</v>
      </c>
      <c r="BP2" s="190" t="s">
        <v>256</v>
      </c>
      <c r="BQ2" s="190" t="s">
        <v>257</v>
      </c>
      <c r="BR2" s="190" t="s">
        <v>258</v>
      </c>
      <c r="BS2" s="190" t="s">
        <v>254</v>
      </c>
      <c r="BT2" s="190" t="s">
        <v>255</v>
      </c>
      <c r="BU2" s="190" t="s">
        <v>207</v>
      </c>
      <c r="BV2" s="185"/>
      <c r="BW2" s="209" t="s">
        <v>277</v>
      </c>
      <c r="BX2" s="213" t="s">
        <v>284</v>
      </c>
      <c r="BY2" s="213" t="s">
        <v>285</v>
      </c>
      <c r="BZ2" s="190" t="s">
        <v>199</v>
      </c>
      <c r="CA2" s="190" t="s">
        <v>200</v>
      </c>
      <c r="CB2" s="190" t="s">
        <v>201</v>
      </c>
      <c r="CC2" s="209" t="s">
        <v>286</v>
      </c>
      <c r="CD2" s="209" t="s">
        <v>287</v>
      </c>
      <c r="CE2" s="185"/>
      <c r="CF2" s="185"/>
      <c r="CG2" s="185"/>
      <c r="CH2" s="185" t="s">
        <v>271</v>
      </c>
      <c r="CI2" s="185" t="s">
        <v>273</v>
      </c>
      <c r="CJ2" s="185" t="s">
        <v>275</v>
      </c>
      <c r="CK2" s="185" t="s">
        <v>199</v>
      </c>
      <c r="CL2" s="185" t="s">
        <v>200</v>
      </c>
      <c r="CM2" s="185" t="s">
        <v>201</v>
      </c>
      <c r="CN2" s="185" t="s">
        <v>199</v>
      </c>
      <c r="CO2" s="185" t="s">
        <v>200</v>
      </c>
      <c r="CP2" s="185" t="s">
        <v>201</v>
      </c>
    </row>
    <row r="3" spans="1:94" ht="18">
      <c r="A3" s="190">
        <v>1</v>
      </c>
      <c r="B3" s="190">
        <v>5.4489999999999998</v>
      </c>
      <c r="C3" s="190">
        <v>0.188</v>
      </c>
      <c r="D3" s="190">
        <v>7.2000000000000008E-2</v>
      </c>
      <c r="E3" s="193">
        <v>70</v>
      </c>
      <c r="F3" s="193">
        <v>1</v>
      </c>
      <c r="G3" s="193">
        <v>185</v>
      </c>
      <c r="H3" s="193">
        <f>IF(E3/255&gt;0.04045,(((E3/255)+0.055)/1.055)^2.2,(E3/255)/12.92)</f>
        <v>7.7295629484402342E-2</v>
      </c>
      <c r="I3" s="193">
        <f>IF(F3/255&gt;0.04045,(((F3/255)+0.055)/1.055)^2.2,(F3/255)/12.92)</f>
        <v>3.0352698354883752E-4</v>
      </c>
      <c r="J3" s="193">
        <f>IF(G3/255&gt;0.04045,(((G3/255)+0.055)/1.055)^2.2,(G3/255)/12.92)</f>
        <v>0.51529150586582273</v>
      </c>
      <c r="K3" s="194">
        <f>H3*0.4124+I3*0.3576+J3*0.1805</f>
        <v>0.1249953756574656</v>
      </c>
      <c r="L3" s="194">
        <f>H3*0.2126+I3*0.7152+J3*0.0722</f>
        <v>5.385418005053047E-2</v>
      </c>
      <c r="M3" s="194">
        <f>H3*0.0193+I3*0.1192+J3*0.9505</f>
        <v>0.4913125623909525</v>
      </c>
      <c r="N3" s="194">
        <f t="shared" ref="N3:N34" si="0">IF(L3&gt;0.008856,L3^(1/3),7.787*L3+(16/116))</f>
        <v>0.37763578303428297</v>
      </c>
      <c r="O3" s="194">
        <f t="shared" ref="O3:O34" si="1">IF(K3/0.9595&gt;0.008856,(K3/0.9595)^(1/3),7.787*(K3/0.9595)+(16/116))</f>
        <v>0.50693194025845789</v>
      </c>
      <c r="P3" s="194">
        <f t="shared" ref="P3:P34" si="2">IF(M3/1.089&gt;0.008856,(M3/1.089)^(1/3),7.787*(M3/1.089)+(16/116))</f>
        <v>0.76696697329581187</v>
      </c>
      <c r="Q3" s="194">
        <f>116*N3-16</f>
        <v>27.805750831976823</v>
      </c>
      <c r="R3" s="194">
        <f t="shared" ref="R3:R34" si="3">500*(O3-N3)</f>
        <v>64.64807861208746</v>
      </c>
      <c r="S3" s="194">
        <f t="shared" ref="S3:S34" si="4">200*(N3-P3)</f>
        <v>-77.866238052305775</v>
      </c>
      <c r="T3" s="191" t="s">
        <v>225</v>
      </c>
      <c r="U3" s="193"/>
      <c r="V3" s="193"/>
      <c r="W3" s="193"/>
      <c r="X3" s="193"/>
      <c r="Y3" s="193"/>
      <c r="Z3" s="193"/>
      <c r="AA3" s="193"/>
      <c r="AB3" s="195">
        <f t="shared" ref="AB3:AB34" si="5">E3*0.5767309+F3*0.185554+G3*0.1881852</f>
        <v>75.370979000000005</v>
      </c>
      <c r="AC3" s="195">
        <f t="shared" ref="AC3:AC34" si="6">E3*0.2973769+F3*0.6273491+G3*0.0752741</f>
        <v>35.369440599999997</v>
      </c>
      <c r="AD3" s="195">
        <f t="shared" ref="AD3:AD34" si="7">E3*0.0270343+F3*0.0706872+G3*0.9911085</f>
        <v>185.31816069999996</v>
      </c>
      <c r="AE3" s="195"/>
      <c r="AF3" s="195"/>
      <c r="AG3" s="190">
        <v>5.4489999999999998</v>
      </c>
      <c r="AH3" s="196">
        <v>0.268660436</v>
      </c>
      <c r="AI3" s="196">
        <v>0.113646179</v>
      </c>
      <c r="AJ3" s="202">
        <v>100</v>
      </c>
      <c r="AK3" s="202">
        <v>0</v>
      </c>
      <c r="AL3" s="202">
        <v>146</v>
      </c>
      <c r="AM3" s="197">
        <f>IF(AJ3/255&gt;0.04045,(((AJ3/255)+0.055)/1.055)^2.2,(AJ3/255)/12.92)</f>
        <v>0.15130607652863209</v>
      </c>
      <c r="AN3" s="197">
        <f>IF(AK3/255&gt;0.04045,(((AK3/255)+0.055)/1.055)^2.2,(AK3/255)/12.92)</f>
        <v>0</v>
      </c>
      <c r="AO3" s="197">
        <f>IF(AL3/255&gt;0.04045,(((AL3/255)+0.055)/1.055)^2.2,(AL3/255)/12.92)</f>
        <v>0.3189109496314898</v>
      </c>
      <c r="AP3" s="194">
        <f>AM3*0.4124+AN3*0.3576+AO3*0.1805</f>
        <v>0.11996205236889178</v>
      </c>
      <c r="AQ3" s="194">
        <f>AM3*0.2126+AN3*0.7152+AO3*0.0722</f>
        <v>5.5193042433380753E-2</v>
      </c>
      <c r="AR3" s="194">
        <f>AM3*0.0193+AN3*0.1192+AO3*0.9505</f>
        <v>0.30604506490173367</v>
      </c>
      <c r="AS3" s="197">
        <f>IF(AQ3&gt;0.008856,AQ3^(1/3),7.787*AQ3+(16/116))</f>
        <v>0.38073965454165576</v>
      </c>
      <c r="AT3" s="197">
        <f>IF(AP3/0.9595&gt;0.008856,(AP3/0.9595)^(1/3),7.787*(AP3/0.9595)+(16/116))</f>
        <v>0.50003411595443881</v>
      </c>
      <c r="AU3" s="197">
        <f>IF(AR3/1.089&gt;0.008856,(AR3/1.089)^(1/3),7.787*(AR3/1.089)+(16/116))</f>
        <v>0.65501689247950756</v>
      </c>
      <c r="AV3" s="196">
        <f>116*AS3-16</f>
        <v>28.165799926832065</v>
      </c>
      <c r="AW3" s="196">
        <f>500*(AT3-AS3)</f>
        <v>59.647230706391525</v>
      </c>
      <c r="AX3" s="196">
        <f>200*(AS3-AU3)</f>
        <v>-54.85544758757036</v>
      </c>
      <c r="AY3" s="196">
        <f>SQRT((Q3-AV3)^2+(R3-AW3)^2+(S3-AX3)^2)</f>
        <v>23.550681368881193</v>
      </c>
      <c r="AZ3" s="190">
        <v>5.4489999999999998</v>
      </c>
      <c r="BA3" s="210">
        <v>0.225711320901711</v>
      </c>
      <c r="BB3" s="210">
        <v>9.1868034709733398E-2</v>
      </c>
      <c r="BC3" s="204">
        <v>90</v>
      </c>
      <c r="BD3" s="204">
        <v>0</v>
      </c>
      <c r="BE3" s="204">
        <v>169</v>
      </c>
      <c r="BF3" s="186"/>
      <c r="BG3" s="204">
        <v>49</v>
      </c>
      <c r="BH3" s="204">
        <v>0</v>
      </c>
      <c r="BI3" s="204">
        <f t="shared" ref="BI3:BI17" si="8">G3*(G3/AL3)</f>
        <v>234.41780821917808</v>
      </c>
      <c r="BJ3" s="186">
        <f t="shared" ref="BJ3:BJ34" si="9">IF(BG3/255&gt;0.04045,(((BG3/255)+0.055)/1.055)^2.2,(BG3/255)/12.92)</f>
        <v>4.105674085076895E-2</v>
      </c>
      <c r="BK3" s="186">
        <f t="shared" ref="BK3:BK34" si="10">IF(BH3/255&gt;0.04045,(((BH3/255)+0.055)/1.055)^2.2,(BH3/255)/12.92)</f>
        <v>0</v>
      </c>
      <c r="BL3" s="186">
        <f t="shared" ref="BL3:BL34" si="11">IF(BI3/255&gt;0.04045,(((BI3/255)+0.055)/1.055)^2.2,(BI3/255)/12.92)</f>
        <v>0.83937172761589296</v>
      </c>
      <c r="BM3" s="186">
        <f>BJ3*0.4124+BK3*0.3576+BL3*0.1805</f>
        <v>0.16843839676152578</v>
      </c>
      <c r="BN3" s="186">
        <f>BJ3*0.2126+BK3*0.7152+BL3*0.0722</f>
        <v>6.933130183874095E-2</v>
      </c>
      <c r="BO3" s="186">
        <f>BJ3*0.0193+BK3*0.1192+BL3*0.9505</f>
        <v>0.79861522219732617</v>
      </c>
      <c r="BP3" s="186">
        <f>IF(BN3&gt;0.008856,BN3^(1/3),7.787*BN3+(16/116))</f>
        <v>0.41081199745256242</v>
      </c>
      <c r="BQ3" s="186">
        <f>IF(BM3/0.9595&gt;0.008856,(BM3/0.9595)^(1/3),7.787*(BM3/0.9595)+(16/116))</f>
        <v>0.55992781232814459</v>
      </c>
      <c r="BR3" s="186">
        <f>IF(BO3/1.089&gt;0.008856,(BO3/1.089)^(1/3),7.787*(BO3/1.089)+(16/116))</f>
        <v>0.90178547260104136</v>
      </c>
      <c r="BS3" s="186">
        <f>116*BP3-16</f>
        <v>31.654191704497244</v>
      </c>
      <c r="BT3" s="186">
        <f>500*(BQ3-BP3)</f>
        <v>74.557907437791087</v>
      </c>
      <c r="BU3" s="186">
        <f>200*(BP3-BR3)</f>
        <v>-98.194695029695794</v>
      </c>
      <c r="BV3" s="204">
        <v>1</v>
      </c>
      <c r="BW3" s="190">
        <v>5.4489999999999998</v>
      </c>
      <c r="BX3" s="186">
        <v>0.200776170296005</v>
      </c>
      <c r="BY3" s="186">
        <v>8.0078977031725701E-2</v>
      </c>
      <c r="BZ3" s="204">
        <v>78</v>
      </c>
      <c r="CA3" s="204">
        <v>0</v>
      </c>
      <c r="CB3" s="204">
        <v>178</v>
      </c>
      <c r="CC3" s="186">
        <f>C3-BX3</f>
        <v>-1.2776170296005002E-2</v>
      </c>
      <c r="CD3" s="186">
        <f>D3-BY3</f>
        <v>-8.0789770317256926E-3</v>
      </c>
      <c r="CE3" s="186"/>
      <c r="CF3" s="186"/>
      <c r="CG3" s="186"/>
      <c r="CH3" s="204">
        <f>BG3*0.3</f>
        <v>14.7</v>
      </c>
      <c r="CI3" s="204">
        <f>BH3*0.3</f>
        <v>0</v>
      </c>
      <c r="CJ3" s="204">
        <f>BI3*0.3</f>
        <v>70.325342465753423</v>
      </c>
      <c r="CK3" s="211">
        <f t="shared" ref="CK3:CK46" si="12">CH3*(E3/BC3)</f>
        <v>11.433333333333334</v>
      </c>
      <c r="CL3" s="211">
        <v>0</v>
      </c>
      <c r="CM3" s="211">
        <f t="shared" ref="CM3:CM14" si="13">CJ3*(G3/BE3)</f>
        <v>76.983363054227127</v>
      </c>
      <c r="CN3" s="205">
        <f>CK3*1.7</f>
        <v>19.436666666666667</v>
      </c>
      <c r="CO3" s="205">
        <f t="shared" ref="CO3:CP3" si="14">CL3*1.7</f>
        <v>0</v>
      </c>
      <c r="CP3" s="205">
        <f t="shared" si="14"/>
        <v>130.87171719218611</v>
      </c>
    </row>
    <row r="4" spans="1:94" ht="18">
      <c r="A4" s="190">
        <v>2</v>
      </c>
      <c r="B4" s="190">
        <v>5.6120000000000001</v>
      </c>
      <c r="C4" s="190">
        <v>0.20400000000000001</v>
      </c>
      <c r="D4" s="190">
        <v>9.1999999999999998E-2</v>
      </c>
      <c r="E4" s="193">
        <v>80</v>
      </c>
      <c r="F4" s="193">
        <v>0</v>
      </c>
      <c r="G4" s="193">
        <v>175</v>
      </c>
      <c r="H4" s="193">
        <f t="shared" ref="H4:H66" si="15">IF(E4/255&gt;0.04045,(((E4/255)+0.055)/1.055)^2.2,(E4/255)/12.92)</f>
        <v>9.8990050192327761E-2</v>
      </c>
      <c r="I4" s="193">
        <f t="shared" ref="I4:I66" si="16">IF(F4/255&gt;0.04045,(((F4/255)+0.055)/1.055)^2.2,(F4/255)/12.92)</f>
        <v>0</v>
      </c>
      <c r="J4" s="193">
        <f t="shared" ref="J4:J66" si="17">IF(G4/255&gt;0.04045,(((G4/255)+0.055)/1.055)^2.2,(G4/255)/12.92)</f>
        <v>0.46004311418005439</v>
      </c>
      <c r="K4" s="194">
        <f t="shared" ref="K4:K66" si="18">H4*0.4124+I4*0.3576+J4*0.1805</f>
        <v>0.12386127880881578</v>
      </c>
      <c r="L4" s="194">
        <f t="shared" ref="L4:L66" si="19">H4*0.2126+I4*0.7152+J4*0.0722</f>
        <v>5.4260397514688807E-2</v>
      </c>
      <c r="M4" s="194">
        <f t="shared" ref="M4:M66" si="20">H4*0.0193+I4*0.1192+J4*0.9505</f>
        <v>0.43918148799685364</v>
      </c>
      <c r="N4" s="194">
        <f t="shared" si="0"/>
        <v>0.37858289712523435</v>
      </c>
      <c r="O4" s="194">
        <f t="shared" si="1"/>
        <v>0.50539413010355028</v>
      </c>
      <c r="P4" s="194">
        <f t="shared" si="2"/>
        <v>0.73882012247107931</v>
      </c>
      <c r="Q4" s="194">
        <f t="shared" ref="Q4:Q66" si="21">116*N4-16</f>
        <v>27.915616066527186</v>
      </c>
      <c r="R4" s="194">
        <f t="shared" si="3"/>
        <v>63.405616489157964</v>
      </c>
      <c r="S4" s="194">
        <f t="shared" si="4"/>
        <v>-72.047445069168987</v>
      </c>
      <c r="T4" s="191" t="s">
        <v>226</v>
      </c>
      <c r="U4" s="193"/>
      <c r="V4" s="193"/>
      <c r="W4" s="193"/>
      <c r="X4" s="193"/>
      <c r="Y4" s="193"/>
      <c r="Z4" s="193"/>
      <c r="AA4" s="193"/>
      <c r="AB4" s="195">
        <f t="shared" si="5"/>
        <v>79.070882000000012</v>
      </c>
      <c r="AC4" s="195">
        <f t="shared" si="6"/>
        <v>36.963119499999998</v>
      </c>
      <c r="AD4" s="195">
        <f t="shared" si="7"/>
        <v>175.6067315</v>
      </c>
      <c r="AE4" s="195"/>
      <c r="AF4" s="195"/>
      <c r="AG4" s="190">
        <v>5.6120000000000001</v>
      </c>
      <c r="AH4" s="196">
        <v>0.26868874599999998</v>
      </c>
      <c r="AI4" s="196">
        <v>0.113655696</v>
      </c>
      <c r="AJ4" s="202">
        <v>102</v>
      </c>
      <c r="AK4" s="202">
        <v>0</v>
      </c>
      <c r="AL4" s="202">
        <v>148</v>
      </c>
      <c r="AM4" s="197">
        <f t="shared" ref="AM4:AM66" si="22">IF(AJ4/255&gt;0.04045,(((AJ4/255)+0.055)/1.055)^2.2,(AJ4/255)/12.92)</f>
        <v>0.15720619689532483</v>
      </c>
      <c r="AN4" s="197">
        <f t="shared" ref="AN4:AN66" si="23">IF(AK4/255&gt;0.04045,(((AK4/255)+0.055)/1.055)^2.2,(AK4/255)/12.92)</f>
        <v>0</v>
      </c>
      <c r="AO4" s="197">
        <f t="shared" ref="AO4:AO66" si="24">IF(AL4/255&gt;0.04045,(((AL4/255)+0.055)/1.055)^2.2,(AL4/255)/12.92)</f>
        <v>0.32774544012411916</v>
      </c>
      <c r="AP4" s="194">
        <f t="shared" ref="AP4:AP66" si="25">AM4*0.4124+AN4*0.3576+AO4*0.1805</f>
        <v>0.12398988754203547</v>
      </c>
      <c r="AQ4" s="194">
        <f t="shared" ref="AQ4:AQ66" si="26">AM4*0.2126+AN4*0.7152+AO4*0.0722</f>
        <v>5.7085258236907466E-2</v>
      </c>
      <c r="AR4" s="194">
        <f t="shared" ref="AR4:AR66" si="27">AM4*0.0193+AN4*0.1192+AO4*0.9505</f>
        <v>0.31455612043805503</v>
      </c>
      <c r="AS4" s="197">
        <f t="shared" ref="AS4:AS66" si="28">IF(AQ4&gt;0.008856,AQ4^(1/3),7.787*AQ4+(16/116))</f>
        <v>0.38504189848597498</v>
      </c>
      <c r="AT4" s="197">
        <f t="shared" ref="AT4:AT66" si="29">IF(AP4/0.9595&gt;0.008856,(AP4/0.9595)^(1/3),7.787*(AP4/0.9595)+(16/116))</f>
        <v>0.50556899135687117</v>
      </c>
      <c r="AU4" s="197">
        <f t="shared" ref="AU4:AU66" si="30">IF(AR4/1.089&gt;0.008856,(AR4/1.089)^(1/3),7.787*(AR4/1.089)+(16/116))</f>
        <v>0.66103342498077355</v>
      </c>
      <c r="AV4" s="196">
        <f t="shared" ref="AV4:AV66" si="31">116*AS4-16</f>
        <v>28.664860224373101</v>
      </c>
      <c r="AW4" s="196">
        <f t="shared" ref="AW4:AW66" si="32">500*(AT4-AS4)</f>
        <v>60.263546435448099</v>
      </c>
      <c r="AX4" s="196">
        <f t="shared" ref="AX4:AX66" si="33">200*(AS4-AU4)</f>
        <v>-55.198305298959717</v>
      </c>
      <c r="AY4" s="196">
        <f t="shared" ref="AY4:AY66" si="34">SQRT((Q4-AV4)^2+(R4-AW4)^2+(S4-AX4)^2)</f>
        <v>17.155975111503693</v>
      </c>
      <c r="AZ4" s="190">
        <v>5.6120000000000001</v>
      </c>
      <c r="BA4" s="210">
        <v>0.25625195935626499</v>
      </c>
      <c r="BB4" s="210">
        <v>0.106766241317997</v>
      </c>
      <c r="BC4" s="204">
        <v>100</v>
      </c>
      <c r="BD4" s="204">
        <v>0</v>
      </c>
      <c r="BE4" s="204">
        <v>155</v>
      </c>
      <c r="BF4" s="186"/>
      <c r="BG4" s="204">
        <f t="shared" ref="BG4:BG49" si="35">E4*(E4/AJ4)</f>
        <v>62.745098039215684</v>
      </c>
      <c r="BH4" s="204">
        <v>0</v>
      </c>
      <c r="BI4" s="204">
        <f t="shared" si="8"/>
        <v>206.92567567567568</v>
      </c>
      <c r="BJ4" s="186">
        <f t="shared" si="9"/>
        <v>6.33692841774601E-2</v>
      </c>
      <c r="BK4" s="186">
        <f t="shared" si="10"/>
        <v>0</v>
      </c>
      <c r="BL4" s="186">
        <f t="shared" si="11"/>
        <v>0.648493946799096</v>
      </c>
      <c r="BM4" s="186">
        <f t="shared" ref="BM4:BM66" si="36">BJ4*0.4124+BK4*0.3576+BL4*0.1805</f>
        <v>0.14318665019202137</v>
      </c>
      <c r="BN4" s="186">
        <f t="shared" ref="BN4:BN66" si="37">BJ4*0.2126+BK4*0.7152+BL4*0.0722</f>
        <v>6.0293572775022744E-2</v>
      </c>
      <c r="BO4" s="186">
        <f t="shared" ref="BO4:BO66" si="38">BJ4*0.0193+BK4*0.1192+BL4*0.9505</f>
        <v>0.61761652361716568</v>
      </c>
      <c r="BP4" s="186">
        <f t="shared" ref="BP4:BP66" si="39">IF(BN4&gt;0.008856,BN4^(1/3),7.787*BN4+(16/116))</f>
        <v>0.39212422477031383</v>
      </c>
      <c r="BQ4" s="186">
        <f t="shared" ref="BQ4:BQ66" si="40">IF(BM4/0.9595&gt;0.008856,(BM4/0.9595)^(1/3),7.787*(BM4/0.9595)+(16/116))</f>
        <v>0.53041913543542085</v>
      </c>
      <c r="BR4" s="186">
        <f t="shared" ref="BR4:BR66" si="41">IF(BO4/1.089&gt;0.008856,(BO4/1.089)^(1/3),7.787*(BO4/1.089)+(16/116))</f>
        <v>0.82774584405579454</v>
      </c>
      <c r="BS4" s="186">
        <f t="shared" ref="BS4:BS66" si="42">116*BP4-16</f>
        <v>29.486410073356403</v>
      </c>
      <c r="BT4" s="186">
        <f t="shared" ref="BT4:BT66" si="43">500*(BQ4-BP4)</f>
        <v>69.147455332553506</v>
      </c>
      <c r="BU4" s="186">
        <f t="shared" ref="BU4:BU66" si="44">200*(BP4-BR4)</f>
        <v>-87.124323857096144</v>
      </c>
      <c r="BV4" s="204">
        <v>2</v>
      </c>
      <c r="BW4" s="190">
        <v>5.6120000000000001</v>
      </c>
      <c r="BX4" s="186">
        <v>0.229055662816355</v>
      </c>
      <c r="BY4" s="186">
        <v>9.3569122015897496E-2</v>
      </c>
      <c r="BZ4" s="204">
        <v>93</v>
      </c>
      <c r="CA4" s="204">
        <v>0</v>
      </c>
      <c r="CB4" s="204">
        <v>169</v>
      </c>
      <c r="CC4" s="186">
        <f t="shared" ref="CC4:CC66" si="45">C4-BX4</f>
        <v>-2.505566281635499E-2</v>
      </c>
      <c r="CD4" s="186">
        <f t="shared" ref="CD4:CD66" si="46">D4-BY4</f>
        <v>-1.5691220158974978E-3</v>
      </c>
      <c r="CE4" s="186"/>
      <c r="CF4" s="186"/>
      <c r="CG4" s="186"/>
      <c r="CH4" s="204">
        <f t="shared" ref="CH4:CH66" si="47">BG4*0.3</f>
        <v>18.823529411764703</v>
      </c>
      <c r="CI4" s="204">
        <f t="shared" ref="CI4:CI66" si="48">BH4*0.3</f>
        <v>0</v>
      </c>
      <c r="CJ4" s="204">
        <f t="shared" ref="CJ4:CJ66" si="49">BI4*0.3</f>
        <v>62.077702702702702</v>
      </c>
      <c r="CK4" s="211">
        <f t="shared" si="12"/>
        <v>15.058823529411763</v>
      </c>
      <c r="CL4" s="211">
        <v>0</v>
      </c>
      <c r="CM4" s="211">
        <f t="shared" si="13"/>
        <v>70.087728857890156</v>
      </c>
      <c r="CN4" s="205">
        <f t="shared" ref="CN4:CN66" si="50">CK4*1.7</f>
        <v>25.599999999999994</v>
      </c>
      <c r="CO4" s="205">
        <f t="shared" ref="CO4:CO66" si="51">CL4*1.7</f>
        <v>0</v>
      </c>
      <c r="CP4" s="205">
        <f t="shared" ref="CP4:CP66" si="52">CM4*1.7</f>
        <v>119.14913905841325</v>
      </c>
    </row>
    <row r="5" spans="1:94" ht="18">
      <c r="A5" s="190">
        <v>3</v>
      </c>
      <c r="B5" s="190">
        <v>5.9</v>
      </c>
      <c r="C5" s="190">
        <v>0.22800000000000001</v>
      </c>
      <c r="D5" s="190">
        <v>0.10400000000000001</v>
      </c>
      <c r="E5" s="193">
        <v>90</v>
      </c>
      <c r="F5" s="193">
        <v>0</v>
      </c>
      <c r="G5" s="193">
        <v>165</v>
      </c>
      <c r="H5" s="193">
        <f t="shared" si="15"/>
        <v>0.12364005388724823</v>
      </c>
      <c r="I5" s="193">
        <f t="shared" si="16"/>
        <v>0</v>
      </c>
      <c r="J5" s="193">
        <f t="shared" si="17"/>
        <v>0.40819369580004278</v>
      </c>
      <c r="K5" s="194">
        <f t="shared" si="18"/>
        <v>0.12466812031500889</v>
      </c>
      <c r="L5" s="194">
        <f t="shared" si="19"/>
        <v>5.5757460293192063E-2</v>
      </c>
      <c r="M5" s="194">
        <f t="shared" si="20"/>
        <v>0.39037436089796457</v>
      </c>
      <c r="N5" s="194">
        <f t="shared" si="0"/>
        <v>0.38203310179145955</v>
      </c>
      <c r="O5" s="194">
        <f t="shared" si="1"/>
        <v>0.50648914740690165</v>
      </c>
      <c r="P5" s="194">
        <f t="shared" si="2"/>
        <v>0.71036976541142227</v>
      </c>
      <c r="Q5" s="194">
        <f t="shared" si="21"/>
        <v>28.315839807809311</v>
      </c>
      <c r="R5" s="194">
        <f t="shared" si="3"/>
        <v>62.228022807721054</v>
      </c>
      <c r="S5" s="194">
        <f t="shared" si="4"/>
        <v>-65.667332723992544</v>
      </c>
      <c r="T5" s="191" t="s">
        <v>227</v>
      </c>
      <c r="U5" s="193"/>
      <c r="V5" s="193"/>
      <c r="W5" s="193"/>
      <c r="X5" s="193"/>
      <c r="Y5" s="193"/>
      <c r="Z5" s="193"/>
      <c r="AA5" s="193"/>
      <c r="AB5" s="195">
        <f t="shared" si="5"/>
        <v>82.956339</v>
      </c>
      <c r="AC5" s="195">
        <f t="shared" si="6"/>
        <v>39.184147500000002</v>
      </c>
      <c r="AD5" s="195">
        <f t="shared" si="7"/>
        <v>165.96598949999998</v>
      </c>
      <c r="AE5" s="195"/>
      <c r="AF5" s="195"/>
      <c r="AG5" s="190">
        <v>5.9</v>
      </c>
      <c r="AH5" s="196">
        <v>0.28944123300000002</v>
      </c>
      <c r="AI5" s="196">
        <v>0.123839351</v>
      </c>
      <c r="AJ5" s="202">
        <v>108</v>
      </c>
      <c r="AK5" s="202">
        <v>0</v>
      </c>
      <c r="AL5" s="202">
        <v>143</v>
      </c>
      <c r="AM5" s="197">
        <f t="shared" si="22"/>
        <v>0.17564815315204046</v>
      </c>
      <c r="AN5" s="197">
        <f t="shared" si="23"/>
        <v>0</v>
      </c>
      <c r="AO5" s="197">
        <f t="shared" si="24"/>
        <v>0.30590569088929753</v>
      </c>
      <c r="AP5" s="194">
        <f t="shared" si="25"/>
        <v>0.12765327556541969</v>
      </c>
      <c r="AQ5" s="194">
        <f t="shared" si="26"/>
        <v>5.942918824233108E-2</v>
      </c>
      <c r="AR5" s="194">
        <f t="shared" si="27"/>
        <v>0.29415336854611168</v>
      </c>
      <c r="AS5" s="197">
        <f t="shared" si="28"/>
        <v>0.39024133264471705</v>
      </c>
      <c r="AT5" s="197">
        <f t="shared" si="29"/>
        <v>0.51049990003782886</v>
      </c>
      <c r="AU5" s="197">
        <f t="shared" si="30"/>
        <v>0.64642078972932759</v>
      </c>
      <c r="AV5" s="196">
        <f t="shared" si="31"/>
        <v>29.267994586787175</v>
      </c>
      <c r="AW5" s="196">
        <f t="shared" si="32"/>
        <v>60.129283696555902</v>
      </c>
      <c r="AX5" s="196">
        <f t="shared" si="33"/>
        <v>-51.235891416922108</v>
      </c>
      <c r="AY5" s="196">
        <f t="shared" si="34"/>
        <v>14.614301309993698</v>
      </c>
      <c r="AZ5" s="190">
        <v>5.9</v>
      </c>
      <c r="BA5" s="210">
        <v>0.28500948641561002</v>
      </c>
      <c r="BB5" s="210">
        <v>0.120787241153445</v>
      </c>
      <c r="BC5" s="204">
        <v>108</v>
      </c>
      <c r="BD5" s="204">
        <v>0</v>
      </c>
      <c r="BE5" s="204">
        <v>145</v>
      </c>
      <c r="BF5" s="186"/>
      <c r="BG5" s="204">
        <f t="shared" si="35"/>
        <v>75</v>
      </c>
      <c r="BH5" s="204">
        <v>0</v>
      </c>
      <c r="BI5" s="204">
        <f t="shared" si="8"/>
        <v>190.38461538461536</v>
      </c>
      <c r="BJ5" s="186">
        <f t="shared" si="9"/>
        <v>8.7777367718486043E-2</v>
      </c>
      <c r="BK5" s="186">
        <f t="shared" si="10"/>
        <v>0</v>
      </c>
      <c r="BL5" s="186">
        <f t="shared" si="11"/>
        <v>0.54646090646291456</v>
      </c>
      <c r="BM5" s="186">
        <f t="shared" si="36"/>
        <v>0.13483558006365973</v>
      </c>
      <c r="BN5" s="186">
        <f t="shared" si="37"/>
        <v>5.811594582357256E-2</v>
      </c>
      <c r="BO5" s="186">
        <f t="shared" si="38"/>
        <v>0.52110519478996709</v>
      </c>
      <c r="BP5" s="186">
        <f t="shared" si="39"/>
        <v>0.38734543029467683</v>
      </c>
      <c r="BQ5" s="186">
        <f t="shared" si="40"/>
        <v>0.51990003050768896</v>
      </c>
      <c r="BR5" s="186">
        <f t="shared" si="41"/>
        <v>0.78216643333921665</v>
      </c>
      <c r="BS5" s="186">
        <f t="shared" si="42"/>
        <v>28.932069914182513</v>
      </c>
      <c r="BT5" s="186">
        <f t="shared" si="43"/>
        <v>66.277300106506061</v>
      </c>
      <c r="BU5" s="186">
        <f t="shared" si="44"/>
        <v>-78.964200608907959</v>
      </c>
      <c r="BV5" s="204">
        <v>3</v>
      </c>
      <c r="BW5" s="190">
        <v>5.9</v>
      </c>
      <c r="BX5" s="186">
        <v>0.25341160461463902</v>
      </c>
      <c r="BY5" s="186">
        <v>0.105184784654502</v>
      </c>
      <c r="BZ5" s="204">
        <v>102</v>
      </c>
      <c r="CA5" s="204">
        <v>0</v>
      </c>
      <c r="CB5" s="204">
        <v>160</v>
      </c>
      <c r="CC5" s="186">
        <f t="shared" si="45"/>
        <v>-2.5411604614639011E-2</v>
      </c>
      <c r="CD5" s="186">
        <f t="shared" si="46"/>
        <v>-1.1847846545019886E-3</v>
      </c>
      <c r="CE5" s="186"/>
      <c r="CF5" s="186"/>
      <c r="CG5" s="186"/>
      <c r="CH5" s="204">
        <f t="shared" si="47"/>
        <v>22.5</v>
      </c>
      <c r="CI5" s="204">
        <f t="shared" si="48"/>
        <v>0</v>
      </c>
      <c r="CJ5" s="204">
        <f t="shared" si="49"/>
        <v>57.115384615384606</v>
      </c>
      <c r="CK5" s="211">
        <f t="shared" si="12"/>
        <v>18.75</v>
      </c>
      <c r="CL5" s="211">
        <v>0</v>
      </c>
      <c r="CM5" s="211">
        <f t="shared" si="13"/>
        <v>64.99336870026525</v>
      </c>
      <c r="CN5" s="205">
        <f t="shared" si="50"/>
        <v>31.875</v>
      </c>
      <c r="CO5" s="205">
        <f t="shared" si="51"/>
        <v>0</v>
      </c>
      <c r="CP5" s="205">
        <f t="shared" si="52"/>
        <v>110.48872679045093</v>
      </c>
    </row>
    <row r="6" spans="1:94" ht="18">
      <c r="A6" s="190">
        <v>4</v>
      </c>
      <c r="B6" s="190">
        <v>6.3979999999999997</v>
      </c>
      <c r="C6" s="190">
        <v>0.25600000000000001</v>
      </c>
      <c r="D6" s="190">
        <v>0.12</v>
      </c>
      <c r="E6" s="193">
        <v>101</v>
      </c>
      <c r="F6" s="193">
        <v>0</v>
      </c>
      <c r="G6" s="193">
        <v>155</v>
      </c>
      <c r="H6" s="193">
        <f t="shared" si="15"/>
        <v>0.15424074850093791</v>
      </c>
      <c r="I6" s="193">
        <f t="shared" si="16"/>
        <v>0</v>
      </c>
      <c r="J6" s="193">
        <f t="shared" si="17"/>
        <v>0.35970648697432933</v>
      </c>
      <c r="K6" s="194">
        <f t="shared" si="18"/>
        <v>0.12853590558065325</v>
      </c>
      <c r="L6" s="194">
        <f t="shared" si="19"/>
        <v>5.8762391490845979E-2</v>
      </c>
      <c r="M6" s="194">
        <f t="shared" si="20"/>
        <v>0.34487786231516815</v>
      </c>
      <c r="N6" s="194">
        <f t="shared" si="0"/>
        <v>0.38877633446200394</v>
      </c>
      <c r="O6" s="194">
        <f t="shared" si="1"/>
        <v>0.51167377779200152</v>
      </c>
      <c r="P6" s="194">
        <f t="shared" si="2"/>
        <v>0.68162547403640272</v>
      </c>
      <c r="Q6" s="194">
        <f t="shared" si="21"/>
        <v>29.098054797592454</v>
      </c>
      <c r="R6" s="194">
        <f t="shared" si="3"/>
        <v>61.448721664998793</v>
      </c>
      <c r="S6" s="194">
        <f t="shared" si="4"/>
        <v>-58.56982791487976</v>
      </c>
      <c r="T6" s="191" t="s">
        <v>228</v>
      </c>
      <c r="U6" s="193"/>
      <c r="V6" s="193"/>
      <c r="W6" s="193"/>
      <c r="X6" s="193"/>
      <c r="Y6" s="193"/>
      <c r="Z6" s="193"/>
      <c r="AA6" s="193"/>
      <c r="AB6" s="195">
        <f t="shared" si="5"/>
        <v>87.418526900000003</v>
      </c>
      <c r="AC6" s="195">
        <f t="shared" si="6"/>
        <v>41.702552400000002</v>
      </c>
      <c r="AD6" s="195">
        <f t="shared" si="7"/>
        <v>156.35228179999999</v>
      </c>
      <c r="AE6" s="195"/>
      <c r="AF6" s="195"/>
      <c r="AG6" s="190">
        <v>6.3979999999999997</v>
      </c>
      <c r="AH6" s="196">
        <v>0.309857465</v>
      </c>
      <c r="AI6" s="196">
        <v>0.13385307599999999</v>
      </c>
      <c r="AJ6" s="202">
        <v>115</v>
      </c>
      <c r="AK6" s="202">
        <v>0</v>
      </c>
      <c r="AL6" s="202">
        <v>139</v>
      </c>
      <c r="AM6" s="197">
        <f t="shared" si="22"/>
        <v>0.19858146069293586</v>
      </c>
      <c r="AN6" s="197">
        <f t="shared" si="23"/>
        <v>0</v>
      </c>
      <c r="AO6" s="197">
        <f t="shared" si="24"/>
        <v>0.28902369293139479</v>
      </c>
      <c r="AP6" s="194">
        <f t="shared" si="25"/>
        <v>0.1340637709638835</v>
      </c>
      <c r="AQ6" s="194">
        <f t="shared" si="26"/>
        <v>6.3085929172964877E-2</v>
      </c>
      <c r="AR6" s="194">
        <f t="shared" si="27"/>
        <v>0.27854964232266438</v>
      </c>
      <c r="AS6" s="197">
        <f t="shared" si="28"/>
        <v>0.39808654711744401</v>
      </c>
      <c r="AT6" s="197">
        <f t="shared" si="29"/>
        <v>0.51890614931939294</v>
      </c>
      <c r="AU6" s="197">
        <f t="shared" si="30"/>
        <v>0.63478244600277767</v>
      </c>
      <c r="AV6" s="196">
        <f t="shared" si="31"/>
        <v>30.178039465623506</v>
      </c>
      <c r="AW6" s="196">
        <f t="shared" si="32"/>
        <v>60.409801100974462</v>
      </c>
      <c r="AX6" s="196">
        <f t="shared" si="33"/>
        <v>-47.339179777066732</v>
      </c>
      <c r="AY6" s="196">
        <f t="shared" si="34"/>
        <v>11.330188895905398</v>
      </c>
      <c r="AZ6" s="190">
        <v>6.3979999999999997</v>
      </c>
      <c r="BA6" s="210">
        <v>0.31436659178040799</v>
      </c>
      <c r="BB6" s="210">
        <v>0.13509512721893799</v>
      </c>
      <c r="BC6" s="204">
        <v>116</v>
      </c>
      <c r="BD6" s="204">
        <v>0</v>
      </c>
      <c r="BE6" s="204">
        <v>138</v>
      </c>
      <c r="BF6" s="186"/>
      <c r="BG6" s="204">
        <f t="shared" si="35"/>
        <v>88.704347826086959</v>
      </c>
      <c r="BH6" s="204">
        <v>0</v>
      </c>
      <c r="BI6" s="204">
        <f t="shared" si="8"/>
        <v>172.84172661870502</v>
      </c>
      <c r="BJ6" s="186">
        <f t="shared" si="9"/>
        <v>0.12027743560838552</v>
      </c>
      <c r="BK6" s="186">
        <f t="shared" si="10"/>
        <v>0</v>
      </c>
      <c r="BL6" s="186">
        <f t="shared" si="11"/>
        <v>0.44856619758794858</v>
      </c>
      <c r="BM6" s="186">
        <f t="shared" si="36"/>
        <v>0.13056861310952292</v>
      </c>
      <c r="BN6" s="186">
        <f t="shared" si="37"/>
        <v>5.7957462276192653E-2</v>
      </c>
      <c r="BO6" s="186">
        <f t="shared" si="38"/>
        <v>0.42868352531458698</v>
      </c>
      <c r="BP6" s="186">
        <f t="shared" si="39"/>
        <v>0.38699300972266609</v>
      </c>
      <c r="BQ6" s="186">
        <f t="shared" si="40"/>
        <v>0.51435694005398969</v>
      </c>
      <c r="BR6" s="186">
        <f t="shared" si="41"/>
        <v>0.73288579572450607</v>
      </c>
      <c r="BS6" s="186">
        <f t="shared" si="42"/>
        <v>28.891189127829264</v>
      </c>
      <c r="BT6" s="186">
        <f t="shared" si="43"/>
        <v>63.681965165661794</v>
      </c>
      <c r="BU6" s="186">
        <f t="shared" si="44"/>
        <v>-69.17855720036799</v>
      </c>
      <c r="BV6" s="204">
        <v>4</v>
      </c>
      <c r="BW6" s="190">
        <v>6.3979999999999997</v>
      </c>
      <c r="BX6" s="186">
        <v>0.28457088162698502</v>
      </c>
      <c r="BY6" s="186">
        <v>0.120032278419135</v>
      </c>
      <c r="BZ6" s="204">
        <v>112</v>
      </c>
      <c r="CA6" s="204">
        <v>0</v>
      </c>
      <c r="CB6" s="204">
        <v>151</v>
      </c>
      <c r="CC6" s="186">
        <f t="shared" si="45"/>
        <v>-2.8570881626985012E-2</v>
      </c>
      <c r="CD6" s="186">
        <f t="shared" si="46"/>
        <v>-3.227841913500118E-5</v>
      </c>
      <c r="CE6" s="186"/>
      <c r="CF6" s="186"/>
      <c r="CG6" s="186"/>
      <c r="CH6" s="204">
        <f t="shared" si="47"/>
        <v>26.611304347826088</v>
      </c>
      <c r="CI6" s="204">
        <f t="shared" si="48"/>
        <v>0</v>
      </c>
      <c r="CJ6" s="204">
        <f t="shared" si="49"/>
        <v>51.852517985611506</v>
      </c>
      <c r="CK6" s="211">
        <f t="shared" si="12"/>
        <v>23.170187406296854</v>
      </c>
      <c r="CL6" s="211">
        <v>0</v>
      </c>
      <c r="CM6" s="211">
        <f t="shared" si="13"/>
        <v>58.240147012824522</v>
      </c>
      <c r="CN6" s="205">
        <f t="shared" si="50"/>
        <v>39.389318590704654</v>
      </c>
      <c r="CO6" s="205">
        <f t="shared" si="51"/>
        <v>0</v>
      </c>
      <c r="CP6" s="205">
        <f t="shared" si="52"/>
        <v>99.008249921801692</v>
      </c>
    </row>
    <row r="7" spans="1:94" ht="18">
      <c r="A7" s="190">
        <v>5</v>
      </c>
      <c r="B7" s="190">
        <v>6.9489999999999998</v>
      </c>
      <c r="C7" s="190">
        <v>0.28800000000000003</v>
      </c>
      <c r="D7" s="190">
        <v>0.13600000000000001</v>
      </c>
      <c r="E7" s="193">
        <v>111</v>
      </c>
      <c r="F7" s="193">
        <v>0</v>
      </c>
      <c r="G7" s="193">
        <v>145</v>
      </c>
      <c r="H7" s="193">
        <f t="shared" si="15"/>
        <v>0.18528885216323396</v>
      </c>
      <c r="I7" s="193">
        <f t="shared" si="16"/>
        <v>0</v>
      </c>
      <c r="J7" s="193">
        <f t="shared" si="17"/>
        <v>0.31454304097863306</v>
      </c>
      <c r="K7" s="194">
        <f t="shared" si="18"/>
        <v>0.13318814152876093</v>
      </c>
      <c r="L7" s="194">
        <f t="shared" si="19"/>
        <v>6.2102417528560848E-2</v>
      </c>
      <c r="M7" s="194">
        <f t="shared" si="20"/>
        <v>0.30254923529694117</v>
      </c>
      <c r="N7" s="194">
        <f t="shared" si="0"/>
        <v>0.39600697520397621</v>
      </c>
      <c r="O7" s="194">
        <f t="shared" si="1"/>
        <v>0.51777394601711912</v>
      </c>
      <c r="P7" s="194">
        <f t="shared" si="2"/>
        <v>0.65251333766301034</v>
      </c>
      <c r="Q7" s="194">
        <f t="shared" si="21"/>
        <v>29.936809123661241</v>
      </c>
      <c r="R7" s="194">
        <f t="shared" si="3"/>
        <v>60.883485406571459</v>
      </c>
      <c r="S7" s="194">
        <f t="shared" si="4"/>
        <v>-51.301272491806827</v>
      </c>
      <c r="T7" s="191" t="s">
        <v>222</v>
      </c>
      <c r="U7" s="193"/>
      <c r="V7" s="193"/>
      <c r="W7" s="193"/>
      <c r="X7" s="193"/>
      <c r="Y7" s="193"/>
      <c r="Z7" s="193"/>
      <c r="AA7" s="193"/>
      <c r="AB7" s="195">
        <f t="shared" si="5"/>
        <v>91.303983899999992</v>
      </c>
      <c r="AC7" s="195">
        <f t="shared" si="6"/>
        <v>43.923580399999999</v>
      </c>
      <c r="AD7" s="195">
        <f t="shared" si="7"/>
        <v>146.7115398</v>
      </c>
      <c r="AE7" s="195"/>
      <c r="AF7" s="195"/>
      <c r="AG7" s="190">
        <v>6.9489999999999998</v>
      </c>
      <c r="AH7" s="196">
        <v>0.33046355799999999</v>
      </c>
      <c r="AI7" s="196">
        <v>0.14396329499999999</v>
      </c>
      <c r="AJ7" s="202">
        <v>122</v>
      </c>
      <c r="AK7" s="202">
        <v>0</v>
      </c>
      <c r="AL7" s="202">
        <v>136</v>
      </c>
      <c r="AM7" s="197">
        <f t="shared" si="22"/>
        <v>0.22305779663399899</v>
      </c>
      <c r="AN7" s="197">
        <f t="shared" si="23"/>
        <v>0</v>
      </c>
      <c r="AO7" s="197">
        <f t="shared" si="24"/>
        <v>0.27670447945655491</v>
      </c>
      <c r="AP7" s="194">
        <f t="shared" si="25"/>
        <v>0.14193419387376935</v>
      </c>
      <c r="AQ7" s="194">
        <f t="shared" si="26"/>
        <v>6.7400150981151458E-2</v>
      </c>
      <c r="AR7" s="194">
        <f t="shared" si="27"/>
        <v>0.26731262319849164</v>
      </c>
      <c r="AS7" s="197">
        <f t="shared" si="28"/>
        <v>0.40696177901771702</v>
      </c>
      <c r="AT7" s="197">
        <f t="shared" si="29"/>
        <v>0.52886807550985582</v>
      </c>
      <c r="AU7" s="197">
        <f t="shared" si="30"/>
        <v>0.62612906269730673</v>
      </c>
      <c r="AV7" s="196">
        <f t="shared" si="31"/>
        <v>31.207566366055175</v>
      </c>
      <c r="AW7" s="196">
        <f t="shared" si="32"/>
        <v>60.953148246069397</v>
      </c>
      <c r="AX7" s="196">
        <f t="shared" si="33"/>
        <v>-43.833456735917942</v>
      </c>
      <c r="AY7" s="196">
        <f t="shared" si="34"/>
        <v>7.5754834198357166</v>
      </c>
      <c r="AZ7" s="190">
        <v>6.9489999999999998</v>
      </c>
      <c r="BA7" s="210">
        <v>0.34335066927311497</v>
      </c>
      <c r="BB7" s="210">
        <v>0.149215575348636</v>
      </c>
      <c r="BC7" s="204">
        <v>124</v>
      </c>
      <c r="BD7" s="204">
        <v>0</v>
      </c>
      <c r="BE7" s="204">
        <v>132</v>
      </c>
      <c r="BF7" s="186"/>
      <c r="BG7" s="204">
        <f t="shared" si="35"/>
        <v>100.99180327868852</v>
      </c>
      <c r="BH7" s="204">
        <v>0</v>
      </c>
      <c r="BI7" s="204">
        <f t="shared" si="8"/>
        <v>154.59558823529412</v>
      </c>
      <c r="BJ7" s="186">
        <f t="shared" si="9"/>
        <v>0.1542165687867402</v>
      </c>
      <c r="BK7" s="186">
        <f t="shared" si="10"/>
        <v>0</v>
      </c>
      <c r="BL7" s="186">
        <f t="shared" si="11"/>
        <v>0.35781579848882966</v>
      </c>
      <c r="BM7" s="186">
        <f t="shared" si="36"/>
        <v>0.12818466459488542</v>
      </c>
      <c r="BN7" s="186">
        <f t="shared" si="37"/>
        <v>5.8620743174954471E-2</v>
      </c>
      <c r="BO7" s="186">
        <f t="shared" si="38"/>
        <v>0.34308029624121666</v>
      </c>
      <c r="BP7" s="186">
        <f t="shared" si="39"/>
        <v>0.38846369787118501</v>
      </c>
      <c r="BQ7" s="186">
        <f t="shared" si="40"/>
        <v>0.51120728102154123</v>
      </c>
      <c r="BR7" s="186">
        <f t="shared" si="41"/>
        <v>0.6804391586107793</v>
      </c>
      <c r="BS7" s="186">
        <f t="shared" si="42"/>
        <v>29.061788953057459</v>
      </c>
      <c r="BT7" s="186">
        <f t="shared" si="43"/>
        <v>61.371791575178108</v>
      </c>
      <c r="BU7" s="186">
        <f t="shared" si="44"/>
        <v>-58.395092147918859</v>
      </c>
      <c r="BV7" s="204">
        <v>5</v>
      </c>
      <c r="BW7" s="190">
        <v>6.9489999999999998</v>
      </c>
      <c r="BX7" s="186">
        <v>0.31885725159088002</v>
      </c>
      <c r="BY7" s="186">
        <v>0.13635895746993101</v>
      </c>
      <c r="BZ7" s="204">
        <v>122</v>
      </c>
      <c r="CA7" s="204">
        <v>0</v>
      </c>
      <c r="CB7" s="204">
        <v>142</v>
      </c>
      <c r="CC7" s="186">
        <f t="shared" si="45"/>
        <v>-3.0857251590879986E-2</v>
      </c>
      <c r="CD7" s="186">
        <f t="shared" si="46"/>
        <v>-3.5895746993100386E-4</v>
      </c>
      <c r="CE7" s="186"/>
      <c r="CF7" s="186"/>
      <c r="CG7" s="186"/>
      <c r="CH7" s="204">
        <f t="shared" si="47"/>
        <v>30.297540983606556</v>
      </c>
      <c r="CI7" s="204">
        <f t="shared" si="48"/>
        <v>0</v>
      </c>
      <c r="CJ7" s="204">
        <f t="shared" si="49"/>
        <v>46.378676470588232</v>
      </c>
      <c r="CK7" s="211">
        <f t="shared" si="12"/>
        <v>27.121185880486514</v>
      </c>
      <c r="CL7" s="211">
        <v>0</v>
      </c>
      <c r="CM7" s="211">
        <f t="shared" si="13"/>
        <v>50.946273395721917</v>
      </c>
      <c r="CN7" s="205">
        <f t="shared" si="50"/>
        <v>46.106015996827075</v>
      </c>
      <c r="CO7" s="205">
        <f t="shared" si="51"/>
        <v>0</v>
      </c>
      <c r="CP7" s="205">
        <f t="shared" si="52"/>
        <v>86.608664772727252</v>
      </c>
    </row>
    <row r="8" spans="1:94" ht="18">
      <c r="A8" s="190">
        <v>6</v>
      </c>
      <c r="B8" s="190">
        <v>7.63</v>
      </c>
      <c r="C8" s="190">
        <v>0.32800000000000001</v>
      </c>
      <c r="D8" s="190">
        <v>0.156</v>
      </c>
      <c r="E8" s="193">
        <v>121</v>
      </c>
      <c r="F8" s="193">
        <v>0</v>
      </c>
      <c r="G8" s="193">
        <v>135</v>
      </c>
      <c r="H8" s="193">
        <f t="shared" si="15"/>
        <v>0.2194660771692124</v>
      </c>
      <c r="I8" s="193">
        <f t="shared" si="16"/>
        <v>0</v>
      </c>
      <c r="J8" s="193">
        <f t="shared" si="17"/>
        <v>0.27266304406606784</v>
      </c>
      <c r="K8" s="194">
        <f t="shared" si="18"/>
        <v>0.13972348967850845</v>
      </c>
      <c r="L8" s="194">
        <f t="shared" si="19"/>
        <v>6.634475978774465E-2</v>
      </c>
      <c r="M8" s="194">
        <f t="shared" si="20"/>
        <v>0.26340191867416329</v>
      </c>
      <c r="N8" s="194">
        <f t="shared" si="0"/>
        <v>0.40482644555358449</v>
      </c>
      <c r="O8" s="194">
        <f t="shared" si="1"/>
        <v>0.52610789000587366</v>
      </c>
      <c r="P8" s="194">
        <f t="shared" si="2"/>
        <v>0.62306068963381567</v>
      </c>
      <c r="Q8" s="194">
        <f t="shared" si="21"/>
        <v>30.959867684215801</v>
      </c>
      <c r="R8" s="194">
        <f t="shared" si="3"/>
        <v>60.640722226144582</v>
      </c>
      <c r="S8" s="194">
        <f t="shared" si="4"/>
        <v>-43.646848816046237</v>
      </c>
      <c r="T8" s="191" t="s">
        <v>229</v>
      </c>
      <c r="U8" s="193"/>
      <c r="V8" s="193"/>
      <c r="W8" s="193"/>
      <c r="X8" s="193"/>
      <c r="Y8" s="193"/>
      <c r="Z8" s="193"/>
      <c r="AA8" s="193"/>
      <c r="AB8" s="195">
        <f t="shared" si="5"/>
        <v>95.189440900000008</v>
      </c>
      <c r="AC8" s="195">
        <f t="shared" si="6"/>
        <v>46.144608399999996</v>
      </c>
      <c r="AD8" s="195">
        <f t="shared" si="7"/>
        <v>137.07079779999998</v>
      </c>
      <c r="AE8" s="195"/>
      <c r="AF8" s="195"/>
      <c r="AG8" s="190">
        <v>7.63</v>
      </c>
      <c r="AH8" s="196">
        <v>0.35200004699999998</v>
      </c>
      <c r="AI8" s="196">
        <v>0.154538601</v>
      </c>
      <c r="AJ8" s="202">
        <v>130</v>
      </c>
      <c r="AK8" s="202">
        <v>0</v>
      </c>
      <c r="AL8" s="202">
        <v>133</v>
      </c>
      <c r="AM8" s="197">
        <f t="shared" si="22"/>
        <v>0.25294117776743769</v>
      </c>
      <c r="AN8" s="197">
        <f t="shared" si="23"/>
        <v>0</v>
      </c>
      <c r="AO8" s="197">
        <f t="shared" si="24"/>
        <v>0.26467736697892319</v>
      </c>
      <c r="AP8" s="194">
        <f t="shared" si="25"/>
        <v>0.15208720645098694</v>
      </c>
      <c r="AQ8" s="194">
        <f t="shared" si="26"/>
        <v>7.2885000289235516E-2</v>
      </c>
      <c r="AR8" s="194">
        <f t="shared" si="27"/>
        <v>0.25645760204437806</v>
      </c>
      <c r="AS8" s="197">
        <f t="shared" si="28"/>
        <v>0.41771434182940903</v>
      </c>
      <c r="AT8" s="197">
        <f t="shared" si="29"/>
        <v>0.54118934127704554</v>
      </c>
      <c r="AU8" s="197">
        <f t="shared" si="30"/>
        <v>0.61753640584355063</v>
      </c>
      <c r="AV8" s="196">
        <f t="shared" si="31"/>
        <v>32.454863652211451</v>
      </c>
      <c r="AW8" s="196">
        <f t="shared" si="32"/>
        <v>61.73749972381826</v>
      </c>
      <c r="AX8" s="196">
        <f t="shared" si="33"/>
        <v>-39.964412802828321</v>
      </c>
      <c r="AY8" s="196">
        <f t="shared" si="34"/>
        <v>4.1228956832753898</v>
      </c>
      <c r="AZ8" s="190">
        <v>7.63</v>
      </c>
      <c r="BA8" s="210">
        <v>0.37537360210951098</v>
      </c>
      <c r="BB8" s="210">
        <v>0.16481444466089801</v>
      </c>
      <c r="BC8" s="204">
        <v>133</v>
      </c>
      <c r="BD8" s="204">
        <v>0</v>
      </c>
      <c r="BE8" s="204">
        <v>125</v>
      </c>
      <c r="BF8" s="186"/>
      <c r="BG8" s="204">
        <f t="shared" si="35"/>
        <v>112.62307692307692</v>
      </c>
      <c r="BH8" s="204">
        <v>0</v>
      </c>
      <c r="BI8" s="204">
        <f t="shared" si="8"/>
        <v>137.03007518796994</v>
      </c>
      <c r="BJ8" s="186">
        <f t="shared" si="9"/>
        <v>0.19062203918905918</v>
      </c>
      <c r="BK8" s="186">
        <f t="shared" si="10"/>
        <v>0</v>
      </c>
      <c r="BL8" s="186">
        <f t="shared" si="11"/>
        <v>0.28090139689992039</v>
      </c>
      <c r="BM8" s="186">
        <f t="shared" si="36"/>
        <v>0.12931523110200363</v>
      </c>
      <c r="BN8" s="186">
        <f t="shared" si="37"/>
        <v>6.0807326387768243E-2</v>
      </c>
      <c r="BO8" s="186">
        <f t="shared" si="38"/>
        <v>0.27067578310972318</v>
      </c>
      <c r="BP8" s="186">
        <f t="shared" si="39"/>
        <v>0.39323482263355913</v>
      </c>
      <c r="BQ8" s="186">
        <f t="shared" si="40"/>
        <v>0.51270580389641429</v>
      </c>
      <c r="BR8" s="186">
        <f t="shared" si="41"/>
        <v>0.62874398124352771</v>
      </c>
      <c r="BS8" s="186">
        <f t="shared" si="42"/>
        <v>29.615239425492859</v>
      </c>
      <c r="BT8" s="186">
        <f t="shared" si="43"/>
        <v>59.735490631427581</v>
      </c>
      <c r="BU8" s="186">
        <f t="shared" si="44"/>
        <v>-47.101831721993712</v>
      </c>
      <c r="BV8" s="204">
        <v>6</v>
      </c>
      <c r="BW8" s="190">
        <v>7.63</v>
      </c>
      <c r="BX8" s="186">
        <v>0.35388778351322198</v>
      </c>
      <c r="BY8" s="186">
        <v>0.15303551438912499</v>
      </c>
      <c r="BZ8" s="204">
        <v>131</v>
      </c>
      <c r="CA8" s="204">
        <v>0</v>
      </c>
      <c r="CB8" s="204">
        <v>134</v>
      </c>
      <c r="CC8" s="186">
        <f t="shared" si="45"/>
        <v>-2.5887783513221962E-2</v>
      </c>
      <c r="CD8" s="186">
        <f t="shared" si="46"/>
        <v>2.9644856108750062E-3</v>
      </c>
      <c r="CE8" s="186"/>
      <c r="CF8" s="186"/>
      <c r="CG8" s="186"/>
      <c r="CH8" s="204">
        <f t="shared" si="47"/>
        <v>33.786923076923074</v>
      </c>
      <c r="CI8" s="204">
        <f t="shared" si="48"/>
        <v>0</v>
      </c>
      <c r="CJ8" s="204">
        <f t="shared" si="49"/>
        <v>41.109022556390983</v>
      </c>
      <c r="CK8" s="211">
        <f t="shared" si="12"/>
        <v>30.738478889531518</v>
      </c>
      <c r="CL8" s="211">
        <v>0</v>
      </c>
      <c r="CM8" s="211">
        <f t="shared" si="13"/>
        <v>44.397744360902266</v>
      </c>
      <c r="CN8" s="205">
        <f t="shared" si="50"/>
        <v>52.255414112203582</v>
      </c>
      <c r="CO8" s="205">
        <f t="shared" si="51"/>
        <v>0</v>
      </c>
      <c r="CP8" s="205">
        <f t="shared" si="52"/>
        <v>75.476165413533849</v>
      </c>
    </row>
    <row r="9" spans="1:94" ht="18">
      <c r="A9" s="190">
        <v>7</v>
      </c>
      <c r="B9" s="190">
        <v>8.4420000000000002</v>
      </c>
      <c r="C9" s="190">
        <v>0.36799999999999999</v>
      </c>
      <c r="D9" s="190">
        <v>0.18</v>
      </c>
      <c r="E9" s="193">
        <v>131</v>
      </c>
      <c r="F9" s="193">
        <v>0</v>
      </c>
      <c r="G9" s="193">
        <v>125</v>
      </c>
      <c r="H9" s="193">
        <f t="shared" si="15"/>
        <v>0.25682098951998916</v>
      </c>
      <c r="I9" s="193">
        <f t="shared" si="16"/>
        <v>0</v>
      </c>
      <c r="J9" s="193">
        <f t="shared" si="17"/>
        <v>0.23402409804507437</v>
      </c>
      <c r="K9" s="194">
        <f t="shared" si="18"/>
        <v>0.14815432577517945</v>
      </c>
      <c r="L9" s="194">
        <f t="shared" si="19"/>
        <v>7.1496682250804064E-2</v>
      </c>
      <c r="M9" s="194">
        <f t="shared" si="20"/>
        <v>0.227396550289579</v>
      </c>
      <c r="N9" s="194">
        <f t="shared" si="0"/>
        <v>0.41504510517789395</v>
      </c>
      <c r="O9" s="194">
        <f t="shared" si="1"/>
        <v>0.53648360257466687</v>
      </c>
      <c r="P9" s="194">
        <f t="shared" si="2"/>
        <v>0.59326946663888025</v>
      </c>
      <c r="Q9" s="194">
        <f t="shared" si="21"/>
        <v>32.145232200635697</v>
      </c>
      <c r="R9" s="194">
        <f t="shared" si="3"/>
        <v>60.719248698386465</v>
      </c>
      <c r="S9" s="194">
        <f t="shared" si="4"/>
        <v>-35.644872292197263</v>
      </c>
      <c r="T9" s="191" t="s">
        <v>230</v>
      </c>
      <c r="U9" s="193"/>
      <c r="V9" s="193"/>
      <c r="W9" s="193"/>
      <c r="X9" s="193"/>
      <c r="Y9" s="193"/>
      <c r="Z9" s="193"/>
      <c r="AA9" s="193"/>
      <c r="AB9" s="195">
        <f t="shared" si="5"/>
        <v>99.074897900000011</v>
      </c>
      <c r="AC9" s="195">
        <f t="shared" si="6"/>
        <v>48.3656364</v>
      </c>
      <c r="AD9" s="195">
        <f t="shared" si="7"/>
        <v>127.43005579999999</v>
      </c>
      <c r="AE9" s="195"/>
      <c r="AF9" s="195"/>
      <c r="AG9" s="190">
        <v>8.4420000000000002</v>
      </c>
      <c r="AH9" s="196">
        <v>0.37289167000000001</v>
      </c>
      <c r="AI9" s="196">
        <v>0.164785611</v>
      </c>
      <c r="AJ9" s="202">
        <v>138</v>
      </c>
      <c r="AK9" s="202">
        <v>0</v>
      </c>
      <c r="AL9" s="202">
        <v>131</v>
      </c>
      <c r="AM9" s="197">
        <f t="shared" si="22"/>
        <v>0.28488476085064246</v>
      </c>
      <c r="AN9" s="197">
        <f t="shared" si="23"/>
        <v>0</v>
      </c>
      <c r="AO9" s="197">
        <f t="shared" si="24"/>
        <v>0.25682098951998916</v>
      </c>
      <c r="AP9" s="194">
        <f t="shared" si="25"/>
        <v>0.16384266398316299</v>
      </c>
      <c r="AQ9" s="194">
        <f t="shared" si="26"/>
        <v>7.9108975600189813E-2</v>
      </c>
      <c r="AR9" s="194">
        <f t="shared" si="27"/>
        <v>0.24960662642316711</v>
      </c>
      <c r="AS9" s="197">
        <f t="shared" si="28"/>
        <v>0.42928125032645836</v>
      </c>
      <c r="AT9" s="197">
        <f t="shared" si="29"/>
        <v>0.55478835996658393</v>
      </c>
      <c r="AU9" s="197">
        <f t="shared" si="30"/>
        <v>0.6119877704831661</v>
      </c>
      <c r="AV9" s="196">
        <f t="shared" si="31"/>
        <v>33.79662503786917</v>
      </c>
      <c r="AW9" s="196">
        <f t="shared" si="32"/>
        <v>62.753554820062782</v>
      </c>
      <c r="AX9" s="196">
        <f t="shared" si="33"/>
        <v>-36.541304031341546</v>
      </c>
      <c r="AY9" s="196">
        <f t="shared" si="34"/>
        <v>2.7693121099834523</v>
      </c>
      <c r="AZ9" s="190">
        <v>8.4420000000000002</v>
      </c>
      <c r="BA9" s="210">
        <v>0.40541240182868599</v>
      </c>
      <c r="BB9" s="210">
        <v>0.179430568158051</v>
      </c>
      <c r="BC9" s="204">
        <v>142</v>
      </c>
      <c r="BD9" s="204">
        <v>0</v>
      </c>
      <c r="BE9" s="204">
        <v>120</v>
      </c>
      <c r="BF9" s="186"/>
      <c r="BG9" s="204">
        <f t="shared" si="35"/>
        <v>124.35507246376811</v>
      </c>
      <c r="BH9" s="204">
        <v>0</v>
      </c>
      <c r="BI9" s="204">
        <f t="shared" si="8"/>
        <v>119.27480916030535</v>
      </c>
      <c r="BJ9" s="186">
        <f t="shared" si="9"/>
        <v>0.23164237548888009</v>
      </c>
      <c r="BK9" s="186">
        <f t="shared" si="10"/>
        <v>0</v>
      </c>
      <c r="BL9" s="186">
        <f t="shared" si="11"/>
        <v>0.21334435332311333</v>
      </c>
      <c r="BM9" s="186">
        <f t="shared" si="36"/>
        <v>0.13403797142643609</v>
      </c>
      <c r="BN9" s="186">
        <f t="shared" si="37"/>
        <v>6.4650631338864686E-2</v>
      </c>
      <c r="BO9" s="186">
        <f t="shared" si="38"/>
        <v>0.20725450568055459</v>
      </c>
      <c r="BP9" s="186">
        <f t="shared" si="39"/>
        <v>0.4013509143955043</v>
      </c>
      <c r="BQ9" s="186">
        <f t="shared" si="40"/>
        <v>0.51887286069015137</v>
      </c>
      <c r="BR9" s="186">
        <f t="shared" si="41"/>
        <v>0.57520859525640899</v>
      </c>
      <c r="BS9" s="186">
        <f t="shared" si="42"/>
        <v>30.556706069878501</v>
      </c>
      <c r="BT9" s="186">
        <f t="shared" si="43"/>
        <v>58.76097314732354</v>
      </c>
      <c r="BU9" s="186">
        <f t="shared" si="44"/>
        <v>-34.771536172180937</v>
      </c>
      <c r="BV9" s="204">
        <v>7</v>
      </c>
      <c r="BW9" s="190">
        <v>8.4420000000000002</v>
      </c>
      <c r="BX9" s="186">
        <v>0.39511593435780301</v>
      </c>
      <c r="BY9" s="186">
        <v>0.17265259292606699</v>
      </c>
      <c r="BZ9" s="204">
        <v>141</v>
      </c>
      <c r="CA9" s="204">
        <v>0</v>
      </c>
      <c r="CB9" s="204">
        <v>124</v>
      </c>
      <c r="CC9" s="186">
        <f t="shared" si="45"/>
        <v>-2.7115934357803018E-2</v>
      </c>
      <c r="CD9" s="186">
        <f t="shared" si="46"/>
        <v>7.3474070739329989E-3</v>
      </c>
      <c r="CE9" s="186"/>
      <c r="CF9" s="186"/>
      <c r="CG9" s="186"/>
      <c r="CH9" s="204">
        <f t="shared" si="47"/>
        <v>37.306521739130432</v>
      </c>
      <c r="CI9" s="204">
        <f t="shared" si="48"/>
        <v>0</v>
      </c>
      <c r="CJ9" s="204">
        <f t="shared" si="49"/>
        <v>35.782442748091604</v>
      </c>
      <c r="CK9" s="211">
        <f t="shared" si="12"/>
        <v>34.416579914268212</v>
      </c>
      <c r="CL9" s="211">
        <v>0</v>
      </c>
      <c r="CM9" s="211">
        <f t="shared" si="13"/>
        <v>37.273377862595424</v>
      </c>
      <c r="CN9" s="205">
        <f t="shared" si="50"/>
        <v>58.508185854255956</v>
      </c>
      <c r="CO9" s="205">
        <f t="shared" si="51"/>
        <v>0</v>
      </c>
      <c r="CP9" s="205">
        <f t="shared" si="52"/>
        <v>63.364742366412223</v>
      </c>
    </row>
    <row r="10" spans="1:94" ht="18">
      <c r="A10" s="190">
        <v>8</v>
      </c>
      <c r="B10" s="190">
        <v>9.8989999999999991</v>
      </c>
      <c r="C10" s="190">
        <v>0.41600000000000004</v>
      </c>
      <c r="D10" s="190">
        <v>0.20800000000000002</v>
      </c>
      <c r="E10" s="193">
        <v>145</v>
      </c>
      <c r="F10" s="193">
        <v>0</v>
      </c>
      <c r="G10" s="193">
        <v>115</v>
      </c>
      <c r="H10" s="193">
        <f t="shared" si="15"/>
        <v>0.31454304097863306</v>
      </c>
      <c r="I10" s="193">
        <f t="shared" si="16"/>
        <v>0</v>
      </c>
      <c r="J10" s="193">
        <f t="shared" si="17"/>
        <v>0.19858146069293586</v>
      </c>
      <c r="K10" s="194">
        <f t="shared" si="18"/>
        <v>0.16556150375466319</v>
      </c>
      <c r="L10" s="194">
        <f t="shared" si="19"/>
        <v>8.1209431974087365E-2</v>
      </c>
      <c r="M10" s="194">
        <f t="shared" si="20"/>
        <v>0.19482235907952317</v>
      </c>
      <c r="N10" s="194">
        <f t="shared" si="0"/>
        <v>0.43304745531493144</v>
      </c>
      <c r="O10" s="194">
        <f t="shared" si="1"/>
        <v>0.55672167193773836</v>
      </c>
      <c r="P10" s="194">
        <f t="shared" si="2"/>
        <v>0.56346936105857914</v>
      </c>
      <c r="Q10" s="194">
        <f t="shared" si="21"/>
        <v>34.233504816532047</v>
      </c>
      <c r="R10" s="194">
        <f t="shared" si="3"/>
        <v>61.837108311403462</v>
      </c>
      <c r="S10" s="194">
        <f t="shared" si="4"/>
        <v>-26.084381148729541</v>
      </c>
      <c r="T10" s="191" t="s">
        <v>226</v>
      </c>
      <c r="U10" s="193"/>
      <c r="V10" s="193"/>
      <c r="W10" s="193"/>
      <c r="X10" s="193"/>
      <c r="Y10" s="193"/>
      <c r="Z10" s="193"/>
      <c r="AA10" s="193"/>
      <c r="AB10" s="195">
        <f t="shared" si="5"/>
        <v>105.2672785</v>
      </c>
      <c r="AC10" s="195">
        <f t="shared" si="6"/>
        <v>51.776172000000003</v>
      </c>
      <c r="AD10" s="195">
        <f t="shared" si="7"/>
        <v>117.89745099999999</v>
      </c>
      <c r="AE10" s="195"/>
      <c r="AF10" s="195"/>
      <c r="AG10" s="190">
        <v>9.8989999999999991</v>
      </c>
      <c r="AH10" s="196">
        <v>0.39471227599999997</v>
      </c>
      <c r="AI10" s="196">
        <v>0.17548883800000001</v>
      </c>
      <c r="AJ10" s="202">
        <v>151</v>
      </c>
      <c r="AK10" s="202">
        <v>0</v>
      </c>
      <c r="AL10" s="202">
        <v>133</v>
      </c>
      <c r="AM10" s="197">
        <f t="shared" si="22"/>
        <v>0.34124447062001056</v>
      </c>
      <c r="AN10" s="197">
        <f t="shared" si="23"/>
        <v>0</v>
      </c>
      <c r="AO10" s="197">
        <f t="shared" si="24"/>
        <v>0.26467736697892319</v>
      </c>
      <c r="AP10" s="194">
        <f t="shared" si="25"/>
        <v>0.18850348442338799</v>
      </c>
      <c r="AQ10" s="194">
        <f t="shared" si="26"/>
        <v>9.1658280349692506E-2</v>
      </c>
      <c r="AR10" s="194">
        <f t="shared" si="27"/>
        <v>0.25816185559643268</v>
      </c>
      <c r="AS10" s="197">
        <f t="shared" si="28"/>
        <v>0.45087612087847134</v>
      </c>
      <c r="AT10" s="197">
        <f t="shared" si="29"/>
        <v>0.58133276475437123</v>
      </c>
      <c r="AU10" s="197">
        <f t="shared" si="30"/>
        <v>0.61890130449240421</v>
      </c>
      <c r="AV10" s="196">
        <f t="shared" si="31"/>
        <v>36.301630021902675</v>
      </c>
      <c r="AW10" s="196">
        <f t="shared" si="32"/>
        <v>65.228321937949943</v>
      </c>
      <c r="AX10" s="196">
        <f t="shared" si="33"/>
        <v>-33.605036722786572</v>
      </c>
      <c r="AY10" s="196">
        <f t="shared" si="34"/>
        <v>8.5051591395786907</v>
      </c>
      <c r="AZ10" s="190">
        <v>9.8989999999999991</v>
      </c>
      <c r="BA10" s="210">
        <v>0.44850415490893503</v>
      </c>
      <c r="BB10" s="210">
        <v>0.20041107055770199</v>
      </c>
      <c r="BC10" s="204">
        <v>156</v>
      </c>
      <c r="BD10" s="204">
        <v>0</v>
      </c>
      <c r="BE10" s="204">
        <v>113</v>
      </c>
      <c r="BF10" s="186"/>
      <c r="BG10" s="204">
        <f t="shared" si="35"/>
        <v>139.23841059602648</v>
      </c>
      <c r="BH10" s="204">
        <v>0</v>
      </c>
      <c r="BI10" s="204">
        <f t="shared" si="8"/>
        <v>99.436090225563916</v>
      </c>
      <c r="BJ10" s="186">
        <f t="shared" si="9"/>
        <v>0.29001526690461654</v>
      </c>
      <c r="BK10" s="186">
        <f t="shared" si="10"/>
        <v>0</v>
      </c>
      <c r="BL10" s="186">
        <f t="shared" si="11"/>
        <v>0.14966473702202709</v>
      </c>
      <c r="BM10" s="186">
        <f t="shared" si="36"/>
        <v>0.14661678110393975</v>
      </c>
      <c r="BN10" s="186">
        <f t="shared" si="37"/>
        <v>7.2463039756911832E-2</v>
      </c>
      <c r="BO10" s="186">
        <f t="shared" si="38"/>
        <v>0.14785362719069586</v>
      </c>
      <c r="BP10" s="186">
        <f t="shared" si="39"/>
        <v>0.41690667583394247</v>
      </c>
      <c r="BQ10" s="186">
        <f t="shared" si="40"/>
        <v>0.5346212707199115</v>
      </c>
      <c r="BR10" s="186">
        <f t="shared" si="41"/>
        <v>0.51396636777682181</v>
      </c>
      <c r="BS10" s="186">
        <f t="shared" si="42"/>
        <v>32.361174396737326</v>
      </c>
      <c r="BT10" s="186">
        <f t="shared" si="43"/>
        <v>58.85729744298451</v>
      </c>
      <c r="BU10" s="186">
        <f t="shared" si="44"/>
        <v>-19.411938388575866</v>
      </c>
      <c r="BV10" s="204">
        <v>8</v>
      </c>
      <c r="BW10" s="190">
        <v>9.8989999999999991</v>
      </c>
      <c r="BX10" s="186">
        <v>0.43748857390372498</v>
      </c>
      <c r="BY10" s="186">
        <v>0.19280420292032099</v>
      </c>
      <c r="BZ10" s="204">
        <v>155</v>
      </c>
      <c r="CA10" s="204">
        <v>0</v>
      </c>
      <c r="CB10" s="204">
        <v>118</v>
      </c>
      <c r="CC10" s="186">
        <f t="shared" si="45"/>
        <v>-2.1488573903724939E-2</v>
      </c>
      <c r="CD10" s="186">
        <f t="shared" si="46"/>
        <v>1.5195797079679024E-2</v>
      </c>
      <c r="CE10" s="186"/>
      <c r="CF10" s="186"/>
      <c r="CG10" s="186"/>
      <c r="CH10" s="204">
        <f t="shared" si="47"/>
        <v>41.771523178807946</v>
      </c>
      <c r="CI10" s="204">
        <f t="shared" si="48"/>
        <v>0</v>
      </c>
      <c r="CJ10" s="204">
        <f t="shared" si="49"/>
        <v>29.830827067669173</v>
      </c>
      <c r="CK10" s="211">
        <f t="shared" si="12"/>
        <v>38.82609526235354</v>
      </c>
      <c r="CL10" s="211">
        <v>0</v>
      </c>
      <c r="CM10" s="211">
        <f t="shared" si="13"/>
        <v>30.358806307804912</v>
      </c>
      <c r="CN10" s="205">
        <f t="shared" si="50"/>
        <v>66.004361946001012</v>
      </c>
      <c r="CO10" s="205">
        <f t="shared" si="51"/>
        <v>0</v>
      </c>
      <c r="CP10" s="205">
        <f t="shared" si="52"/>
        <v>51.609970723268347</v>
      </c>
    </row>
    <row r="11" spans="1:94" ht="18">
      <c r="A11" s="190">
        <v>9</v>
      </c>
      <c r="B11" s="190">
        <v>12.377000000000001</v>
      </c>
      <c r="C11" s="190">
        <v>0.48399999999999999</v>
      </c>
      <c r="D11" s="190">
        <v>0.24399999999999999</v>
      </c>
      <c r="E11" s="193">
        <v>165</v>
      </c>
      <c r="F11" s="193">
        <v>0</v>
      </c>
      <c r="G11" s="193">
        <v>100</v>
      </c>
      <c r="H11" s="193">
        <f t="shared" si="15"/>
        <v>0.40819369580004278</v>
      </c>
      <c r="I11" s="193">
        <f t="shared" si="16"/>
        <v>0</v>
      </c>
      <c r="J11" s="193">
        <f t="shared" si="17"/>
        <v>0.15130607652863209</v>
      </c>
      <c r="K11" s="194">
        <f t="shared" si="18"/>
        <v>0.19564982696135574</v>
      </c>
      <c r="L11" s="194">
        <f t="shared" si="19"/>
        <v>9.770627845245633E-2</v>
      </c>
      <c r="M11" s="194">
        <f t="shared" si="20"/>
        <v>0.15169456406940562</v>
      </c>
      <c r="N11" s="194">
        <f t="shared" si="0"/>
        <v>0.46058256130051201</v>
      </c>
      <c r="O11" s="194">
        <f t="shared" si="1"/>
        <v>0.58858812576753361</v>
      </c>
      <c r="P11" s="194">
        <f t="shared" si="2"/>
        <v>0.51837897605536787</v>
      </c>
      <c r="Q11" s="194">
        <f t="shared" si="21"/>
        <v>37.427577110859396</v>
      </c>
      <c r="R11" s="194">
        <f t="shared" si="3"/>
        <v>64.0027822335108</v>
      </c>
      <c r="S11" s="194">
        <f t="shared" si="4"/>
        <v>-11.559282950971173</v>
      </c>
      <c r="T11" s="191" t="s">
        <v>231</v>
      </c>
      <c r="U11" s="193"/>
      <c r="V11" s="193"/>
      <c r="W11" s="193"/>
      <c r="X11" s="193"/>
      <c r="Y11" s="193"/>
      <c r="Z11" s="193"/>
      <c r="AA11" s="193"/>
      <c r="AB11" s="195">
        <f t="shared" si="5"/>
        <v>113.9791185</v>
      </c>
      <c r="AC11" s="195">
        <f t="shared" si="6"/>
        <v>56.594598500000004</v>
      </c>
      <c r="AD11" s="195">
        <f t="shared" si="7"/>
        <v>103.5715095</v>
      </c>
      <c r="AE11" s="195"/>
      <c r="AF11" s="195"/>
      <c r="AG11" s="190">
        <v>12.377000000000001</v>
      </c>
      <c r="AH11" s="196">
        <v>0.42252967499999999</v>
      </c>
      <c r="AI11" s="196">
        <v>0.189134737</v>
      </c>
      <c r="AJ11" s="202">
        <v>170</v>
      </c>
      <c r="AK11" s="202">
        <v>0</v>
      </c>
      <c r="AL11" s="202">
        <v>135</v>
      </c>
      <c r="AM11" s="197">
        <f t="shared" si="22"/>
        <v>0.43369579357672261</v>
      </c>
      <c r="AN11" s="197">
        <f t="shared" si="23"/>
        <v>0</v>
      </c>
      <c r="AO11" s="197">
        <f t="shared" si="24"/>
        <v>0.27266304406606784</v>
      </c>
      <c r="AP11" s="194">
        <f t="shared" si="25"/>
        <v>0.22807182472496565</v>
      </c>
      <c r="AQ11" s="194">
        <f t="shared" si="26"/>
        <v>0.11188999749598133</v>
      </c>
      <c r="AR11" s="194">
        <f t="shared" si="27"/>
        <v>0.26753655220082823</v>
      </c>
      <c r="AS11" s="197">
        <f t="shared" si="28"/>
        <v>0.48187059061524973</v>
      </c>
      <c r="AT11" s="197">
        <f t="shared" si="29"/>
        <v>0.61945374951799337</v>
      </c>
      <c r="AU11" s="197">
        <f t="shared" si="30"/>
        <v>0.62630385095557572</v>
      </c>
      <c r="AV11" s="196">
        <f t="shared" si="31"/>
        <v>39.896988511368967</v>
      </c>
      <c r="AW11" s="196">
        <f t="shared" si="32"/>
        <v>68.791579451371817</v>
      </c>
      <c r="AX11" s="196">
        <f t="shared" si="33"/>
        <v>-28.886652068065199</v>
      </c>
      <c r="AY11" s="196">
        <f t="shared" si="34"/>
        <v>18.145751347871595</v>
      </c>
      <c r="AZ11" s="190">
        <v>12.377000000000001</v>
      </c>
      <c r="BA11" s="210">
        <v>0.50687024290100302</v>
      </c>
      <c r="BB11" s="210">
        <v>0.22881894793471799</v>
      </c>
      <c r="BC11" s="204">
        <v>176</v>
      </c>
      <c r="BD11" s="204">
        <v>0</v>
      </c>
      <c r="BE11" s="204">
        <v>102</v>
      </c>
      <c r="BF11" s="186"/>
      <c r="BG11" s="204">
        <f t="shared" si="35"/>
        <v>160.14705882352942</v>
      </c>
      <c r="BH11" s="204">
        <v>0</v>
      </c>
      <c r="BI11" s="204">
        <f t="shared" si="8"/>
        <v>74.074074074074076</v>
      </c>
      <c r="BJ11" s="186">
        <f t="shared" si="9"/>
        <v>0.3842455618420248</v>
      </c>
      <c r="BK11" s="186">
        <f t="shared" si="10"/>
        <v>0</v>
      </c>
      <c r="BL11" s="186">
        <f t="shared" si="11"/>
        <v>8.578140369662729E-2</v>
      </c>
      <c r="BM11" s="186">
        <f t="shared" si="36"/>
        <v>0.17394641307089226</v>
      </c>
      <c r="BN11" s="186">
        <f t="shared" si="37"/>
        <v>8.7884023794510963E-2</v>
      </c>
      <c r="BO11" s="186">
        <f t="shared" si="38"/>
        <v>8.8951163557195317E-2</v>
      </c>
      <c r="BP11" s="186">
        <f t="shared" si="39"/>
        <v>0.44460053162589791</v>
      </c>
      <c r="BQ11" s="186">
        <f t="shared" si="40"/>
        <v>0.56596577082928456</v>
      </c>
      <c r="BR11" s="186">
        <f t="shared" si="41"/>
        <v>0.43388494836438102</v>
      </c>
      <c r="BS11" s="186">
        <f t="shared" si="42"/>
        <v>35.57366166860416</v>
      </c>
      <c r="BT11" s="186">
        <f t="shared" si="43"/>
        <v>60.682619601693325</v>
      </c>
      <c r="BU11" s="186">
        <f t="shared" si="44"/>
        <v>2.1431166523033784</v>
      </c>
      <c r="BV11" s="204">
        <v>9</v>
      </c>
      <c r="BW11" s="190">
        <v>12.377000000000001</v>
      </c>
      <c r="BX11" s="186">
        <v>0.50312823539684004</v>
      </c>
      <c r="BY11" s="186">
        <v>0.223999713316163</v>
      </c>
      <c r="BZ11" s="204">
        <v>177</v>
      </c>
      <c r="CA11" s="204">
        <v>0</v>
      </c>
      <c r="CB11" s="204">
        <v>105</v>
      </c>
      <c r="CC11" s="186">
        <f t="shared" si="45"/>
        <v>-1.9128235396840054E-2</v>
      </c>
      <c r="CD11" s="186">
        <f t="shared" si="46"/>
        <v>2.0000286683836993E-2</v>
      </c>
      <c r="CE11" s="186"/>
      <c r="CF11" s="186"/>
      <c r="CG11" s="186"/>
      <c r="CH11" s="204">
        <f t="shared" si="47"/>
        <v>48.044117647058826</v>
      </c>
      <c r="CI11" s="204">
        <f t="shared" si="48"/>
        <v>0</v>
      </c>
      <c r="CJ11" s="204">
        <f t="shared" si="49"/>
        <v>22.222222222222221</v>
      </c>
      <c r="CK11" s="211">
        <f t="shared" si="12"/>
        <v>45.041360294117652</v>
      </c>
      <c r="CL11" s="211">
        <v>0</v>
      </c>
      <c r="CM11" s="211">
        <f t="shared" si="13"/>
        <v>21.786492374727668</v>
      </c>
      <c r="CN11" s="205">
        <f t="shared" si="50"/>
        <v>76.5703125</v>
      </c>
      <c r="CO11" s="205">
        <f t="shared" si="51"/>
        <v>0</v>
      </c>
      <c r="CP11" s="205">
        <f t="shared" si="52"/>
        <v>37.037037037037038</v>
      </c>
    </row>
    <row r="12" spans="1:94" ht="18">
      <c r="A12" s="190">
        <v>10</v>
      </c>
      <c r="B12" s="190">
        <v>17.247</v>
      </c>
      <c r="C12" s="190">
        <v>0.54</v>
      </c>
      <c r="D12" s="190">
        <v>0.27600000000000002</v>
      </c>
      <c r="E12" s="193">
        <v>195</v>
      </c>
      <c r="F12" s="193">
        <v>0</v>
      </c>
      <c r="G12" s="193">
        <v>90</v>
      </c>
      <c r="H12" s="193">
        <f t="shared" si="15"/>
        <v>0.57397410890869816</v>
      </c>
      <c r="I12" s="193">
        <f t="shared" si="16"/>
        <v>0</v>
      </c>
      <c r="J12" s="193">
        <f t="shared" si="17"/>
        <v>0.12364005388724823</v>
      </c>
      <c r="K12" s="194">
        <f t="shared" si="18"/>
        <v>0.25902395224059543</v>
      </c>
      <c r="L12" s="194">
        <f t="shared" si="19"/>
        <v>0.13095370744464857</v>
      </c>
      <c r="M12" s="194">
        <f t="shared" si="20"/>
        <v>0.12859757152176732</v>
      </c>
      <c r="N12" s="194">
        <f t="shared" si="0"/>
        <v>0.5078154767299371</v>
      </c>
      <c r="O12" s="194">
        <f t="shared" si="1"/>
        <v>0.64629626909517157</v>
      </c>
      <c r="P12" s="194">
        <f t="shared" si="2"/>
        <v>0.49060838053314215</v>
      </c>
      <c r="Q12" s="194">
        <f t="shared" si="21"/>
        <v>42.906595300672706</v>
      </c>
      <c r="R12" s="194">
        <f t="shared" si="3"/>
        <v>69.240396182617232</v>
      </c>
      <c r="S12" s="194">
        <f t="shared" si="4"/>
        <v>3.4414192393589893</v>
      </c>
      <c r="T12" s="191" t="s">
        <v>228</v>
      </c>
      <c r="U12" s="193"/>
      <c r="V12" s="193"/>
      <c r="W12" s="193"/>
      <c r="X12" s="193"/>
      <c r="Y12" s="193"/>
      <c r="Z12" s="193"/>
      <c r="AA12" s="193"/>
      <c r="AB12" s="195">
        <f t="shared" si="5"/>
        <v>129.39919350000002</v>
      </c>
      <c r="AC12" s="195">
        <f t="shared" si="6"/>
        <v>64.763164500000002</v>
      </c>
      <c r="AD12" s="195">
        <f t="shared" si="7"/>
        <v>94.471453499999996</v>
      </c>
      <c r="AE12" s="195"/>
      <c r="AF12" s="195"/>
      <c r="AG12" s="190">
        <v>17.247</v>
      </c>
      <c r="AH12" s="196">
        <v>0.46164743499999999</v>
      </c>
      <c r="AI12" s="196">
        <v>0.208318632</v>
      </c>
      <c r="AJ12" s="202">
        <v>200</v>
      </c>
      <c r="AK12" s="202">
        <v>0</v>
      </c>
      <c r="AL12" s="202">
        <v>139</v>
      </c>
      <c r="AM12" s="197">
        <f t="shared" si="22"/>
        <v>0.6046138681288552</v>
      </c>
      <c r="AN12" s="197">
        <f t="shared" si="23"/>
        <v>0</v>
      </c>
      <c r="AO12" s="197">
        <f t="shared" si="24"/>
        <v>0.28902369293139479</v>
      </c>
      <c r="AP12" s="194">
        <f t="shared" si="25"/>
        <v>0.30151153579045664</v>
      </c>
      <c r="AQ12" s="194">
        <f t="shared" si="26"/>
        <v>0.14940841899384133</v>
      </c>
      <c r="AR12" s="194">
        <f t="shared" si="27"/>
        <v>0.28638606778617764</v>
      </c>
      <c r="AS12" s="197">
        <f t="shared" si="28"/>
        <v>0.53062986583802718</v>
      </c>
      <c r="AT12" s="197">
        <f t="shared" si="29"/>
        <v>0.67986025254550519</v>
      </c>
      <c r="AU12" s="197">
        <f t="shared" si="30"/>
        <v>0.64068024880138152</v>
      </c>
      <c r="AV12" s="196">
        <f t="shared" si="31"/>
        <v>45.553064437211155</v>
      </c>
      <c r="AW12" s="196">
        <f t="shared" si="32"/>
        <v>74.615193353739002</v>
      </c>
      <c r="AX12" s="196">
        <f t="shared" si="33"/>
        <v>-22.01007659267087</v>
      </c>
      <c r="AY12" s="196">
        <f t="shared" si="34"/>
        <v>26.147100864324948</v>
      </c>
      <c r="AZ12" s="190">
        <v>17.247</v>
      </c>
      <c r="BA12" s="210">
        <v>0.55587867876055896</v>
      </c>
      <c r="BB12" s="210">
        <v>0.25262129178193299</v>
      </c>
      <c r="BC12" s="204">
        <v>206</v>
      </c>
      <c r="BD12" s="204">
        <v>0</v>
      </c>
      <c r="BE12" s="204">
        <v>96</v>
      </c>
      <c r="BF12" s="186"/>
      <c r="BG12" s="204">
        <f t="shared" si="35"/>
        <v>190.125</v>
      </c>
      <c r="BH12" s="204">
        <v>0</v>
      </c>
      <c r="BI12" s="204">
        <f t="shared" si="8"/>
        <v>58.273381294964025</v>
      </c>
      <c r="BJ12" s="186">
        <f t="shared" si="9"/>
        <v>0.54493516891940463</v>
      </c>
      <c r="BK12" s="186">
        <f t="shared" si="10"/>
        <v>0</v>
      </c>
      <c r="BL12" s="186">
        <f t="shared" si="11"/>
        <v>5.5531455213134504E-2</v>
      </c>
      <c r="BM12" s="186">
        <f t="shared" si="36"/>
        <v>0.23475469132833324</v>
      </c>
      <c r="BN12" s="186">
        <f t="shared" si="37"/>
        <v>0.11986258797865373</v>
      </c>
      <c r="BO12" s="186">
        <f t="shared" si="38"/>
        <v>6.3299896940228861E-2</v>
      </c>
      <c r="BP12" s="186">
        <f t="shared" si="39"/>
        <v>0.4930540722984193</v>
      </c>
      <c r="BQ12" s="186">
        <f t="shared" si="40"/>
        <v>0.62544592453194692</v>
      </c>
      <c r="BR12" s="186">
        <f t="shared" si="41"/>
        <v>0.38736915929701998</v>
      </c>
      <c r="BS12" s="186">
        <f t="shared" si="42"/>
        <v>41.194272386616639</v>
      </c>
      <c r="BT12" s="186">
        <f t="shared" si="43"/>
        <v>66.195926116763815</v>
      </c>
      <c r="BU12" s="186">
        <f t="shared" si="44"/>
        <v>21.136982600279865</v>
      </c>
      <c r="BV12" s="204">
        <v>10</v>
      </c>
      <c r="BW12" s="190">
        <v>17.247</v>
      </c>
      <c r="BX12" s="186">
        <v>0.55598719926416595</v>
      </c>
      <c r="BY12" s="186">
        <v>0.249048687474349</v>
      </c>
      <c r="BZ12" s="204">
        <v>208</v>
      </c>
      <c r="CA12" s="204">
        <v>0</v>
      </c>
      <c r="CB12" s="204">
        <v>98</v>
      </c>
      <c r="CC12" s="186">
        <f t="shared" si="45"/>
        <v>-1.5987199264165919E-2</v>
      </c>
      <c r="CD12" s="186">
        <f t="shared" si="46"/>
        <v>2.6951312525651028E-2</v>
      </c>
      <c r="CE12" s="186"/>
      <c r="CF12" s="186"/>
      <c r="CG12" s="186"/>
      <c r="CH12" s="204">
        <f t="shared" si="47"/>
        <v>57.037500000000001</v>
      </c>
      <c r="CI12" s="204">
        <f t="shared" si="48"/>
        <v>0</v>
      </c>
      <c r="CJ12" s="204">
        <f t="shared" si="49"/>
        <v>17.482014388489208</v>
      </c>
      <c r="CK12" s="211">
        <f t="shared" si="12"/>
        <v>53.991808252427184</v>
      </c>
      <c r="CL12" s="211">
        <v>0</v>
      </c>
      <c r="CM12" s="211">
        <f t="shared" si="13"/>
        <v>16.389388489208631</v>
      </c>
      <c r="CN12" s="205">
        <f t="shared" si="50"/>
        <v>91.786074029126212</v>
      </c>
      <c r="CO12" s="205">
        <f t="shared" si="51"/>
        <v>0</v>
      </c>
      <c r="CP12" s="205">
        <f t="shared" si="52"/>
        <v>27.861960431654673</v>
      </c>
    </row>
    <row r="13" spans="1:94" ht="18">
      <c r="A13" s="190">
        <v>11</v>
      </c>
      <c r="B13" s="190">
        <v>21.931999999999999</v>
      </c>
      <c r="C13" s="190">
        <v>0.59199999999999997</v>
      </c>
      <c r="D13" s="190">
        <v>0.30399999999999999</v>
      </c>
      <c r="E13" s="193">
        <v>220</v>
      </c>
      <c r="F13" s="193">
        <v>0</v>
      </c>
      <c r="G13" s="193">
        <v>70</v>
      </c>
      <c r="H13" s="193">
        <f t="shared" si="15"/>
        <v>0.73592431190789209</v>
      </c>
      <c r="I13" s="193">
        <f t="shared" si="16"/>
        <v>0</v>
      </c>
      <c r="J13" s="193">
        <f t="shared" si="17"/>
        <v>7.7295629484402342E-2</v>
      </c>
      <c r="K13" s="194">
        <f t="shared" si="18"/>
        <v>0.31744704735274931</v>
      </c>
      <c r="L13" s="194">
        <f t="shared" si="19"/>
        <v>0.16203825316039172</v>
      </c>
      <c r="M13" s="194">
        <f t="shared" si="20"/>
        <v>8.7672835044746752E-2</v>
      </c>
      <c r="N13" s="194">
        <f t="shared" si="0"/>
        <v>0.54517908225397038</v>
      </c>
      <c r="O13" s="194">
        <f t="shared" si="1"/>
        <v>0.69163257155447022</v>
      </c>
      <c r="P13" s="194">
        <f t="shared" si="2"/>
        <v>0.4317964394685766</v>
      </c>
      <c r="Q13" s="194">
        <f t="shared" si="21"/>
        <v>47.240773541460563</v>
      </c>
      <c r="R13" s="194">
        <f t="shared" si="3"/>
        <v>73.226744650249913</v>
      </c>
      <c r="S13" s="194">
        <f t="shared" si="4"/>
        <v>22.676528557078758</v>
      </c>
      <c r="T13" s="191" t="s">
        <v>222</v>
      </c>
      <c r="U13" s="193"/>
      <c r="V13" s="193"/>
      <c r="W13" s="193"/>
      <c r="X13" s="193"/>
      <c r="Y13" s="193"/>
      <c r="Z13" s="193"/>
      <c r="AA13" s="193"/>
      <c r="AB13" s="195">
        <f t="shared" si="5"/>
        <v>140.05376200000001</v>
      </c>
      <c r="AC13" s="195">
        <f t="shared" si="6"/>
        <v>70.692104999999998</v>
      </c>
      <c r="AD13" s="195">
        <f t="shared" si="7"/>
        <v>75.325141000000002</v>
      </c>
      <c r="AE13" s="195"/>
      <c r="AF13" s="195"/>
      <c r="AG13" s="190">
        <v>21.931999999999999</v>
      </c>
      <c r="AH13" s="196">
        <v>0.49754773000000002</v>
      </c>
      <c r="AI13" s="196">
        <v>0.22590612900000001</v>
      </c>
      <c r="AJ13" s="202">
        <v>226</v>
      </c>
      <c r="AK13" s="202">
        <v>0</v>
      </c>
      <c r="AL13" s="202">
        <v>136</v>
      </c>
      <c r="AM13" s="197">
        <f t="shared" si="22"/>
        <v>0.77807317768485951</v>
      </c>
      <c r="AN13" s="197">
        <f t="shared" si="23"/>
        <v>0</v>
      </c>
      <c r="AO13" s="197">
        <f t="shared" si="24"/>
        <v>0.27670447945655491</v>
      </c>
      <c r="AP13" s="194">
        <f t="shared" si="25"/>
        <v>0.37082253701914425</v>
      </c>
      <c r="AQ13" s="194">
        <f t="shared" si="26"/>
        <v>0.1853964209925644</v>
      </c>
      <c r="AR13" s="194">
        <f t="shared" si="27"/>
        <v>0.27802442005277322</v>
      </c>
      <c r="AS13" s="197">
        <f t="shared" si="28"/>
        <v>0.57020862476346057</v>
      </c>
      <c r="AT13" s="197">
        <f t="shared" si="29"/>
        <v>0.72840633449271697</v>
      </c>
      <c r="AU13" s="197">
        <f t="shared" si="30"/>
        <v>0.63438322135708336</v>
      </c>
      <c r="AV13" s="196">
        <f t="shared" si="31"/>
        <v>50.144200472561423</v>
      </c>
      <c r="AW13" s="196">
        <f t="shared" si="32"/>
        <v>79.098854864628194</v>
      </c>
      <c r="AX13" s="196">
        <f t="shared" si="33"/>
        <v>-12.834919318724559</v>
      </c>
      <c r="AY13" s="196">
        <f t="shared" si="34"/>
        <v>36.110587042444259</v>
      </c>
      <c r="AZ13" s="190">
        <v>21.931999999999999</v>
      </c>
      <c r="BA13" s="210">
        <v>0.60518135477117996</v>
      </c>
      <c r="BB13" s="210">
        <v>0.27656153210652401</v>
      </c>
      <c r="BC13" s="204">
        <v>233</v>
      </c>
      <c r="BD13" s="204">
        <v>0</v>
      </c>
      <c r="BE13" s="204">
        <v>79</v>
      </c>
      <c r="BF13" s="186"/>
      <c r="BG13" s="204">
        <f t="shared" si="35"/>
        <v>214.15929203539821</v>
      </c>
      <c r="BH13" s="204">
        <v>0</v>
      </c>
      <c r="BI13" s="204">
        <f t="shared" si="8"/>
        <v>36.029411764705877</v>
      </c>
      <c r="BJ13" s="186">
        <f t="shared" si="9"/>
        <v>0.69612115208912184</v>
      </c>
      <c r="BK13" s="186">
        <f t="shared" si="10"/>
        <v>0</v>
      </c>
      <c r="BL13" s="186">
        <f t="shared" si="11"/>
        <v>2.4730300192126201E-2</v>
      </c>
      <c r="BM13" s="186">
        <f t="shared" si="36"/>
        <v>0.29154418230623258</v>
      </c>
      <c r="BN13" s="186">
        <f t="shared" si="37"/>
        <v>0.14978088460801883</v>
      </c>
      <c r="BO13" s="186">
        <f t="shared" si="38"/>
        <v>3.6941288567936006E-2</v>
      </c>
      <c r="BP13" s="186">
        <f t="shared" si="39"/>
        <v>0.53107044201512488</v>
      </c>
      <c r="BQ13" s="186">
        <f t="shared" si="40"/>
        <v>0.67228455434990153</v>
      </c>
      <c r="BR13" s="186">
        <f t="shared" si="41"/>
        <v>0.32371392890637363</v>
      </c>
      <c r="BS13" s="186">
        <f t="shared" si="42"/>
        <v>45.604171273754488</v>
      </c>
      <c r="BT13" s="186">
        <f t="shared" si="43"/>
        <v>70.607056167388322</v>
      </c>
      <c r="BU13" s="186">
        <f t="shared" si="44"/>
        <v>41.471302621750247</v>
      </c>
      <c r="BV13" s="204">
        <v>11</v>
      </c>
      <c r="BW13" s="190">
        <v>21.931999999999999</v>
      </c>
      <c r="BX13" s="186">
        <v>0.61324638471901405</v>
      </c>
      <c r="BY13" s="186">
        <v>0.27619537109058301</v>
      </c>
      <c r="BZ13" s="204">
        <v>236</v>
      </c>
      <c r="CA13" s="204">
        <v>0</v>
      </c>
      <c r="CB13" s="204">
        <v>76</v>
      </c>
      <c r="CC13" s="186">
        <f t="shared" si="45"/>
        <v>-2.1246384719014078E-2</v>
      </c>
      <c r="CD13" s="186">
        <f t="shared" si="46"/>
        <v>2.7804628909416984E-2</v>
      </c>
      <c r="CE13" s="186"/>
      <c r="CF13" s="186"/>
      <c r="CG13" s="186"/>
      <c r="CH13" s="204">
        <f t="shared" si="47"/>
        <v>64.247787610619454</v>
      </c>
      <c r="CI13" s="204">
        <f t="shared" si="48"/>
        <v>0</v>
      </c>
      <c r="CJ13" s="204">
        <f t="shared" si="49"/>
        <v>10.808823529411763</v>
      </c>
      <c r="CK13" s="211">
        <f t="shared" si="12"/>
        <v>60.663147100155705</v>
      </c>
      <c r="CL13" s="211">
        <v>0</v>
      </c>
      <c r="CM13" s="211">
        <f t="shared" si="13"/>
        <v>9.577438570364853</v>
      </c>
      <c r="CN13" s="205">
        <f t="shared" si="50"/>
        <v>103.1273500702647</v>
      </c>
      <c r="CO13" s="205">
        <f t="shared" si="51"/>
        <v>0</v>
      </c>
      <c r="CP13" s="205">
        <f t="shared" si="52"/>
        <v>16.281645569620249</v>
      </c>
    </row>
    <row r="14" spans="1:94" ht="18">
      <c r="A14" s="190">
        <v>12</v>
      </c>
      <c r="B14" s="190">
        <v>23.91</v>
      </c>
      <c r="C14" s="190">
        <v>0.61599999999999999</v>
      </c>
      <c r="D14" s="190">
        <v>0.316</v>
      </c>
      <c r="E14" s="193">
        <v>230</v>
      </c>
      <c r="F14" s="193">
        <v>0</v>
      </c>
      <c r="G14" s="193">
        <v>50</v>
      </c>
      <c r="H14" s="193">
        <f t="shared" si="15"/>
        <v>0.80688510595100582</v>
      </c>
      <c r="I14" s="193">
        <f t="shared" si="16"/>
        <v>0</v>
      </c>
      <c r="J14" s="193">
        <f t="shared" si="17"/>
        <v>4.2503557698519136E-2</v>
      </c>
      <c r="K14" s="194">
        <f t="shared" si="18"/>
        <v>0.34043130985877751</v>
      </c>
      <c r="L14" s="194">
        <f t="shared" si="19"/>
        <v>0.17461253039101693</v>
      </c>
      <c r="M14" s="194">
        <f t="shared" si="20"/>
        <v>5.5972514137296855E-2</v>
      </c>
      <c r="N14" s="194">
        <f t="shared" si="0"/>
        <v>0.55893134887953633</v>
      </c>
      <c r="O14" s="194">
        <f t="shared" si="1"/>
        <v>0.70793737131911927</v>
      </c>
      <c r="P14" s="194">
        <f t="shared" si="2"/>
        <v>0.37180535884390542</v>
      </c>
      <c r="Q14" s="194">
        <f t="shared" si="21"/>
        <v>48.836036470026215</v>
      </c>
      <c r="R14" s="194">
        <f t="shared" si="3"/>
        <v>74.503011219791475</v>
      </c>
      <c r="S14" s="194">
        <f t="shared" si="4"/>
        <v>37.425198007126184</v>
      </c>
      <c r="T14" s="191" t="s">
        <v>232</v>
      </c>
      <c r="U14" s="193"/>
      <c r="V14" s="193"/>
      <c r="W14" s="193"/>
      <c r="X14" s="193"/>
      <c r="Y14" s="193"/>
      <c r="Z14" s="193"/>
      <c r="AA14" s="193"/>
      <c r="AB14" s="195">
        <f t="shared" si="5"/>
        <v>142.057367</v>
      </c>
      <c r="AC14" s="195">
        <f t="shared" si="6"/>
        <v>72.160392000000002</v>
      </c>
      <c r="AD14" s="195">
        <f t="shared" si="7"/>
        <v>55.773313999999999</v>
      </c>
      <c r="AE14" s="195"/>
      <c r="AF14" s="195"/>
      <c r="AG14" s="190">
        <v>23.91</v>
      </c>
      <c r="AH14" s="196">
        <v>0.54046095500000002</v>
      </c>
      <c r="AI14" s="196">
        <v>0.246924796</v>
      </c>
      <c r="AJ14" s="202">
        <v>238</v>
      </c>
      <c r="AK14" s="202">
        <v>0</v>
      </c>
      <c r="AL14" s="202">
        <v>119</v>
      </c>
      <c r="AM14" s="197">
        <f t="shared" si="22"/>
        <v>0.86622789146487311</v>
      </c>
      <c r="AN14" s="197">
        <f t="shared" si="23"/>
        <v>0</v>
      </c>
      <c r="AO14" s="197">
        <f t="shared" si="24"/>
        <v>0.21237792855701193</v>
      </c>
      <c r="AP14" s="194">
        <f t="shared" si="25"/>
        <v>0.39556659854465431</v>
      </c>
      <c r="AQ14" s="194">
        <f t="shared" si="26"/>
        <v>0.1994937361672483</v>
      </c>
      <c r="AR14" s="194">
        <f t="shared" si="27"/>
        <v>0.2185834193987119</v>
      </c>
      <c r="AS14" s="197">
        <f t="shared" si="28"/>
        <v>0.58430968922772297</v>
      </c>
      <c r="AT14" s="197">
        <f t="shared" si="29"/>
        <v>0.74426034157450727</v>
      </c>
      <c r="AU14" s="197">
        <f t="shared" si="30"/>
        <v>0.58550388162818123</v>
      </c>
      <c r="AV14" s="196">
        <f t="shared" si="31"/>
        <v>51.779923950415863</v>
      </c>
      <c r="AW14" s="196">
        <f t="shared" si="32"/>
        <v>79.975326173392148</v>
      </c>
      <c r="AX14" s="196">
        <f t="shared" si="33"/>
        <v>-0.23883848009165209</v>
      </c>
      <c r="AY14" s="196">
        <f t="shared" si="34"/>
        <v>38.173188875951567</v>
      </c>
      <c r="AZ14" s="190">
        <v>23.91</v>
      </c>
      <c r="BA14" s="210">
        <v>0.64459258559449795</v>
      </c>
      <c r="BB14" s="210">
        <v>0.29573256393977698</v>
      </c>
      <c r="BC14" s="204">
        <v>245</v>
      </c>
      <c r="BD14" s="204">
        <v>0</v>
      </c>
      <c r="BE14" s="204">
        <v>49</v>
      </c>
      <c r="BF14" s="186"/>
      <c r="BG14" s="204">
        <f t="shared" si="35"/>
        <v>222.26890756302521</v>
      </c>
      <c r="BH14" s="204">
        <v>0</v>
      </c>
      <c r="BI14" s="204">
        <f t="shared" si="8"/>
        <v>21.008403361344538</v>
      </c>
      <c r="BJ14" s="186">
        <f t="shared" si="9"/>
        <v>0.75171245344305782</v>
      </c>
      <c r="BK14" s="186">
        <f t="shared" si="10"/>
        <v>0</v>
      </c>
      <c r="BL14" s="186">
        <f t="shared" si="11"/>
        <v>1.1280213421454414E-2</v>
      </c>
      <c r="BM14" s="186">
        <f t="shared" si="36"/>
        <v>0.31204229432248959</v>
      </c>
      <c r="BN14" s="186">
        <f t="shared" si="37"/>
        <v>0.16062849901102311</v>
      </c>
      <c r="BO14" s="186">
        <f t="shared" si="38"/>
        <v>2.5229893208543436E-2</v>
      </c>
      <c r="BP14" s="186">
        <f t="shared" si="39"/>
        <v>0.54359343158892404</v>
      </c>
      <c r="BQ14" s="186">
        <f t="shared" si="40"/>
        <v>0.68768490970530505</v>
      </c>
      <c r="BR14" s="186">
        <f t="shared" si="41"/>
        <v>0.28507721725639867</v>
      </c>
      <c r="BS14" s="186">
        <f t="shared" si="42"/>
        <v>47.056838064315187</v>
      </c>
      <c r="BT14" s="186">
        <f t="shared" si="43"/>
        <v>72.045739058190506</v>
      </c>
      <c r="BU14" s="186">
        <f t="shared" si="44"/>
        <v>51.703242866505072</v>
      </c>
      <c r="BV14" s="204">
        <v>12</v>
      </c>
      <c r="BW14" s="190">
        <v>23.91</v>
      </c>
      <c r="BX14" s="186">
        <v>0.63754757442405596</v>
      </c>
      <c r="BY14" s="186">
        <v>0.287713404415469</v>
      </c>
      <c r="BZ14" s="204">
        <v>246</v>
      </c>
      <c r="CA14" s="204">
        <v>0</v>
      </c>
      <c r="CB14" s="204">
        <v>60</v>
      </c>
      <c r="CC14" s="186">
        <f t="shared" si="45"/>
        <v>-2.1547574424055971E-2</v>
      </c>
      <c r="CD14" s="186">
        <f t="shared" si="46"/>
        <v>2.8286595584531005E-2</v>
      </c>
      <c r="CE14" s="186"/>
      <c r="CF14" s="186"/>
      <c r="CG14" s="186"/>
      <c r="CH14" s="204">
        <f t="shared" si="47"/>
        <v>66.680672268907557</v>
      </c>
      <c r="CI14" s="204">
        <f t="shared" si="48"/>
        <v>0</v>
      </c>
      <c r="CJ14" s="204">
        <f t="shared" si="49"/>
        <v>6.3025210084033612</v>
      </c>
      <c r="CK14" s="211">
        <f t="shared" si="12"/>
        <v>62.598182129994854</v>
      </c>
      <c r="CL14" s="211">
        <v>0</v>
      </c>
      <c r="CM14" s="211">
        <f t="shared" si="13"/>
        <v>6.431143886125879</v>
      </c>
      <c r="CN14" s="205">
        <f t="shared" si="50"/>
        <v>106.41690962099125</v>
      </c>
      <c r="CO14" s="205">
        <f t="shared" si="51"/>
        <v>0</v>
      </c>
      <c r="CP14" s="205">
        <f t="shared" si="52"/>
        <v>10.932944606413994</v>
      </c>
    </row>
    <row r="15" spans="1:94" ht="18">
      <c r="A15" s="190">
        <v>13</v>
      </c>
      <c r="B15" s="190">
        <v>26.094000000000001</v>
      </c>
      <c r="C15" s="190">
        <v>0.63200000000000001</v>
      </c>
      <c r="D15" s="190">
        <v>0.32800000000000001</v>
      </c>
      <c r="E15" s="193">
        <v>240</v>
      </c>
      <c r="F15" s="193">
        <v>0</v>
      </c>
      <c r="G15" s="193">
        <v>30</v>
      </c>
      <c r="H15" s="193">
        <f t="shared" si="15"/>
        <v>0.88142305085254469</v>
      </c>
      <c r="I15" s="193">
        <f t="shared" si="16"/>
        <v>0</v>
      </c>
      <c r="J15" s="193">
        <f t="shared" si="17"/>
        <v>1.8646391312016057E-2</v>
      </c>
      <c r="K15" s="194">
        <f t="shared" si="18"/>
        <v>0.36686453980340833</v>
      </c>
      <c r="L15" s="194">
        <f t="shared" si="19"/>
        <v>0.18873681006397858</v>
      </c>
      <c r="M15" s="194">
        <f t="shared" si="20"/>
        <v>3.473485982352538E-2</v>
      </c>
      <c r="N15" s="194">
        <f t="shared" si="0"/>
        <v>0.57361284789283284</v>
      </c>
      <c r="O15" s="194">
        <f t="shared" si="1"/>
        <v>0.72580549571273012</v>
      </c>
      <c r="P15" s="194">
        <f t="shared" si="2"/>
        <v>0.31713625272428475</v>
      </c>
      <c r="Q15" s="194">
        <f t="shared" si="21"/>
        <v>50.539090355568604</v>
      </c>
      <c r="R15" s="194">
        <f t="shared" si="3"/>
        <v>76.096323909948637</v>
      </c>
      <c r="S15" s="194">
        <f t="shared" si="4"/>
        <v>51.295319033709617</v>
      </c>
      <c r="T15" s="191" t="s">
        <v>233</v>
      </c>
      <c r="U15" s="193"/>
      <c r="V15" s="193"/>
      <c r="W15" s="193"/>
      <c r="X15" s="193"/>
      <c r="Y15" s="193"/>
      <c r="Z15" s="193"/>
      <c r="AA15" s="193"/>
      <c r="AB15" s="195">
        <f t="shared" si="5"/>
        <v>144.06097200000002</v>
      </c>
      <c r="AC15" s="195">
        <f t="shared" si="6"/>
        <v>73.628679000000005</v>
      </c>
      <c r="AD15" s="195">
        <f t="shared" si="7"/>
        <v>36.221486999999996</v>
      </c>
      <c r="AE15" s="195"/>
      <c r="AF15" s="195"/>
      <c r="AG15" s="190">
        <v>26.094000000000001</v>
      </c>
      <c r="AH15" s="196">
        <v>0.57922273099999999</v>
      </c>
      <c r="AI15" s="196">
        <v>0.26593284499999997</v>
      </c>
      <c r="AJ15" s="202">
        <v>250</v>
      </c>
      <c r="AK15" s="202">
        <v>0</v>
      </c>
      <c r="AL15" s="202">
        <v>101</v>
      </c>
      <c r="AM15" s="197">
        <f t="shared" si="22"/>
        <v>0.95956700166791176</v>
      </c>
      <c r="AN15" s="197">
        <f t="shared" si="23"/>
        <v>0</v>
      </c>
      <c r="AO15" s="197">
        <f t="shared" si="24"/>
        <v>0.15424074850093791</v>
      </c>
      <c r="AP15" s="194">
        <f t="shared" si="25"/>
        <v>0.42356588659226607</v>
      </c>
      <c r="AQ15" s="194">
        <f t="shared" si="26"/>
        <v>0.21514012659636578</v>
      </c>
      <c r="AR15" s="194">
        <f t="shared" si="27"/>
        <v>0.1651254745823322</v>
      </c>
      <c r="AS15" s="197">
        <f t="shared" si="28"/>
        <v>0.59920276207790091</v>
      </c>
      <c r="AT15" s="197">
        <f t="shared" si="29"/>
        <v>0.76142184437525473</v>
      </c>
      <c r="AU15" s="197">
        <f t="shared" si="30"/>
        <v>0.53324738332674571</v>
      </c>
      <c r="AV15" s="196">
        <f t="shared" si="31"/>
        <v>53.507520401036501</v>
      </c>
      <c r="AW15" s="196">
        <f t="shared" si="32"/>
        <v>81.109541148676911</v>
      </c>
      <c r="AX15" s="196">
        <f t="shared" si="33"/>
        <v>13.19107575023104</v>
      </c>
      <c r="AY15" s="196">
        <f t="shared" si="34"/>
        <v>38.547078750847533</v>
      </c>
      <c r="AZ15" s="190">
        <v>26.094000000000001</v>
      </c>
      <c r="BA15" s="210">
        <v>0.670342638092568</v>
      </c>
      <c r="BB15" s="210">
        <v>0.30825446755918401</v>
      </c>
      <c r="BC15" s="204">
        <v>256</v>
      </c>
      <c r="BD15" s="204">
        <v>0</v>
      </c>
      <c r="BE15" s="204">
        <v>0</v>
      </c>
      <c r="BF15" s="186"/>
      <c r="BG15" s="204">
        <f t="shared" si="35"/>
        <v>230.39999999999998</v>
      </c>
      <c r="BH15" s="204">
        <v>0</v>
      </c>
      <c r="BI15" s="204">
        <f t="shared" si="8"/>
        <v>8.9108910891089099</v>
      </c>
      <c r="BJ15" s="186">
        <f t="shared" si="9"/>
        <v>0.80979774734659105</v>
      </c>
      <c r="BK15" s="186">
        <f t="shared" si="10"/>
        <v>0</v>
      </c>
      <c r="BL15" s="186">
        <f t="shared" si="11"/>
        <v>2.7046958930094425E-3</v>
      </c>
      <c r="BM15" s="186">
        <f t="shared" si="36"/>
        <v>0.33444878861442234</v>
      </c>
      <c r="BN15" s="186">
        <f t="shared" si="37"/>
        <v>0.17235828012936052</v>
      </c>
      <c r="BO15" s="186">
        <f t="shared" si="38"/>
        <v>1.8199909970094685E-2</v>
      </c>
      <c r="BP15" s="186">
        <f t="shared" si="39"/>
        <v>0.55651565273839376</v>
      </c>
      <c r="BQ15" s="186">
        <f t="shared" si="40"/>
        <v>0.70376589382708088</v>
      </c>
      <c r="BR15" s="186">
        <f t="shared" si="41"/>
        <v>0.25567040141197001</v>
      </c>
      <c r="BS15" s="186">
        <f t="shared" si="42"/>
        <v>48.555815717653672</v>
      </c>
      <c r="BT15" s="186">
        <f t="shared" si="43"/>
        <v>73.625120544343559</v>
      </c>
      <c r="BU15" s="186">
        <f t="shared" si="44"/>
        <v>60.169050265284753</v>
      </c>
      <c r="BV15" s="204">
        <v>13</v>
      </c>
      <c r="BW15" s="190">
        <v>26.094000000000001</v>
      </c>
      <c r="BX15" s="186">
        <v>0.68851093078331305</v>
      </c>
      <c r="BY15" s="186">
        <v>0.31187982733747999</v>
      </c>
      <c r="BZ15" s="214">
        <v>248</v>
      </c>
      <c r="CA15" s="204">
        <v>0</v>
      </c>
      <c r="CB15" s="214">
        <v>30</v>
      </c>
      <c r="CC15" s="186">
        <f t="shared" si="45"/>
        <v>-5.651093078331304E-2</v>
      </c>
      <c r="CD15" s="186">
        <f t="shared" si="46"/>
        <v>1.6120172662520027E-2</v>
      </c>
      <c r="CE15" s="186"/>
      <c r="CF15" s="186"/>
      <c r="CG15" s="186"/>
      <c r="CH15" s="204">
        <f t="shared" si="47"/>
        <v>69.11999999999999</v>
      </c>
      <c r="CI15" s="204">
        <f t="shared" si="48"/>
        <v>0</v>
      </c>
      <c r="CJ15" s="204">
        <f t="shared" si="49"/>
        <v>2.673267326732673</v>
      </c>
      <c r="CK15" s="211">
        <f t="shared" si="12"/>
        <v>64.8</v>
      </c>
      <c r="CL15" s="211">
        <v>0</v>
      </c>
      <c r="CM15" s="211">
        <v>0</v>
      </c>
      <c r="CN15" s="216">
        <f t="shared" si="50"/>
        <v>110.16</v>
      </c>
      <c r="CO15" s="205">
        <f t="shared" si="51"/>
        <v>0</v>
      </c>
      <c r="CP15" s="216">
        <v>8</v>
      </c>
    </row>
    <row r="16" spans="1:94" ht="18">
      <c r="A16" s="190">
        <v>14</v>
      </c>
      <c r="B16" s="190">
        <v>27.248000000000001</v>
      </c>
      <c r="C16" s="190">
        <v>0.64</v>
      </c>
      <c r="D16" s="190">
        <v>0.32400000000000001</v>
      </c>
      <c r="E16" s="193">
        <v>245</v>
      </c>
      <c r="F16" s="193">
        <v>0</v>
      </c>
      <c r="G16" s="193">
        <v>15</v>
      </c>
      <c r="H16" s="193">
        <f t="shared" si="15"/>
        <v>0.92004250778986618</v>
      </c>
      <c r="I16" s="193">
        <f t="shared" si="16"/>
        <v>0</v>
      </c>
      <c r="J16" s="193">
        <f t="shared" si="17"/>
        <v>7.4568446314067808E-3</v>
      </c>
      <c r="K16" s="194">
        <f t="shared" si="18"/>
        <v>0.38077149066850974</v>
      </c>
      <c r="L16" s="194">
        <f t="shared" si="19"/>
        <v>0.19613942133851314</v>
      </c>
      <c r="M16" s="194">
        <f t="shared" si="20"/>
        <v>2.4844551222496562E-2</v>
      </c>
      <c r="N16" s="194">
        <f t="shared" si="0"/>
        <v>0.58101627348036533</v>
      </c>
      <c r="O16" s="194">
        <f t="shared" si="1"/>
        <v>0.73486316971101795</v>
      </c>
      <c r="P16" s="194">
        <f t="shared" si="2"/>
        <v>0.28361841491972173</v>
      </c>
      <c r="Q16" s="194">
        <f t="shared" si="21"/>
        <v>51.397887723722377</v>
      </c>
      <c r="R16" s="194">
        <f t="shared" si="3"/>
        <v>76.923448115326309</v>
      </c>
      <c r="S16" s="194">
        <f t="shared" si="4"/>
        <v>59.479571712128717</v>
      </c>
      <c r="T16" s="191" t="s">
        <v>226</v>
      </c>
      <c r="U16" s="193"/>
      <c r="V16" s="193"/>
      <c r="W16" s="193"/>
      <c r="X16" s="193"/>
      <c r="Y16" s="193"/>
      <c r="Z16" s="193"/>
      <c r="AA16" s="193"/>
      <c r="AB16" s="195">
        <f t="shared" si="5"/>
        <v>144.1218485</v>
      </c>
      <c r="AC16" s="195">
        <f t="shared" si="6"/>
        <v>73.986452</v>
      </c>
      <c r="AD16" s="195">
        <f t="shared" si="7"/>
        <v>21.490031000000002</v>
      </c>
      <c r="AE16" s="195"/>
      <c r="AF16" s="195"/>
      <c r="AG16" s="190">
        <v>27.248000000000001</v>
      </c>
      <c r="AH16" s="196">
        <v>0.62168923600000003</v>
      </c>
      <c r="AI16" s="196">
        <v>0.28676744300000001</v>
      </c>
      <c r="AJ16" s="202">
        <v>255</v>
      </c>
      <c r="AK16" s="202">
        <v>0</v>
      </c>
      <c r="AL16" s="202">
        <v>73</v>
      </c>
      <c r="AM16" s="197">
        <f t="shared" si="22"/>
        <v>1</v>
      </c>
      <c r="AN16" s="197">
        <f t="shared" si="23"/>
        <v>0</v>
      </c>
      <c r="AO16" s="197">
        <f t="shared" si="24"/>
        <v>8.3497421114739123E-2</v>
      </c>
      <c r="AP16" s="194">
        <f t="shared" si="25"/>
        <v>0.42747128451121041</v>
      </c>
      <c r="AQ16" s="194">
        <f t="shared" si="26"/>
        <v>0.21862851380448417</v>
      </c>
      <c r="AR16" s="194">
        <f t="shared" si="27"/>
        <v>9.8664298769559539E-2</v>
      </c>
      <c r="AS16" s="197">
        <f t="shared" si="28"/>
        <v>0.60242400290683862</v>
      </c>
      <c r="AT16" s="197">
        <f t="shared" si="29"/>
        <v>0.76375486393903058</v>
      </c>
      <c r="AU16" s="197">
        <f t="shared" si="30"/>
        <v>0.44913550128254509</v>
      </c>
      <c r="AV16" s="196">
        <f t="shared" si="31"/>
        <v>53.881184337193275</v>
      </c>
      <c r="AW16" s="196">
        <f t="shared" si="32"/>
        <v>80.665430516095981</v>
      </c>
      <c r="AX16" s="196">
        <f t="shared" si="33"/>
        <v>30.657700324858705</v>
      </c>
      <c r="AY16" s="196">
        <f t="shared" si="34"/>
        <v>29.169666858270421</v>
      </c>
      <c r="AZ16" s="190">
        <v>27.248000000000001</v>
      </c>
      <c r="BA16" s="210">
        <v>0.68387316189907599</v>
      </c>
      <c r="BB16" s="210">
        <v>0.31477384018454402</v>
      </c>
      <c r="BC16" s="204">
        <v>261</v>
      </c>
      <c r="BD16" s="204">
        <v>0</v>
      </c>
      <c r="BE16" s="204">
        <v>0</v>
      </c>
      <c r="BF16" s="186"/>
      <c r="BG16" s="204">
        <f t="shared" si="35"/>
        <v>235.39215686274511</v>
      </c>
      <c r="BH16" s="204">
        <v>0</v>
      </c>
      <c r="BI16" s="204">
        <f t="shared" si="8"/>
        <v>3.0821917808219177</v>
      </c>
      <c r="BJ16" s="186">
        <f t="shared" si="9"/>
        <v>0.84663088102423756</v>
      </c>
      <c r="BK16" s="186">
        <f t="shared" si="10"/>
        <v>0</v>
      </c>
      <c r="BL16" s="186">
        <f t="shared" si="11"/>
        <v>9.3552837395189639E-4</v>
      </c>
      <c r="BM16" s="186">
        <f t="shared" si="36"/>
        <v>0.3493194382058939</v>
      </c>
      <c r="BN16" s="186">
        <f t="shared" si="37"/>
        <v>0.18006127045435225</v>
      </c>
      <c r="BO16" s="186">
        <f t="shared" si="38"/>
        <v>1.7229195723209065E-2</v>
      </c>
      <c r="BP16" s="186">
        <f t="shared" si="39"/>
        <v>0.56468567417775672</v>
      </c>
      <c r="BQ16" s="186">
        <f t="shared" si="40"/>
        <v>0.71404556269178954</v>
      </c>
      <c r="BR16" s="186">
        <f t="shared" si="41"/>
        <v>0.25104160813791088</v>
      </c>
      <c r="BS16" s="186">
        <f t="shared" si="42"/>
        <v>49.503538204619787</v>
      </c>
      <c r="BT16" s="186">
        <f t="shared" si="43"/>
        <v>74.679944257016402</v>
      </c>
      <c r="BU16" s="186">
        <f t="shared" si="44"/>
        <v>62.728813207969168</v>
      </c>
      <c r="BV16" s="204">
        <v>14</v>
      </c>
      <c r="BW16" s="190">
        <v>27.248000000000001</v>
      </c>
      <c r="BX16" s="186">
        <v>0.68853903951965401</v>
      </c>
      <c r="BY16" s="186">
        <v>0.31184813075814299</v>
      </c>
      <c r="BZ16" s="214">
        <v>248</v>
      </c>
      <c r="CA16" s="204">
        <v>0</v>
      </c>
      <c r="CB16" s="214">
        <v>20</v>
      </c>
      <c r="CC16" s="186">
        <f t="shared" si="45"/>
        <v>-4.8539039519653993E-2</v>
      </c>
      <c r="CD16" s="186">
        <f t="shared" si="46"/>
        <v>1.2151869241857016E-2</v>
      </c>
      <c r="CE16" s="186"/>
      <c r="CF16" s="186"/>
      <c r="CG16" s="186"/>
      <c r="CH16" s="204">
        <f t="shared" si="47"/>
        <v>70.617647058823536</v>
      </c>
      <c r="CI16" s="204">
        <f t="shared" si="48"/>
        <v>0</v>
      </c>
      <c r="CJ16" s="204">
        <f t="shared" si="49"/>
        <v>0.92465753424657526</v>
      </c>
      <c r="CK16" s="211">
        <f t="shared" si="12"/>
        <v>66.288595898129373</v>
      </c>
      <c r="CL16" s="211">
        <v>0</v>
      </c>
      <c r="CM16" s="211">
        <v>0</v>
      </c>
      <c r="CN16" s="216">
        <f t="shared" si="50"/>
        <v>112.69061302681993</v>
      </c>
      <c r="CO16" s="205">
        <f t="shared" si="51"/>
        <v>0</v>
      </c>
      <c r="CP16" s="216">
        <v>5</v>
      </c>
    </row>
    <row r="17" spans="1:94" ht="18">
      <c r="A17" s="190">
        <v>15</v>
      </c>
      <c r="B17" s="190">
        <v>29.739000000000001</v>
      </c>
      <c r="C17" s="190">
        <v>0.64</v>
      </c>
      <c r="D17" s="190">
        <v>0.32800000000000001</v>
      </c>
      <c r="E17" s="193">
        <v>255</v>
      </c>
      <c r="F17" s="193">
        <v>0</v>
      </c>
      <c r="G17" s="193">
        <v>5</v>
      </c>
      <c r="H17" s="193">
        <f t="shared" si="15"/>
        <v>1</v>
      </c>
      <c r="I17" s="193">
        <f t="shared" si="16"/>
        <v>0</v>
      </c>
      <c r="J17" s="193">
        <f t="shared" si="17"/>
        <v>1.5176349177441874E-3</v>
      </c>
      <c r="K17" s="194">
        <f t="shared" si="18"/>
        <v>0.41267393310265282</v>
      </c>
      <c r="L17" s="194">
        <f t="shared" si="19"/>
        <v>0.21270957324106113</v>
      </c>
      <c r="M17" s="194">
        <f t="shared" si="20"/>
        <v>2.074251198931585E-2</v>
      </c>
      <c r="N17" s="194">
        <f t="shared" si="0"/>
        <v>0.59693770573619309</v>
      </c>
      <c r="O17" s="194">
        <f t="shared" si="1"/>
        <v>0.75483845902722146</v>
      </c>
      <c r="P17" s="194">
        <f t="shared" si="2"/>
        <v>0.26706142172523767</v>
      </c>
      <c r="Q17" s="194">
        <f t="shared" si="21"/>
        <v>53.2447738653984</v>
      </c>
      <c r="R17" s="194">
        <f t="shared" si="3"/>
        <v>78.950376645514183</v>
      </c>
      <c r="S17" s="194">
        <f t="shared" si="4"/>
        <v>65.975256802191083</v>
      </c>
      <c r="T17" s="191" t="s">
        <v>234</v>
      </c>
      <c r="U17" s="193"/>
      <c r="V17" s="193"/>
      <c r="W17" s="193"/>
      <c r="X17" s="193"/>
      <c r="Y17" s="193"/>
      <c r="Z17" s="193"/>
      <c r="AA17" s="193"/>
      <c r="AB17" s="195">
        <f t="shared" si="5"/>
        <v>148.0073055</v>
      </c>
      <c r="AC17" s="195">
        <f t="shared" si="6"/>
        <v>76.20747999999999</v>
      </c>
      <c r="AD17" s="195">
        <f t="shared" si="7"/>
        <v>11.849288999999999</v>
      </c>
      <c r="AE17" s="195"/>
      <c r="AF17" s="195"/>
      <c r="AG17" s="190">
        <v>29.739000000000001</v>
      </c>
      <c r="AH17" s="196">
        <v>0.65116774799999999</v>
      </c>
      <c r="AI17" s="196">
        <v>0.30123820400000001</v>
      </c>
      <c r="AJ17" s="202">
        <v>255</v>
      </c>
      <c r="AK17" s="202">
        <v>0</v>
      </c>
      <c r="AL17" s="202">
        <v>44</v>
      </c>
      <c r="AM17" s="197">
        <f t="shared" si="22"/>
        <v>1</v>
      </c>
      <c r="AN17" s="197">
        <f t="shared" si="23"/>
        <v>0</v>
      </c>
      <c r="AO17" s="197">
        <f t="shared" si="24"/>
        <v>3.4230206565081946E-2</v>
      </c>
      <c r="AP17" s="194">
        <f t="shared" si="25"/>
        <v>0.4185785522849973</v>
      </c>
      <c r="AQ17" s="194">
        <f t="shared" si="26"/>
        <v>0.21507142091399892</v>
      </c>
      <c r="AR17" s="194">
        <f t="shared" si="27"/>
        <v>5.1835811340110394E-2</v>
      </c>
      <c r="AS17" s="197">
        <f t="shared" si="28"/>
        <v>0.59913896951857615</v>
      </c>
      <c r="AT17" s="197">
        <f t="shared" si="29"/>
        <v>0.75842154912934467</v>
      </c>
      <c r="AU17" s="197">
        <f t="shared" si="30"/>
        <v>0.36241041800457352</v>
      </c>
      <c r="AV17" s="196">
        <f t="shared" si="31"/>
        <v>53.500120464154833</v>
      </c>
      <c r="AW17" s="196">
        <f t="shared" si="32"/>
        <v>79.641289805384261</v>
      </c>
      <c r="AX17" s="196">
        <f t="shared" si="33"/>
        <v>47.345710302800526</v>
      </c>
      <c r="AY17" s="196">
        <f t="shared" si="34"/>
        <v>18.644102704419247</v>
      </c>
      <c r="AZ17" s="190">
        <v>29.739000000000001</v>
      </c>
      <c r="BA17" s="210">
        <v>0.68507743535182297</v>
      </c>
      <c r="BB17" s="210">
        <v>0.31526617335335499</v>
      </c>
      <c r="BC17" s="204">
        <v>271</v>
      </c>
      <c r="BD17" s="204">
        <v>0</v>
      </c>
      <c r="BE17" s="204">
        <v>0</v>
      </c>
      <c r="BF17" s="186"/>
      <c r="BG17" s="204">
        <f t="shared" si="35"/>
        <v>255</v>
      </c>
      <c r="BH17" s="204">
        <v>0</v>
      </c>
      <c r="BI17" s="204">
        <f t="shared" si="8"/>
        <v>0.56818181818181812</v>
      </c>
      <c r="BJ17" s="186">
        <f t="shared" si="9"/>
        <v>1</v>
      </c>
      <c r="BK17" s="186">
        <f t="shared" si="10"/>
        <v>0</v>
      </c>
      <c r="BL17" s="186">
        <f t="shared" si="11"/>
        <v>1.7245851338002128E-4</v>
      </c>
      <c r="BM17" s="186">
        <f t="shared" si="36"/>
        <v>0.4124311287616651</v>
      </c>
      <c r="BN17" s="186">
        <f t="shared" si="37"/>
        <v>0.21261245150466604</v>
      </c>
      <c r="BO17" s="186">
        <f t="shared" si="38"/>
        <v>1.9463921816967711E-2</v>
      </c>
      <c r="BP17" s="186">
        <f t="shared" si="39"/>
        <v>0.59684683934716254</v>
      </c>
      <c r="BQ17" s="186">
        <f t="shared" si="40"/>
        <v>0.75469038892743501</v>
      </c>
      <c r="BR17" s="186">
        <f t="shared" si="41"/>
        <v>0.26145733122896003</v>
      </c>
      <c r="BS17" s="186">
        <f t="shared" si="42"/>
        <v>53.23423336427085</v>
      </c>
      <c r="BT17" s="186">
        <f t="shared" si="43"/>
        <v>78.92177479013624</v>
      </c>
      <c r="BU17" s="186">
        <f t="shared" si="44"/>
        <v>67.0779016236405</v>
      </c>
      <c r="BV17" s="204">
        <v>15</v>
      </c>
      <c r="BW17" s="190">
        <v>29.739000000000001</v>
      </c>
      <c r="BX17" s="186">
        <v>0.68861008954944103</v>
      </c>
      <c r="BY17" s="186">
        <v>0.31178097928692999</v>
      </c>
      <c r="BZ17" s="214">
        <v>248</v>
      </c>
      <c r="CA17" s="204">
        <v>0</v>
      </c>
      <c r="CB17" s="214">
        <v>10</v>
      </c>
      <c r="CC17" s="186">
        <f t="shared" si="45"/>
        <v>-4.8610089549441016E-2</v>
      </c>
      <c r="CD17" s="186">
        <f t="shared" si="46"/>
        <v>1.621902071307002E-2</v>
      </c>
      <c r="CE17" s="186"/>
      <c r="CF17" s="186"/>
      <c r="CG17" s="186"/>
      <c r="CH17" s="204">
        <f t="shared" si="47"/>
        <v>76.5</v>
      </c>
      <c r="CI17" s="204">
        <f t="shared" si="48"/>
        <v>0</v>
      </c>
      <c r="CJ17" s="204">
        <f t="shared" si="49"/>
        <v>0.17045454545454544</v>
      </c>
      <c r="CK17" s="211">
        <f t="shared" si="12"/>
        <v>71.983394833948338</v>
      </c>
      <c r="CL17" s="211">
        <v>0</v>
      </c>
      <c r="CM17" s="211">
        <v>0</v>
      </c>
      <c r="CN17" s="216">
        <f t="shared" si="50"/>
        <v>122.37177121771217</v>
      </c>
      <c r="CO17" s="205">
        <f t="shared" si="51"/>
        <v>0</v>
      </c>
      <c r="CP17" s="216">
        <v>3</v>
      </c>
    </row>
    <row r="18" spans="1:94" ht="18">
      <c r="A18" s="190">
        <v>16</v>
      </c>
      <c r="B18" s="190">
        <v>29.788</v>
      </c>
      <c r="C18" s="190">
        <v>0.64</v>
      </c>
      <c r="D18" s="190">
        <v>0.33200000000000002</v>
      </c>
      <c r="E18" s="193">
        <v>255</v>
      </c>
      <c r="F18" s="193">
        <v>10</v>
      </c>
      <c r="G18" s="193">
        <v>0</v>
      </c>
      <c r="H18" s="193">
        <f t="shared" si="15"/>
        <v>1</v>
      </c>
      <c r="I18" s="193">
        <f t="shared" si="16"/>
        <v>3.0352698354883748E-3</v>
      </c>
      <c r="J18" s="193">
        <f t="shared" si="17"/>
        <v>0</v>
      </c>
      <c r="K18" s="194">
        <f t="shared" si="18"/>
        <v>0.41348541249317061</v>
      </c>
      <c r="L18" s="194">
        <f t="shared" si="19"/>
        <v>0.21477082498634129</v>
      </c>
      <c r="M18" s="194">
        <f t="shared" si="20"/>
        <v>1.9661804164390215E-2</v>
      </c>
      <c r="N18" s="194">
        <f t="shared" si="0"/>
        <v>0.59885970925523191</v>
      </c>
      <c r="O18" s="194">
        <f t="shared" si="1"/>
        <v>0.75533290492108007</v>
      </c>
      <c r="P18" s="194">
        <f t="shared" si="2"/>
        <v>0.26234039138020454</v>
      </c>
      <c r="Q18" s="194">
        <f t="shared" si="21"/>
        <v>53.4677262736069</v>
      </c>
      <c r="R18" s="194">
        <f t="shared" si="3"/>
        <v>78.236597832924076</v>
      </c>
      <c r="S18" s="194">
        <f t="shared" si="4"/>
        <v>67.303863575005479</v>
      </c>
      <c r="T18" s="191" t="s">
        <v>228</v>
      </c>
      <c r="U18" s="193"/>
      <c r="V18" s="193"/>
      <c r="W18" s="193"/>
      <c r="X18" s="193"/>
      <c r="Y18" s="193"/>
      <c r="Z18" s="193"/>
      <c r="AA18" s="193"/>
      <c r="AB18" s="195">
        <f t="shared" si="5"/>
        <v>148.9219195</v>
      </c>
      <c r="AC18" s="195">
        <f t="shared" si="6"/>
        <v>82.104600500000004</v>
      </c>
      <c r="AD18" s="195">
        <f t="shared" si="7"/>
        <v>7.6006184999999995</v>
      </c>
      <c r="AE18" s="195"/>
      <c r="AF18" s="195"/>
      <c r="AG18" s="190">
        <v>29.788</v>
      </c>
      <c r="AH18" s="196">
        <v>0.67653585199999999</v>
      </c>
      <c r="AI18" s="196">
        <v>0.31366956200000001</v>
      </c>
      <c r="AJ18" s="202">
        <v>255</v>
      </c>
      <c r="AK18" s="202">
        <v>0</v>
      </c>
      <c r="AL18" s="202">
        <v>0</v>
      </c>
      <c r="AM18" s="197">
        <f t="shared" si="22"/>
        <v>1</v>
      </c>
      <c r="AN18" s="197">
        <f t="shared" si="23"/>
        <v>0</v>
      </c>
      <c r="AO18" s="197">
        <f t="shared" si="24"/>
        <v>0</v>
      </c>
      <c r="AP18" s="194">
        <f t="shared" si="25"/>
        <v>0.41239999999999999</v>
      </c>
      <c r="AQ18" s="194">
        <f t="shared" si="26"/>
        <v>0.21260000000000001</v>
      </c>
      <c r="AR18" s="194">
        <f t="shared" si="27"/>
        <v>1.9300000000000001E-2</v>
      </c>
      <c r="AS18" s="197">
        <f t="shared" si="28"/>
        <v>0.5968351878089867</v>
      </c>
      <c r="AT18" s="197">
        <f t="shared" si="29"/>
        <v>0.75467140137882516</v>
      </c>
      <c r="AU18" s="197">
        <f t="shared" si="30"/>
        <v>0.26072127808180562</v>
      </c>
      <c r="AV18" s="196">
        <f t="shared" si="31"/>
        <v>53.232881785842451</v>
      </c>
      <c r="AW18" s="196">
        <f t="shared" si="32"/>
        <v>78.918106784919232</v>
      </c>
      <c r="AX18" s="196">
        <f t="shared" si="33"/>
        <v>67.222781945436211</v>
      </c>
      <c r="AY18" s="196">
        <f t="shared" si="34"/>
        <v>0.72538308205836288</v>
      </c>
      <c r="AZ18" s="190">
        <v>29.788</v>
      </c>
      <c r="BA18" s="210">
        <v>0.68508750114384598</v>
      </c>
      <c r="BB18" s="210">
        <v>0.31525439856450499</v>
      </c>
      <c r="BC18" s="204">
        <v>272</v>
      </c>
      <c r="BD18" s="204">
        <v>0</v>
      </c>
      <c r="BE18" s="204">
        <v>0</v>
      </c>
      <c r="BF18" s="186"/>
      <c r="BG18" s="204">
        <f t="shared" si="35"/>
        <v>255</v>
      </c>
      <c r="BH18" s="204">
        <v>0</v>
      </c>
      <c r="BI18" s="204">
        <v>0</v>
      </c>
      <c r="BJ18" s="186">
        <f t="shared" si="9"/>
        <v>1</v>
      </c>
      <c r="BK18" s="186">
        <f t="shared" si="10"/>
        <v>0</v>
      </c>
      <c r="BL18" s="186">
        <f t="shared" si="11"/>
        <v>0</v>
      </c>
      <c r="BM18" s="186">
        <f t="shared" si="36"/>
        <v>0.41239999999999999</v>
      </c>
      <c r="BN18" s="186">
        <f t="shared" si="37"/>
        <v>0.21260000000000001</v>
      </c>
      <c r="BO18" s="186">
        <f t="shared" si="38"/>
        <v>1.9300000000000001E-2</v>
      </c>
      <c r="BP18" s="186">
        <f t="shared" si="39"/>
        <v>0.5968351878089867</v>
      </c>
      <c r="BQ18" s="186">
        <f t="shared" si="40"/>
        <v>0.75467140137882516</v>
      </c>
      <c r="BR18" s="186">
        <f t="shared" si="41"/>
        <v>0.26072127808180562</v>
      </c>
      <c r="BS18" s="186">
        <f t="shared" si="42"/>
        <v>53.232881785842451</v>
      </c>
      <c r="BT18" s="186">
        <f t="shared" si="43"/>
        <v>78.918106784919232</v>
      </c>
      <c r="BU18" s="186">
        <f t="shared" si="44"/>
        <v>67.222781945436211</v>
      </c>
      <c r="BV18" s="204">
        <v>16</v>
      </c>
      <c r="BW18" s="190">
        <v>29.788</v>
      </c>
      <c r="BX18" s="186">
        <v>0.68862759058076595</v>
      </c>
      <c r="BY18" s="186">
        <v>0.31176777530264599</v>
      </c>
      <c r="BZ18" s="214">
        <v>248</v>
      </c>
      <c r="CA18" s="214">
        <v>5</v>
      </c>
      <c r="CB18" s="204">
        <v>0</v>
      </c>
      <c r="CC18" s="186">
        <f t="shared" si="45"/>
        <v>-4.8627590580765934E-2</v>
      </c>
      <c r="CD18" s="186">
        <f t="shared" si="46"/>
        <v>2.0232224697354029E-2</v>
      </c>
      <c r="CE18" s="186"/>
      <c r="CF18" s="186"/>
      <c r="CG18" s="186"/>
      <c r="CH18" s="204">
        <f t="shared" si="47"/>
        <v>76.5</v>
      </c>
      <c r="CI18" s="204">
        <f t="shared" si="48"/>
        <v>0</v>
      </c>
      <c r="CJ18" s="204">
        <f t="shared" si="49"/>
        <v>0</v>
      </c>
      <c r="CK18" s="211">
        <f t="shared" si="12"/>
        <v>71.71875</v>
      </c>
      <c r="CL18" s="211">
        <v>0</v>
      </c>
      <c r="CM18" s="211">
        <v>0</v>
      </c>
      <c r="CN18" s="216">
        <f t="shared" si="50"/>
        <v>121.921875</v>
      </c>
      <c r="CO18" s="216">
        <v>3</v>
      </c>
      <c r="CP18" s="205">
        <f t="shared" si="52"/>
        <v>0</v>
      </c>
    </row>
    <row r="19" spans="1:94">
      <c r="A19" s="190">
        <v>17</v>
      </c>
      <c r="B19" s="190">
        <v>29.97</v>
      </c>
      <c r="C19" s="190">
        <v>0.64</v>
      </c>
      <c r="D19" s="190">
        <v>0.33600000000000002</v>
      </c>
      <c r="E19" s="193">
        <v>255</v>
      </c>
      <c r="F19" s="193">
        <v>20</v>
      </c>
      <c r="G19" s="193">
        <v>0</v>
      </c>
      <c r="H19" s="193">
        <f t="shared" si="15"/>
        <v>1</v>
      </c>
      <c r="I19" s="193">
        <f t="shared" si="16"/>
        <v>1.0578207611479196E-2</v>
      </c>
      <c r="J19" s="193">
        <f t="shared" si="17"/>
        <v>0</v>
      </c>
      <c r="K19" s="194">
        <f t="shared" si="18"/>
        <v>0.41618276704186496</v>
      </c>
      <c r="L19" s="194">
        <f t="shared" si="19"/>
        <v>0.22016553408372994</v>
      </c>
      <c r="M19" s="194">
        <f t="shared" si="20"/>
        <v>2.0560922347288322E-2</v>
      </c>
      <c r="N19" s="194">
        <f t="shared" si="0"/>
        <v>0.60383244449879125</v>
      </c>
      <c r="O19" s="194">
        <f t="shared" si="1"/>
        <v>0.75697180702265043</v>
      </c>
      <c r="P19" s="194">
        <f t="shared" si="2"/>
        <v>0.26627980957845621</v>
      </c>
      <c r="Q19" s="194">
        <f t="shared" si="21"/>
        <v>54.044563561859789</v>
      </c>
      <c r="R19" s="194">
        <f t="shared" si="3"/>
        <v>76.569681261929588</v>
      </c>
      <c r="S19" s="194">
        <f t="shared" si="4"/>
        <v>67.510526984067013</v>
      </c>
      <c r="T19" s="193"/>
      <c r="U19" s="193"/>
      <c r="V19" s="193"/>
      <c r="W19" s="193"/>
      <c r="X19" s="193"/>
      <c r="Y19" s="193"/>
      <c r="Z19" s="193"/>
      <c r="AA19" s="193"/>
      <c r="AB19" s="195">
        <f t="shared" si="5"/>
        <v>150.77745950000002</v>
      </c>
      <c r="AC19" s="195">
        <f t="shared" si="6"/>
        <v>88.378091499999996</v>
      </c>
      <c r="AD19" s="195">
        <f t="shared" si="7"/>
        <v>8.3074905000000001</v>
      </c>
      <c r="AE19" s="195"/>
      <c r="AF19" s="195"/>
      <c r="AG19" s="190">
        <v>29.97</v>
      </c>
      <c r="AH19" s="196">
        <v>0.66989418700000003</v>
      </c>
      <c r="AI19" s="196">
        <v>0.32690590200000003</v>
      </c>
      <c r="AJ19" s="202">
        <v>255</v>
      </c>
      <c r="AK19" s="202">
        <v>0</v>
      </c>
      <c r="AL19" s="202">
        <v>0</v>
      </c>
      <c r="AM19" s="197">
        <f t="shared" si="22"/>
        <v>1</v>
      </c>
      <c r="AN19" s="197">
        <f t="shared" si="23"/>
        <v>0</v>
      </c>
      <c r="AO19" s="197">
        <f t="shared" si="24"/>
        <v>0</v>
      </c>
      <c r="AP19" s="194">
        <f t="shared" si="25"/>
        <v>0.41239999999999999</v>
      </c>
      <c r="AQ19" s="194">
        <f t="shared" si="26"/>
        <v>0.21260000000000001</v>
      </c>
      <c r="AR19" s="194">
        <f t="shared" si="27"/>
        <v>1.9300000000000001E-2</v>
      </c>
      <c r="AS19" s="197">
        <f t="shared" si="28"/>
        <v>0.5968351878089867</v>
      </c>
      <c r="AT19" s="197">
        <f t="shared" si="29"/>
        <v>0.75467140137882516</v>
      </c>
      <c r="AU19" s="197">
        <f t="shared" si="30"/>
        <v>0.26072127808180562</v>
      </c>
      <c r="AV19" s="196">
        <f t="shared" si="31"/>
        <v>53.232881785842451</v>
      </c>
      <c r="AW19" s="196">
        <f t="shared" si="32"/>
        <v>78.918106784919232</v>
      </c>
      <c r="AX19" s="196">
        <f t="shared" si="33"/>
        <v>67.222781945436211</v>
      </c>
      <c r="AY19" s="196">
        <f t="shared" si="34"/>
        <v>2.5013450281407565</v>
      </c>
      <c r="AZ19" s="190">
        <v>29.97</v>
      </c>
      <c r="BA19" s="210">
        <v>0.68509493021400003</v>
      </c>
      <c r="BB19" s="210">
        <v>0.31525011580782403</v>
      </c>
      <c r="BC19" s="204">
        <v>273</v>
      </c>
      <c r="BD19" s="204">
        <v>0</v>
      </c>
      <c r="BE19" s="204">
        <v>0</v>
      </c>
      <c r="BF19" s="186"/>
      <c r="BG19" s="204">
        <f t="shared" si="35"/>
        <v>255</v>
      </c>
      <c r="BH19" s="204">
        <v>0</v>
      </c>
      <c r="BI19" s="204">
        <v>0</v>
      </c>
      <c r="BJ19" s="186">
        <f t="shared" si="9"/>
        <v>1</v>
      </c>
      <c r="BK19" s="186">
        <f t="shared" si="10"/>
        <v>0</v>
      </c>
      <c r="BL19" s="186">
        <f t="shared" si="11"/>
        <v>0</v>
      </c>
      <c r="BM19" s="186">
        <f t="shared" si="36"/>
        <v>0.41239999999999999</v>
      </c>
      <c r="BN19" s="186">
        <f t="shared" si="37"/>
        <v>0.21260000000000001</v>
      </c>
      <c r="BO19" s="186">
        <f t="shared" si="38"/>
        <v>1.9300000000000001E-2</v>
      </c>
      <c r="BP19" s="186">
        <f t="shared" si="39"/>
        <v>0.5968351878089867</v>
      </c>
      <c r="BQ19" s="186">
        <f t="shared" si="40"/>
        <v>0.75467140137882516</v>
      </c>
      <c r="BR19" s="186">
        <f t="shared" si="41"/>
        <v>0.26072127808180562</v>
      </c>
      <c r="BS19" s="186">
        <f t="shared" si="42"/>
        <v>53.232881785842451</v>
      </c>
      <c r="BT19" s="186">
        <f t="shared" si="43"/>
        <v>78.918106784919232</v>
      </c>
      <c r="BU19" s="186">
        <f t="shared" si="44"/>
        <v>67.222781945436211</v>
      </c>
      <c r="BV19" s="204">
        <v>17</v>
      </c>
      <c r="BW19" s="190">
        <v>29.97</v>
      </c>
      <c r="BX19" s="186">
        <v>0.68862931516446302</v>
      </c>
      <c r="BY19" s="186">
        <v>0.31176320211458403</v>
      </c>
      <c r="BZ19" s="214">
        <v>248</v>
      </c>
      <c r="CA19" s="214">
        <v>10</v>
      </c>
      <c r="CB19" s="204">
        <v>0</v>
      </c>
      <c r="CC19" s="186">
        <f t="shared" si="45"/>
        <v>-4.8629315164463005E-2</v>
      </c>
      <c r="CD19" s="186">
        <f t="shared" si="46"/>
        <v>2.4236797885415995E-2</v>
      </c>
      <c r="CE19" s="186"/>
      <c r="CF19" s="186"/>
      <c r="CG19" s="186"/>
      <c r="CH19" s="204">
        <f t="shared" si="47"/>
        <v>76.5</v>
      </c>
      <c r="CI19" s="204">
        <f t="shared" si="48"/>
        <v>0</v>
      </c>
      <c r="CJ19" s="204">
        <f t="shared" si="49"/>
        <v>0</v>
      </c>
      <c r="CK19" s="211">
        <f t="shared" si="12"/>
        <v>71.456043956043956</v>
      </c>
      <c r="CL19" s="211">
        <v>0</v>
      </c>
      <c r="CM19" s="211">
        <v>0</v>
      </c>
      <c r="CN19" s="216">
        <f t="shared" si="50"/>
        <v>121.47527472527472</v>
      </c>
      <c r="CO19" s="216">
        <v>6</v>
      </c>
      <c r="CP19" s="205">
        <f t="shared" si="52"/>
        <v>0</v>
      </c>
    </row>
    <row r="20" spans="1:94">
      <c r="A20" s="190">
        <v>18</v>
      </c>
      <c r="B20" s="190">
        <v>30.305</v>
      </c>
      <c r="C20" s="190">
        <v>0.63600000000000001</v>
      </c>
      <c r="D20" s="190">
        <v>0.33200000000000002</v>
      </c>
      <c r="E20" s="193">
        <v>255</v>
      </c>
      <c r="F20" s="193">
        <v>30</v>
      </c>
      <c r="G20" s="193">
        <v>0</v>
      </c>
      <c r="H20" s="193">
        <f t="shared" si="15"/>
        <v>1</v>
      </c>
      <c r="I20" s="193">
        <f t="shared" si="16"/>
        <v>1.8646391312016057E-2</v>
      </c>
      <c r="J20" s="193">
        <f t="shared" si="17"/>
        <v>0</v>
      </c>
      <c r="K20" s="194">
        <f t="shared" si="18"/>
        <v>0.41906794953317694</v>
      </c>
      <c r="L20" s="194">
        <f t="shared" si="19"/>
        <v>0.22593589906635389</v>
      </c>
      <c r="M20" s="194">
        <f t="shared" si="20"/>
        <v>2.1522649844392314E-2</v>
      </c>
      <c r="N20" s="194">
        <f t="shared" si="0"/>
        <v>0.60906234071999921</v>
      </c>
      <c r="O20" s="194">
        <f t="shared" si="1"/>
        <v>0.75871701327045493</v>
      </c>
      <c r="P20" s="194">
        <f t="shared" si="2"/>
        <v>0.27036841401019041</v>
      </c>
      <c r="Q20" s="194">
        <f t="shared" si="21"/>
        <v>54.651231523519911</v>
      </c>
      <c r="R20" s="194">
        <f t="shared" si="3"/>
        <v>74.827336275227864</v>
      </c>
      <c r="S20" s="194">
        <f t="shared" si="4"/>
        <v>67.738785341961758</v>
      </c>
      <c r="T20" s="198" t="s">
        <v>236</v>
      </c>
      <c r="U20" s="199"/>
      <c r="V20" s="193"/>
      <c r="W20" s="193"/>
      <c r="X20" s="193"/>
      <c r="Y20" s="193"/>
      <c r="Z20" s="193"/>
      <c r="AA20" s="193"/>
      <c r="AB20" s="195">
        <f t="shared" si="5"/>
        <v>152.63299950000001</v>
      </c>
      <c r="AC20" s="195">
        <f t="shared" si="6"/>
        <v>94.651582499999989</v>
      </c>
      <c r="AD20" s="195">
        <f t="shared" si="7"/>
        <v>9.0143625000000007</v>
      </c>
      <c r="AE20" s="195"/>
      <c r="AF20" s="195"/>
      <c r="AG20" s="190">
        <v>30.305</v>
      </c>
      <c r="AH20" s="196">
        <v>0.65461336000000003</v>
      </c>
      <c r="AI20" s="196">
        <v>0.33810056399999999</v>
      </c>
      <c r="AJ20" s="202">
        <v>255</v>
      </c>
      <c r="AK20" s="202">
        <v>0</v>
      </c>
      <c r="AL20" s="202">
        <v>0</v>
      </c>
      <c r="AM20" s="197">
        <f t="shared" si="22"/>
        <v>1</v>
      </c>
      <c r="AN20" s="197">
        <f t="shared" si="23"/>
        <v>0</v>
      </c>
      <c r="AO20" s="197">
        <f t="shared" si="24"/>
        <v>0</v>
      </c>
      <c r="AP20" s="194">
        <f t="shared" si="25"/>
        <v>0.41239999999999999</v>
      </c>
      <c r="AQ20" s="194">
        <f t="shared" si="26"/>
        <v>0.21260000000000001</v>
      </c>
      <c r="AR20" s="194">
        <f t="shared" si="27"/>
        <v>1.9300000000000001E-2</v>
      </c>
      <c r="AS20" s="197">
        <f t="shared" si="28"/>
        <v>0.5968351878089867</v>
      </c>
      <c r="AT20" s="197">
        <f t="shared" si="29"/>
        <v>0.75467140137882516</v>
      </c>
      <c r="AU20" s="197">
        <f t="shared" si="30"/>
        <v>0.26072127808180562</v>
      </c>
      <c r="AV20" s="196">
        <f t="shared" si="31"/>
        <v>53.232881785842451</v>
      </c>
      <c r="AW20" s="196">
        <f t="shared" si="32"/>
        <v>78.918106784919232</v>
      </c>
      <c r="AX20" s="196">
        <f t="shared" si="33"/>
        <v>67.222781945436211</v>
      </c>
      <c r="AY20" s="196">
        <f t="shared" si="34"/>
        <v>4.3603186634185569</v>
      </c>
      <c r="AZ20" s="190">
        <v>30.305</v>
      </c>
      <c r="BA20" s="210">
        <v>0.68509870471394696</v>
      </c>
      <c r="BB20" s="210">
        <v>0.315246882343858</v>
      </c>
      <c r="BC20" s="204">
        <v>274</v>
      </c>
      <c r="BD20" s="204">
        <v>0</v>
      </c>
      <c r="BE20" s="204">
        <v>0</v>
      </c>
      <c r="BF20" s="186"/>
      <c r="BG20" s="204">
        <f t="shared" si="35"/>
        <v>255</v>
      </c>
      <c r="BH20" s="204">
        <v>0</v>
      </c>
      <c r="BI20" s="204">
        <v>0</v>
      </c>
      <c r="BJ20" s="186">
        <f t="shared" si="9"/>
        <v>1</v>
      </c>
      <c r="BK20" s="186">
        <f t="shared" si="10"/>
        <v>0</v>
      </c>
      <c r="BL20" s="186">
        <f t="shared" si="11"/>
        <v>0</v>
      </c>
      <c r="BM20" s="186">
        <f t="shared" si="36"/>
        <v>0.41239999999999999</v>
      </c>
      <c r="BN20" s="186">
        <f t="shared" si="37"/>
        <v>0.21260000000000001</v>
      </c>
      <c r="BO20" s="186">
        <f t="shared" si="38"/>
        <v>1.9300000000000001E-2</v>
      </c>
      <c r="BP20" s="186">
        <f t="shared" si="39"/>
        <v>0.5968351878089867</v>
      </c>
      <c r="BQ20" s="186">
        <f t="shared" si="40"/>
        <v>0.75467140137882516</v>
      </c>
      <c r="BR20" s="186">
        <f t="shared" si="41"/>
        <v>0.26072127808180562</v>
      </c>
      <c r="BS20" s="186">
        <f t="shared" si="42"/>
        <v>53.232881785842451</v>
      </c>
      <c r="BT20" s="186">
        <f t="shared" si="43"/>
        <v>78.918106784919232</v>
      </c>
      <c r="BU20" s="186">
        <f t="shared" si="44"/>
        <v>67.222781945436211</v>
      </c>
      <c r="BV20" s="204">
        <v>18</v>
      </c>
      <c r="BW20" s="190">
        <v>30.305</v>
      </c>
      <c r="BX20" s="186">
        <v>0.68863249066724996</v>
      </c>
      <c r="BY20" s="186">
        <v>0.31175932973753401</v>
      </c>
      <c r="BZ20" s="214">
        <v>248</v>
      </c>
      <c r="CA20" s="214">
        <v>20</v>
      </c>
      <c r="CB20" s="204">
        <v>0</v>
      </c>
      <c r="CC20" s="186">
        <f t="shared" si="45"/>
        <v>-5.2632490667249954E-2</v>
      </c>
      <c r="CD20" s="186">
        <f t="shared" si="46"/>
        <v>2.024067026246601E-2</v>
      </c>
      <c r="CE20" s="186"/>
      <c r="CF20" s="186"/>
      <c r="CG20" s="186"/>
      <c r="CH20" s="204">
        <f t="shared" si="47"/>
        <v>76.5</v>
      </c>
      <c r="CI20" s="204">
        <f t="shared" si="48"/>
        <v>0</v>
      </c>
      <c r="CJ20" s="204">
        <f t="shared" si="49"/>
        <v>0</v>
      </c>
      <c r="CK20" s="211">
        <f t="shared" si="12"/>
        <v>71.195255474452551</v>
      </c>
      <c r="CL20" s="211">
        <v>0</v>
      </c>
      <c r="CM20" s="211">
        <v>0</v>
      </c>
      <c r="CN20" s="216">
        <f t="shared" si="50"/>
        <v>121.03193430656934</v>
      </c>
      <c r="CO20" s="216">
        <v>10</v>
      </c>
      <c r="CP20" s="205">
        <f t="shared" si="52"/>
        <v>0</v>
      </c>
    </row>
    <row r="21" spans="1:94">
      <c r="A21" s="190">
        <v>19</v>
      </c>
      <c r="B21" s="190">
        <v>30.805</v>
      </c>
      <c r="C21" s="190">
        <v>0.63200000000000001</v>
      </c>
      <c r="D21" s="190">
        <v>0.33600000000000002</v>
      </c>
      <c r="E21" s="193">
        <v>255</v>
      </c>
      <c r="F21" s="193">
        <v>40</v>
      </c>
      <c r="G21" s="193">
        <v>0</v>
      </c>
      <c r="H21" s="193">
        <f t="shared" si="15"/>
        <v>1</v>
      </c>
      <c r="I21" s="193">
        <f t="shared" si="16"/>
        <v>2.9252615183274946E-2</v>
      </c>
      <c r="J21" s="193">
        <f t="shared" si="17"/>
        <v>0</v>
      </c>
      <c r="K21" s="194">
        <f t="shared" si="18"/>
        <v>0.42286073518953909</v>
      </c>
      <c r="L21" s="194">
        <f t="shared" si="19"/>
        <v>0.23352147037907825</v>
      </c>
      <c r="M21" s="194">
        <f t="shared" si="20"/>
        <v>2.2786911729846374E-2</v>
      </c>
      <c r="N21" s="194">
        <f t="shared" si="0"/>
        <v>0.61580366907181683</v>
      </c>
      <c r="O21" s="194">
        <f t="shared" si="1"/>
        <v>0.76099907196638605</v>
      </c>
      <c r="P21" s="194">
        <f t="shared" si="2"/>
        <v>0.27556191662146678</v>
      </c>
      <c r="Q21" s="194">
        <f t="shared" si="21"/>
        <v>55.433225612330759</v>
      </c>
      <c r="R21" s="194">
        <f t="shared" si="3"/>
        <v>72.597701447284607</v>
      </c>
      <c r="S21" s="194">
        <f t="shared" si="4"/>
        <v>68.048350490070007</v>
      </c>
      <c r="T21" s="198" t="s">
        <v>237</v>
      </c>
      <c r="U21" s="199"/>
      <c r="V21" s="193"/>
      <c r="W21" s="193"/>
      <c r="X21" s="193"/>
      <c r="Y21" s="193"/>
      <c r="Z21" s="193"/>
      <c r="AA21" s="193"/>
      <c r="AB21" s="195">
        <f t="shared" si="5"/>
        <v>154.4885395</v>
      </c>
      <c r="AC21" s="195">
        <f t="shared" si="6"/>
        <v>100.9250735</v>
      </c>
      <c r="AD21" s="195">
        <f t="shared" si="7"/>
        <v>9.7212344999999996</v>
      </c>
      <c r="AE21" s="195"/>
      <c r="AF21" s="195"/>
      <c r="AG21" s="190">
        <v>30.805</v>
      </c>
      <c r="AH21" s="196">
        <v>0.63962822399999997</v>
      </c>
      <c r="AI21" s="196">
        <v>0.34908245999999998</v>
      </c>
      <c r="AJ21" s="202">
        <v>252</v>
      </c>
      <c r="AK21" s="202">
        <v>52</v>
      </c>
      <c r="AL21" s="202">
        <v>0</v>
      </c>
      <c r="AM21" s="197">
        <f t="shared" si="22"/>
        <v>0.97563098805670578</v>
      </c>
      <c r="AN21" s="197">
        <f t="shared" si="23"/>
        <v>4.5479396553197798E-2</v>
      </c>
      <c r="AO21" s="197">
        <f t="shared" si="24"/>
        <v>0</v>
      </c>
      <c r="AP21" s="194">
        <f t="shared" si="25"/>
        <v>0.41861365168200898</v>
      </c>
      <c r="AQ21" s="194">
        <f t="shared" si="26"/>
        <v>0.23994601247570271</v>
      </c>
      <c r="AR21" s="194">
        <f t="shared" si="27"/>
        <v>2.4250822138635601E-2</v>
      </c>
      <c r="AS21" s="197">
        <f t="shared" si="28"/>
        <v>0.62139989997675449</v>
      </c>
      <c r="AT21" s="197">
        <f t="shared" si="29"/>
        <v>0.75844274737666517</v>
      </c>
      <c r="AU21" s="197">
        <f t="shared" si="30"/>
        <v>0.2813408933926273</v>
      </c>
      <c r="AV21" s="196">
        <f t="shared" si="31"/>
        <v>56.082388397303518</v>
      </c>
      <c r="AW21" s="196">
        <f t="shared" si="32"/>
        <v>68.521423699955335</v>
      </c>
      <c r="AX21" s="196">
        <f t="shared" si="33"/>
        <v>68.011801316825441</v>
      </c>
      <c r="AY21" s="196">
        <f t="shared" si="34"/>
        <v>4.127806734432979</v>
      </c>
      <c r="AZ21" s="190">
        <v>30.805</v>
      </c>
      <c r="BA21" s="210">
        <v>0.64303333167384702</v>
      </c>
      <c r="BB21" s="210">
        <v>0.34635602728355402</v>
      </c>
      <c r="BC21" s="204">
        <v>254</v>
      </c>
      <c r="BD21" s="204">
        <v>46</v>
      </c>
      <c r="BE21" s="204">
        <v>0</v>
      </c>
      <c r="BF21" s="186"/>
      <c r="BG21" s="204">
        <f t="shared" si="35"/>
        <v>258.03571428571428</v>
      </c>
      <c r="BH21" s="204">
        <f t="shared" ref="BH21:BH64" si="53">F21*(F21/AK21)</f>
        <v>30.76923076923077</v>
      </c>
      <c r="BI21" s="204">
        <v>0</v>
      </c>
      <c r="BJ21" s="186">
        <f t="shared" si="9"/>
        <v>1.0249932999046711</v>
      </c>
      <c r="BK21" s="186">
        <f t="shared" si="10"/>
        <v>1.9370675889511153E-2</v>
      </c>
      <c r="BL21" s="186">
        <f t="shared" si="11"/>
        <v>0</v>
      </c>
      <c r="BM21" s="186">
        <f t="shared" si="36"/>
        <v>0.42963419057877555</v>
      </c>
      <c r="BN21" s="186">
        <f t="shared" si="37"/>
        <v>0.23176748295591146</v>
      </c>
      <c r="BO21" s="186">
        <f t="shared" si="38"/>
        <v>2.2091355254189884E-2</v>
      </c>
      <c r="BP21" s="186">
        <f t="shared" si="39"/>
        <v>0.6142580189266873</v>
      </c>
      <c r="BQ21" s="186">
        <f t="shared" si="40"/>
        <v>0.76504083858908334</v>
      </c>
      <c r="BR21" s="186">
        <f t="shared" si="41"/>
        <v>0.27272910877779605</v>
      </c>
      <c r="BS21" s="186">
        <f t="shared" si="42"/>
        <v>55.253930195495727</v>
      </c>
      <c r="BT21" s="186">
        <f t="shared" si="43"/>
        <v>75.391409831198018</v>
      </c>
      <c r="BU21" s="186">
        <f t="shared" si="44"/>
        <v>68.305782029778257</v>
      </c>
      <c r="BV21" s="204">
        <v>19</v>
      </c>
      <c r="BW21" s="190">
        <v>30.805</v>
      </c>
      <c r="BX21" s="186">
        <v>0.64881511828466598</v>
      </c>
      <c r="BY21" s="186">
        <v>0.34153820839052701</v>
      </c>
      <c r="BZ21" s="214">
        <v>250</v>
      </c>
      <c r="CA21" s="204">
        <v>34</v>
      </c>
      <c r="CB21" s="204">
        <v>0</v>
      </c>
      <c r="CC21" s="186">
        <f t="shared" si="45"/>
        <v>-1.6815118284665975E-2</v>
      </c>
      <c r="CD21" s="186">
        <f t="shared" si="46"/>
        <v>-5.5382083905269885E-3</v>
      </c>
      <c r="CE21" s="186"/>
      <c r="CF21" s="186"/>
      <c r="CG21" s="186"/>
      <c r="CH21" s="204">
        <f t="shared" si="47"/>
        <v>77.410714285714278</v>
      </c>
      <c r="CI21" s="204">
        <f t="shared" si="48"/>
        <v>9.2307692307692299</v>
      </c>
      <c r="CJ21" s="204">
        <f t="shared" si="49"/>
        <v>0</v>
      </c>
      <c r="CK21" s="211">
        <f t="shared" si="12"/>
        <v>77.71548087739032</v>
      </c>
      <c r="CL21" s="211">
        <f t="shared" ref="CL21:CL61" si="54">CI21*(F21/BD21)</f>
        <v>8.0267558528428076</v>
      </c>
      <c r="CM21" s="211">
        <v>0</v>
      </c>
      <c r="CN21" s="216">
        <f t="shared" si="50"/>
        <v>132.11631749156354</v>
      </c>
      <c r="CO21" s="205">
        <f t="shared" si="51"/>
        <v>13.645484949832772</v>
      </c>
      <c r="CP21" s="205">
        <f t="shared" si="52"/>
        <v>0</v>
      </c>
    </row>
    <row r="22" spans="1:94">
      <c r="A22" s="190">
        <v>20</v>
      </c>
      <c r="B22" s="190">
        <v>31.481000000000002</v>
      </c>
      <c r="C22" s="190">
        <v>0.628</v>
      </c>
      <c r="D22" s="190">
        <v>0.34</v>
      </c>
      <c r="E22" s="193">
        <v>255</v>
      </c>
      <c r="F22" s="193">
        <v>50</v>
      </c>
      <c r="G22" s="193">
        <v>0</v>
      </c>
      <c r="H22" s="193">
        <f t="shared" si="15"/>
        <v>1</v>
      </c>
      <c r="I22" s="193">
        <f t="shared" si="16"/>
        <v>4.2503557698519136E-2</v>
      </c>
      <c r="J22" s="193">
        <f t="shared" si="17"/>
        <v>0</v>
      </c>
      <c r="K22" s="194">
        <f t="shared" si="18"/>
        <v>0.42759927223299043</v>
      </c>
      <c r="L22" s="194">
        <f t="shared" si="19"/>
        <v>0.2429985444659809</v>
      </c>
      <c r="M22" s="194">
        <f t="shared" si="20"/>
        <v>2.4366424077663481E-2</v>
      </c>
      <c r="N22" s="194">
        <f t="shared" si="0"/>
        <v>0.62402390097367333</v>
      </c>
      <c r="O22" s="194">
        <f t="shared" si="1"/>
        <v>0.76383108074735495</v>
      </c>
      <c r="P22" s="194">
        <f t="shared" si="2"/>
        <v>0.2817872289147052</v>
      </c>
      <c r="Q22" s="194">
        <f t="shared" si="21"/>
        <v>56.386772512946109</v>
      </c>
      <c r="R22" s="194">
        <f t="shared" si="3"/>
        <v>69.903589886840805</v>
      </c>
      <c r="S22" s="194">
        <f t="shared" si="4"/>
        <v>68.447334411793619</v>
      </c>
      <c r="T22" s="198" t="s">
        <v>238</v>
      </c>
      <c r="U22" s="199"/>
      <c r="V22" s="193"/>
      <c r="W22" s="193"/>
      <c r="X22" s="193"/>
      <c r="Y22" s="193"/>
      <c r="Z22" s="193"/>
      <c r="AA22" s="193"/>
      <c r="AB22" s="195">
        <f t="shared" si="5"/>
        <v>156.34407950000002</v>
      </c>
      <c r="AC22" s="195">
        <f t="shared" si="6"/>
        <v>107.1985645</v>
      </c>
      <c r="AD22" s="195">
        <f t="shared" si="7"/>
        <v>10.4281065</v>
      </c>
      <c r="AE22" s="195"/>
      <c r="AF22" s="195"/>
      <c r="AG22" s="190">
        <v>31.481000000000002</v>
      </c>
      <c r="AH22" s="196">
        <v>0.625938565</v>
      </c>
      <c r="AI22" s="196">
        <v>0.359110606</v>
      </c>
      <c r="AJ22" s="202">
        <v>248</v>
      </c>
      <c r="AK22" s="202">
        <v>70</v>
      </c>
      <c r="AL22" s="202">
        <v>0</v>
      </c>
      <c r="AM22" s="197">
        <f t="shared" si="22"/>
        <v>0.94364837657567657</v>
      </c>
      <c r="AN22" s="197">
        <f t="shared" si="23"/>
        <v>7.7295629484402342E-2</v>
      </c>
      <c r="AO22" s="197">
        <f t="shared" si="24"/>
        <v>0</v>
      </c>
      <c r="AP22" s="194">
        <f t="shared" si="25"/>
        <v>0.41680150760343126</v>
      </c>
      <c r="AQ22" s="194">
        <f t="shared" si="26"/>
        <v>0.25590147906723337</v>
      </c>
      <c r="AR22" s="194">
        <f t="shared" si="27"/>
        <v>2.7426052702451319E-2</v>
      </c>
      <c r="AS22" s="197">
        <f t="shared" si="28"/>
        <v>0.63487895604822453</v>
      </c>
      <c r="AT22" s="197">
        <f t="shared" si="29"/>
        <v>0.75734675226369952</v>
      </c>
      <c r="AU22" s="197">
        <f t="shared" si="30"/>
        <v>0.29311979088393431</v>
      </c>
      <c r="AV22" s="196">
        <f t="shared" si="31"/>
        <v>57.645958901594042</v>
      </c>
      <c r="AW22" s="196">
        <f t="shared" si="32"/>
        <v>61.233898107737495</v>
      </c>
      <c r="AX22" s="196">
        <f t="shared" si="33"/>
        <v>68.351833032858039</v>
      </c>
      <c r="AY22" s="196">
        <f t="shared" si="34"/>
        <v>8.7611772279406797</v>
      </c>
      <c r="AZ22" s="190">
        <v>31.481000000000002</v>
      </c>
      <c r="BA22" s="210">
        <v>0.635277142268455</v>
      </c>
      <c r="BB22" s="210">
        <v>0.35206162766091298</v>
      </c>
      <c r="BC22" s="204">
        <v>252</v>
      </c>
      <c r="BD22" s="204">
        <v>59</v>
      </c>
      <c r="BE22" s="204">
        <v>0</v>
      </c>
      <c r="BF22" s="186"/>
      <c r="BG22" s="204">
        <f t="shared" si="35"/>
        <v>262.19758064516134</v>
      </c>
      <c r="BH22" s="204">
        <f t="shared" si="53"/>
        <v>35.714285714285715</v>
      </c>
      <c r="BI22" s="204">
        <v>0</v>
      </c>
      <c r="BJ22" s="186">
        <f t="shared" si="9"/>
        <v>1.0598060254497863</v>
      </c>
      <c r="BK22" s="186">
        <f t="shared" si="10"/>
        <v>2.4389067137134145E-2</v>
      </c>
      <c r="BL22" s="186">
        <f t="shared" si="11"/>
        <v>0</v>
      </c>
      <c r="BM22" s="186">
        <f t="shared" si="36"/>
        <v>0.445785535303731</v>
      </c>
      <c r="BN22" s="186">
        <f t="shared" si="37"/>
        <v>0.24275782182710293</v>
      </c>
      <c r="BO22" s="186">
        <f t="shared" si="38"/>
        <v>2.336143309392727E-2</v>
      </c>
      <c r="BP22" s="186">
        <f t="shared" si="39"/>
        <v>0.62381777311247288</v>
      </c>
      <c r="BQ22" s="186">
        <f t="shared" si="40"/>
        <v>0.77450994354630998</v>
      </c>
      <c r="BR22" s="186">
        <f t="shared" si="41"/>
        <v>0.27785861525373662</v>
      </c>
      <c r="BS22" s="186">
        <f t="shared" si="42"/>
        <v>56.362861681046851</v>
      </c>
      <c r="BT22" s="186">
        <f t="shared" si="43"/>
        <v>75.346085216918539</v>
      </c>
      <c r="BU22" s="186">
        <f t="shared" si="44"/>
        <v>69.191831571747258</v>
      </c>
      <c r="BV22" s="204">
        <v>20</v>
      </c>
      <c r="BW22" s="190">
        <v>31.481000000000002</v>
      </c>
      <c r="BX22" s="186">
        <v>0.64703641544963597</v>
      </c>
      <c r="BY22" s="186">
        <v>0.34285879595559898</v>
      </c>
      <c r="BZ22" s="214">
        <v>250</v>
      </c>
      <c r="CA22" s="204">
        <v>38</v>
      </c>
      <c r="CB22" s="204">
        <v>0</v>
      </c>
      <c r="CC22" s="186">
        <f t="shared" si="45"/>
        <v>-1.9036415449635968E-2</v>
      </c>
      <c r="CD22" s="186">
        <f t="shared" si="46"/>
        <v>-2.8587959555989584E-3</v>
      </c>
      <c r="CE22" s="186"/>
      <c r="CF22" s="186"/>
      <c r="CG22" s="186"/>
      <c r="CH22" s="204">
        <f t="shared" si="47"/>
        <v>78.659274193548399</v>
      </c>
      <c r="CI22" s="204">
        <f t="shared" si="48"/>
        <v>10.714285714285714</v>
      </c>
      <c r="CJ22" s="204">
        <f t="shared" si="49"/>
        <v>0</v>
      </c>
      <c r="CK22" s="211">
        <f t="shared" si="12"/>
        <v>79.595694124423972</v>
      </c>
      <c r="CL22" s="211">
        <f t="shared" si="54"/>
        <v>9.0799031476997563</v>
      </c>
      <c r="CM22" s="211">
        <v>0</v>
      </c>
      <c r="CN22" s="216">
        <f t="shared" si="50"/>
        <v>135.31268001152074</v>
      </c>
      <c r="CO22" s="205">
        <f t="shared" si="51"/>
        <v>15.435835351089585</v>
      </c>
      <c r="CP22" s="205">
        <f t="shared" si="52"/>
        <v>0</v>
      </c>
    </row>
    <row r="23" spans="1:94">
      <c r="A23" s="190">
        <v>21</v>
      </c>
      <c r="B23" s="190">
        <v>32.341000000000001</v>
      </c>
      <c r="C23" s="190">
        <v>0.624</v>
      </c>
      <c r="D23" s="190">
        <v>0.34400000000000003</v>
      </c>
      <c r="E23" s="193">
        <v>255</v>
      </c>
      <c r="F23" s="193">
        <v>60</v>
      </c>
      <c r="G23" s="193">
        <v>0</v>
      </c>
      <c r="H23" s="193">
        <f t="shared" si="15"/>
        <v>1</v>
      </c>
      <c r="I23" s="193">
        <f t="shared" si="16"/>
        <v>5.8490954313653663E-2</v>
      </c>
      <c r="J23" s="193">
        <f t="shared" si="17"/>
        <v>0</v>
      </c>
      <c r="K23" s="194">
        <f t="shared" si="18"/>
        <v>0.43331636526256256</v>
      </c>
      <c r="L23" s="194">
        <f t="shared" si="19"/>
        <v>0.25443273052512511</v>
      </c>
      <c r="M23" s="194">
        <f t="shared" si="20"/>
        <v>2.6272121754187517E-2</v>
      </c>
      <c r="N23" s="194">
        <f t="shared" si="0"/>
        <v>0.63366199390299305</v>
      </c>
      <c r="O23" s="194">
        <f t="shared" si="1"/>
        <v>0.76722021540311303</v>
      </c>
      <c r="P23" s="194">
        <f t="shared" si="2"/>
        <v>0.28894981635808692</v>
      </c>
      <c r="Q23" s="194">
        <f t="shared" si="21"/>
        <v>57.5047912927472</v>
      </c>
      <c r="R23" s="194">
        <f t="shared" si="3"/>
        <v>66.779110750059985</v>
      </c>
      <c r="S23" s="194">
        <f t="shared" si="4"/>
        <v>68.94243550898122</v>
      </c>
      <c r="T23" s="193"/>
      <c r="U23" s="193"/>
      <c r="V23" s="193"/>
      <c r="W23" s="193"/>
      <c r="X23" s="193"/>
      <c r="Y23" s="193"/>
      <c r="Z23" s="193"/>
      <c r="AA23" s="193"/>
      <c r="AB23" s="195">
        <f t="shared" si="5"/>
        <v>158.19961950000001</v>
      </c>
      <c r="AC23" s="195">
        <f t="shared" si="6"/>
        <v>113.4720555</v>
      </c>
      <c r="AD23" s="195">
        <f t="shared" si="7"/>
        <v>11.134978499999999</v>
      </c>
      <c r="AE23" s="195"/>
      <c r="AF23" s="195"/>
      <c r="AG23" s="190">
        <v>32.341000000000001</v>
      </c>
      <c r="AH23" s="196">
        <v>0.61244425599999996</v>
      </c>
      <c r="AI23" s="196">
        <v>0.36900186000000001</v>
      </c>
      <c r="AJ23" s="202">
        <v>244</v>
      </c>
      <c r="AK23" s="202">
        <v>84</v>
      </c>
      <c r="AL23" s="202">
        <v>0</v>
      </c>
      <c r="AM23" s="197">
        <f t="shared" si="22"/>
        <v>0.91224632534559935</v>
      </c>
      <c r="AN23" s="197">
        <f t="shared" si="23"/>
        <v>0.10849188725963922</v>
      </c>
      <c r="AO23" s="197">
        <f t="shared" si="24"/>
        <v>0</v>
      </c>
      <c r="AP23" s="194">
        <f t="shared" si="25"/>
        <v>0.41500708345657211</v>
      </c>
      <c r="AQ23" s="194">
        <f t="shared" si="26"/>
        <v>0.27153696653656839</v>
      </c>
      <c r="AR23" s="194">
        <f t="shared" si="27"/>
        <v>3.0538587040519063E-2</v>
      </c>
      <c r="AS23" s="197">
        <f t="shared" si="28"/>
        <v>0.64755449244409646</v>
      </c>
      <c r="AT23" s="197">
        <f t="shared" si="29"/>
        <v>0.75625833949670873</v>
      </c>
      <c r="AU23" s="197">
        <f t="shared" si="30"/>
        <v>0.30381346637368412</v>
      </c>
      <c r="AV23" s="196">
        <f t="shared" si="31"/>
        <v>59.116321123515192</v>
      </c>
      <c r="AW23" s="196">
        <f t="shared" si="32"/>
        <v>54.351923526306138</v>
      </c>
      <c r="AX23" s="196">
        <f t="shared" si="33"/>
        <v>68.748205214082475</v>
      </c>
      <c r="AY23" s="196">
        <f t="shared" si="34"/>
        <v>12.532746550423113</v>
      </c>
      <c r="AZ23" s="190">
        <v>32.341000000000001</v>
      </c>
      <c r="BA23" s="210">
        <v>0.62691255127593604</v>
      </c>
      <c r="BB23" s="210">
        <v>0.35822024884284498</v>
      </c>
      <c r="BC23" s="204">
        <v>251</v>
      </c>
      <c r="BD23" s="204">
        <v>70</v>
      </c>
      <c r="BE23" s="204">
        <v>0</v>
      </c>
      <c r="BF23" s="186"/>
      <c r="BG23" s="204">
        <f t="shared" si="35"/>
        <v>266.49590163934431</v>
      </c>
      <c r="BH23" s="204">
        <f t="shared" si="53"/>
        <v>42.857142857142861</v>
      </c>
      <c r="BI23" s="204">
        <v>0</v>
      </c>
      <c r="BJ23" s="186">
        <f t="shared" si="9"/>
        <v>1.0964269182661699</v>
      </c>
      <c r="BK23" s="186">
        <f t="shared" si="10"/>
        <v>3.2764479947629377E-2</v>
      </c>
      <c r="BL23" s="186">
        <f t="shared" si="11"/>
        <v>0</v>
      </c>
      <c r="BM23" s="186">
        <f t="shared" si="36"/>
        <v>0.46388303912224071</v>
      </c>
      <c r="BN23" s="186">
        <f t="shared" si="37"/>
        <v>0.25653351888193227</v>
      </c>
      <c r="BO23" s="186">
        <f t="shared" si="38"/>
        <v>2.5066565532294499E-2</v>
      </c>
      <c r="BP23" s="186">
        <f t="shared" si="39"/>
        <v>0.63540121285977458</v>
      </c>
      <c r="BQ23" s="186">
        <f t="shared" si="40"/>
        <v>0.78485212457320519</v>
      </c>
      <c r="BR23" s="186">
        <f t="shared" si="41"/>
        <v>0.28446072852677751</v>
      </c>
      <c r="BS23" s="186">
        <f t="shared" si="42"/>
        <v>57.706540691733849</v>
      </c>
      <c r="BT23" s="186">
        <f t="shared" si="43"/>
        <v>74.7254558567153</v>
      </c>
      <c r="BU23" s="186">
        <f t="shared" si="44"/>
        <v>70.188096866599409</v>
      </c>
      <c r="BV23" s="204">
        <v>21</v>
      </c>
      <c r="BW23" s="190">
        <v>32.341000000000001</v>
      </c>
      <c r="BX23" s="186">
        <v>0.63730750008705095</v>
      </c>
      <c r="BY23" s="186">
        <v>0.35011775587121002</v>
      </c>
      <c r="BZ23" s="214">
        <v>255</v>
      </c>
      <c r="CA23" s="204">
        <v>57</v>
      </c>
      <c r="CB23" s="204">
        <v>0</v>
      </c>
      <c r="CC23" s="186">
        <f t="shared" si="45"/>
        <v>-1.330750008705095E-2</v>
      </c>
      <c r="CD23" s="186">
        <f t="shared" si="46"/>
        <v>-6.1177558712099955E-3</v>
      </c>
      <c r="CE23" s="186"/>
      <c r="CF23" s="186"/>
      <c r="CG23" s="186"/>
      <c r="CH23" s="204">
        <f t="shared" si="47"/>
        <v>79.948770491803288</v>
      </c>
      <c r="CI23" s="204">
        <f t="shared" si="48"/>
        <v>12.857142857142858</v>
      </c>
      <c r="CJ23" s="204">
        <f t="shared" si="49"/>
        <v>0</v>
      </c>
      <c r="CK23" s="211">
        <f t="shared" si="12"/>
        <v>81.222854483704538</v>
      </c>
      <c r="CL23" s="211">
        <f t="shared" si="54"/>
        <v>11.020408163265307</v>
      </c>
      <c r="CM23" s="211">
        <v>0</v>
      </c>
      <c r="CN23" s="216">
        <f t="shared" si="50"/>
        <v>138.07885262229772</v>
      </c>
      <c r="CO23" s="205">
        <f t="shared" si="51"/>
        <v>18.73469387755102</v>
      </c>
      <c r="CP23" s="205">
        <f t="shared" si="52"/>
        <v>0</v>
      </c>
    </row>
    <row r="24" spans="1:94" ht="18">
      <c r="A24" s="190">
        <v>22</v>
      </c>
      <c r="B24" s="190">
        <v>33.392000000000003</v>
      </c>
      <c r="C24" s="190">
        <v>0.61599999999999999</v>
      </c>
      <c r="D24" s="190">
        <v>0.35199999999999998</v>
      </c>
      <c r="E24" s="193">
        <v>255</v>
      </c>
      <c r="F24" s="193">
        <v>70</v>
      </c>
      <c r="G24" s="193">
        <v>0</v>
      </c>
      <c r="H24" s="193">
        <f t="shared" si="15"/>
        <v>1</v>
      </c>
      <c r="I24" s="193">
        <f t="shared" si="16"/>
        <v>7.7295629484402342E-2</v>
      </c>
      <c r="J24" s="193">
        <f t="shared" si="17"/>
        <v>0</v>
      </c>
      <c r="K24" s="194">
        <f t="shared" si="18"/>
        <v>0.44004091710362225</v>
      </c>
      <c r="L24" s="194">
        <f t="shared" si="19"/>
        <v>0.26788183420724454</v>
      </c>
      <c r="M24" s="194">
        <f t="shared" si="20"/>
        <v>2.8513639034540759E-2</v>
      </c>
      <c r="N24" s="194">
        <f t="shared" si="0"/>
        <v>0.64463580121041186</v>
      </c>
      <c r="O24" s="194">
        <f t="shared" si="1"/>
        <v>0.77116864046200728</v>
      </c>
      <c r="P24" s="194">
        <f t="shared" si="2"/>
        <v>0.29694425170182842</v>
      </c>
      <c r="Q24" s="194">
        <f t="shared" si="21"/>
        <v>58.77775294040778</v>
      </c>
      <c r="R24" s="194">
        <f t="shared" si="3"/>
        <v>63.26641962579771</v>
      </c>
      <c r="S24" s="194">
        <f t="shared" si="4"/>
        <v>69.538309901716687</v>
      </c>
      <c r="T24" s="191" t="s">
        <v>243</v>
      </c>
      <c r="U24" s="193"/>
      <c r="V24" s="193"/>
      <c r="W24" s="193"/>
      <c r="X24" s="193"/>
      <c r="Y24" s="193"/>
      <c r="Z24" s="193"/>
      <c r="AA24" s="193"/>
      <c r="AB24" s="195">
        <f t="shared" si="5"/>
        <v>160.0551595</v>
      </c>
      <c r="AC24" s="195">
        <f t="shared" si="6"/>
        <v>119.74554649999999</v>
      </c>
      <c r="AD24" s="195">
        <f t="shared" si="7"/>
        <v>11.8418505</v>
      </c>
      <c r="AE24" s="195"/>
      <c r="AF24" s="195"/>
      <c r="AG24" s="190">
        <v>33.392000000000003</v>
      </c>
      <c r="AH24" s="196">
        <v>0.59971766699999995</v>
      </c>
      <c r="AI24" s="196">
        <v>0.37833143400000002</v>
      </c>
      <c r="AJ24" s="202">
        <v>241</v>
      </c>
      <c r="AK24" s="202">
        <v>95</v>
      </c>
      <c r="AL24" s="202">
        <v>0</v>
      </c>
      <c r="AM24" s="197">
        <f t="shared" si="22"/>
        <v>0.88907470752366669</v>
      </c>
      <c r="AN24" s="197">
        <f t="shared" si="23"/>
        <v>0.13709247013010134</v>
      </c>
      <c r="AO24" s="197">
        <f t="shared" si="24"/>
        <v>0</v>
      </c>
      <c r="AP24" s="194">
        <f t="shared" si="25"/>
        <v>0.41567867670128433</v>
      </c>
      <c r="AQ24" s="194">
        <f t="shared" si="26"/>
        <v>0.28706581745658</v>
      </c>
      <c r="AR24" s="194">
        <f t="shared" si="27"/>
        <v>3.3500564294714846E-2</v>
      </c>
      <c r="AS24" s="197">
        <f t="shared" si="28"/>
        <v>0.6596706479309693</v>
      </c>
      <c r="AT24" s="197">
        <f t="shared" si="29"/>
        <v>0.75666606287174343</v>
      </c>
      <c r="AU24" s="197">
        <f t="shared" si="30"/>
        <v>0.31333440258861872</v>
      </c>
      <c r="AV24" s="196">
        <f t="shared" si="31"/>
        <v>60.521795159992436</v>
      </c>
      <c r="AW24" s="196">
        <f t="shared" si="32"/>
        <v>48.497707470387063</v>
      </c>
      <c r="AX24" s="196">
        <f t="shared" si="33"/>
        <v>69.267249068470122</v>
      </c>
      <c r="AY24" s="196">
        <f t="shared" si="34"/>
        <v>14.873803009600076</v>
      </c>
      <c r="AZ24" s="190">
        <v>33.392000000000003</v>
      </c>
      <c r="BA24" s="210">
        <v>0.619548123385392</v>
      </c>
      <c r="BB24" s="210">
        <v>0.36364428237233698</v>
      </c>
      <c r="BC24" s="204">
        <v>251</v>
      </c>
      <c r="BD24" s="204">
        <v>79</v>
      </c>
      <c r="BE24" s="204">
        <v>0</v>
      </c>
      <c r="BF24" s="186"/>
      <c r="BG24" s="204">
        <f t="shared" si="35"/>
        <v>269.81327800829877</v>
      </c>
      <c r="BH24" s="204">
        <f t="shared" si="53"/>
        <v>51.578947368421048</v>
      </c>
      <c r="BI24" s="204">
        <v>0</v>
      </c>
      <c r="BJ24" s="186">
        <f t="shared" si="9"/>
        <v>1.1251548881602724</v>
      </c>
      <c r="BK24" s="186">
        <f t="shared" si="10"/>
        <v>4.4843771317078431E-2</v>
      </c>
      <c r="BL24" s="186">
        <f t="shared" si="11"/>
        <v>0</v>
      </c>
      <c r="BM24" s="186">
        <f t="shared" si="36"/>
        <v>0.48005000850028356</v>
      </c>
      <c r="BN24" s="186">
        <f t="shared" si="37"/>
        <v>0.27128019446884843</v>
      </c>
      <c r="BO24" s="186">
        <f t="shared" si="38"/>
        <v>2.7060866882489008E-2</v>
      </c>
      <c r="BP24" s="186">
        <f t="shared" si="39"/>
        <v>0.64735031356001527</v>
      </c>
      <c r="BQ24" s="186">
        <f t="shared" si="40"/>
        <v>0.79386593664018168</v>
      </c>
      <c r="BR24" s="186">
        <f t="shared" si="41"/>
        <v>0.29181298184296789</v>
      </c>
      <c r="BS24" s="186">
        <f t="shared" si="42"/>
        <v>59.092636372961778</v>
      </c>
      <c r="BT24" s="186">
        <f t="shared" si="43"/>
        <v>73.25781154008321</v>
      </c>
      <c r="BU24" s="186">
        <f t="shared" si="44"/>
        <v>71.10746634340947</v>
      </c>
      <c r="BV24" s="204">
        <v>22</v>
      </c>
      <c r="BW24" s="190">
        <v>33.392000000000003</v>
      </c>
      <c r="BX24" s="186">
        <v>0.62805092221721803</v>
      </c>
      <c r="BY24" s="186">
        <v>0.35702764483161198</v>
      </c>
      <c r="BZ24" s="214">
        <v>255</v>
      </c>
      <c r="CA24" s="204">
        <v>70</v>
      </c>
      <c r="CB24" s="204">
        <v>0</v>
      </c>
      <c r="CC24" s="186">
        <f t="shared" si="45"/>
        <v>-1.2050922217218041E-2</v>
      </c>
      <c r="CD24" s="186">
        <f t="shared" si="46"/>
        <v>-5.0276448316119993E-3</v>
      </c>
      <c r="CE24" s="186"/>
      <c r="CF24" s="186"/>
      <c r="CG24" s="186"/>
      <c r="CH24" s="204">
        <f t="shared" si="47"/>
        <v>80.943983402489621</v>
      </c>
      <c r="CI24" s="204">
        <f t="shared" si="48"/>
        <v>15.473684210526313</v>
      </c>
      <c r="CJ24" s="204">
        <f t="shared" si="49"/>
        <v>0</v>
      </c>
      <c r="CK24" s="211">
        <f t="shared" si="12"/>
        <v>82.233927361095027</v>
      </c>
      <c r="CL24" s="211">
        <f t="shared" si="54"/>
        <v>13.71085942704863</v>
      </c>
      <c r="CM24" s="211">
        <v>0</v>
      </c>
      <c r="CN24" s="216">
        <f t="shared" si="50"/>
        <v>139.79767651386155</v>
      </c>
      <c r="CO24" s="205">
        <f t="shared" si="51"/>
        <v>23.30846102598267</v>
      </c>
      <c r="CP24" s="205">
        <f t="shared" si="52"/>
        <v>0</v>
      </c>
    </row>
    <row r="25" spans="1:94" ht="18">
      <c r="A25" s="190">
        <v>23</v>
      </c>
      <c r="B25" s="190">
        <v>34.639000000000003</v>
      </c>
      <c r="C25" s="190">
        <v>0.60799999999999998</v>
      </c>
      <c r="D25" s="190">
        <v>0.35599999999999998</v>
      </c>
      <c r="E25" s="193">
        <v>255</v>
      </c>
      <c r="F25" s="193">
        <v>80</v>
      </c>
      <c r="G25" s="193">
        <v>0</v>
      </c>
      <c r="H25" s="193">
        <f t="shared" si="15"/>
        <v>1</v>
      </c>
      <c r="I25" s="193">
        <f t="shared" si="16"/>
        <v>9.8990050192327761E-2</v>
      </c>
      <c r="J25" s="193">
        <f t="shared" si="17"/>
        <v>0</v>
      </c>
      <c r="K25" s="194">
        <f t="shared" si="18"/>
        <v>0.44779884194877639</v>
      </c>
      <c r="L25" s="194">
        <f t="shared" si="19"/>
        <v>0.28339768389755282</v>
      </c>
      <c r="M25" s="194">
        <f t="shared" si="20"/>
        <v>3.1099613982925468E-2</v>
      </c>
      <c r="N25" s="194">
        <f t="shared" si="0"/>
        <v>0.65684883231542912</v>
      </c>
      <c r="O25" s="194">
        <f t="shared" si="1"/>
        <v>0.77567416886488649</v>
      </c>
      <c r="P25" s="194">
        <f t="shared" si="2"/>
        <v>0.305662649237813</v>
      </c>
      <c r="Q25" s="194">
        <f t="shared" si="21"/>
        <v>60.194464548589778</v>
      </c>
      <c r="R25" s="194">
        <f t="shared" si="3"/>
        <v>59.412668274728688</v>
      </c>
      <c r="S25" s="194">
        <f t="shared" si="4"/>
        <v>70.23723661552323</v>
      </c>
      <c r="T25" s="191" t="s">
        <v>244</v>
      </c>
      <c r="U25" s="193"/>
      <c r="V25" s="193"/>
      <c r="W25" s="193"/>
      <c r="X25" s="193"/>
      <c r="Y25" s="193"/>
      <c r="Z25" s="193"/>
      <c r="AA25" s="193"/>
      <c r="AB25" s="195">
        <f t="shared" si="5"/>
        <v>161.91069950000002</v>
      </c>
      <c r="AC25" s="195">
        <f t="shared" si="6"/>
        <v>126.0190375</v>
      </c>
      <c r="AD25" s="195">
        <f t="shared" si="7"/>
        <v>12.5487225</v>
      </c>
      <c r="AE25" s="195"/>
      <c r="AF25" s="195"/>
      <c r="AG25" s="190">
        <v>34.639000000000003</v>
      </c>
      <c r="AH25" s="196">
        <v>0.58774363100000004</v>
      </c>
      <c r="AI25" s="196">
        <v>0.38710923600000002</v>
      </c>
      <c r="AJ25" s="202">
        <v>239</v>
      </c>
      <c r="AK25" s="202">
        <v>104</v>
      </c>
      <c r="AL25" s="202">
        <v>0</v>
      </c>
      <c r="AM25" s="197">
        <f t="shared" si="22"/>
        <v>0.87380745497841539</v>
      </c>
      <c r="AN25" s="197">
        <f t="shared" si="23"/>
        <v>0.16322963589584011</v>
      </c>
      <c r="AO25" s="197">
        <f t="shared" si="24"/>
        <v>0</v>
      </c>
      <c r="AP25" s="194">
        <f t="shared" si="25"/>
        <v>0.41872911222945092</v>
      </c>
      <c r="AQ25" s="194">
        <f t="shared" si="26"/>
        <v>0.30251330052111597</v>
      </c>
      <c r="AR25" s="194">
        <f t="shared" si="27"/>
        <v>3.6321456479867557E-2</v>
      </c>
      <c r="AS25" s="197">
        <f t="shared" si="28"/>
        <v>0.6712971828505524</v>
      </c>
      <c r="AT25" s="197">
        <f t="shared" si="29"/>
        <v>0.75851247130515642</v>
      </c>
      <c r="AU25" s="197">
        <f t="shared" si="30"/>
        <v>0.3218931922460313</v>
      </c>
      <c r="AV25" s="196">
        <f t="shared" si="31"/>
        <v>61.870473210664073</v>
      </c>
      <c r="AW25" s="196">
        <f t="shared" si="32"/>
        <v>43.607644227302011</v>
      </c>
      <c r="AX25" s="196">
        <f t="shared" si="33"/>
        <v>69.880798120904217</v>
      </c>
      <c r="AY25" s="196">
        <f t="shared" si="34"/>
        <v>15.897636257492177</v>
      </c>
      <c r="AZ25" s="190">
        <v>34.639000000000003</v>
      </c>
      <c r="BA25" s="210">
        <v>0.60833915374683101</v>
      </c>
      <c r="BB25" s="210">
        <v>0.37190707257446098</v>
      </c>
      <c r="BC25" s="204">
        <v>250</v>
      </c>
      <c r="BD25" s="204">
        <v>90</v>
      </c>
      <c r="BE25" s="204">
        <v>0</v>
      </c>
      <c r="BF25" s="186"/>
      <c r="BG25" s="204">
        <f t="shared" si="35"/>
        <v>272.07112970711296</v>
      </c>
      <c r="BH25" s="204">
        <f t="shared" si="53"/>
        <v>61.53846153846154</v>
      </c>
      <c r="BI25" s="204">
        <v>0</v>
      </c>
      <c r="BJ25" s="186">
        <f t="shared" si="9"/>
        <v>1.1449395401550959</v>
      </c>
      <c r="BK25" s="186">
        <f t="shared" si="10"/>
        <v>6.1198707487092704E-2</v>
      </c>
      <c r="BL25" s="186">
        <f t="shared" si="11"/>
        <v>0</v>
      </c>
      <c r="BM25" s="186">
        <f t="shared" si="36"/>
        <v>0.49405772415734589</v>
      </c>
      <c r="BN25" s="186">
        <f t="shared" si="37"/>
        <v>0.28718346183174209</v>
      </c>
      <c r="BO25" s="186">
        <f t="shared" si="38"/>
        <v>2.9392219057454802E-2</v>
      </c>
      <c r="BP25" s="186">
        <f t="shared" si="39"/>
        <v>0.65976075031329962</v>
      </c>
      <c r="BQ25" s="186">
        <f t="shared" si="40"/>
        <v>0.80151361659403586</v>
      </c>
      <c r="BR25" s="186">
        <f t="shared" si="41"/>
        <v>0.29996332938657561</v>
      </c>
      <c r="BS25" s="186">
        <f t="shared" si="42"/>
        <v>60.532247036342753</v>
      </c>
      <c r="BT25" s="186">
        <f t="shared" si="43"/>
        <v>70.876433140368121</v>
      </c>
      <c r="BU25" s="186">
        <f t="shared" si="44"/>
        <v>71.959484185344806</v>
      </c>
      <c r="BV25" s="204">
        <v>23</v>
      </c>
      <c r="BW25" s="190">
        <v>34.639000000000003</v>
      </c>
      <c r="BX25" s="186">
        <v>0.61701516339201401</v>
      </c>
      <c r="BY25" s="186">
        <v>0.36527265687365901</v>
      </c>
      <c r="BZ25" s="204">
        <v>254</v>
      </c>
      <c r="CA25" s="204">
        <v>82</v>
      </c>
      <c r="CB25" s="204">
        <v>0</v>
      </c>
      <c r="CC25" s="186">
        <f t="shared" si="45"/>
        <v>-9.0151633920140251E-3</v>
      </c>
      <c r="CD25" s="186">
        <f t="shared" si="46"/>
        <v>-9.2726568736590242E-3</v>
      </c>
      <c r="CE25" s="186"/>
      <c r="CF25" s="186"/>
      <c r="CG25" s="186"/>
      <c r="CH25" s="204">
        <f t="shared" si="47"/>
        <v>81.621338912133879</v>
      </c>
      <c r="CI25" s="204">
        <f t="shared" si="48"/>
        <v>18.46153846153846</v>
      </c>
      <c r="CJ25" s="204">
        <f t="shared" si="49"/>
        <v>0</v>
      </c>
      <c r="CK25" s="211">
        <f t="shared" si="12"/>
        <v>83.253765690376554</v>
      </c>
      <c r="CL25" s="211">
        <f t="shared" si="54"/>
        <v>16.410256410256409</v>
      </c>
      <c r="CM25" s="211">
        <v>0</v>
      </c>
      <c r="CN25" s="205">
        <f t="shared" si="50"/>
        <v>141.53140167364015</v>
      </c>
      <c r="CO25" s="205">
        <f t="shared" si="51"/>
        <v>27.897435897435894</v>
      </c>
      <c r="CP25" s="205">
        <f t="shared" si="52"/>
        <v>0</v>
      </c>
    </row>
    <row r="26" spans="1:94" ht="18">
      <c r="A26" s="190">
        <v>24</v>
      </c>
      <c r="B26" s="190">
        <v>36.088000000000001</v>
      </c>
      <c r="C26" s="190">
        <v>0.6</v>
      </c>
      <c r="D26" s="190">
        <v>0.36399999999999999</v>
      </c>
      <c r="E26" s="193">
        <v>255</v>
      </c>
      <c r="F26" s="193">
        <v>90</v>
      </c>
      <c r="G26" s="193">
        <v>0</v>
      </c>
      <c r="H26" s="193">
        <f t="shared" si="15"/>
        <v>1</v>
      </c>
      <c r="I26" s="193">
        <f t="shared" si="16"/>
        <v>0.12364005388724823</v>
      </c>
      <c r="J26" s="193">
        <f t="shared" si="17"/>
        <v>0</v>
      </c>
      <c r="K26" s="194">
        <f t="shared" si="18"/>
        <v>0.45661368327007995</v>
      </c>
      <c r="L26" s="194">
        <f t="shared" si="19"/>
        <v>0.30102736654015994</v>
      </c>
      <c r="M26" s="194">
        <f t="shared" si="20"/>
        <v>3.4037894423359992E-2</v>
      </c>
      <c r="N26" s="194">
        <f t="shared" si="0"/>
        <v>0.67019624943920575</v>
      </c>
      <c r="O26" s="194">
        <f t="shared" si="1"/>
        <v>0.78073080273751261</v>
      </c>
      <c r="P26" s="194">
        <f t="shared" si="2"/>
        <v>0.31500076055535303</v>
      </c>
      <c r="Q26" s="194">
        <f t="shared" si="21"/>
        <v>61.742764934947871</v>
      </c>
      <c r="R26" s="194">
        <f t="shared" si="3"/>
        <v>55.26727664915343</v>
      </c>
      <c r="S26" s="194">
        <f t="shared" si="4"/>
        <v>71.039097776770546</v>
      </c>
      <c r="T26" s="191" t="s">
        <v>245</v>
      </c>
      <c r="U26" s="193"/>
      <c r="V26" s="193"/>
      <c r="W26" s="193"/>
      <c r="X26" s="193"/>
      <c r="Y26" s="193"/>
      <c r="Z26" s="193"/>
      <c r="AA26" s="193"/>
      <c r="AB26" s="195">
        <f t="shared" si="5"/>
        <v>163.76623950000001</v>
      </c>
      <c r="AC26" s="195">
        <f t="shared" si="6"/>
        <v>132.2925285</v>
      </c>
      <c r="AD26" s="195">
        <f t="shared" si="7"/>
        <v>13.255594500000001</v>
      </c>
      <c r="AE26" s="195"/>
      <c r="AF26" s="195"/>
      <c r="AG26" s="190">
        <v>36.088000000000001</v>
      </c>
      <c r="AH26" s="196">
        <v>0.57622830400000002</v>
      </c>
      <c r="AI26" s="196">
        <v>0.39554598200000002</v>
      </c>
      <c r="AJ26" s="202">
        <v>238</v>
      </c>
      <c r="AK26" s="202">
        <v>114</v>
      </c>
      <c r="AL26" s="202">
        <v>0</v>
      </c>
      <c r="AM26" s="197">
        <f t="shared" si="22"/>
        <v>0.86622789146487311</v>
      </c>
      <c r="AN26" s="197">
        <f t="shared" si="23"/>
        <v>0.19521119398294912</v>
      </c>
      <c r="AO26" s="197">
        <f t="shared" si="24"/>
        <v>0</v>
      </c>
      <c r="AP26" s="194">
        <f t="shared" si="25"/>
        <v>0.4270399054084163</v>
      </c>
      <c r="AQ26" s="194">
        <f t="shared" si="26"/>
        <v>0.32377509566203722</v>
      </c>
      <c r="AR26" s="194">
        <f t="shared" si="27"/>
        <v>3.9987372628039586E-2</v>
      </c>
      <c r="AS26" s="197">
        <f t="shared" si="28"/>
        <v>0.68666958825316693</v>
      </c>
      <c r="AT26" s="197">
        <f t="shared" si="29"/>
        <v>0.76349786517391005</v>
      </c>
      <c r="AU26" s="197">
        <f t="shared" si="30"/>
        <v>0.33237753551020544</v>
      </c>
      <c r="AV26" s="196">
        <f t="shared" si="31"/>
        <v>63.65367223736736</v>
      </c>
      <c r="AW26" s="196">
        <f t="shared" si="32"/>
        <v>38.414138460371561</v>
      </c>
      <c r="AX26" s="196">
        <f t="shared" si="33"/>
        <v>70.858410548592303</v>
      </c>
      <c r="AY26" s="196">
        <f t="shared" si="34"/>
        <v>16.962089535285582</v>
      </c>
      <c r="AZ26" s="190">
        <v>36.088000000000001</v>
      </c>
      <c r="BA26" s="210">
        <v>0.59745314243122305</v>
      </c>
      <c r="BB26" s="210">
        <v>0.379933501071826</v>
      </c>
      <c r="BC26" s="204">
        <v>249</v>
      </c>
      <c r="BD26" s="204">
        <v>100</v>
      </c>
      <c r="BE26" s="204">
        <v>0</v>
      </c>
      <c r="BF26" s="186"/>
      <c r="BG26" s="204">
        <f t="shared" si="35"/>
        <v>273.21428571428572</v>
      </c>
      <c r="BH26" s="204">
        <f t="shared" si="53"/>
        <v>71.05263157894737</v>
      </c>
      <c r="BI26" s="204">
        <v>0</v>
      </c>
      <c r="BJ26" s="186">
        <f t="shared" si="9"/>
        <v>1.1550283276185325</v>
      </c>
      <c r="BK26" s="186">
        <f t="shared" si="10"/>
        <v>7.94419787053285E-2</v>
      </c>
      <c r="BL26" s="186">
        <f t="shared" si="11"/>
        <v>0</v>
      </c>
      <c r="BM26" s="186">
        <f t="shared" si="36"/>
        <v>0.50474213389490818</v>
      </c>
      <c r="BN26" s="186">
        <f t="shared" si="37"/>
        <v>0.30237592562175097</v>
      </c>
      <c r="BO26" s="186">
        <f t="shared" si="38"/>
        <v>3.1761530584712837E-2</v>
      </c>
      <c r="BP26" s="186">
        <f t="shared" si="39"/>
        <v>0.67119555277829956</v>
      </c>
      <c r="BQ26" s="186">
        <f t="shared" si="40"/>
        <v>0.80725025979848197</v>
      </c>
      <c r="BR26" s="186">
        <f t="shared" si="41"/>
        <v>0.30781599341937022</v>
      </c>
      <c r="BS26" s="186">
        <f t="shared" si="42"/>
        <v>61.858684122282753</v>
      </c>
      <c r="BT26" s="186">
        <f t="shared" si="43"/>
        <v>68.027353510091203</v>
      </c>
      <c r="BU26" s="186">
        <f t="shared" si="44"/>
        <v>72.675911871785871</v>
      </c>
      <c r="BV26" s="204">
        <v>24</v>
      </c>
      <c r="BW26" s="190">
        <v>36.088000000000001</v>
      </c>
      <c r="BX26" s="186">
        <v>0.60610911297921899</v>
      </c>
      <c r="BY26" s="186">
        <v>0.37342264262346098</v>
      </c>
      <c r="BZ26" s="204">
        <v>253</v>
      </c>
      <c r="CA26" s="204">
        <v>93</v>
      </c>
      <c r="CB26" s="204">
        <v>0</v>
      </c>
      <c r="CC26" s="186">
        <f t="shared" si="45"/>
        <v>-6.1091129792190113E-3</v>
      </c>
      <c r="CD26" s="186">
        <f t="shared" si="46"/>
        <v>-9.4226426234609861E-3</v>
      </c>
      <c r="CE26" s="186"/>
      <c r="CF26" s="186"/>
      <c r="CG26" s="186"/>
      <c r="CH26" s="204">
        <f t="shared" si="47"/>
        <v>81.964285714285708</v>
      </c>
      <c r="CI26" s="204">
        <f t="shared" si="48"/>
        <v>21.315789473684209</v>
      </c>
      <c r="CJ26" s="204">
        <f t="shared" si="49"/>
        <v>0</v>
      </c>
      <c r="CK26" s="211">
        <f t="shared" si="12"/>
        <v>83.939328743545616</v>
      </c>
      <c r="CL26" s="211">
        <f t="shared" si="54"/>
        <v>19.184210526315788</v>
      </c>
      <c r="CM26" s="211">
        <v>0</v>
      </c>
      <c r="CN26" s="205">
        <f t="shared" si="50"/>
        <v>142.69685886402755</v>
      </c>
      <c r="CO26" s="205">
        <f t="shared" si="51"/>
        <v>32.613157894736837</v>
      </c>
      <c r="CP26" s="205">
        <f t="shared" si="52"/>
        <v>0</v>
      </c>
    </row>
    <row r="27" spans="1:94" ht="18">
      <c r="A27" s="190">
        <v>25</v>
      </c>
      <c r="B27" s="190">
        <v>37.744</v>
      </c>
      <c r="C27" s="190">
        <v>0.59199999999999997</v>
      </c>
      <c r="D27" s="190">
        <v>0.372</v>
      </c>
      <c r="E27" s="193">
        <v>255</v>
      </c>
      <c r="F27" s="193">
        <v>100</v>
      </c>
      <c r="G27" s="193">
        <v>0</v>
      </c>
      <c r="H27" s="193">
        <f t="shared" si="15"/>
        <v>1</v>
      </c>
      <c r="I27" s="193">
        <f t="shared" si="16"/>
        <v>0.15130607652863209</v>
      </c>
      <c r="J27" s="193">
        <f t="shared" si="17"/>
        <v>0</v>
      </c>
      <c r="K27" s="194">
        <f t="shared" si="18"/>
        <v>0.4665070529666388</v>
      </c>
      <c r="L27" s="194">
        <f t="shared" si="19"/>
        <v>0.32081410593327769</v>
      </c>
      <c r="M27" s="194">
        <f t="shared" si="20"/>
        <v>3.7335684322212945E-2</v>
      </c>
      <c r="N27" s="194">
        <f t="shared" si="0"/>
        <v>0.68456992979148878</v>
      </c>
      <c r="O27" s="194">
        <f t="shared" si="1"/>
        <v>0.78632921514676435</v>
      </c>
      <c r="P27" s="194">
        <f t="shared" si="2"/>
        <v>0.32486187409030237</v>
      </c>
      <c r="Q27" s="194">
        <f t="shared" si="21"/>
        <v>63.410111855812701</v>
      </c>
      <c r="R27" s="194">
        <f t="shared" si="3"/>
        <v>50.879642677637783</v>
      </c>
      <c r="S27" s="194">
        <f t="shared" si="4"/>
        <v>71.941611140237285</v>
      </c>
      <c r="T27" s="191" t="s">
        <v>213</v>
      </c>
      <c r="U27" s="193"/>
      <c r="V27" s="193"/>
      <c r="W27" s="193"/>
      <c r="X27" s="193"/>
      <c r="Y27" s="193"/>
      <c r="Z27" s="193"/>
      <c r="AA27" s="193"/>
      <c r="AB27" s="195">
        <f t="shared" si="5"/>
        <v>165.6217795</v>
      </c>
      <c r="AC27" s="195">
        <f t="shared" si="6"/>
        <v>138.56601949999998</v>
      </c>
      <c r="AD27" s="195">
        <f t="shared" si="7"/>
        <v>13.962466500000001</v>
      </c>
      <c r="AE27" s="195"/>
      <c r="AF27" s="195"/>
      <c r="AG27" s="190">
        <v>37.744</v>
      </c>
      <c r="AH27" s="196">
        <v>0.56551725500000005</v>
      </c>
      <c r="AI27" s="196">
        <v>0.40340364699999998</v>
      </c>
      <c r="AJ27" s="202">
        <v>238</v>
      </c>
      <c r="AK27" s="202">
        <v>121</v>
      </c>
      <c r="AL27" s="202">
        <v>0</v>
      </c>
      <c r="AM27" s="197">
        <f t="shared" si="22"/>
        <v>0.86622789146487311</v>
      </c>
      <c r="AN27" s="197">
        <f t="shared" si="23"/>
        <v>0.2194660771692124</v>
      </c>
      <c r="AO27" s="197">
        <f t="shared" si="24"/>
        <v>0</v>
      </c>
      <c r="AP27" s="194">
        <f t="shared" si="25"/>
        <v>0.43571345163582403</v>
      </c>
      <c r="AQ27" s="194">
        <f t="shared" si="26"/>
        <v>0.34112218811685274</v>
      </c>
      <c r="AR27" s="194">
        <f t="shared" si="27"/>
        <v>4.2878554703842164E-2</v>
      </c>
      <c r="AS27" s="197">
        <f t="shared" si="28"/>
        <v>0.69872023867744359</v>
      </c>
      <c r="AT27" s="197">
        <f t="shared" si="29"/>
        <v>0.76863235704305877</v>
      </c>
      <c r="AU27" s="197">
        <f t="shared" si="30"/>
        <v>0.34020243637619563</v>
      </c>
      <c r="AV27" s="196">
        <f t="shared" si="31"/>
        <v>65.051547686583461</v>
      </c>
      <c r="AW27" s="196">
        <f t="shared" si="32"/>
        <v>34.956059182807586</v>
      </c>
      <c r="AX27" s="196">
        <f t="shared" si="33"/>
        <v>71.703560460249591</v>
      </c>
      <c r="AY27" s="196">
        <f t="shared" si="34"/>
        <v>16.009731135456626</v>
      </c>
      <c r="AZ27" s="190">
        <v>37.744</v>
      </c>
      <c r="BA27" s="210">
        <v>0.58310039968974803</v>
      </c>
      <c r="BB27" s="210">
        <v>0.39051804637400001</v>
      </c>
      <c r="BC27" s="204">
        <v>246</v>
      </c>
      <c r="BD27" s="204">
        <v>112</v>
      </c>
      <c r="BE27" s="204">
        <v>0</v>
      </c>
      <c r="BF27" s="186"/>
      <c r="BG27" s="204">
        <f t="shared" si="35"/>
        <v>273.21428571428572</v>
      </c>
      <c r="BH27" s="204">
        <f t="shared" si="53"/>
        <v>82.644628099173559</v>
      </c>
      <c r="BI27" s="204">
        <v>0</v>
      </c>
      <c r="BJ27" s="186">
        <f t="shared" si="9"/>
        <v>1.1550283276185325</v>
      </c>
      <c r="BK27" s="186">
        <f t="shared" si="10"/>
        <v>0.10521903078761952</v>
      </c>
      <c r="BL27" s="186">
        <f t="shared" si="11"/>
        <v>0</v>
      </c>
      <c r="BM27" s="186">
        <f t="shared" si="36"/>
        <v>0.51396000771953554</v>
      </c>
      <c r="BN27" s="186">
        <f t="shared" si="37"/>
        <v>0.32081167327100552</v>
      </c>
      <c r="BO27" s="186">
        <f t="shared" si="38"/>
        <v>3.483415519292192E-2</v>
      </c>
      <c r="BP27" s="186">
        <f t="shared" si="39"/>
        <v>0.68456819947309022</v>
      </c>
      <c r="BQ27" s="186">
        <f t="shared" si="40"/>
        <v>0.81213479166920377</v>
      </c>
      <c r="BR27" s="186">
        <f t="shared" si="41"/>
        <v>0.31743816078310116</v>
      </c>
      <c r="BS27" s="186">
        <f t="shared" si="42"/>
        <v>63.409911138878471</v>
      </c>
      <c r="BT27" s="186">
        <f t="shared" si="43"/>
        <v>63.783296098056773</v>
      </c>
      <c r="BU27" s="186">
        <f t="shared" si="44"/>
        <v>73.426007737997807</v>
      </c>
      <c r="BV27" s="204">
        <v>25</v>
      </c>
      <c r="BW27" s="190">
        <v>37.744</v>
      </c>
      <c r="BX27" s="186">
        <v>0.59611011135663705</v>
      </c>
      <c r="BY27" s="186">
        <v>0.38089324520428702</v>
      </c>
      <c r="BZ27" s="204">
        <v>253</v>
      </c>
      <c r="CA27" s="204">
        <v>103</v>
      </c>
      <c r="CB27" s="204">
        <v>0</v>
      </c>
      <c r="CC27" s="186">
        <f t="shared" si="45"/>
        <v>-4.1101113566370806E-3</v>
      </c>
      <c r="CD27" s="186">
        <f t="shared" si="46"/>
        <v>-8.8932452042870258E-3</v>
      </c>
      <c r="CE27" s="186"/>
      <c r="CF27" s="186"/>
      <c r="CG27" s="186"/>
      <c r="CH27" s="204">
        <f t="shared" si="47"/>
        <v>81.964285714285708</v>
      </c>
      <c r="CI27" s="204">
        <f t="shared" si="48"/>
        <v>24.793388429752067</v>
      </c>
      <c r="CJ27" s="204">
        <f t="shared" si="49"/>
        <v>0</v>
      </c>
      <c r="CK27" s="211">
        <f t="shared" si="12"/>
        <v>84.962979094076658</v>
      </c>
      <c r="CL27" s="211">
        <f t="shared" si="54"/>
        <v>22.136953955135777</v>
      </c>
      <c r="CM27" s="211">
        <v>0</v>
      </c>
      <c r="CN27" s="205">
        <f t="shared" si="50"/>
        <v>144.43706445993033</v>
      </c>
      <c r="CO27" s="205">
        <f t="shared" si="51"/>
        <v>37.632821723730821</v>
      </c>
      <c r="CP27" s="205">
        <f t="shared" si="52"/>
        <v>0</v>
      </c>
    </row>
    <row r="28" spans="1:94" ht="20.65">
      <c r="A28" s="190">
        <v>26</v>
      </c>
      <c r="B28" s="190">
        <v>38.344000000000001</v>
      </c>
      <c r="C28" s="190">
        <v>0.57999999999999996</v>
      </c>
      <c r="D28" s="190">
        <v>0.38400000000000001</v>
      </c>
      <c r="E28" s="193">
        <v>250</v>
      </c>
      <c r="F28" s="193">
        <v>110</v>
      </c>
      <c r="G28" s="193">
        <v>0</v>
      </c>
      <c r="H28" s="193">
        <f t="shared" si="15"/>
        <v>0.95956700166791176</v>
      </c>
      <c r="I28" s="193">
        <f t="shared" si="16"/>
        <v>0.18204405903757828</v>
      </c>
      <c r="J28" s="193">
        <f t="shared" si="17"/>
        <v>0</v>
      </c>
      <c r="K28" s="194">
        <f t="shared" si="18"/>
        <v>0.46082438699968475</v>
      </c>
      <c r="L28" s="194">
        <f t="shared" si="19"/>
        <v>0.33420185557827403</v>
      </c>
      <c r="M28" s="194">
        <f t="shared" si="20"/>
        <v>4.0219294969470028E-2</v>
      </c>
      <c r="N28" s="194">
        <f t="shared" si="0"/>
        <v>0.69396295177314526</v>
      </c>
      <c r="O28" s="194">
        <f t="shared" si="1"/>
        <v>0.78312332299321485</v>
      </c>
      <c r="P28" s="194">
        <f t="shared" si="2"/>
        <v>0.33301888151442238</v>
      </c>
      <c r="Q28" s="194">
        <f t="shared" si="21"/>
        <v>64.499702405684857</v>
      </c>
      <c r="R28" s="194">
        <f t="shared" si="3"/>
        <v>44.580185610034796</v>
      </c>
      <c r="S28" s="194">
        <f t="shared" si="4"/>
        <v>72.188814051744572</v>
      </c>
      <c r="T28" s="200"/>
      <c r="U28" s="193"/>
      <c r="V28" s="193"/>
      <c r="W28" s="193"/>
      <c r="X28" s="193"/>
      <c r="Y28" s="193"/>
      <c r="Z28" s="193"/>
      <c r="AA28" s="193"/>
      <c r="AB28" s="195">
        <f t="shared" si="5"/>
        <v>164.59366500000002</v>
      </c>
      <c r="AC28" s="195">
        <f t="shared" si="6"/>
        <v>143.35262599999999</v>
      </c>
      <c r="AD28" s="195">
        <f t="shared" si="7"/>
        <v>14.534167</v>
      </c>
      <c r="AE28" s="195"/>
      <c r="AF28" s="195"/>
      <c r="AG28" s="190">
        <v>38.344000000000001</v>
      </c>
      <c r="AH28" s="196">
        <v>0.55503867399999995</v>
      </c>
      <c r="AI28" s="196">
        <v>0.41109031800000001</v>
      </c>
      <c r="AJ28" s="202">
        <v>234</v>
      </c>
      <c r="AK28" s="202">
        <v>128</v>
      </c>
      <c r="AL28" s="202">
        <v>0</v>
      </c>
      <c r="AM28" s="197">
        <f t="shared" si="22"/>
        <v>0.83626938912308235</v>
      </c>
      <c r="AN28" s="197">
        <f t="shared" si="23"/>
        <v>0.24527808531339443</v>
      </c>
      <c r="AO28" s="197">
        <f t="shared" si="24"/>
        <v>0</v>
      </c>
      <c r="AP28" s="194">
        <f t="shared" si="25"/>
        <v>0.43258893938242898</v>
      </c>
      <c r="AQ28" s="194">
        <f t="shared" si="26"/>
        <v>0.35321375874370697</v>
      </c>
      <c r="AR28" s="194">
        <f t="shared" si="27"/>
        <v>4.5377146979432105E-2</v>
      </c>
      <c r="AS28" s="197">
        <f t="shared" si="28"/>
        <v>0.7068802874129001</v>
      </c>
      <c r="AT28" s="197">
        <f t="shared" si="29"/>
        <v>0.76679065363544863</v>
      </c>
      <c r="AU28" s="197">
        <f t="shared" si="30"/>
        <v>0.34668610497666458</v>
      </c>
      <c r="AV28" s="196">
        <f t="shared" si="31"/>
        <v>65.998113339896406</v>
      </c>
      <c r="AW28" s="196">
        <f t="shared" si="32"/>
        <v>29.955183111274263</v>
      </c>
      <c r="AX28" s="196">
        <f t="shared" si="33"/>
        <v>72.03883648724711</v>
      </c>
      <c r="AY28" s="196">
        <f t="shared" si="34"/>
        <v>14.702327254090394</v>
      </c>
      <c r="AZ28" s="190">
        <v>38.344000000000001</v>
      </c>
      <c r="BA28" s="210">
        <v>0.57075680449939104</v>
      </c>
      <c r="BB28" s="210">
        <v>0.39962450443665498</v>
      </c>
      <c r="BC28" s="204">
        <v>242</v>
      </c>
      <c r="BD28" s="204">
        <v>120</v>
      </c>
      <c r="BE28" s="204">
        <v>0</v>
      </c>
      <c r="BF28" s="186"/>
      <c r="BG28" s="204">
        <f t="shared" si="35"/>
        <v>267.09401709401709</v>
      </c>
      <c r="BH28" s="204">
        <f t="shared" si="53"/>
        <v>94.53125</v>
      </c>
      <c r="BI28" s="204">
        <v>0</v>
      </c>
      <c r="BJ28" s="186">
        <f t="shared" si="9"/>
        <v>1.1015765655433283</v>
      </c>
      <c r="BK28" s="186">
        <f t="shared" si="10"/>
        <v>0.13579907863702878</v>
      </c>
      <c r="BL28" s="186">
        <f t="shared" si="11"/>
        <v>0</v>
      </c>
      <c r="BM28" s="186">
        <f t="shared" si="36"/>
        <v>0.50285192615067009</v>
      </c>
      <c r="BN28" s="186">
        <f t="shared" si="37"/>
        <v>0.33131867887571459</v>
      </c>
      <c r="BO28" s="186">
        <f t="shared" si="38"/>
        <v>3.7447677888520069E-2</v>
      </c>
      <c r="BP28" s="186">
        <f t="shared" si="39"/>
        <v>0.69196156724342051</v>
      </c>
      <c r="BQ28" s="186">
        <f t="shared" si="40"/>
        <v>0.80624130934896476</v>
      </c>
      <c r="BR28" s="186">
        <f t="shared" si="41"/>
        <v>0.32518637260460742</v>
      </c>
      <c r="BS28" s="186">
        <f t="shared" si="42"/>
        <v>64.267541800236785</v>
      </c>
      <c r="BT28" s="186">
        <f t="shared" si="43"/>
        <v>57.139871052772129</v>
      </c>
      <c r="BU28" s="186">
        <f t="shared" si="44"/>
        <v>73.355038927762621</v>
      </c>
      <c r="BV28" s="204">
        <v>26</v>
      </c>
      <c r="BW28" s="190">
        <v>38.344000000000001</v>
      </c>
      <c r="BX28" s="186">
        <v>0.582028125502695</v>
      </c>
      <c r="BY28" s="186">
        <v>0.39142272824337399</v>
      </c>
      <c r="BZ28" s="204">
        <v>248</v>
      </c>
      <c r="CA28" s="204">
        <v>113</v>
      </c>
      <c r="CB28" s="204">
        <v>0</v>
      </c>
      <c r="CC28" s="186">
        <f t="shared" si="45"/>
        <v>-2.028125502695044E-3</v>
      </c>
      <c r="CD28" s="186">
        <f t="shared" si="46"/>
        <v>-7.4227282433739772E-3</v>
      </c>
      <c r="CE28" s="186"/>
      <c r="CF28" s="186"/>
      <c r="CG28" s="186"/>
      <c r="CH28" s="204">
        <f t="shared" si="47"/>
        <v>80.128205128205124</v>
      </c>
      <c r="CI28" s="204">
        <f t="shared" si="48"/>
        <v>28.359375</v>
      </c>
      <c r="CJ28" s="204">
        <f t="shared" si="49"/>
        <v>0</v>
      </c>
      <c r="CK28" s="211">
        <f t="shared" si="12"/>
        <v>82.777071413435038</v>
      </c>
      <c r="CL28" s="211">
        <f t="shared" si="54"/>
        <v>25.99609375</v>
      </c>
      <c r="CM28" s="211">
        <v>0</v>
      </c>
      <c r="CN28" s="205">
        <f t="shared" si="50"/>
        <v>140.72102140283957</v>
      </c>
      <c r="CO28" s="205">
        <f t="shared" si="51"/>
        <v>44.193359375</v>
      </c>
      <c r="CP28" s="205">
        <f t="shared" si="52"/>
        <v>0</v>
      </c>
    </row>
    <row r="29" spans="1:94" ht="18">
      <c r="A29" s="190">
        <v>27</v>
      </c>
      <c r="B29" s="190">
        <v>37.981999999999999</v>
      </c>
      <c r="C29" s="190">
        <v>0.56400000000000006</v>
      </c>
      <c r="D29" s="190">
        <v>0.39600000000000002</v>
      </c>
      <c r="E29" s="193">
        <v>240</v>
      </c>
      <c r="F29" s="193">
        <v>120</v>
      </c>
      <c r="G29" s="193">
        <v>0</v>
      </c>
      <c r="H29" s="193">
        <f t="shared" si="15"/>
        <v>0.88142305085254469</v>
      </c>
      <c r="I29" s="193">
        <f t="shared" si="16"/>
        <v>0.21590613688087021</v>
      </c>
      <c r="J29" s="193">
        <f t="shared" si="17"/>
        <v>0</v>
      </c>
      <c r="K29" s="194">
        <f t="shared" si="18"/>
        <v>0.44070690072018859</v>
      </c>
      <c r="L29" s="194">
        <f t="shared" si="19"/>
        <v>0.34180660970844934</v>
      </c>
      <c r="M29" s="194">
        <f t="shared" si="20"/>
        <v>4.2747476397653847E-2</v>
      </c>
      <c r="N29" s="194">
        <f t="shared" si="0"/>
        <v>0.69918722651961518</v>
      </c>
      <c r="O29" s="194">
        <f t="shared" si="1"/>
        <v>0.77155748824182757</v>
      </c>
      <c r="P29" s="194">
        <f t="shared" si="2"/>
        <v>0.33985542004374947</v>
      </c>
      <c r="Q29" s="194">
        <f t="shared" si="21"/>
        <v>65.105718276275354</v>
      </c>
      <c r="R29" s="194">
        <f t="shared" si="3"/>
        <v>36.185130861106195</v>
      </c>
      <c r="S29" s="194">
        <f t="shared" si="4"/>
        <v>71.866361295173135</v>
      </c>
      <c r="T29" s="191" t="s">
        <v>246</v>
      </c>
      <c r="U29" s="193"/>
      <c r="V29" s="193"/>
      <c r="W29" s="193"/>
      <c r="X29" s="193"/>
      <c r="Y29" s="193"/>
      <c r="Z29" s="193"/>
      <c r="AA29" s="193"/>
      <c r="AB29" s="195">
        <f t="shared" si="5"/>
        <v>160.68189600000002</v>
      </c>
      <c r="AC29" s="195">
        <f t="shared" si="6"/>
        <v>146.65234800000002</v>
      </c>
      <c r="AD29" s="195">
        <f t="shared" si="7"/>
        <v>14.970696</v>
      </c>
      <c r="AE29" s="195"/>
      <c r="AF29" s="195"/>
      <c r="AG29" s="190">
        <v>37.981999999999999</v>
      </c>
      <c r="AH29" s="196">
        <v>0.54211711200000001</v>
      </c>
      <c r="AI29" s="196">
        <v>0.42055876599999997</v>
      </c>
      <c r="AJ29" s="202">
        <v>227</v>
      </c>
      <c r="AK29" s="202">
        <v>133</v>
      </c>
      <c r="AL29" s="202">
        <v>0</v>
      </c>
      <c r="AM29" s="197">
        <f t="shared" si="22"/>
        <v>0.78522260434935598</v>
      </c>
      <c r="AN29" s="197">
        <f t="shared" si="23"/>
        <v>0.26467736697892319</v>
      </c>
      <c r="AO29" s="197">
        <f t="shared" si="24"/>
        <v>0</v>
      </c>
      <c r="AP29" s="194">
        <f t="shared" si="25"/>
        <v>0.41847442846533733</v>
      </c>
      <c r="AQ29" s="194">
        <f t="shared" si="26"/>
        <v>0.35623557854799892</v>
      </c>
      <c r="AR29" s="194">
        <f t="shared" si="27"/>
        <v>4.6704338407830212E-2</v>
      </c>
      <c r="AS29" s="197">
        <f t="shared" si="28"/>
        <v>0.70889040365636502</v>
      </c>
      <c r="AT29" s="197">
        <f t="shared" si="29"/>
        <v>0.75835865667491664</v>
      </c>
      <c r="AU29" s="197">
        <f t="shared" si="30"/>
        <v>0.35003363783529934</v>
      </c>
      <c r="AV29" s="196">
        <f t="shared" si="31"/>
        <v>66.231286824138337</v>
      </c>
      <c r="AW29" s="196">
        <f t="shared" si="32"/>
        <v>24.734126509275811</v>
      </c>
      <c r="AX29" s="196">
        <f t="shared" si="33"/>
        <v>71.771353164213139</v>
      </c>
      <c r="AY29" s="196">
        <f t="shared" si="34"/>
        <v>11.506582106191452</v>
      </c>
      <c r="AZ29" s="190">
        <v>37.981999999999999</v>
      </c>
      <c r="BA29" s="210">
        <v>0.55279240113088102</v>
      </c>
      <c r="BB29" s="210">
        <v>0.41288001029014199</v>
      </c>
      <c r="BC29" s="204">
        <v>232</v>
      </c>
      <c r="BD29" s="204">
        <v>128</v>
      </c>
      <c r="BE29" s="204">
        <v>0</v>
      </c>
      <c r="BF29" s="186"/>
      <c r="BG29" s="204">
        <f t="shared" si="35"/>
        <v>253.7444933920705</v>
      </c>
      <c r="BH29" s="204">
        <f t="shared" si="53"/>
        <v>108.27067669172932</v>
      </c>
      <c r="BI29" s="204">
        <v>0</v>
      </c>
      <c r="BJ29" s="186">
        <f t="shared" si="9"/>
        <v>0.98976161071798219</v>
      </c>
      <c r="BK29" s="186">
        <f t="shared" si="10"/>
        <v>0.17650646681548274</v>
      </c>
      <c r="BL29" s="186">
        <f t="shared" si="11"/>
        <v>0</v>
      </c>
      <c r="BM29" s="186">
        <f t="shared" si="36"/>
        <v>0.47129640079331242</v>
      </c>
      <c r="BN29" s="186">
        <f t="shared" si="37"/>
        <v>0.33666074350507624</v>
      </c>
      <c r="BO29" s="186">
        <f t="shared" si="38"/>
        <v>4.0141969931262601E-2</v>
      </c>
      <c r="BP29" s="186">
        <f t="shared" si="39"/>
        <v>0.69566073733945888</v>
      </c>
      <c r="BQ29" s="186">
        <f t="shared" si="40"/>
        <v>0.78901098193018848</v>
      </c>
      <c r="BR29" s="186">
        <f t="shared" si="41"/>
        <v>0.3328053254915731</v>
      </c>
      <c r="BS29" s="186">
        <f t="shared" si="42"/>
        <v>64.696645531377229</v>
      </c>
      <c r="BT29" s="186">
        <f t="shared" si="43"/>
        <v>46.675122295364801</v>
      </c>
      <c r="BU29" s="186">
        <f t="shared" si="44"/>
        <v>72.571082369577155</v>
      </c>
      <c r="BV29" s="204">
        <v>27</v>
      </c>
      <c r="BW29" s="190">
        <v>37.981999999999999</v>
      </c>
      <c r="BX29" s="186">
        <v>0.56198682205727601</v>
      </c>
      <c r="BY29" s="186">
        <v>0.40641925469613299</v>
      </c>
      <c r="BZ29" s="204">
        <v>237</v>
      </c>
      <c r="CA29" s="204">
        <v>124</v>
      </c>
      <c r="CB29" s="204">
        <v>0</v>
      </c>
      <c r="CC29" s="186">
        <f t="shared" si="45"/>
        <v>2.0131779427240426E-3</v>
      </c>
      <c r="CD29" s="186">
        <f t="shared" si="46"/>
        <v>-1.0419254696132974E-2</v>
      </c>
      <c r="CE29" s="186"/>
      <c r="CF29" s="186"/>
      <c r="CG29" s="186"/>
      <c r="CH29" s="204">
        <f t="shared" si="47"/>
        <v>76.12334801762114</v>
      </c>
      <c r="CI29" s="204">
        <f t="shared" si="48"/>
        <v>32.481203007518793</v>
      </c>
      <c r="CJ29" s="204">
        <f t="shared" si="49"/>
        <v>0</v>
      </c>
      <c r="CK29" s="211">
        <f t="shared" si="12"/>
        <v>78.748291052711537</v>
      </c>
      <c r="CL29" s="211">
        <f t="shared" si="54"/>
        <v>30.451127819548869</v>
      </c>
      <c r="CM29" s="211">
        <v>0</v>
      </c>
      <c r="CN29" s="205">
        <f t="shared" si="50"/>
        <v>133.8720947896096</v>
      </c>
      <c r="CO29" s="205">
        <f t="shared" si="51"/>
        <v>51.766917293233078</v>
      </c>
      <c r="CP29" s="205">
        <f t="shared" si="52"/>
        <v>0</v>
      </c>
    </row>
    <row r="30" spans="1:94" ht="18">
      <c r="A30" s="190">
        <v>28</v>
      </c>
      <c r="B30" s="190">
        <v>37.957000000000001</v>
      </c>
      <c r="C30" s="190">
        <v>0.54800000000000004</v>
      </c>
      <c r="D30" s="190">
        <v>0.41200000000000003</v>
      </c>
      <c r="E30" s="193">
        <v>230</v>
      </c>
      <c r="F30" s="193">
        <v>130</v>
      </c>
      <c r="G30" s="193">
        <v>0</v>
      </c>
      <c r="H30" s="193">
        <f t="shared" si="15"/>
        <v>0.80688510595100582</v>
      </c>
      <c r="I30" s="193">
        <f t="shared" si="16"/>
        <v>0.25294117776743769</v>
      </c>
      <c r="J30" s="193">
        <f t="shared" si="17"/>
        <v>0</v>
      </c>
      <c r="K30" s="194">
        <f t="shared" si="18"/>
        <v>0.42321118286383053</v>
      </c>
      <c r="L30" s="194">
        <f t="shared" si="19"/>
        <v>0.35244730386445527</v>
      </c>
      <c r="M30" s="194">
        <f t="shared" si="20"/>
        <v>4.5723470934732988E-2</v>
      </c>
      <c r="N30" s="194">
        <f t="shared" si="0"/>
        <v>0.70636861972213683</v>
      </c>
      <c r="O30" s="194">
        <f t="shared" si="1"/>
        <v>0.76120924101498444</v>
      </c>
      <c r="P30" s="194">
        <f t="shared" si="2"/>
        <v>0.34756585427499986</v>
      </c>
      <c r="Q30" s="194">
        <f t="shared" si="21"/>
        <v>65.938759887767873</v>
      </c>
      <c r="R30" s="194">
        <f t="shared" si="3"/>
        <v>27.420310646423808</v>
      </c>
      <c r="S30" s="194">
        <f t="shared" si="4"/>
        <v>71.76055308942739</v>
      </c>
      <c r="T30" s="191" t="s">
        <v>247</v>
      </c>
      <c r="U30" s="193"/>
      <c r="V30" s="193"/>
      <c r="W30" s="193"/>
      <c r="X30" s="193"/>
      <c r="Y30" s="193"/>
      <c r="Z30" s="193"/>
      <c r="AA30" s="193"/>
      <c r="AB30" s="195">
        <f t="shared" si="5"/>
        <v>156.770127</v>
      </c>
      <c r="AC30" s="195">
        <f t="shared" si="6"/>
        <v>149.95206999999999</v>
      </c>
      <c r="AD30" s="195">
        <f t="shared" si="7"/>
        <v>15.407225</v>
      </c>
      <c r="AE30" s="195"/>
      <c r="AF30" s="195"/>
      <c r="AG30" s="190">
        <v>37.957000000000001</v>
      </c>
      <c r="AH30" s="196">
        <v>0.52815638799999998</v>
      </c>
      <c r="AI30" s="196">
        <v>0.430796399</v>
      </c>
      <c r="AJ30" s="202">
        <v>220</v>
      </c>
      <c r="AK30" s="202">
        <v>139</v>
      </c>
      <c r="AL30" s="202">
        <v>0</v>
      </c>
      <c r="AM30" s="197">
        <f t="shared" si="22"/>
        <v>0.73592431190789209</v>
      </c>
      <c r="AN30" s="197">
        <f t="shared" si="23"/>
        <v>0.28902369293139479</v>
      </c>
      <c r="AO30" s="197">
        <f t="shared" si="24"/>
        <v>0</v>
      </c>
      <c r="AP30" s="194">
        <f t="shared" si="25"/>
        <v>0.40685005882308145</v>
      </c>
      <c r="AQ30" s="194">
        <f t="shared" si="26"/>
        <v>0.3631672538961514</v>
      </c>
      <c r="AR30" s="194">
        <f t="shared" si="27"/>
        <v>4.8654963417244582E-2</v>
      </c>
      <c r="AS30" s="197">
        <f t="shared" si="28"/>
        <v>0.71345879178423643</v>
      </c>
      <c r="AT30" s="197">
        <f t="shared" si="29"/>
        <v>0.75127072869453559</v>
      </c>
      <c r="AU30" s="197">
        <f t="shared" si="30"/>
        <v>0.35484042456031278</v>
      </c>
      <c r="AV30" s="196">
        <f t="shared" si="31"/>
        <v>66.761219846971429</v>
      </c>
      <c r="AW30" s="196">
        <f t="shared" si="32"/>
        <v>18.90596845514958</v>
      </c>
      <c r="AX30" s="196">
        <f t="shared" si="33"/>
        <v>71.723673444784737</v>
      </c>
      <c r="AY30" s="196">
        <f t="shared" si="34"/>
        <v>8.5540530418506577</v>
      </c>
      <c r="AZ30" s="190">
        <v>37.957000000000001</v>
      </c>
      <c r="BA30" s="210">
        <v>0.53415802068023599</v>
      </c>
      <c r="BB30" s="210">
        <v>0.42663525394204299</v>
      </c>
      <c r="BC30" s="204">
        <v>223</v>
      </c>
      <c r="BD30" s="204">
        <v>137</v>
      </c>
      <c r="BE30" s="204">
        <v>0</v>
      </c>
      <c r="BF30" s="186"/>
      <c r="BG30" s="204">
        <f t="shared" si="35"/>
        <v>240.45454545454544</v>
      </c>
      <c r="BH30" s="204">
        <f t="shared" si="53"/>
        <v>121.58273381294964</v>
      </c>
      <c r="BI30" s="204">
        <v>0</v>
      </c>
      <c r="BJ30" s="186">
        <f t="shared" si="9"/>
        <v>0.88489660455954056</v>
      </c>
      <c r="BK30" s="186">
        <f t="shared" si="10"/>
        <v>0.22155522689664445</v>
      </c>
      <c r="BL30" s="186">
        <f t="shared" si="11"/>
        <v>0</v>
      </c>
      <c r="BM30" s="186">
        <f t="shared" si="36"/>
        <v>0.44415950885859456</v>
      </c>
      <c r="BN30" s="186">
        <f t="shared" si="37"/>
        <v>0.34658531640583845</v>
      </c>
      <c r="BO30" s="186">
        <f t="shared" si="38"/>
        <v>4.3487887514079157E-2</v>
      </c>
      <c r="BP30" s="186">
        <f t="shared" si="39"/>
        <v>0.70243054165212004</v>
      </c>
      <c r="BQ30" s="186">
        <f t="shared" si="40"/>
        <v>0.77356710753243052</v>
      </c>
      <c r="BR30" s="186">
        <f t="shared" si="41"/>
        <v>0.3418063636161669</v>
      </c>
      <c r="BS30" s="186">
        <f t="shared" si="42"/>
        <v>65.481942831645924</v>
      </c>
      <c r="BT30" s="186">
        <f t="shared" si="43"/>
        <v>35.568282940155235</v>
      </c>
      <c r="BU30" s="186">
        <f t="shared" si="44"/>
        <v>72.124835607190633</v>
      </c>
      <c r="BV30" s="204">
        <v>28</v>
      </c>
      <c r="BW30" s="190">
        <v>37.957000000000001</v>
      </c>
      <c r="BX30" s="186">
        <v>0.54201944314127304</v>
      </c>
      <c r="BY30" s="186">
        <v>0.42135652904631798</v>
      </c>
      <c r="BZ30" s="204">
        <v>227</v>
      </c>
      <c r="CA30" s="204">
        <v>133</v>
      </c>
      <c r="CB30" s="204">
        <v>0</v>
      </c>
      <c r="CC30" s="186">
        <f t="shared" si="45"/>
        <v>5.9805568587270042E-3</v>
      </c>
      <c r="CD30" s="186">
        <f t="shared" si="46"/>
        <v>-9.3565290463179518E-3</v>
      </c>
      <c r="CE30" s="186"/>
      <c r="CF30" s="186"/>
      <c r="CG30" s="186"/>
      <c r="CH30" s="204">
        <f t="shared" si="47"/>
        <v>72.136363636363626</v>
      </c>
      <c r="CI30" s="204">
        <f t="shared" si="48"/>
        <v>36.474820143884891</v>
      </c>
      <c r="CJ30" s="204">
        <f t="shared" si="49"/>
        <v>0</v>
      </c>
      <c r="CK30" s="211">
        <f t="shared" si="12"/>
        <v>74.400733795352622</v>
      </c>
      <c r="CL30" s="211">
        <f t="shared" si="54"/>
        <v>34.611143202226536</v>
      </c>
      <c r="CM30" s="211">
        <v>0</v>
      </c>
      <c r="CN30" s="205">
        <f t="shared" si="50"/>
        <v>126.48124745209945</v>
      </c>
      <c r="CO30" s="205">
        <f t="shared" si="51"/>
        <v>58.838943443785112</v>
      </c>
      <c r="CP30" s="205">
        <f t="shared" si="52"/>
        <v>0</v>
      </c>
    </row>
    <row r="31" spans="1:94" ht="18">
      <c r="A31" s="190">
        <v>29</v>
      </c>
      <c r="B31" s="190">
        <v>37.213999999999999</v>
      </c>
      <c r="C31" s="190">
        <v>0.52</v>
      </c>
      <c r="D31" s="190">
        <v>0.436</v>
      </c>
      <c r="E31" s="193">
        <v>215</v>
      </c>
      <c r="F31" s="193">
        <v>140</v>
      </c>
      <c r="G31" s="193">
        <v>0</v>
      </c>
      <c r="H31" s="193">
        <f t="shared" si="15"/>
        <v>0.70177606806351733</v>
      </c>
      <c r="I31" s="193">
        <f t="shared" si="16"/>
        <v>0.29319520960877032</v>
      </c>
      <c r="J31" s="193">
        <f t="shared" si="17"/>
        <v>0</v>
      </c>
      <c r="K31" s="194">
        <f t="shared" si="18"/>
        <v>0.39425905742549083</v>
      </c>
      <c r="L31" s="194">
        <f t="shared" si="19"/>
        <v>0.35889080598249634</v>
      </c>
      <c r="M31" s="194">
        <f t="shared" si="20"/>
        <v>4.8493147098991309E-2</v>
      </c>
      <c r="N31" s="194">
        <f t="shared" si="0"/>
        <v>0.71064730096171302</v>
      </c>
      <c r="O31" s="194">
        <f t="shared" si="1"/>
        <v>0.74343938818455357</v>
      </c>
      <c r="P31" s="194">
        <f t="shared" si="2"/>
        <v>0.35444661243621767</v>
      </c>
      <c r="Q31" s="194">
        <f t="shared" si="21"/>
        <v>66.435086911558713</v>
      </c>
      <c r="R31" s="194">
        <f t="shared" si="3"/>
        <v>16.396043611420275</v>
      </c>
      <c r="S31" s="194">
        <f t="shared" si="4"/>
        <v>71.240137705099073</v>
      </c>
      <c r="T31" s="191" t="s">
        <v>248</v>
      </c>
      <c r="U31" s="193"/>
      <c r="V31" s="193"/>
      <c r="W31" s="193"/>
      <c r="X31" s="193"/>
      <c r="Y31" s="193"/>
      <c r="Z31" s="193"/>
      <c r="AA31" s="193"/>
      <c r="AB31" s="195">
        <f t="shared" si="5"/>
        <v>149.9747035</v>
      </c>
      <c r="AC31" s="195">
        <f t="shared" si="6"/>
        <v>151.76490749999999</v>
      </c>
      <c r="AD31" s="195">
        <f t="shared" si="7"/>
        <v>15.708582500000002</v>
      </c>
      <c r="AE31" s="195"/>
      <c r="AF31" s="195"/>
      <c r="AG31" s="190">
        <v>37.213999999999999</v>
      </c>
      <c r="AH31" s="196">
        <v>0.513405895</v>
      </c>
      <c r="AI31" s="196">
        <v>0.44161813700000002</v>
      </c>
      <c r="AJ31" s="202">
        <v>211</v>
      </c>
      <c r="AK31" s="202">
        <v>143</v>
      </c>
      <c r="AL31" s="202">
        <v>6</v>
      </c>
      <c r="AM31" s="197">
        <f t="shared" si="22"/>
        <v>0.67509343809974653</v>
      </c>
      <c r="AN31" s="197">
        <f t="shared" si="23"/>
        <v>0.30590569088929753</v>
      </c>
      <c r="AO31" s="197">
        <f t="shared" si="24"/>
        <v>1.821161901293025E-3</v>
      </c>
      <c r="AP31" s="194">
        <f t="shared" si="25"/>
        <v>0.38812912865753157</v>
      </c>
      <c r="AQ31" s="194">
        <f t="shared" si="26"/>
        <v>0.36244010295330503</v>
      </c>
      <c r="AR31" s="194">
        <f t="shared" si="27"/>
        <v>5.1224276096508398E-2</v>
      </c>
      <c r="AS31" s="197">
        <f t="shared" si="28"/>
        <v>0.71298229978825567</v>
      </c>
      <c r="AT31" s="197">
        <f t="shared" si="29"/>
        <v>0.7395662535698535</v>
      </c>
      <c r="AU31" s="197">
        <f t="shared" si="30"/>
        <v>0.3609795921879479</v>
      </c>
      <c r="AV31" s="196">
        <f t="shared" si="31"/>
        <v>66.705946775437653</v>
      </c>
      <c r="AW31" s="196">
        <f t="shared" si="32"/>
        <v>13.291976890798917</v>
      </c>
      <c r="AX31" s="196">
        <f t="shared" si="33"/>
        <v>70.400541520061552</v>
      </c>
      <c r="AY31" s="196">
        <f t="shared" si="34"/>
        <v>3.2269981446940914</v>
      </c>
      <c r="AZ31" s="190">
        <v>37.213999999999999</v>
      </c>
      <c r="BA31" s="210">
        <v>0.508464073121497</v>
      </c>
      <c r="BB31" s="210">
        <v>0.44559073767603202</v>
      </c>
      <c r="BC31" s="204">
        <v>208</v>
      </c>
      <c r="BD31" s="204">
        <v>145</v>
      </c>
      <c r="BE31" s="204">
        <v>9</v>
      </c>
      <c r="BF31" s="186"/>
      <c r="BG31" s="204">
        <f t="shared" si="35"/>
        <v>219.07582938388626</v>
      </c>
      <c r="BH31" s="204">
        <f t="shared" si="53"/>
        <v>137.06293706293707</v>
      </c>
      <c r="BI31" s="204">
        <f t="shared" ref="BI31:BI66" si="55">G31*(G31/AL31)</f>
        <v>0</v>
      </c>
      <c r="BJ31" s="186">
        <f t="shared" si="9"/>
        <v>0.7295458530253871</v>
      </c>
      <c r="BK31" s="186">
        <f t="shared" si="10"/>
        <v>0.28103585602548875</v>
      </c>
      <c r="BL31" s="186">
        <f t="shared" si="11"/>
        <v>0</v>
      </c>
      <c r="BM31" s="186">
        <f t="shared" si="36"/>
        <v>0.40136313190238443</v>
      </c>
      <c r="BN31" s="186">
        <f t="shared" si="37"/>
        <v>0.35609829258262682</v>
      </c>
      <c r="BO31" s="186">
        <f t="shared" si="38"/>
        <v>4.7579709001628237E-2</v>
      </c>
      <c r="BP31" s="186">
        <f t="shared" si="39"/>
        <v>0.70879932796211864</v>
      </c>
      <c r="BQ31" s="186">
        <f t="shared" si="40"/>
        <v>0.74787812855179991</v>
      </c>
      <c r="BR31" s="186">
        <f t="shared" si="41"/>
        <v>0.35220698709535925</v>
      </c>
      <c r="BS31" s="186">
        <f t="shared" si="42"/>
        <v>66.220722043605761</v>
      </c>
      <c r="BT31" s="186">
        <f t="shared" si="43"/>
        <v>19.539400294840636</v>
      </c>
      <c r="BU31" s="186">
        <f t="shared" si="44"/>
        <v>71.318468173351874</v>
      </c>
      <c r="BV31" s="204">
        <v>29</v>
      </c>
      <c r="BW31" s="190">
        <v>37.213999999999999</v>
      </c>
      <c r="BX31" s="186">
        <v>0.51697000536147297</v>
      </c>
      <c r="BY31" s="186">
        <v>0.44010836241053403</v>
      </c>
      <c r="BZ31" s="204">
        <v>213</v>
      </c>
      <c r="CA31" s="204">
        <v>142</v>
      </c>
      <c r="CB31" s="204">
        <v>0</v>
      </c>
      <c r="CC31" s="186">
        <f t="shared" si="45"/>
        <v>3.0299946385270449E-3</v>
      </c>
      <c r="CD31" s="186">
        <f t="shared" si="46"/>
        <v>-4.1083624105340277E-3</v>
      </c>
      <c r="CE31" s="186"/>
      <c r="CF31" s="186"/>
      <c r="CG31" s="186"/>
      <c r="CH31" s="204">
        <f t="shared" si="47"/>
        <v>65.722748815165872</v>
      </c>
      <c r="CI31" s="204">
        <f t="shared" si="48"/>
        <v>41.11888111888112</v>
      </c>
      <c r="CJ31" s="204">
        <f t="shared" si="49"/>
        <v>0</v>
      </c>
      <c r="CK31" s="211">
        <f t="shared" si="12"/>
        <v>67.934572092599339</v>
      </c>
      <c r="CL31" s="211">
        <f t="shared" si="54"/>
        <v>39.700988666505914</v>
      </c>
      <c r="CM31" s="211">
        <f t="shared" ref="CM31:CM66" si="56">CJ31*(G31/BE31)</f>
        <v>0</v>
      </c>
      <c r="CN31" s="205">
        <f t="shared" si="50"/>
        <v>115.48877255741887</v>
      </c>
      <c r="CO31" s="205">
        <f t="shared" si="51"/>
        <v>67.491680733060051</v>
      </c>
      <c r="CP31" s="205">
        <f t="shared" si="52"/>
        <v>0</v>
      </c>
    </row>
    <row r="32" spans="1:94" ht="18">
      <c r="A32" s="190">
        <v>30</v>
      </c>
      <c r="B32" s="190">
        <v>38.933</v>
      </c>
      <c r="C32" s="190">
        <v>0.504</v>
      </c>
      <c r="D32" s="190">
        <v>0.45200000000000001</v>
      </c>
      <c r="E32" s="193">
        <v>210</v>
      </c>
      <c r="F32" s="193">
        <v>150</v>
      </c>
      <c r="G32" s="193">
        <v>0</v>
      </c>
      <c r="H32" s="193">
        <f t="shared" si="15"/>
        <v>0.66851085114300512</v>
      </c>
      <c r="I32" s="193">
        <f t="shared" si="16"/>
        <v>0.33671176710730877</v>
      </c>
      <c r="J32" s="193">
        <f t="shared" si="17"/>
        <v>0</v>
      </c>
      <c r="K32" s="194">
        <f t="shared" si="18"/>
        <v>0.39610200292894893</v>
      </c>
      <c r="L32" s="194">
        <f t="shared" si="19"/>
        <v>0.38294166278815012</v>
      </c>
      <c r="M32" s="194">
        <f t="shared" si="20"/>
        <v>5.3038302066251201E-2</v>
      </c>
      <c r="N32" s="194">
        <f t="shared" si="0"/>
        <v>0.72617987052886113</v>
      </c>
      <c r="O32" s="194">
        <f t="shared" si="1"/>
        <v>0.74459597877928663</v>
      </c>
      <c r="P32" s="194">
        <f t="shared" si="2"/>
        <v>0.3651914301823046</v>
      </c>
      <c r="Q32" s="194">
        <f t="shared" si="21"/>
        <v>68.236864981347892</v>
      </c>
      <c r="R32" s="194">
        <f t="shared" si="3"/>
        <v>9.208054125212751</v>
      </c>
      <c r="S32" s="194">
        <f t="shared" si="4"/>
        <v>72.197688069311312</v>
      </c>
      <c r="T32" s="191" t="s">
        <v>226</v>
      </c>
      <c r="U32" s="193"/>
      <c r="V32" s="193"/>
      <c r="W32" s="193"/>
      <c r="X32" s="193"/>
      <c r="Y32" s="193"/>
      <c r="Z32" s="193"/>
      <c r="AA32" s="193"/>
      <c r="AB32" s="195">
        <f t="shared" si="5"/>
        <v>148.94658900000002</v>
      </c>
      <c r="AC32" s="195">
        <f t="shared" si="6"/>
        <v>156.551514</v>
      </c>
      <c r="AD32" s="195">
        <f t="shared" si="7"/>
        <v>16.280283000000001</v>
      </c>
      <c r="AE32" s="195"/>
      <c r="AF32" s="195"/>
      <c r="AG32" s="190">
        <v>38.933</v>
      </c>
      <c r="AH32" s="196">
        <v>0.49710395800000001</v>
      </c>
      <c r="AI32" s="196">
        <v>0.45358178700000001</v>
      </c>
      <c r="AJ32" s="202">
        <v>208</v>
      </c>
      <c r="AK32" s="202">
        <v>152</v>
      </c>
      <c r="AL32" s="202">
        <v>16</v>
      </c>
      <c r="AM32" s="197">
        <f t="shared" si="22"/>
        <v>0.65545114288698414</v>
      </c>
      <c r="AN32" s="197">
        <f t="shared" si="23"/>
        <v>0.34581025446431757</v>
      </c>
      <c r="AO32" s="197">
        <f t="shared" si="24"/>
        <v>8.0337595136838764E-3</v>
      </c>
      <c r="AP32" s="194">
        <f t="shared" si="25"/>
        <v>0.39541989191525212</v>
      </c>
      <c r="AQ32" s="194">
        <f t="shared" si="26"/>
        <v>0.38725244440754075</v>
      </c>
      <c r="AR32" s="194">
        <f t="shared" si="27"/>
        <v>6.1506877807621971E-2</v>
      </c>
      <c r="AS32" s="197">
        <f t="shared" si="28"/>
        <v>0.72889458290766607</v>
      </c>
      <c r="AT32" s="197">
        <f t="shared" si="29"/>
        <v>0.74416832046880643</v>
      </c>
      <c r="AU32" s="197">
        <f t="shared" si="30"/>
        <v>0.38367655985431243</v>
      </c>
      <c r="AV32" s="196">
        <f t="shared" si="31"/>
        <v>68.551771617289262</v>
      </c>
      <c r="AW32" s="196">
        <f t="shared" si="32"/>
        <v>7.6368687805701825</v>
      </c>
      <c r="AX32" s="196">
        <f t="shared" si="33"/>
        <v>69.043604610670727</v>
      </c>
      <c r="AY32" s="196">
        <f t="shared" si="34"/>
        <v>3.5378004523502526</v>
      </c>
      <c r="AZ32" s="190">
        <v>38.933</v>
      </c>
      <c r="BA32" s="210">
        <v>0.49565673188252901</v>
      </c>
      <c r="BB32" s="210">
        <v>0.45504750354690998</v>
      </c>
      <c r="BC32" s="204">
        <v>207</v>
      </c>
      <c r="BD32" s="204">
        <v>152</v>
      </c>
      <c r="BE32" s="204">
        <v>16</v>
      </c>
      <c r="BF32" s="186"/>
      <c r="BG32" s="204">
        <f t="shared" si="35"/>
        <v>212.01923076923077</v>
      </c>
      <c r="BH32" s="204">
        <f t="shared" si="53"/>
        <v>148.02631578947367</v>
      </c>
      <c r="BI32" s="204">
        <f t="shared" si="55"/>
        <v>0</v>
      </c>
      <c r="BJ32" s="186">
        <f t="shared" si="9"/>
        <v>0.68183883232231357</v>
      </c>
      <c r="BK32" s="186">
        <f t="shared" si="10"/>
        <v>0.32786256146422904</v>
      </c>
      <c r="BL32" s="186">
        <f t="shared" si="11"/>
        <v>0</v>
      </c>
      <c r="BM32" s="186">
        <f t="shared" si="36"/>
        <v>0.39843398642933042</v>
      </c>
      <c r="BN32" s="186">
        <f t="shared" si="37"/>
        <v>0.37944623971094049</v>
      </c>
      <c r="BO32" s="186">
        <f t="shared" si="38"/>
        <v>5.2240706790356757E-2</v>
      </c>
      <c r="BP32" s="186">
        <f t="shared" si="39"/>
        <v>0.72396363361319349</v>
      </c>
      <c r="BQ32" s="186">
        <f t="shared" si="40"/>
        <v>0.74605434814473337</v>
      </c>
      <c r="BR32" s="186">
        <f t="shared" si="41"/>
        <v>0.36335158146975194</v>
      </c>
      <c r="BS32" s="186">
        <f t="shared" si="42"/>
        <v>67.979781499130439</v>
      </c>
      <c r="BT32" s="186">
        <f t="shared" si="43"/>
        <v>11.04535726576994</v>
      </c>
      <c r="BU32" s="186">
        <f t="shared" si="44"/>
        <v>72.122410428688312</v>
      </c>
      <c r="BV32" s="204">
        <v>30</v>
      </c>
      <c r="BW32" s="190">
        <v>38.933</v>
      </c>
      <c r="BX32" s="186">
        <v>0.49746552205732902</v>
      </c>
      <c r="BY32" s="186">
        <v>0.454704420210571</v>
      </c>
      <c r="BZ32" s="204">
        <v>207</v>
      </c>
      <c r="CA32" s="204">
        <v>152</v>
      </c>
      <c r="CB32" s="204">
        <v>13</v>
      </c>
      <c r="CC32" s="186">
        <f t="shared" si="45"/>
        <v>6.5344779426709798E-3</v>
      </c>
      <c r="CD32" s="186">
        <f t="shared" si="46"/>
        <v>-2.7044202105709902E-3</v>
      </c>
      <c r="CE32" s="186"/>
      <c r="CF32" s="186"/>
      <c r="CG32" s="186"/>
      <c r="CH32" s="204">
        <f t="shared" si="47"/>
        <v>63.605769230769226</v>
      </c>
      <c r="CI32" s="204">
        <f t="shared" si="48"/>
        <v>44.407894736842103</v>
      </c>
      <c r="CJ32" s="204">
        <f t="shared" si="49"/>
        <v>0</v>
      </c>
      <c r="CK32" s="211">
        <f t="shared" si="12"/>
        <v>64.527591973244142</v>
      </c>
      <c r="CL32" s="211">
        <f t="shared" si="54"/>
        <v>43.823580332409968</v>
      </c>
      <c r="CM32" s="211">
        <f t="shared" si="56"/>
        <v>0</v>
      </c>
      <c r="CN32" s="205">
        <f t="shared" si="50"/>
        <v>109.69690635451504</v>
      </c>
      <c r="CO32" s="205">
        <f t="shared" si="51"/>
        <v>74.50008656509695</v>
      </c>
      <c r="CP32" s="205">
        <f t="shared" si="52"/>
        <v>0</v>
      </c>
    </row>
    <row r="33" spans="1:94" ht="18">
      <c r="A33" s="190">
        <v>31</v>
      </c>
      <c r="B33" s="190">
        <v>40.909999999999997</v>
      </c>
      <c r="C33" s="190">
        <v>0.48399999999999999</v>
      </c>
      <c r="D33" s="190">
        <v>0.46800000000000003</v>
      </c>
      <c r="E33" s="193">
        <v>205</v>
      </c>
      <c r="F33" s="193">
        <v>160</v>
      </c>
      <c r="G33" s="193">
        <v>0</v>
      </c>
      <c r="H33" s="193">
        <f t="shared" si="15"/>
        <v>0.63612477118478317</v>
      </c>
      <c r="I33" s="193">
        <f t="shared" si="16"/>
        <v>0.38353217665655637</v>
      </c>
      <c r="J33" s="193">
        <f t="shared" si="17"/>
        <v>0</v>
      </c>
      <c r="K33" s="194">
        <f t="shared" si="18"/>
        <v>0.39948896200898909</v>
      </c>
      <c r="L33" s="194">
        <f t="shared" si="19"/>
        <v>0.40954233909865401</v>
      </c>
      <c r="M33" s="194">
        <f t="shared" si="20"/>
        <v>5.7994243541327831E-2</v>
      </c>
      <c r="N33" s="194">
        <f t="shared" si="0"/>
        <v>0.74261936301924114</v>
      </c>
      <c r="O33" s="194">
        <f t="shared" si="1"/>
        <v>0.74671223669228615</v>
      </c>
      <c r="P33" s="194">
        <f t="shared" si="2"/>
        <v>0.37622905877839435</v>
      </c>
      <c r="Q33" s="194">
        <f t="shared" si="21"/>
        <v>70.143846110231976</v>
      </c>
      <c r="R33" s="194">
        <f t="shared" si="3"/>
        <v>2.0464368365225027</v>
      </c>
      <c r="S33" s="194">
        <f t="shared" si="4"/>
        <v>73.27806084816936</v>
      </c>
      <c r="T33" s="191" t="s">
        <v>249</v>
      </c>
      <c r="U33" s="193"/>
      <c r="V33" s="193"/>
      <c r="W33" s="193"/>
      <c r="X33" s="193"/>
      <c r="Y33" s="193"/>
      <c r="Z33" s="193"/>
      <c r="AA33" s="193"/>
      <c r="AB33" s="195">
        <f t="shared" si="5"/>
        <v>147.9184745</v>
      </c>
      <c r="AC33" s="195">
        <f t="shared" si="6"/>
        <v>161.3381205</v>
      </c>
      <c r="AD33" s="195">
        <f t="shared" si="7"/>
        <v>16.851983500000003</v>
      </c>
      <c r="AE33" s="195"/>
      <c r="AF33" s="195"/>
      <c r="AG33" s="190">
        <v>40.909999999999997</v>
      </c>
      <c r="AH33" s="196">
        <v>0.48416118699999999</v>
      </c>
      <c r="AI33" s="196">
        <v>0.46308062900000002</v>
      </c>
      <c r="AJ33" s="202">
        <v>206</v>
      </c>
      <c r="AK33" s="202">
        <v>159</v>
      </c>
      <c r="AL33" s="202">
        <v>23</v>
      </c>
      <c r="AM33" s="197">
        <f t="shared" si="22"/>
        <v>0.64253184527000162</v>
      </c>
      <c r="AN33" s="197">
        <f t="shared" si="23"/>
        <v>0.37870032624474648</v>
      </c>
      <c r="AO33" s="197">
        <f t="shared" si="24"/>
        <v>1.2739293390227299E-2</v>
      </c>
      <c r="AP33" s="194">
        <f t="shared" si="25"/>
        <v>0.40270281211140602</v>
      </c>
      <c r="AQ33" s="194">
        <f t="shared" si="26"/>
        <v>0.40836852061741941</v>
      </c>
      <c r="AR33" s="194">
        <f t="shared" si="27"/>
        <v>6.965064186949585E-2</v>
      </c>
      <c r="AS33" s="197">
        <f t="shared" si="28"/>
        <v>0.74190919267190081</v>
      </c>
      <c r="AT33" s="197">
        <f t="shared" si="29"/>
        <v>0.74870930010071368</v>
      </c>
      <c r="AU33" s="197">
        <f t="shared" si="30"/>
        <v>0.39991320788615697</v>
      </c>
      <c r="AV33" s="196">
        <f t="shared" si="31"/>
        <v>70.061466349940488</v>
      </c>
      <c r="AW33" s="196">
        <f t="shared" si="32"/>
        <v>3.4000537144064369</v>
      </c>
      <c r="AX33" s="196">
        <f t="shared" si="33"/>
        <v>68.39919695714876</v>
      </c>
      <c r="AY33" s="196">
        <f t="shared" si="34"/>
        <v>5.0638303628876242</v>
      </c>
      <c r="AZ33" s="190">
        <v>40.909999999999997</v>
      </c>
      <c r="BA33" s="210">
        <v>0.47791060378794498</v>
      </c>
      <c r="BB33" s="210">
        <v>0.46814681803560898</v>
      </c>
      <c r="BC33" s="204">
        <v>203</v>
      </c>
      <c r="BD33" s="204">
        <v>161</v>
      </c>
      <c r="BE33" s="204">
        <v>23</v>
      </c>
      <c r="BF33" s="186"/>
      <c r="BG33" s="204">
        <f t="shared" si="35"/>
        <v>204.00485436893203</v>
      </c>
      <c r="BH33" s="204">
        <f t="shared" si="53"/>
        <v>161.00628930817609</v>
      </c>
      <c r="BI33" s="204">
        <f t="shared" si="55"/>
        <v>0</v>
      </c>
      <c r="BJ33" s="186">
        <f t="shared" si="9"/>
        <v>0.6297835522668549</v>
      </c>
      <c r="BK33" s="186">
        <f t="shared" si="10"/>
        <v>0.3884281657495765</v>
      </c>
      <c r="BL33" s="186">
        <f t="shared" si="11"/>
        <v>0</v>
      </c>
      <c r="BM33" s="186">
        <f t="shared" si="36"/>
        <v>0.39862464902689948</v>
      </c>
      <c r="BN33" s="186">
        <f t="shared" si="37"/>
        <v>0.41169580735603045</v>
      </c>
      <c r="BO33" s="186">
        <f t="shared" si="38"/>
        <v>5.8455459916099815E-2</v>
      </c>
      <c r="BP33" s="186">
        <f t="shared" si="39"/>
        <v>0.74391870965769424</v>
      </c>
      <c r="BQ33" s="186">
        <f t="shared" si="40"/>
        <v>0.74617333228545735</v>
      </c>
      <c r="BR33" s="186">
        <f t="shared" si="41"/>
        <v>0.37722378409362467</v>
      </c>
      <c r="BS33" s="186">
        <f t="shared" si="42"/>
        <v>70.294570320292536</v>
      </c>
      <c r="BT33" s="186">
        <f t="shared" si="43"/>
        <v>1.1273113138815516</v>
      </c>
      <c r="BU33" s="186">
        <f t="shared" si="44"/>
        <v>73.338985112813916</v>
      </c>
      <c r="BV33" s="204">
        <v>31</v>
      </c>
      <c r="BW33" s="190">
        <v>40.909999999999997</v>
      </c>
      <c r="BX33" s="186">
        <v>0.47994602180525803</v>
      </c>
      <c r="BY33" s="186">
        <v>0.467820904474126</v>
      </c>
      <c r="BZ33" s="204">
        <v>203</v>
      </c>
      <c r="CA33" s="204">
        <v>160</v>
      </c>
      <c r="CB33" s="204">
        <v>19</v>
      </c>
      <c r="CC33" s="186">
        <f t="shared" si="45"/>
        <v>4.0539781947419584E-3</v>
      </c>
      <c r="CD33" s="186">
        <f t="shared" si="46"/>
        <v>1.7909552587402899E-4</v>
      </c>
      <c r="CE33" s="186"/>
      <c r="CF33" s="186"/>
      <c r="CG33" s="186"/>
      <c r="CH33" s="204">
        <f t="shared" si="47"/>
        <v>61.201456310679603</v>
      </c>
      <c r="CI33" s="204">
        <f t="shared" si="48"/>
        <v>48.301886792452827</v>
      </c>
      <c r="CJ33" s="204">
        <f t="shared" si="49"/>
        <v>0</v>
      </c>
      <c r="CK33" s="211">
        <f t="shared" si="12"/>
        <v>61.8044263235927</v>
      </c>
      <c r="CL33" s="211">
        <f t="shared" si="54"/>
        <v>48.001875073245046</v>
      </c>
      <c r="CM33" s="211">
        <f t="shared" si="56"/>
        <v>0</v>
      </c>
      <c r="CN33" s="205">
        <f t="shared" si="50"/>
        <v>105.06752475010759</v>
      </c>
      <c r="CO33" s="205">
        <f t="shared" si="51"/>
        <v>81.603187624516579</v>
      </c>
      <c r="CP33" s="205">
        <f t="shared" si="52"/>
        <v>0</v>
      </c>
    </row>
    <row r="34" spans="1:94" ht="18">
      <c r="A34" s="190">
        <v>32</v>
      </c>
      <c r="B34" s="190">
        <v>48.404000000000003</v>
      </c>
      <c r="C34" s="190">
        <v>0.44400000000000001</v>
      </c>
      <c r="D34" s="190">
        <v>0.5</v>
      </c>
      <c r="E34" s="193">
        <v>200</v>
      </c>
      <c r="F34" s="193">
        <v>185</v>
      </c>
      <c r="G34" s="193">
        <v>0</v>
      </c>
      <c r="H34" s="193">
        <f t="shared" si="15"/>
        <v>0.6046138681288552</v>
      </c>
      <c r="I34" s="193">
        <f t="shared" si="16"/>
        <v>0.51529150586582273</v>
      </c>
      <c r="J34" s="193">
        <f t="shared" si="17"/>
        <v>0</v>
      </c>
      <c r="K34" s="194">
        <f t="shared" si="18"/>
        <v>0.43361100171395806</v>
      </c>
      <c r="L34" s="194">
        <f t="shared" si="19"/>
        <v>0.49707739335943102</v>
      </c>
      <c r="M34" s="194">
        <f t="shared" si="20"/>
        <v>7.3091795154092976E-2</v>
      </c>
      <c r="N34" s="194">
        <f t="shared" si="0"/>
        <v>0.79215105343335523</v>
      </c>
      <c r="O34" s="194">
        <f t="shared" si="1"/>
        <v>0.7673940682307312</v>
      </c>
      <c r="P34" s="194">
        <f t="shared" si="2"/>
        <v>0.40639365266173866</v>
      </c>
      <c r="Q34" s="194">
        <f t="shared" si="21"/>
        <v>75.889522198269205</v>
      </c>
      <c r="R34" s="194">
        <f t="shared" si="3"/>
        <v>-12.378492601312018</v>
      </c>
      <c r="S34" s="194">
        <f t="shared" si="4"/>
        <v>77.151480154323309</v>
      </c>
      <c r="T34" s="191" t="s">
        <v>228</v>
      </c>
      <c r="U34" s="193"/>
      <c r="V34" s="193"/>
      <c r="W34" s="193"/>
      <c r="X34" s="193"/>
      <c r="Y34" s="193"/>
      <c r="Z34" s="193"/>
      <c r="AA34" s="193"/>
      <c r="AB34" s="195">
        <f t="shared" si="5"/>
        <v>149.67367000000002</v>
      </c>
      <c r="AC34" s="195">
        <f t="shared" si="6"/>
        <v>175.5349635</v>
      </c>
      <c r="AD34" s="195">
        <f t="shared" si="7"/>
        <v>18.483992000000001</v>
      </c>
      <c r="AE34" s="195"/>
      <c r="AF34" s="195"/>
      <c r="AG34" s="190">
        <v>48.404000000000003</v>
      </c>
      <c r="AH34" s="196">
        <v>0.47316619100000001</v>
      </c>
      <c r="AI34" s="196">
        <v>0.47113815799999997</v>
      </c>
      <c r="AJ34" s="202">
        <v>217</v>
      </c>
      <c r="AK34" s="202">
        <v>175</v>
      </c>
      <c r="AL34" s="202">
        <v>28</v>
      </c>
      <c r="AM34" s="197">
        <f t="shared" si="22"/>
        <v>0.71532918682442881</v>
      </c>
      <c r="AN34" s="197">
        <f t="shared" si="23"/>
        <v>0.46004311418005439</v>
      </c>
      <c r="AO34" s="197">
        <f t="shared" si="24"/>
        <v>1.6833451827405296E-2</v>
      </c>
      <c r="AP34" s="194">
        <f t="shared" si="25"/>
        <v>0.46255161233202852</v>
      </c>
      <c r="AQ34" s="194">
        <f t="shared" si="26"/>
        <v>0.48231719560238712</v>
      </c>
      <c r="AR34" s="194">
        <f t="shared" si="27"/>
        <v>8.4643188477922696E-2</v>
      </c>
      <c r="AS34" s="197">
        <f t="shared" si="28"/>
        <v>0.78423143872764256</v>
      </c>
      <c r="AT34" s="197">
        <f t="shared" si="29"/>
        <v>0.78410051665561709</v>
      </c>
      <c r="AU34" s="197">
        <f t="shared" si="30"/>
        <v>0.42676426328215322</v>
      </c>
      <c r="AV34" s="196">
        <f t="shared" si="31"/>
        <v>74.970846892406541</v>
      </c>
      <c r="AW34" s="196">
        <f t="shared" si="32"/>
        <v>-6.5461036012737228E-2</v>
      </c>
      <c r="AX34" s="196">
        <f t="shared" si="33"/>
        <v>71.493435089097872</v>
      </c>
      <c r="AY34" s="196">
        <f t="shared" si="34"/>
        <v>13.581906515868097</v>
      </c>
      <c r="AZ34" s="190">
        <v>48.404000000000003</v>
      </c>
      <c r="BA34" s="210">
        <v>0.43508837063855199</v>
      </c>
      <c r="BB34" s="210">
        <v>0.499756556844695</v>
      </c>
      <c r="BC34" s="204">
        <v>197</v>
      </c>
      <c r="BD34" s="204">
        <v>186</v>
      </c>
      <c r="BE34" s="204">
        <v>34</v>
      </c>
      <c r="BF34" s="186"/>
      <c r="BG34" s="204">
        <f t="shared" si="35"/>
        <v>184.33179723502303</v>
      </c>
      <c r="BH34" s="204">
        <f t="shared" si="53"/>
        <v>195.57142857142858</v>
      </c>
      <c r="BI34" s="204">
        <f t="shared" si="55"/>
        <v>0</v>
      </c>
      <c r="BJ34" s="186">
        <f t="shared" si="9"/>
        <v>0.51149310532667058</v>
      </c>
      <c r="BK34" s="186">
        <f t="shared" si="10"/>
        <v>0.57743183516736318</v>
      </c>
      <c r="BL34" s="186">
        <f t="shared" si="11"/>
        <v>0</v>
      </c>
      <c r="BM34" s="186">
        <f t="shared" si="36"/>
        <v>0.41742938089256798</v>
      </c>
      <c r="BN34" s="186">
        <f t="shared" si="37"/>
        <v>0.52172268270414823</v>
      </c>
      <c r="BO34" s="186">
        <f t="shared" si="38"/>
        <v>7.8701691684754438E-2</v>
      </c>
      <c r="BP34" s="186">
        <f t="shared" si="39"/>
        <v>0.80503217736129828</v>
      </c>
      <c r="BQ34" s="186">
        <f t="shared" si="40"/>
        <v>0.75772685263334205</v>
      </c>
      <c r="BR34" s="186">
        <f t="shared" si="41"/>
        <v>0.41653554003737375</v>
      </c>
      <c r="BS34" s="186">
        <f t="shared" si="42"/>
        <v>77.383732573910606</v>
      </c>
      <c r="BT34" s="186">
        <f t="shared" si="43"/>
        <v>-23.652662363978116</v>
      </c>
      <c r="BU34" s="186">
        <f t="shared" si="44"/>
        <v>77.699327464784901</v>
      </c>
      <c r="BV34" s="204">
        <v>32</v>
      </c>
      <c r="BW34" s="190">
        <v>48.404000000000003</v>
      </c>
      <c r="BX34" s="186">
        <v>0.43989531532554799</v>
      </c>
      <c r="BY34" s="186">
        <v>0.49780240660802499</v>
      </c>
      <c r="BZ34" s="204">
        <v>199</v>
      </c>
      <c r="CA34" s="204">
        <v>185</v>
      </c>
      <c r="CB34" s="204">
        <v>31</v>
      </c>
      <c r="CC34" s="186">
        <f t="shared" si="45"/>
        <v>4.1046846744520193E-3</v>
      </c>
      <c r="CD34" s="186">
        <f t="shared" si="46"/>
        <v>2.1975933919750057E-3</v>
      </c>
      <c r="CE34" s="186"/>
      <c r="CF34" s="186"/>
      <c r="CG34" s="186"/>
      <c r="CH34" s="204">
        <f t="shared" si="47"/>
        <v>55.299539170506911</v>
      </c>
      <c r="CI34" s="204">
        <f t="shared" si="48"/>
        <v>58.671428571428571</v>
      </c>
      <c r="CJ34" s="204">
        <f t="shared" si="49"/>
        <v>0</v>
      </c>
      <c r="CK34" s="211">
        <f t="shared" si="12"/>
        <v>56.14166413249432</v>
      </c>
      <c r="CL34" s="211">
        <f t="shared" si="54"/>
        <v>58.355990783410135</v>
      </c>
      <c r="CM34" s="211">
        <f t="shared" si="56"/>
        <v>0</v>
      </c>
      <c r="CN34" s="205">
        <f t="shared" si="50"/>
        <v>95.440829025240348</v>
      </c>
      <c r="CO34" s="205">
        <f t="shared" si="51"/>
        <v>99.205184331797227</v>
      </c>
      <c r="CP34" s="205">
        <f t="shared" si="52"/>
        <v>0</v>
      </c>
    </row>
    <row r="35" spans="1:94" ht="18">
      <c r="A35" s="190">
        <v>33</v>
      </c>
      <c r="B35" s="190">
        <v>53.253</v>
      </c>
      <c r="C35" s="190">
        <v>0.42</v>
      </c>
      <c r="D35" s="190">
        <v>0.52400000000000002</v>
      </c>
      <c r="E35" s="193">
        <v>195</v>
      </c>
      <c r="F35" s="193">
        <v>200</v>
      </c>
      <c r="G35" s="193">
        <v>0</v>
      </c>
      <c r="H35" s="193">
        <f t="shared" si="15"/>
        <v>0.57397410890869816</v>
      </c>
      <c r="I35" s="193">
        <f t="shared" si="16"/>
        <v>0.6046138681288552</v>
      </c>
      <c r="J35" s="193">
        <f t="shared" si="17"/>
        <v>0</v>
      </c>
      <c r="K35" s="194">
        <f t="shared" si="18"/>
        <v>0.45291684175682573</v>
      </c>
      <c r="L35" s="194">
        <f t="shared" si="19"/>
        <v>0.55444673403974643</v>
      </c>
      <c r="M35" s="194">
        <f t="shared" si="20"/>
        <v>8.3147673382897413E-2</v>
      </c>
      <c r="N35" s="194">
        <f t="shared" ref="N35:N66" si="57">IF(L35&gt;0.008856,L35^(1/3),7.787*L35+(16/116))</f>
        <v>0.82152340937684698</v>
      </c>
      <c r="O35" s="194">
        <f t="shared" ref="O35:O66" si="58">IF(K35/0.9595&gt;0.008856,(K35/0.9595)^(1/3),7.787*(K35/0.9595)+(16/116))</f>
        <v>0.77861810326268632</v>
      </c>
      <c r="P35" s="194">
        <f t="shared" ref="P35:P66" si="59">IF(M35/1.089&gt;0.008856,(M35/1.089)^(1/3),7.787*(M35/1.089)+(16/116))</f>
        <v>0.4242358905217013</v>
      </c>
      <c r="Q35" s="194">
        <f t="shared" si="21"/>
        <v>79.296715487714252</v>
      </c>
      <c r="R35" s="194">
        <f t="shared" ref="R35:R66" si="60">500*(O35-N35)</f>
        <v>-21.45265305708033</v>
      </c>
      <c r="S35" s="194">
        <f t="shared" ref="S35:S66" si="61">200*(N35-P35)</f>
        <v>79.457503771029138</v>
      </c>
      <c r="T35" s="191" t="s">
        <v>250</v>
      </c>
      <c r="U35" s="193"/>
      <c r="V35" s="193"/>
      <c r="W35" s="193"/>
      <c r="X35" s="193"/>
      <c r="Y35" s="193"/>
      <c r="Z35" s="193"/>
      <c r="AA35" s="193"/>
      <c r="AB35" s="195">
        <f t="shared" ref="AB35:AB66" si="62">E35*0.5767309+F35*0.185554+G35*0.1881852</f>
        <v>149.57332550000001</v>
      </c>
      <c r="AC35" s="195">
        <f t="shared" ref="AC35:AC66" si="63">E35*0.2973769+F35*0.6273491+G35*0.0752741</f>
        <v>183.4583155</v>
      </c>
      <c r="AD35" s="195">
        <f t="shared" ref="AD35:AD66" si="64">E35*0.0270343+F35*0.0706872+G35*0.9911085</f>
        <v>19.409128500000001</v>
      </c>
      <c r="AE35" s="195"/>
      <c r="AF35" s="195"/>
      <c r="AG35" s="190">
        <v>53.253</v>
      </c>
      <c r="AH35" s="196">
        <v>0.44774536700000001</v>
      </c>
      <c r="AI35" s="196">
        <v>0.48979772900000002</v>
      </c>
      <c r="AJ35" s="202">
        <v>213</v>
      </c>
      <c r="AK35" s="202">
        <v>191</v>
      </c>
      <c r="AL35" s="202">
        <v>34</v>
      </c>
      <c r="AM35" s="197">
        <f t="shared" si="22"/>
        <v>0.68836423436469807</v>
      </c>
      <c r="AN35" s="197">
        <f t="shared" si="23"/>
        <v>0.55008676637045739</v>
      </c>
      <c r="AO35" s="197">
        <f t="shared" si="24"/>
        <v>2.2577945148909581E-2</v>
      </c>
      <c r="AP35" s="194">
        <f t="shared" si="25"/>
        <v>0.48466775700545522</v>
      </c>
      <c r="AQ35" s="194">
        <f t="shared" si="26"/>
        <v>0.54139841917383713</v>
      </c>
      <c r="AR35" s="194">
        <f t="shared" si="27"/>
        <v>0.10031610913863576</v>
      </c>
      <c r="AS35" s="197">
        <f t="shared" si="28"/>
        <v>0.81502762232089987</v>
      </c>
      <c r="AT35" s="197">
        <f t="shared" si="29"/>
        <v>0.79640329816966937</v>
      </c>
      <c r="AU35" s="197">
        <f t="shared" si="30"/>
        <v>0.45162807666654275</v>
      </c>
      <c r="AV35" s="196">
        <f t="shared" si="31"/>
        <v>78.543204189224383</v>
      </c>
      <c r="AW35" s="196">
        <f t="shared" si="32"/>
        <v>-9.3121620756152481</v>
      </c>
      <c r="AX35" s="196">
        <f t="shared" si="33"/>
        <v>72.679909130871422</v>
      </c>
      <c r="AY35" s="196">
        <f t="shared" si="34"/>
        <v>13.924621705966789</v>
      </c>
      <c r="AZ35" s="190">
        <v>53.253</v>
      </c>
      <c r="BA35" s="210">
        <v>0.42291551666483301</v>
      </c>
      <c r="BB35" s="210">
        <v>0.50873816500135705</v>
      </c>
      <c r="BC35" s="204">
        <v>199</v>
      </c>
      <c r="BD35" s="204">
        <v>198</v>
      </c>
      <c r="BE35" s="204">
        <v>38</v>
      </c>
      <c r="BF35" s="186"/>
      <c r="BG35" s="204">
        <f t="shared" si="35"/>
        <v>178.52112676056339</v>
      </c>
      <c r="BH35" s="204">
        <f t="shared" si="53"/>
        <v>209.42408376963351</v>
      </c>
      <c r="BI35" s="204">
        <f t="shared" si="55"/>
        <v>0</v>
      </c>
      <c r="BJ35" s="186">
        <f t="shared" ref="BJ35:BJ66" si="65">IF(BG35/255&gt;0.04045,(((BG35/255)+0.055)/1.055)^2.2,(BG35/255)/12.92)</f>
        <v>0.47910722801237965</v>
      </c>
      <c r="BK35" s="186">
        <f t="shared" ref="BK35:BK66" si="66">IF(BH35/255&gt;0.04045,(((BH35/255)+0.055)/1.055)^2.2,(BH35/255)/12.92)</f>
        <v>0.66473579261269988</v>
      </c>
      <c r="BL35" s="186">
        <f t="shared" ref="BL35:BL66" si="67">IF(BI35/255&gt;0.04045,(((BI35/255)+0.055)/1.055)^2.2,(BI35/255)/12.92)</f>
        <v>0</v>
      </c>
      <c r="BM35" s="186">
        <f t="shared" si="36"/>
        <v>0.43529334027060684</v>
      </c>
      <c r="BN35" s="186">
        <f t="shared" si="37"/>
        <v>0.57727723555203481</v>
      </c>
      <c r="BO35" s="186">
        <f t="shared" si="38"/>
        <v>8.8483275980072745E-2</v>
      </c>
      <c r="BP35" s="186">
        <f t="shared" si="39"/>
        <v>0.83264806526420276</v>
      </c>
      <c r="BQ35" s="186">
        <f t="shared" si="40"/>
        <v>0.76838524124859686</v>
      </c>
      <c r="BR35" s="186">
        <f t="shared" si="41"/>
        <v>0.43312285839863496</v>
      </c>
      <c r="BS35" s="186">
        <f t="shared" si="42"/>
        <v>80.587175570647517</v>
      </c>
      <c r="BT35" s="186">
        <f t="shared" si="43"/>
        <v>-32.13141200780295</v>
      </c>
      <c r="BU35" s="186">
        <f t="shared" si="44"/>
        <v>79.905041373113562</v>
      </c>
      <c r="BV35" s="204">
        <v>33</v>
      </c>
      <c r="BW35" s="190">
        <v>53.253</v>
      </c>
      <c r="BX35" s="186">
        <v>0.41824197184364398</v>
      </c>
      <c r="BY35" s="186">
        <v>0.51400944578225005</v>
      </c>
      <c r="BZ35" s="204">
        <v>196</v>
      </c>
      <c r="CA35" s="204">
        <v>199</v>
      </c>
      <c r="CB35" s="204">
        <v>37</v>
      </c>
      <c r="CC35" s="186">
        <f t="shared" si="45"/>
        <v>1.7580281563560063E-3</v>
      </c>
      <c r="CD35" s="186">
        <f t="shared" si="46"/>
        <v>9.9905542177499695E-3</v>
      </c>
      <c r="CE35" s="186"/>
      <c r="CF35" s="186"/>
      <c r="CG35" s="186"/>
      <c r="CH35" s="204">
        <f t="shared" si="47"/>
        <v>53.556338028169016</v>
      </c>
      <c r="CI35" s="204">
        <f t="shared" si="48"/>
        <v>62.827225130890049</v>
      </c>
      <c r="CJ35" s="204">
        <f t="shared" si="49"/>
        <v>0</v>
      </c>
      <c r="CK35" s="211">
        <f t="shared" si="12"/>
        <v>52.479828721070142</v>
      </c>
      <c r="CL35" s="211">
        <f t="shared" si="54"/>
        <v>63.461843566555608</v>
      </c>
      <c r="CM35" s="211">
        <f t="shared" si="56"/>
        <v>0</v>
      </c>
      <c r="CN35" s="205">
        <f t="shared" si="50"/>
        <v>89.215708825819235</v>
      </c>
      <c r="CO35" s="205">
        <f t="shared" si="51"/>
        <v>107.88513406314453</v>
      </c>
      <c r="CP35" s="205">
        <f t="shared" si="52"/>
        <v>0</v>
      </c>
    </row>
    <row r="36" spans="1:94">
      <c r="A36" s="190">
        <v>34</v>
      </c>
      <c r="B36" s="190">
        <v>60.024999999999999</v>
      </c>
      <c r="C36" s="190">
        <v>0.38800000000000001</v>
      </c>
      <c r="D36" s="190">
        <v>0.55200000000000005</v>
      </c>
      <c r="E36" s="193">
        <v>185</v>
      </c>
      <c r="F36" s="193">
        <v>220</v>
      </c>
      <c r="G36" s="193">
        <v>0</v>
      </c>
      <c r="H36" s="193">
        <f t="shared" si="15"/>
        <v>0.51529150586582273</v>
      </c>
      <c r="I36" s="193">
        <f t="shared" si="16"/>
        <v>0.73592431190789209</v>
      </c>
      <c r="J36" s="193">
        <f t="shared" si="17"/>
        <v>0</v>
      </c>
      <c r="K36" s="194">
        <f t="shared" si="18"/>
        <v>0.47567275095732742</v>
      </c>
      <c r="L36" s="194">
        <f t="shared" si="19"/>
        <v>0.63588404202359827</v>
      </c>
      <c r="M36" s="194">
        <f t="shared" si="20"/>
        <v>9.7667304042631117E-2</v>
      </c>
      <c r="N36" s="194">
        <f t="shared" si="57"/>
        <v>0.85992249257480147</v>
      </c>
      <c r="O36" s="194">
        <f t="shared" si="58"/>
        <v>0.79144565308121795</v>
      </c>
      <c r="P36" s="194">
        <f t="shared" si="59"/>
        <v>0.44761755089847238</v>
      </c>
      <c r="Q36" s="194">
        <f t="shared" si="21"/>
        <v>83.751009138676977</v>
      </c>
      <c r="R36" s="194">
        <f t="shared" si="60"/>
        <v>-34.238419746791763</v>
      </c>
      <c r="S36" s="194">
        <f t="shared" si="61"/>
        <v>82.46098833526581</v>
      </c>
      <c r="T36" s="193"/>
      <c r="U36" s="193"/>
      <c r="V36" s="193"/>
      <c r="W36" s="193"/>
      <c r="X36" s="193"/>
      <c r="Y36" s="193"/>
      <c r="Z36" s="193"/>
      <c r="AA36" s="193"/>
      <c r="AB36" s="195">
        <f t="shared" si="62"/>
        <v>147.51709650000001</v>
      </c>
      <c r="AC36" s="195">
        <f t="shared" si="63"/>
        <v>193.03152849999998</v>
      </c>
      <c r="AD36" s="195">
        <f t="shared" si="64"/>
        <v>20.552529500000002</v>
      </c>
      <c r="AE36" s="195"/>
      <c r="AF36" s="195"/>
      <c r="AG36" s="190">
        <v>60.024999999999999</v>
      </c>
      <c r="AH36" s="196">
        <v>0.43574293600000003</v>
      </c>
      <c r="AI36" s="196">
        <v>0.49860739300000001</v>
      </c>
      <c r="AJ36" s="202">
        <v>217</v>
      </c>
      <c r="AK36" s="202">
        <v>205</v>
      </c>
      <c r="AL36" s="202">
        <v>38</v>
      </c>
      <c r="AM36" s="197">
        <f t="shared" si="22"/>
        <v>0.71532918682442881</v>
      </c>
      <c r="AN36" s="197">
        <f t="shared" si="23"/>
        <v>0.63612477118478317</v>
      </c>
      <c r="AO36" s="197">
        <f t="shared" si="24"/>
        <v>2.6922958849095169E-2</v>
      </c>
      <c r="AP36" s="194">
        <f t="shared" si="25"/>
        <v>0.52733956889433453</v>
      </c>
      <c r="AQ36" s="194">
        <f t="shared" si="26"/>
        <v>0.6089792590991352</v>
      </c>
      <c r="AR36" s="194">
        <f t="shared" si="27"/>
        <v>0.11522219841700258</v>
      </c>
      <c r="AS36" s="197">
        <f t="shared" si="28"/>
        <v>0.84761929402631042</v>
      </c>
      <c r="AT36" s="197">
        <f t="shared" si="29"/>
        <v>0.81912175455510539</v>
      </c>
      <c r="AU36" s="197">
        <f t="shared" si="30"/>
        <v>0.47297272016928871</v>
      </c>
      <c r="AV36" s="196">
        <f t="shared" si="31"/>
        <v>82.323838107052012</v>
      </c>
      <c r="AW36" s="196">
        <f t="shared" si="32"/>
        <v>-14.248769735602519</v>
      </c>
      <c r="AX36" s="196">
        <f t="shared" si="33"/>
        <v>74.929314771404336</v>
      </c>
      <c r="AY36" s="196">
        <f t="shared" si="34"/>
        <v>21.409087589057069</v>
      </c>
      <c r="AZ36" s="190">
        <v>60.024999999999999</v>
      </c>
      <c r="BA36" s="210">
        <v>0.38601013007665302</v>
      </c>
      <c r="BB36" s="210">
        <v>0.53598825206315104</v>
      </c>
      <c r="BC36" s="204">
        <v>188</v>
      </c>
      <c r="BD36" s="204">
        <v>218</v>
      </c>
      <c r="BE36" s="204">
        <v>46</v>
      </c>
      <c r="BF36" s="186"/>
      <c r="BG36" s="204">
        <f t="shared" si="35"/>
        <v>157.7188940092166</v>
      </c>
      <c r="BH36" s="204">
        <f t="shared" si="53"/>
        <v>236.09756097560978</v>
      </c>
      <c r="BI36" s="204">
        <f t="shared" si="55"/>
        <v>0</v>
      </c>
      <c r="BJ36" s="186">
        <f t="shared" si="65"/>
        <v>0.37255900421858856</v>
      </c>
      <c r="BK36" s="186">
        <f t="shared" si="66"/>
        <v>0.85190761170839313</v>
      </c>
      <c r="BL36" s="186">
        <f t="shared" si="67"/>
        <v>0</v>
      </c>
      <c r="BM36" s="186">
        <f t="shared" si="36"/>
        <v>0.45828549528666729</v>
      </c>
      <c r="BN36" s="186">
        <f t="shared" si="37"/>
        <v>0.68849036819071463</v>
      </c>
      <c r="BO36" s="186">
        <f t="shared" si="38"/>
        <v>0.10873777609705922</v>
      </c>
      <c r="BP36" s="186">
        <f t="shared" si="39"/>
        <v>0.88301067985165471</v>
      </c>
      <c r="BQ36" s="186">
        <f t="shared" si="40"/>
        <v>0.7816824791425997</v>
      </c>
      <c r="BR36" s="186">
        <f t="shared" si="41"/>
        <v>0.46392828928136448</v>
      </c>
      <c r="BS36" s="186">
        <f t="shared" si="42"/>
        <v>86.429238862791948</v>
      </c>
      <c r="BT36" s="186">
        <f t="shared" si="43"/>
        <v>-50.664100354527505</v>
      </c>
      <c r="BU36" s="186">
        <f t="shared" si="44"/>
        <v>83.816478114058043</v>
      </c>
      <c r="BV36" s="204">
        <v>34</v>
      </c>
      <c r="BW36" s="190">
        <v>60.024999999999999</v>
      </c>
      <c r="BX36" s="186">
        <v>0.38372864124330702</v>
      </c>
      <c r="BY36" s="186">
        <v>0.53985975632557803</v>
      </c>
      <c r="BZ36" s="204">
        <v>187</v>
      </c>
      <c r="CA36" s="204">
        <v>219</v>
      </c>
      <c r="CB36" s="204">
        <v>43</v>
      </c>
      <c r="CC36" s="186">
        <f t="shared" si="45"/>
        <v>4.2713587566929889E-3</v>
      </c>
      <c r="CD36" s="186">
        <f t="shared" si="46"/>
        <v>1.2140243674422013E-2</v>
      </c>
      <c r="CE36" s="186"/>
      <c r="CF36" s="186"/>
      <c r="CG36" s="186"/>
      <c r="CH36" s="204">
        <f t="shared" si="47"/>
        <v>47.315668202764975</v>
      </c>
      <c r="CI36" s="204">
        <f t="shared" si="48"/>
        <v>70.829268292682926</v>
      </c>
      <c r="CJ36" s="204">
        <f t="shared" si="49"/>
        <v>0</v>
      </c>
      <c r="CK36" s="211">
        <f t="shared" si="12"/>
        <v>46.560630944210217</v>
      </c>
      <c r="CL36" s="211">
        <f t="shared" si="54"/>
        <v>71.479078093533218</v>
      </c>
      <c r="CM36" s="211">
        <f t="shared" si="56"/>
        <v>0</v>
      </c>
      <c r="CN36" s="205">
        <f t="shared" si="50"/>
        <v>79.153072605157362</v>
      </c>
      <c r="CO36" s="205">
        <f t="shared" si="51"/>
        <v>121.51443275900647</v>
      </c>
      <c r="CP36" s="205">
        <f t="shared" si="52"/>
        <v>0</v>
      </c>
    </row>
    <row r="37" spans="1:94">
      <c r="A37" s="190">
        <v>35</v>
      </c>
      <c r="B37" s="190">
        <v>65.414000000000001</v>
      </c>
      <c r="C37" s="190">
        <v>0.36</v>
      </c>
      <c r="D37" s="190">
        <v>0.57600000000000007</v>
      </c>
      <c r="E37" s="193">
        <v>175</v>
      </c>
      <c r="F37" s="193">
        <v>235</v>
      </c>
      <c r="G37" s="193">
        <v>0</v>
      </c>
      <c r="H37" s="193">
        <f t="shared" si="15"/>
        <v>0.46004311418005439</v>
      </c>
      <c r="I37" s="193">
        <f t="shared" si="16"/>
        <v>0.84370510936906873</v>
      </c>
      <c r="J37" s="193">
        <f t="shared" si="17"/>
        <v>0</v>
      </c>
      <c r="K37" s="194">
        <f t="shared" si="18"/>
        <v>0.49143072739823335</v>
      </c>
      <c r="L37" s="194">
        <f t="shared" si="19"/>
        <v>0.70122306029543746</v>
      </c>
      <c r="M37" s="194">
        <f t="shared" si="20"/>
        <v>0.10944848114046804</v>
      </c>
      <c r="N37" s="194">
        <f t="shared" si="57"/>
        <v>0.88842082472842598</v>
      </c>
      <c r="O37" s="194">
        <f t="shared" si="58"/>
        <v>0.80009049230296958</v>
      </c>
      <c r="P37" s="194">
        <f t="shared" si="59"/>
        <v>0.4649368330989988</v>
      </c>
      <c r="Q37" s="194">
        <f t="shared" si="21"/>
        <v>87.056815668497421</v>
      </c>
      <c r="R37" s="194">
        <f t="shared" si="60"/>
        <v>-44.165166212728202</v>
      </c>
      <c r="S37" s="194">
        <f t="shared" si="61"/>
        <v>84.696798325885439</v>
      </c>
      <c r="T37" s="193"/>
      <c r="U37" s="193"/>
      <c r="V37" s="193"/>
      <c r="W37" s="193"/>
      <c r="X37" s="193"/>
      <c r="Y37" s="193"/>
      <c r="Z37" s="193"/>
      <c r="AA37" s="193"/>
      <c r="AB37" s="195">
        <f t="shared" si="62"/>
        <v>144.5330975</v>
      </c>
      <c r="AC37" s="195">
        <f t="shared" si="63"/>
        <v>199.467996</v>
      </c>
      <c r="AD37" s="195">
        <f t="shared" si="64"/>
        <v>21.342494500000001</v>
      </c>
      <c r="AE37" s="195"/>
      <c r="AF37" s="195"/>
      <c r="AG37" s="190">
        <v>65.414000000000001</v>
      </c>
      <c r="AH37" s="196">
        <v>0.41462578</v>
      </c>
      <c r="AI37" s="196">
        <v>0.51409413999999998</v>
      </c>
      <c r="AJ37" s="202">
        <v>214</v>
      </c>
      <c r="AK37" s="202">
        <v>219</v>
      </c>
      <c r="AL37" s="202">
        <v>44</v>
      </c>
      <c r="AM37" s="197">
        <f t="shared" si="22"/>
        <v>0.69505250601738577</v>
      </c>
      <c r="AN37" s="197">
        <f t="shared" si="23"/>
        <v>0.72902383655165137</v>
      </c>
      <c r="AO37" s="197">
        <f t="shared" si="24"/>
        <v>3.4230206565081946E-2</v>
      </c>
      <c r="AP37" s="194">
        <f t="shared" si="25"/>
        <v>0.55351712971743772</v>
      </c>
      <c r="AQ37" s="194">
        <f t="shared" si="26"/>
        <v>0.67163743159503619</v>
      </c>
      <c r="AR37" s="194">
        <f t="shared" si="27"/>
        <v>0.13284996602320279</v>
      </c>
      <c r="AS37" s="197">
        <f t="shared" si="28"/>
        <v>0.87574627233007674</v>
      </c>
      <c r="AT37" s="197">
        <f t="shared" si="29"/>
        <v>0.83245742026896075</v>
      </c>
      <c r="AU37" s="197">
        <f t="shared" si="30"/>
        <v>0.49595756906318106</v>
      </c>
      <c r="AV37" s="196">
        <f t="shared" si="31"/>
        <v>85.586567590288908</v>
      </c>
      <c r="AW37" s="196">
        <f t="shared" si="32"/>
        <v>-21.644426030557995</v>
      </c>
      <c r="AX37" s="196">
        <f t="shared" si="33"/>
        <v>75.957740653379133</v>
      </c>
      <c r="AY37" s="196">
        <f t="shared" si="34"/>
        <v>24.201580460120429</v>
      </c>
      <c r="AZ37" s="190">
        <v>65.414000000000001</v>
      </c>
      <c r="BA37" s="210">
        <v>0.363211644256559</v>
      </c>
      <c r="BB37" s="210">
        <v>0.55281219490482703</v>
      </c>
      <c r="BC37" s="204">
        <v>181</v>
      </c>
      <c r="BD37" s="204">
        <v>232</v>
      </c>
      <c r="BE37" s="204">
        <v>51</v>
      </c>
      <c r="BF37" s="186"/>
      <c r="BG37" s="204">
        <f t="shared" si="35"/>
        <v>143.10747663551402</v>
      </c>
      <c r="BH37" s="204">
        <f t="shared" si="53"/>
        <v>252.16894977168948</v>
      </c>
      <c r="BI37" s="204">
        <f t="shared" si="55"/>
        <v>0</v>
      </c>
      <c r="BJ37" s="186">
        <f t="shared" si="65"/>
        <v>0.30636651354510425</v>
      </c>
      <c r="BK37" s="186">
        <f t="shared" si="66"/>
        <v>0.97699465680969955</v>
      </c>
      <c r="BL37" s="186">
        <f t="shared" si="67"/>
        <v>0</v>
      </c>
      <c r="BM37" s="186">
        <f t="shared" si="36"/>
        <v>0.47571883946114957</v>
      </c>
      <c r="BN37" s="186">
        <f t="shared" si="37"/>
        <v>0.76388009932998624</v>
      </c>
      <c r="BO37" s="186">
        <f t="shared" si="38"/>
        <v>0.1223706368031367</v>
      </c>
      <c r="BP37" s="186">
        <f t="shared" si="39"/>
        <v>0.91413091928069701</v>
      </c>
      <c r="BQ37" s="186">
        <f t="shared" si="40"/>
        <v>0.79147121362882245</v>
      </c>
      <c r="BR37" s="186">
        <f t="shared" si="41"/>
        <v>0.48255828913068349</v>
      </c>
      <c r="BS37" s="186">
        <f t="shared" si="42"/>
        <v>90.039186636560856</v>
      </c>
      <c r="BT37" s="186">
        <f t="shared" si="43"/>
        <v>-61.32985282593728</v>
      </c>
      <c r="BU37" s="186">
        <f t="shared" si="44"/>
        <v>86.314526030002696</v>
      </c>
      <c r="BV37" s="204">
        <v>35</v>
      </c>
      <c r="BW37" s="190">
        <v>65.414000000000001</v>
      </c>
      <c r="BX37" s="186">
        <v>0.359635917860815</v>
      </c>
      <c r="BY37" s="186">
        <v>0.55790240118970202</v>
      </c>
      <c r="BZ37" s="204">
        <v>179</v>
      </c>
      <c r="CA37" s="204">
        <v>233</v>
      </c>
      <c r="CB37" s="204">
        <v>48</v>
      </c>
      <c r="CC37" s="186">
        <f t="shared" si="45"/>
        <v>3.6408213918498467E-4</v>
      </c>
      <c r="CD37" s="186">
        <f t="shared" si="46"/>
        <v>1.8097598810298043E-2</v>
      </c>
      <c r="CE37" s="186"/>
      <c r="CF37" s="186"/>
      <c r="CG37" s="186"/>
      <c r="CH37" s="204">
        <f t="shared" si="47"/>
        <v>42.932242990654203</v>
      </c>
      <c r="CI37" s="204">
        <f t="shared" si="48"/>
        <v>75.650684931506845</v>
      </c>
      <c r="CJ37" s="204">
        <f t="shared" si="49"/>
        <v>0</v>
      </c>
      <c r="CK37" s="211">
        <f t="shared" si="12"/>
        <v>41.50907471472091</v>
      </c>
      <c r="CL37" s="211">
        <f t="shared" si="54"/>
        <v>76.628926547000475</v>
      </c>
      <c r="CM37" s="211">
        <f t="shared" si="56"/>
        <v>0</v>
      </c>
      <c r="CN37" s="205">
        <f t="shared" si="50"/>
        <v>70.565427015025548</v>
      </c>
      <c r="CO37" s="205">
        <f t="shared" si="51"/>
        <v>130.26917512990082</v>
      </c>
      <c r="CP37" s="205">
        <f t="shared" si="52"/>
        <v>0</v>
      </c>
    </row>
    <row r="38" spans="1:94">
      <c r="A38" s="190">
        <v>36</v>
      </c>
      <c r="B38" s="190">
        <v>68.873999999999995</v>
      </c>
      <c r="C38" s="190">
        <v>0.34</v>
      </c>
      <c r="D38" s="190">
        <v>0.59599999999999997</v>
      </c>
      <c r="E38" s="193">
        <v>165</v>
      </c>
      <c r="F38" s="193">
        <v>245</v>
      </c>
      <c r="G38" s="193">
        <v>10</v>
      </c>
      <c r="H38" s="193">
        <f t="shared" si="15"/>
        <v>0.40819369580004278</v>
      </c>
      <c r="I38" s="193">
        <f t="shared" si="16"/>
        <v>0.92004250778986618</v>
      </c>
      <c r="J38" s="193">
        <f t="shared" si="17"/>
        <v>3.0352698354883748E-3</v>
      </c>
      <c r="K38" s="194">
        <f t="shared" si="18"/>
        <v>0.4978941471388994</v>
      </c>
      <c r="L38" s="194">
        <f t="shared" si="19"/>
        <v>0.7450155277805236</v>
      </c>
      <c r="M38" s="194">
        <f t="shared" si="20"/>
        <v>0.12043222923612458</v>
      </c>
      <c r="N38" s="194">
        <f t="shared" si="57"/>
        <v>0.90654306829426667</v>
      </c>
      <c r="O38" s="194">
        <f t="shared" si="58"/>
        <v>0.80358288917070331</v>
      </c>
      <c r="P38" s="194">
        <f t="shared" si="59"/>
        <v>0.47999673345857558</v>
      </c>
      <c r="Q38" s="194">
        <f t="shared" si="21"/>
        <v>89.158995922134935</v>
      </c>
      <c r="R38" s="194">
        <f t="shared" si="60"/>
        <v>-51.480089561781682</v>
      </c>
      <c r="S38" s="194">
        <f t="shared" si="61"/>
        <v>85.309266967138214</v>
      </c>
      <c r="T38" s="193"/>
      <c r="U38" s="193"/>
      <c r="V38" s="193"/>
      <c r="W38" s="193"/>
      <c r="X38" s="193"/>
      <c r="Y38" s="193"/>
      <c r="Z38" s="193"/>
      <c r="AA38" s="193"/>
      <c r="AB38" s="195">
        <f t="shared" si="62"/>
        <v>142.50318050000001</v>
      </c>
      <c r="AC38" s="195">
        <f t="shared" si="63"/>
        <v>203.52045899999999</v>
      </c>
      <c r="AD38" s="195">
        <f t="shared" si="64"/>
        <v>31.690108500000001</v>
      </c>
      <c r="AE38" s="195"/>
      <c r="AF38" s="195"/>
      <c r="AG38" s="190">
        <v>68.873999999999995</v>
      </c>
      <c r="AH38" s="196">
        <v>0.39606573</v>
      </c>
      <c r="AI38" s="196">
        <v>0.52772343799999999</v>
      </c>
      <c r="AJ38" s="202">
        <v>207</v>
      </c>
      <c r="AK38" s="202">
        <v>230</v>
      </c>
      <c r="AL38" s="202">
        <v>49</v>
      </c>
      <c r="AM38" s="197">
        <f t="shared" si="22"/>
        <v>0.64897395857321627</v>
      </c>
      <c r="AN38" s="197">
        <f t="shared" si="23"/>
        <v>0.80688510595100582</v>
      </c>
      <c r="AO38" s="197">
        <f t="shared" si="24"/>
        <v>4.105674085076895E-2</v>
      </c>
      <c r="AP38" s="194">
        <f t="shared" si="25"/>
        <v>0.56358971612723785</v>
      </c>
      <c r="AQ38" s="194">
        <f t="shared" si="26"/>
        <v>0.71802038805825064</v>
      </c>
      <c r="AR38" s="194">
        <f t="shared" si="27"/>
        <v>0.14773033420847886</v>
      </c>
      <c r="AS38" s="197">
        <f t="shared" si="28"/>
        <v>0.8954587654821885</v>
      </c>
      <c r="AT38" s="197">
        <f t="shared" si="29"/>
        <v>0.83747662388697142</v>
      </c>
      <c r="AU38" s="197">
        <f t="shared" si="30"/>
        <v>0.51382346502987553</v>
      </c>
      <c r="AV38" s="196">
        <f t="shared" si="31"/>
        <v>87.873216795933871</v>
      </c>
      <c r="AW38" s="196">
        <f t="shared" si="32"/>
        <v>-28.991070797608543</v>
      </c>
      <c r="AX38" s="196">
        <f t="shared" si="33"/>
        <v>76.327060090462595</v>
      </c>
      <c r="AY38" s="196">
        <f t="shared" si="34"/>
        <v>24.250551196047169</v>
      </c>
      <c r="AZ38" s="190">
        <v>68.873999999999995</v>
      </c>
      <c r="BA38" s="210">
        <v>0.34543950861581602</v>
      </c>
      <c r="BB38" s="210">
        <v>0.56489733436235201</v>
      </c>
      <c r="BC38" s="204">
        <v>174</v>
      </c>
      <c r="BD38" s="204">
        <v>242</v>
      </c>
      <c r="BE38" s="204">
        <v>56</v>
      </c>
      <c r="BF38" s="186"/>
      <c r="BG38" s="204">
        <f t="shared" si="35"/>
        <v>131.52173913043478</v>
      </c>
      <c r="BH38" s="204">
        <f t="shared" si="53"/>
        <v>260.97826086956525</v>
      </c>
      <c r="BI38" s="204">
        <f t="shared" si="55"/>
        <v>2.0408163265306123</v>
      </c>
      <c r="BJ38" s="186">
        <f t="shared" si="65"/>
        <v>0.25885803343261687</v>
      </c>
      <c r="BK38" s="186">
        <f t="shared" si="66"/>
        <v>1.0495410937666425</v>
      </c>
      <c r="BL38" s="186">
        <f t="shared" si="67"/>
        <v>6.1944282356905616E-4</v>
      </c>
      <c r="BM38" s="186">
        <f t="shared" si="36"/>
        <v>0.48218075754821671</v>
      </c>
      <c r="BN38" s="186">
        <f t="shared" si="37"/>
        <v>0.80570973194153872</v>
      </c>
      <c r="BO38" s="186">
        <f t="shared" si="38"/>
        <v>0.13069003882603569</v>
      </c>
      <c r="BP38" s="186">
        <f t="shared" si="39"/>
        <v>0.93052105227105886</v>
      </c>
      <c r="BQ38" s="186">
        <f t="shared" si="40"/>
        <v>0.79503875373513144</v>
      </c>
      <c r="BR38" s="186">
        <f t="shared" si="41"/>
        <v>0.49325504482224269</v>
      </c>
      <c r="BS38" s="186">
        <f t="shared" si="42"/>
        <v>91.940442063442831</v>
      </c>
      <c r="BT38" s="186">
        <f t="shared" si="43"/>
        <v>-67.741149267963706</v>
      </c>
      <c r="BU38" s="186">
        <f t="shared" si="44"/>
        <v>87.453201489763231</v>
      </c>
      <c r="BV38" s="204">
        <v>36</v>
      </c>
      <c r="BW38" s="190">
        <v>68.873999999999995</v>
      </c>
      <c r="BX38" s="186">
        <v>0.34010718391412798</v>
      </c>
      <c r="BY38" s="186">
        <v>0.57253163591278999</v>
      </c>
      <c r="BZ38" s="204">
        <v>170</v>
      </c>
      <c r="CA38" s="204">
        <v>243</v>
      </c>
      <c r="CB38" s="204">
        <v>52</v>
      </c>
      <c r="CC38" s="186">
        <f t="shared" si="45"/>
        <v>-1.071839141279507E-4</v>
      </c>
      <c r="CD38" s="186">
        <f t="shared" si="46"/>
        <v>2.3468364087209981E-2</v>
      </c>
      <c r="CE38" s="186"/>
      <c r="CF38" s="186"/>
      <c r="CG38" s="186"/>
      <c r="CH38" s="204">
        <f t="shared" si="47"/>
        <v>39.45652173913043</v>
      </c>
      <c r="CI38" s="204">
        <f t="shared" si="48"/>
        <v>78.293478260869577</v>
      </c>
      <c r="CJ38" s="204">
        <f t="shared" si="49"/>
        <v>0.61224489795918369</v>
      </c>
      <c r="CK38" s="211">
        <f t="shared" si="12"/>
        <v>37.415667166416789</v>
      </c>
      <c r="CL38" s="211">
        <f t="shared" si="54"/>
        <v>79.264058569888633</v>
      </c>
      <c r="CM38" s="211">
        <f t="shared" si="56"/>
        <v>0.10932944606413994</v>
      </c>
      <c r="CN38" s="205">
        <f t="shared" si="50"/>
        <v>63.606634182908536</v>
      </c>
      <c r="CO38" s="205">
        <f t="shared" si="51"/>
        <v>134.74889956881069</v>
      </c>
      <c r="CP38" s="205">
        <f t="shared" si="52"/>
        <v>0.1858600583090379</v>
      </c>
    </row>
    <row r="39" spans="1:94">
      <c r="A39" s="190">
        <v>37</v>
      </c>
      <c r="B39" s="190">
        <v>70.039000000000001</v>
      </c>
      <c r="C39" s="190">
        <v>0.32400000000000001</v>
      </c>
      <c r="D39" s="190">
        <v>0.60799999999999998</v>
      </c>
      <c r="E39" s="193">
        <v>155</v>
      </c>
      <c r="F39" s="193">
        <v>250</v>
      </c>
      <c r="G39" s="193">
        <v>20</v>
      </c>
      <c r="H39" s="193">
        <f t="shared" si="15"/>
        <v>0.35970648697432933</v>
      </c>
      <c r="I39" s="193">
        <f t="shared" si="16"/>
        <v>0.95956700166791176</v>
      </c>
      <c r="J39" s="193">
        <f t="shared" si="17"/>
        <v>1.0578207611479196E-2</v>
      </c>
      <c r="K39" s="194">
        <f t="shared" si="18"/>
        <v>0.49339348149853063</v>
      </c>
      <c r="L39" s="194">
        <f t="shared" si="19"/>
        <v>0.76351966531318161</v>
      </c>
      <c r="M39" s="194">
        <f t="shared" si="20"/>
        <v>0.13137730813213061</v>
      </c>
      <c r="N39" s="194">
        <f t="shared" si="57"/>
        <v>0.91398712022335005</v>
      </c>
      <c r="O39" s="194">
        <f t="shared" si="58"/>
        <v>0.80115425351736802</v>
      </c>
      <c r="P39" s="194">
        <f t="shared" si="59"/>
        <v>0.49411817243246869</v>
      </c>
      <c r="Q39" s="194">
        <f t="shared" si="21"/>
        <v>90.022505945908605</v>
      </c>
      <c r="R39" s="194">
        <f t="shared" si="60"/>
        <v>-56.416433352991014</v>
      </c>
      <c r="S39" s="194">
        <f t="shared" si="61"/>
        <v>83.973789558176264</v>
      </c>
      <c r="T39" s="193"/>
      <c r="U39" s="193"/>
      <c r="V39" s="193"/>
      <c r="W39" s="193"/>
      <c r="X39" s="193"/>
      <c r="Y39" s="193"/>
      <c r="Z39" s="193"/>
      <c r="AA39" s="193"/>
      <c r="AB39" s="195">
        <f t="shared" si="62"/>
        <v>139.54549349999999</v>
      </c>
      <c r="AC39" s="195">
        <f t="shared" si="63"/>
        <v>204.43617650000002</v>
      </c>
      <c r="AD39" s="195">
        <f t="shared" si="64"/>
        <v>41.684286499999999</v>
      </c>
      <c r="AE39" s="195"/>
      <c r="AF39" s="195"/>
      <c r="AG39" s="190">
        <v>70.039000000000001</v>
      </c>
      <c r="AH39" s="196">
        <v>0.37678262499999998</v>
      </c>
      <c r="AI39" s="196">
        <v>0.52892906500000003</v>
      </c>
      <c r="AJ39" s="202">
        <v>199</v>
      </c>
      <c r="AK39" s="202">
        <v>235</v>
      </c>
      <c r="AL39" s="202">
        <v>65</v>
      </c>
      <c r="AM39" s="197">
        <f t="shared" si="22"/>
        <v>0.59841635515524316</v>
      </c>
      <c r="AN39" s="197">
        <f t="shared" si="23"/>
        <v>0.84370510936906873</v>
      </c>
      <c r="AO39" s="197">
        <f t="shared" si="24"/>
        <v>6.7536430285078594E-2</v>
      </c>
      <c r="AP39" s="194">
        <f t="shared" si="25"/>
        <v>0.56068617764285789</v>
      </c>
      <c r="AQ39" s="194">
        <f t="shared" si="26"/>
        <v>0.73551734159334525</v>
      </c>
      <c r="AR39" s="194">
        <f t="shared" si="27"/>
        <v>0.17631246167725639</v>
      </c>
      <c r="AS39" s="197">
        <f t="shared" si="28"/>
        <v>0.90267408047920816</v>
      </c>
      <c r="AT39" s="197">
        <f t="shared" si="29"/>
        <v>0.83603595799845509</v>
      </c>
      <c r="AU39" s="197">
        <f t="shared" si="30"/>
        <v>0.54502745078423442</v>
      </c>
      <c r="AV39" s="196">
        <f t="shared" si="31"/>
        <v>88.710193335588144</v>
      </c>
      <c r="AW39" s="196">
        <f t="shared" si="32"/>
        <v>-33.319061240376534</v>
      </c>
      <c r="AX39" s="196">
        <f t="shared" si="33"/>
        <v>71.529325938994745</v>
      </c>
      <c r="AY39" s="196">
        <f t="shared" si="34"/>
        <v>26.26928696529313</v>
      </c>
      <c r="AZ39" s="190">
        <v>70.039000000000001</v>
      </c>
      <c r="BA39" s="210">
        <v>0.32969379772073698</v>
      </c>
      <c r="BB39" s="210">
        <v>0.57148243478514404</v>
      </c>
      <c r="BC39" s="204">
        <v>166</v>
      </c>
      <c r="BD39" s="204">
        <v>246</v>
      </c>
      <c r="BE39" s="204">
        <v>63</v>
      </c>
      <c r="BF39" s="186"/>
      <c r="BG39" s="204">
        <f t="shared" si="35"/>
        <v>120.72864321608041</v>
      </c>
      <c r="BH39" s="204">
        <f t="shared" si="53"/>
        <v>265.95744680851061</v>
      </c>
      <c r="BI39" s="204">
        <f t="shared" si="55"/>
        <v>6.1538461538461542</v>
      </c>
      <c r="BJ39" s="186">
        <f t="shared" si="65"/>
        <v>0.21849692346892319</v>
      </c>
      <c r="BK39" s="186">
        <f t="shared" si="66"/>
        <v>1.0918021920748726</v>
      </c>
      <c r="BL39" s="186">
        <f t="shared" si="67"/>
        <v>1.8678583603005386E-3</v>
      </c>
      <c r="BM39" s="186">
        <f t="shared" si="36"/>
        <v>0.48087374355859258</v>
      </c>
      <c r="BN39" s="186">
        <f t="shared" si="37"/>
        <v>0.82744423307505555</v>
      </c>
      <c r="BO39" s="186">
        <f t="shared" si="38"/>
        <v>0.13613521128974071</v>
      </c>
      <c r="BP39" s="186">
        <f t="shared" si="39"/>
        <v>0.9388140442274806</v>
      </c>
      <c r="BQ39" s="186">
        <f t="shared" si="40"/>
        <v>0.79431975152837064</v>
      </c>
      <c r="BR39" s="186">
        <f t="shared" si="41"/>
        <v>0.50001250203173708</v>
      </c>
      <c r="BS39" s="186">
        <f t="shared" si="42"/>
        <v>92.902429130387745</v>
      </c>
      <c r="BT39" s="186">
        <f t="shared" si="43"/>
        <v>-72.247146349554981</v>
      </c>
      <c r="BU39" s="186">
        <f t="shared" si="44"/>
        <v>87.760308439148702</v>
      </c>
      <c r="BV39" s="204">
        <v>37</v>
      </c>
      <c r="BW39" s="190">
        <v>70.039000000000001</v>
      </c>
      <c r="BX39" s="186">
        <v>0.321154055676243</v>
      </c>
      <c r="BY39" s="186">
        <v>0.58609981089501695</v>
      </c>
      <c r="BZ39" s="204">
        <v>158</v>
      </c>
      <c r="CA39" s="204">
        <v>249</v>
      </c>
      <c r="CB39" s="204">
        <v>56</v>
      </c>
      <c r="CC39" s="186">
        <f t="shared" si="45"/>
        <v>2.8459443237570103E-3</v>
      </c>
      <c r="CD39" s="186">
        <f t="shared" si="46"/>
        <v>2.1900189104983037E-2</v>
      </c>
      <c r="CE39" s="186"/>
      <c r="CF39" s="186"/>
      <c r="CG39" s="186"/>
      <c r="CH39" s="204">
        <f t="shared" si="47"/>
        <v>36.218592964824126</v>
      </c>
      <c r="CI39" s="204">
        <f t="shared" si="48"/>
        <v>79.78723404255318</v>
      </c>
      <c r="CJ39" s="204">
        <f t="shared" si="49"/>
        <v>1.8461538461538463</v>
      </c>
      <c r="CK39" s="211">
        <f t="shared" si="12"/>
        <v>33.818565720167101</v>
      </c>
      <c r="CL39" s="211">
        <f t="shared" si="54"/>
        <v>81.084587441619092</v>
      </c>
      <c r="CM39" s="211">
        <f t="shared" si="56"/>
        <v>0.58608058608058611</v>
      </c>
      <c r="CN39" s="205">
        <f t="shared" si="50"/>
        <v>57.491561724284068</v>
      </c>
      <c r="CO39" s="205">
        <f t="shared" si="51"/>
        <v>137.84379865075246</v>
      </c>
      <c r="CP39" s="205">
        <f t="shared" si="52"/>
        <v>0.99633699633699635</v>
      </c>
    </row>
    <row r="40" spans="1:94">
      <c r="A40" s="190">
        <v>38</v>
      </c>
      <c r="B40" s="190">
        <v>71.454999999999998</v>
      </c>
      <c r="C40" s="190">
        <v>0.30399999999999999</v>
      </c>
      <c r="D40" s="190">
        <v>0.61199999999999999</v>
      </c>
      <c r="E40" s="193">
        <v>145</v>
      </c>
      <c r="F40" s="193">
        <v>255</v>
      </c>
      <c r="G40" s="193">
        <v>40</v>
      </c>
      <c r="H40" s="193">
        <f t="shared" si="15"/>
        <v>0.31454304097863306</v>
      </c>
      <c r="I40" s="193">
        <f t="shared" si="16"/>
        <v>1</v>
      </c>
      <c r="J40" s="193">
        <f t="shared" si="17"/>
        <v>2.9252615183274946E-2</v>
      </c>
      <c r="K40" s="194">
        <f t="shared" si="18"/>
        <v>0.49259764714016935</v>
      </c>
      <c r="L40" s="194">
        <f t="shared" si="19"/>
        <v>0.78418388932828975</v>
      </c>
      <c r="M40" s="194">
        <f t="shared" si="20"/>
        <v>0.15307529142259046</v>
      </c>
      <c r="N40" s="194">
        <f t="shared" si="57"/>
        <v>0.92215934546578149</v>
      </c>
      <c r="O40" s="194">
        <f t="shared" si="58"/>
        <v>0.80072327282447187</v>
      </c>
      <c r="P40" s="194">
        <f t="shared" si="59"/>
        <v>0.51994699397782129</v>
      </c>
      <c r="Q40" s="194">
        <f t="shared" si="21"/>
        <v>90.970484074030651</v>
      </c>
      <c r="R40" s="194">
        <f t="shared" si="60"/>
        <v>-60.718036320654811</v>
      </c>
      <c r="S40" s="194">
        <f t="shared" si="61"/>
        <v>80.442470297592038</v>
      </c>
      <c r="T40" s="193"/>
      <c r="U40" s="193"/>
      <c r="V40" s="193"/>
      <c r="W40" s="193"/>
      <c r="X40" s="193"/>
      <c r="Y40" s="193"/>
      <c r="Z40" s="193"/>
      <c r="AA40" s="193"/>
      <c r="AB40" s="195">
        <f t="shared" si="62"/>
        <v>138.46965850000001</v>
      </c>
      <c r="AC40" s="195">
        <f t="shared" si="63"/>
        <v>206.104635</v>
      </c>
      <c r="AD40" s="195">
        <f t="shared" si="64"/>
        <v>61.589549500000004</v>
      </c>
      <c r="AE40" s="195"/>
      <c r="AF40" s="195"/>
      <c r="AG40" s="190">
        <v>71.454999999999998</v>
      </c>
      <c r="AH40" s="196">
        <v>0.35840368299999997</v>
      </c>
      <c r="AI40" s="196">
        <v>0.51991219300000002</v>
      </c>
      <c r="AJ40" s="202">
        <v>193</v>
      </c>
      <c r="AK40" s="202">
        <v>239</v>
      </c>
      <c r="AL40" s="202">
        <v>86</v>
      </c>
      <c r="AM40" s="197">
        <f t="shared" si="22"/>
        <v>0.56196120767129998</v>
      </c>
      <c r="AN40" s="197">
        <f t="shared" si="23"/>
        <v>0.87380745497841539</v>
      </c>
      <c r="AO40" s="197">
        <f t="shared" si="24"/>
        <v>0.11342140530987536</v>
      </c>
      <c r="AP40" s="194">
        <f t="shared" si="25"/>
        <v>0.56469891160235797</v>
      </c>
      <c r="AQ40" s="194">
        <f t="shared" si="26"/>
        <v>0.752609070014854</v>
      </c>
      <c r="AR40" s="194">
        <f t="shared" si="27"/>
        <v>0.22281074568851972</v>
      </c>
      <c r="AS40" s="197">
        <f t="shared" si="28"/>
        <v>0.90961263149562555</v>
      </c>
      <c r="AT40" s="197">
        <f t="shared" si="29"/>
        <v>0.8380256737351448</v>
      </c>
      <c r="AU40" s="197">
        <f t="shared" si="30"/>
        <v>0.58925428693792614</v>
      </c>
      <c r="AV40" s="196">
        <f t="shared" si="31"/>
        <v>89.515065253492565</v>
      </c>
      <c r="AW40" s="196">
        <f t="shared" si="32"/>
        <v>-35.793478880240372</v>
      </c>
      <c r="AX40" s="196">
        <f t="shared" si="33"/>
        <v>64.071668911539888</v>
      </c>
      <c r="AY40" s="196">
        <f t="shared" si="34"/>
        <v>29.855568083110764</v>
      </c>
      <c r="AZ40" s="190">
        <v>71.454999999999998</v>
      </c>
      <c r="BA40" s="210">
        <v>0.30638062851826597</v>
      </c>
      <c r="BB40" s="210">
        <v>0.55785028135745696</v>
      </c>
      <c r="BC40" s="204">
        <v>155</v>
      </c>
      <c r="BD40" s="204">
        <v>251</v>
      </c>
      <c r="BE40" s="204">
        <v>88</v>
      </c>
      <c r="BF40" s="186"/>
      <c r="BG40" s="204">
        <f t="shared" si="35"/>
        <v>108.93782383419689</v>
      </c>
      <c r="BH40" s="204">
        <f t="shared" si="53"/>
        <v>272.07112970711296</v>
      </c>
      <c r="BI40" s="204">
        <f t="shared" si="55"/>
        <v>18.604651162790699</v>
      </c>
      <c r="BJ40" s="186">
        <f t="shared" si="65"/>
        <v>0.17863173391477974</v>
      </c>
      <c r="BK40" s="186">
        <f t="shared" si="66"/>
        <v>1.1449395401550959</v>
      </c>
      <c r="BL40" s="186">
        <f t="shared" si="67"/>
        <v>9.6472501489080417E-3</v>
      </c>
      <c r="BM40" s="186">
        <f t="shared" si="36"/>
        <v>0.48483943527779538</v>
      </c>
      <c r="BN40" s="186">
        <f t="shared" si="37"/>
        <v>0.85753439720995794</v>
      </c>
      <c r="BO40" s="186">
        <f t="shared" si="38"/>
        <v>0.14909409691757977</v>
      </c>
      <c r="BP40" s="186">
        <f t="shared" si="39"/>
        <v>0.95005886882104174</v>
      </c>
      <c r="BQ40" s="186">
        <f t="shared" si="40"/>
        <v>0.79649732065551471</v>
      </c>
      <c r="BR40" s="186">
        <f t="shared" si="41"/>
        <v>0.51539973352352808</v>
      </c>
      <c r="BS40" s="186">
        <f t="shared" si="42"/>
        <v>94.206828783240837</v>
      </c>
      <c r="BT40" s="186">
        <f t="shared" si="43"/>
        <v>-76.780774082763514</v>
      </c>
      <c r="BU40" s="186">
        <f t="shared" si="44"/>
        <v>86.931827059502737</v>
      </c>
      <c r="BV40" s="204">
        <v>38</v>
      </c>
      <c r="BW40" s="190">
        <v>71.454999999999998</v>
      </c>
      <c r="BX40" s="186">
        <v>0.30299286394192199</v>
      </c>
      <c r="BY40" s="186">
        <v>0.58672887455717504</v>
      </c>
      <c r="BZ40" s="204">
        <v>148</v>
      </c>
      <c r="CA40" s="204">
        <v>254</v>
      </c>
      <c r="CB40" s="204">
        <v>69</v>
      </c>
      <c r="CC40" s="186">
        <f t="shared" si="45"/>
        <v>1.0071360580780064E-3</v>
      </c>
      <c r="CD40" s="186">
        <f t="shared" si="46"/>
        <v>2.5271125442824949E-2</v>
      </c>
      <c r="CE40" s="186"/>
      <c r="CF40" s="186"/>
      <c r="CG40" s="186"/>
      <c r="CH40" s="204">
        <f t="shared" si="47"/>
        <v>32.681347150259064</v>
      </c>
      <c r="CI40" s="204">
        <f t="shared" si="48"/>
        <v>81.621338912133879</v>
      </c>
      <c r="CJ40" s="204">
        <f t="shared" si="49"/>
        <v>5.5813953488372094</v>
      </c>
      <c r="CK40" s="211">
        <f t="shared" si="12"/>
        <v>30.57287314056493</v>
      </c>
      <c r="CL40" s="211">
        <f t="shared" si="54"/>
        <v>82.922077380853139</v>
      </c>
      <c r="CM40" s="211">
        <f t="shared" si="56"/>
        <v>2.536997885835095</v>
      </c>
      <c r="CN40" s="205">
        <f t="shared" si="50"/>
        <v>51.973884338960382</v>
      </c>
      <c r="CO40" s="205">
        <f t="shared" si="51"/>
        <v>140.96753154745033</v>
      </c>
      <c r="CP40" s="205">
        <f t="shared" si="52"/>
        <v>4.3128964059196617</v>
      </c>
    </row>
    <row r="41" spans="1:94">
      <c r="A41" s="190">
        <v>39</v>
      </c>
      <c r="B41" s="190">
        <v>70.39</v>
      </c>
      <c r="C41" s="190">
        <v>0.28800000000000003</v>
      </c>
      <c r="D41" s="190">
        <v>0.60799999999999998</v>
      </c>
      <c r="E41" s="193">
        <v>135</v>
      </c>
      <c r="F41" s="193">
        <v>255</v>
      </c>
      <c r="G41" s="193">
        <v>60</v>
      </c>
      <c r="H41" s="193">
        <f t="shared" si="15"/>
        <v>0.27266304406606784</v>
      </c>
      <c r="I41" s="193">
        <f t="shared" si="16"/>
        <v>1</v>
      </c>
      <c r="J41" s="193">
        <f t="shared" si="17"/>
        <v>5.8490954313653663E-2</v>
      </c>
      <c r="K41" s="194">
        <f t="shared" si="18"/>
        <v>0.48060385662646082</v>
      </c>
      <c r="L41" s="194">
        <f t="shared" si="19"/>
        <v>0.77739121006989176</v>
      </c>
      <c r="M41" s="194">
        <f t="shared" si="20"/>
        <v>0.18005804882560292</v>
      </c>
      <c r="N41" s="194">
        <f t="shared" si="57"/>
        <v>0.91948900816492951</v>
      </c>
      <c r="O41" s="194">
        <f t="shared" si="58"/>
        <v>0.79417112163537973</v>
      </c>
      <c r="P41" s="194">
        <f t="shared" si="59"/>
        <v>0.54885996464321851</v>
      </c>
      <c r="Q41" s="194">
        <f t="shared" si="21"/>
        <v>90.660724947131826</v>
      </c>
      <c r="R41" s="194">
        <f t="shared" si="60"/>
        <v>-62.658943264774891</v>
      </c>
      <c r="S41" s="194">
        <f t="shared" si="61"/>
        <v>74.125808704342205</v>
      </c>
      <c r="T41" s="193"/>
      <c r="U41" s="193"/>
      <c r="V41" s="193"/>
      <c r="W41" s="193"/>
      <c r="X41" s="193"/>
      <c r="Y41" s="193"/>
      <c r="Z41" s="193"/>
      <c r="AA41" s="193"/>
      <c r="AB41" s="195">
        <f t="shared" si="62"/>
        <v>136.46605349999999</v>
      </c>
      <c r="AC41" s="195">
        <f t="shared" si="63"/>
        <v>204.636348</v>
      </c>
      <c r="AD41" s="195">
        <f t="shared" si="64"/>
        <v>81.141376500000007</v>
      </c>
      <c r="AE41" s="195"/>
      <c r="AF41" s="195"/>
      <c r="AG41" s="190">
        <v>70.39</v>
      </c>
      <c r="AH41" s="196">
        <v>0.332685603</v>
      </c>
      <c r="AI41" s="196">
        <v>0.49908717200000002</v>
      </c>
      <c r="AJ41" s="202">
        <v>183</v>
      </c>
      <c r="AK41" s="202">
        <v>240</v>
      </c>
      <c r="AL41" s="202">
        <v>112</v>
      </c>
      <c r="AM41" s="197">
        <f t="shared" si="22"/>
        <v>0.5039681974179786</v>
      </c>
      <c r="AN41" s="197">
        <f t="shared" si="23"/>
        <v>0.88142305085254469</v>
      </c>
      <c r="AO41" s="197">
        <f t="shared" si="24"/>
        <v>0.18856493914785125</v>
      </c>
      <c r="AP41" s="194">
        <f t="shared" si="25"/>
        <v>0.55706933911623158</v>
      </c>
      <c r="AQ41" s="194">
        <f t="shared" si="26"/>
        <v>0.75115179334727711</v>
      </c>
      <c r="AR41" s="194">
        <f t="shared" si="27"/>
        <v>0.29402318853182291</v>
      </c>
      <c r="AS41" s="197">
        <f t="shared" si="28"/>
        <v>0.90902515795525618</v>
      </c>
      <c r="AT41" s="197">
        <f t="shared" si="29"/>
        <v>0.83423439620249007</v>
      </c>
      <c r="AU41" s="197">
        <f t="shared" si="30"/>
        <v>0.64632541603019189</v>
      </c>
      <c r="AV41" s="196">
        <f t="shared" si="31"/>
        <v>89.446918322809722</v>
      </c>
      <c r="AW41" s="196">
        <f t="shared" si="32"/>
        <v>-37.395380876383058</v>
      </c>
      <c r="AX41" s="196">
        <f t="shared" si="33"/>
        <v>52.539948385012856</v>
      </c>
      <c r="AY41" s="196">
        <f t="shared" si="34"/>
        <v>33.251620664247504</v>
      </c>
      <c r="AZ41" s="190">
        <v>70.39</v>
      </c>
      <c r="BA41" s="210">
        <v>0.28823169202068899</v>
      </c>
      <c r="BB41" s="210">
        <v>0.54068930582710695</v>
      </c>
      <c r="BC41" s="204">
        <v>145</v>
      </c>
      <c r="BD41" s="204">
        <v>251</v>
      </c>
      <c r="BE41" s="204">
        <v>107</v>
      </c>
      <c r="BF41" s="186"/>
      <c r="BG41" s="204">
        <f t="shared" si="35"/>
        <v>99.590163934426229</v>
      </c>
      <c r="BH41" s="204">
        <f t="shared" si="53"/>
        <v>270.9375</v>
      </c>
      <c r="BI41" s="204">
        <f t="shared" si="55"/>
        <v>32.142857142857139</v>
      </c>
      <c r="BJ41" s="186">
        <f t="shared" si="65"/>
        <v>0.15011222099852317</v>
      </c>
      <c r="BK41" s="186">
        <f t="shared" si="66"/>
        <v>1.1349824829279662</v>
      </c>
      <c r="BL41" s="186">
        <f t="shared" si="67"/>
        <v>2.0701583672117024E-2</v>
      </c>
      <c r="BM41" s="186">
        <f t="shared" si="36"/>
        <v>0.47151265168764878</v>
      </c>
      <c r="BN41" s="186">
        <f t="shared" si="37"/>
        <v>0.84514798431549421</v>
      </c>
      <c r="BO41" s="186">
        <f t="shared" si="38"/>
        <v>0.15786393311063232</v>
      </c>
      <c r="BP41" s="186">
        <f t="shared" si="39"/>
        <v>0.94546238089814949</v>
      </c>
      <c r="BQ41" s="186">
        <f t="shared" si="40"/>
        <v>0.78913164077691622</v>
      </c>
      <c r="BR41" s="186">
        <f t="shared" si="41"/>
        <v>0.52531323935274299</v>
      </c>
      <c r="BS41" s="186">
        <f t="shared" si="42"/>
        <v>93.673636184185341</v>
      </c>
      <c r="BT41" s="186">
        <f t="shared" si="43"/>
        <v>-78.165370060616638</v>
      </c>
      <c r="BU41" s="186">
        <f t="shared" si="44"/>
        <v>84.029828309081296</v>
      </c>
      <c r="BV41" s="204">
        <v>39</v>
      </c>
      <c r="BW41" s="190">
        <v>70.39</v>
      </c>
      <c r="BX41" s="186">
        <v>0.28625115558884801</v>
      </c>
      <c r="BY41" s="186">
        <v>0.57663531038179106</v>
      </c>
      <c r="BZ41" s="204">
        <v>137</v>
      </c>
      <c r="CA41" s="204">
        <v>254</v>
      </c>
      <c r="CB41" s="204">
        <v>86</v>
      </c>
      <c r="CC41" s="186">
        <f t="shared" si="45"/>
        <v>1.7488444111520285E-3</v>
      </c>
      <c r="CD41" s="186">
        <f t="shared" si="46"/>
        <v>3.136468961820893E-2</v>
      </c>
      <c r="CE41" s="186"/>
      <c r="CF41" s="186"/>
      <c r="CG41" s="186"/>
      <c r="CH41" s="204">
        <f t="shared" si="47"/>
        <v>29.877049180327866</v>
      </c>
      <c r="CI41" s="204">
        <f t="shared" si="48"/>
        <v>81.28125</v>
      </c>
      <c r="CJ41" s="204">
        <f t="shared" si="49"/>
        <v>9.6428571428571406</v>
      </c>
      <c r="CK41" s="211">
        <f t="shared" si="12"/>
        <v>27.816563029960427</v>
      </c>
      <c r="CL41" s="211">
        <f t="shared" si="54"/>
        <v>82.576568725099605</v>
      </c>
      <c r="CM41" s="211">
        <f t="shared" si="56"/>
        <v>5.4072096128170877</v>
      </c>
      <c r="CN41" s="205">
        <f t="shared" si="50"/>
        <v>47.288157150932726</v>
      </c>
      <c r="CO41" s="205">
        <f t="shared" si="51"/>
        <v>140.38016683266932</v>
      </c>
      <c r="CP41" s="205">
        <f t="shared" si="52"/>
        <v>9.192256341789049</v>
      </c>
    </row>
    <row r="42" spans="1:94">
      <c r="A42" s="190">
        <v>40</v>
      </c>
      <c r="B42" s="190">
        <v>66.849000000000004</v>
      </c>
      <c r="C42" s="190">
        <v>0.27600000000000002</v>
      </c>
      <c r="D42" s="190">
        <v>0.59199999999999997</v>
      </c>
      <c r="E42" s="193">
        <v>125</v>
      </c>
      <c r="F42" s="193">
        <v>250</v>
      </c>
      <c r="G42" s="193">
        <v>80</v>
      </c>
      <c r="H42" s="193">
        <f t="shared" si="15"/>
        <v>0.23402409804507437</v>
      </c>
      <c r="I42" s="193">
        <f t="shared" si="16"/>
        <v>0.95956700166791176</v>
      </c>
      <c r="J42" s="193">
        <f t="shared" si="17"/>
        <v>9.8990050192327761E-2</v>
      </c>
      <c r="K42" s="194">
        <f t="shared" si="18"/>
        <v>0.45752040188994902</v>
      </c>
      <c r="L42" s="194">
        <f t="shared" si="19"/>
        <v>0.74318292446115941</v>
      </c>
      <c r="M42" s="194">
        <f t="shared" si="20"/>
        <v>0.21298709439889255</v>
      </c>
      <c r="N42" s="194">
        <f t="shared" si="57"/>
        <v>0.90579914738157985</v>
      </c>
      <c r="O42" s="194">
        <f t="shared" si="58"/>
        <v>0.78124723864109713</v>
      </c>
      <c r="P42" s="194">
        <f t="shared" si="59"/>
        <v>0.58046379433730677</v>
      </c>
      <c r="Q42" s="194">
        <f t="shared" si="21"/>
        <v>89.072701096263259</v>
      </c>
      <c r="R42" s="194">
        <f t="shared" si="60"/>
        <v>-62.275954370241358</v>
      </c>
      <c r="S42" s="194">
        <f t="shared" si="61"/>
        <v>65.067070608854621</v>
      </c>
      <c r="T42" s="193"/>
      <c r="U42" s="193"/>
      <c r="V42" s="193"/>
      <c r="W42" s="193"/>
      <c r="X42" s="193"/>
      <c r="Y42" s="193"/>
      <c r="Z42" s="193"/>
      <c r="AA42" s="193"/>
      <c r="AB42" s="195">
        <f t="shared" si="62"/>
        <v>133.53467849999998</v>
      </c>
      <c r="AC42" s="195">
        <f t="shared" si="63"/>
        <v>200.03131550000001</v>
      </c>
      <c r="AD42" s="195">
        <f t="shared" si="64"/>
        <v>100.33976749999999</v>
      </c>
      <c r="AE42" s="195"/>
      <c r="AF42" s="195"/>
      <c r="AG42" s="190">
        <v>66.849000000000004</v>
      </c>
      <c r="AH42" s="196">
        <v>0.31193836400000002</v>
      </c>
      <c r="AI42" s="196">
        <v>0.47666326199999998</v>
      </c>
      <c r="AJ42" s="202">
        <v>171</v>
      </c>
      <c r="AK42" s="202">
        <v>236</v>
      </c>
      <c r="AL42" s="202">
        <v>130</v>
      </c>
      <c r="AM42" s="197">
        <f t="shared" si="22"/>
        <v>0.4388974930461354</v>
      </c>
      <c r="AN42" s="197">
        <f t="shared" si="23"/>
        <v>0.85117674732302639</v>
      </c>
      <c r="AO42" s="197">
        <f t="shared" si="24"/>
        <v>0.25294117776743769</v>
      </c>
      <c r="AP42" s="194">
        <f t="shared" si="25"/>
        <v>0.53103801356196301</v>
      </c>
      <c r="AQ42" s="194">
        <f t="shared" si="26"/>
        <v>0.72033356974184592</v>
      </c>
      <c r="AR42" s="194">
        <f t="shared" si="27"/>
        <v>0.35035157936464467</v>
      </c>
      <c r="AS42" s="197">
        <f t="shared" si="28"/>
        <v>0.89641934099956033</v>
      </c>
      <c r="AT42" s="197">
        <f t="shared" si="29"/>
        <v>0.821032238689407</v>
      </c>
      <c r="AU42" s="197">
        <f t="shared" si="30"/>
        <v>0.68521269400314067</v>
      </c>
      <c r="AV42" s="196">
        <f t="shared" si="31"/>
        <v>87.984643555948992</v>
      </c>
      <c r="AW42" s="196">
        <f t="shared" si="32"/>
        <v>-37.693551155076662</v>
      </c>
      <c r="AX42" s="196">
        <f t="shared" si="33"/>
        <v>42.241329399283934</v>
      </c>
      <c r="AY42" s="196">
        <f t="shared" si="34"/>
        <v>33.563266807780614</v>
      </c>
      <c r="AZ42" s="190">
        <v>66.849000000000004</v>
      </c>
      <c r="BA42" s="210">
        <v>0.27046911721099298</v>
      </c>
      <c r="BB42" s="210">
        <v>0.51815977855367501</v>
      </c>
      <c r="BC42" s="204">
        <v>133</v>
      </c>
      <c r="BD42" s="204">
        <v>246</v>
      </c>
      <c r="BE42" s="204">
        <v>124</v>
      </c>
      <c r="BF42" s="186"/>
      <c r="BG42" s="204">
        <f t="shared" si="35"/>
        <v>91.37426900584795</v>
      </c>
      <c r="BH42" s="204">
        <f t="shared" si="53"/>
        <v>264.83050847457628</v>
      </c>
      <c r="BI42" s="204">
        <f t="shared" si="55"/>
        <v>49.230769230769234</v>
      </c>
      <c r="BJ42" s="186">
        <f t="shared" si="65"/>
        <v>0.12726204839699615</v>
      </c>
      <c r="BK42" s="186">
        <f t="shared" si="66"/>
        <v>1.0821575486782302</v>
      </c>
      <c r="BL42" s="186">
        <f t="shared" si="67"/>
        <v>4.1388196557503587E-2</v>
      </c>
      <c r="BM42" s="186">
        <f t="shared" si="36"/>
        <v>0.44693297764488571</v>
      </c>
      <c r="BN42" s="186">
        <f t="shared" si="37"/>
        <v>0.80400321809532338</v>
      </c>
      <c r="BO42" s="186">
        <f t="shared" si="38"/>
        <v>0.17078881816441424</v>
      </c>
      <c r="BP42" s="186">
        <f t="shared" si="39"/>
        <v>0.92986363210176559</v>
      </c>
      <c r="BQ42" s="186">
        <f t="shared" si="40"/>
        <v>0.77517389815985416</v>
      </c>
      <c r="BR42" s="186">
        <f t="shared" si="41"/>
        <v>0.5392752860245309</v>
      </c>
      <c r="BS42" s="186">
        <f t="shared" si="42"/>
        <v>91.864181323804814</v>
      </c>
      <c r="BT42" s="186">
        <f t="shared" si="43"/>
        <v>-77.344866970955721</v>
      </c>
      <c r="BU42" s="186">
        <f t="shared" si="44"/>
        <v>78.117669215446938</v>
      </c>
      <c r="BV42" s="204">
        <v>40</v>
      </c>
      <c r="BW42" s="190">
        <v>66.849000000000004</v>
      </c>
      <c r="BX42" s="186">
        <v>0.27366420169039801</v>
      </c>
      <c r="BY42" s="186">
        <v>0.55326338209542802</v>
      </c>
      <c r="BZ42" s="204">
        <v>130</v>
      </c>
      <c r="CA42" s="204">
        <v>248</v>
      </c>
      <c r="CB42" s="204">
        <v>104</v>
      </c>
      <c r="CC42" s="186">
        <f t="shared" si="45"/>
        <v>2.3357983096020107E-3</v>
      </c>
      <c r="CD42" s="186">
        <f t="shared" si="46"/>
        <v>3.8736617904571946E-2</v>
      </c>
      <c r="CE42" s="186"/>
      <c r="CF42" s="186"/>
      <c r="CG42" s="186"/>
      <c r="CH42" s="204">
        <f t="shared" si="47"/>
        <v>27.412280701754383</v>
      </c>
      <c r="CI42" s="204">
        <f t="shared" si="48"/>
        <v>79.449152542372886</v>
      </c>
      <c r="CJ42" s="204">
        <f t="shared" si="49"/>
        <v>14.76923076923077</v>
      </c>
      <c r="CK42" s="211">
        <f t="shared" si="12"/>
        <v>25.763421712175173</v>
      </c>
      <c r="CL42" s="211">
        <f t="shared" si="54"/>
        <v>80.741008681273271</v>
      </c>
      <c r="CM42" s="211">
        <f t="shared" si="56"/>
        <v>9.5285359801488845</v>
      </c>
      <c r="CN42" s="205">
        <f t="shared" si="50"/>
        <v>43.79781691069779</v>
      </c>
      <c r="CO42" s="205">
        <f t="shared" si="51"/>
        <v>137.25971475816456</v>
      </c>
      <c r="CP42" s="205">
        <f t="shared" si="52"/>
        <v>16.198511166253102</v>
      </c>
    </row>
    <row r="43" spans="1:94">
      <c r="A43" s="190">
        <v>41</v>
      </c>
      <c r="B43" s="190">
        <v>63.573</v>
      </c>
      <c r="C43" s="190">
        <v>0.26</v>
      </c>
      <c r="D43" s="190">
        <v>0.56400000000000006</v>
      </c>
      <c r="E43" s="193">
        <v>115</v>
      </c>
      <c r="F43" s="193">
        <v>245</v>
      </c>
      <c r="G43" s="193">
        <v>100</v>
      </c>
      <c r="H43" s="193">
        <f t="shared" si="15"/>
        <v>0.19858146069293586</v>
      </c>
      <c r="I43" s="193">
        <f t="shared" si="16"/>
        <v>0.92004250778986618</v>
      </c>
      <c r="J43" s="193">
        <f t="shared" si="17"/>
        <v>0.15130607652863209</v>
      </c>
      <c r="K43" s="194">
        <f t="shared" si="18"/>
        <v>0.43821294198884092</v>
      </c>
      <c r="L43" s="194">
        <f t="shared" si="19"/>
        <v>0.71115711883999766</v>
      </c>
      <c r="M43" s="194">
        <f t="shared" si="20"/>
        <v>0.25731811486039052</v>
      </c>
      <c r="N43" s="194">
        <f t="shared" si="57"/>
        <v>0.89259651579215227</v>
      </c>
      <c r="O43" s="194">
        <f t="shared" si="58"/>
        <v>0.77009932052103747</v>
      </c>
      <c r="P43" s="194">
        <f t="shared" si="59"/>
        <v>0.61822632462587646</v>
      </c>
      <c r="Q43" s="194">
        <f t="shared" si="21"/>
        <v>87.541195831889667</v>
      </c>
      <c r="R43" s="194">
        <f t="shared" si="60"/>
        <v>-61.248597635557402</v>
      </c>
      <c r="S43" s="194">
        <f t="shared" si="61"/>
        <v>54.874038233255163</v>
      </c>
      <c r="T43" s="193"/>
      <c r="U43" s="193"/>
      <c r="V43" s="193"/>
      <c r="W43" s="193"/>
      <c r="X43" s="193"/>
      <c r="Y43" s="193"/>
      <c r="Z43" s="193"/>
      <c r="AA43" s="193"/>
      <c r="AB43" s="195">
        <f t="shared" si="62"/>
        <v>130.60330350000001</v>
      </c>
      <c r="AC43" s="195">
        <f t="shared" si="63"/>
        <v>195.42628299999998</v>
      </c>
      <c r="AD43" s="195">
        <f t="shared" si="64"/>
        <v>119.53815850000001</v>
      </c>
      <c r="AE43" s="195"/>
      <c r="AF43" s="195"/>
      <c r="AG43" s="190">
        <v>63.573</v>
      </c>
      <c r="AH43" s="196">
        <v>0.294831118</v>
      </c>
      <c r="AI43" s="196">
        <v>0.45240318200000001</v>
      </c>
      <c r="AJ43" s="202">
        <v>161</v>
      </c>
      <c r="AK43" s="202">
        <v>231</v>
      </c>
      <c r="AL43" s="202">
        <v>146</v>
      </c>
      <c r="AM43" s="197">
        <f t="shared" si="22"/>
        <v>0.38839746060013941</v>
      </c>
      <c r="AN43" s="197">
        <f t="shared" si="23"/>
        <v>0.81417744523375957</v>
      </c>
      <c r="AO43" s="197">
        <f t="shared" si="24"/>
        <v>0.3189109496314898</v>
      </c>
      <c r="AP43" s="194">
        <f t="shared" si="25"/>
        <v>0.50888839357557381</v>
      </c>
      <c r="AQ43" s="194">
        <f t="shared" si="26"/>
        <v>0.68789837951816801</v>
      </c>
      <c r="AR43" s="194">
        <f t="shared" si="27"/>
        <v>0.40767088008617791</v>
      </c>
      <c r="AS43" s="197">
        <f t="shared" si="28"/>
        <v>0.88275752588015477</v>
      </c>
      <c r="AT43" s="197">
        <f t="shared" si="29"/>
        <v>0.80945465000263694</v>
      </c>
      <c r="AU43" s="197">
        <f t="shared" si="30"/>
        <v>0.72071009242687234</v>
      </c>
      <c r="AV43" s="196">
        <f t="shared" si="31"/>
        <v>86.399873002097948</v>
      </c>
      <c r="AW43" s="196">
        <f t="shared" si="32"/>
        <v>-36.65143793875891</v>
      </c>
      <c r="AX43" s="196">
        <f t="shared" si="33"/>
        <v>32.409486690656486</v>
      </c>
      <c r="AY43" s="196">
        <f t="shared" si="34"/>
        <v>33.331350992146781</v>
      </c>
      <c r="AZ43" s="190">
        <v>63.573</v>
      </c>
      <c r="BA43" s="210">
        <v>0.25481280690450198</v>
      </c>
      <c r="BB43" s="210">
        <v>0.49030350201693701</v>
      </c>
      <c r="BC43" s="204">
        <v>123</v>
      </c>
      <c r="BD43" s="204">
        <v>241</v>
      </c>
      <c r="BE43" s="204">
        <v>139</v>
      </c>
      <c r="BF43" s="186"/>
      <c r="BG43" s="204">
        <f t="shared" si="35"/>
        <v>82.142857142857139</v>
      </c>
      <c r="BH43" s="204">
        <f t="shared" si="53"/>
        <v>259.84848484848482</v>
      </c>
      <c r="BI43" s="204">
        <f t="shared" si="55"/>
        <v>68.493150684931507</v>
      </c>
      <c r="BJ43" s="186">
        <f t="shared" si="65"/>
        <v>0.10402124745261226</v>
      </c>
      <c r="BK43" s="186">
        <f t="shared" si="66"/>
        <v>1.0400786109908897</v>
      </c>
      <c r="BL43" s="186">
        <f t="shared" si="67"/>
        <v>7.4278831308877649E-2</v>
      </c>
      <c r="BM43" s="186">
        <f t="shared" si="36"/>
        <v>0.42823780279105184</v>
      </c>
      <c r="BN43" s="186">
        <f t="shared" si="37"/>
        <v>0.77134207140961064</v>
      </c>
      <c r="BO43" s="186">
        <f t="shared" si="38"/>
        <v>0.19658700966503767</v>
      </c>
      <c r="BP43" s="186">
        <f t="shared" si="39"/>
        <v>0.91709784568126207</v>
      </c>
      <c r="BQ43" s="186">
        <f t="shared" si="40"/>
        <v>0.76421109925607122</v>
      </c>
      <c r="BR43" s="186">
        <f t="shared" si="41"/>
        <v>0.56516550353635941</v>
      </c>
      <c r="BS43" s="186">
        <f t="shared" si="42"/>
        <v>90.383350099026401</v>
      </c>
      <c r="BT43" s="186">
        <f t="shared" si="43"/>
        <v>-76.443373212595418</v>
      </c>
      <c r="BU43" s="186">
        <f t="shared" si="44"/>
        <v>70.386468428980535</v>
      </c>
      <c r="BV43" s="204">
        <v>41</v>
      </c>
      <c r="BW43" s="190">
        <v>63.573</v>
      </c>
      <c r="BX43" s="186">
        <v>0.25399325651301502</v>
      </c>
      <c r="BY43" s="186">
        <v>0.52936895040780896</v>
      </c>
      <c r="BZ43" s="204">
        <v>115</v>
      </c>
      <c r="CA43" s="204">
        <v>244</v>
      </c>
      <c r="CB43" s="204">
        <v>121</v>
      </c>
      <c r="CC43" s="186">
        <f t="shared" si="45"/>
        <v>6.0067434869849889E-3</v>
      </c>
      <c r="CD43" s="186">
        <f t="shared" si="46"/>
        <v>3.4631049592191099E-2</v>
      </c>
      <c r="CE43" s="186"/>
      <c r="CF43" s="186"/>
      <c r="CG43" s="186"/>
      <c r="CH43" s="204">
        <f t="shared" si="47"/>
        <v>24.642857142857142</v>
      </c>
      <c r="CI43" s="204">
        <f t="shared" si="48"/>
        <v>77.954545454545439</v>
      </c>
      <c r="CJ43" s="204">
        <f t="shared" si="49"/>
        <v>20.547945205479451</v>
      </c>
      <c r="CK43" s="211">
        <f t="shared" si="12"/>
        <v>23.040069686411147</v>
      </c>
      <c r="CL43" s="211">
        <f t="shared" si="54"/>
        <v>79.248396831384369</v>
      </c>
      <c r="CM43" s="211">
        <f t="shared" si="56"/>
        <v>14.782694392431258</v>
      </c>
      <c r="CN43" s="205">
        <f t="shared" si="50"/>
        <v>39.168118466898953</v>
      </c>
      <c r="CO43" s="205">
        <f t="shared" si="51"/>
        <v>134.72227461335342</v>
      </c>
      <c r="CP43" s="205">
        <f t="shared" si="52"/>
        <v>25.130580467133139</v>
      </c>
    </row>
    <row r="44" spans="1:94">
      <c r="A44" s="190">
        <v>42</v>
      </c>
      <c r="B44" s="190">
        <v>60.564</v>
      </c>
      <c r="C44" s="190">
        <v>0.24399999999999999</v>
      </c>
      <c r="D44" s="190">
        <v>0.53200000000000003</v>
      </c>
      <c r="E44" s="193">
        <v>105</v>
      </c>
      <c r="F44" s="193">
        <v>240</v>
      </c>
      <c r="G44" s="193">
        <v>120</v>
      </c>
      <c r="H44" s="193">
        <f t="shared" si="15"/>
        <v>0.16628773206421094</v>
      </c>
      <c r="I44" s="193">
        <f t="shared" si="16"/>
        <v>0.88142305085254469</v>
      </c>
      <c r="J44" s="193">
        <f t="shared" si="17"/>
        <v>0.21590613688087021</v>
      </c>
      <c r="K44" s="194">
        <f t="shared" si="18"/>
        <v>0.42274500139514759</v>
      </c>
      <c r="L44" s="194">
        <f t="shared" si="19"/>
        <v>0.68133496088939005</v>
      </c>
      <c r="M44" s="194">
        <f t="shared" si="20"/>
        <v>0.3134937639957297</v>
      </c>
      <c r="N44" s="194">
        <f t="shared" si="57"/>
        <v>0.87994100882511384</v>
      </c>
      <c r="O44" s="194">
        <f t="shared" si="58"/>
        <v>0.76092963906250111</v>
      </c>
      <c r="P44" s="194">
        <f t="shared" si="59"/>
        <v>0.66028841199655075</v>
      </c>
      <c r="Q44" s="194">
        <f t="shared" si="21"/>
        <v>86.073157023713208</v>
      </c>
      <c r="R44" s="194">
        <f t="shared" si="60"/>
        <v>-59.505684881306365</v>
      </c>
      <c r="S44" s="194">
        <f t="shared" si="61"/>
        <v>43.93051936571262</v>
      </c>
      <c r="T44" s="193"/>
      <c r="U44" s="193"/>
      <c r="V44" s="193"/>
      <c r="W44" s="193"/>
      <c r="X44" s="193"/>
      <c r="Y44" s="193"/>
      <c r="Z44" s="193"/>
      <c r="AA44" s="193"/>
      <c r="AB44" s="195">
        <f t="shared" si="62"/>
        <v>127.67192850000001</v>
      </c>
      <c r="AC44" s="195">
        <f t="shared" si="63"/>
        <v>190.82125049999999</v>
      </c>
      <c r="AD44" s="195">
        <f t="shared" si="64"/>
        <v>138.7365495</v>
      </c>
      <c r="AE44" s="195"/>
      <c r="AF44" s="195"/>
      <c r="AG44" s="190">
        <v>60.564</v>
      </c>
      <c r="AH44" s="196">
        <v>0.27745481599999999</v>
      </c>
      <c r="AI44" s="196">
        <v>0.43112466399999999</v>
      </c>
      <c r="AJ44" s="202">
        <v>150</v>
      </c>
      <c r="AK44" s="202">
        <v>227</v>
      </c>
      <c r="AL44" s="202">
        <v>158</v>
      </c>
      <c r="AM44" s="197">
        <f t="shared" si="22"/>
        <v>0.33671176710730877</v>
      </c>
      <c r="AN44" s="197">
        <f t="shared" si="23"/>
        <v>0.78522260434935598</v>
      </c>
      <c r="AO44" s="197">
        <f t="shared" si="24"/>
        <v>0.37390187085208976</v>
      </c>
      <c r="AP44" s="194">
        <f t="shared" si="25"/>
        <v>0.48714482375918594</v>
      </c>
      <c r="AQ44" s="194">
        <f t="shared" si="26"/>
        <v>0.66017184339319401</v>
      </c>
      <c r="AR44" s="194">
        <f t="shared" si="27"/>
        <v>0.45549079978852564</v>
      </c>
      <c r="AS44" s="197">
        <f t="shared" si="28"/>
        <v>0.87073432667992812</v>
      </c>
      <c r="AT44" s="197">
        <f t="shared" si="29"/>
        <v>0.79775776062420878</v>
      </c>
      <c r="AU44" s="197">
        <f t="shared" si="30"/>
        <v>0.74785472721072055</v>
      </c>
      <c r="AV44" s="196">
        <f t="shared" si="31"/>
        <v>85.005181894871669</v>
      </c>
      <c r="AW44" s="196">
        <f t="shared" si="32"/>
        <v>-36.488283027859666</v>
      </c>
      <c r="AX44" s="196">
        <f t="shared" si="33"/>
        <v>24.575919893841515</v>
      </c>
      <c r="AY44" s="196">
        <f t="shared" si="34"/>
        <v>30.092222910171142</v>
      </c>
      <c r="AZ44" s="190">
        <v>60.564</v>
      </c>
      <c r="BA44" s="210">
        <v>0.236968252590564</v>
      </c>
      <c r="BB44" s="210">
        <v>0.46384077838331</v>
      </c>
      <c r="BC44" s="204">
        <v>109</v>
      </c>
      <c r="BD44" s="204">
        <v>237</v>
      </c>
      <c r="BE44" s="204">
        <v>154</v>
      </c>
      <c r="BF44" s="186"/>
      <c r="BG44" s="204">
        <f t="shared" si="35"/>
        <v>73.5</v>
      </c>
      <c r="BH44" s="204">
        <f t="shared" si="53"/>
        <v>253.7444933920705</v>
      </c>
      <c r="BI44" s="204">
        <f t="shared" si="55"/>
        <v>91.139240506329116</v>
      </c>
      <c r="BJ44" s="186">
        <f t="shared" si="65"/>
        <v>8.4556472051092513E-2</v>
      </c>
      <c r="BK44" s="186">
        <f t="shared" si="66"/>
        <v>0.98976161071798219</v>
      </c>
      <c r="BL44" s="186">
        <f t="shared" si="67"/>
        <v>0.12663856748780294</v>
      </c>
      <c r="BM44" s="186">
        <f t="shared" si="36"/>
        <v>0.41166810249816937</v>
      </c>
      <c r="BN44" s="186">
        <f t="shared" si="37"/>
        <v>0.73499751451618234</v>
      </c>
      <c r="BO44" s="186">
        <f t="shared" si="38"/>
        <v>0.23998148230532626</v>
      </c>
      <c r="BP44" s="186">
        <f t="shared" si="39"/>
        <v>0.90246137531255344</v>
      </c>
      <c r="BQ44" s="186">
        <f t="shared" si="40"/>
        <v>0.75422469172144468</v>
      </c>
      <c r="BR44" s="186">
        <f t="shared" si="41"/>
        <v>0.60401809681840324</v>
      </c>
      <c r="BS44" s="186">
        <f t="shared" si="42"/>
        <v>88.685519536256194</v>
      </c>
      <c r="BT44" s="186">
        <f t="shared" si="43"/>
        <v>-74.118341795554372</v>
      </c>
      <c r="BU44" s="186">
        <f t="shared" si="44"/>
        <v>59.68865569883004</v>
      </c>
      <c r="BV44" s="204">
        <v>42</v>
      </c>
      <c r="BW44" s="190">
        <v>60.564</v>
      </c>
      <c r="BX44" s="186">
        <v>0.24014611524837701</v>
      </c>
      <c r="BY44" s="186">
        <v>0.49541134042221002</v>
      </c>
      <c r="BZ44" s="204">
        <v>106</v>
      </c>
      <c r="CA44" s="204">
        <v>239</v>
      </c>
      <c r="CB44" s="204">
        <v>139</v>
      </c>
      <c r="CC44" s="186">
        <f t="shared" si="45"/>
        <v>3.8538847516229879E-3</v>
      </c>
      <c r="CD44" s="186">
        <f t="shared" si="46"/>
        <v>3.6588659577790006E-2</v>
      </c>
      <c r="CE44" s="186"/>
      <c r="CF44" s="186"/>
      <c r="CG44" s="186"/>
      <c r="CH44" s="204">
        <f t="shared" si="47"/>
        <v>22.05</v>
      </c>
      <c r="CI44" s="204">
        <f t="shared" si="48"/>
        <v>76.12334801762114</v>
      </c>
      <c r="CJ44" s="204">
        <f t="shared" si="49"/>
        <v>27.341772151898734</v>
      </c>
      <c r="CK44" s="211">
        <f t="shared" si="12"/>
        <v>21.240825688073397</v>
      </c>
      <c r="CL44" s="211">
        <f t="shared" si="54"/>
        <v>77.0869347013885</v>
      </c>
      <c r="CM44" s="211">
        <f t="shared" si="56"/>
        <v>21.305277001479535</v>
      </c>
      <c r="CN44" s="205">
        <f t="shared" si="50"/>
        <v>36.10940366972477</v>
      </c>
      <c r="CO44" s="205">
        <f t="shared" si="51"/>
        <v>131.04778899236044</v>
      </c>
      <c r="CP44" s="205">
        <f t="shared" si="52"/>
        <v>36.21897090251521</v>
      </c>
    </row>
    <row r="45" spans="1:94">
      <c r="A45" s="190">
        <v>43</v>
      </c>
      <c r="B45" s="190">
        <v>57.823999999999998</v>
      </c>
      <c r="C45" s="190">
        <v>0.23200000000000001</v>
      </c>
      <c r="D45" s="190">
        <v>0.49199999999999999</v>
      </c>
      <c r="E45" s="193">
        <v>95</v>
      </c>
      <c r="F45" s="193">
        <v>235</v>
      </c>
      <c r="G45" s="193">
        <v>140</v>
      </c>
      <c r="H45" s="193">
        <f t="shared" si="15"/>
        <v>0.13709247013010134</v>
      </c>
      <c r="I45" s="193">
        <f t="shared" si="16"/>
        <v>0.84370510936906873</v>
      </c>
      <c r="J45" s="193">
        <f t="shared" si="17"/>
        <v>0.29319520960877032</v>
      </c>
      <c r="K45" s="194">
        <f t="shared" si="18"/>
        <v>0.41116761712641575</v>
      </c>
      <c r="L45" s="194">
        <f t="shared" si="19"/>
        <v>0.65373244750417059</v>
      </c>
      <c r="M45" s="194">
        <f t="shared" si="20"/>
        <v>0.38189758044344013</v>
      </c>
      <c r="N45" s="194">
        <f t="shared" si="57"/>
        <v>0.86789398897156156</v>
      </c>
      <c r="O45" s="194">
        <f t="shared" si="58"/>
        <v>0.75391891829261648</v>
      </c>
      <c r="P45" s="194">
        <f t="shared" si="59"/>
        <v>0.70519032027438044</v>
      </c>
      <c r="Q45" s="194">
        <f t="shared" si="21"/>
        <v>84.675702720701139</v>
      </c>
      <c r="R45" s="194">
        <f t="shared" si="60"/>
        <v>-56.987535339472537</v>
      </c>
      <c r="S45" s="194">
        <f t="shared" si="61"/>
        <v>32.54073373943622</v>
      </c>
      <c r="T45" s="193"/>
      <c r="U45" s="193"/>
      <c r="V45" s="193"/>
      <c r="W45" s="193"/>
      <c r="X45" s="193"/>
      <c r="Y45" s="193"/>
      <c r="Z45" s="193"/>
      <c r="AA45" s="193"/>
      <c r="AB45" s="195">
        <f t="shared" si="62"/>
        <v>124.7405535</v>
      </c>
      <c r="AC45" s="195">
        <f t="shared" si="63"/>
        <v>186.216218</v>
      </c>
      <c r="AD45" s="195">
        <f t="shared" si="64"/>
        <v>157.93494050000001</v>
      </c>
      <c r="AE45" s="195"/>
      <c r="AF45" s="195"/>
      <c r="AG45" s="190">
        <v>57.823999999999998</v>
      </c>
      <c r="AH45" s="196">
        <v>0.261807501</v>
      </c>
      <c r="AI45" s="196">
        <v>0.40879078400000002</v>
      </c>
      <c r="AJ45" s="202">
        <v>140</v>
      </c>
      <c r="AK45" s="202">
        <v>223</v>
      </c>
      <c r="AL45" s="202">
        <v>170</v>
      </c>
      <c r="AM45" s="197">
        <f t="shared" si="22"/>
        <v>0.29319520960877032</v>
      </c>
      <c r="AN45" s="197">
        <f t="shared" si="23"/>
        <v>0.75683870406187659</v>
      </c>
      <c r="AO45" s="197">
        <f t="shared" si="24"/>
        <v>0.43369579357672261</v>
      </c>
      <c r="AP45" s="194">
        <f t="shared" si="25"/>
        <v>0.46984131575578236</v>
      </c>
      <c r="AQ45" s="194">
        <f t="shared" si="26"/>
        <v>0.63493717900411806</v>
      </c>
      <c r="AR45" s="194">
        <f t="shared" si="27"/>
        <v>0.50810169286429985</v>
      </c>
      <c r="AS45" s="197">
        <f t="shared" si="28"/>
        <v>0.85949545806794103</v>
      </c>
      <c r="AT45" s="197">
        <f t="shared" si="29"/>
        <v>0.78819814480533834</v>
      </c>
      <c r="AU45" s="197">
        <f t="shared" si="30"/>
        <v>0.77560557251374174</v>
      </c>
      <c r="AV45" s="196">
        <f t="shared" si="31"/>
        <v>83.701473135881159</v>
      </c>
      <c r="AW45" s="196">
        <f t="shared" si="32"/>
        <v>-35.648656631301343</v>
      </c>
      <c r="AX45" s="196">
        <f t="shared" si="33"/>
        <v>16.77797711083986</v>
      </c>
      <c r="AY45" s="196">
        <f t="shared" si="34"/>
        <v>26.547341944879133</v>
      </c>
      <c r="AZ45" s="190">
        <v>57.823999999999998</v>
      </c>
      <c r="BA45" s="210">
        <v>0.21776055004063599</v>
      </c>
      <c r="BB45" s="210">
        <v>0.43015408796397397</v>
      </c>
      <c r="BC45" s="204">
        <v>93</v>
      </c>
      <c r="BD45" s="204">
        <v>233</v>
      </c>
      <c r="BE45" s="204">
        <v>171</v>
      </c>
      <c r="BF45" s="186"/>
      <c r="BG45" s="204">
        <f t="shared" si="35"/>
        <v>64.464285714285722</v>
      </c>
      <c r="BH45" s="204">
        <f t="shared" si="53"/>
        <v>247.64573991031389</v>
      </c>
      <c r="BI45" s="204">
        <f t="shared" si="55"/>
        <v>115.29411764705881</v>
      </c>
      <c r="BJ45" s="186">
        <f t="shared" si="65"/>
        <v>6.6533293296778664E-2</v>
      </c>
      <c r="BK45" s="186">
        <f t="shared" si="66"/>
        <v>0.94084384739354532</v>
      </c>
      <c r="BL45" s="186">
        <f t="shared" si="67"/>
        <v>0.19957870663130126</v>
      </c>
      <c r="BM45" s="186">
        <f t="shared" si="36"/>
        <v>0.39990804653047318</v>
      </c>
      <c r="BN45" s="186">
        <f t="shared" si="37"/>
        <v>0.70144608042953871</v>
      </c>
      <c r="BO45" s="186">
        <f t="shared" si="38"/>
        <v>0.30313223982299026</v>
      </c>
      <c r="BP45" s="186">
        <f t="shared" si="39"/>
        <v>0.88851500052928567</v>
      </c>
      <c r="BQ45" s="186">
        <f t="shared" si="40"/>
        <v>0.74697325865231901</v>
      </c>
      <c r="BR45" s="186">
        <f t="shared" si="41"/>
        <v>0.65293219415978976</v>
      </c>
      <c r="BS45" s="186">
        <f t="shared" si="42"/>
        <v>87.067740061397132</v>
      </c>
      <c r="BT45" s="186">
        <f t="shared" si="43"/>
        <v>-70.770870938483327</v>
      </c>
      <c r="BU45" s="186">
        <f t="shared" si="44"/>
        <v>47.11656127389918</v>
      </c>
      <c r="BV45" s="204">
        <v>43</v>
      </c>
      <c r="BW45" s="190">
        <v>57.823999999999998</v>
      </c>
      <c r="BX45" s="186">
        <v>0.229688905918666</v>
      </c>
      <c r="BY45" s="186">
        <v>0.46001997230831798</v>
      </c>
      <c r="BZ45" s="204">
        <v>100</v>
      </c>
      <c r="CA45" s="204">
        <v>233</v>
      </c>
      <c r="CB45" s="204">
        <v>154</v>
      </c>
      <c r="CC45" s="186">
        <f t="shared" si="45"/>
        <v>2.3110940813340086E-3</v>
      </c>
      <c r="CD45" s="186">
        <f t="shared" si="46"/>
        <v>3.1980027691682011E-2</v>
      </c>
      <c r="CE45" s="186"/>
      <c r="CF45" s="186"/>
      <c r="CG45" s="186"/>
      <c r="CH45" s="204">
        <f t="shared" si="47"/>
        <v>19.339285714285715</v>
      </c>
      <c r="CI45" s="204">
        <f t="shared" si="48"/>
        <v>74.293721973094165</v>
      </c>
      <c r="CJ45" s="204">
        <f t="shared" si="49"/>
        <v>34.588235294117645</v>
      </c>
      <c r="CK45" s="211">
        <f t="shared" si="12"/>
        <v>19.755184331797235</v>
      </c>
      <c r="CL45" s="211">
        <f t="shared" si="54"/>
        <v>74.931436324794547</v>
      </c>
      <c r="CM45" s="211">
        <f t="shared" si="56"/>
        <v>28.31785345717234</v>
      </c>
      <c r="CN45" s="205">
        <f t="shared" si="50"/>
        <v>33.583813364055295</v>
      </c>
      <c r="CO45" s="205">
        <f t="shared" si="51"/>
        <v>127.38344175215073</v>
      </c>
      <c r="CP45" s="205">
        <f t="shared" si="52"/>
        <v>48.140350877192979</v>
      </c>
    </row>
    <row r="46" spans="1:94">
      <c r="A46" s="190">
        <v>44</v>
      </c>
      <c r="B46" s="190">
        <v>57.776000000000003</v>
      </c>
      <c r="C46" s="190">
        <v>0.216</v>
      </c>
      <c r="D46" s="190">
        <v>0.44800000000000001</v>
      </c>
      <c r="E46" s="193">
        <v>85</v>
      </c>
      <c r="F46" s="193">
        <v>235</v>
      </c>
      <c r="G46" s="193">
        <v>160</v>
      </c>
      <c r="H46" s="193">
        <f t="shared" si="15"/>
        <v>0.11094171220375028</v>
      </c>
      <c r="I46" s="193">
        <f t="shared" si="16"/>
        <v>0.84370510936906873</v>
      </c>
      <c r="J46" s="193">
        <f t="shared" si="17"/>
        <v>0.38353217665655637</v>
      </c>
      <c r="K46" s="194">
        <f t="shared" si="18"/>
        <v>0.41668886710971398</v>
      </c>
      <c r="L46" s="194">
        <f t="shared" si="19"/>
        <v>0.65469512538987851</v>
      </c>
      <c r="M46" s="194">
        <f t="shared" si="20"/>
        <v>0.46725815799438219</v>
      </c>
      <c r="N46" s="194">
        <f t="shared" si="57"/>
        <v>0.86831979648760449</v>
      </c>
      <c r="O46" s="194">
        <f t="shared" si="58"/>
        <v>0.75727852186585531</v>
      </c>
      <c r="P46" s="194">
        <f t="shared" si="59"/>
        <v>0.75424019121129104</v>
      </c>
      <c r="Q46" s="194">
        <f t="shared" si="21"/>
        <v>84.725096392562122</v>
      </c>
      <c r="R46" s="194">
        <f t="shared" si="60"/>
        <v>-55.520637310874591</v>
      </c>
      <c r="S46" s="194">
        <f t="shared" si="61"/>
        <v>22.815921055262688</v>
      </c>
      <c r="T46" s="193"/>
      <c r="U46" s="193"/>
      <c r="V46" s="193"/>
      <c r="W46" s="193"/>
      <c r="X46" s="193"/>
      <c r="Y46" s="193"/>
      <c r="Z46" s="193"/>
      <c r="AA46" s="193"/>
      <c r="AB46" s="195">
        <f t="shared" si="62"/>
        <v>122.73694850000001</v>
      </c>
      <c r="AC46" s="195">
        <f t="shared" si="63"/>
        <v>184.74793100000002</v>
      </c>
      <c r="AD46" s="195">
        <f t="shared" si="64"/>
        <v>177.48676749999998</v>
      </c>
      <c r="AE46" s="195"/>
      <c r="AF46" s="195"/>
      <c r="AG46" s="190">
        <v>57.776000000000003</v>
      </c>
      <c r="AH46" s="196">
        <v>0.24600730400000001</v>
      </c>
      <c r="AI46" s="196">
        <v>0.38926539399999999</v>
      </c>
      <c r="AJ46" s="202">
        <v>131</v>
      </c>
      <c r="AK46" s="202">
        <v>224</v>
      </c>
      <c r="AL46" s="202">
        <v>184</v>
      </c>
      <c r="AM46" s="197">
        <f t="shared" si="22"/>
        <v>0.25682098951998916</v>
      </c>
      <c r="AN46" s="197">
        <f t="shared" si="23"/>
        <v>0.7638812573494872</v>
      </c>
      <c r="AO46" s="197">
        <f t="shared" si="24"/>
        <v>0.50961269730323522</v>
      </c>
      <c r="AP46" s="194">
        <f t="shared" si="25"/>
        <v>0.47106200556945405</v>
      </c>
      <c r="AQ46" s="194">
        <f t="shared" si="26"/>
        <v>0.63772205437359641</v>
      </c>
      <c r="AR46" s="194">
        <f t="shared" si="27"/>
        <v>0.58039815976051978</v>
      </c>
      <c r="AS46" s="197">
        <f t="shared" si="28"/>
        <v>0.86075022616997021</v>
      </c>
      <c r="AT46" s="197">
        <f t="shared" si="29"/>
        <v>0.78888015762414854</v>
      </c>
      <c r="AU46" s="197">
        <f t="shared" si="30"/>
        <v>0.81077319556936644</v>
      </c>
      <c r="AV46" s="196">
        <f t="shared" si="31"/>
        <v>83.847026235716541</v>
      </c>
      <c r="AW46" s="196">
        <f t="shared" si="32"/>
        <v>-35.935034272910841</v>
      </c>
      <c r="AX46" s="196">
        <f t="shared" si="33"/>
        <v>9.9954061201207534</v>
      </c>
      <c r="AY46" s="196">
        <f t="shared" si="34"/>
        <v>23.425039098435569</v>
      </c>
      <c r="AZ46" s="190">
        <v>57.776000000000003</v>
      </c>
      <c r="BA46" s="210">
        <v>0.20416176225959701</v>
      </c>
      <c r="BB46" s="210">
        <v>0.40679059687957397</v>
      </c>
      <c r="BC46" s="204">
        <v>78</v>
      </c>
      <c r="BD46" s="204">
        <v>234</v>
      </c>
      <c r="BE46" s="204">
        <v>185</v>
      </c>
      <c r="BF46" s="186"/>
      <c r="BG46" s="204">
        <f t="shared" si="35"/>
        <v>55.152671755725187</v>
      </c>
      <c r="BH46" s="204">
        <f t="shared" si="53"/>
        <v>246.54017857142856</v>
      </c>
      <c r="BI46" s="204">
        <f t="shared" si="55"/>
        <v>139.13043478260869</v>
      </c>
      <c r="BJ46" s="186">
        <f t="shared" si="65"/>
        <v>5.0394282094739638E-2</v>
      </c>
      <c r="BK46" s="186">
        <f t="shared" si="66"/>
        <v>0.93212084713929111</v>
      </c>
      <c r="BL46" s="186">
        <f t="shared" si="67"/>
        <v>0.28956595499472015</v>
      </c>
      <c r="BM46" s="186">
        <f t="shared" si="36"/>
        <v>0.40637567174942807</v>
      </c>
      <c r="BN46" s="186">
        <f t="shared" si="37"/>
        <v>0.69827331619798139</v>
      </c>
      <c r="BO46" s="186">
        <f t="shared" si="38"/>
        <v>0.38731385484591346</v>
      </c>
      <c r="BP46" s="186">
        <f t="shared" si="39"/>
        <v>0.88717333899331108</v>
      </c>
      <c r="BQ46" s="186">
        <f t="shared" si="40"/>
        <v>0.75097862130126469</v>
      </c>
      <c r="BR46" s="186">
        <f t="shared" si="41"/>
        <v>0.70850847734924594</v>
      </c>
      <c r="BS46" s="186">
        <f t="shared" si="42"/>
        <v>86.912107323224092</v>
      </c>
      <c r="BT46" s="186">
        <f t="shared" si="43"/>
        <v>-68.097358846023198</v>
      </c>
      <c r="BU46" s="186">
        <f t="shared" si="44"/>
        <v>35.732972328813027</v>
      </c>
      <c r="BV46" s="204">
        <v>44</v>
      </c>
      <c r="BW46" s="190">
        <v>57.776000000000003</v>
      </c>
      <c r="BX46" s="186">
        <v>0.215481851644618</v>
      </c>
      <c r="BY46" s="186">
        <v>0.43071872675314798</v>
      </c>
      <c r="BZ46" s="204">
        <v>89</v>
      </c>
      <c r="CA46" s="204">
        <v>234</v>
      </c>
      <c r="CB46" s="204">
        <v>171</v>
      </c>
      <c r="CC46" s="186">
        <f t="shared" si="45"/>
        <v>5.1814835538199766E-4</v>
      </c>
      <c r="CD46" s="186">
        <f t="shared" si="46"/>
        <v>1.7281273246852025E-2</v>
      </c>
      <c r="CE46" s="186"/>
      <c r="CF46" s="186"/>
      <c r="CG46" s="186"/>
      <c r="CH46" s="204">
        <f t="shared" si="47"/>
        <v>16.545801526717554</v>
      </c>
      <c r="CI46" s="204">
        <f t="shared" si="48"/>
        <v>73.962053571428569</v>
      </c>
      <c r="CJ46" s="204">
        <f t="shared" si="49"/>
        <v>41.739130434782602</v>
      </c>
      <c r="CK46" s="211">
        <f t="shared" si="12"/>
        <v>18.030681150910155</v>
      </c>
      <c r="CL46" s="211">
        <f t="shared" si="54"/>
        <v>74.278130723443226</v>
      </c>
      <c r="CM46" s="211">
        <f t="shared" si="56"/>
        <v>36.098707403055222</v>
      </c>
      <c r="CN46" s="205">
        <f t="shared" si="50"/>
        <v>30.652157956547263</v>
      </c>
      <c r="CO46" s="205">
        <f t="shared" si="51"/>
        <v>126.27282222985347</v>
      </c>
      <c r="CP46" s="205">
        <f t="shared" si="52"/>
        <v>61.367802585193878</v>
      </c>
    </row>
    <row r="47" spans="1:94">
      <c r="A47" s="190">
        <v>45</v>
      </c>
      <c r="B47" s="190">
        <v>52.61</v>
      </c>
      <c r="C47" s="190">
        <v>0.19600000000000001</v>
      </c>
      <c r="D47" s="190">
        <v>0.40400000000000003</v>
      </c>
      <c r="E47" s="193">
        <v>65</v>
      </c>
      <c r="F47" s="193">
        <v>225</v>
      </c>
      <c r="G47" s="193">
        <v>180</v>
      </c>
      <c r="H47" s="193">
        <f t="shared" si="15"/>
        <v>6.7536430285078594E-2</v>
      </c>
      <c r="I47" s="193">
        <f t="shared" si="16"/>
        <v>0.77095940527106432</v>
      </c>
      <c r="J47" s="193">
        <f t="shared" si="17"/>
        <v>0.48724020190675382</v>
      </c>
      <c r="K47" s="194">
        <f t="shared" si="18"/>
        <v>0.39149396361866806</v>
      </c>
      <c r="L47" s="194">
        <f t="shared" si="19"/>
        <v>0.60092715430614052</v>
      </c>
      <c r="M47" s="194">
        <f t="shared" si="20"/>
        <v>0.55632362612518238</v>
      </c>
      <c r="N47" s="194">
        <f t="shared" si="57"/>
        <v>0.84386688184617842</v>
      </c>
      <c r="O47" s="194">
        <f t="shared" si="58"/>
        <v>0.741697298235237</v>
      </c>
      <c r="P47" s="194">
        <f t="shared" si="59"/>
        <v>0.79940441309363863</v>
      </c>
      <c r="Q47" s="194">
        <f t="shared" si="21"/>
        <v>81.888558294156695</v>
      </c>
      <c r="R47" s="194">
        <f t="shared" si="60"/>
        <v>-51.084791805470708</v>
      </c>
      <c r="S47" s="194">
        <f t="shared" si="61"/>
        <v>8.8924937505079562</v>
      </c>
      <c r="T47" s="193"/>
      <c r="U47" s="193"/>
      <c r="V47" s="193"/>
      <c r="W47" s="193"/>
      <c r="X47" s="193"/>
      <c r="Y47" s="193"/>
      <c r="Z47" s="193"/>
      <c r="AA47" s="193"/>
      <c r="AB47" s="195">
        <f t="shared" si="62"/>
        <v>113.11049450000002</v>
      </c>
      <c r="AC47" s="195">
        <f t="shared" si="63"/>
        <v>174.03238400000001</v>
      </c>
      <c r="AD47" s="195">
        <f t="shared" si="64"/>
        <v>196.06137949999999</v>
      </c>
      <c r="AE47" s="195"/>
      <c r="AF47" s="195"/>
      <c r="AG47" s="190">
        <v>52.61</v>
      </c>
      <c r="AH47" s="196">
        <v>0.23061431399999999</v>
      </c>
      <c r="AI47" s="196">
        <v>0.37291022600000001</v>
      </c>
      <c r="AJ47" s="202">
        <v>116</v>
      </c>
      <c r="AK47" s="202">
        <v>216</v>
      </c>
      <c r="AL47" s="202">
        <v>188</v>
      </c>
      <c r="AM47" s="197">
        <f t="shared" si="22"/>
        <v>0.20198321898972141</v>
      </c>
      <c r="AN47" s="197">
        <f t="shared" si="23"/>
        <v>0.70853495140210854</v>
      </c>
      <c r="AO47" s="197">
        <f t="shared" si="24"/>
        <v>0.53253412873709083</v>
      </c>
      <c r="AP47" s="194">
        <f t="shared" si="25"/>
        <v>0.4327923883698</v>
      </c>
      <c r="AQ47" s="194">
        <f t="shared" si="26"/>
        <v>0.58813479369482069</v>
      </c>
      <c r="AR47" s="194">
        <f t="shared" si="27"/>
        <v>0.59452933169823774</v>
      </c>
      <c r="AS47" s="197">
        <f t="shared" si="28"/>
        <v>0.83783588514721241</v>
      </c>
      <c r="AT47" s="197">
        <f t="shared" si="29"/>
        <v>0.76691084343371496</v>
      </c>
      <c r="AU47" s="197">
        <f t="shared" si="30"/>
        <v>0.8173005704193772</v>
      </c>
      <c r="AV47" s="196">
        <f t="shared" si="31"/>
        <v>81.188962677076645</v>
      </c>
      <c r="AW47" s="196">
        <f t="shared" si="32"/>
        <v>-35.462520856748725</v>
      </c>
      <c r="AX47" s="196">
        <f t="shared" si="33"/>
        <v>4.1070629455670415</v>
      </c>
      <c r="AY47" s="196">
        <f t="shared" si="34"/>
        <v>16.353749772195915</v>
      </c>
      <c r="AZ47" s="190">
        <v>52.61</v>
      </c>
      <c r="BA47" s="210">
        <v>0.175005117584557</v>
      </c>
      <c r="BB47" s="210">
        <v>0.37001650720082102</v>
      </c>
      <c r="BC47" s="204">
        <v>0</v>
      </c>
      <c r="BD47" s="204">
        <v>227</v>
      </c>
      <c r="BE47" s="204">
        <v>202</v>
      </c>
      <c r="BF47" s="186"/>
      <c r="BG47" s="204">
        <f t="shared" si="35"/>
        <v>36.422413793103445</v>
      </c>
      <c r="BH47" s="204">
        <f t="shared" si="53"/>
        <v>234.37500000000003</v>
      </c>
      <c r="BI47" s="204">
        <f t="shared" si="55"/>
        <v>172.34042553191489</v>
      </c>
      <c r="BJ47" s="186">
        <f t="shared" si="65"/>
        <v>2.5159487308016905E-2</v>
      </c>
      <c r="BK47" s="186">
        <f t="shared" si="66"/>
        <v>0.83905357694093441</v>
      </c>
      <c r="BL47" s="186">
        <f t="shared" si="67"/>
        <v>0.44592308042833295</v>
      </c>
      <c r="BM47" s="186">
        <f t="shared" si="36"/>
        <v>0.39091044769721839</v>
      </c>
      <c r="BN47" s="186">
        <f t="shared" si="37"/>
        <v>0.63763567163676627</v>
      </c>
      <c r="BO47" s="186">
        <f t="shared" si="38"/>
        <v>0.52435065242353462</v>
      </c>
      <c r="BP47" s="186">
        <f t="shared" si="39"/>
        <v>0.86071136006457971</v>
      </c>
      <c r="BQ47" s="186">
        <f t="shared" si="40"/>
        <v>0.74132861874562694</v>
      </c>
      <c r="BR47" s="186">
        <f t="shared" si="41"/>
        <v>0.7837868587230219</v>
      </c>
      <c r="BS47" s="186">
        <f t="shared" si="42"/>
        <v>83.842517767491245</v>
      </c>
      <c r="BT47" s="186">
        <f t="shared" si="43"/>
        <v>-59.691370659476384</v>
      </c>
      <c r="BU47" s="186">
        <f t="shared" si="44"/>
        <v>15.384900268311563</v>
      </c>
      <c r="BV47" s="204">
        <v>45</v>
      </c>
      <c r="BW47" s="190">
        <v>52.61</v>
      </c>
      <c r="BX47" s="186">
        <v>0.12409117206706299</v>
      </c>
      <c r="BY47" s="186">
        <v>0.40031256791770498</v>
      </c>
      <c r="BZ47" s="214">
        <v>65</v>
      </c>
      <c r="CA47" s="204">
        <v>237</v>
      </c>
      <c r="CB47" s="204">
        <v>198</v>
      </c>
      <c r="CC47" s="186">
        <f t="shared" si="45"/>
        <v>7.1908827932937014E-2</v>
      </c>
      <c r="CD47" s="186">
        <f t="shared" si="46"/>
        <v>3.6874320822950502E-3</v>
      </c>
      <c r="CE47" s="186"/>
      <c r="CF47" s="186"/>
      <c r="CG47" s="186"/>
      <c r="CH47" s="204">
        <f t="shared" si="47"/>
        <v>10.926724137931034</v>
      </c>
      <c r="CI47" s="204">
        <f t="shared" si="48"/>
        <v>70.3125</v>
      </c>
      <c r="CJ47" s="204">
        <f t="shared" si="49"/>
        <v>51.702127659574465</v>
      </c>
      <c r="CK47" s="211">
        <v>0</v>
      </c>
      <c r="CL47" s="211">
        <f t="shared" si="54"/>
        <v>69.693006607929519</v>
      </c>
      <c r="CM47" s="211">
        <f t="shared" si="56"/>
        <v>46.071202864967347</v>
      </c>
      <c r="CN47" s="216">
        <v>22</v>
      </c>
      <c r="CO47" s="205">
        <f t="shared" si="51"/>
        <v>118.47811123348018</v>
      </c>
      <c r="CP47" s="205">
        <f t="shared" si="52"/>
        <v>78.321044870444481</v>
      </c>
    </row>
    <row r="48" spans="1:94">
      <c r="A48" s="190">
        <v>46</v>
      </c>
      <c r="B48" s="190">
        <v>50.408999999999999</v>
      </c>
      <c r="C48" s="190">
        <v>0.184</v>
      </c>
      <c r="D48" s="190">
        <v>0.36</v>
      </c>
      <c r="E48" s="193">
        <v>45</v>
      </c>
      <c r="F48" s="193">
        <v>220</v>
      </c>
      <c r="G48" s="193">
        <v>200</v>
      </c>
      <c r="H48" s="193">
        <f t="shared" si="15"/>
        <v>3.5541469687678164E-2</v>
      </c>
      <c r="I48" s="193">
        <f t="shared" si="16"/>
        <v>0.73592431190789209</v>
      </c>
      <c r="J48" s="193">
        <f t="shared" si="17"/>
        <v>0.6046138681288552</v>
      </c>
      <c r="K48" s="194">
        <f t="shared" si="18"/>
        <v>0.38695663923471901</v>
      </c>
      <c r="L48" s="194">
        <f t="shared" si="19"/>
        <v>0.57754230561102804</v>
      </c>
      <c r="M48" s="194">
        <f t="shared" si="20"/>
        <v>0.66309361000086986</v>
      </c>
      <c r="N48" s="194">
        <f t="shared" si="57"/>
        <v>0.8327754889036858</v>
      </c>
      <c r="O48" s="194">
        <f t="shared" si="58"/>
        <v>0.73882079011336499</v>
      </c>
      <c r="P48" s="194">
        <f t="shared" si="59"/>
        <v>0.84758316304673698</v>
      </c>
      <c r="Q48" s="194">
        <f t="shared" si="21"/>
        <v>80.601956712827558</v>
      </c>
      <c r="R48" s="194">
        <f t="shared" si="60"/>
        <v>-46.977349395160402</v>
      </c>
      <c r="S48" s="194">
        <f t="shared" si="61"/>
        <v>-2.961534828610235</v>
      </c>
      <c r="T48" s="193"/>
      <c r="U48" s="193"/>
      <c r="V48" s="193"/>
      <c r="W48" s="193"/>
      <c r="X48" s="193"/>
      <c r="Y48" s="193"/>
      <c r="Z48" s="193"/>
      <c r="AA48" s="193"/>
      <c r="AB48" s="195">
        <f t="shared" si="62"/>
        <v>104.4118105</v>
      </c>
      <c r="AC48" s="195">
        <f t="shared" si="63"/>
        <v>166.45358249999998</v>
      </c>
      <c r="AD48" s="195">
        <f t="shared" si="64"/>
        <v>214.98942750000001</v>
      </c>
      <c r="AE48" s="195"/>
      <c r="AF48" s="195"/>
      <c r="AG48" s="190">
        <v>50.408999999999999</v>
      </c>
      <c r="AH48" s="196">
        <v>0.20689212200000001</v>
      </c>
      <c r="AI48" s="196">
        <v>0.35213230000000001</v>
      </c>
      <c r="AJ48" s="202">
        <v>91</v>
      </c>
      <c r="AK48" s="202">
        <v>215</v>
      </c>
      <c r="AL48" s="202">
        <v>200</v>
      </c>
      <c r="AM48" s="197">
        <f t="shared" si="22"/>
        <v>0.12626997960276579</v>
      </c>
      <c r="AN48" s="197">
        <f t="shared" si="23"/>
        <v>0.70177606806351733</v>
      </c>
      <c r="AO48" s="197">
        <f t="shared" si="24"/>
        <v>0.6046138681288552</v>
      </c>
      <c r="AP48" s="194">
        <f t="shared" si="25"/>
        <v>0.4121616647249528</v>
      </c>
      <c r="AQ48" s="194">
        <f t="shared" si="26"/>
        <v>0.57240836282147889</v>
      </c>
      <c r="AR48" s="194">
        <f t="shared" si="27"/>
        <v>0.6607741995759816</v>
      </c>
      <c r="AS48" s="197">
        <f t="shared" si="28"/>
        <v>0.83030054573874101</v>
      </c>
      <c r="AT48" s="197">
        <f t="shared" si="29"/>
        <v>0.75452599281395272</v>
      </c>
      <c r="AU48" s="197">
        <f t="shared" si="30"/>
        <v>0.84659376537053832</v>
      </c>
      <c r="AV48" s="196">
        <f t="shared" si="31"/>
        <v>80.314863305693962</v>
      </c>
      <c r="AW48" s="196">
        <f t="shared" si="32"/>
        <v>-37.887276462394148</v>
      </c>
      <c r="AX48" s="196">
        <f t="shared" si="33"/>
        <v>-3.2586439263594613</v>
      </c>
      <c r="AY48" s="196">
        <f t="shared" si="34"/>
        <v>9.0994572565287992</v>
      </c>
      <c r="AZ48" s="190">
        <v>50.408999999999999</v>
      </c>
      <c r="BA48" s="210">
        <v>0.15546988738217701</v>
      </c>
      <c r="BB48" s="210">
        <v>0.34323046987716399</v>
      </c>
      <c r="BC48" s="204">
        <v>0</v>
      </c>
      <c r="BD48" s="204">
        <v>224</v>
      </c>
      <c r="BE48" s="204">
        <v>216</v>
      </c>
      <c r="BF48" s="186"/>
      <c r="BG48" s="204">
        <f t="shared" si="35"/>
        <v>22.252747252747255</v>
      </c>
      <c r="BH48" s="204">
        <f t="shared" si="53"/>
        <v>225.11627906976744</v>
      </c>
      <c r="BI48" s="204">
        <f t="shared" si="55"/>
        <v>200</v>
      </c>
      <c r="BJ48" s="186">
        <f t="shared" si="65"/>
        <v>1.2180493251400151E-2</v>
      </c>
      <c r="BK48" s="186">
        <f t="shared" si="66"/>
        <v>0.77178475718486761</v>
      </c>
      <c r="BL48" s="186">
        <f t="shared" si="67"/>
        <v>0.6046138681288552</v>
      </c>
      <c r="BM48" s="186">
        <f t="shared" si="36"/>
        <v>0.39014626778344447</v>
      </c>
      <c r="BN48" s="186">
        <f t="shared" si="37"/>
        <v>0.59822315248276825</v>
      </c>
      <c r="BO48" s="186">
        <f t="shared" si="38"/>
        <v>0.66691730823266515</v>
      </c>
      <c r="BP48" s="186">
        <f t="shared" si="39"/>
        <v>0.8425992580512659</v>
      </c>
      <c r="BQ48" s="186">
        <f t="shared" si="40"/>
        <v>0.74084523608920372</v>
      </c>
      <c r="BR48" s="186">
        <f t="shared" si="41"/>
        <v>0.84920922436988611</v>
      </c>
      <c r="BS48" s="186">
        <f t="shared" si="42"/>
        <v>81.741513933946848</v>
      </c>
      <c r="BT48" s="186">
        <f t="shared" si="43"/>
        <v>-50.877010981031091</v>
      </c>
      <c r="BU48" s="186">
        <f t="shared" si="44"/>
        <v>-1.3219932637240417</v>
      </c>
      <c r="BV48" s="204">
        <v>46</v>
      </c>
      <c r="BW48" s="190">
        <v>50.408999999999999</v>
      </c>
      <c r="BX48" s="186">
        <v>0.12530829400205801</v>
      </c>
      <c r="BY48" s="186">
        <v>0.35999681481218498</v>
      </c>
      <c r="BZ48" s="214">
        <v>45</v>
      </c>
      <c r="CA48" s="204">
        <v>231</v>
      </c>
      <c r="CB48" s="204">
        <v>213</v>
      </c>
      <c r="CC48" s="186">
        <f t="shared" si="45"/>
        <v>5.869170599794199E-2</v>
      </c>
      <c r="CD48" s="186">
        <f t="shared" si="46"/>
        <v>3.1851878150024326E-6</v>
      </c>
      <c r="CE48" s="186"/>
      <c r="CF48" s="186"/>
      <c r="CG48" s="186"/>
      <c r="CH48" s="204">
        <f t="shared" si="47"/>
        <v>6.6758241758241761</v>
      </c>
      <c r="CI48" s="204">
        <f t="shared" si="48"/>
        <v>67.534883720930225</v>
      </c>
      <c r="CJ48" s="204">
        <f t="shared" si="49"/>
        <v>60</v>
      </c>
      <c r="CK48" s="211">
        <v>0</v>
      </c>
      <c r="CL48" s="211">
        <f t="shared" si="54"/>
        <v>66.328903654485032</v>
      </c>
      <c r="CM48" s="211">
        <f t="shared" si="56"/>
        <v>55.555555555555557</v>
      </c>
      <c r="CN48" s="216">
        <v>18</v>
      </c>
      <c r="CO48" s="205">
        <f t="shared" si="51"/>
        <v>112.75913621262455</v>
      </c>
      <c r="CP48" s="205">
        <f t="shared" si="52"/>
        <v>94.444444444444443</v>
      </c>
    </row>
    <row r="49" spans="1:94">
      <c r="A49" s="190">
        <v>47</v>
      </c>
      <c r="B49" s="190">
        <v>46.133000000000003</v>
      </c>
      <c r="C49" s="190">
        <v>0.17599999999999999</v>
      </c>
      <c r="D49" s="190">
        <v>0.32800000000000001</v>
      </c>
      <c r="E49" s="193">
        <v>31</v>
      </c>
      <c r="F49" s="193">
        <v>210</v>
      </c>
      <c r="G49" s="193">
        <v>210</v>
      </c>
      <c r="H49" s="193">
        <f t="shared" si="15"/>
        <v>1.9590899608577267E-2</v>
      </c>
      <c r="I49" s="193">
        <f t="shared" si="16"/>
        <v>0.66851085114300512</v>
      </c>
      <c r="J49" s="193">
        <f t="shared" si="17"/>
        <v>0.66851085114300512</v>
      </c>
      <c r="K49" s="194">
        <f t="shared" si="18"/>
        <v>0.36780497599862827</v>
      </c>
      <c r="L49" s="194">
        <f t="shared" si="19"/>
        <v>0.53055046944678574</v>
      </c>
      <c r="M49" s="194">
        <f t="shared" si="20"/>
        <v>0.7154841618301182</v>
      </c>
      <c r="N49" s="194">
        <f t="shared" si="57"/>
        <v>0.80954731065659968</v>
      </c>
      <c r="O49" s="194">
        <f t="shared" si="58"/>
        <v>0.72642515344089986</v>
      </c>
      <c r="P49" s="194">
        <f t="shared" si="59"/>
        <v>0.86934210605866169</v>
      </c>
      <c r="Q49" s="194">
        <f t="shared" si="21"/>
        <v>77.90748803616556</v>
      </c>
      <c r="R49" s="194">
        <f t="shared" si="60"/>
        <v>-41.561078607849907</v>
      </c>
      <c r="S49" s="194">
        <f t="shared" si="61"/>
        <v>-11.958959080412402</v>
      </c>
      <c r="T49" s="193"/>
      <c r="U49" s="193"/>
      <c r="V49" s="193"/>
      <c r="W49" s="193"/>
      <c r="X49" s="193"/>
      <c r="Y49" s="193"/>
      <c r="Z49" s="193"/>
      <c r="AA49" s="193"/>
      <c r="AB49" s="195">
        <f t="shared" si="62"/>
        <v>96.363889900000004</v>
      </c>
      <c r="AC49" s="195">
        <f t="shared" si="63"/>
        <v>156.7695559</v>
      </c>
      <c r="AD49" s="195">
        <f t="shared" si="64"/>
        <v>223.81516029999997</v>
      </c>
      <c r="AE49" s="195"/>
      <c r="AF49" s="195"/>
      <c r="AG49" s="190">
        <v>46.133000000000003</v>
      </c>
      <c r="AH49" s="196">
        <v>0.182387313</v>
      </c>
      <c r="AI49" s="196">
        <v>0.33294042400000001</v>
      </c>
      <c r="AJ49" s="202">
        <v>45</v>
      </c>
      <c r="AK49" s="202">
        <v>209</v>
      </c>
      <c r="AL49" s="202">
        <v>207</v>
      </c>
      <c r="AM49" s="197">
        <f t="shared" si="22"/>
        <v>3.5541469687678164E-2</v>
      </c>
      <c r="AN49" s="197">
        <f t="shared" si="23"/>
        <v>0.66196342988899604</v>
      </c>
      <c r="AO49" s="197">
        <f t="shared" si="24"/>
        <v>0.64897395857321627</v>
      </c>
      <c r="AP49" s="194">
        <f t="shared" si="25"/>
        <v>0.36851522414996896</v>
      </c>
      <c r="AQ49" s="194">
        <f t="shared" si="26"/>
        <v>0.52784828132119654</v>
      </c>
      <c r="AR49" s="194">
        <f t="shared" si="27"/>
        <v>0.69644173883158256</v>
      </c>
      <c r="AS49" s="197">
        <f t="shared" si="28"/>
        <v>0.80817058110259454</v>
      </c>
      <c r="AT49" s="197">
        <f t="shared" si="29"/>
        <v>0.72689243946584348</v>
      </c>
      <c r="AU49" s="197">
        <f t="shared" si="30"/>
        <v>0.86156021732110133</v>
      </c>
      <c r="AV49" s="196">
        <f t="shared" si="31"/>
        <v>77.747787407900972</v>
      </c>
      <c r="AW49" s="196">
        <f t="shared" si="32"/>
        <v>-40.639070818375536</v>
      </c>
      <c r="AX49" s="196">
        <f t="shared" si="33"/>
        <v>-10.677927243701358</v>
      </c>
      <c r="AY49" s="196">
        <f t="shared" si="34"/>
        <v>1.5863937787279649</v>
      </c>
      <c r="AZ49" s="190">
        <v>46.133000000000003</v>
      </c>
      <c r="BA49" s="210">
        <v>0.15190569157008399</v>
      </c>
      <c r="BB49" s="210">
        <v>0.321048387014159</v>
      </c>
      <c r="BC49" s="204">
        <v>0</v>
      </c>
      <c r="BD49" s="204">
        <v>215</v>
      </c>
      <c r="BE49" s="204">
        <v>219</v>
      </c>
      <c r="BF49" s="186"/>
      <c r="BG49" s="204">
        <f t="shared" si="35"/>
        <v>21.355555555555554</v>
      </c>
      <c r="BH49" s="204">
        <f t="shared" si="53"/>
        <v>211.00478468899519</v>
      </c>
      <c r="BI49" s="204">
        <f t="shared" si="55"/>
        <v>213.04347826086959</v>
      </c>
      <c r="BJ49" s="186">
        <f t="shared" si="65"/>
        <v>1.1527587238148503E-2</v>
      </c>
      <c r="BK49" s="186">
        <f t="shared" si="66"/>
        <v>0.67512501831250815</v>
      </c>
      <c r="BL49" s="186">
        <f t="shared" si="67"/>
        <v>0.68865429537779033</v>
      </c>
      <c r="BM49" s="186">
        <f t="shared" si="36"/>
        <v>0.37048078384125649</v>
      </c>
      <c r="BN49" s="186">
        <f t="shared" si="37"/>
        <v>0.53502101827021264</v>
      </c>
      <c r="BO49" s="186">
        <f t="shared" si="38"/>
        <v>0.73526329237313703</v>
      </c>
      <c r="BP49" s="186">
        <f t="shared" si="39"/>
        <v>0.81181476876811087</v>
      </c>
      <c r="BQ49" s="186">
        <f t="shared" si="40"/>
        <v>0.72818249724127937</v>
      </c>
      <c r="BR49" s="186">
        <f t="shared" si="41"/>
        <v>0.87728021494213926</v>
      </c>
      <c r="BS49" s="186">
        <f t="shared" si="42"/>
        <v>78.170513177100858</v>
      </c>
      <c r="BT49" s="186">
        <f t="shared" si="43"/>
        <v>-41.816135763415751</v>
      </c>
      <c r="BU49" s="186">
        <f t="shared" si="44"/>
        <v>-13.093089234805678</v>
      </c>
      <c r="BV49" s="204">
        <v>47</v>
      </c>
      <c r="BW49" s="190">
        <v>46.133000000000003</v>
      </c>
      <c r="BX49" s="186">
        <v>0.12621047158021301</v>
      </c>
      <c r="BY49" s="186">
        <v>0.32986870423867498</v>
      </c>
      <c r="BZ49" s="214">
        <v>31</v>
      </c>
      <c r="CA49" s="204">
        <v>220</v>
      </c>
      <c r="CB49" s="204">
        <v>220</v>
      </c>
      <c r="CC49" s="186">
        <f t="shared" si="45"/>
        <v>4.9789528419786983E-2</v>
      </c>
      <c r="CD49" s="186">
        <f t="shared" si="46"/>
        <v>-1.8687042386749675E-3</v>
      </c>
      <c r="CE49" s="186"/>
      <c r="CF49" s="186"/>
      <c r="CG49" s="186"/>
      <c r="CH49" s="204">
        <f t="shared" si="47"/>
        <v>6.4066666666666663</v>
      </c>
      <c r="CI49" s="204">
        <f t="shared" si="48"/>
        <v>63.301435406698552</v>
      </c>
      <c r="CJ49" s="204">
        <f t="shared" si="49"/>
        <v>63.913043478260875</v>
      </c>
      <c r="CK49" s="211">
        <v>0</v>
      </c>
      <c r="CL49" s="211">
        <f t="shared" si="54"/>
        <v>61.829309001891609</v>
      </c>
      <c r="CM49" s="211">
        <f t="shared" si="56"/>
        <v>61.286480047647409</v>
      </c>
      <c r="CN49" s="216">
        <v>13</v>
      </c>
      <c r="CO49" s="205">
        <f t="shared" si="51"/>
        <v>105.10982530321573</v>
      </c>
      <c r="CP49" s="205">
        <f t="shared" si="52"/>
        <v>104.18701608100059</v>
      </c>
    </row>
    <row r="50" spans="1:94">
      <c r="A50" s="190">
        <v>48</v>
      </c>
      <c r="B50" s="190">
        <v>42.267000000000003</v>
      </c>
      <c r="C50" s="190">
        <v>0.17200000000000001</v>
      </c>
      <c r="D50" s="190">
        <v>0.29599999999999999</v>
      </c>
      <c r="E50" s="193">
        <v>15</v>
      </c>
      <c r="F50" s="193">
        <v>200</v>
      </c>
      <c r="G50" s="193">
        <v>220</v>
      </c>
      <c r="H50" s="193">
        <f t="shared" si="15"/>
        <v>7.4568446314067808E-3</v>
      </c>
      <c r="I50" s="193">
        <f t="shared" si="16"/>
        <v>0.6046138681288552</v>
      </c>
      <c r="J50" s="193">
        <f t="shared" si="17"/>
        <v>0.73592431190789209</v>
      </c>
      <c r="K50" s="194">
        <f t="shared" si="18"/>
        <v>0.35211946026824525</v>
      </c>
      <c r="L50" s="194">
        <f t="shared" si="19"/>
        <v>0.48713889897414409</v>
      </c>
      <c r="M50" s="194">
        <f t="shared" si="20"/>
        <v>0.77170994865079712</v>
      </c>
      <c r="N50" s="194">
        <f t="shared" si="57"/>
        <v>0.78683608723535825</v>
      </c>
      <c r="O50" s="194">
        <f t="shared" si="58"/>
        <v>0.71594833396811297</v>
      </c>
      <c r="P50" s="194">
        <f t="shared" si="59"/>
        <v>0.89154254557860735</v>
      </c>
      <c r="Q50" s="194">
        <f t="shared" si="21"/>
        <v>75.272986119301564</v>
      </c>
      <c r="R50" s="194">
        <f t="shared" si="60"/>
        <v>-35.443876633622637</v>
      </c>
      <c r="S50" s="194">
        <f t="shared" si="61"/>
        <v>-20.941291668649818</v>
      </c>
      <c r="T50" s="193"/>
      <c r="U50" s="193"/>
      <c r="V50" s="193"/>
      <c r="W50" s="193"/>
      <c r="X50" s="193"/>
      <c r="Y50" s="193"/>
      <c r="Z50" s="193"/>
      <c r="AA50" s="193"/>
      <c r="AB50" s="195">
        <f t="shared" si="62"/>
        <v>87.162507500000004</v>
      </c>
      <c r="AC50" s="195">
        <f t="shared" si="63"/>
        <v>146.49077550000001</v>
      </c>
      <c r="AD50" s="195">
        <f t="shared" si="64"/>
        <v>232.58682450000001</v>
      </c>
      <c r="AE50" s="195"/>
      <c r="AF50" s="195"/>
      <c r="AG50" s="190">
        <v>42.267000000000003</v>
      </c>
      <c r="AH50" s="196">
        <v>0.16279192000000001</v>
      </c>
      <c r="AI50" s="196">
        <v>0.31892492500000003</v>
      </c>
      <c r="AJ50" s="202">
        <v>0</v>
      </c>
      <c r="AK50" s="202">
        <v>204</v>
      </c>
      <c r="AL50" s="202">
        <v>210</v>
      </c>
      <c r="AM50" s="197">
        <f t="shared" si="22"/>
        <v>0</v>
      </c>
      <c r="AN50" s="197">
        <f t="shared" si="23"/>
        <v>0.62975270440919651</v>
      </c>
      <c r="AO50" s="197">
        <f t="shared" si="24"/>
        <v>0.66851085114300512</v>
      </c>
      <c r="AP50" s="194">
        <f t="shared" si="25"/>
        <v>0.34586577572804106</v>
      </c>
      <c r="AQ50" s="194">
        <f t="shared" si="26"/>
        <v>0.49866561764598227</v>
      </c>
      <c r="AR50" s="194">
        <f t="shared" si="27"/>
        <v>0.71048608637700261</v>
      </c>
      <c r="AS50" s="197">
        <f t="shared" si="28"/>
        <v>0.79299383029175796</v>
      </c>
      <c r="AT50" s="197">
        <f t="shared" si="29"/>
        <v>0.71168454843812201</v>
      </c>
      <c r="AU50" s="197">
        <f t="shared" si="30"/>
        <v>0.86731308633346016</v>
      </c>
      <c r="AV50" s="196">
        <f t="shared" si="31"/>
        <v>75.987284313843929</v>
      </c>
      <c r="AW50" s="196">
        <f t="shared" si="32"/>
        <v>-40.654640926817976</v>
      </c>
      <c r="AX50" s="196">
        <f t="shared" si="33"/>
        <v>-14.863851208340439</v>
      </c>
      <c r="AY50" s="196">
        <f t="shared" si="34"/>
        <v>8.0372612859463199</v>
      </c>
      <c r="AZ50" s="190">
        <v>42.267000000000003</v>
      </c>
      <c r="BA50" s="210">
        <v>0.12680203207469501</v>
      </c>
      <c r="BB50" s="210">
        <v>0.29810035046205302</v>
      </c>
      <c r="BC50" s="204">
        <v>0</v>
      </c>
      <c r="BD50" s="204">
        <v>210</v>
      </c>
      <c r="BE50" s="204">
        <v>228</v>
      </c>
      <c r="BF50" s="186"/>
      <c r="BG50" s="204">
        <v>0</v>
      </c>
      <c r="BH50" s="204">
        <f t="shared" si="53"/>
        <v>196.07843137254901</v>
      </c>
      <c r="BI50" s="204">
        <f t="shared" si="55"/>
        <v>230.47619047619048</v>
      </c>
      <c r="BJ50" s="186">
        <f t="shared" si="65"/>
        <v>0</v>
      </c>
      <c r="BK50" s="186">
        <f t="shared" si="66"/>
        <v>0.58050920612688373</v>
      </c>
      <c r="BL50" s="186">
        <f t="shared" si="67"/>
        <v>0.81035318526988709</v>
      </c>
      <c r="BM50" s="186">
        <f t="shared" si="36"/>
        <v>0.3538588420521882</v>
      </c>
      <c r="BN50" s="186">
        <f t="shared" si="37"/>
        <v>0.47368768419843305</v>
      </c>
      <c r="BO50" s="186">
        <f t="shared" si="38"/>
        <v>0.83943739996935218</v>
      </c>
      <c r="BP50" s="186">
        <f t="shared" si="39"/>
        <v>0.77952616641029138</v>
      </c>
      <c r="BQ50" s="186">
        <f t="shared" si="40"/>
        <v>0.71712526655036701</v>
      </c>
      <c r="BR50" s="186">
        <f t="shared" si="41"/>
        <v>0.9168961411890133</v>
      </c>
      <c r="BS50" s="186">
        <f t="shared" si="42"/>
        <v>74.425035303593802</v>
      </c>
      <c r="BT50" s="186">
        <f t="shared" si="43"/>
        <v>-31.200449929962183</v>
      </c>
      <c r="BU50" s="186">
        <f t="shared" si="44"/>
        <v>-27.473994955744384</v>
      </c>
      <c r="BV50" s="204">
        <v>48</v>
      </c>
      <c r="BW50" s="190">
        <v>42.267000000000003</v>
      </c>
      <c r="BX50" s="186">
        <v>0.12711003480869901</v>
      </c>
      <c r="BY50" s="186">
        <v>0.29980895625411802</v>
      </c>
      <c r="BZ50" s="214">
        <v>15</v>
      </c>
      <c r="CA50" s="204">
        <v>210</v>
      </c>
      <c r="CB50" s="204">
        <v>227</v>
      </c>
      <c r="CC50" s="186">
        <f t="shared" si="45"/>
        <v>4.4889965191301007E-2</v>
      </c>
      <c r="CD50" s="186">
        <f t="shared" si="46"/>
        <v>-3.8089562541180344E-3</v>
      </c>
      <c r="CE50" s="186"/>
      <c r="CF50" s="186"/>
      <c r="CG50" s="186"/>
      <c r="CH50" s="204">
        <f t="shared" si="47"/>
        <v>0</v>
      </c>
      <c r="CI50" s="204">
        <f t="shared" si="48"/>
        <v>58.823529411764696</v>
      </c>
      <c r="CJ50" s="204">
        <f t="shared" si="49"/>
        <v>69.142857142857139</v>
      </c>
      <c r="CK50" s="211">
        <v>0</v>
      </c>
      <c r="CL50" s="211">
        <f t="shared" si="54"/>
        <v>56.02240896358542</v>
      </c>
      <c r="CM50" s="211">
        <f t="shared" si="56"/>
        <v>66.716791979949875</v>
      </c>
      <c r="CN50" s="216">
        <v>7</v>
      </c>
      <c r="CO50" s="205">
        <f t="shared" si="51"/>
        <v>95.238095238095212</v>
      </c>
      <c r="CP50" s="205">
        <f t="shared" si="52"/>
        <v>113.41854636591478</v>
      </c>
    </row>
    <row r="51" spans="1:94">
      <c r="A51" s="190">
        <v>49</v>
      </c>
      <c r="B51" s="190">
        <v>38.85</v>
      </c>
      <c r="C51" s="190">
        <v>0.16800000000000001</v>
      </c>
      <c r="D51" s="190">
        <v>0.26400000000000001</v>
      </c>
      <c r="E51" s="193">
        <v>5</v>
      </c>
      <c r="F51" s="193">
        <v>190</v>
      </c>
      <c r="G51" s="193">
        <v>230</v>
      </c>
      <c r="H51" s="193">
        <f t="shared" si="15"/>
        <v>1.5176349177441874E-3</v>
      </c>
      <c r="I51" s="193">
        <f t="shared" si="16"/>
        <v>0.54420138435103338</v>
      </c>
      <c r="J51" s="193">
        <f t="shared" si="17"/>
        <v>0.80688510595100582</v>
      </c>
      <c r="K51" s="194">
        <f t="shared" si="18"/>
        <v>0.34087504930816381</v>
      </c>
      <c r="L51" s="194">
        <f t="shared" si="19"/>
        <v>0.4477925839210341</v>
      </c>
      <c r="M51" s="194">
        <f t="shared" si="20"/>
        <v>0.83184238857498671</v>
      </c>
      <c r="N51" s="194">
        <f t="shared" si="57"/>
        <v>0.76505436777147662</v>
      </c>
      <c r="O51" s="194">
        <f t="shared" si="58"/>
        <v>0.70824482771263875</v>
      </c>
      <c r="P51" s="194">
        <f t="shared" si="59"/>
        <v>0.91412247985438966</v>
      </c>
      <c r="Q51" s="194">
        <f t="shared" si="21"/>
        <v>72.746306661491289</v>
      </c>
      <c r="R51" s="194">
        <f t="shared" si="60"/>
        <v>-28.404770029418934</v>
      </c>
      <c r="S51" s="194">
        <f t="shared" si="61"/>
        <v>-29.813622416582607</v>
      </c>
      <c r="T51" s="193"/>
      <c r="U51" s="193"/>
      <c r="V51" s="193"/>
      <c r="W51" s="193"/>
      <c r="X51" s="193"/>
      <c r="Y51" s="193"/>
      <c r="Z51" s="193"/>
      <c r="AA51" s="193"/>
      <c r="AB51" s="195">
        <f t="shared" si="62"/>
        <v>81.421510499999997</v>
      </c>
      <c r="AC51" s="195">
        <f t="shared" si="63"/>
        <v>137.99625649999999</v>
      </c>
      <c r="AD51" s="195">
        <f t="shared" si="64"/>
        <v>241.52069449999999</v>
      </c>
      <c r="AE51" s="195"/>
      <c r="AF51" s="195"/>
      <c r="AG51" s="190">
        <v>38.85</v>
      </c>
      <c r="AH51" s="196">
        <v>0.14593273000000001</v>
      </c>
      <c r="AI51" s="196">
        <v>0.30363679300000002</v>
      </c>
      <c r="AJ51" s="202">
        <v>0</v>
      </c>
      <c r="AK51" s="202">
        <v>199</v>
      </c>
      <c r="AL51" s="202">
        <v>213</v>
      </c>
      <c r="AM51" s="197">
        <f t="shared" si="22"/>
        <v>0</v>
      </c>
      <c r="AN51" s="197">
        <f t="shared" si="23"/>
        <v>0.59841635515524316</v>
      </c>
      <c r="AO51" s="197">
        <f t="shared" si="24"/>
        <v>0.68836423436469807</v>
      </c>
      <c r="AP51" s="194">
        <f t="shared" si="25"/>
        <v>0.33824343290634296</v>
      </c>
      <c r="AQ51" s="194">
        <f t="shared" si="26"/>
        <v>0.4776872749281611</v>
      </c>
      <c r="AR51" s="194">
        <f t="shared" si="27"/>
        <v>0.72562143429815051</v>
      </c>
      <c r="AS51" s="197">
        <f t="shared" si="28"/>
        <v>0.78171400144561143</v>
      </c>
      <c r="AT51" s="197">
        <f t="shared" si="29"/>
        <v>0.70641752496080856</v>
      </c>
      <c r="AU51" s="197">
        <f t="shared" si="30"/>
        <v>0.87342859829927277</v>
      </c>
      <c r="AV51" s="196">
        <f t="shared" si="31"/>
        <v>74.678824167690919</v>
      </c>
      <c r="AW51" s="196">
        <f t="shared" si="32"/>
        <v>-37.648238242401433</v>
      </c>
      <c r="AX51" s="196">
        <f t="shared" si="33"/>
        <v>-18.342919370732268</v>
      </c>
      <c r="AY51" s="196">
        <f t="shared" si="34"/>
        <v>14.857770925756871</v>
      </c>
      <c r="AZ51" s="190">
        <v>38.85</v>
      </c>
      <c r="BA51" s="210">
        <v>0.127765016420293</v>
      </c>
      <c r="BB51" s="210">
        <v>0.27088591330233702</v>
      </c>
      <c r="BC51" s="204">
        <v>0</v>
      </c>
      <c r="BD51" s="204">
        <v>200</v>
      </c>
      <c r="BE51" s="204">
        <v>234</v>
      </c>
      <c r="BF51" s="186"/>
      <c r="BG51" s="204">
        <v>0</v>
      </c>
      <c r="BH51" s="204">
        <f t="shared" si="53"/>
        <v>181.4070351758794</v>
      </c>
      <c r="BI51" s="204">
        <f t="shared" si="55"/>
        <v>248.35680751173709</v>
      </c>
      <c r="BJ51" s="186">
        <f t="shared" si="65"/>
        <v>0</v>
      </c>
      <c r="BK51" s="186">
        <f t="shared" si="66"/>
        <v>0.49504747774384</v>
      </c>
      <c r="BL51" s="186">
        <f t="shared" si="67"/>
        <v>0.94647767566447127</v>
      </c>
      <c r="BM51" s="186">
        <f t="shared" si="36"/>
        <v>0.34786819849863421</v>
      </c>
      <c r="BN51" s="186">
        <f t="shared" si="37"/>
        <v>0.42239364426536913</v>
      </c>
      <c r="BO51" s="186">
        <f t="shared" si="38"/>
        <v>0.95863669006614571</v>
      </c>
      <c r="BP51" s="186">
        <f t="shared" si="39"/>
        <v>0.75030721888807173</v>
      </c>
      <c r="BQ51" s="186">
        <f t="shared" si="40"/>
        <v>0.7130553614522005</v>
      </c>
      <c r="BR51" s="186">
        <f t="shared" si="41"/>
        <v>0.95838951917350645</v>
      </c>
      <c r="BS51" s="186">
        <f t="shared" si="42"/>
        <v>71.035637391016323</v>
      </c>
      <c r="BT51" s="186">
        <f t="shared" si="43"/>
        <v>-18.625928717935615</v>
      </c>
      <c r="BU51" s="186">
        <f t="shared" si="44"/>
        <v>-41.616460057086947</v>
      </c>
      <c r="BV51" s="204">
        <v>49</v>
      </c>
      <c r="BW51" s="190">
        <v>38.85</v>
      </c>
      <c r="BX51" s="186">
        <v>0.127919845941454</v>
      </c>
      <c r="BY51" s="186">
        <v>0.27313880462409601</v>
      </c>
      <c r="BZ51" s="214">
        <v>5</v>
      </c>
      <c r="CA51" s="204">
        <v>200</v>
      </c>
      <c r="CB51" s="204">
        <v>233</v>
      </c>
      <c r="CC51" s="186">
        <f t="shared" si="45"/>
        <v>4.0080154058546008E-2</v>
      </c>
      <c r="CD51" s="186">
        <f t="shared" si="46"/>
        <v>-9.1388046240959975E-3</v>
      </c>
      <c r="CE51" s="186"/>
      <c r="CF51" s="186"/>
      <c r="CG51" s="186"/>
      <c r="CH51" s="204">
        <f t="shared" si="47"/>
        <v>0</v>
      </c>
      <c r="CI51" s="204">
        <f t="shared" si="48"/>
        <v>54.422110552763819</v>
      </c>
      <c r="CJ51" s="204">
        <f t="shared" si="49"/>
        <v>74.507042253521121</v>
      </c>
      <c r="CK51" s="211">
        <v>0</v>
      </c>
      <c r="CL51" s="211">
        <f t="shared" si="54"/>
        <v>51.701005025125625</v>
      </c>
      <c r="CM51" s="211">
        <f t="shared" si="56"/>
        <v>73.233417599614768</v>
      </c>
      <c r="CN51" s="216">
        <v>2</v>
      </c>
      <c r="CO51" s="205">
        <f t="shared" si="51"/>
        <v>87.891708542713559</v>
      </c>
      <c r="CP51" s="205">
        <f t="shared" si="52"/>
        <v>124.4968099193451</v>
      </c>
    </row>
    <row r="52" spans="1:94">
      <c r="A52" s="190">
        <v>50</v>
      </c>
      <c r="B52" s="190">
        <v>35.750999999999998</v>
      </c>
      <c r="C52" s="190">
        <v>0.16800000000000001</v>
      </c>
      <c r="D52" s="190">
        <v>0.23600000000000002</v>
      </c>
      <c r="E52" s="193">
        <v>0</v>
      </c>
      <c r="F52" s="193">
        <v>180</v>
      </c>
      <c r="G52" s="193">
        <v>240</v>
      </c>
      <c r="H52" s="193">
        <f t="shared" si="15"/>
        <v>0</v>
      </c>
      <c r="I52" s="193">
        <f t="shared" si="16"/>
        <v>0.48724020190675382</v>
      </c>
      <c r="J52" s="193">
        <f t="shared" si="17"/>
        <v>0.88142305085254469</v>
      </c>
      <c r="K52" s="194">
        <f t="shared" si="18"/>
        <v>0.33333395688073947</v>
      </c>
      <c r="L52" s="194">
        <f t="shared" si="19"/>
        <v>0.41211293667526405</v>
      </c>
      <c r="M52" s="194">
        <f t="shared" si="20"/>
        <v>0.8958716419026288</v>
      </c>
      <c r="N52" s="194">
        <f t="shared" si="57"/>
        <v>0.74416987047143068</v>
      </c>
      <c r="O52" s="194">
        <f t="shared" si="58"/>
        <v>0.70298305954940477</v>
      </c>
      <c r="P52" s="194">
        <f t="shared" si="59"/>
        <v>0.93699937945814304</v>
      </c>
      <c r="Q52" s="194">
        <f t="shared" si="21"/>
        <v>70.323704974685953</v>
      </c>
      <c r="R52" s="194">
        <f t="shared" si="60"/>
        <v>-20.59340546101296</v>
      </c>
      <c r="S52" s="194">
        <f t="shared" si="61"/>
        <v>-38.56590179734247</v>
      </c>
      <c r="T52" s="193"/>
      <c r="U52" s="193"/>
      <c r="V52" s="193"/>
      <c r="W52" s="193"/>
      <c r="X52" s="193"/>
      <c r="Y52" s="193"/>
      <c r="Z52" s="193"/>
      <c r="AA52" s="193"/>
      <c r="AB52" s="195">
        <f t="shared" si="62"/>
        <v>78.564167999999995</v>
      </c>
      <c r="AC52" s="195">
        <f t="shared" si="63"/>
        <v>130.98862199999999</v>
      </c>
      <c r="AD52" s="195">
        <f t="shared" si="64"/>
        <v>250.58973599999999</v>
      </c>
      <c r="AE52" s="195"/>
      <c r="AF52" s="195"/>
      <c r="AG52" s="190">
        <v>35.750999999999998</v>
      </c>
      <c r="AH52" s="196">
        <v>0.13304318800000001</v>
      </c>
      <c r="AI52" s="196">
        <v>0.28829810300000003</v>
      </c>
      <c r="AJ52" s="202">
        <v>0</v>
      </c>
      <c r="AK52" s="202">
        <v>193</v>
      </c>
      <c r="AL52" s="202">
        <v>215</v>
      </c>
      <c r="AM52" s="197">
        <f t="shared" si="22"/>
        <v>0</v>
      </c>
      <c r="AN52" s="197">
        <f t="shared" si="23"/>
        <v>0.56196120767129998</v>
      </c>
      <c r="AO52" s="197">
        <f t="shared" si="24"/>
        <v>0.70177606806351733</v>
      </c>
      <c r="AP52" s="194">
        <f t="shared" si="25"/>
        <v>0.32762790814872172</v>
      </c>
      <c r="AQ52" s="194">
        <f t="shared" si="26"/>
        <v>0.45258288784069967</v>
      </c>
      <c r="AR52" s="194">
        <f t="shared" si="27"/>
        <v>0.73402392864879218</v>
      </c>
      <c r="AS52" s="197">
        <f t="shared" si="28"/>
        <v>0.76777277792313503</v>
      </c>
      <c r="AT52" s="197">
        <f t="shared" si="29"/>
        <v>0.69894870293799394</v>
      </c>
      <c r="AU52" s="197">
        <f t="shared" si="30"/>
        <v>0.87678702165986633</v>
      </c>
      <c r="AV52" s="196">
        <f t="shared" si="31"/>
        <v>73.061642239083668</v>
      </c>
      <c r="AW52" s="196">
        <f t="shared" si="32"/>
        <v>-34.412037492570548</v>
      </c>
      <c r="AX52" s="196">
        <f t="shared" si="33"/>
        <v>-21.80284874734626</v>
      </c>
      <c r="AY52" s="196">
        <f t="shared" si="34"/>
        <v>21.896365891269589</v>
      </c>
      <c r="AZ52" s="190">
        <v>35.750999999999998</v>
      </c>
      <c r="BA52" s="210">
        <v>0.128517858731414</v>
      </c>
      <c r="BB52" s="210">
        <v>0.24968265637296</v>
      </c>
      <c r="BC52" s="204">
        <v>0</v>
      </c>
      <c r="BD52" s="204">
        <v>191</v>
      </c>
      <c r="BE52" s="204">
        <v>238</v>
      </c>
      <c r="BF52" s="186"/>
      <c r="BG52" s="204">
        <v>0</v>
      </c>
      <c r="BH52" s="204">
        <f t="shared" si="53"/>
        <v>167.87564766839378</v>
      </c>
      <c r="BI52" s="204">
        <f t="shared" si="55"/>
        <v>267.90697674418607</v>
      </c>
      <c r="BJ52" s="186">
        <f t="shared" si="65"/>
        <v>0</v>
      </c>
      <c r="BK52" s="186">
        <f t="shared" si="66"/>
        <v>0.42275770511800037</v>
      </c>
      <c r="BL52" s="186">
        <f t="shared" si="67"/>
        <v>1.1085970839127148</v>
      </c>
      <c r="BM52" s="186">
        <f t="shared" si="36"/>
        <v>0.35127992899644189</v>
      </c>
      <c r="BN52" s="186">
        <f t="shared" si="37"/>
        <v>0.38239702015889182</v>
      </c>
      <c r="BO52" s="186">
        <f t="shared" si="38"/>
        <v>1.1041142467091012</v>
      </c>
      <c r="BP52" s="186">
        <f t="shared" si="39"/>
        <v>0.72583543497808201</v>
      </c>
      <c r="BQ52" s="186">
        <f t="shared" si="40"/>
        <v>0.71537888770078806</v>
      </c>
      <c r="BR52" s="186">
        <f t="shared" si="41"/>
        <v>1.0046050986547903</v>
      </c>
      <c r="BS52" s="186">
        <f t="shared" si="42"/>
        <v>68.196910457457506</v>
      </c>
      <c r="BT52" s="186">
        <f t="shared" si="43"/>
        <v>-5.2282736386469741</v>
      </c>
      <c r="BU52" s="186">
        <f t="shared" si="44"/>
        <v>-55.753932735341664</v>
      </c>
      <c r="BV52" s="204">
        <v>50</v>
      </c>
      <c r="BW52" s="190">
        <v>35.750999999999998</v>
      </c>
      <c r="BX52" s="186">
        <v>0.12878261776146699</v>
      </c>
      <c r="BY52" s="186">
        <v>0.245057443830549</v>
      </c>
      <c r="BZ52" s="215">
        <v>0</v>
      </c>
      <c r="CA52" s="204">
        <v>190</v>
      </c>
      <c r="CB52" s="204">
        <v>242</v>
      </c>
      <c r="CC52" s="186">
        <f t="shared" si="45"/>
        <v>3.9217382238533022E-2</v>
      </c>
      <c r="CD52" s="186">
        <f t="shared" si="46"/>
        <v>-9.057443830548989E-3</v>
      </c>
      <c r="CE52" s="186"/>
      <c r="CF52" s="186"/>
      <c r="CG52" s="186"/>
      <c r="CH52" s="204">
        <f t="shared" si="47"/>
        <v>0</v>
      </c>
      <c r="CI52" s="204">
        <f t="shared" si="48"/>
        <v>50.362694300518136</v>
      </c>
      <c r="CJ52" s="204">
        <f t="shared" si="49"/>
        <v>80.372093023255815</v>
      </c>
      <c r="CK52" s="211">
        <v>0</v>
      </c>
      <c r="CL52" s="211">
        <f t="shared" si="54"/>
        <v>47.46222499525269</v>
      </c>
      <c r="CM52" s="211">
        <f t="shared" si="56"/>
        <v>81.04748876294704</v>
      </c>
      <c r="CN52" s="205">
        <f t="shared" si="50"/>
        <v>0</v>
      </c>
      <c r="CO52" s="205">
        <f t="shared" si="51"/>
        <v>80.685782491929572</v>
      </c>
      <c r="CP52" s="205">
        <f t="shared" si="52"/>
        <v>137.78073089700996</v>
      </c>
    </row>
    <row r="53" spans="1:94">
      <c r="A53" s="190">
        <v>51</v>
      </c>
      <c r="B53" s="190">
        <v>62.752000000000002</v>
      </c>
      <c r="C53" s="190">
        <v>0.16400000000000001</v>
      </c>
      <c r="D53" s="190">
        <v>0.20400000000000001</v>
      </c>
      <c r="E53" s="193">
        <v>0</v>
      </c>
      <c r="F53" s="193">
        <v>165</v>
      </c>
      <c r="G53" s="193">
        <v>250</v>
      </c>
      <c r="H53" s="193">
        <f t="shared" si="15"/>
        <v>0</v>
      </c>
      <c r="I53" s="193">
        <f t="shared" si="16"/>
        <v>0.40819369580004278</v>
      </c>
      <c r="J53" s="193">
        <f t="shared" si="17"/>
        <v>0.95956700166791176</v>
      </c>
      <c r="K53" s="194">
        <f t="shared" si="18"/>
        <v>0.31917190941915335</v>
      </c>
      <c r="L53" s="194">
        <f t="shared" si="19"/>
        <v>0.3612208687566138</v>
      </c>
      <c r="M53" s="194">
        <f t="shared" si="20"/>
        <v>0.96072512362471529</v>
      </c>
      <c r="N53" s="194">
        <f t="shared" si="57"/>
        <v>0.71218192019878679</v>
      </c>
      <c r="O53" s="194">
        <f t="shared" si="58"/>
        <v>0.6928829812520938</v>
      </c>
      <c r="P53" s="194">
        <f t="shared" si="59"/>
        <v>0.95908497941568316</v>
      </c>
      <c r="Q53" s="194">
        <f t="shared" si="21"/>
        <v>66.613102743059272</v>
      </c>
      <c r="R53" s="194">
        <f t="shared" si="60"/>
        <v>-9.6494694733464943</v>
      </c>
      <c r="S53" s="194">
        <f t="shared" si="61"/>
        <v>-49.38061184337927</v>
      </c>
      <c r="T53" s="193"/>
      <c r="U53" s="193"/>
      <c r="V53" s="193"/>
      <c r="W53" s="193"/>
      <c r="X53" s="193"/>
      <c r="Y53" s="193"/>
      <c r="Z53" s="193"/>
      <c r="AA53" s="193"/>
      <c r="AB53" s="195">
        <f t="shared" si="62"/>
        <v>77.662710000000004</v>
      </c>
      <c r="AC53" s="195">
        <f t="shared" si="63"/>
        <v>122.3311265</v>
      </c>
      <c r="AD53" s="195">
        <f t="shared" si="64"/>
        <v>259.44051300000001</v>
      </c>
      <c r="AE53" s="195"/>
      <c r="AF53" s="195"/>
      <c r="AG53" s="190">
        <v>62.752000000000002</v>
      </c>
      <c r="AH53" s="196">
        <v>0.12686286099999999</v>
      </c>
      <c r="AI53" s="196">
        <v>0.27243352399999998</v>
      </c>
      <c r="AJ53" s="202">
        <v>0</v>
      </c>
      <c r="AK53" s="202">
        <v>249</v>
      </c>
      <c r="AL53" s="202">
        <v>255</v>
      </c>
      <c r="AM53" s="197">
        <f t="shared" si="22"/>
        <v>0</v>
      </c>
      <c r="AN53" s="197">
        <f t="shared" si="23"/>
        <v>0.95158953273420332</v>
      </c>
      <c r="AO53" s="197">
        <f t="shared" si="24"/>
        <v>1</v>
      </c>
      <c r="AP53" s="194">
        <f t="shared" si="25"/>
        <v>0.52078841690575106</v>
      </c>
      <c r="AQ53" s="194">
        <f t="shared" si="26"/>
        <v>0.75277683381150218</v>
      </c>
      <c r="AR53" s="194">
        <f t="shared" si="27"/>
        <v>1.063929472301917</v>
      </c>
      <c r="AS53" s="197">
        <f t="shared" si="28"/>
        <v>0.90968021360757367</v>
      </c>
      <c r="AT53" s="197">
        <f t="shared" si="29"/>
        <v>0.81571562087572591</v>
      </c>
      <c r="AU53" s="197">
        <f t="shared" si="30"/>
        <v>0.99226647853114702</v>
      </c>
      <c r="AV53" s="196">
        <f t="shared" si="31"/>
        <v>89.522904778478548</v>
      </c>
      <c r="AW53" s="196">
        <f t="shared" si="32"/>
        <v>-46.982296365923879</v>
      </c>
      <c r="AX53" s="196">
        <f t="shared" si="33"/>
        <v>-16.51725298471467</v>
      </c>
      <c r="AY53" s="196">
        <f t="shared" si="34"/>
        <v>54.759468118003298</v>
      </c>
      <c r="AZ53" s="190">
        <v>62.752000000000002</v>
      </c>
      <c r="BA53" s="210">
        <v>0.130131532876571</v>
      </c>
      <c r="BB53" s="210">
        <v>0.204500787123264</v>
      </c>
      <c r="BC53" s="204">
        <v>0</v>
      </c>
      <c r="BD53" s="204">
        <v>240</v>
      </c>
      <c r="BE53" s="204">
        <v>349</v>
      </c>
      <c r="BF53" s="186"/>
      <c r="BG53" s="204">
        <v>0</v>
      </c>
      <c r="BH53" s="204">
        <f t="shared" si="53"/>
        <v>109.33734939759036</v>
      </c>
      <c r="BI53" s="204">
        <f t="shared" si="55"/>
        <v>245.09803921568627</v>
      </c>
      <c r="BJ53" s="186">
        <f t="shared" si="65"/>
        <v>0</v>
      </c>
      <c r="BK53" s="186">
        <f t="shared" si="66"/>
        <v>0.17991110948166242</v>
      </c>
      <c r="BL53" s="186">
        <f t="shared" si="67"/>
        <v>0.92080878751991824</v>
      </c>
      <c r="BM53" s="186">
        <f t="shared" si="36"/>
        <v>0.23054219889798772</v>
      </c>
      <c r="BN53" s="186">
        <f t="shared" si="37"/>
        <v>0.19515481996022305</v>
      </c>
      <c r="BO53" s="186">
        <f t="shared" si="38"/>
        <v>0.89667415678789641</v>
      </c>
      <c r="BP53" s="186">
        <f t="shared" si="39"/>
        <v>0.58004242650429283</v>
      </c>
      <c r="BQ53" s="186">
        <f t="shared" si="40"/>
        <v>0.62168227327146153</v>
      </c>
      <c r="BR53" s="186">
        <f t="shared" si="41"/>
        <v>0.93727908155455519</v>
      </c>
      <c r="BS53" s="186">
        <f t="shared" si="42"/>
        <v>51.284921474497963</v>
      </c>
      <c r="BT53" s="186">
        <f t="shared" si="43"/>
        <v>20.819923383584349</v>
      </c>
      <c r="BU53" s="186">
        <f t="shared" si="44"/>
        <v>-71.447331010052466</v>
      </c>
      <c r="BV53" s="204">
        <v>51</v>
      </c>
      <c r="BW53" s="190">
        <v>62.752000000000002</v>
      </c>
      <c r="BX53" s="186">
        <v>0.13007776743021601</v>
      </c>
      <c r="BY53" s="186">
        <v>0.20182805896207301</v>
      </c>
      <c r="BZ53" s="215">
        <v>0</v>
      </c>
      <c r="CA53" s="214">
        <v>170</v>
      </c>
      <c r="CB53" s="214">
        <v>250</v>
      </c>
      <c r="CC53" s="186">
        <f t="shared" si="45"/>
        <v>3.3922232569783994E-2</v>
      </c>
      <c r="CD53" s="186">
        <f t="shared" si="46"/>
        <v>2.1719410379270054E-3</v>
      </c>
      <c r="CE53" s="186"/>
      <c r="CF53" s="186"/>
      <c r="CG53" s="186"/>
      <c r="CH53" s="204">
        <f t="shared" si="47"/>
        <v>0</v>
      </c>
      <c r="CI53" s="204">
        <f t="shared" si="48"/>
        <v>32.801204819277103</v>
      </c>
      <c r="CJ53" s="204">
        <f t="shared" si="49"/>
        <v>73.529411764705884</v>
      </c>
      <c r="CK53" s="211">
        <v>0</v>
      </c>
      <c r="CL53" s="211">
        <f t="shared" si="54"/>
        <v>22.550828313253007</v>
      </c>
      <c r="CM53" s="211">
        <f t="shared" si="56"/>
        <v>52.671498398786454</v>
      </c>
      <c r="CN53" s="205">
        <f t="shared" si="50"/>
        <v>0</v>
      </c>
      <c r="CO53" s="216">
        <v>71</v>
      </c>
      <c r="CP53" s="216">
        <v>159</v>
      </c>
    </row>
    <row r="54" spans="1:94">
      <c r="A54" s="190">
        <v>52</v>
      </c>
      <c r="B54" s="190">
        <v>27.056999999999999</v>
      </c>
      <c r="C54" s="190">
        <v>0.16</v>
      </c>
      <c r="D54" s="190">
        <v>0.17599999999999999</v>
      </c>
      <c r="E54" s="193">
        <v>0</v>
      </c>
      <c r="F54" s="193">
        <v>150</v>
      </c>
      <c r="G54" s="193">
        <v>255</v>
      </c>
      <c r="H54" s="193">
        <f t="shared" si="15"/>
        <v>0</v>
      </c>
      <c r="I54" s="193">
        <f t="shared" si="16"/>
        <v>0.33671176710730877</v>
      </c>
      <c r="J54" s="193">
        <f t="shared" si="17"/>
        <v>1</v>
      </c>
      <c r="K54" s="194">
        <f t="shared" si="18"/>
        <v>0.3009081279175736</v>
      </c>
      <c r="L54" s="194">
        <f t="shared" si="19"/>
        <v>0.31301625583514719</v>
      </c>
      <c r="M54" s="194">
        <f t="shared" si="20"/>
        <v>0.99063604263919125</v>
      </c>
      <c r="N54" s="194">
        <f t="shared" si="57"/>
        <v>0.67897788760591116</v>
      </c>
      <c r="O54" s="194">
        <f t="shared" si="58"/>
        <v>0.67940642027266973</v>
      </c>
      <c r="P54" s="194">
        <f t="shared" si="59"/>
        <v>0.96893672071000714</v>
      </c>
      <c r="Q54" s="194">
        <f t="shared" si="21"/>
        <v>62.761434962285691</v>
      </c>
      <c r="R54" s="194">
        <f t="shared" si="60"/>
        <v>0.21426633337928713</v>
      </c>
      <c r="S54" s="194">
        <f t="shared" si="61"/>
        <v>-57.991766620819199</v>
      </c>
      <c r="T54" s="193"/>
      <c r="U54" s="193"/>
      <c r="V54" s="193"/>
      <c r="W54" s="193"/>
      <c r="X54" s="193"/>
      <c r="Y54" s="193"/>
      <c r="Z54" s="193"/>
      <c r="AA54" s="193"/>
      <c r="AB54" s="195">
        <f t="shared" si="62"/>
        <v>75.820325999999994</v>
      </c>
      <c r="AC54" s="195">
        <f t="shared" si="63"/>
        <v>113.29726049999999</v>
      </c>
      <c r="AD54" s="195">
        <f t="shared" si="64"/>
        <v>263.33574749999997</v>
      </c>
      <c r="AE54" s="195"/>
      <c r="AF54" s="195"/>
      <c r="AG54" s="190">
        <v>27.056999999999999</v>
      </c>
      <c r="AH54" s="196">
        <v>0.127508291</v>
      </c>
      <c r="AI54" s="196">
        <v>0.25503493599999999</v>
      </c>
      <c r="AJ54" s="202">
        <v>0</v>
      </c>
      <c r="AK54" s="202">
        <v>167</v>
      </c>
      <c r="AL54" s="202">
        <v>207</v>
      </c>
      <c r="AM54" s="197">
        <f t="shared" si="22"/>
        <v>0</v>
      </c>
      <c r="AN54" s="197">
        <f t="shared" si="23"/>
        <v>0.4182934031048483</v>
      </c>
      <c r="AO54" s="197">
        <f t="shared" si="24"/>
        <v>0.64897395857321627</v>
      </c>
      <c r="AP54" s="194">
        <f t="shared" si="25"/>
        <v>0.26672152047275927</v>
      </c>
      <c r="AQ54" s="194">
        <f t="shared" si="26"/>
        <v>0.3460193617095737</v>
      </c>
      <c r="AR54" s="194">
        <f t="shared" si="27"/>
        <v>0.66671032127393992</v>
      </c>
      <c r="AS54" s="197">
        <f t="shared" si="28"/>
        <v>0.70204798991030837</v>
      </c>
      <c r="AT54" s="197">
        <f t="shared" si="29"/>
        <v>0.65263600028840818</v>
      </c>
      <c r="AU54" s="197">
        <f t="shared" si="30"/>
        <v>0.84912136069203903</v>
      </c>
      <c r="AV54" s="196">
        <f t="shared" si="31"/>
        <v>65.437566829595767</v>
      </c>
      <c r="AW54" s="196">
        <f t="shared" si="32"/>
        <v>-24.705994810950095</v>
      </c>
      <c r="AX54" s="196">
        <f t="shared" si="33"/>
        <v>-29.41467415634613</v>
      </c>
      <c r="AY54" s="196">
        <f t="shared" si="34"/>
        <v>38.010936728734386</v>
      </c>
      <c r="AZ54" s="190">
        <v>27.056999999999999</v>
      </c>
      <c r="BA54" s="210">
        <v>0.13033679476069801</v>
      </c>
      <c r="BB54" s="210">
        <v>0.19882582334987101</v>
      </c>
      <c r="BC54" s="204">
        <v>0</v>
      </c>
      <c r="BD54" s="204">
        <v>163</v>
      </c>
      <c r="BE54" s="204">
        <v>243</v>
      </c>
      <c r="BF54" s="186"/>
      <c r="BG54" s="204">
        <v>0</v>
      </c>
      <c r="BH54" s="204">
        <f t="shared" si="53"/>
        <v>134.73053892215569</v>
      </c>
      <c r="BI54" s="204">
        <f t="shared" si="55"/>
        <v>314.13043478260869</v>
      </c>
      <c r="BJ54" s="186">
        <f t="shared" si="65"/>
        <v>0</v>
      </c>
      <c r="BK54" s="186">
        <f t="shared" si="66"/>
        <v>0.27157958000890714</v>
      </c>
      <c r="BL54" s="186">
        <f t="shared" si="67"/>
        <v>1.5482151561630935</v>
      </c>
      <c r="BM54" s="186">
        <f t="shared" si="36"/>
        <v>0.37656969349862351</v>
      </c>
      <c r="BN54" s="186">
        <f t="shared" si="37"/>
        <v>0.30601484989734573</v>
      </c>
      <c r="BO54" s="186">
        <f t="shared" si="38"/>
        <v>1.5039507918700821</v>
      </c>
      <c r="BP54" s="186">
        <f t="shared" si="39"/>
        <v>0.67387731060901312</v>
      </c>
      <c r="BQ54" s="186">
        <f t="shared" si="40"/>
        <v>0.73215010433098104</v>
      </c>
      <c r="BR54" s="186">
        <f t="shared" si="41"/>
        <v>1.1136154535626472</v>
      </c>
      <c r="BS54" s="186">
        <f t="shared" si="42"/>
        <v>62.169768030645528</v>
      </c>
      <c r="BT54" s="186">
        <f t="shared" si="43"/>
        <v>29.136396860983961</v>
      </c>
      <c r="BU54" s="186">
        <f t="shared" si="44"/>
        <v>-87.947628590726822</v>
      </c>
      <c r="BV54" s="204">
        <v>52</v>
      </c>
      <c r="BW54" s="190">
        <v>27.056999999999999</v>
      </c>
      <c r="BX54" s="186">
        <v>0.130530709945338</v>
      </c>
      <c r="BY54" s="186">
        <v>0.188165442040266</v>
      </c>
      <c r="BZ54" s="204">
        <v>0</v>
      </c>
      <c r="CA54" s="204">
        <v>161</v>
      </c>
      <c r="CB54" s="204">
        <v>250</v>
      </c>
      <c r="CC54" s="186">
        <f t="shared" si="45"/>
        <v>2.9469290054662006E-2</v>
      </c>
      <c r="CD54" s="186">
        <f t="shared" si="46"/>
        <v>-1.2165442040266011E-2</v>
      </c>
      <c r="CE54" s="186"/>
      <c r="CF54" s="186"/>
      <c r="CG54" s="186"/>
      <c r="CH54" s="204">
        <f t="shared" si="47"/>
        <v>0</v>
      </c>
      <c r="CI54" s="204">
        <f t="shared" si="48"/>
        <v>40.419161676646702</v>
      </c>
      <c r="CJ54" s="204">
        <f t="shared" si="49"/>
        <v>94.239130434782609</v>
      </c>
      <c r="CK54" s="211">
        <v>0</v>
      </c>
      <c r="CL54" s="211">
        <f t="shared" si="54"/>
        <v>37.195547555196349</v>
      </c>
      <c r="CM54" s="211">
        <f t="shared" si="56"/>
        <v>98.892914653784217</v>
      </c>
      <c r="CN54" s="205">
        <f t="shared" si="50"/>
        <v>0</v>
      </c>
      <c r="CO54" s="205">
        <f t="shared" si="51"/>
        <v>63.232430843833789</v>
      </c>
      <c r="CP54" s="205">
        <f t="shared" si="52"/>
        <v>168.11795491143317</v>
      </c>
    </row>
    <row r="55" spans="1:94">
      <c r="A55" s="190">
        <v>53</v>
      </c>
      <c r="B55" s="190">
        <v>21.783999999999999</v>
      </c>
      <c r="C55" s="190">
        <v>0.16</v>
      </c>
      <c r="D55" s="190">
        <v>0.14799999999999999</v>
      </c>
      <c r="E55" s="193">
        <v>0</v>
      </c>
      <c r="F55" s="193">
        <v>130</v>
      </c>
      <c r="G55" s="193">
        <v>255</v>
      </c>
      <c r="H55" s="193">
        <f t="shared" si="15"/>
        <v>0</v>
      </c>
      <c r="I55" s="193">
        <f t="shared" si="16"/>
        <v>0.25294117776743769</v>
      </c>
      <c r="J55" s="193">
        <f t="shared" si="17"/>
        <v>1</v>
      </c>
      <c r="K55" s="194">
        <f t="shared" si="18"/>
        <v>0.27095176516963571</v>
      </c>
      <c r="L55" s="194">
        <f t="shared" si="19"/>
        <v>0.25310353033927141</v>
      </c>
      <c r="M55" s="194">
        <f t="shared" si="20"/>
        <v>0.98065058838987862</v>
      </c>
      <c r="N55" s="194">
        <f t="shared" si="57"/>
        <v>0.63255661381565464</v>
      </c>
      <c r="O55" s="194">
        <f t="shared" si="58"/>
        <v>0.65606822129333375</v>
      </c>
      <c r="P55" s="194">
        <f t="shared" si="59"/>
        <v>0.96567014430156073</v>
      </c>
      <c r="Q55" s="194">
        <f t="shared" si="21"/>
        <v>57.376567202615945</v>
      </c>
      <c r="R55" s="194">
        <f t="shared" si="60"/>
        <v>11.755803738839553</v>
      </c>
      <c r="S55" s="194">
        <f t="shared" si="61"/>
        <v>-66.622706097181222</v>
      </c>
      <c r="T55" s="193"/>
      <c r="U55" s="193"/>
      <c r="V55" s="193"/>
      <c r="W55" s="193"/>
      <c r="X55" s="193"/>
      <c r="Y55" s="193"/>
      <c r="Z55" s="193"/>
      <c r="AA55" s="193"/>
      <c r="AB55" s="195">
        <f t="shared" si="62"/>
        <v>72.109245999999999</v>
      </c>
      <c r="AC55" s="195">
        <f t="shared" si="63"/>
        <v>100.75027850000001</v>
      </c>
      <c r="AD55" s="195">
        <f t="shared" si="64"/>
        <v>261.92200350000002</v>
      </c>
      <c r="AE55" s="195"/>
      <c r="AF55" s="195"/>
      <c r="AG55" s="190">
        <v>21.783999999999999</v>
      </c>
      <c r="AH55" s="196">
        <v>0.128204243</v>
      </c>
      <c r="AI55" s="196">
        <v>0.23635456399999999</v>
      </c>
      <c r="AJ55" s="202">
        <v>0</v>
      </c>
      <c r="AK55" s="202">
        <v>152</v>
      </c>
      <c r="AL55" s="202">
        <v>198</v>
      </c>
      <c r="AM55" s="197">
        <f t="shared" si="22"/>
        <v>0</v>
      </c>
      <c r="AN55" s="197">
        <f t="shared" si="23"/>
        <v>0.34581025446431757</v>
      </c>
      <c r="AO55" s="197">
        <f t="shared" si="24"/>
        <v>0.59225365555484299</v>
      </c>
      <c r="AP55" s="194">
        <f t="shared" si="25"/>
        <v>0.23056353182408912</v>
      </c>
      <c r="AQ55" s="194">
        <f t="shared" si="26"/>
        <v>0.29008420792393957</v>
      </c>
      <c r="AR55" s="194">
        <f t="shared" si="27"/>
        <v>0.6041576819370249</v>
      </c>
      <c r="AS55" s="197">
        <f t="shared" si="28"/>
        <v>0.66197465540372613</v>
      </c>
      <c r="AT55" s="197">
        <f t="shared" si="29"/>
        <v>0.62170144820343876</v>
      </c>
      <c r="AU55" s="197">
        <f t="shared" si="30"/>
        <v>0.82168900185890781</v>
      </c>
      <c r="AV55" s="196">
        <f t="shared" si="31"/>
        <v>60.789060026832232</v>
      </c>
      <c r="AW55" s="196">
        <f t="shared" si="32"/>
        <v>-20.136603600143687</v>
      </c>
      <c r="AX55" s="196">
        <f t="shared" si="33"/>
        <v>-31.942869291036335</v>
      </c>
      <c r="AY55" s="196">
        <f t="shared" si="34"/>
        <v>47.23835130539382</v>
      </c>
      <c r="AZ55" s="190">
        <v>21.783999999999999</v>
      </c>
      <c r="BA55" s="210">
        <v>0.13130553546874399</v>
      </c>
      <c r="BB55" s="210">
        <v>0.17182941947132599</v>
      </c>
      <c r="BC55" s="204">
        <v>0</v>
      </c>
      <c r="BD55" s="204">
        <v>144</v>
      </c>
      <c r="BE55" s="204">
        <v>240</v>
      </c>
      <c r="BF55" s="186"/>
      <c r="BG55" s="204">
        <v>0</v>
      </c>
      <c r="BH55" s="204">
        <f t="shared" si="53"/>
        <v>111.18421052631579</v>
      </c>
      <c r="BI55" s="204">
        <f t="shared" si="55"/>
        <v>328.40909090909088</v>
      </c>
      <c r="BJ55" s="186">
        <f t="shared" si="65"/>
        <v>0</v>
      </c>
      <c r="BK55" s="186">
        <f t="shared" si="66"/>
        <v>0.185889989012823</v>
      </c>
      <c r="BL55" s="186">
        <f t="shared" si="67"/>
        <v>1.7003000949950318</v>
      </c>
      <c r="BM55" s="186">
        <f t="shared" si="36"/>
        <v>0.37337842721758874</v>
      </c>
      <c r="BN55" s="186">
        <f t="shared" si="37"/>
        <v>0.25571018700061232</v>
      </c>
      <c r="BO55" s="186">
        <f t="shared" si="38"/>
        <v>1.6382933269831064</v>
      </c>
      <c r="BP55" s="186">
        <f t="shared" si="39"/>
        <v>0.63472072121751633</v>
      </c>
      <c r="BQ55" s="186">
        <f t="shared" si="40"/>
        <v>0.73007601510724851</v>
      </c>
      <c r="BR55" s="186">
        <f t="shared" si="41"/>
        <v>1.1458328286994037</v>
      </c>
      <c r="BS55" s="186">
        <f t="shared" si="42"/>
        <v>57.627603661231888</v>
      </c>
      <c r="BT55" s="186">
        <f t="shared" si="43"/>
        <v>47.67764694486609</v>
      </c>
      <c r="BU55" s="186">
        <f t="shared" si="44"/>
        <v>-102.22242149637748</v>
      </c>
      <c r="BV55" s="204">
        <v>53</v>
      </c>
      <c r="BW55" s="190">
        <v>21.783999999999999</v>
      </c>
      <c r="BX55" s="186">
        <v>0.131399223228023</v>
      </c>
      <c r="BY55" s="186">
        <v>0.16028240727120999</v>
      </c>
      <c r="BZ55" s="204">
        <v>0</v>
      </c>
      <c r="CA55" s="204">
        <v>142</v>
      </c>
      <c r="CB55" s="204">
        <v>250</v>
      </c>
      <c r="CC55" s="186">
        <f t="shared" si="45"/>
        <v>2.8600776771977005E-2</v>
      </c>
      <c r="CD55" s="186">
        <f t="shared" si="46"/>
        <v>-1.2282407271209994E-2</v>
      </c>
      <c r="CE55" s="186"/>
      <c r="CF55" s="186"/>
      <c r="CG55" s="186"/>
      <c r="CH55" s="204">
        <f t="shared" si="47"/>
        <v>0</v>
      </c>
      <c r="CI55" s="204">
        <f t="shared" si="48"/>
        <v>33.35526315789474</v>
      </c>
      <c r="CJ55" s="204">
        <f t="shared" si="49"/>
        <v>98.522727272727266</v>
      </c>
      <c r="CK55" s="211">
        <v>0</v>
      </c>
      <c r="CL55" s="211">
        <f t="shared" si="54"/>
        <v>30.112390350877195</v>
      </c>
      <c r="CM55" s="211">
        <f t="shared" si="56"/>
        <v>104.68039772727272</v>
      </c>
      <c r="CN55" s="205">
        <f t="shared" si="50"/>
        <v>0</v>
      </c>
      <c r="CO55" s="205">
        <f t="shared" si="51"/>
        <v>51.191063596491233</v>
      </c>
      <c r="CP55" s="205">
        <f t="shared" si="52"/>
        <v>177.95667613636363</v>
      </c>
    </row>
    <row r="56" spans="1:94">
      <c r="A56" s="190">
        <v>54</v>
      </c>
      <c r="B56" s="190">
        <v>17.401</v>
      </c>
      <c r="C56" s="190">
        <v>0.156</v>
      </c>
      <c r="D56" s="190">
        <v>0.124</v>
      </c>
      <c r="E56" s="193">
        <v>0</v>
      </c>
      <c r="F56" s="193">
        <v>110</v>
      </c>
      <c r="G56" s="193">
        <v>255</v>
      </c>
      <c r="H56" s="193">
        <f t="shared" si="15"/>
        <v>0</v>
      </c>
      <c r="I56" s="193">
        <f t="shared" si="16"/>
        <v>0.18204405903757828</v>
      </c>
      <c r="J56" s="193">
        <f t="shared" si="17"/>
        <v>1</v>
      </c>
      <c r="K56" s="194">
        <f t="shared" si="18"/>
        <v>0.24559895551183797</v>
      </c>
      <c r="L56" s="194">
        <f t="shared" si="19"/>
        <v>0.20239791102367599</v>
      </c>
      <c r="M56" s="194">
        <f t="shared" si="20"/>
        <v>0.9721996518372793</v>
      </c>
      <c r="N56" s="194">
        <f t="shared" si="57"/>
        <v>0.58713144691323016</v>
      </c>
      <c r="O56" s="194">
        <f t="shared" si="58"/>
        <v>0.63493194610012227</v>
      </c>
      <c r="P56" s="194">
        <f t="shared" si="59"/>
        <v>0.96288819099222545</v>
      </c>
      <c r="Q56" s="194">
        <f t="shared" si="21"/>
        <v>52.107247841934694</v>
      </c>
      <c r="R56" s="194">
        <f t="shared" si="60"/>
        <v>23.900249593446055</v>
      </c>
      <c r="S56" s="194">
        <f t="shared" si="61"/>
        <v>-75.151348815799054</v>
      </c>
      <c r="T56" s="193"/>
      <c r="U56" s="193"/>
      <c r="V56" s="193"/>
      <c r="W56" s="193"/>
      <c r="X56" s="193"/>
      <c r="Y56" s="193"/>
      <c r="Z56" s="193"/>
      <c r="AA56" s="193"/>
      <c r="AB56" s="195">
        <f t="shared" si="62"/>
        <v>68.398166000000003</v>
      </c>
      <c r="AC56" s="195">
        <f t="shared" si="63"/>
        <v>88.203296499999993</v>
      </c>
      <c r="AD56" s="195">
        <f t="shared" si="64"/>
        <v>260.50825950000001</v>
      </c>
      <c r="AE56" s="195"/>
      <c r="AF56" s="195"/>
      <c r="AG56" s="190">
        <v>17.401</v>
      </c>
      <c r="AH56" s="196">
        <v>0.12892173200000001</v>
      </c>
      <c r="AI56" s="196">
        <v>0.217256018</v>
      </c>
      <c r="AJ56" s="202">
        <v>0</v>
      </c>
      <c r="AK56" s="202">
        <v>135</v>
      </c>
      <c r="AL56" s="202">
        <v>188</v>
      </c>
      <c r="AM56" s="197">
        <f t="shared" si="22"/>
        <v>0</v>
      </c>
      <c r="AN56" s="197">
        <f t="shared" si="23"/>
        <v>0.27266304406606784</v>
      </c>
      <c r="AO56" s="197">
        <f t="shared" si="24"/>
        <v>0.53253412873709083</v>
      </c>
      <c r="AP56" s="194">
        <f t="shared" si="25"/>
        <v>0.19362671479507074</v>
      </c>
      <c r="AQ56" s="194">
        <f t="shared" si="26"/>
        <v>0.23345757321086966</v>
      </c>
      <c r="AR56" s="194">
        <f t="shared" si="27"/>
        <v>0.53867512421728014</v>
      </c>
      <c r="AS56" s="197">
        <f t="shared" si="28"/>
        <v>0.61574749764858472</v>
      </c>
      <c r="AT56" s="197">
        <f t="shared" si="29"/>
        <v>0.58655233224674308</v>
      </c>
      <c r="AU56" s="197">
        <f t="shared" si="30"/>
        <v>0.79086012715560194</v>
      </c>
      <c r="AV56" s="196">
        <f t="shared" si="31"/>
        <v>55.426709727235831</v>
      </c>
      <c r="AW56" s="196">
        <f t="shared" si="32"/>
        <v>-14.597582700920819</v>
      </c>
      <c r="AX56" s="196">
        <f t="shared" si="33"/>
        <v>-35.022525901403448</v>
      </c>
      <c r="AY56" s="196">
        <f t="shared" si="34"/>
        <v>55.708386685202846</v>
      </c>
      <c r="AZ56" s="190">
        <v>17.401</v>
      </c>
      <c r="BA56" s="210">
        <v>0.13218246873147699</v>
      </c>
      <c r="BB56" s="210">
        <v>0.14767212806024299</v>
      </c>
      <c r="BC56" s="204">
        <v>0</v>
      </c>
      <c r="BD56" s="204">
        <v>126</v>
      </c>
      <c r="BE56" s="204">
        <v>236</v>
      </c>
      <c r="BF56" s="186"/>
      <c r="BG56" s="204">
        <v>0</v>
      </c>
      <c r="BH56" s="204">
        <f t="shared" si="53"/>
        <v>89.629629629629619</v>
      </c>
      <c r="BI56" s="204">
        <f t="shared" si="55"/>
        <v>345.87765957446811</v>
      </c>
      <c r="BJ56" s="186">
        <f t="shared" si="65"/>
        <v>0</v>
      </c>
      <c r="BK56" s="186">
        <f t="shared" si="66"/>
        <v>0.12267366517254547</v>
      </c>
      <c r="BL56" s="186">
        <f t="shared" si="67"/>
        <v>1.8969824586261801</v>
      </c>
      <c r="BM56" s="186">
        <f t="shared" si="36"/>
        <v>0.38627343644772771</v>
      </c>
      <c r="BN56" s="186">
        <f t="shared" si="37"/>
        <v>0.2246983388442147</v>
      </c>
      <c r="BO56" s="186">
        <f t="shared" si="38"/>
        <v>1.8177045278127515</v>
      </c>
      <c r="BP56" s="186">
        <f t="shared" si="39"/>
        <v>0.60794826108904343</v>
      </c>
      <c r="BQ56" s="186">
        <f t="shared" si="40"/>
        <v>0.73838571829851929</v>
      </c>
      <c r="BR56" s="186">
        <f t="shared" si="41"/>
        <v>1.1862197113965147</v>
      </c>
      <c r="BS56" s="186">
        <f t="shared" si="42"/>
        <v>54.521998286329037</v>
      </c>
      <c r="BT56" s="186">
        <f t="shared" si="43"/>
        <v>65.218728604737933</v>
      </c>
      <c r="BU56" s="186">
        <f t="shared" si="44"/>
        <v>-115.65429006149427</v>
      </c>
      <c r="BV56" s="204">
        <v>54</v>
      </c>
      <c r="BW56" s="190">
        <v>17.401</v>
      </c>
      <c r="BX56" s="186">
        <v>0.13223368557145301</v>
      </c>
      <c r="BY56" s="186">
        <v>0.133746061798836</v>
      </c>
      <c r="BZ56" s="204">
        <v>0</v>
      </c>
      <c r="CA56" s="204">
        <v>123</v>
      </c>
      <c r="CB56" s="204">
        <v>249</v>
      </c>
      <c r="CC56" s="186">
        <f t="shared" si="45"/>
        <v>2.3766314428546986E-2</v>
      </c>
      <c r="CD56" s="186">
        <f t="shared" si="46"/>
        <v>-9.7460617988359977E-3</v>
      </c>
      <c r="CE56" s="186"/>
      <c r="CF56" s="186"/>
      <c r="CG56" s="186"/>
      <c r="CH56" s="204">
        <f t="shared" si="47"/>
        <v>0</v>
      </c>
      <c r="CI56" s="204">
        <f t="shared" si="48"/>
        <v>26.888888888888886</v>
      </c>
      <c r="CJ56" s="204">
        <f t="shared" si="49"/>
        <v>103.76329787234043</v>
      </c>
      <c r="CK56" s="211">
        <v>0</v>
      </c>
      <c r="CL56" s="211">
        <f t="shared" si="54"/>
        <v>23.474426807760139</v>
      </c>
      <c r="CM56" s="211">
        <f t="shared" si="56"/>
        <v>112.1171227010458</v>
      </c>
      <c r="CN56" s="205">
        <f t="shared" si="50"/>
        <v>0</v>
      </c>
      <c r="CO56" s="205">
        <f t="shared" si="51"/>
        <v>39.906525573192233</v>
      </c>
      <c r="CP56" s="205">
        <f t="shared" si="52"/>
        <v>190.59910859177785</v>
      </c>
    </row>
    <row r="57" spans="1:94">
      <c r="A57" s="190">
        <v>55</v>
      </c>
      <c r="B57" s="190">
        <v>13.878</v>
      </c>
      <c r="C57" s="190">
        <v>0.152</v>
      </c>
      <c r="D57" s="190">
        <v>0.10400000000000001</v>
      </c>
      <c r="E57" s="193">
        <v>0</v>
      </c>
      <c r="F57" s="193">
        <v>90</v>
      </c>
      <c r="G57" s="193">
        <v>255</v>
      </c>
      <c r="H57" s="193">
        <f t="shared" si="15"/>
        <v>0</v>
      </c>
      <c r="I57" s="193">
        <f t="shared" si="16"/>
        <v>0.12364005388724823</v>
      </c>
      <c r="J57" s="193">
        <f t="shared" si="17"/>
        <v>1</v>
      </c>
      <c r="K57" s="194">
        <f t="shared" si="18"/>
        <v>0.22471368327007996</v>
      </c>
      <c r="L57" s="194">
        <f t="shared" si="19"/>
        <v>0.16062736654015991</v>
      </c>
      <c r="M57" s="194">
        <f t="shared" si="20"/>
        <v>0.96523789442336005</v>
      </c>
      <c r="N57" s="194">
        <f t="shared" si="57"/>
        <v>0.54359215409629724</v>
      </c>
      <c r="O57" s="194">
        <f t="shared" si="58"/>
        <v>0.61639841466767031</v>
      </c>
      <c r="P57" s="194">
        <f t="shared" si="59"/>
        <v>0.96058432313497588</v>
      </c>
      <c r="Q57" s="194">
        <f t="shared" si="21"/>
        <v>47.056689875170477</v>
      </c>
      <c r="R57" s="194">
        <f t="shared" si="60"/>
        <v>36.403130285686537</v>
      </c>
      <c r="S57" s="194">
        <f t="shared" si="61"/>
        <v>-83.398433807735728</v>
      </c>
      <c r="T57" s="193"/>
      <c r="U57" s="193"/>
      <c r="V57" s="193"/>
      <c r="W57" s="193"/>
      <c r="X57" s="193"/>
      <c r="Y57" s="193"/>
      <c r="Z57" s="193"/>
      <c r="AA57" s="193"/>
      <c r="AB57" s="195">
        <f t="shared" si="62"/>
        <v>64.687085999999994</v>
      </c>
      <c r="AC57" s="195">
        <f t="shared" si="63"/>
        <v>75.656314499999993</v>
      </c>
      <c r="AD57" s="195">
        <f t="shared" si="64"/>
        <v>259.0945155</v>
      </c>
      <c r="AE57" s="195"/>
      <c r="AF57" s="195"/>
      <c r="AG57" s="190">
        <v>13.878</v>
      </c>
      <c r="AH57" s="196">
        <v>0.12970715599999999</v>
      </c>
      <c r="AI57" s="196">
        <v>0.19653749300000001</v>
      </c>
      <c r="AJ57" s="202">
        <v>0</v>
      </c>
      <c r="AK57" s="202">
        <v>120</v>
      </c>
      <c r="AL57" s="202">
        <v>180</v>
      </c>
      <c r="AM57" s="197">
        <f t="shared" si="22"/>
        <v>0</v>
      </c>
      <c r="AN57" s="197">
        <f t="shared" si="23"/>
        <v>0.21590613688087021</v>
      </c>
      <c r="AO57" s="197">
        <f t="shared" si="24"/>
        <v>0.48724020190675382</v>
      </c>
      <c r="AP57" s="194">
        <f t="shared" si="25"/>
        <v>0.16515489099276826</v>
      </c>
      <c r="AQ57" s="194">
        <f t="shared" si="26"/>
        <v>0.18959481167486597</v>
      </c>
      <c r="AR57" s="194">
        <f t="shared" si="27"/>
        <v>0.48885782342856926</v>
      </c>
      <c r="AS57" s="197">
        <f t="shared" si="28"/>
        <v>0.57448075284131961</v>
      </c>
      <c r="AT57" s="197">
        <f t="shared" si="29"/>
        <v>0.55626553589245942</v>
      </c>
      <c r="AU57" s="197">
        <f t="shared" si="30"/>
        <v>0.76568751082540665</v>
      </c>
      <c r="AV57" s="196">
        <f t="shared" si="31"/>
        <v>50.63976732959307</v>
      </c>
      <c r="AW57" s="196">
        <f t="shared" si="32"/>
        <v>-9.107608474430096</v>
      </c>
      <c r="AX57" s="196">
        <f t="shared" si="33"/>
        <v>-38.24135159681741</v>
      </c>
      <c r="AY57" s="196">
        <f t="shared" si="34"/>
        <v>64.212365322728999</v>
      </c>
      <c r="AZ57" s="190">
        <v>13.878</v>
      </c>
      <c r="BA57" s="210">
        <v>0.133121190982737</v>
      </c>
      <c r="BB57" s="210">
        <v>0.12187705838532201</v>
      </c>
      <c r="BC57" s="204">
        <v>0</v>
      </c>
      <c r="BD57" s="204">
        <v>107</v>
      </c>
      <c r="BE57" s="204">
        <v>236</v>
      </c>
      <c r="BF57" s="186"/>
      <c r="BG57" s="204">
        <v>0</v>
      </c>
      <c r="BH57" s="204">
        <f t="shared" si="53"/>
        <v>67.5</v>
      </c>
      <c r="BI57" s="204">
        <f t="shared" si="55"/>
        <v>361.25</v>
      </c>
      <c r="BJ57" s="186">
        <f t="shared" si="65"/>
        <v>0</v>
      </c>
      <c r="BK57" s="186">
        <f t="shared" si="66"/>
        <v>7.2326253346376351E-2</v>
      </c>
      <c r="BL57" s="186">
        <f t="shared" si="67"/>
        <v>2.0798182552491036</v>
      </c>
      <c r="BM57" s="186">
        <f t="shared" si="36"/>
        <v>0.40127106326912737</v>
      </c>
      <c r="BN57" s="186">
        <f t="shared" si="37"/>
        <v>0.20189061442231365</v>
      </c>
      <c r="BO57" s="186">
        <f t="shared" si="38"/>
        <v>1.9854885410131609</v>
      </c>
      <c r="BP57" s="186">
        <f t="shared" si="39"/>
        <v>0.58664050149470515</v>
      </c>
      <c r="BQ57" s="186">
        <f t="shared" si="40"/>
        <v>0.74782093895855195</v>
      </c>
      <c r="BR57" s="186">
        <f t="shared" si="41"/>
        <v>1.2216491628638757</v>
      </c>
      <c r="BS57" s="186">
        <f t="shared" si="42"/>
        <v>52.050298173385798</v>
      </c>
      <c r="BT57" s="186">
        <f t="shared" si="43"/>
        <v>80.5902187319234</v>
      </c>
      <c r="BU57" s="186">
        <f t="shared" si="44"/>
        <v>-127.00173227383411</v>
      </c>
      <c r="BV57" s="204">
        <v>55</v>
      </c>
      <c r="BW57" s="190">
        <v>13.878</v>
      </c>
      <c r="BX57" s="186">
        <v>0.13298955286307201</v>
      </c>
      <c r="BY57" s="186">
        <v>0.10993223014652601</v>
      </c>
      <c r="BZ57" s="204">
        <v>0</v>
      </c>
      <c r="CA57" s="204">
        <v>103</v>
      </c>
      <c r="CB57" s="204">
        <v>250</v>
      </c>
      <c r="CC57" s="186">
        <f t="shared" si="45"/>
        <v>1.9010447136927983E-2</v>
      </c>
      <c r="CD57" s="186">
        <f t="shared" si="46"/>
        <v>-5.9322301465259963E-3</v>
      </c>
      <c r="CE57" s="186"/>
      <c r="CF57" s="186"/>
      <c r="CG57" s="186"/>
      <c r="CH57" s="204">
        <f t="shared" si="47"/>
        <v>0</v>
      </c>
      <c r="CI57" s="204">
        <f t="shared" si="48"/>
        <v>20.25</v>
      </c>
      <c r="CJ57" s="204">
        <f t="shared" si="49"/>
        <v>108.375</v>
      </c>
      <c r="CK57" s="211">
        <v>0</v>
      </c>
      <c r="CL57" s="211">
        <f t="shared" si="54"/>
        <v>17.032710280373831</v>
      </c>
      <c r="CM57" s="211">
        <f t="shared" si="56"/>
        <v>117.10010593220339</v>
      </c>
      <c r="CN57" s="205">
        <f t="shared" si="50"/>
        <v>0</v>
      </c>
      <c r="CO57" s="205">
        <f t="shared" si="51"/>
        <v>28.95560747663551</v>
      </c>
      <c r="CP57" s="205">
        <f t="shared" si="52"/>
        <v>199.07018008474577</v>
      </c>
    </row>
    <row r="58" spans="1:94">
      <c r="A58" s="190">
        <v>56</v>
      </c>
      <c r="B58" s="190">
        <v>11.180999999999999</v>
      </c>
      <c r="C58" s="190">
        <v>0.152</v>
      </c>
      <c r="D58" s="190">
        <v>8.4000000000000005E-2</v>
      </c>
      <c r="E58" s="193">
        <v>0</v>
      </c>
      <c r="F58" s="193">
        <v>70</v>
      </c>
      <c r="G58" s="193">
        <v>255</v>
      </c>
      <c r="H58" s="193">
        <f t="shared" si="15"/>
        <v>0</v>
      </c>
      <c r="I58" s="193">
        <f t="shared" si="16"/>
        <v>7.7295629484402342E-2</v>
      </c>
      <c r="J58" s="193">
        <f t="shared" si="17"/>
        <v>1</v>
      </c>
      <c r="K58" s="194">
        <f t="shared" si="18"/>
        <v>0.20814091710362226</v>
      </c>
      <c r="L58" s="194">
        <f t="shared" si="19"/>
        <v>0.12748183420724454</v>
      </c>
      <c r="M58" s="194">
        <f t="shared" si="20"/>
        <v>0.95971363903454077</v>
      </c>
      <c r="N58" s="194">
        <f t="shared" si="57"/>
        <v>0.50328745024666843</v>
      </c>
      <c r="O58" s="194">
        <f t="shared" si="58"/>
        <v>0.60085658932035768</v>
      </c>
      <c r="P58" s="194">
        <f t="shared" si="59"/>
        <v>0.95874827529354412</v>
      </c>
      <c r="Q58" s="194">
        <f t="shared" si="21"/>
        <v>42.381344228613536</v>
      </c>
      <c r="R58" s="194">
        <f t="shared" si="60"/>
        <v>48.784569536844621</v>
      </c>
      <c r="S58" s="194">
        <f t="shared" si="61"/>
        <v>-91.092165009375137</v>
      </c>
      <c r="T58" s="193"/>
      <c r="U58" s="193"/>
      <c r="V58" s="193"/>
      <c r="W58" s="193"/>
      <c r="X58" s="193"/>
      <c r="Y58" s="193"/>
      <c r="Z58" s="193"/>
      <c r="AA58" s="193"/>
      <c r="AB58" s="195">
        <f t="shared" si="62"/>
        <v>60.976005999999998</v>
      </c>
      <c r="AC58" s="195">
        <f t="shared" si="63"/>
        <v>63.109332499999994</v>
      </c>
      <c r="AD58" s="195">
        <f t="shared" si="64"/>
        <v>257.68077149999999</v>
      </c>
      <c r="AE58" s="195"/>
      <c r="AF58" s="195"/>
      <c r="AG58" s="190">
        <v>11.180999999999999</v>
      </c>
      <c r="AH58" s="196">
        <v>0.130576998</v>
      </c>
      <c r="AI58" s="196">
        <v>0.17378127099999999</v>
      </c>
      <c r="AJ58" s="202">
        <v>0</v>
      </c>
      <c r="AK58" s="202">
        <v>107</v>
      </c>
      <c r="AL58" s="202">
        <v>176</v>
      </c>
      <c r="AM58" s="197">
        <f t="shared" si="22"/>
        <v>0</v>
      </c>
      <c r="AN58" s="197">
        <f t="shared" si="23"/>
        <v>0.17249693896932428</v>
      </c>
      <c r="AO58" s="197">
        <f t="shared" si="24"/>
        <v>0.4654144066419873</v>
      </c>
      <c r="AP58" s="194">
        <f t="shared" si="25"/>
        <v>0.14569220577430905</v>
      </c>
      <c r="AQ58" s="194">
        <f t="shared" si="26"/>
        <v>0.15697273091041219</v>
      </c>
      <c r="AR58" s="194">
        <f t="shared" si="27"/>
        <v>0.46293802863835243</v>
      </c>
      <c r="AS58" s="197">
        <f t="shared" si="28"/>
        <v>0.53943783621687114</v>
      </c>
      <c r="AT58" s="197">
        <f t="shared" si="29"/>
        <v>0.53349511423198914</v>
      </c>
      <c r="AU58" s="197">
        <f t="shared" si="30"/>
        <v>0.75190849715863384</v>
      </c>
      <c r="AV58" s="196">
        <f t="shared" si="31"/>
        <v>46.57478900115705</v>
      </c>
      <c r="AW58" s="196">
        <f t="shared" si="32"/>
        <v>-2.9713609924409967</v>
      </c>
      <c r="AX58" s="196">
        <f t="shared" si="33"/>
        <v>-42.494132188352538</v>
      </c>
      <c r="AY58" s="196">
        <f t="shared" si="34"/>
        <v>71.119829288924777</v>
      </c>
      <c r="AZ58" s="190">
        <v>11.180999999999999</v>
      </c>
      <c r="BA58" s="210">
        <v>0.133937852089895</v>
      </c>
      <c r="BB58" s="210">
        <v>9.9506971660703006E-2</v>
      </c>
      <c r="BC58" s="204">
        <v>0</v>
      </c>
      <c r="BD58" s="204">
        <v>90</v>
      </c>
      <c r="BE58" s="204">
        <v>238</v>
      </c>
      <c r="BF58" s="186"/>
      <c r="BG58" s="204">
        <v>0</v>
      </c>
      <c r="BH58" s="204">
        <f t="shared" si="53"/>
        <v>45.794392523364486</v>
      </c>
      <c r="BI58" s="204">
        <f t="shared" si="55"/>
        <v>369.46022727272731</v>
      </c>
      <c r="BJ58" s="186">
        <f t="shared" si="65"/>
        <v>0</v>
      </c>
      <c r="BK58" s="186">
        <f t="shared" si="66"/>
        <v>3.6602317868981035E-2</v>
      </c>
      <c r="BL58" s="186">
        <f t="shared" si="67"/>
        <v>2.1812387116728291</v>
      </c>
      <c r="BM58" s="186">
        <f t="shared" si="36"/>
        <v>0.40680257632689326</v>
      </c>
      <c r="BN58" s="186">
        <f t="shared" si="37"/>
        <v>0.1836634127226735</v>
      </c>
      <c r="BO58" s="186">
        <f t="shared" si="38"/>
        <v>2.0776303917350067</v>
      </c>
      <c r="BP58" s="186">
        <f t="shared" si="39"/>
        <v>0.56842636926548618</v>
      </c>
      <c r="BQ58" s="186">
        <f t="shared" si="40"/>
        <v>0.75124150122152489</v>
      </c>
      <c r="BR58" s="186">
        <f t="shared" si="41"/>
        <v>1.2402620920836003</v>
      </c>
      <c r="BS58" s="186">
        <f t="shared" si="42"/>
        <v>49.937458834796402</v>
      </c>
      <c r="BT58" s="186">
        <f t="shared" si="43"/>
        <v>91.407565978019363</v>
      </c>
      <c r="BU58" s="186">
        <f t="shared" si="44"/>
        <v>-134.36714456362282</v>
      </c>
      <c r="BV58" s="204">
        <v>56</v>
      </c>
      <c r="BW58" s="190">
        <v>11.180999999999999</v>
      </c>
      <c r="BX58" s="186">
        <v>0.133720565448743</v>
      </c>
      <c r="BY58" s="186">
        <v>8.7138953062470201E-2</v>
      </c>
      <c r="BZ58" s="214">
        <v>0</v>
      </c>
      <c r="CA58" s="204">
        <v>83</v>
      </c>
      <c r="CB58" s="214">
        <v>255</v>
      </c>
      <c r="CC58" s="186">
        <f t="shared" si="45"/>
        <v>1.8279434551256996E-2</v>
      </c>
      <c r="CD58" s="186">
        <f t="shared" si="46"/>
        <v>-3.1389530624701956E-3</v>
      </c>
      <c r="CE58" s="186"/>
      <c r="CF58" s="186"/>
      <c r="CG58" s="186"/>
      <c r="CH58" s="204">
        <f t="shared" si="47"/>
        <v>0</v>
      </c>
      <c r="CI58" s="204">
        <f t="shared" si="48"/>
        <v>13.738317757009346</v>
      </c>
      <c r="CJ58" s="204">
        <f t="shared" si="49"/>
        <v>110.83806818181819</v>
      </c>
      <c r="CK58" s="211">
        <v>0</v>
      </c>
      <c r="CL58" s="211">
        <f t="shared" si="54"/>
        <v>10.685358255451714</v>
      </c>
      <c r="CM58" s="211">
        <f t="shared" si="56"/>
        <v>118.75507305194806</v>
      </c>
      <c r="CN58" s="216">
        <f t="shared" si="50"/>
        <v>0</v>
      </c>
      <c r="CO58" s="205">
        <f t="shared" si="51"/>
        <v>18.165109034267914</v>
      </c>
      <c r="CP58" s="216">
        <v>199</v>
      </c>
    </row>
    <row r="59" spans="1:94">
      <c r="A59" s="190">
        <v>57</v>
      </c>
      <c r="B59" s="190">
        <v>8.98</v>
      </c>
      <c r="C59" s="190">
        <v>0.152</v>
      </c>
      <c r="D59" s="190">
        <v>7.2000000000000008E-2</v>
      </c>
      <c r="E59" s="193">
        <v>11</v>
      </c>
      <c r="F59" s="193">
        <v>50</v>
      </c>
      <c r="G59" s="193">
        <v>250</v>
      </c>
      <c r="H59" s="193">
        <f t="shared" si="15"/>
        <v>5.3812005930379148E-3</v>
      </c>
      <c r="I59" s="193">
        <f t="shared" si="16"/>
        <v>4.2503557698519136E-2</v>
      </c>
      <c r="J59" s="193">
        <f t="shared" si="17"/>
        <v>0.95956700166791176</v>
      </c>
      <c r="K59" s="194">
        <f t="shared" si="18"/>
        <v>0.19062032315861735</v>
      </c>
      <c r="L59" s="194">
        <f t="shared" si="19"/>
        <v>0.10082332523248397</v>
      </c>
      <c r="M59" s="194">
        <f t="shared" si="20"/>
        <v>0.9172387163344593</v>
      </c>
      <c r="N59" s="194">
        <f t="shared" si="57"/>
        <v>0.46542924903540034</v>
      </c>
      <c r="O59" s="194">
        <f t="shared" si="58"/>
        <v>0.58350073504118083</v>
      </c>
      <c r="P59" s="194">
        <f t="shared" si="59"/>
        <v>0.94439026011118199</v>
      </c>
      <c r="Q59" s="194">
        <f t="shared" si="21"/>
        <v>37.989792888106436</v>
      </c>
      <c r="R59" s="194">
        <f t="shared" si="60"/>
        <v>59.035743002890243</v>
      </c>
      <c r="S59" s="194">
        <f t="shared" si="61"/>
        <v>-95.792202215156337</v>
      </c>
      <c r="T59" s="193"/>
      <c r="U59" s="193"/>
      <c r="V59" s="193"/>
      <c r="W59" s="193"/>
      <c r="X59" s="193"/>
      <c r="Y59" s="193"/>
      <c r="Z59" s="193"/>
      <c r="AA59" s="193"/>
      <c r="AB59" s="195">
        <f t="shared" si="62"/>
        <v>62.668039900000004</v>
      </c>
      <c r="AC59" s="195">
        <f t="shared" si="63"/>
        <v>53.457125899999994</v>
      </c>
      <c r="AD59" s="195">
        <f t="shared" si="64"/>
        <v>251.6088623</v>
      </c>
      <c r="AE59" s="195"/>
      <c r="AF59" s="195"/>
      <c r="AG59" s="190">
        <v>8.98</v>
      </c>
      <c r="AH59" s="196">
        <v>0.13151635</v>
      </c>
      <c r="AI59" s="196">
        <v>0.14942008800000001</v>
      </c>
      <c r="AJ59" s="202">
        <v>0</v>
      </c>
      <c r="AK59" s="202">
        <v>93</v>
      </c>
      <c r="AL59" s="202">
        <v>174</v>
      </c>
      <c r="AM59" s="197">
        <f t="shared" si="22"/>
        <v>0</v>
      </c>
      <c r="AN59" s="197">
        <f t="shared" si="23"/>
        <v>0.13162055330955486</v>
      </c>
      <c r="AO59" s="197">
        <f t="shared" si="24"/>
        <v>0.45470581270751514</v>
      </c>
      <c r="AP59" s="194">
        <f t="shared" si="25"/>
        <v>0.1291419090572033</v>
      </c>
      <c r="AQ59" s="194">
        <f t="shared" si="26"/>
        <v>0.12696477940447623</v>
      </c>
      <c r="AR59" s="194">
        <f t="shared" si="27"/>
        <v>0.44788704493299208</v>
      </c>
      <c r="AS59" s="197">
        <f t="shared" si="28"/>
        <v>0.50260609877106133</v>
      </c>
      <c r="AT59" s="197">
        <f t="shared" si="29"/>
        <v>0.51247664050898312</v>
      </c>
      <c r="AU59" s="197">
        <f t="shared" si="30"/>
        <v>0.74366990546564771</v>
      </c>
      <c r="AV59" s="196">
        <f t="shared" si="31"/>
        <v>42.302307457443113</v>
      </c>
      <c r="AW59" s="196">
        <f t="shared" si="32"/>
        <v>4.9352708689608953</v>
      </c>
      <c r="AX59" s="196">
        <f t="shared" si="33"/>
        <v>-48.212761338917275</v>
      </c>
      <c r="AY59" s="196">
        <f t="shared" si="34"/>
        <v>72.175217776743381</v>
      </c>
      <c r="AZ59" s="190">
        <v>8.98</v>
      </c>
      <c r="BA59" s="210">
        <v>0.13471685761521901</v>
      </c>
      <c r="BB59" s="210">
        <v>7.8430468321258107E-2</v>
      </c>
      <c r="BC59" s="204">
        <v>0</v>
      </c>
      <c r="BD59" s="204">
        <v>68</v>
      </c>
      <c r="BE59" s="204">
        <v>244</v>
      </c>
      <c r="BF59" s="186"/>
      <c r="BG59" s="204">
        <v>0</v>
      </c>
      <c r="BH59" s="204">
        <f t="shared" si="53"/>
        <v>26.881720430107524</v>
      </c>
      <c r="BI59" s="204">
        <f t="shared" si="55"/>
        <v>359.19540229885052</v>
      </c>
      <c r="BJ59" s="186">
        <f t="shared" si="65"/>
        <v>0</v>
      </c>
      <c r="BK59" s="186">
        <f t="shared" si="66"/>
        <v>1.5863698591846217E-2</v>
      </c>
      <c r="BL59" s="186">
        <f t="shared" si="67"/>
        <v>2.0548495069725239</v>
      </c>
      <c r="BM59" s="186">
        <f t="shared" si="36"/>
        <v>0.37657319462498479</v>
      </c>
      <c r="BN59" s="186">
        <f t="shared" si="37"/>
        <v>0.15970585163630463</v>
      </c>
      <c r="BO59" s="186">
        <f t="shared" si="38"/>
        <v>1.9550254092495321</v>
      </c>
      <c r="BP59" s="186">
        <f t="shared" si="39"/>
        <v>0.54255063528028613</v>
      </c>
      <c r="BQ59" s="186">
        <f t="shared" si="40"/>
        <v>0.73215237335946881</v>
      </c>
      <c r="BR59" s="186">
        <f t="shared" si="41"/>
        <v>1.2153690580532708</v>
      </c>
      <c r="BS59" s="186">
        <f t="shared" si="42"/>
        <v>46.935873692513191</v>
      </c>
      <c r="BT59" s="186">
        <f t="shared" si="43"/>
        <v>94.800869039591333</v>
      </c>
      <c r="BU59" s="186">
        <f t="shared" si="44"/>
        <v>-134.56368455459693</v>
      </c>
      <c r="BV59" s="204">
        <v>57</v>
      </c>
      <c r="BW59" s="190">
        <v>8.98</v>
      </c>
      <c r="BX59" s="186">
        <v>0.13423511241379399</v>
      </c>
      <c r="BY59" s="186">
        <v>7.1613691210283603E-2</v>
      </c>
      <c r="BZ59" s="214">
        <v>11</v>
      </c>
      <c r="CA59" s="204">
        <v>64</v>
      </c>
      <c r="CB59" s="204">
        <v>255</v>
      </c>
      <c r="CC59" s="186">
        <f t="shared" si="45"/>
        <v>1.7764887586206007E-2</v>
      </c>
      <c r="CD59" s="186">
        <f t="shared" si="46"/>
        <v>3.8630878971640525E-4</v>
      </c>
      <c r="CE59" s="186"/>
      <c r="CF59" s="186"/>
      <c r="CG59" s="186"/>
      <c r="CH59" s="204">
        <f t="shared" si="47"/>
        <v>0</v>
      </c>
      <c r="CI59" s="204">
        <f t="shared" si="48"/>
        <v>8.0645161290322562</v>
      </c>
      <c r="CJ59" s="204">
        <f t="shared" si="49"/>
        <v>107.75862068965516</v>
      </c>
      <c r="CK59" s="211">
        <v>0</v>
      </c>
      <c r="CL59" s="211">
        <f t="shared" si="54"/>
        <v>5.9297912713472476</v>
      </c>
      <c r="CM59" s="211">
        <f t="shared" si="56"/>
        <v>110.40842283776142</v>
      </c>
      <c r="CN59" s="216">
        <v>3</v>
      </c>
      <c r="CO59" s="205">
        <f t="shared" si="51"/>
        <v>10.08064516129032</v>
      </c>
      <c r="CP59" s="205">
        <f t="shared" si="52"/>
        <v>187.6943188241944</v>
      </c>
    </row>
    <row r="60" spans="1:94">
      <c r="A60" s="190">
        <v>58</v>
      </c>
      <c r="B60" s="190">
        <v>7.835</v>
      </c>
      <c r="C60" s="190">
        <v>0.152</v>
      </c>
      <c r="D60" s="190">
        <v>6.8000000000000005E-2</v>
      </c>
      <c r="E60" s="193">
        <v>25</v>
      </c>
      <c r="F60" s="193">
        <v>40</v>
      </c>
      <c r="G60" s="193">
        <v>240</v>
      </c>
      <c r="H60" s="193">
        <f t="shared" si="15"/>
        <v>1.4302455252048183E-2</v>
      </c>
      <c r="I60" s="193">
        <f t="shared" si="16"/>
        <v>2.9252615183274946E-2</v>
      </c>
      <c r="J60" s="193">
        <f t="shared" si="17"/>
        <v>0.88142305085254469</v>
      </c>
      <c r="K60" s="194">
        <f t="shared" si="18"/>
        <v>0.17545592841436811</v>
      </c>
      <c r="L60" s="194">
        <f t="shared" si="19"/>
        <v>8.7600916637217405E-2</v>
      </c>
      <c r="M60" s="194">
        <f t="shared" si="20"/>
        <v>0.84155555895155465</v>
      </c>
      <c r="N60" s="194">
        <f t="shared" si="57"/>
        <v>0.444122610128868</v>
      </c>
      <c r="O60" s="194">
        <f t="shared" si="58"/>
        <v>0.56759821714564296</v>
      </c>
      <c r="P60" s="194">
        <f t="shared" si="59"/>
        <v>0.91766669717934746</v>
      </c>
      <c r="Q60" s="194">
        <f t="shared" si="21"/>
        <v>35.51822277494869</v>
      </c>
      <c r="R60" s="194">
        <f t="shared" si="60"/>
        <v>61.737803508387479</v>
      </c>
      <c r="S60" s="194">
        <f t="shared" si="61"/>
        <v>-94.708817410095889</v>
      </c>
      <c r="T60" s="193"/>
      <c r="U60" s="193"/>
      <c r="V60" s="193"/>
      <c r="W60" s="193"/>
      <c r="X60" s="193"/>
      <c r="Y60" s="193"/>
      <c r="Z60" s="193"/>
      <c r="AA60" s="193"/>
      <c r="AB60" s="195">
        <f t="shared" si="62"/>
        <v>67.004880499999999</v>
      </c>
      <c r="AC60" s="195">
        <f t="shared" si="63"/>
        <v>50.594170499999997</v>
      </c>
      <c r="AD60" s="195">
        <f t="shared" si="64"/>
        <v>241.36938549999999</v>
      </c>
      <c r="AE60" s="195"/>
      <c r="AF60" s="195"/>
      <c r="AG60" s="190">
        <v>7.835</v>
      </c>
      <c r="AH60" s="196">
        <v>0.14655578899999999</v>
      </c>
      <c r="AI60" s="196">
        <v>0.129618917</v>
      </c>
      <c r="AJ60" s="202">
        <v>0</v>
      </c>
      <c r="AK60" s="202">
        <v>81</v>
      </c>
      <c r="AL60" s="202">
        <v>175</v>
      </c>
      <c r="AM60" s="197">
        <f t="shared" si="22"/>
        <v>0</v>
      </c>
      <c r="AN60" s="197">
        <f t="shared" si="23"/>
        <v>0.10132101320345974</v>
      </c>
      <c r="AO60" s="197">
        <f t="shared" si="24"/>
        <v>0.46004311418005439</v>
      </c>
      <c r="AP60" s="194">
        <f t="shared" si="25"/>
        <v>0.11927017643105702</v>
      </c>
      <c r="AQ60" s="194">
        <f t="shared" si="26"/>
        <v>0.10567990148691432</v>
      </c>
      <c r="AR60" s="194">
        <f t="shared" si="27"/>
        <v>0.4493484448019941</v>
      </c>
      <c r="AS60" s="197">
        <f t="shared" si="28"/>
        <v>0.4727854833274352</v>
      </c>
      <c r="AT60" s="197">
        <f t="shared" si="29"/>
        <v>0.49907095354452091</v>
      </c>
      <c r="AU60" s="197">
        <f t="shared" si="30"/>
        <v>0.74447786156567897</v>
      </c>
      <c r="AV60" s="196">
        <f t="shared" si="31"/>
        <v>38.843116065982485</v>
      </c>
      <c r="AW60" s="196">
        <f t="shared" si="32"/>
        <v>13.142735108542858</v>
      </c>
      <c r="AX60" s="196">
        <f t="shared" si="33"/>
        <v>-54.338475647648757</v>
      </c>
      <c r="AY60" s="196">
        <f t="shared" si="34"/>
        <v>63.263734336498992</v>
      </c>
      <c r="AZ60" s="190">
        <v>7.835</v>
      </c>
      <c r="BA60" s="210">
        <v>0.13495602912638599</v>
      </c>
      <c r="BB60" s="210">
        <v>7.2192408978863296E-2</v>
      </c>
      <c r="BC60" s="204">
        <v>0</v>
      </c>
      <c r="BD60" s="204">
        <v>60</v>
      </c>
      <c r="BE60" s="204">
        <v>239</v>
      </c>
      <c r="BF60" s="186"/>
      <c r="BG60" s="204">
        <v>0</v>
      </c>
      <c r="BH60" s="204">
        <f t="shared" si="53"/>
        <v>19.753086419753085</v>
      </c>
      <c r="BI60" s="204">
        <f t="shared" si="55"/>
        <v>329.14285714285717</v>
      </c>
      <c r="BJ60" s="186">
        <f t="shared" si="65"/>
        <v>0</v>
      </c>
      <c r="BK60" s="186">
        <f t="shared" si="66"/>
        <v>1.0410061262680504E-2</v>
      </c>
      <c r="BL60" s="186">
        <f t="shared" si="67"/>
        <v>1.7083258716887377</v>
      </c>
      <c r="BM60" s="186">
        <f t="shared" si="36"/>
        <v>0.31207545774735168</v>
      </c>
      <c r="BN60" s="186">
        <f t="shared" si="37"/>
        <v>0.13078640375099596</v>
      </c>
      <c r="BO60" s="186">
        <f t="shared" si="38"/>
        <v>1.6250046203426569</v>
      </c>
      <c r="BP60" s="186">
        <f t="shared" si="39"/>
        <v>0.50759912645600624</v>
      </c>
      <c r="BQ60" s="186">
        <f t="shared" si="40"/>
        <v>0.68770927091035616</v>
      </c>
      <c r="BR60" s="186">
        <f t="shared" si="41"/>
        <v>1.1427263454818937</v>
      </c>
      <c r="BS60" s="186">
        <f t="shared" si="42"/>
        <v>42.881498668896725</v>
      </c>
      <c r="BT60" s="186">
        <f t="shared" si="43"/>
        <v>90.055072227174961</v>
      </c>
      <c r="BU60" s="186">
        <f t="shared" si="44"/>
        <v>-127.02544380517749</v>
      </c>
      <c r="BV60" s="204">
        <v>58</v>
      </c>
      <c r="BW60" s="190">
        <v>7.835</v>
      </c>
      <c r="BX60" s="186">
        <v>0.134431810483818</v>
      </c>
      <c r="BY60" s="186">
        <v>6.6079968446287093E-2</v>
      </c>
      <c r="BZ60" s="214">
        <v>25</v>
      </c>
      <c r="CA60" s="204">
        <v>54</v>
      </c>
      <c r="CB60" s="204">
        <v>250</v>
      </c>
      <c r="CC60" s="186">
        <f t="shared" si="45"/>
        <v>1.7568189516181998E-2</v>
      </c>
      <c r="CD60" s="186">
        <f t="shared" si="46"/>
        <v>1.9200315537129115E-3</v>
      </c>
      <c r="CE60" s="186"/>
      <c r="CF60" s="186"/>
      <c r="CG60" s="186"/>
      <c r="CH60" s="204">
        <f t="shared" si="47"/>
        <v>0</v>
      </c>
      <c r="CI60" s="204">
        <f t="shared" si="48"/>
        <v>5.9259259259259256</v>
      </c>
      <c r="CJ60" s="204">
        <f t="shared" si="49"/>
        <v>98.742857142857147</v>
      </c>
      <c r="CK60" s="211">
        <v>0</v>
      </c>
      <c r="CL60" s="211">
        <f t="shared" si="54"/>
        <v>3.9506172839506171</v>
      </c>
      <c r="CM60" s="211">
        <f t="shared" si="56"/>
        <v>99.156007172743571</v>
      </c>
      <c r="CN60" s="216">
        <v>5</v>
      </c>
      <c r="CO60" s="205">
        <f t="shared" si="51"/>
        <v>6.716049382716049</v>
      </c>
      <c r="CP60" s="205">
        <f t="shared" si="52"/>
        <v>168.56521219366405</v>
      </c>
    </row>
    <row r="61" spans="1:94">
      <c r="A61" s="190">
        <v>59</v>
      </c>
      <c r="B61" s="190">
        <v>7.234</v>
      </c>
      <c r="C61" s="190">
        <v>0.156</v>
      </c>
      <c r="D61" s="190">
        <v>6.8000000000000005E-2</v>
      </c>
      <c r="E61" s="193">
        <v>35</v>
      </c>
      <c r="F61" s="193">
        <v>30</v>
      </c>
      <c r="G61" s="193">
        <v>235</v>
      </c>
      <c r="H61" s="193">
        <f t="shared" si="15"/>
        <v>2.362516862624656E-2</v>
      </c>
      <c r="I61" s="193">
        <f t="shared" si="16"/>
        <v>1.8646391312016057E-2</v>
      </c>
      <c r="J61" s="193">
        <f t="shared" si="17"/>
        <v>0.84370510936906873</v>
      </c>
      <c r="K61" s="194">
        <f t="shared" si="18"/>
        <v>0.16869974131575791</v>
      </c>
      <c r="L61" s="194">
        <f t="shared" si="19"/>
        <v>7.9274118812740657E-2</v>
      </c>
      <c r="M61" s="194">
        <f t="shared" si="20"/>
        <v>0.80462032205417866</v>
      </c>
      <c r="N61" s="194">
        <f t="shared" si="57"/>
        <v>0.42957975674651461</v>
      </c>
      <c r="O61" s="194">
        <f t="shared" si="58"/>
        <v>0.56021725240396414</v>
      </c>
      <c r="P61" s="194">
        <f t="shared" si="59"/>
        <v>0.90404012323438943</v>
      </c>
      <c r="Q61" s="194">
        <f t="shared" si="21"/>
        <v>33.831251782595693</v>
      </c>
      <c r="R61" s="194">
        <f t="shared" si="60"/>
        <v>65.318747828724767</v>
      </c>
      <c r="S61" s="194">
        <f t="shared" si="61"/>
        <v>-94.892073297574967</v>
      </c>
      <c r="T61" s="193"/>
      <c r="U61" s="193"/>
      <c r="V61" s="193"/>
      <c r="W61" s="193"/>
      <c r="X61" s="193"/>
      <c r="Y61" s="193"/>
      <c r="Z61" s="193"/>
      <c r="AA61" s="193"/>
      <c r="AB61" s="195">
        <f t="shared" si="62"/>
        <v>69.975723500000001</v>
      </c>
      <c r="AC61" s="195">
        <f t="shared" si="63"/>
        <v>46.918078000000001</v>
      </c>
      <c r="AD61" s="195">
        <f t="shared" si="64"/>
        <v>235.97731399999998</v>
      </c>
      <c r="AE61" s="195"/>
      <c r="AF61" s="195"/>
      <c r="AG61" s="190">
        <v>7.234</v>
      </c>
      <c r="AH61" s="196">
        <v>0.17513357299999999</v>
      </c>
      <c r="AI61" s="196">
        <v>0.12798406000000001</v>
      </c>
      <c r="AJ61" s="202">
        <v>48</v>
      </c>
      <c r="AK61" s="202">
        <v>69</v>
      </c>
      <c r="AL61" s="202">
        <v>167</v>
      </c>
      <c r="AM61" s="197">
        <f t="shared" si="22"/>
        <v>3.9637211344872324E-2</v>
      </c>
      <c r="AN61" s="197">
        <f t="shared" si="23"/>
        <v>7.5286262434267434E-2</v>
      </c>
      <c r="AO61" s="197">
        <f t="shared" si="24"/>
        <v>0.4182934031048483</v>
      </c>
      <c r="AP61" s="194">
        <f t="shared" si="25"/>
        <v>0.1187707126655445</v>
      </c>
      <c r="AQ61" s="194">
        <f t="shared" si="26"/>
        <v>9.2472389729077967E-2</v>
      </c>
      <c r="AR61" s="194">
        <f t="shared" si="27"/>
        <v>0.40732700031227903</v>
      </c>
      <c r="AS61" s="197">
        <f t="shared" si="28"/>
        <v>0.45220708286087968</v>
      </c>
      <c r="AT61" s="197">
        <f t="shared" si="29"/>
        <v>0.49837333120170074</v>
      </c>
      <c r="AU61" s="197">
        <f t="shared" si="30"/>
        <v>0.72050739023580312</v>
      </c>
      <c r="AV61" s="196">
        <f t="shared" si="31"/>
        <v>36.456021611862042</v>
      </c>
      <c r="AW61" s="196">
        <f t="shared" si="32"/>
        <v>23.083124170410528</v>
      </c>
      <c r="AX61" s="196">
        <f t="shared" si="33"/>
        <v>-53.660061474984687</v>
      </c>
      <c r="AY61" s="196">
        <f t="shared" si="34"/>
        <v>59.083128906665102</v>
      </c>
      <c r="AZ61" s="190">
        <v>7.234</v>
      </c>
      <c r="BA61" s="210">
        <v>0.170684157300481</v>
      </c>
      <c r="BB61" s="210">
        <v>7.9855165691159802E-2</v>
      </c>
      <c r="BC61" s="204">
        <v>60</v>
      </c>
      <c r="BD61" s="204">
        <v>37</v>
      </c>
      <c r="BE61" s="204">
        <v>214</v>
      </c>
      <c r="BF61" s="186"/>
      <c r="BG61" s="204">
        <f t="shared" ref="BG61:BG66" si="68">E61*(E61/AJ61)</f>
        <v>25.520833333333332</v>
      </c>
      <c r="BH61" s="204">
        <f t="shared" si="53"/>
        <v>13.043478260869565</v>
      </c>
      <c r="BI61" s="204">
        <f t="shared" si="55"/>
        <v>330.68862275449106</v>
      </c>
      <c r="BJ61" s="186">
        <f t="shared" si="65"/>
        <v>1.4725762830551395E-2</v>
      </c>
      <c r="BK61" s="186">
        <f t="shared" si="66"/>
        <v>6.3955315037398115E-3</v>
      </c>
      <c r="BL61" s="186">
        <f t="shared" si="67"/>
        <v>1.7253006045102506</v>
      </c>
      <c r="BM61" s="186">
        <f t="shared" si="36"/>
        <v>0.31977670577115697</v>
      </c>
      <c r="BN61" s="186">
        <f t="shared" si="37"/>
        <v>0.13227148495489005</v>
      </c>
      <c r="BO61" s="186">
        <f t="shared" si="38"/>
        <v>1.6409447791648688</v>
      </c>
      <c r="BP61" s="186">
        <f t="shared" si="39"/>
        <v>0.50951316474069275</v>
      </c>
      <c r="BQ61" s="186">
        <f t="shared" si="40"/>
        <v>0.69332035129056357</v>
      </c>
      <c r="BR61" s="186">
        <f t="shared" si="41"/>
        <v>1.1464506430608512</v>
      </c>
      <c r="BS61" s="186">
        <f t="shared" si="42"/>
        <v>43.103527109920357</v>
      </c>
      <c r="BT61" s="186">
        <f t="shared" si="43"/>
        <v>91.903593274935417</v>
      </c>
      <c r="BU61" s="186">
        <f t="shared" si="44"/>
        <v>-127.38749566403169</v>
      </c>
      <c r="BV61" s="204">
        <v>59</v>
      </c>
      <c r="BW61" s="190">
        <v>7.234</v>
      </c>
      <c r="BX61" s="186">
        <v>0.15462745187527199</v>
      </c>
      <c r="BY61" s="186">
        <v>6.9007625015046897E-2</v>
      </c>
      <c r="BZ61" s="204">
        <v>32</v>
      </c>
      <c r="CA61" s="204">
        <v>34</v>
      </c>
      <c r="CB61" s="204">
        <v>233</v>
      </c>
      <c r="CC61" s="186">
        <f t="shared" si="45"/>
        <v>1.3725481247280069E-3</v>
      </c>
      <c r="CD61" s="186">
        <f t="shared" si="46"/>
        <v>-1.0076250150468924E-3</v>
      </c>
      <c r="CE61" s="186"/>
      <c r="CF61" s="186"/>
      <c r="CG61" s="186"/>
      <c r="CH61" s="204">
        <f t="shared" si="47"/>
        <v>7.6562499999999991</v>
      </c>
      <c r="CI61" s="204">
        <f t="shared" si="48"/>
        <v>3.9130434782608692</v>
      </c>
      <c r="CJ61" s="204">
        <f t="shared" si="49"/>
        <v>99.206586826347319</v>
      </c>
      <c r="CK61" s="211">
        <f t="shared" ref="CK61:CK66" si="69">CH61*(E61/BC61)</f>
        <v>4.466145833333333</v>
      </c>
      <c r="CL61" s="211">
        <f t="shared" si="54"/>
        <v>3.1727379553466508</v>
      </c>
      <c r="CM61" s="211">
        <f t="shared" si="56"/>
        <v>108.94181263640945</v>
      </c>
      <c r="CN61" s="205">
        <f t="shared" si="50"/>
        <v>7.5924479166666661</v>
      </c>
      <c r="CO61" s="205">
        <f t="shared" si="51"/>
        <v>5.3936545240893059</v>
      </c>
      <c r="CP61" s="205">
        <f t="shared" si="52"/>
        <v>185.20108148189607</v>
      </c>
    </row>
    <row r="62" spans="1:94">
      <c r="A62" s="190">
        <v>60</v>
      </c>
      <c r="B62" s="190">
        <v>6.6040000000000001</v>
      </c>
      <c r="C62" s="190">
        <v>0.16</v>
      </c>
      <c r="D62" s="190">
        <v>6.8000000000000005E-2</v>
      </c>
      <c r="E62" s="193">
        <v>45</v>
      </c>
      <c r="F62" s="193">
        <v>20</v>
      </c>
      <c r="G62" s="193">
        <v>225</v>
      </c>
      <c r="H62" s="193">
        <f t="shared" si="15"/>
        <v>3.5541469687678164E-2</v>
      </c>
      <c r="I62" s="193">
        <f t="shared" si="16"/>
        <v>1.0578207611479196E-2</v>
      </c>
      <c r="J62" s="193">
        <f t="shared" si="17"/>
        <v>0.77095940527106432</v>
      </c>
      <c r="K62" s="194">
        <f t="shared" si="18"/>
        <v>0.15759824179249055</v>
      </c>
      <c r="L62" s="194">
        <f t="shared" si="19"/>
        <v>7.0784919599901144E-2</v>
      </c>
      <c r="M62" s="194">
        <f t="shared" si="20"/>
        <v>0.73474378742240709</v>
      </c>
      <c r="N62" s="194">
        <f t="shared" si="57"/>
        <v>0.41366322585201948</v>
      </c>
      <c r="O62" s="194">
        <f t="shared" si="58"/>
        <v>0.54764878648414039</v>
      </c>
      <c r="P62" s="194">
        <f t="shared" si="59"/>
        <v>0.87707355029119438</v>
      </c>
      <c r="Q62" s="194">
        <f t="shared" si="21"/>
        <v>31.98493419883426</v>
      </c>
      <c r="R62" s="194">
        <f t="shared" si="60"/>
        <v>66.992780316060461</v>
      </c>
      <c r="S62" s="194">
        <f t="shared" si="61"/>
        <v>-92.682064887834983</v>
      </c>
      <c r="T62" s="193"/>
      <c r="U62" s="193"/>
      <c r="V62" s="193"/>
      <c r="W62" s="193"/>
      <c r="X62" s="193"/>
      <c r="Y62" s="193"/>
      <c r="Z62" s="193"/>
      <c r="AA62" s="193"/>
      <c r="AB62" s="195">
        <f t="shared" si="62"/>
        <v>72.005640499999998</v>
      </c>
      <c r="AC62" s="195">
        <f t="shared" si="63"/>
        <v>42.865614999999998</v>
      </c>
      <c r="AD62" s="195">
        <f t="shared" si="64"/>
        <v>225.62969999999999</v>
      </c>
      <c r="AE62" s="195"/>
      <c r="AF62" s="195"/>
      <c r="AG62" s="190">
        <v>6.6040000000000001</v>
      </c>
      <c r="AH62" s="196">
        <v>0.19287142600000001</v>
      </c>
      <c r="AI62" s="196">
        <v>0.121417414</v>
      </c>
      <c r="AJ62" s="202">
        <v>65</v>
      </c>
      <c r="AK62" s="202">
        <v>57</v>
      </c>
      <c r="AL62" s="202">
        <v>163</v>
      </c>
      <c r="AM62" s="197">
        <f t="shared" si="22"/>
        <v>6.7536430285078594E-2</v>
      </c>
      <c r="AN62" s="197">
        <f t="shared" si="23"/>
        <v>5.340241840482296E-2</v>
      </c>
      <c r="AO62" s="197">
        <f t="shared" si="24"/>
        <v>0.39822848225171487</v>
      </c>
      <c r="AP62" s="194">
        <f t="shared" si="25"/>
        <v>0.11882896971756564</v>
      </c>
      <c r="AQ62" s="194">
        <f t="shared" si="26"/>
        <v>8.1303751140310909E-2</v>
      </c>
      <c r="AR62" s="194">
        <f t="shared" si="27"/>
        <v>0.38618519375861188</v>
      </c>
      <c r="AS62" s="197">
        <f t="shared" si="28"/>
        <v>0.43321504205686323</v>
      </c>
      <c r="AT62" s="197">
        <f t="shared" si="29"/>
        <v>0.4984548019467524</v>
      </c>
      <c r="AU62" s="197">
        <f t="shared" si="30"/>
        <v>0.7078195924736006</v>
      </c>
      <c r="AV62" s="196">
        <f t="shared" si="31"/>
        <v>34.252944878596132</v>
      </c>
      <c r="AW62" s="196">
        <f t="shared" si="32"/>
        <v>32.619879944944586</v>
      </c>
      <c r="AX62" s="196">
        <f t="shared" si="33"/>
        <v>-54.920910083347472</v>
      </c>
      <c r="AY62" s="196">
        <f t="shared" si="34"/>
        <v>51.113060606215335</v>
      </c>
      <c r="AZ62" s="190">
        <v>6.6040000000000001</v>
      </c>
      <c r="BA62" s="210">
        <v>0.17845177434739301</v>
      </c>
      <c r="BB62" s="210">
        <v>7.5082924652261407E-2</v>
      </c>
      <c r="BC62" s="204">
        <v>67</v>
      </c>
      <c r="BD62" s="204">
        <v>0</v>
      </c>
      <c r="BE62" s="204">
        <v>211</v>
      </c>
      <c r="BF62" s="186"/>
      <c r="BG62" s="204">
        <f t="shared" si="68"/>
        <v>31.153846153846153</v>
      </c>
      <c r="BH62" s="204">
        <f t="shared" si="53"/>
        <v>7.0175438596491224</v>
      </c>
      <c r="BI62" s="204">
        <f t="shared" si="55"/>
        <v>310.58282208588957</v>
      </c>
      <c r="BJ62" s="186">
        <f t="shared" si="65"/>
        <v>1.9738470139059786E-2</v>
      </c>
      <c r="BK62" s="186">
        <f t="shared" si="66"/>
        <v>2.130013919640965E-3</v>
      </c>
      <c r="BL62" s="186">
        <f t="shared" si="67"/>
        <v>1.5116315568059129</v>
      </c>
      <c r="BM62" s="186">
        <f t="shared" si="36"/>
        <v>0.28175133406647912</v>
      </c>
      <c r="BN62" s="186">
        <f t="shared" si="37"/>
        <v>0.11485958310827823</v>
      </c>
      <c r="BO62" s="186">
        <f t="shared" si="38"/>
        <v>1.4374406448769252</v>
      </c>
      <c r="BP62" s="186">
        <f t="shared" si="39"/>
        <v>0.4860964080057748</v>
      </c>
      <c r="BQ62" s="186">
        <f t="shared" si="40"/>
        <v>0.66467141324023948</v>
      </c>
      <c r="BR62" s="186">
        <f t="shared" si="41"/>
        <v>1.0969512995782291</v>
      </c>
      <c r="BS62" s="186">
        <f t="shared" si="42"/>
        <v>40.387183328669877</v>
      </c>
      <c r="BT62" s="186">
        <f t="shared" si="43"/>
        <v>89.287502617232335</v>
      </c>
      <c r="BU62" s="186">
        <f t="shared" si="44"/>
        <v>-122.17097831449087</v>
      </c>
      <c r="BV62" s="204">
        <v>60</v>
      </c>
      <c r="BW62" s="190">
        <v>6.6040000000000001</v>
      </c>
      <c r="BX62" s="186">
        <v>0.165562617821156</v>
      </c>
      <c r="BY62" s="186">
        <v>6.3522728896739697E-2</v>
      </c>
      <c r="BZ62" s="204">
        <v>56</v>
      </c>
      <c r="CA62" s="214">
        <v>20</v>
      </c>
      <c r="CB62" s="204">
        <v>231</v>
      </c>
      <c r="CC62" s="186">
        <f t="shared" si="45"/>
        <v>-5.5626178211559962E-3</v>
      </c>
      <c r="CD62" s="186">
        <f t="shared" si="46"/>
        <v>4.477271103260308E-3</v>
      </c>
      <c r="CE62" s="186"/>
      <c r="CF62" s="186"/>
      <c r="CG62" s="186"/>
      <c r="CH62" s="204">
        <f t="shared" si="47"/>
        <v>9.3461538461538449</v>
      </c>
      <c r="CI62" s="204">
        <f t="shared" si="48"/>
        <v>2.1052631578947367</v>
      </c>
      <c r="CJ62" s="204">
        <f t="shared" si="49"/>
        <v>93.174846625766875</v>
      </c>
      <c r="CK62" s="211">
        <f t="shared" si="69"/>
        <v>6.2772675086107919</v>
      </c>
      <c r="CL62" s="211">
        <v>0</v>
      </c>
      <c r="CM62" s="211">
        <f t="shared" si="56"/>
        <v>99.357063937429132</v>
      </c>
      <c r="CN62" s="205">
        <f t="shared" si="50"/>
        <v>10.671354764638346</v>
      </c>
      <c r="CO62" s="216">
        <v>4</v>
      </c>
      <c r="CP62" s="205">
        <f t="shared" si="52"/>
        <v>168.90700869362951</v>
      </c>
    </row>
    <row r="63" spans="1:94">
      <c r="A63" s="190">
        <v>61</v>
      </c>
      <c r="B63" s="190">
        <v>6.0679999999999996</v>
      </c>
      <c r="C63" s="190">
        <v>0.16400000000000001</v>
      </c>
      <c r="D63" s="190">
        <v>6.8000000000000005E-2</v>
      </c>
      <c r="E63" s="193">
        <v>51</v>
      </c>
      <c r="F63" s="193">
        <v>10</v>
      </c>
      <c r="G63" s="193">
        <v>215</v>
      </c>
      <c r="H63" s="193">
        <f t="shared" si="15"/>
        <v>4.3977747938692462E-2</v>
      </c>
      <c r="I63" s="193">
        <f t="shared" si="16"/>
        <v>3.0352698354883748E-3</v>
      </c>
      <c r="J63" s="193">
        <f t="shared" si="17"/>
        <v>0.70177606806351733</v>
      </c>
      <c r="K63" s="194">
        <f t="shared" si="18"/>
        <v>0.1458924160285523</v>
      </c>
      <c r="L63" s="194">
        <f t="shared" si="19"/>
        <v>6.218872631229326E-2</v>
      </c>
      <c r="M63" s="194">
        <f t="shared" si="20"/>
        <v>0.66824872739398022</v>
      </c>
      <c r="N63" s="194">
        <f t="shared" si="57"/>
        <v>0.39619034465629382</v>
      </c>
      <c r="O63" s="194">
        <f t="shared" si="58"/>
        <v>0.53373937873595056</v>
      </c>
      <c r="P63" s="194">
        <f t="shared" si="59"/>
        <v>0.84977396298079422</v>
      </c>
      <c r="Q63" s="194">
        <f t="shared" si="21"/>
        <v>29.958079980130087</v>
      </c>
      <c r="R63" s="194">
        <f t="shared" si="60"/>
        <v>68.774517039828368</v>
      </c>
      <c r="S63" s="194">
        <f t="shared" si="61"/>
        <v>-90.716723664900073</v>
      </c>
      <c r="T63" s="193"/>
      <c r="U63" s="193"/>
      <c r="V63" s="193"/>
      <c r="W63" s="193"/>
      <c r="X63" s="193"/>
      <c r="Y63" s="193"/>
      <c r="Z63" s="193"/>
      <c r="AA63" s="193"/>
      <c r="AB63" s="195">
        <f t="shared" si="62"/>
        <v>71.728633900000005</v>
      </c>
      <c r="AC63" s="195">
        <f t="shared" si="63"/>
        <v>37.623644400000003</v>
      </c>
      <c r="AD63" s="195">
        <f t="shared" si="64"/>
        <v>215.17394880000001</v>
      </c>
      <c r="AE63" s="195"/>
      <c r="AF63" s="195"/>
      <c r="AG63" s="190">
        <v>6.0679999999999996</v>
      </c>
      <c r="AH63" s="196">
        <v>0.21241419</v>
      </c>
      <c r="AI63" s="196">
        <v>0.115574516</v>
      </c>
      <c r="AJ63" s="202">
        <v>76</v>
      </c>
      <c r="AK63" s="202">
        <v>44</v>
      </c>
      <c r="AL63" s="202">
        <v>158</v>
      </c>
      <c r="AM63" s="197">
        <f t="shared" si="22"/>
        <v>8.9961166453902744E-2</v>
      </c>
      <c r="AN63" s="197">
        <f t="shared" si="23"/>
        <v>3.4230206565081946E-2</v>
      </c>
      <c r="AO63" s="197">
        <f t="shared" si="24"/>
        <v>0.37390187085208976</v>
      </c>
      <c r="AP63" s="194">
        <f t="shared" si="25"/>
        <v>0.116829994602065</v>
      </c>
      <c r="AQ63" s="194">
        <f t="shared" si="26"/>
        <v>7.0602902798967207E-2</v>
      </c>
      <c r="AR63" s="194">
        <f t="shared" si="27"/>
        <v>0.36121021938002945</v>
      </c>
      <c r="AS63" s="197">
        <f t="shared" si="28"/>
        <v>0.41330835607336003</v>
      </c>
      <c r="AT63" s="197">
        <f t="shared" si="29"/>
        <v>0.49564393073478469</v>
      </c>
      <c r="AU63" s="197">
        <f t="shared" si="30"/>
        <v>0.69221985129074182</v>
      </c>
      <c r="AV63" s="196">
        <f t="shared" si="31"/>
        <v>31.943769304509765</v>
      </c>
      <c r="AW63" s="196">
        <f t="shared" si="32"/>
        <v>41.167787330712329</v>
      </c>
      <c r="AX63" s="196">
        <f t="shared" si="33"/>
        <v>-55.782299043476357</v>
      </c>
      <c r="AY63" s="196">
        <f t="shared" si="34"/>
        <v>44.570040508788871</v>
      </c>
      <c r="AZ63" s="190">
        <v>6.0679999999999996</v>
      </c>
      <c r="BA63" s="210">
        <v>0.18575619865382501</v>
      </c>
      <c r="BB63" s="210">
        <v>7.4330341790780796E-2</v>
      </c>
      <c r="BC63" s="204">
        <v>75</v>
      </c>
      <c r="BD63" s="204">
        <v>0</v>
      </c>
      <c r="BE63" s="204">
        <v>204</v>
      </c>
      <c r="BF63" s="186"/>
      <c r="BG63" s="204">
        <f t="shared" si="68"/>
        <v>34.223684210526315</v>
      </c>
      <c r="BH63" s="204">
        <f t="shared" si="53"/>
        <v>2.2727272727272725</v>
      </c>
      <c r="BI63" s="204">
        <f t="shared" si="55"/>
        <v>292.5632911392405</v>
      </c>
      <c r="BJ63" s="186">
        <f t="shared" si="65"/>
        <v>2.2809944842261988E-2</v>
      </c>
      <c r="BK63" s="186">
        <f t="shared" si="66"/>
        <v>6.8983405352008513E-4</v>
      </c>
      <c r="BL63" s="186">
        <f t="shared" si="67"/>
        <v>1.3331482113901787</v>
      </c>
      <c r="BM63" s="186">
        <f t="shared" si="36"/>
        <v>0.25028675806641487</v>
      </c>
      <c r="BN63" s="186">
        <f t="shared" si="37"/>
        <v>0.10159606445091336</v>
      </c>
      <c r="BO63" s="186">
        <f t="shared" si="38"/>
        <v>1.2676798350810001</v>
      </c>
      <c r="BP63" s="186">
        <f t="shared" si="39"/>
        <v>0.4666152857361861</v>
      </c>
      <c r="BQ63" s="186">
        <f t="shared" si="40"/>
        <v>0.63894620936018698</v>
      </c>
      <c r="BR63" s="186">
        <f t="shared" si="41"/>
        <v>1.0519471001923686</v>
      </c>
      <c r="BS63" s="186">
        <f t="shared" si="42"/>
        <v>38.127373145397591</v>
      </c>
      <c r="BT63" s="186">
        <f t="shared" si="43"/>
        <v>86.165461812000444</v>
      </c>
      <c r="BU63" s="186">
        <f t="shared" si="44"/>
        <v>-117.06636289123651</v>
      </c>
      <c r="BV63" s="204">
        <v>61</v>
      </c>
      <c r="BW63" s="190">
        <v>6.0679999999999996</v>
      </c>
      <c r="BX63" s="186">
        <v>0.17090493074236701</v>
      </c>
      <c r="BY63" s="186">
        <v>6.6050148737366005E-2</v>
      </c>
      <c r="BZ63" s="204">
        <v>62</v>
      </c>
      <c r="CA63" s="214">
        <v>10</v>
      </c>
      <c r="CB63" s="204">
        <v>218</v>
      </c>
      <c r="CC63" s="186">
        <f t="shared" si="45"/>
        <v>-6.9049307423670048E-3</v>
      </c>
      <c r="CD63" s="186">
        <f t="shared" si="46"/>
        <v>1.9498512626340003E-3</v>
      </c>
      <c r="CE63" s="186"/>
      <c r="CF63" s="186"/>
      <c r="CG63" s="186"/>
      <c r="CH63" s="204">
        <f t="shared" si="47"/>
        <v>10.267105263157895</v>
      </c>
      <c r="CI63" s="204">
        <f t="shared" si="48"/>
        <v>0.68181818181818177</v>
      </c>
      <c r="CJ63" s="204">
        <f t="shared" si="49"/>
        <v>87.768987341772146</v>
      </c>
      <c r="CK63" s="211">
        <f t="shared" si="69"/>
        <v>6.9816315789473684</v>
      </c>
      <c r="CL63" s="211">
        <v>0</v>
      </c>
      <c r="CM63" s="211">
        <f t="shared" si="56"/>
        <v>92.501628816083397</v>
      </c>
      <c r="CN63" s="205">
        <f t="shared" si="50"/>
        <v>11.868773684210526</v>
      </c>
      <c r="CO63" s="216">
        <v>3</v>
      </c>
      <c r="CP63" s="205">
        <f t="shared" si="52"/>
        <v>157.25276898734177</v>
      </c>
    </row>
    <row r="64" spans="1:94">
      <c r="A64" s="190">
        <v>62</v>
      </c>
      <c r="B64" s="190">
        <v>5.6879999999999997</v>
      </c>
      <c r="C64" s="190">
        <v>0.16800000000000001</v>
      </c>
      <c r="D64" s="190">
        <v>7.2000000000000008E-2</v>
      </c>
      <c r="E64" s="193">
        <v>55</v>
      </c>
      <c r="F64" s="193">
        <v>5</v>
      </c>
      <c r="G64" s="193">
        <v>205</v>
      </c>
      <c r="H64" s="193">
        <f t="shared" si="15"/>
        <v>5.0149927040813516E-2</v>
      </c>
      <c r="I64" s="193">
        <f t="shared" si="16"/>
        <v>1.5176349177441874E-3</v>
      </c>
      <c r="J64" s="193">
        <f t="shared" si="17"/>
        <v>0.63612477118478317</v>
      </c>
      <c r="K64" s="194">
        <f t="shared" si="18"/>
        <v>0.13604505735707018</v>
      </c>
      <c r="L64" s="194">
        <f t="shared" si="19"/>
        <v>5.7675495461588941E-2</v>
      </c>
      <c r="M64" s="194">
        <f t="shared" si="20"/>
        <v>0.60578539068521919</v>
      </c>
      <c r="N64" s="194">
        <f t="shared" si="57"/>
        <v>0.38636440718625686</v>
      </c>
      <c r="O64" s="194">
        <f t="shared" si="58"/>
        <v>0.52144990939981961</v>
      </c>
      <c r="P64" s="194">
        <f t="shared" si="59"/>
        <v>0.82242626581228606</v>
      </c>
      <c r="Q64" s="194">
        <f t="shared" si="21"/>
        <v>28.818271233605799</v>
      </c>
      <c r="R64" s="194">
        <f t="shared" si="60"/>
        <v>67.542751106781367</v>
      </c>
      <c r="S64" s="194">
        <f t="shared" si="61"/>
        <v>-87.212371725205841</v>
      </c>
      <c r="T64" s="193"/>
      <c r="U64" s="193"/>
      <c r="V64" s="193"/>
      <c r="W64" s="193"/>
      <c r="X64" s="193"/>
      <c r="Y64" s="193"/>
      <c r="Z64" s="193"/>
      <c r="AA64" s="193"/>
      <c r="AB64" s="195">
        <f t="shared" si="62"/>
        <v>71.225935499999991</v>
      </c>
      <c r="AC64" s="195">
        <f t="shared" si="63"/>
        <v>34.923665499999998</v>
      </c>
      <c r="AD64" s="195">
        <f t="shared" si="64"/>
        <v>205.01756499999999</v>
      </c>
      <c r="AE64" s="195"/>
      <c r="AF64" s="195"/>
      <c r="AG64" s="190">
        <v>5.6879999999999997</v>
      </c>
      <c r="AH64" s="196">
        <v>0.22344129600000001</v>
      </c>
      <c r="AI64" s="196">
        <v>0.10565819899999999</v>
      </c>
      <c r="AJ64" s="202">
        <v>84</v>
      </c>
      <c r="AK64" s="202">
        <v>24</v>
      </c>
      <c r="AL64" s="202">
        <v>160</v>
      </c>
      <c r="AM64" s="197">
        <f t="shared" si="22"/>
        <v>0.10849188725963922</v>
      </c>
      <c r="AN64" s="197">
        <f t="shared" si="23"/>
        <v>1.350854213809261E-2</v>
      </c>
      <c r="AO64" s="197">
        <f t="shared" si="24"/>
        <v>0.38353217665655637</v>
      </c>
      <c r="AP64" s="194">
        <f t="shared" si="25"/>
        <v>0.11880026686096555</v>
      </c>
      <c r="AQ64" s="194">
        <f t="shared" si="26"/>
        <v>6.04177077231665E-2</v>
      </c>
      <c r="AR64" s="194">
        <f t="shared" si="27"/>
        <v>0.3682514455590285</v>
      </c>
      <c r="AS64" s="197">
        <f t="shared" si="28"/>
        <v>0.39239314759025545</v>
      </c>
      <c r="AT64" s="197">
        <f t="shared" si="29"/>
        <v>0.49841466518875094</v>
      </c>
      <c r="AU64" s="197">
        <f t="shared" si="30"/>
        <v>0.69668885027033112</v>
      </c>
      <c r="AV64" s="196">
        <f t="shared" si="31"/>
        <v>29.517605120469632</v>
      </c>
      <c r="AW64" s="196">
        <f t="shared" si="32"/>
        <v>53.010758799247739</v>
      </c>
      <c r="AX64" s="196">
        <f t="shared" si="33"/>
        <v>-60.859140536015133</v>
      </c>
      <c r="AY64" s="196">
        <f t="shared" si="34"/>
        <v>30.102502594011458</v>
      </c>
      <c r="AZ64" s="190">
        <v>5.6879999999999997</v>
      </c>
      <c r="BA64" s="210">
        <v>0.196329111741607</v>
      </c>
      <c r="BB64" s="210">
        <v>7.76266673182026E-2</v>
      </c>
      <c r="BC64" s="204">
        <v>80</v>
      </c>
      <c r="BD64" s="204">
        <v>0</v>
      </c>
      <c r="BE64" s="204">
        <v>191</v>
      </c>
      <c r="BF64" s="186"/>
      <c r="BG64" s="204">
        <f t="shared" si="68"/>
        <v>36.011904761904759</v>
      </c>
      <c r="BH64" s="204">
        <f t="shared" si="53"/>
        <v>1.0416666666666667</v>
      </c>
      <c r="BI64" s="204">
        <f t="shared" si="55"/>
        <v>262.65625</v>
      </c>
      <c r="BJ64" s="186">
        <f t="shared" si="65"/>
        <v>2.4711274942592714E-2</v>
      </c>
      <c r="BK64" s="186">
        <f t="shared" si="66"/>
        <v>3.1617394119670575E-4</v>
      </c>
      <c r="BL64" s="186">
        <f t="shared" si="67"/>
        <v>1.0636814754036694</v>
      </c>
      <c r="BM64" s="186">
        <f t="shared" si="36"/>
        <v>0.20229849989805951</v>
      </c>
      <c r="BN64" s="186">
        <f t="shared" si="37"/>
        <v>8.2277547179684024E-2</v>
      </c>
      <c r="BO64" s="186">
        <f t="shared" si="38"/>
        <v>1.0115438579113705</v>
      </c>
      <c r="BP64" s="186">
        <f t="shared" si="39"/>
        <v>0.43493775861957801</v>
      </c>
      <c r="BQ64" s="186">
        <f t="shared" si="40"/>
        <v>0.59518123162689307</v>
      </c>
      <c r="BR64" s="186">
        <f t="shared" si="41"/>
        <v>0.97570593312589238</v>
      </c>
      <c r="BS64" s="186">
        <f t="shared" si="42"/>
        <v>34.452779999871048</v>
      </c>
      <c r="BT64" s="186">
        <f t="shared" si="43"/>
        <v>80.12173650365753</v>
      </c>
      <c r="BU64" s="186">
        <f t="shared" si="44"/>
        <v>-108.15363490126289</v>
      </c>
      <c r="BV64" s="204">
        <v>62</v>
      </c>
      <c r="BW64" s="190">
        <v>5.6879999999999997</v>
      </c>
      <c r="BX64" s="186">
        <v>0.17683072502234501</v>
      </c>
      <c r="BY64" s="186">
        <v>6.8849065960323405E-2</v>
      </c>
      <c r="BZ64" s="204">
        <v>66</v>
      </c>
      <c r="CA64" s="214">
        <v>5</v>
      </c>
      <c r="CB64" s="204">
        <v>206</v>
      </c>
      <c r="CC64" s="186">
        <f t="shared" si="45"/>
        <v>-8.8307250223449985E-3</v>
      </c>
      <c r="CD64" s="186">
        <f t="shared" si="46"/>
        <v>3.1509340396766033E-3</v>
      </c>
      <c r="CE64" s="186"/>
      <c r="CF64" s="186"/>
      <c r="CG64" s="186"/>
      <c r="CH64" s="204">
        <f t="shared" si="47"/>
        <v>10.803571428571427</v>
      </c>
      <c r="CI64" s="204">
        <f t="shared" si="48"/>
        <v>0.3125</v>
      </c>
      <c r="CJ64" s="204">
        <f t="shared" si="49"/>
        <v>78.796875</v>
      </c>
      <c r="CK64" s="211">
        <f t="shared" si="69"/>
        <v>7.4274553571428559</v>
      </c>
      <c r="CL64" s="211">
        <v>0</v>
      </c>
      <c r="CM64" s="211">
        <f t="shared" si="56"/>
        <v>84.572562172774866</v>
      </c>
      <c r="CN64" s="205">
        <f t="shared" si="50"/>
        <v>12.626674107142854</v>
      </c>
      <c r="CO64" s="216">
        <v>2</v>
      </c>
      <c r="CP64" s="205">
        <f t="shared" si="52"/>
        <v>143.77335569371726</v>
      </c>
    </row>
    <row r="65" spans="1:94">
      <c r="A65" s="190">
        <v>63</v>
      </c>
      <c r="B65" s="190">
        <v>5.41</v>
      </c>
      <c r="C65" s="190">
        <v>0.17599999999999999</v>
      </c>
      <c r="D65" s="190">
        <v>7.2000000000000008E-2</v>
      </c>
      <c r="E65" s="193">
        <v>60</v>
      </c>
      <c r="F65" s="193">
        <v>3</v>
      </c>
      <c r="G65" s="193">
        <v>195</v>
      </c>
      <c r="H65" s="193">
        <f t="shared" si="15"/>
        <v>5.8490954313653663E-2</v>
      </c>
      <c r="I65" s="193">
        <f t="shared" si="16"/>
        <v>9.1058095064651249E-4</v>
      </c>
      <c r="J65" s="193">
        <f t="shared" si="17"/>
        <v>0.57397410890869816</v>
      </c>
      <c r="K65" s="194">
        <f t="shared" si="18"/>
        <v>0.12804961996492198</v>
      </c>
      <c r="L65" s="194">
        <f t="shared" si="19"/>
        <v>5.4527355046193167E-2</v>
      </c>
      <c r="M65" s="194">
        <f t="shared" si="20"/>
        <v>0.5467998071852882</v>
      </c>
      <c r="N65" s="194">
        <f t="shared" si="57"/>
        <v>0.3792027492125582</v>
      </c>
      <c r="O65" s="194">
        <f t="shared" si="58"/>
        <v>0.51102769621196653</v>
      </c>
      <c r="P65" s="194">
        <f t="shared" si="59"/>
        <v>0.7948164086051146</v>
      </c>
      <c r="Q65" s="194">
        <f t="shared" si="21"/>
        <v>27.987518908656753</v>
      </c>
      <c r="R65" s="194">
        <f t="shared" si="60"/>
        <v>65.912473499704163</v>
      </c>
      <c r="S65" s="194">
        <f t="shared" si="61"/>
        <v>-83.122731878511274</v>
      </c>
      <c r="T65" s="193"/>
      <c r="U65" s="193"/>
      <c r="V65" s="193"/>
      <c r="W65" s="193"/>
      <c r="X65" s="193"/>
      <c r="Y65" s="193"/>
      <c r="Z65" s="193"/>
      <c r="AA65" s="193"/>
      <c r="AB65" s="195">
        <f t="shared" si="62"/>
        <v>71.85663000000001</v>
      </c>
      <c r="AC65" s="195">
        <f t="shared" si="63"/>
        <v>34.4031108</v>
      </c>
      <c r="AD65" s="195">
        <f t="shared" si="64"/>
        <v>195.1002771</v>
      </c>
      <c r="AE65" s="195"/>
      <c r="AF65" s="195"/>
      <c r="AG65" s="190">
        <v>5.41</v>
      </c>
      <c r="AH65" s="196">
        <v>0.238195043</v>
      </c>
      <c r="AI65" s="196">
        <v>0.106847118</v>
      </c>
      <c r="AJ65" s="202">
        <v>90</v>
      </c>
      <c r="AK65" s="202">
        <v>0</v>
      </c>
      <c r="AL65" s="202">
        <v>154</v>
      </c>
      <c r="AM65" s="197">
        <f t="shared" si="22"/>
        <v>0.12364005388724823</v>
      </c>
      <c r="AN65" s="197">
        <f t="shared" si="23"/>
        <v>0</v>
      </c>
      <c r="AO65" s="197">
        <f t="shared" si="24"/>
        <v>0.35504122293416068</v>
      </c>
      <c r="AP65" s="194">
        <f t="shared" si="25"/>
        <v>0.11507409896271717</v>
      </c>
      <c r="AQ65" s="194">
        <f t="shared" si="26"/>
        <v>5.1919851752275377E-2</v>
      </c>
      <c r="AR65" s="194">
        <f t="shared" si="27"/>
        <v>0.33985293543894363</v>
      </c>
      <c r="AS65" s="197">
        <f t="shared" si="28"/>
        <v>0.37305925154243763</v>
      </c>
      <c r="AT65" s="197">
        <f t="shared" si="29"/>
        <v>0.49314829353480438</v>
      </c>
      <c r="AU65" s="197">
        <f t="shared" si="30"/>
        <v>0.67829879971920559</v>
      </c>
      <c r="AV65" s="196">
        <f t="shared" si="31"/>
        <v>27.274873178922768</v>
      </c>
      <c r="AW65" s="196">
        <f t="shared" si="32"/>
        <v>60.044520996183373</v>
      </c>
      <c r="AX65" s="196">
        <f t="shared" si="33"/>
        <v>-61.047909635353591</v>
      </c>
      <c r="AY65" s="196">
        <f t="shared" si="34"/>
        <v>22.852538318241439</v>
      </c>
      <c r="AZ65" s="190">
        <v>5.41</v>
      </c>
      <c r="BA65" s="210">
        <v>0.20563362567037599</v>
      </c>
      <c r="BB65" s="210">
        <v>8.2153086474676396E-2</v>
      </c>
      <c r="BC65" s="204">
        <v>83</v>
      </c>
      <c r="BD65" s="204">
        <v>0</v>
      </c>
      <c r="BE65" s="204">
        <v>181</v>
      </c>
      <c r="BF65" s="186"/>
      <c r="BG65" s="204">
        <f t="shared" si="68"/>
        <v>40</v>
      </c>
      <c r="BH65" s="204">
        <v>0</v>
      </c>
      <c r="BI65" s="204">
        <f t="shared" si="55"/>
        <v>246.91558441558439</v>
      </c>
      <c r="BJ65" s="186">
        <f t="shared" si="65"/>
        <v>2.9252615183274946E-2</v>
      </c>
      <c r="BK65" s="186">
        <f t="shared" si="66"/>
        <v>0</v>
      </c>
      <c r="BL65" s="186">
        <f t="shared" si="67"/>
        <v>0.93507787114728347</v>
      </c>
      <c r="BM65" s="186">
        <f t="shared" si="36"/>
        <v>0.18084533424366725</v>
      </c>
      <c r="BN65" s="186">
        <f t="shared" si="37"/>
        <v>7.3731728284798126E-2</v>
      </c>
      <c r="BO65" s="186">
        <f t="shared" si="38"/>
        <v>0.88935609199853016</v>
      </c>
      <c r="BP65" s="186">
        <f t="shared" si="39"/>
        <v>0.41932569100282624</v>
      </c>
      <c r="BQ65" s="186">
        <f t="shared" si="40"/>
        <v>0.57335126692741079</v>
      </c>
      <c r="BR65" s="186">
        <f t="shared" si="41"/>
        <v>0.93472229478973445</v>
      </c>
      <c r="BS65" s="186">
        <f t="shared" si="42"/>
        <v>32.64178015632784</v>
      </c>
      <c r="BT65" s="186">
        <f t="shared" si="43"/>
        <v>77.012787962292279</v>
      </c>
      <c r="BU65" s="186">
        <f t="shared" si="44"/>
        <v>-103.07932075738164</v>
      </c>
      <c r="BV65" s="204">
        <v>63</v>
      </c>
      <c r="BW65" s="190">
        <v>5.41</v>
      </c>
      <c r="BX65" s="186">
        <v>0.18574862739199699</v>
      </c>
      <c r="BY65" s="186">
        <v>7.3090567177074198E-2</v>
      </c>
      <c r="BZ65" s="204">
        <v>72</v>
      </c>
      <c r="CA65" s="214">
        <v>3</v>
      </c>
      <c r="CB65" s="204">
        <v>195</v>
      </c>
      <c r="CC65" s="186">
        <f t="shared" si="45"/>
        <v>-9.7486273919970001E-3</v>
      </c>
      <c r="CD65" s="186">
        <f t="shared" si="46"/>
        <v>-1.0905671770741893E-3</v>
      </c>
      <c r="CE65" s="186"/>
      <c r="CF65" s="186"/>
      <c r="CG65" s="186"/>
      <c r="CH65" s="204">
        <f t="shared" si="47"/>
        <v>12</v>
      </c>
      <c r="CI65" s="204">
        <f t="shared" si="48"/>
        <v>0</v>
      </c>
      <c r="CJ65" s="204">
        <f t="shared" si="49"/>
        <v>74.074675324675312</v>
      </c>
      <c r="CK65" s="211">
        <f t="shared" si="69"/>
        <v>8.6746987951807224</v>
      </c>
      <c r="CL65" s="211">
        <v>0</v>
      </c>
      <c r="CM65" s="211">
        <f t="shared" si="56"/>
        <v>79.804208222716497</v>
      </c>
      <c r="CN65" s="205">
        <f t="shared" si="50"/>
        <v>14.746987951807228</v>
      </c>
      <c r="CO65" s="216">
        <v>1</v>
      </c>
      <c r="CP65" s="205">
        <f t="shared" si="52"/>
        <v>135.66715397861805</v>
      </c>
    </row>
    <row r="66" spans="1:94">
      <c r="A66" s="190">
        <v>64</v>
      </c>
      <c r="B66" s="190">
        <v>5.4139999999999997</v>
      </c>
      <c r="C66" s="190">
        <v>0.18</v>
      </c>
      <c r="D66" s="190">
        <v>7.5999999999999998E-2</v>
      </c>
      <c r="E66" s="193">
        <v>65</v>
      </c>
      <c r="F66" s="193">
        <v>2</v>
      </c>
      <c r="G66" s="193">
        <v>190</v>
      </c>
      <c r="H66" s="193">
        <f t="shared" si="15"/>
        <v>6.7536430285078594E-2</v>
      </c>
      <c r="I66" s="193">
        <f t="shared" si="16"/>
        <v>6.0705396709767503E-4</v>
      </c>
      <c r="J66" s="193">
        <f t="shared" si="17"/>
        <v>0.54420138435103338</v>
      </c>
      <c r="K66" s="194">
        <f t="shared" si="18"/>
        <v>0.12629745622356206</v>
      </c>
      <c r="L66" s="194">
        <f t="shared" si="19"/>
        <v>5.4083750026020574E-2</v>
      </c>
      <c r="M66" s="194">
        <f t="shared" si="20"/>
        <v>0.51863922976303733</v>
      </c>
      <c r="N66" s="194">
        <f t="shared" si="57"/>
        <v>0.37817161851888981</v>
      </c>
      <c r="O66" s="194">
        <f t="shared" si="58"/>
        <v>0.50868610495065203</v>
      </c>
      <c r="P66" s="194">
        <f t="shared" si="59"/>
        <v>0.7809306972003438</v>
      </c>
      <c r="Q66" s="194">
        <f t="shared" si="21"/>
        <v>27.867907748191215</v>
      </c>
      <c r="R66" s="194">
        <f t="shared" si="60"/>
        <v>65.257243215881118</v>
      </c>
      <c r="S66" s="194">
        <f t="shared" si="61"/>
        <v>-80.551815736290806</v>
      </c>
      <c r="T66" s="193"/>
      <c r="U66" s="193"/>
      <c r="V66" s="193"/>
      <c r="W66" s="193"/>
      <c r="X66" s="193"/>
      <c r="Y66" s="193"/>
      <c r="Z66" s="193"/>
      <c r="AA66" s="193"/>
      <c r="AB66" s="195">
        <f t="shared" si="62"/>
        <v>73.613804500000001</v>
      </c>
      <c r="AC66" s="195">
        <f t="shared" si="63"/>
        <v>34.886275699999999</v>
      </c>
      <c r="AD66" s="195">
        <f t="shared" si="64"/>
        <v>190.2092189</v>
      </c>
      <c r="AE66" s="195"/>
      <c r="AF66" s="195"/>
      <c r="AG66" s="190">
        <v>5.4139999999999997</v>
      </c>
      <c r="AH66" s="196">
        <v>0.24861404100000001</v>
      </c>
      <c r="AI66" s="196">
        <v>0.106374341</v>
      </c>
      <c r="AJ66" s="202">
        <v>96</v>
      </c>
      <c r="AK66" s="202">
        <v>0</v>
      </c>
      <c r="AL66" s="202">
        <v>154</v>
      </c>
      <c r="AM66" s="197">
        <f t="shared" si="22"/>
        <v>0.13987407314846112</v>
      </c>
      <c r="AN66" s="197">
        <f t="shared" si="23"/>
        <v>0</v>
      </c>
      <c r="AO66" s="197">
        <f t="shared" si="24"/>
        <v>0.35504122293416068</v>
      </c>
      <c r="AP66" s="194">
        <f t="shared" si="25"/>
        <v>0.12176900850604136</v>
      </c>
      <c r="AQ66" s="194">
        <f t="shared" si="26"/>
        <v>5.5371204247209239E-2</v>
      </c>
      <c r="AR66" s="194">
        <f t="shared" si="27"/>
        <v>0.34016625201068507</v>
      </c>
      <c r="AS66" s="197">
        <f t="shared" si="28"/>
        <v>0.3811488873423855</v>
      </c>
      <c r="AT66" s="197">
        <f t="shared" si="29"/>
        <v>0.50253224123910023</v>
      </c>
      <c r="AU66" s="197">
        <f t="shared" si="30"/>
        <v>0.67850718100853058</v>
      </c>
      <c r="AV66" s="196">
        <f t="shared" si="31"/>
        <v>28.213270931716721</v>
      </c>
      <c r="AW66" s="196">
        <f t="shared" si="32"/>
        <v>60.691676948357362</v>
      </c>
      <c r="AX66" s="196">
        <f t="shared" si="33"/>
        <v>-59.471658733229013</v>
      </c>
      <c r="AY66" s="196">
        <f t="shared" si="34"/>
        <v>21.571664060647262</v>
      </c>
      <c r="AZ66" s="190">
        <v>5.4139999999999997</v>
      </c>
      <c r="BA66" s="210">
        <v>0.214412883095564</v>
      </c>
      <c r="BB66" s="210">
        <v>8.6429934047922402E-2</v>
      </c>
      <c r="BC66" s="204">
        <v>86</v>
      </c>
      <c r="BD66" s="204">
        <v>0</v>
      </c>
      <c r="BE66" s="204">
        <v>176</v>
      </c>
      <c r="BF66" s="186"/>
      <c r="BG66" s="204">
        <f t="shared" si="68"/>
        <v>44.010416666666671</v>
      </c>
      <c r="BH66" s="204">
        <v>0</v>
      </c>
      <c r="BI66" s="204">
        <f t="shared" si="55"/>
        <v>234.41558441558442</v>
      </c>
      <c r="BJ66" s="186">
        <f t="shared" si="65"/>
        <v>3.4243727060192471E-2</v>
      </c>
      <c r="BK66" s="186">
        <f t="shared" si="66"/>
        <v>0</v>
      </c>
      <c r="BL66" s="186">
        <f t="shared" si="67"/>
        <v>0.8393551986880623</v>
      </c>
      <c r="BM66" s="186">
        <f t="shared" si="36"/>
        <v>0.16562572640281861</v>
      </c>
      <c r="BN66" s="186">
        <f t="shared" si="37"/>
        <v>6.7881661718275019E-2</v>
      </c>
      <c r="BO66" s="186">
        <f t="shared" si="38"/>
        <v>0.79846802028526498</v>
      </c>
      <c r="BP66" s="186">
        <f t="shared" si="39"/>
        <v>0.40792860013528376</v>
      </c>
      <c r="BQ66" s="186">
        <f t="shared" si="40"/>
        <v>0.55679364824691613</v>
      </c>
      <c r="BR66" s="186">
        <f t="shared" si="41"/>
        <v>0.90173006306260106</v>
      </c>
      <c r="BS66" s="186">
        <f t="shared" si="42"/>
        <v>31.319717615692916</v>
      </c>
      <c r="BT66" s="186">
        <f t="shared" si="43"/>
        <v>74.432524055816188</v>
      </c>
      <c r="BU66" s="186">
        <f t="shared" si="44"/>
        <v>-98.760292585463461</v>
      </c>
      <c r="BV66" s="204">
        <v>64</v>
      </c>
      <c r="BW66" s="190">
        <v>5.4139999999999997</v>
      </c>
      <c r="BX66" s="186">
        <v>0.19470283143292799</v>
      </c>
      <c r="BY66" s="186">
        <v>7.7339408796267994E-2</v>
      </c>
      <c r="BZ66" s="204">
        <v>78</v>
      </c>
      <c r="CA66" s="214">
        <v>2</v>
      </c>
      <c r="CB66" s="204">
        <v>189</v>
      </c>
      <c r="CC66" s="186">
        <f t="shared" si="45"/>
        <v>-1.4702831432927999E-2</v>
      </c>
      <c r="CD66" s="186">
        <f t="shared" si="46"/>
        <v>-1.3394087962679962E-3</v>
      </c>
      <c r="CE66" s="186"/>
      <c r="CF66" s="186"/>
      <c r="CG66" s="186"/>
      <c r="CH66" s="204">
        <f t="shared" si="47"/>
        <v>13.203125000000002</v>
      </c>
      <c r="CI66" s="204">
        <f t="shared" si="48"/>
        <v>0</v>
      </c>
      <c r="CJ66" s="204">
        <f t="shared" si="49"/>
        <v>70.324675324675326</v>
      </c>
      <c r="CK66" s="211">
        <f t="shared" si="69"/>
        <v>9.979106104651164</v>
      </c>
      <c r="CL66" s="211">
        <v>0</v>
      </c>
      <c r="CM66" s="211">
        <f t="shared" si="56"/>
        <v>75.918683589138141</v>
      </c>
      <c r="CN66" s="205">
        <f t="shared" si="50"/>
        <v>16.964480377906977</v>
      </c>
      <c r="CO66" s="216">
        <f t="shared" si="51"/>
        <v>0</v>
      </c>
      <c r="CP66" s="205">
        <f t="shared" si="52"/>
        <v>129.06176210153484</v>
      </c>
    </row>
    <row r="67" spans="1:94">
      <c r="A67" s="190">
        <v>65</v>
      </c>
      <c r="B67" s="190">
        <v>29.55</v>
      </c>
      <c r="C67" s="190">
        <v>0.62</v>
      </c>
      <c r="D67" s="190">
        <v>0.3</v>
      </c>
      <c r="E67" s="193">
        <v>254</v>
      </c>
      <c r="F67" s="193">
        <v>0</v>
      </c>
      <c r="G67" s="193">
        <v>30</v>
      </c>
      <c r="H67" s="193">
        <f t="shared" ref="H67:H78" si="70">IF(E67/255&gt;0.04045,(((E67/255)+0.055)/1.055)^2.2,(E67/255)/12.92)</f>
        <v>0.99184055530299731</v>
      </c>
      <c r="I67" s="193">
        <f t="shared" ref="I67:I78" si="71">IF(F67/255&gt;0.04045,(((F67/255)+0.055)/1.055)^2.2,(F67/255)/12.92)</f>
        <v>0</v>
      </c>
      <c r="J67" s="193">
        <f t="shared" ref="J67:J78" si="72">IF(G67/255&gt;0.04045,(((G67/255)+0.055)/1.055)^2.2,(G67/255)/12.92)</f>
        <v>1.8646391312016057E-2</v>
      </c>
      <c r="K67" s="194">
        <f t="shared" ref="K67:K78" si="73">H67*0.4124+I67*0.3576+J67*0.1805</f>
        <v>0.41240071863877498</v>
      </c>
      <c r="L67" s="194">
        <f t="shared" ref="L67:L78" si="74">H67*0.2126+I67*0.7152+J67*0.0722</f>
        <v>0.2122115715101448</v>
      </c>
      <c r="M67" s="194">
        <f t="shared" ref="M67:M78" si="75">H67*0.0193+I67*0.1192+J67*0.9505</f>
        <v>3.6865917659419115E-2</v>
      </c>
      <c r="N67" s="194">
        <f t="shared" ref="N67:N78" si="76">IF(L67&gt;0.008856,L67^(1/3),7.787*L67+(16/116))</f>
        <v>0.59647148583295562</v>
      </c>
      <c r="O67" s="194">
        <f t="shared" ref="O67:O78" si="77">IF(K67/0.9595&gt;0.008856,(K67/0.9595)^(1/3),7.787*(K67/0.9595)+(16/116))</f>
        <v>0.7546718397362584</v>
      </c>
      <c r="P67" s="194">
        <f t="shared" ref="P67:P78" si="78">IF(M67/1.089&gt;0.008856,(M67/1.089)^(1/3),7.787*(M67/1.089)+(16/116))</f>
        <v>0.32349362234146212</v>
      </c>
      <c r="Q67" s="194">
        <f t="shared" ref="Q67:Q78" si="79">116*N67-16</f>
        <v>53.190692356622847</v>
      </c>
      <c r="R67" s="194">
        <f t="shared" ref="R67:R78" si="80">500*(O67-N67)</f>
        <v>79.100176951651392</v>
      </c>
      <c r="S67" s="194">
        <f t="shared" ref="S67:S78" si="81">200*(N67-P67)</f>
        <v>54.595572698298703</v>
      </c>
      <c r="T67" s="193"/>
      <c r="U67" s="193"/>
      <c r="V67" s="193"/>
      <c r="W67" s="193"/>
      <c r="X67" s="193"/>
      <c r="Y67" s="193"/>
      <c r="Z67" s="193"/>
      <c r="AA67" s="193"/>
      <c r="AB67" s="195">
        <f t="shared" ref="AB67:AB78" si="82">E67*0.5767309+F67*0.185554+G67*0.1881852</f>
        <v>152.13520460000001</v>
      </c>
      <c r="AC67" s="195">
        <f t="shared" ref="AC67:AC78" si="83">E67*0.2973769+F67*0.6273491+G67*0.0752741</f>
        <v>77.791955599999994</v>
      </c>
      <c r="AD67" s="195">
        <f t="shared" ref="AD67:AD78" si="84">E67*0.0270343+F67*0.0706872+G67*0.9911085</f>
        <v>36.599967200000002</v>
      </c>
      <c r="AE67" s="195"/>
      <c r="AF67" s="195"/>
      <c r="AG67" s="190">
        <v>29.55</v>
      </c>
      <c r="AH67" s="189"/>
      <c r="AI67" s="189"/>
      <c r="AJ67" s="203"/>
      <c r="AK67" s="203"/>
      <c r="AL67" s="203"/>
      <c r="AM67" s="189"/>
      <c r="AN67" s="189"/>
      <c r="AO67" s="189"/>
      <c r="AP67" s="189"/>
      <c r="AQ67" s="189"/>
      <c r="AR67" s="189"/>
      <c r="AS67" s="189"/>
      <c r="AT67" s="189"/>
      <c r="AU67" s="189"/>
      <c r="AV67" s="189"/>
      <c r="AW67" s="189"/>
      <c r="AX67" s="189"/>
      <c r="AY67" s="189"/>
      <c r="AZ67" s="190">
        <v>29.55</v>
      </c>
      <c r="BW67" s="190">
        <v>29.55</v>
      </c>
    </row>
    <row r="68" spans="1:94">
      <c r="A68" s="190">
        <v>66</v>
      </c>
      <c r="B68" s="190">
        <v>75.528000000000006</v>
      </c>
      <c r="C68" s="190">
        <v>0.39200000000000002</v>
      </c>
      <c r="D68" s="190">
        <v>0.4</v>
      </c>
      <c r="E68" s="193">
        <v>255</v>
      </c>
      <c r="F68" s="193">
        <v>216</v>
      </c>
      <c r="G68" s="193">
        <v>147</v>
      </c>
      <c r="H68" s="193">
        <f t="shared" si="70"/>
        <v>1</v>
      </c>
      <c r="I68" s="193">
        <f t="shared" si="71"/>
        <v>0.70853495140210854</v>
      </c>
      <c r="J68" s="193">
        <f t="shared" si="72"/>
        <v>0.32331173568391336</v>
      </c>
      <c r="K68" s="194">
        <f t="shared" si="73"/>
        <v>0.72412986691234038</v>
      </c>
      <c r="L68" s="194">
        <f t="shared" si="74"/>
        <v>0.74268730455916654</v>
      </c>
      <c r="M68" s="194">
        <f t="shared" si="75"/>
        <v>0.41106517097469097</v>
      </c>
      <c r="N68" s="194">
        <f t="shared" si="76"/>
        <v>0.90559774702522366</v>
      </c>
      <c r="O68" s="194">
        <f t="shared" si="77"/>
        <v>0.91045222260949088</v>
      </c>
      <c r="P68" s="194">
        <f t="shared" si="78"/>
        <v>0.72270479101602103</v>
      </c>
      <c r="Q68" s="194">
        <f t="shared" si="79"/>
        <v>89.049338654925947</v>
      </c>
      <c r="R68" s="194">
        <f t="shared" si="80"/>
        <v>2.4272377921336075</v>
      </c>
      <c r="S68" s="194">
        <f t="shared" si="81"/>
        <v>36.578591201840524</v>
      </c>
      <c r="T68" s="193"/>
      <c r="U68" s="193"/>
      <c r="V68" s="193"/>
      <c r="W68" s="193"/>
      <c r="X68" s="193"/>
      <c r="Y68" s="193"/>
      <c r="Z68" s="193"/>
      <c r="AA68" s="193"/>
      <c r="AB68" s="195">
        <f t="shared" si="82"/>
        <v>214.80926790000001</v>
      </c>
      <c r="AC68" s="195">
        <f t="shared" si="83"/>
        <v>222.40380779999998</v>
      </c>
      <c r="AD68" s="195">
        <f t="shared" si="84"/>
        <v>167.85513119999999</v>
      </c>
      <c r="AE68" s="195"/>
      <c r="AF68" s="195"/>
      <c r="AG68" s="190">
        <v>75.528000000000006</v>
      </c>
      <c r="AH68" s="189"/>
      <c r="AI68" s="189"/>
      <c r="AJ68" s="203"/>
      <c r="AK68" s="203"/>
      <c r="AL68" s="203"/>
      <c r="AM68" s="189"/>
      <c r="AN68" s="189"/>
      <c r="AO68" s="189"/>
      <c r="AP68" s="189"/>
      <c r="AQ68" s="189"/>
      <c r="AR68" s="189"/>
      <c r="AS68" s="189"/>
      <c r="AT68" s="189"/>
      <c r="AU68" s="189"/>
      <c r="AV68" s="189"/>
      <c r="AW68" s="189"/>
      <c r="AX68" s="189"/>
      <c r="AY68" s="212"/>
      <c r="AZ68" s="212"/>
      <c r="BA68" s="212"/>
      <c r="BB68" s="212"/>
      <c r="BC68" s="212"/>
      <c r="BD68" s="212"/>
      <c r="BE68" s="212"/>
      <c r="BW68" s="212"/>
    </row>
    <row r="69" spans="1:94">
      <c r="A69" s="190">
        <v>67</v>
      </c>
      <c r="B69" s="190">
        <v>86.596000000000004</v>
      </c>
      <c r="C69" s="190">
        <v>0.26</v>
      </c>
      <c r="D69" s="190">
        <v>0.21199999999999999</v>
      </c>
      <c r="E69" s="201">
        <v>229</v>
      </c>
      <c r="F69" s="201">
        <v>242</v>
      </c>
      <c r="G69" s="201">
        <v>250</v>
      </c>
      <c r="H69" s="193">
        <f t="shared" si="70"/>
        <v>0.79962853897002439</v>
      </c>
      <c r="I69" s="193">
        <f t="shared" si="71"/>
        <v>0.89676245333877225</v>
      </c>
      <c r="J69" s="193">
        <f t="shared" si="72"/>
        <v>0.95956700166791176</v>
      </c>
      <c r="K69" s="194">
        <f t="shared" si="73"/>
        <v>0.82365090658624107</v>
      </c>
      <c r="L69" s="194">
        <f t="shared" si="74"/>
        <v>0.8806462715333403</v>
      </c>
      <c r="M69" s="194">
        <f t="shared" si="75"/>
        <v>1.0343953503254533</v>
      </c>
      <c r="N69" s="194">
        <f t="shared" si="76"/>
        <v>0.95851850175574727</v>
      </c>
      <c r="O69" s="194">
        <f t="shared" si="77"/>
        <v>0.9503846222594029</v>
      </c>
      <c r="P69" s="194">
        <f t="shared" si="78"/>
        <v>0.98299858643866</v>
      </c>
      <c r="Q69" s="194">
        <f t="shared" si="79"/>
        <v>95.188146203666676</v>
      </c>
      <c r="R69" s="194">
        <f t="shared" si="80"/>
        <v>-4.0669397481721825</v>
      </c>
      <c r="S69" s="194">
        <f t="shared" si="81"/>
        <v>-4.8960169365825479</v>
      </c>
      <c r="T69" s="201"/>
      <c r="U69" s="201"/>
      <c r="V69" s="201"/>
      <c r="W69" s="201"/>
      <c r="X69" s="201"/>
      <c r="Y69" s="201"/>
      <c r="Z69" s="201"/>
      <c r="AA69" s="201"/>
      <c r="AB69" s="195">
        <f t="shared" si="82"/>
        <v>224.02174410000001</v>
      </c>
      <c r="AC69" s="195">
        <f t="shared" si="83"/>
        <v>238.7363173</v>
      </c>
      <c r="AD69" s="195">
        <f t="shared" si="84"/>
        <v>271.0742821</v>
      </c>
      <c r="AE69" s="195"/>
      <c r="AF69" s="195"/>
      <c r="AG69" s="190">
        <v>86.596000000000004</v>
      </c>
      <c r="AH69" s="189"/>
      <c r="AI69" s="189"/>
      <c r="AJ69" s="203"/>
      <c r="AK69" s="203"/>
      <c r="AL69" s="203"/>
      <c r="AM69" s="189"/>
      <c r="AN69" s="189"/>
      <c r="AO69" s="189"/>
      <c r="AP69" s="189"/>
      <c r="AQ69" s="189"/>
      <c r="AR69" s="189"/>
      <c r="AS69" s="189"/>
      <c r="AT69" s="189"/>
      <c r="AU69" s="189"/>
      <c r="AV69" s="189"/>
      <c r="AW69" s="189"/>
      <c r="AX69" s="189"/>
      <c r="AY69" s="189"/>
      <c r="AZ69" s="190">
        <v>86.596000000000004</v>
      </c>
      <c r="BW69" s="190">
        <v>86.596000000000004</v>
      </c>
    </row>
    <row r="70" spans="1:94">
      <c r="A70" s="190">
        <v>68</v>
      </c>
      <c r="B70" s="190">
        <v>84.037999999999997</v>
      </c>
      <c r="C70" s="190">
        <v>0.29199999999999998</v>
      </c>
      <c r="D70" s="190">
        <v>0.23200000000000001</v>
      </c>
      <c r="E70" s="201">
        <v>244</v>
      </c>
      <c r="F70" s="201">
        <v>233</v>
      </c>
      <c r="G70" s="201">
        <v>223</v>
      </c>
      <c r="H70" s="193">
        <f t="shared" si="70"/>
        <v>0.91224632534559935</v>
      </c>
      <c r="I70" s="193">
        <f t="shared" si="71"/>
        <v>0.82886955769188886</v>
      </c>
      <c r="J70" s="193">
        <f t="shared" si="72"/>
        <v>0.75683870406187659</v>
      </c>
      <c r="K70" s="194">
        <f t="shared" si="73"/>
        <v>0.80922352448631329</v>
      </c>
      <c r="L70" s="194">
        <f t="shared" si="74"/>
        <v>0.84139483086298084</v>
      </c>
      <c r="M70" s="194">
        <f t="shared" si="75"/>
        <v>0.83578279356685692</v>
      </c>
      <c r="N70" s="194">
        <f t="shared" si="76"/>
        <v>0.94406076005144923</v>
      </c>
      <c r="O70" s="194">
        <f t="shared" si="77"/>
        <v>0.94480280385824311</v>
      </c>
      <c r="P70" s="194">
        <f t="shared" si="78"/>
        <v>0.91556359426950773</v>
      </c>
      <c r="Q70" s="194">
        <f t="shared" si="79"/>
        <v>93.511048165968106</v>
      </c>
      <c r="R70" s="194">
        <f t="shared" si="80"/>
        <v>0.37102190339693975</v>
      </c>
      <c r="S70" s="194">
        <f t="shared" si="81"/>
        <v>5.6994331563883005</v>
      </c>
      <c r="T70" s="201"/>
      <c r="U70" s="201"/>
      <c r="V70" s="201"/>
      <c r="W70" s="201"/>
      <c r="X70" s="201"/>
      <c r="Y70" s="201"/>
      <c r="Z70" s="201"/>
      <c r="AA70" s="201"/>
      <c r="AB70" s="195">
        <f t="shared" si="82"/>
        <v>225.92172120000001</v>
      </c>
      <c r="AC70" s="195">
        <f t="shared" si="83"/>
        <v>235.51842820000002</v>
      </c>
      <c r="AD70" s="195">
        <f t="shared" si="84"/>
        <v>244.08368229999999</v>
      </c>
      <c r="AE70" s="195"/>
      <c r="AF70" s="195"/>
      <c r="AG70" s="190">
        <v>84.037999999999997</v>
      </c>
      <c r="AH70" s="189"/>
      <c r="AI70" s="189"/>
      <c r="AJ70" s="203"/>
      <c r="AK70" s="203"/>
      <c r="AL70" s="203"/>
      <c r="AM70" s="189"/>
      <c r="AN70" s="189"/>
      <c r="AO70" s="189"/>
      <c r="AP70" s="189"/>
      <c r="AQ70" s="189"/>
      <c r="AR70" s="189"/>
      <c r="AS70" s="189"/>
      <c r="AT70" s="189"/>
      <c r="AU70" s="189"/>
      <c r="AV70" s="189"/>
      <c r="AW70" s="189"/>
      <c r="AX70" s="189"/>
      <c r="AY70" s="189"/>
      <c r="AZ70" s="190">
        <v>84.037999999999997</v>
      </c>
      <c r="BW70" s="190">
        <v>84.037999999999997</v>
      </c>
    </row>
    <row r="71" spans="1:94">
      <c r="A71" s="190">
        <v>69</v>
      </c>
      <c r="B71" s="190">
        <v>54.558999999999997</v>
      </c>
      <c r="C71" s="190">
        <v>0.56000000000000005</v>
      </c>
      <c r="D71" s="190">
        <v>0.4</v>
      </c>
      <c r="E71" s="201">
        <v>254</v>
      </c>
      <c r="F71" s="201">
        <v>168</v>
      </c>
      <c r="G71" s="201">
        <v>17</v>
      </c>
      <c r="H71" s="193">
        <f t="shared" si="70"/>
        <v>0.99184055530299731</v>
      </c>
      <c r="I71" s="193">
        <f t="shared" si="71"/>
        <v>0.42339378551118451</v>
      </c>
      <c r="J71" s="193">
        <f t="shared" si="72"/>
        <v>8.6342005153925878E-3</v>
      </c>
      <c r="K71" s="194">
        <f t="shared" si="73"/>
        <v>0.56199913589878403</v>
      </c>
      <c r="L71" s="194">
        <f t="shared" si="74"/>
        <v>0.5142999267322278</v>
      </c>
      <c r="M71" s="194">
        <f t="shared" si="75"/>
        <v>7.7817869540161705E-2</v>
      </c>
      <c r="N71" s="194">
        <f t="shared" si="76"/>
        <v>0.80119608932803821</v>
      </c>
      <c r="O71" s="194">
        <f t="shared" si="77"/>
        <v>0.83668803079643872</v>
      </c>
      <c r="P71" s="194">
        <f t="shared" si="78"/>
        <v>0.4149704314372068</v>
      </c>
      <c r="Q71" s="194">
        <f t="shared" si="79"/>
        <v>76.938746362052427</v>
      </c>
      <c r="R71" s="194">
        <f t="shared" si="80"/>
        <v>17.745970734200256</v>
      </c>
      <c r="S71" s="194">
        <f t="shared" si="81"/>
        <v>77.24513157816628</v>
      </c>
      <c r="T71" s="201"/>
      <c r="U71" s="201"/>
      <c r="V71" s="201"/>
      <c r="W71" s="201"/>
      <c r="X71" s="201"/>
      <c r="Y71" s="201"/>
      <c r="Z71" s="201"/>
      <c r="AA71" s="201"/>
      <c r="AB71" s="195">
        <f t="shared" si="82"/>
        <v>180.86186900000001</v>
      </c>
      <c r="AC71" s="195">
        <f t="shared" si="83"/>
        <v>182.20804109999997</v>
      </c>
      <c r="AD71" s="195">
        <f t="shared" si="84"/>
        <v>35.591006300000004</v>
      </c>
      <c r="AE71" s="195"/>
      <c r="AF71" s="195"/>
      <c r="AG71" s="190">
        <v>54.558999999999997</v>
      </c>
      <c r="AH71" s="189"/>
      <c r="AI71" s="189"/>
      <c r="AJ71" s="203"/>
      <c r="AK71" s="203"/>
      <c r="AL71" s="203"/>
      <c r="AM71" s="189"/>
      <c r="AN71" s="189"/>
      <c r="AO71" s="189"/>
      <c r="AP71" s="189"/>
      <c r="AQ71" s="189"/>
      <c r="AR71" s="189"/>
      <c r="AS71" s="189"/>
      <c r="AT71" s="189"/>
      <c r="AU71" s="189"/>
      <c r="AV71" s="189"/>
      <c r="AW71" s="189"/>
      <c r="AX71" s="189"/>
      <c r="AY71" s="189"/>
      <c r="AZ71" s="190">
        <v>54.558999999999997</v>
      </c>
      <c r="BW71" s="190">
        <v>54.558999999999997</v>
      </c>
    </row>
    <row r="72" spans="1:94">
      <c r="A72" s="190">
        <v>70</v>
      </c>
      <c r="B72" s="190">
        <v>27.518999999999998</v>
      </c>
      <c r="C72" s="190">
        <v>0.70000000000000007</v>
      </c>
      <c r="D72" s="190">
        <v>0.252</v>
      </c>
      <c r="E72" s="201">
        <v>233</v>
      </c>
      <c r="F72" s="201">
        <v>62</v>
      </c>
      <c r="G72" s="201">
        <v>62</v>
      </c>
      <c r="H72" s="193">
        <f t="shared" si="70"/>
        <v>0.82886955769188886</v>
      </c>
      <c r="I72" s="193">
        <f t="shared" si="71"/>
        <v>6.2024080588754638E-2</v>
      </c>
      <c r="J72" s="193">
        <f t="shared" si="72"/>
        <v>6.2024080588754638E-2</v>
      </c>
      <c r="K72" s="194">
        <f t="shared" si="73"/>
        <v>0.37520096335694381</v>
      </c>
      <c r="L72" s="194">
        <f t="shared" si="74"/>
        <v>0.22505542902088099</v>
      </c>
      <c r="M72" s="194">
        <f t="shared" si="75"/>
        <v>8.2344341469244298E-2</v>
      </c>
      <c r="N72" s="194">
        <f t="shared" si="76"/>
        <v>0.60827014071601193</v>
      </c>
      <c r="O72" s="194">
        <f t="shared" si="77"/>
        <v>0.73126197079983468</v>
      </c>
      <c r="P72" s="194">
        <f t="shared" si="78"/>
        <v>0.42286521391024007</v>
      </c>
      <c r="Q72" s="194">
        <f t="shared" si="79"/>
        <v>54.55933632305738</v>
      </c>
      <c r="R72" s="194">
        <f t="shared" si="80"/>
        <v>61.495915041911374</v>
      </c>
      <c r="S72" s="194">
        <f t="shared" si="81"/>
        <v>37.080985361154376</v>
      </c>
      <c r="T72" s="201"/>
      <c r="U72" s="201"/>
      <c r="V72" s="201"/>
      <c r="W72" s="201"/>
      <c r="X72" s="201"/>
      <c r="Y72" s="201"/>
      <c r="Z72" s="201"/>
      <c r="AA72" s="201"/>
      <c r="AB72" s="195">
        <f t="shared" si="82"/>
        <v>157.55013010000002</v>
      </c>
      <c r="AC72" s="195">
        <f t="shared" si="83"/>
        <v>112.85145610000001</v>
      </c>
      <c r="AD72" s="195">
        <f t="shared" si="84"/>
        <v>72.130325299999996</v>
      </c>
      <c r="AE72" s="195"/>
      <c r="AF72" s="195"/>
      <c r="AG72" s="190">
        <v>27.518999999999998</v>
      </c>
      <c r="AH72" s="189"/>
      <c r="AI72" s="189"/>
      <c r="AJ72" s="203"/>
      <c r="AK72" s="203"/>
      <c r="AL72" s="203"/>
      <c r="AM72" s="189"/>
      <c r="AN72" s="189"/>
      <c r="AO72" s="189"/>
      <c r="AP72" s="189"/>
      <c r="AQ72" s="189"/>
      <c r="AR72" s="189"/>
      <c r="AS72" s="189"/>
      <c r="AT72" s="189"/>
      <c r="AU72" s="189"/>
      <c r="AV72" s="189"/>
      <c r="AW72" s="189"/>
      <c r="AX72" s="189"/>
      <c r="AY72" s="189"/>
      <c r="AZ72" s="190">
        <v>27.518999999999998</v>
      </c>
      <c r="BW72" s="190">
        <v>27.518999999999998</v>
      </c>
    </row>
    <row r="73" spans="1:94">
      <c r="A73" s="190">
        <v>71</v>
      </c>
      <c r="B73" s="190">
        <v>21.506</v>
      </c>
      <c r="C73" s="190">
        <v>0.252</v>
      </c>
      <c r="D73" s="190">
        <v>0.06</v>
      </c>
      <c r="E73" s="201">
        <v>187</v>
      </c>
      <c r="F73" s="201">
        <v>15</v>
      </c>
      <c r="G73" s="201">
        <v>236</v>
      </c>
      <c r="H73" s="193">
        <f t="shared" si="70"/>
        <v>0.52675218720902539</v>
      </c>
      <c r="I73" s="193">
        <f t="shared" si="71"/>
        <v>7.4568446314067808E-3</v>
      </c>
      <c r="J73" s="193">
        <f t="shared" si="72"/>
        <v>0.85117674732302639</v>
      </c>
      <c r="K73" s="194">
        <f t="shared" si="73"/>
        <v>0.3735365725369994</v>
      </c>
      <c r="L73" s="194">
        <f t="shared" si="74"/>
        <v>0.17877561143774343</v>
      </c>
      <c r="M73" s="194">
        <f t="shared" si="75"/>
        <v>0.82009867142373449</v>
      </c>
      <c r="N73" s="194">
        <f t="shared" si="76"/>
        <v>0.56333848828847877</v>
      </c>
      <c r="O73" s="194">
        <f t="shared" si="77"/>
        <v>0.73017907570133678</v>
      </c>
      <c r="P73" s="194">
        <f t="shared" si="78"/>
        <v>0.90980030103145859</v>
      </c>
      <c r="Q73" s="194">
        <f t="shared" si="79"/>
        <v>49.347264641463539</v>
      </c>
      <c r="R73" s="194">
        <f t="shared" si="80"/>
        <v>83.420293706429007</v>
      </c>
      <c r="S73" s="194">
        <f t="shared" si="81"/>
        <v>-69.29236254859596</v>
      </c>
      <c r="T73" s="201"/>
      <c r="U73" s="201"/>
      <c r="V73" s="201"/>
      <c r="W73" s="201"/>
      <c r="X73" s="201"/>
      <c r="Y73" s="201"/>
      <c r="Z73" s="201"/>
      <c r="AA73" s="201"/>
      <c r="AB73" s="195">
        <f t="shared" si="82"/>
        <v>155.04369550000001</v>
      </c>
      <c r="AC73" s="195">
        <f t="shared" si="83"/>
        <v>82.7844044</v>
      </c>
      <c r="AD73" s="195">
        <f t="shared" si="84"/>
        <v>240.01732809999999</v>
      </c>
      <c r="AE73" s="195"/>
      <c r="AF73" s="195"/>
      <c r="AG73" s="190">
        <v>21.506</v>
      </c>
      <c r="AH73" s="189"/>
      <c r="AI73" s="189"/>
      <c r="AJ73" s="203"/>
      <c r="AK73" s="203"/>
      <c r="AL73" s="203"/>
      <c r="AM73" s="189"/>
      <c r="AN73" s="189"/>
      <c r="AO73" s="189"/>
      <c r="AP73" s="189"/>
      <c r="AQ73" s="189"/>
      <c r="AR73" s="189"/>
      <c r="AS73" s="189"/>
      <c r="AT73" s="189"/>
      <c r="AU73" s="189"/>
      <c r="AV73" s="189"/>
      <c r="AW73" s="189"/>
      <c r="AX73" s="189"/>
      <c r="AY73" s="189"/>
      <c r="AZ73" s="190">
        <v>21.506</v>
      </c>
      <c r="BW73" s="190">
        <v>21.506</v>
      </c>
    </row>
    <row r="74" spans="1:94">
      <c r="A74" s="190">
        <v>72</v>
      </c>
      <c r="B74" s="190">
        <v>15.94</v>
      </c>
      <c r="C74" s="190">
        <v>0.2</v>
      </c>
      <c r="D74" s="190">
        <v>0.06</v>
      </c>
      <c r="E74" s="201">
        <v>138</v>
      </c>
      <c r="F74" s="201">
        <v>37</v>
      </c>
      <c r="G74" s="201">
        <v>252</v>
      </c>
      <c r="H74" s="193">
        <f t="shared" si="70"/>
        <v>0.28488476085064246</v>
      </c>
      <c r="I74" s="193">
        <f t="shared" si="71"/>
        <v>2.5797571291881892E-2</v>
      </c>
      <c r="J74" s="193">
        <f t="shared" si="72"/>
        <v>0.97563098805670578</v>
      </c>
      <c r="K74" s="194">
        <f t="shared" si="73"/>
        <v>0.30281308021301728</v>
      </c>
      <c r="L74" s="194">
        <f t="shared" si="74"/>
        <v>0.14945748048249469</v>
      </c>
      <c r="M74" s="194">
        <f t="shared" si="75"/>
        <v>0.9359106005303085</v>
      </c>
      <c r="N74" s="194">
        <f t="shared" si="76"/>
        <v>0.53068794074947578</v>
      </c>
      <c r="O74" s="194">
        <f t="shared" si="77"/>
        <v>0.6808371064004568</v>
      </c>
      <c r="P74" s="194">
        <f t="shared" si="78"/>
        <v>0.95075546151996104</v>
      </c>
      <c r="Q74" s="194">
        <f t="shared" si="79"/>
        <v>45.559801126939192</v>
      </c>
      <c r="R74" s="194">
        <f t="shared" si="80"/>
        <v>75.074582825490509</v>
      </c>
      <c r="S74" s="194">
        <f t="shared" si="81"/>
        <v>-84.013504154097049</v>
      </c>
      <c r="T74" s="201"/>
      <c r="U74" s="201"/>
      <c r="V74" s="201"/>
      <c r="W74" s="201"/>
      <c r="X74" s="201"/>
      <c r="Y74" s="201"/>
      <c r="Z74" s="201"/>
      <c r="AA74" s="201"/>
      <c r="AB74" s="195">
        <f t="shared" si="82"/>
        <v>133.87703260000001</v>
      </c>
      <c r="AC74" s="195">
        <f t="shared" si="83"/>
        <v>83.219002099999997</v>
      </c>
      <c r="AD74" s="195">
        <f t="shared" si="84"/>
        <v>256.10550179999996</v>
      </c>
      <c r="AE74" s="195"/>
      <c r="AF74" s="195"/>
      <c r="AG74" s="190">
        <v>15.94</v>
      </c>
      <c r="AH74" s="189"/>
      <c r="AI74" s="189"/>
      <c r="AJ74" s="203"/>
      <c r="AK74" s="203"/>
      <c r="AL74" s="203"/>
      <c r="AM74" s="189"/>
      <c r="AN74" s="189"/>
      <c r="AO74" s="189"/>
      <c r="AP74" s="189"/>
      <c r="AQ74" s="189"/>
      <c r="AR74" s="189"/>
      <c r="AS74" s="189"/>
      <c r="AT74" s="189"/>
      <c r="AU74" s="189"/>
      <c r="AV74" s="189"/>
      <c r="AW74" s="189"/>
      <c r="AX74" s="189"/>
      <c r="AY74" s="189"/>
      <c r="AZ74" s="190">
        <v>15.94</v>
      </c>
      <c r="BW74" s="190">
        <v>15.94</v>
      </c>
    </row>
    <row r="75" spans="1:94">
      <c r="A75" s="190">
        <v>73</v>
      </c>
      <c r="B75" s="190">
        <v>24.875</v>
      </c>
      <c r="C75" s="190">
        <v>0.16</v>
      </c>
      <c r="D75" s="190">
        <v>7.2000000000000008E-2</v>
      </c>
      <c r="E75" s="201">
        <v>24</v>
      </c>
      <c r="F75" s="201">
        <v>142</v>
      </c>
      <c r="G75" s="201">
        <v>253</v>
      </c>
      <c r="H75" s="193">
        <f t="shared" si="70"/>
        <v>1.350854213809261E-2</v>
      </c>
      <c r="I75" s="193">
        <f t="shared" si="71"/>
        <v>0.30163616643989072</v>
      </c>
      <c r="J75" s="193">
        <f t="shared" si="72"/>
        <v>0.98371756040174441</v>
      </c>
      <c r="K75" s="194">
        <f t="shared" si="73"/>
        <v>0.29099703554916917</v>
      </c>
      <c r="L75" s="194">
        <f t="shared" si="74"/>
        <v>0.28962651015737428</v>
      </c>
      <c r="M75" s="194">
        <f t="shared" si="75"/>
        <v>0.97123928706475815</v>
      </c>
      <c r="N75" s="194">
        <f t="shared" si="76"/>
        <v>0.66162631538909944</v>
      </c>
      <c r="O75" s="194">
        <f t="shared" si="77"/>
        <v>0.67186372772382386</v>
      </c>
      <c r="P75" s="194">
        <f t="shared" si="78"/>
        <v>0.96257103098194896</v>
      </c>
      <c r="Q75" s="194">
        <f t="shared" si="79"/>
        <v>60.748652585135531</v>
      </c>
      <c r="R75" s="194">
        <f t="shared" si="80"/>
        <v>5.1187061673622081</v>
      </c>
      <c r="S75" s="194">
        <f t="shared" si="81"/>
        <v>-60.188943118569902</v>
      </c>
      <c r="T75" s="201"/>
      <c r="U75" s="201"/>
      <c r="V75" s="201"/>
      <c r="W75" s="201"/>
      <c r="X75" s="201"/>
      <c r="Y75" s="201"/>
      <c r="Z75" s="201"/>
      <c r="AA75" s="201"/>
      <c r="AB75" s="195">
        <f t="shared" si="82"/>
        <v>87.801065200000011</v>
      </c>
      <c r="AC75" s="195">
        <f t="shared" si="83"/>
        <v>115.26496509999998</v>
      </c>
      <c r="AD75" s="195">
        <f t="shared" si="84"/>
        <v>261.4368561</v>
      </c>
      <c r="AE75" s="195"/>
      <c r="AF75" s="195"/>
      <c r="AG75" s="190">
        <v>24.875</v>
      </c>
      <c r="AH75" s="189"/>
      <c r="AI75" s="189"/>
      <c r="AJ75" s="203"/>
      <c r="AK75" s="203"/>
      <c r="AL75" s="203"/>
      <c r="AM75" s="189"/>
      <c r="AN75" s="189"/>
      <c r="AO75" s="189"/>
      <c r="AP75" s="189"/>
      <c r="AQ75" s="189"/>
      <c r="AR75" s="189"/>
      <c r="AS75" s="189"/>
      <c r="AT75" s="189"/>
      <c r="AU75" s="189"/>
      <c r="AV75" s="189"/>
      <c r="AW75" s="189"/>
      <c r="AX75" s="189"/>
      <c r="AY75" s="189"/>
      <c r="AZ75" s="190">
        <v>24.875</v>
      </c>
      <c r="BW75" s="190">
        <v>24.875</v>
      </c>
    </row>
    <row r="76" spans="1:94">
      <c r="A76" s="190">
        <v>74</v>
      </c>
      <c r="B76" s="190">
        <v>40.399000000000001</v>
      </c>
      <c r="C76" s="190">
        <v>0.1</v>
      </c>
      <c r="D76" s="190">
        <v>0.14000000000000001</v>
      </c>
      <c r="E76" s="201">
        <v>3</v>
      </c>
      <c r="F76" s="201">
        <v>199</v>
      </c>
      <c r="G76" s="201">
        <v>192</v>
      </c>
      <c r="H76" s="193">
        <f t="shared" si="70"/>
        <v>9.1058095064651249E-4</v>
      </c>
      <c r="I76" s="193">
        <f t="shared" si="71"/>
        <v>0.59841635515524316</v>
      </c>
      <c r="J76" s="193">
        <f t="shared" si="72"/>
        <v>0.55600669626531884</v>
      </c>
      <c r="K76" s="194">
        <f t="shared" si="73"/>
        <v>0.31472842086345165</v>
      </c>
      <c r="L76" s="194">
        <f t="shared" si="74"/>
        <v>0.46832465018749336</v>
      </c>
      <c r="M76" s="194">
        <f t="shared" si="75"/>
        <v>0.59983316854703805</v>
      </c>
      <c r="N76" s="194">
        <f t="shared" si="76"/>
        <v>0.77657309346988768</v>
      </c>
      <c r="O76" s="194">
        <f t="shared" si="77"/>
        <v>0.68965252065246707</v>
      </c>
      <c r="P76" s="194">
        <f t="shared" si="78"/>
        <v>0.81972377688198361</v>
      </c>
      <c r="Q76" s="194">
        <f t="shared" si="79"/>
        <v>74.082478842506973</v>
      </c>
      <c r="R76" s="194">
        <f t="shared" si="80"/>
        <v>-43.460286408710303</v>
      </c>
      <c r="S76" s="194">
        <f t="shared" si="81"/>
        <v>-8.6301366824191881</v>
      </c>
      <c r="T76" s="201"/>
      <c r="U76" s="201"/>
      <c r="V76" s="201"/>
      <c r="W76" s="201"/>
      <c r="X76" s="201"/>
      <c r="Y76" s="201"/>
      <c r="Z76" s="201"/>
      <c r="AA76" s="201"/>
      <c r="AB76" s="195">
        <f t="shared" si="82"/>
        <v>74.786997100000008</v>
      </c>
      <c r="AC76" s="195">
        <f t="shared" si="83"/>
        <v>140.18722879999999</v>
      </c>
      <c r="AD76" s="195">
        <f t="shared" si="84"/>
        <v>204.44068769999998</v>
      </c>
      <c r="AE76" s="195"/>
      <c r="AF76" s="195"/>
      <c r="AG76" s="190">
        <v>40.399000000000001</v>
      </c>
      <c r="AH76" s="189"/>
      <c r="AI76" s="189"/>
      <c r="AJ76" s="203"/>
      <c r="AK76" s="203"/>
      <c r="AL76" s="203"/>
      <c r="AM76" s="189"/>
      <c r="AN76" s="189"/>
      <c r="AO76" s="189"/>
      <c r="AP76" s="189"/>
      <c r="AQ76" s="189"/>
      <c r="AR76" s="189"/>
      <c r="AS76" s="189"/>
      <c r="AT76" s="189"/>
      <c r="AU76" s="189"/>
      <c r="AV76" s="189"/>
      <c r="AW76" s="189"/>
      <c r="AX76" s="189"/>
      <c r="AY76" s="189"/>
      <c r="AZ76" s="190">
        <v>40.399000000000001</v>
      </c>
      <c r="BW76" s="190">
        <v>40.399000000000001</v>
      </c>
    </row>
    <row r="77" spans="1:94">
      <c r="A77" s="190">
        <v>75</v>
      </c>
      <c r="B77" s="190">
        <v>49.668999999999997</v>
      </c>
      <c r="C77" s="190">
        <v>0.13200000000000001</v>
      </c>
      <c r="D77" s="190">
        <v>0.6</v>
      </c>
      <c r="E77" s="201">
        <v>128</v>
      </c>
      <c r="F77" s="201">
        <v>215</v>
      </c>
      <c r="G77" s="201">
        <v>21</v>
      </c>
      <c r="H77" s="193">
        <f t="shared" si="70"/>
        <v>0.24527808531339443</v>
      </c>
      <c r="I77" s="193">
        <f t="shared" si="71"/>
        <v>0.70177606806351733</v>
      </c>
      <c r="J77" s="193">
        <f t="shared" si="72"/>
        <v>1.1274261623232716E-2</v>
      </c>
      <c r="K77" s="194">
        <f t="shared" si="73"/>
        <v>0.3541428085457512</v>
      </c>
      <c r="L77" s="194">
        <f t="shared" si="74"/>
        <v>0.55487036650585264</v>
      </c>
      <c r="M77" s="194">
        <f t="shared" si="75"/>
        <v>9.9101760032602487E-2</v>
      </c>
      <c r="N77" s="194">
        <f t="shared" si="76"/>
        <v>0.82173258810503191</v>
      </c>
      <c r="O77" s="194">
        <f t="shared" si="77"/>
        <v>0.71731704273801578</v>
      </c>
      <c r="P77" s="194">
        <f t="shared" si="78"/>
        <v>0.44979832026755301</v>
      </c>
      <c r="Q77" s="194">
        <f t="shared" si="79"/>
        <v>79.320980220183699</v>
      </c>
      <c r="R77" s="194">
        <f t="shared" si="80"/>
        <v>-52.207772683508068</v>
      </c>
      <c r="S77" s="194">
        <f t="shared" si="81"/>
        <v>74.386853567495777</v>
      </c>
      <c r="T77" s="201"/>
      <c r="U77" s="201"/>
      <c r="V77" s="201"/>
      <c r="W77" s="201"/>
      <c r="X77" s="201"/>
      <c r="Y77" s="201"/>
      <c r="Z77" s="201"/>
      <c r="AA77" s="201"/>
      <c r="AB77" s="195">
        <f t="shared" si="82"/>
        <v>117.6675544</v>
      </c>
      <c r="AC77" s="195">
        <f t="shared" si="83"/>
        <v>174.52505579999999</v>
      </c>
      <c r="AD77" s="195">
        <f t="shared" si="84"/>
        <v>39.471416900000001</v>
      </c>
      <c r="AE77" s="195"/>
      <c r="AF77" s="195"/>
      <c r="AG77" s="190">
        <v>49.668999999999997</v>
      </c>
      <c r="AH77" s="189"/>
      <c r="AI77" s="189"/>
      <c r="AJ77" s="203"/>
      <c r="AK77" s="203"/>
      <c r="AL77" s="203"/>
      <c r="AM77" s="189"/>
      <c r="AN77" s="189"/>
      <c r="AO77" s="189"/>
      <c r="AP77" s="189"/>
      <c r="AQ77" s="189"/>
      <c r="AR77" s="189"/>
      <c r="AS77" s="189"/>
      <c r="AT77" s="189"/>
      <c r="AU77" s="189"/>
      <c r="AV77" s="189"/>
      <c r="AW77" s="189"/>
      <c r="AX77" s="189"/>
      <c r="AY77" s="189"/>
      <c r="AZ77" s="190">
        <v>49.668999999999997</v>
      </c>
      <c r="BW77" s="190">
        <v>49.668999999999997</v>
      </c>
    </row>
    <row r="78" spans="1:94">
      <c r="A78" s="190">
        <v>76</v>
      </c>
      <c r="B78" s="190">
        <v>70.716999999999999</v>
      </c>
      <c r="C78" s="190">
        <v>0.192</v>
      </c>
      <c r="D78" s="190">
        <v>0.16</v>
      </c>
      <c r="E78" s="201">
        <v>183</v>
      </c>
      <c r="F78" s="201">
        <v>228</v>
      </c>
      <c r="G78" s="201">
        <v>252</v>
      </c>
      <c r="H78" s="193">
        <f t="shared" si="70"/>
        <v>0.5039681974179786</v>
      </c>
      <c r="I78" s="193">
        <f t="shared" si="71"/>
        <v>0.79240771492401729</v>
      </c>
      <c r="J78" s="193">
        <f t="shared" si="72"/>
        <v>0.97563098805670578</v>
      </c>
      <c r="K78" s="194">
        <f t="shared" si="73"/>
        <v>0.66730287681623834</v>
      </c>
      <c r="L78" s="194">
        <f t="shared" si="74"/>
        <v>0.74431419382241359</v>
      </c>
      <c r="M78" s="194">
        <f t="shared" si="75"/>
        <v>1.0315188399770086</v>
      </c>
      <c r="N78" s="194">
        <f t="shared" si="76"/>
        <v>0.90625851536753033</v>
      </c>
      <c r="O78" s="194">
        <f t="shared" si="77"/>
        <v>0.88598425908357892</v>
      </c>
      <c r="P78" s="194">
        <f t="shared" si="78"/>
        <v>0.98208654614305735</v>
      </c>
      <c r="Q78" s="194">
        <f t="shared" si="79"/>
        <v>89.125987782633516</v>
      </c>
      <c r="R78" s="194">
        <f t="shared" si="80"/>
        <v>-10.137128141975705</v>
      </c>
      <c r="S78" s="194">
        <f t="shared" si="81"/>
        <v>-15.165606155105404</v>
      </c>
      <c r="T78" s="201"/>
      <c r="U78" s="201"/>
      <c r="V78" s="201"/>
      <c r="W78" s="201"/>
      <c r="X78" s="201"/>
      <c r="Y78" s="201"/>
      <c r="Z78" s="201"/>
      <c r="AA78" s="201"/>
      <c r="AB78" s="195">
        <f t="shared" si="82"/>
        <v>195.27073710000002</v>
      </c>
      <c r="AC78" s="195">
        <f t="shared" si="83"/>
        <v>216.42464070000003</v>
      </c>
      <c r="AD78" s="195">
        <f t="shared" si="84"/>
        <v>270.82330049999996</v>
      </c>
      <c r="AE78" s="195"/>
      <c r="AF78" s="195"/>
      <c r="AG78" s="190">
        <v>70.716999999999999</v>
      </c>
      <c r="AH78" s="189"/>
      <c r="AI78" s="189"/>
      <c r="AJ78" s="203"/>
      <c r="AK78" s="203"/>
      <c r="AL78" s="203"/>
      <c r="AM78" s="189"/>
      <c r="AN78" s="189"/>
      <c r="AO78" s="189"/>
      <c r="AP78" s="189"/>
      <c r="AQ78" s="189"/>
      <c r="AR78" s="189"/>
      <c r="AS78" s="189"/>
      <c r="AT78" s="189"/>
      <c r="AU78" s="189"/>
      <c r="AV78" s="189"/>
      <c r="AW78" s="189"/>
      <c r="AX78" s="189"/>
      <c r="AY78" s="189"/>
      <c r="AZ78" s="190">
        <v>70.716999999999999</v>
      </c>
      <c r="BW78" s="190">
        <v>70.716999999999999</v>
      </c>
    </row>
    <row r="79" spans="1:94">
      <c r="AY79">
        <f>AVERAGE(AY2:AY66)</f>
        <v>24.050324538589841</v>
      </c>
    </row>
  </sheetData>
  <mergeCells count="4">
    <mergeCell ref="AG1:AY1"/>
    <mergeCell ref="B1:AD1"/>
    <mergeCell ref="BG1:BI1"/>
    <mergeCell ref="CH1:CJ1"/>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A8B50-B9FD-41CD-B915-14F99A2F2194}">
  <dimension ref="A2:A62"/>
  <sheetViews>
    <sheetView topLeftCell="A28" workbookViewId="0">
      <selection activeCell="A51" sqref="A51:A62"/>
    </sheetView>
  </sheetViews>
  <sheetFormatPr defaultRowHeight="16.899999999999999"/>
  <sheetData>
    <row r="2" spans="1:1" ht="18">
      <c r="A2" s="187" t="s">
        <v>208</v>
      </c>
    </row>
    <row r="3" spans="1:1" ht="18">
      <c r="A3" s="187" t="s">
        <v>209</v>
      </c>
    </row>
    <row r="4" spans="1:1" ht="20.65">
      <c r="A4" s="188"/>
    </row>
    <row r="5" spans="1:1" ht="18">
      <c r="A5" s="187" t="s">
        <v>210</v>
      </c>
    </row>
    <row r="6" spans="1:1" ht="18">
      <c r="A6" s="187" t="s">
        <v>211</v>
      </c>
    </row>
    <row r="7" spans="1:1" ht="18">
      <c r="A7" s="187" t="s">
        <v>212</v>
      </c>
    </row>
    <row r="8" spans="1:1" ht="20.65">
      <c r="A8" s="188"/>
    </row>
    <row r="9" spans="1:1" ht="18">
      <c r="A9" s="187" t="s">
        <v>213</v>
      </c>
    </row>
    <row r="10" spans="1:1" ht="20.65">
      <c r="A10" s="188"/>
    </row>
    <row r="11" spans="1:1" ht="18">
      <c r="A11" s="187" t="s">
        <v>214</v>
      </c>
    </row>
    <row r="12" spans="1:1" ht="18">
      <c r="A12" s="187" t="s">
        <v>215</v>
      </c>
    </row>
    <row r="13" spans="1:1" ht="18">
      <c r="A13" s="187" t="s">
        <v>216</v>
      </c>
    </row>
    <row r="14" spans="1:1" ht="20.65">
      <c r="A14" s="188"/>
    </row>
    <row r="15" spans="1:1" ht="18">
      <c r="A15" s="187" t="s">
        <v>217</v>
      </c>
    </row>
    <row r="16" spans="1:1" ht="18">
      <c r="A16" s="187" t="s">
        <v>218</v>
      </c>
    </row>
    <row r="17" spans="1:1" ht="18">
      <c r="A17" s="187" t="s">
        <v>219</v>
      </c>
    </row>
    <row r="18" spans="1:1" ht="18">
      <c r="A18" s="187" t="s">
        <v>220</v>
      </c>
    </row>
    <row r="19" spans="1:1" ht="18">
      <c r="A19" s="187" t="s">
        <v>221</v>
      </c>
    </row>
    <row r="20" spans="1:1" ht="18">
      <c r="A20" s="187" t="s">
        <v>222</v>
      </c>
    </row>
    <row r="21" spans="1:1" ht="18">
      <c r="A21" s="187" t="s">
        <v>223</v>
      </c>
    </row>
    <row r="22" spans="1:1" ht="18">
      <c r="A22" s="187" t="s">
        <v>224</v>
      </c>
    </row>
    <row r="23" spans="1:1" ht="18">
      <c r="A23" s="187" t="s">
        <v>225</v>
      </c>
    </row>
    <row r="24" spans="1:1" ht="18">
      <c r="A24" s="187" t="s">
        <v>226</v>
      </c>
    </row>
    <row r="25" spans="1:1" ht="18">
      <c r="A25" s="187" t="s">
        <v>227</v>
      </c>
    </row>
    <row r="26" spans="1:1" ht="18">
      <c r="A26" s="187" t="s">
        <v>228</v>
      </c>
    </row>
    <row r="27" spans="1:1" ht="18">
      <c r="A27" s="187" t="s">
        <v>222</v>
      </c>
    </row>
    <row r="28" spans="1:1" ht="18">
      <c r="A28" s="187" t="s">
        <v>229</v>
      </c>
    </row>
    <row r="29" spans="1:1" ht="18">
      <c r="A29" s="187" t="s">
        <v>230</v>
      </c>
    </row>
    <row r="30" spans="1:1" ht="18">
      <c r="A30" s="187" t="s">
        <v>226</v>
      </c>
    </row>
    <row r="31" spans="1:1" ht="18">
      <c r="A31" s="187" t="s">
        <v>231</v>
      </c>
    </row>
    <row r="32" spans="1:1" ht="18">
      <c r="A32" s="187" t="s">
        <v>228</v>
      </c>
    </row>
    <row r="33" spans="1:1" ht="18">
      <c r="A33" s="187" t="s">
        <v>222</v>
      </c>
    </row>
    <row r="34" spans="1:1" ht="18">
      <c r="A34" s="187" t="s">
        <v>232</v>
      </c>
    </row>
    <row r="35" spans="1:1" ht="18">
      <c r="A35" s="187" t="s">
        <v>233</v>
      </c>
    </row>
    <row r="36" spans="1:1" ht="18">
      <c r="A36" s="187" t="s">
        <v>226</v>
      </c>
    </row>
    <row r="37" spans="1:1" ht="18">
      <c r="A37" s="187" t="s">
        <v>234</v>
      </c>
    </row>
    <row r="38" spans="1:1" ht="18">
      <c r="A38" s="187" t="s">
        <v>228</v>
      </c>
    </row>
    <row r="39" spans="1:1" ht="18">
      <c r="A39" s="187" t="s">
        <v>222</v>
      </c>
    </row>
    <row r="40" spans="1:1" ht="18">
      <c r="A40" s="187" t="s">
        <v>235</v>
      </c>
    </row>
    <row r="41" spans="1:1" ht="18">
      <c r="A41" s="187" t="s">
        <v>236</v>
      </c>
    </row>
    <row r="42" spans="1:1" ht="18">
      <c r="A42" s="187" t="s">
        <v>237</v>
      </c>
    </row>
    <row r="43" spans="1:1" ht="18">
      <c r="A43" s="187" t="s">
        <v>238</v>
      </c>
    </row>
    <row r="44" spans="1:1" ht="18">
      <c r="A44" s="187" t="s">
        <v>222</v>
      </c>
    </row>
    <row r="45" spans="1:1" ht="18">
      <c r="A45" s="187" t="s">
        <v>213</v>
      </c>
    </row>
    <row r="46" spans="1:1" ht="20.65">
      <c r="A46" s="188"/>
    </row>
    <row r="47" spans="1:1" ht="18">
      <c r="A47" s="187" t="s">
        <v>239</v>
      </c>
    </row>
    <row r="48" spans="1:1" ht="18">
      <c r="A48" s="187" t="s">
        <v>240</v>
      </c>
    </row>
    <row r="49" spans="1:1" ht="18">
      <c r="A49" s="187" t="s">
        <v>241</v>
      </c>
    </row>
    <row r="50" spans="1:1" ht="18">
      <c r="A50" s="187" t="s">
        <v>242</v>
      </c>
    </row>
    <row r="51" spans="1:1" ht="18">
      <c r="A51" s="187" t="s">
        <v>243</v>
      </c>
    </row>
    <row r="52" spans="1:1" ht="18">
      <c r="A52" s="187" t="s">
        <v>244</v>
      </c>
    </row>
    <row r="53" spans="1:1" ht="18">
      <c r="A53" s="187" t="s">
        <v>245</v>
      </c>
    </row>
    <row r="54" spans="1:1" ht="18">
      <c r="A54" s="187" t="s">
        <v>213</v>
      </c>
    </row>
    <row r="55" spans="1:1" ht="20.65">
      <c r="A55" s="188"/>
    </row>
    <row r="56" spans="1:1" ht="18">
      <c r="A56" s="187" t="s">
        <v>246</v>
      </c>
    </row>
    <row r="57" spans="1:1" ht="18">
      <c r="A57" s="187" t="s">
        <v>247</v>
      </c>
    </row>
    <row r="58" spans="1:1" ht="18">
      <c r="A58" s="187" t="s">
        <v>248</v>
      </c>
    </row>
    <row r="59" spans="1:1" ht="18">
      <c r="A59" s="187" t="s">
        <v>226</v>
      </c>
    </row>
    <row r="60" spans="1:1" ht="18">
      <c r="A60" s="187" t="s">
        <v>249</v>
      </c>
    </row>
    <row r="61" spans="1:1" ht="18">
      <c r="A61" s="187" t="s">
        <v>228</v>
      </c>
    </row>
    <row r="62" spans="1:1" ht="18">
      <c r="A62" s="187" t="s">
        <v>250</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88C9-3BB4-44F9-B3AB-BF27398940C2}">
  <dimension ref="A1:R66"/>
  <sheetViews>
    <sheetView tabSelected="1" topLeftCell="A43" workbookViewId="0">
      <selection activeCell="N3" sqref="N3:P66"/>
    </sheetView>
  </sheetViews>
  <sheetFormatPr defaultRowHeight="16.899999999999999"/>
  <cols>
    <col min="1" max="1" width="10.875" bestFit="1" customWidth="1"/>
    <col min="10" max="10" width="11" bestFit="1" customWidth="1"/>
    <col min="11" max="12" width="10.875" bestFit="1" customWidth="1"/>
  </cols>
  <sheetData>
    <row r="1" spans="1:18">
      <c r="A1" s="208" t="s">
        <v>282</v>
      </c>
      <c r="F1" s="208" t="s">
        <v>283</v>
      </c>
      <c r="J1" s="219">
        <v>45610</v>
      </c>
    </row>
    <row r="2" spans="1:18">
      <c r="A2" s="207" t="s">
        <v>276</v>
      </c>
      <c r="B2" s="207" t="s">
        <v>270</v>
      </c>
      <c r="C2" s="207" t="s">
        <v>272</v>
      </c>
      <c r="D2" s="207" t="s">
        <v>274</v>
      </c>
      <c r="F2" s="207" t="s">
        <v>270</v>
      </c>
      <c r="G2" s="207" t="s">
        <v>272</v>
      </c>
      <c r="H2" s="207" t="s">
        <v>274</v>
      </c>
      <c r="J2" s="217" t="s">
        <v>270</v>
      </c>
      <c r="K2" s="217" t="s">
        <v>272</v>
      </c>
      <c r="L2" s="217" t="s">
        <v>274</v>
      </c>
    </row>
    <row r="3" spans="1:18">
      <c r="A3" s="190">
        <v>1</v>
      </c>
      <c r="B3" s="206">
        <v>49</v>
      </c>
      <c r="C3" s="206">
        <v>0</v>
      </c>
      <c r="D3" s="206">
        <v>234.41780821917808</v>
      </c>
      <c r="F3" s="206">
        <v>19.436666666666667</v>
      </c>
      <c r="G3" s="206">
        <v>0</v>
      </c>
      <c r="H3" s="206">
        <v>130.87171719218611</v>
      </c>
      <c r="J3" s="218">
        <v>19.436666666666667</v>
      </c>
      <c r="K3" s="218">
        <v>0</v>
      </c>
      <c r="L3" s="218">
        <v>130.87171719218611</v>
      </c>
      <c r="N3" s="232">
        <f>ROUND(J3, 0)</f>
        <v>19</v>
      </c>
      <c r="O3" s="232">
        <f t="shared" ref="O3:P3" si="0">ROUND(K3, 0)</f>
        <v>0</v>
      </c>
      <c r="P3" s="232">
        <f t="shared" si="0"/>
        <v>131</v>
      </c>
      <c r="Q3" s="232"/>
      <c r="R3" t="str">
        <f>_xlfn.CONCAT("{", N3, ",", O3, ",", P3, "}", ",")</f>
        <v>{19,0,131},</v>
      </c>
    </row>
    <row r="4" spans="1:18">
      <c r="A4" s="190">
        <v>2</v>
      </c>
      <c r="B4" s="206">
        <v>62.745098039215684</v>
      </c>
      <c r="C4" s="206">
        <v>0</v>
      </c>
      <c r="D4" s="206">
        <v>206.92567567567568</v>
      </c>
      <c r="F4" s="206">
        <v>25.599999999999994</v>
      </c>
      <c r="G4" s="206">
        <v>0</v>
      </c>
      <c r="H4" s="206">
        <v>119.14913905841325</v>
      </c>
      <c r="J4" s="218">
        <v>25.599999999999994</v>
      </c>
      <c r="K4" s="218">
        <v>0</v>
      </c>
      <c r="L4" s="218">
        <v>119.14913905841325</v>
      </c>
      <c r="N4" s="232">
        <f t="shared" ref="N4:N66" si="1">ROUND(J4, 0)</f>
        <v>26</v>
      </c>
      <c r="O4" s="232">
        <f t="shared" ref="O4:O66" si="2">ROUND(K4, 0)</f>
        <v>0</v>
      </c>
      <c r="P4" s="232">
        <f t="shared" ref="P4:P66" si="3">ROUND(L4, 0)</f>
        <v>119</v>
      </c>
      <c r="Q4" s="232"/>
      <c r="R4" t="str">
        <f t="shared" ref="R4:R66" si="4">_xlfn.CONCAT("{", N4, ",", O4, ",", P4, "}", ",")</f>
        <v>{26,0,119},</v>
      </c>
    </row>
    <row r="5" spans="1:18">
      <c r="A5" s="190">
        <v>3</v>
      </c>
      <c r="B5" s="206">
        <v>75</v>
      </c>
      <c r="C5" s="206">
        <v>0</v>
      </c>
      <c r="D5" s="206">
        <v>190.38461538461536</v>
      </c>
      <c r="F5" s="206">
        <v>31.875</v>
      </c>
      <c r="G5" s="206">
        <v>0</v>
      </c>
      <c r="H5" s="206">
        <v>110.48872679045093</v>
      </c>
      <c r="J5" s="218">
        <v>31.875</v>
      </c>
      <c r="K5" s="218">
        <v>0</v>
      </c>
      <c r="L5" s="218">
        <v>110.48872679045093</v>
      </c>
      <c r="N5" s="232">
        <f t="shared" si="1"/>
        <v>32</v>
      </c>
      <c r="O5" s="232">
        <f t="shared" si="2"/>
        <v>0</v>
      </c>
      <c r="P5" s="232">
        <f t="shared" si="3"/>
        <v>110</v>
      </c>
      <c r="Q5" s="232"/>
      <c r="R5" t="str">
        <f t="shared" si="4"/>
        <v>{32,0,110},</v>
      </c>
    </row>
    <row r="6" spans="1:18">
      <c r="A6" s="190">
        <v>4</v>
      </c>
      <c r="B6" s="206">
        <v>88.704347826086959</v>
      </c>
      <c r="C6" s="206">
        <v>0</v>
      </c>
      <c r="D6" s="206">
        <v>172.84172661870502</v>
      </c>
      <c r="F6" s="206">
        <v>39.389318590704654</v>
      </c>
      <c r="G6" s="206">
        <v>0</v>
      </c>
      <c r="H6" s="206">
        <v>99.008249921801692</v>
      </c>
      <c r="J6" s="218">
        <v>39.389318590704654</v>
      </c>
      <c r="K6" s="218">
        <v>0</v>
      </c>
      <c r="L6" s="218">
        <v>99.008249921801692</v>
      </c>
      <c r="N6" s="232">
        <f t="shared" si="1"/>
        <v>39</v>
      </c>
      <c r="O6" s="232">
        <f t="shared" si="2"/>
        <v>0</v>
      </c>
      <c r="P6" s="232">
        <f t="shared" si="3"/>
        <v>99</v>
      </c>
      <c r="Q6" s="232"/>
      <c r="R6" t="str">
        <f t="shared" si="4"/>
        <v>{39,0,99},</v>
      </c>
    </row>
    <row r="7" spans="1:18">
      <c r="A7" s="190">
        <v>5</v>
      </c>
      <c r="B7" s="206">
        <v>100.99180327868852</v>
      </c>
      <c r="C7" s="206">
        <v>0</v>
      </c>
      <c r="D7" s="206">
        <v>154.59558823529412</v>
      </c>
      <c r="F7" s="206">
        <v>46.106015996827075</v>
      </c>
      <c r="G7" s="206">
        <v>0</v>
      </c>
      <c r="H7" s="206">
        <v>86.608664772727252</v>
      </c>
      <c r="J7" s="218">
        <v>46.106015996827075</v>
      </c>
      <c r="K7" s="218">
        <v>0</v>
      </c>
      <c r="L7" s="218">
        <v>86.608664772727252</v>
      </c>
      <c r="N7" s="232">
        <f t="shared" si="1"/>
        <v>46</v>
      </c>
      <c r="O7" s="232">
        <f t="shared" si="2"/>
        <v>0</v>
      </c>
      <c r="P7" s="232">
        <f t="shared" si="3"/>
        <v>87</v>
      </c>
      <c r="Q7" s="232"/>
      <c r="R7" t="str">
        <f t="shared" si="4"/>
        <v>{46,0,87},</v>
      </c>
    </row>
    <row r="8" spans="1:18">
      <c r="A8" s="190">
        <v>6</v>
      </c>
      <c r="B8" s="206">
        <v>112.62307692307692</v>
      </c>
      <c r="C8" s="206">
        <v>0</v>
      </c>
      <c r="D8" s="206">
        <v>137.03007518796994</v>
      </c>
      <c r="F8" s="206">
        <v>52.255414112203582</v>
      </c>
      <c r="G8" s="206">
        <v>0</v>
      </c>
      <c r="H8" s="206">
        <v>75.476165413533849</v>
      </c>
      <c r="J8" s="218">
        <v>52.255414112203582</v>
      </c>
      <c r="K8" s="218">
        <v>0</v>
      </c>
      <c r="L8" s="218">
        <v>75.476165413533849</v>
      </c>
      <c r="N8" s="232">
        <f t="shared" si="1"/>
        <v>52</v>
      </c>
      <c r="O8" s="232">
        <f t="shared" si="2"/>
        <v>0</v>
      </c>
      <c r="P8" s="232">
        <f t="shared" si="3"/>
        <v>75</v>
      </c>
      <c r="Q8" s="232"/>
      <c r="R8" t="str">
        <f t="shared" si="4"/>
        <v>{52,0,75},</v>
      </c>
    </row>
    <row r="9" spans="1:18">
      <c r="A9" s="190">
        <v>7</v>
      </c>
      <c r="B9" s="206">
        <v>124.35507246376811</v>
      </c>
      <c r="C9" s="206">
        <v>0</v>
      </c>
      <c r="D9" s="206">
        <v>119.27480916030535</v>
      </c>
      <c r="F9" s="206">
        <v>58.508185854255956</v>
      </c>
      <c r="G9" s="206">
        <v>0</v>
      </c>
      <c r="H9" s="206">
        <v>63.364742366412223</v>
      </c>
      <c r="J9" s="218">
        <v>58.508185854255956</v>
      </c>
      <c r="K9" s="218">
        <v>0</v>
      </c>
      <c r="L9" s="218">
        <v>63.364742366412223</v>
      </c>
      <c r="N9" s="232">
        <f t="shared" si="1"/>
        <v>59</v>
      </c>
      <c r="O9" s="232">
        <f t="shared" si="2"/>
        <v>0</v>
      </c>
      <c r="P9" s="232">
        <f t="shared" si="3"/>
        <v>63</v>
      </c>
      <c r="Q9" s="232"/>
      <c r="R9" t="str">
        <f t="shared" si="4"/>
        <v>{59,0,63},</v>
      </c>
    </row>
    <row r="10" spans="1:18">
      <c r="A10" s="190">
        <v>8</v>
      </c>
      <c r="B10" s="206">
        <v>139.23841059602648</v>
      </c>
      <c r="C10" s="206">
        <v>0</v>
      </c>
      <c r="D10" s="206">
        <v>99.436090225563916</v>
      </c>
      <c r="F10" s="206">
        <v>66.004361946001012</v>
      </c>
      <c r="G10" s="206">
        <v>0</v>
      </c>
      <c r="H10" s="206">
        <v>51.609970723268347</v>
      </c>
      <c r="J10" s="218">
        <v>66.004361946001012</v>
      </c>
      <c r="K10" s="218">
        <v>0</v>
      </c>
      <c r="L10" s="218">
        <v>51.609970723268347</v>
      </c>
      <c r="N10" s="232">
        <f t="shared" si="1"/>
        <v>66</v>
      </c>
      <c r="O10" s="232">
        <f t="shared" si="2"/>
        <v>0</v>
      </c>
      <c r="P10" s="232">
        <f t="shared" si="3"/>
        <v>52</v>
      </c>
      <c r="Q10" s="232"/>
      <c r="R10" t="str">
        <f t="shared" si="4"/>
        <v>{66,0,52},</v>
      </c>
    </row>
    <row r="11" spans="1:18">
      <c r="A11" s="190">
        <v>9</v>
      </c>
      <c r="B11" s="206">
        <v>160.14705882352942</v>
      </c>
      <c r="C11" s="206">
        <v>0</v>
      </c>
      <c r="D11" s="206">
        <v>74.074074074074076</v>
      </c>
      <c r="F11" s="206">
        <v>76.5703125</v>
      </c>
      <c r="G11" s="206">
        <v>0</v>
      </c>
      <c r="H11" s="206">
        <v>37.037037037037038</v>
      </c>
      <c r="J11" s="218">
        <v>76.5703125</v>
      </c>
      <c r="K11" s="218">
        <v>0</v>
      </c>
      <c r="L11" s="218">
        <v>37.037037037037038</v>
      </c>
      <c r="N11" s="232">
        <f t="shared" si="1"/>
        <v>77</v>
      </c>
      <c r="O11" s="232">
        <f t="shared" si="2"/>
        <v>0</v>
      </c>
      <c r="P11" s="232">
        <f t="shared" si="3"/>
        <v>37</v>
      </c>
      <c r="Q11" s="232"/>
      <c r="R11" t="str">
        <f t="shared" si="4"/>
        <v>{77,0,37},</v>
      </c>
    </row>
    <row r="12" spans="1:18">
      <c r="A12" s="190">
        <v>10</v>
      </c>
      <c r="B12" s="206">
        <v>190.125</v>
      </c>
      <c r="C12" s="206">
        <v>0</v>
      </c>
      <c r="D12" s="206">
        <v>58.273381294964025</v>
      </c>
      <c r="F12" s="206">
        <v>91.786074029126212</v>
      </c>
      <c r="G12" s="206">
        <v>0</v>
      </c>
      <c r="H12" s="206">
        <v>27.861960431654673</v>
      </c>
      <c r="J12" s="218">
        <v>91.786074029126212</v>
      </c>
      <c r="K12" s="218">
        <v>0</v>
      </c>
      <c r="L12" s="218">
        <v>27.861960431654673</v>
      </c>
      <c r="N12" s="232">
        <f t="shared" si="1"/>
        <v>92</v>
      </c>
      <c r="O12" s="232">
        <f t="shared" si="2"/>
        <v>0</v>
      </c>
      <c r="P12" s="232">
        <f t="shared" si="3"/>
        <v>28</v>
      </c>
      <c r="Q12" s="232"/>
      <c r="R12" t="str">
        <f t="shared" si="4"/>
        <v>{92,0,28},</v>
      </c>
    </row>
    <row r="13" spans="1:18">
      <c r="A13" s="190">
        <v>11</v>
      </c>
      <c r="B13" s="206">
        <v>214.15929203539821</v>
      </c>
      <c r="C13" s="206">
        <v>0</v>
      </c>
      <c r="D13" s="206">
        <v>36.029411764705877</v>
      </c>
      <c r="F13" s="206">
        <v>103.1273500702647</v>
      </c>
      <c r="G13" s="206">
        <v>0</v>
      </c>
      <c r="H13" s="206">
        <v>16.281645569620249</v>
      </c>
      <c r="J13" s="218">
        <v>103.1273500702647</v>
      </c>
      <c r="K13" s="218">
        <v>0</v>
      </c>
      <c r="L13" s="218">
        <v>16.281645569620249</v>
      </c>
      <c r="N13" s="232">
        <f t="shared" si="1"/>
        <v>103</v>
      </c>
      <c r="O13" s="232">
        <f t="shared" si="2"/>
        <v>0</v>
      </c>
      <c r="P13" s="232">
        <f t="shared" si="3"/>
        <v>16</v>
      </c>
      <c r="Q13" s="232"/>
      <c r="R13" t="str">
        <f t="shared" si="4"/>
        <v>{103,0,16},</v>
      </c>
    </row>
    <row r="14" spans="1:18">
      <c r="A14" s="190">
        <v>12</v>
      </c>
      <c r="B14" s="206">
        <v>222.26890756302521</v>
      </c>
      <c r="C14" s="206">
        <v>0</v>
      </c>
      <c r="D14" s="206">
        <v>21.008403361344538</v>
      </c>
      <c r="F14" s="206">
        <v>106.41690962099125</v>
      </c>
      <c r="G14" s="206">
        <v>0</v>
      </c>
      <c r="H14" s="206">
        <v>10.932944606413994</v>
      </c>
      <c r="J14" s="218">
        <v>106.41690962099125</v>
      </c>
      <c r="K14" s="218">
        <v>0</v>
      </c>
      <c r="L14" s="218">
        <v>10.932944606413994</v>
      </c>
      <c r="N14" s="232">
        <f t="shared" si="1"/>
        <v>106</v>
      </c>
      <c r="O14" s="232">
        <f t="shared" si="2"/>
        <v>0</v>
      </c>
      <c r="P14" s="232">
        <f t="shared" si="3"/>
        <v>11</v>
      </c>
      <c r="Q14" s="232"/>
      <c r="R14" t="str">
        <f t="shared" si="4"/>
        <v>{106,0,11},</v>
      </c>
    </row>
    <row r="15" spans="1:18">
      <c r="A15" s="190">
        <v>13</v>
      </c>
      <c r="B15" s="206">
        <v>230.39999999999998</v>
      </c>
      <c r="C15" s="206">
        <v>0</v>
      </c>
      <c r="D15" s="206">
        <v>8.9108910891089099</v>
      </c>
      <c r="F15" s="206">
        <v>110.16</v>
      </c>
      <c r="G15" s="206">
        <v>0</v>
      </c>
      <c r="H15" s="206">
        <v>0</v>
      </c>
      <c r="J15" s="218">
        <v>110.16</v>
      </c>
      <c r="K15" s="218">
        <v>0</v>
      </c>
      <c r="L15" s="218">
        <v>8</v>
      </c>
      <c r="N15" s="232">
        <f t="shared" si="1"/>
        <v>110</v>
      </c>
      <c r="O15" s="232">
        <f t="shared" si="2"/>
        <v>0</v>
      </c>
      <c r="P15" s="232">
        <f t="shared" si="3"/>
        <v>8</v>
      </c>
      <c r="Q15" s="232"/>
      <c r="R15" t="str">
        <f t="shared" si="4"/>
        <v>{110,0,8},</v>
      </c>
    </row>
    <row r="16" spans="1:18">
      <c r="A16" s="190">
        <v>14</v>
      </c>
      <c r="B16" s="206">
        <v>235.39215686274511</v>
      </c>
      <c r="C16" s="206">
        <v>0</v>
      </c>
      <c r="D16" s="206">
        <v>3.0821917808219177</v>
      </c>
      <c r="F16" s="206">
        <v>112.69061302681993</v>
      </c>
      <c r="G16" s="206">
        <v>0</v>
      </c>
      <c r="H16" s="206">
        <v>0</v>
      </c>
      <c r="J16" s="218">
        <v>112.69061302681993</v>
      </c>
      <c r="K16" s="218">
        <v>0</v>
      </c>
      <c r="L16" s="218">
        <v>5</v>
      </c>
      <c r="N16" s="232">
        <f t="shared" si="1"/>
        <v>113</v>
      </c>
      <c r="O16" s="232">
        <f t="shared" si="2"/>
        <v>0</v>
      </c>
      <c r="P16" s="232">
        <f t="shared" si="3"/>
        <v>5</v>
      </c>
      <c r="Q16" s="232"/>
      <c r="R16" t="str">
        <f t="shared" si="4"/>
        <v>{113,0,5},</v>
      </c>
    </row>
    <row r="17" spans="1:18">
      <c r="A17" s="190">
        <v>15</v>
      </c>
      <c r="B17" s="206">
        <v>255</v>
      </c>
      <c r="C17" s="206">
        <v>0</v>
      </c>
      <c r="D17" s="206">
        <v>0.56818181818181812</v>
      </c>
      <c r="F17" s="206">
        <v>122.37177121771217</v>
      </c>
      <c r="G17" s="206">
        <v>0</v>
      </c>
      <c r="H17" s="206">
        <v>0</v>
      </c>
      <c r="J17" s="218">
        <v>122.37177121771217</v>
      </c>
      <c r="K17" s="218">
        <v>0</v>
      </c>
      <c r="L17" s="218">
        <v>3</v>
      </c>
      <c r="N17" s="232">
        <f t="shared" si="1"/>
        <v>122</v>
      </c>
      <c r="O17" s="232">
        <f t="shared" si="2"/>
        <v>0</v>
      </c>
      <c r="P17" s="232">
        <f t="shared" si="3"/>
        <v>3</v>
      </c>
      <c r="Q17" s="232"/>
      <c r="R17" t="str">
        <f t="shared" si="4"/>
        <v>{122,0,3},</v>
      </c>
    </row>
    <row r="18" spans="1:18">
      <c r="A18" s="190">
        <v>16</v>
      </c>
      <c r="B18" s="206">
        <v>255</v>
      </c>
      <c r="C18" s="206">
        <v>0</v>
      </c>
      <c r="D18" s="206">
        <v>0</v>
      </c>
      <c r="F18" s="206">
        <v>121.921875</v>
      </c>
      <c r="G18" s="206">
        <v>0</v>
      </c>
      <c r="H18" s="206">
        <v>0</v>
      </c>
      <c r="J18" s="218">
        <v>121.921875</v>
      </c>
      <c r="K18" s="218">
        <v>3</v>
      </c>
      <c r="L18" s="218">
        <v>0</v>
      </c>
      <c r="N18" s="232">
        <f t="shared" si="1"/>
        <v>122</v>
      </c>
      <c r="O18" s="232">
        <f t="shared" si="2"/>
        <v>3</v>
      </c>
      <c r="P18" s="232">
        <f t="shared" si="3"/>
        <v>0</v>
      </c>
      <c r="Q18" s="232"/>
      <c r="R18" t="str">
        <f t="shared" si="4"/>
        <v>{122,3,0},</v>
      </c>
    </row>
    <row r="19" spans="1:18">
      <c r="A19" s="190">
        <v>17</v>
      </c>
      <c r="B19" s="206">
        <v>255</v>
      </c>
      <c r="C19" s="206">
        <v>0</v>
      </c>
      <c r="D19" s="206">
        <v>0</v>
      </c>
      <c r="F19" s="206">
        <v>121.47527472527472</v>
      </c>
      <c r="G19" s="206">
        <v>0</v>
      </c>
      <c r="H19" s="206">
        <v>0</v>
      </c>
      <c r="J19" s="218">
        <v>121.47527472527472</v>
      </c>
      <c r="K19" s="218">
        <v>6</v>
      </c>
      <c r="L19" s="218">
        <v>0</v>
      </c>
      <c r="N19" s="232">
        <f t="shared" si="1"/>
        <v>121</v>
      </c>
      <c r="O19" s="232">
        <f t="shared" si="2"/>
        <v>6</v>
      </c>
      <c r="P19" s="232">
        <f t="shared" si="3"/>
        <v>0</v>
      </c>
      <c r="Q19" s="232"/>
      <c r="R19" t="str">
        <f t="shared" si="4"/>
        <v>{121,6,0},</v>
      </c>
    </row>
    <row r="20" spans="1:18">
      <c r="A20" s="190">
        <v>18</v>
      </c>
      <c r="B20" s="206">
        <v>255</v>
      </c>
      <c r="C20" s="206">
        <v>0</v>
      </c>
      <c r="D20" s="206">
        <v>0</v>
      </c>
      <c r="F20" s="206">
        <v>121.03193430656934</v>
      </c>
      <c r="G20" s="206">
        <v>0</v>
      </c>
      <c r="H20" s="206">
        <v>0</v>
      </c>
      <c r="J20" s="218">
        <v>121.03193430656934</v>
      </c>
      <c r="K20" s="218">
        <v>10</v>
      </c>
      <c r="L20" s="218">
        <v>0</v>
      </c>
      <c r="N20" s="232">
        <f t="shared" si="1"/>
        <v>121</v>
      </c>
      <c r="O20" s="232">
        <f t="shared" si="2"/>
        <v>10</v>
      </c>
      <c r="P20" s="232">
        <f t="shared" si="3"/>
        <v>0</v>
      </c>
      <c r="Q20" s="232"/>
      <c r="R20" t="str">
        <f t="shared" si="4"/>
        <v>{121,10,0},</v>
      </c>
    </row>
    <row r="21" spans="1:18">
      <c r="A21" s="190">
        <v>19</v>
      </c>
      <c r="B21" s="206">
        <v>258.03571428571428</v>
      </c>
      <c r="C21" s="206">
        <v>30.76923076923077</v>
      </c>
      <c r="D21" s="206">
        <v>0</v>
      </c>
      <c r="F21" s="206">
        <v>132.11631749156354</v>
      </c>
      <c r="G21" s="206">
        <v>13.645484949832772</v>
      </c>
      <c r="H21" s="206">
        <v>0</v>
      </c>
      <c r="J21" s="218">
        <v>132.11631749156354</v>
      </c>
      <c r="K21" s="218">
        <v>13.645484949832772</v>
      </c>
      <c r="L21" s="218">
        <v>0</v>
      </c>
      <c r="N21" s="232">
        <f t="shared" si="1"/>
        <v>132</v>
      </c>
      <c r="O21" s="232">
        <f t="shared" si="2"/>
        <v>14</v>
      </c>
      <c r="P21" s="232">
        <f t="shared" si="3"/>
        <v>0</v>
      </c>
      <c r="Q21" s="232"/>
      <c r="R21" t="str">
        <f t="shared" si="4"/>
        <v>{132,14,0},</v>
      </c>
    </row>
    <row r="22" spans="1:18">
      <c r="A22" s="190">
        <v>20</v>
      </c>
      <c r="B22" s="206">
        <v>262.19758064516134</v>
      </c>
      <c r="C22" s="206">
        <v>35.714285714285715</v>
      </c>
      <c r="D22" s="206">
        <v>0</v>
      </c>
      <c r="F22" s="206">
        <v>135.31268001152074</v>
      </c>
      <c r="G22" s="206">
        <v>15.435835351089585</v>
      </c>
      <c r="H22" s="206">
        <v>0</v>
      </c>
      <c r="J22" s="218">
        <v>135.31268001152074</v>
      </c>
      <c r="K22" s="218">
        <v>15.435835351089585</v>
      </c>
      <c r="L22" s="218">
        <v>0</v>
      </c>
      <c r="N22" s="232">
        <f t="shared" si="1"/>
        <v>135</v>
      </c>
      <c r="O22" s="232">
        <f t="shared" si="2"/>
        <v>15</v>
      </c>
      <c r="P22" s="232">
        <f t="shared" si="3"/>
        <v>0</v>
      </c>
      <c r="Q22" s="232"/>
      <c r="R22" t="str">
        <f t="shared" si="4"/>
        <v>{135,15,0},</v>
      </c>
    </row>
    <row r="23" spans="1:18">
      <c r="A23" s="190">
        <v>21</v>
      </c>
      <c r="B23" s="206">
        <v>266.49590163934431</v>
      </c>
      <c r="C23" s="206">
        <v>42.857142857142861</v>
      </c>
      <c r="D23" s="206">
        <v>0</v>
      </c>
      <c r="F23" s="206">
        <v>138.07885262229772</v>
      </c>
      <c r="G23" s="206">
        <v>18.73469387755102</v>
      </c>
      <c r="H23" s="206">
        <v>0</v>
      </c>
      <c r="J23" s="218">
        <v>138.07885262229772</v>
      </c>
      <c r="K23" s="218">
        <v>18.73469387755102</v>
      </c>
      <c r="L23" s="218">
        <v>0</v>
      </c>
      <c r="N23" s="232">
        <f t="shared" si="1"/>
        <v>138</v>
      </c>
      <c r="O23" s="232">
        <f t="shared" si="2"/>
        <v>19</v>
      </c>
      <c r="P23" s="232">
        <f t="shared" si="3"/>
        <v>0</v>
      </c>
      <c r="Q23" s="232"/>
      <c r="R23" t="str">
        <f t="shared" si="4"/>
        <v>{138,19,0},</v>
      </c>
    </row>
    <row r="24" spans="1:18">
      <c r="A24" s="190">
        <v>22</v>
      </c>
      <c r="B24" s="206">
        <v>269.81327800829877</v>
      </c>
      <c r="C24" s="206">
        <v>51.578947368421048</v>
      </c>
      <c r="D24" s="206">
        <v>0</v>
      </c>
      <c r="F24" s="206">
        <v>139.79767651386155</v>
      </c>
      <c r="G24" s="206">
        <v>23.30846102598267</v>
      </c>
      <c r="H24" s="206">
        <v>0</v>
      </c>
      <c r="J24" s="218">
        <v>139.79767651386155</v>
      </c>
      <c r="K24" s="218">
        <v>23.30846102598267</v>
      </c>
      <c r="L24" s="218">
        <v>0</v>
      </c>
      <c r="N24" s="232">
        <f t="shared" si="1"/>
        <v>140</v>
      </c>
      <c r="O24" s="232">
        <f t="shared" si="2"/>
        <v>23</v>
      </c>
      <c r="P24" s="232">
        <f t="shared" si="3"/>
        <v>0</v>
      </c>
      <c r="Q24" s="232"/>
      <c r="R24" t="str">
        <f t="shared" si="4"/>
        <v>{140,23,0},</v>
      </c>
    </row>
    <row r="25" spans="1:18">
      <c r="A25" s="190">
        <v>23</v>
      </c>
      <c r="B25" s="206">
        <v>272.07112970711296</v>
      </c>
      <c r="C25" s="206">
        <v>61.53846153846154</v>
      </c>
      <c r="D25" s="206">
        <v>0</v>
      </c>
      <c r="F25" s="206">
        <v>141.53140167364015</v>
      </c>
      <c r="G25" s="206">
        <v>27.897435897435894</v>
      </c>
      <c r="H25" s="206">
        <v>0</v>
      </c>
      <c r="J25" s="218">
        <v>141.53140167364015</v>
      </c>
      <c r="K25" s="218">
        <v>27.897435897435894</v>
      </c>
      <c r="L25" s="218">
        <v>0</v>
      </c>
      <c r="N25" s="232">
        <f t="shared" si="1"/>
        <v>142</v>
      </c>
      <c r="O25" s="232">
        <f t="shared" si="2"/>
        <v>28</v>
      </c>
      <c r="P25" s="232">
        <f t="shared" si="3"/>
        <v>0</v>
      </c>
      <c r="Q25" s="232"/>
      <c r="R25" t="str">
        <f t="shared" si="4"/>
        <v>{142,28,0},</v>
      </c>
    </row>
    <row r="26" spans="1:18">
      <c r="A26" s="190">
        <v>24</v>
      </c>
      <c r="B26" s="206">
        <v>273.21428571428572</v>
      </c>
      <c r="C26" s="206">
        <v>71.05263157894737</v>
      </c>
      <c r="D26" s="206">
        <v>0</v>
      </c>
      <c r="F26" s="206">
        <v>142.69685886402755</v>
      </c>
      <c r="G26" s="206">
        <v>32.613157894736837</v>
      </c>
      <c r="H26" s="206">
        <v>0</v>
      </c>
      <c r="J26" s="218">
        <v>142.69685886402755</v>
      </c>
      <c r="K26" s="218">
        <v>32.613157894736837</v>
      </c>
      <c r="L26" s="218">
        <v>0</v>
      </c>
      <c r="N26" s="232">
        <f t="shared" si="1"/>
        <v>143</v>
      </c>
      <c r="O26" s="232">
        <f t="shared" si="2"/>
        <v>33</v>
      </c>
      <c r="P26" s="232">
        <f t="shared" si="3"/>
        <v>0</v>
      </c>
      <c r="Q26" s="232"/>
      <c r="R26" t="str">
        <f t="shared" si="4"/>
        <v>{143,33,0},</v>
      </c>
    </row>
    <row r="27" spans="1:18">
      <c r="A27" s="190">
        <v>25</v>
      </c>
      <c r="B27" s="206">
        <v>273.21428571428572</v>
      </c>
      <c r="C27" s="206">
        <v>82.644628099173559</v>
      </c>
      <c r="D27" s="206">
        <v>0</v>
      </c>
      <c r="F27" s="206">
        <v>144.43706445993033</v>
      </c>
      <c r="G27" s="206">
        <v>37.632821723730821</v>
      </c>
      <c r="H27" s="206">
        <v>0</v>
      </c>
      <c r="J27" s="218">
        <v>144.43706445993033</v>
      </c>
      <c r="K27" s="218">
        <v>37.632821723730821</v>
      </c>
      <c r="L27" s="218">
        <v>0</v>
      </c>
      <c r="N27" s="232">
        <f t="shared" si="1"/>
        <v>144</v>
      </c>
      <c r="O27" s="232">
        <f t="shared" si="2"/>
        <v>38</v>
      </c>
      <c r="P27" s="232">
        <f t="shared" si="3"/>
        <v>0</v>
      </c>
      <c r="Q27" s="232"/>
      <c r="R27" t="str">
        <f t="shared" si="4"/>
        <v>{144,38,0},</v>
      </c>
    </row>
    <row r="28" spans="1:18">
      <c r="A28" s="190">
        <v>26</v>
      </c>
      <c r="B28" s="206">
        <v>267.09401709401709</v>
      </c>
      <c r="C28" s="206">
        <v>94.53125</v>
      </c>
      <c r="D28" s="206">
        <v>0</v>
      </c>
      <c r="F28" s="206">
        <v>140.72102140283957</v>
      </c>
      <c r="G28" s="206">
        <v>44.193359375</v>
      </c>
      <c r="H28" s="206">
        <v>0</v>
      </c>
      <c r="J28" s="218">
        <v>140.72102140283957</v>
      </c>
      <c r="K28" s="218">
        <v>44.193359375</v>
      </c>
      <c r="L28" s="218">
        <v>0</v>
      </c>
      <c r="N28" s="232">
        <f t="shared" si="1"/>
        <v>141</v>
      </c>
      <c r="O28" s="232">
        <f t="shared" si="2"/>
        <v>44</v>
      </c>
      <c r="P28" s="232">
        <f t="shared" si="3"/>
        <v>0</v>
      </c>
      <c r="Q28" s="232"/>
      <c r="R28" t="str">
        <f t="shared" si="4"/>
        <v>{141,44,0},</v>
      </c>
    </row>
    <row r="29" spans="1:18">
      <c r="A29" s="190">
        <v>27</v>
      </c>
      <c r="B29" s="206">
        <v>253.7444933920705</v>
      </c>
      <c r="C29" s="206">
        <v>108.27067669172932</v>
      </c>
      <c r="D29" s="206">
        <v>0</v>
      </c>
      <c r="F29" s="206">
        <v>133.8720947896096</v>
      </c>
      <c r="G29" s="206">
        <v>51.766917293233078</v>
      </c>
      <c r="H29" s="206">
        <v>0</v>
      </c>
      <c r="J29" s="218">
        <v>133.8720947896096</v>
      </c>
      <c r="K29" s="218">
        <v>51.766917293233078</v>
      </c>
      <c r="L29" s="218">
        <v>0</v>
      </c>
      <c r="N29" s="232">
        <f t="shared" si="1"/>
        <v>134</v>
      </c>
      <c r="O29" s="232">
        <f t="shared" si="2"/>
        <v>52</v>
      </c>
      <c r="P29" s="232">
        <f t="shared" si="3"/>
        <v>0</v>
      </c>
      <c r="Q29" s="232"/>
      <c r="R29" t="str">
        <f t="shared" si="4"/>
        <v>{134,52,0},</v>
      </c>
    </row>
    <row r="30" spans="1:18">
      <c r="A30" s="190">
        <v>28</v>
      </c>
      <c r="B30" s="206">
        <v>240.45454545454544</v>
      </c>
      <c r="C30" s="206">
        <v>121.58273381294964</v>
      </c>
      <c r="D30" s="206">
        <v>0</v>
      </c>
      <c r="F30" s="206">
        <v>126.48124745209945</v>
      </c>
      <c r="G30" s="206">
        <v>58.838943443785112</v>
      </c>
      <c r="H30" s="206">
        <v>0</v>
      </c>
      <c r="J30" s="218">
        <v>126.48124745209945</v>
      </c>
      <c r="K30" s="218">
        <v>58.838943443785112</v>
      </c>
      <c r="L30" s="218">
        <v>0</v>
      </c>
      <c r="N30" s="232">
        <f t="shared" si="1"/>
        <v>126</v>
      </c>
      <c r="O30" s="232">
        <f t="shared" si="2"/>
        <v>59</v>
      </c>
      <c r="P30" s="232">
        <f t="shared" si="3"/>
        <v>0</v>
      </c>
      <c r="Q30" s="232"/>
      <c r="R30" t="str">
        <f t="shared" si="4"/>
        <v>{126,59,0},</v>
      </c>
    </row>
    <row r="31" spans="1:18">
      <c r="A31" s="190">
        <v>29</v>
      </c>
      <c r="B31" s="206">
        <v>219.07582938388626</v>
      </c>
      <c r="C31" s="206">
        <v>137.06293706293707</v>
      </c>
      <c r="D31" s="206">
        <v>0</v>
      </c>
      <c r="F31" s="206">
        <v>115.48877255741887</v>
      </c>
      <c r="G31" s="206">
        <v>67.491680733060051</v>
      </c>
      <c r="H31" s="206">
        <v>0</v>
      </c>
      <c r="J31" s="218">
        <v>115.48877255741887</v>
      </c>
      <c r="K31" s="218">
        <v>67.491680733060051</v>
      </c>
      <c r="L31" s="218">
        <v>0</v>
      </c>
      <c r="N31" s="232">
        <f t="shared" si="1"/>
        <v>115</v>
      </c>
      <c r="O31" s="232">
        <f t="shared" si="2"/>
        <v>67</v>
      </c>
      <c r="P31" s="232">
        <f t="shared" si="3"/>
        <v>0</v>
      </c>
      <c r="Q31" s="232"/>
      <c r="R31" t="str">
        <f t="shared" si="4"/>
        <v>{115,67,0},</v>
      </c>
    </row>
    <row r="32" spans="1:18">
      <c r="A32" s="190">
        <v>30</v>
      </c>
      <c r="B32" s="206">
        <v>212.01923076923077</v>
      </c>
      <c r="C32" s="206">
        <v>148.02631578947367</v>
      </c>
      <c r="D32" s="206">
        <v>0</v>
      </c>
      <c r="F32" s="206">
        <v>109.69690635451504</v>
      </c>
      <c r="G32" s="206">
        <v>74.50008656509695</v>
      </c>
      <c r="H32" s="206">
        <v>0</v>
      </c>
      <c r="J32" s="218">
        <v>109.69690635451504</v>
      </c>
      <c r="K32" s="218">
        <v>74.50008656509695</v>
      </c>
      <c r="L32" s="218">
        <v>0</v>
      </c>
      <c r="N32" s="232">
        <f t="shared" si="1"/>
        <v>110</v>
      </c>
      <c r="O32" s="232">
        <f t="shared" si="2"/>
        <v>75</v>
      </c>
      <c r="P32" s="232">
        <f t="shared" si="3"/>
        <v>0</v>
      </c>
      <c r="Q32" s="232"/>
      <c r="R32" t="str">
        <f t="shared" si="4"/>
        <v>{110,75,0},</v>
      </c>
    </row>
    <row r="33" spans="1:18">
      <c r="A33" s="190">
        <v>31</v>
      </c>
      <c r="B33" s="206">
        <v>204.00485436893203</v>
      </c>
      <c r="C33" s="206">
        <v>161.00628930817609</v>
      </c>
      <c r="D33" s="206">
        <v>0</v>
      </c>
      <c r="F33" s="206">
        <v>105.06752475010759</v>
      </c>
      <c r="G33" s="206">
        <v>81.603187624516579</v>
      </c>
      <c r="H33" s="206">
        <v>0</v>
      </c>
      <c r="J33" s="218">
        <v>105.06752475010759</v>
      </c>
      <c r="K33" s="218">
        <v>81.603187624516579</v>
      </c>
      <c r="L33" s="218">
        <v>0</v>
      </c>
      <c r="N33" s="232">
        <f t="shared" si="1"/>
        <v>105</v>
      </c>
      <c r="O33" s="232">
        <f t="shared" si="2"/>
        <v>82</v>
      </c>
      <c r="P33" s="232">
        <f t="shared" si="3"/>
        <v>0</v>
      </c>
      <c r="Q33" s="232"/>
      <c r="R33" t="str">
        <f t="shared" si="4"/>
        <v>{105,82,0},</v>
      </c>
    </row>
    <row r="34" spans="1:18">
      <c r="A34" s="190">
        <v>32</v>
      </c>
      <c r="B34" s="206">
        <v>184.33179723502303</v>
      </c>
      <c r="C34" s="206">
        <v>195.57142857142858</v>
      </c>
      <c r="D34" s="206">
        <v>0</v>
      </c>
      <c r="F34" s="206">
        <v>95.440829025240348</v>
      </c>
      <c r="G34" s="206">
        <v>99.205184331797227</v>
      </c>
      <c r="H34" s="206">
        <v>0</v>
      </c>
      <c r="J34" s="218">
        <v>95.440829025240348</v>
      </c>
      <c r="K34" s="218">
        <v>99.205184331797227</v>
      </c>
      <c r="L34" s="218">
        <v>0</v>
      </c>
      <c r="N34" s="232">
        <f t="shared" si="1"/>
        <v>95</v>
      </c>
      <c r="O34" s="232">
        <f t="shared" si="2"/>
        <v>99</v>
      </c>
      <c r="P34" s="232">
        <f t="shared" si="3"/>
        <v>0</v>
      </c>
      <c r="Q34" s="232"/>
      <c r="R34" t="str">
        <f t="shared" si="4"/>
        <v>{95,99,0},</v>
      </c>
    </row>
    <row r="35" spans="1:18">
      <c r="A35" s="190">
        <v>33</v>
      </c>
      <c r="B35" s="206">
        <v>178.52112676056339</v>
      </c>
      <c r="C35" s="206">
        <v>209.42408376963351</v>
      </c>
      <c r="D35" s="206">
        <v>0</v>
      </c>
      <c r="F35" s="206">
        <v>89.215708825819235</v>
      </c>
      <c r="G35" s="206">
        <v>107.88513406314453</v>
      </c>
      <c r="H35" s="206">
        <v>0</v>
      </c>
      <c r="J35" s="218">
        <v>89.215708825819235</v>
      </c>
      <c r="K35" s="218">
        <v>107.88513406314453</v>
      </c>
      <c r="L35" s="218">
        <v>0</v>
      </c>
      <c r="N35" s="232">
        <f t="shared" si="1"/>
        <v>89</v>
      </c>
      <c r="O35" s="232">
        <f t="shared" si="2"/>
        <v>108</v>
      </c>
      <c r="P35" s="232">
        <f t="shared" si="3"/>
        <v>0</v>
      </c>
      <c r="Q35" s="232"/>
      <c r="R35" t="str">
        <f t="shared" si="4"/>
        <v>{89,108,0},</v>
      </c>
    </row>
    <row r="36" spans="1:18">
      <c r="A36" s="190">
        <v>34</v>
      </c>
      <c r="B36" s="206">
        <v>157.7188940092166</v>
      </c>
      <c r="C36" s="206">
        <v>236.09756097560978</v>
      </c>
      <c r="D36" s="206">
        <v>0</v>
      </c>
      <c r="F36" s="206">
        <v>79.153072605157362</v>
      </c>
      <c r="G36" s="206">
        <v>121.51443275900647</v>
      </c>
      <c r="H36" s="206">
        <v>0</v>
      </c>
      <c r="J36" s="218">
        <v>79.153072605157362</v>
      </c>
      <c r="K36" s="218">
        <v>121.51443275900647</v>
      </c>
      <c r="L36" s="218">
        <v>0</v>
      </c>
      <c r="N36" s="232">
        <f t="shared" si="1"/>
        <v>79</v>
      </c>
      <c r="O36" s="232">
        <f t="shared" si="2"/>
        <v>122</v>
      </c>
      <c r="P36" s="232">
        <f t="shared" si="3"/>
        <v>0</v>
      </c>
      <c r="Q36" s="232"/>
      <c r="R36" t="str">
        <f t="shared" si="4"/>
        <v>{79,122,0},</v>
      </c>
    </row>
    <row r="37" spans="1:18">
      <c r="A37" s="190">
        <v>35</v>
      </c>
      <c r="B37" s="206">
        <v>143.10747663551402</v>
      </c>
      <c r="C37" s="206">
        <v>252.16894977168948</v>
      </c>
      <c r="D37" s="206">
        <v>0</v>
      </c>
      <c r="F37" s="206">
        <v>70.565427015025548</v>
      </c>
      <c r="G37" s="206">
        <v>130.26917512990082</v>
      </c>
      <c r="H37" s="206">
        <v>0</v>
      </c>
      <c r="J37" s="218">
        <v>70.565427015025548</v>
      </c>
      <c r="K37" s="218">
        <v>130.26917512990082</v>
      </c>
      <c r="L37" s="218">
        <v>0</v>
      </c>
      <c r="N37" s="232">
        <f t="shared" si="1"/>
        <v>71</v>
      </c>
      <c r="O37" s="232">
        <f t="shared" si="2"/>
        <v>130</v>
      </c>
      <c r="P37" s="232">
        <f t="shared" si="3"/>
        <v>0</v>
      </c>
      <c r="Q37" s="232"/>
      <c r="R37" t="str">
        <f t="shared" si="4"/>
        <v>{71,130,0},</v>
      </c>
    </row>
    <row r="38" spans="1:18">
      <c r="A38" s="190">
        <v>36</v>
      </c>
      <c r="B38" s="206">
        <v>131.52173913043478</v>
      </c>
      <c r="C38" s="206">
        <v>260.97826086956525</v>
      </c>
      <c r="D38" s="206">
        <v>2.0408163265306123</v>
      </c>
      <c r="F38" s="206">
        <v>63.606634182908536</v>
      </c>
      <c r="G38" s="206">
        <v>134.74889956881069</v>
      </c>
      <c r="H38" s="206">
        <v>0.1858600583090379</v>
      </c>
      <c r="J38" s="218">
        <v>63.606634182908536</v>
      </c>
      <c r="K38" s="218">
        <v>134.74889956881069</v>
      </c>
      <c r="L38" s="218">
        <v>0.1858600583090379</v>
      </c>
      <c r="N38" s="232">
        <f t="shared" si="1"/>
        <v>64</v>
      </c>
      <c r="O38" s="232">
        <f t="shared" si="2"/>
        <v>135</v>
      </c>
      <c r="P38" s="232">
        <f t="shared" si="3"/>
        <v>0</v>
      </c>
      <c r="Q38" s="232"/>
      <c r="R38" t="str">
        <f t="shared" si="4"/>
        <v>{64,135,0},</v>
      </c>
    </row>
    <row r="39" spans="1:18">
      <c r="A39" s="190">
        <v>37</v>
      </c>
      <c r="B39" s="206">
        <v>120.72864321608041</v>
      </c>
      <c r="C39" s="206">
        <v>265.95744680851061</v>
      </c>
      <c r="D39" s="206">
        <v>6.1538461538461542</v>
      </c>
      <c r="F39" s="206">
        <v>57.491561724284068</v>
      </c>
      <c r="G39" s="206">
        <v>137.84379865075246</v>
      </c>
      <c r="H39" s="206">
        <v>0.99633699633699635</v>
      </c>
      <c r="J39" s="218">
        <v>57.491561724284068</v>
      </c>
      <c r="K39" s="218">
        <v>137.84379865075246</v>
      </c>
      <c r="L39" s="218">
        <v>0.99633699633699635</v>
      </c>
      <c r="N39" s="232">
        <f t="shared" si="1"/>
        <v>57</v>
      </c>
      <c r="O39" s="232">
        <f t="shared" si="2"/>
        <v>138</v>
      </c>
      <c r="P39" s="232">
        <f t="shared" si="3"/>
        <v>1</v>
      </c>
      <c r="Q39" s="232"/>
      <c r="R39" t="str">
        <f t="shared" si="4"/>
        <v>{57,138,1},</v>
      </c>
    </row>
    <row r="40" spans="1:18">
      <c r="A40" s="190">
        <v>38</v>
      </c>
      <c r="B40" s="206">
        <v>108.93782383419689</v>
      </c>
      <c r="C40" s="206">
        <v>272.07112970711296</v>
      </c>
      <c r="D40" s="206">
        <v>18.604651162790699</v>
      </c>
      <c r="F40" s="206">
        <v>51.973884338960382</v>
      </c>
      <c r="G40" s="206">
        <v>140.96753154745033</v>
      </c>
      <c r="H40" s="206">
        <v>4.3128964059196617</v>
      </c>
      <c r="J40" s="218">
        <v>51.973884338960382</v>
      </c>
      <c r="K40" s="218">
        <v>140.96753154745033</v>
      </c>
      <c r="L40" s="218">
        <v>4.3128964059196617</v>
      </c>
      <c r="N40" s="232">
        <f t="shared" si="1"/>
        <v>52</v>
      </c>
      <c r="O40" s="232">
        <f t="shared" si="2"/>
        <v>141</v>
      </c>
      <c r="P40" s="232">
        <f t="shared" si="3"/>
        <v>4</v>
      </c>
      <c r="Q40" s="232"/>
      <c r="R40" t="str">
        <f t="shared" si="4"/>
        <v>{52,141,4},</v>
      </c>
    </row>
    <row r="41" spans="1:18">
      <c r="A41" s="190">
        <v>39</v>
      </c>
      <c r="B41" s="206">
        <v>99.590163934426229</v>
      </c>
      <c r="C41" s="206">
        <v>270.9375</v>
      </c>
      <c r="D41" s="206">
        <v>32.142857142857139</v>
      </c>
      <c r="F41" s="206">
        <v>47.288157150932726</v>
      </c>
      <c r="G41" s="206">
        <v>140.38016683266932</v>
      </c>
      <c r="H41" s="206">
        <v>9.192256341789049</v>
      </c>
      <c r="J41" s="218">
        <v>47.288157150932726</v>
      </c>
      <c r="K41" s="218">
        <v>140.38016683266932</v>
      </c>
      <c r="L41" s="218">
        <v>9.192256341789049</v>
      </c>
      <c r="N41" s="232">
        <f t="shared" si="1"/>
        <v>47</v>
      </c>
      <c r="O41" s="232">
        <f t="shared" si="2"/>
        <v>140</v>
      </c>
      <c r="P41" s="232">
        <f t="shared" si="3"/>
        <v>9</v>
      </c>
      <c r="Q41" s="232"/>
      <c r="R41" t="str">
        <f t="shared" si="4"/>
        <v>{47,140,9},</v>
      </c>
    </row>
    <row r="42" spans="1:18">
      <c r="A42" s="190">
        <v>40</v>
      </c>
      <c r="B42" s="206">
        <v>91.37426900584795</v>
      </c>
      <c r="C42" s="206">
        <v>264.83050847457628</v>
      </c>
      <c r="D42" s="206">
        <v>49.230769230769234</v>
      </c>
      <c r="F42" s="206">
        <v>43.79781691069779</v>
      </c>
      <c r="G42" s="206">
        <v>137.25971475816456</v>
      </c>
      <c r="H42" s="206">
        <v>16.198511166253102</v>
      </c>
      <c r="J42" s="218">
        <v>43.79781691069779</v>
      </c>
      <c r="K42" s="218">
        <v>137.25971475816456</v>
      </c>
      <c r="L42" s="218">
        <v>16.198511166253102</v>
      </c>
      <c r="N42" s="232">
        <f t="shared" si="1"/>
        <v>44</v>
      </c>
      <c r="O42" s="232">
        <f t="shared" si="2"/>
        <v>137</v>
      </c>
      <c r="P42" s="232">
        <f t="shared" si="3"/>
        <v>16</v>
      </c>
      <c r="Q42" s="232"/>
      <c r="R42" t="str">
        <f t="shared" si="4"/>
        <v>{44,137,16},</v>
      </c>
    </row>
    <row r="43" spans="1:18">
      <c r="A43" s="190">
        <v>41</v>
      </c>
      <c r="B43" s="206">
        <v>82.142857142857139</v>
      </c>
      <c r="C43" s="206">
        <v>259.84848484848482</v>
      </c>
      <c r="D43" s="206">
        <v>68.493150684931507</v>
      </c>
      <c r="F43" s="206">
        <v>39.168118466898953</v>
      </c>
      <c r="G43" s="206">
        <v>134.72227461335342</v>
      </c>
      <c r="H43" s="206">
        <v>25.130580467133139</v>
      </c>
      <c r="J43" s="218">
        <v>39.168118466898953</v>
      </c>
      <c r="K43" s="218">
        <v>134.72227461335342</v>
      </c>
      <c r="L43" s="218">
        <v>25.130580467133139</v>
      </c>
      <c r="N43" s="232">
        <f t="shared" si="1"/>
        <v>39</v>
      </c>
      <c r="O43" s="232">
        <f t="shared" si="2"/>
        <v>135</v>
      </c>
      <c r="P43" s="232">
        <f t="shared" si="3"/>
        <v>25</v>
      </c>
      <c r="Q43" s="232"/>
      <c r="R43" t="str">
        <f t="shared" si="4"/>
        <v>{39,135,25},</v>
      </c>
    </row>
    <row r="44" spans="1:18">
      <c r="A44" s="190">
        <v>42</v>
      </c>
      <c r="B44" s="206">
        <v>73.5</v>
      </c>
      <c r="C44" s="206">
        <v>253.7444933920705</v>
      </c>
      <c r="D44" s="206">
        <v>91.139240506329116</v>
      </c>
      <c r="F44" s="206">
        <v>36.10940366972477</v>
      </c>
      <c r="G44" s="206">
        <v>131.04778899236044</v>
      </c>
      <c r="H44" s="206">
        <v>36.21897090251521</v>
      </c>
      <c r="J44" s="218">
        <v>36.10940366972477</v>
      </c>
      <c r="K44" s="218">
        <v>131.04778899236044</v>
      </c>
      <c r="L44" s="218">
        <v>36.21897090251521</v>
      </c>
      <c r="N44" s="232">
        <f t="shared" si="1"/>
        <v>36</v>
      </c>
      <c r="O44" s="232">
        <f t="shared" si="2"/>
        <v>131</v>
      </c>
      <c r="P44" s="232">
        <f t="shared" si="3"/>
        <v>36</v>
      </c>
      <c r="Q44" s="232"/>
      <c r="R44" t="str">
        <f t="shared" si="4"/>
        <v>{36,131,36},</v>
      </c>
    </row>
    <row r="45" spans="1:18">
      <c r="A45" s="190">
        <v>43</v>
      </c>
      <c r="B45" s="206">
        <v>64.464285714285722</v>
      </c>
      <c r="C45" s="206">
        <v>247.64573991031389</v>
      </c>
      <c r="D45" s="206">
        <v>115.29411764705881</v>
      </c>
      <c r="F45" s="206">
        <v>33.583813364055295</v>
      </c>
      <c r="G45" s="206">
        <v>127.38344175215073</v>
      </c>
      <c r="H45" s="206">
        <v>48.140350877192979</v>
      </c>
      <c r="J45" s="218">
        <v>33.583813364055295</v>
      </c>
      <c r="K45" s="218">
        <v>127.38344175215073</v>
      </c>
      <c r="L45" s="218">
        <v>48.140350877192979</v>
      </c>
      <c r="N45" s="232">
        <f t="shared" si="1"/>
        <v>34</v>
      </c>
      <c r="O45" s="232">
        <f t="shared" si="2"/>
        <v>127</v>
      </c>
      <c r="P45" s="232">
        <f t="shared" si="3"/>
        <v>48</v>
      </c>
      <c r="Q45" s="232"/>
      <c r="R45" t="str">
        <f t="shared" si="4"/>
        <v>{34,127,48},</v>
      </c>
    </row>
    <row r="46" spans="1:18">
      <c r="A46" s="190">
        <v>44</v>
      </c>
      <c r="B46" s="206">
        <v>55.152671755725187</v>
      </c>
      <c r="C46" s="206">
        <v>246.54017857142856</v>
      </c>
      <c r="D46" s="206">
        <v>139.13043478260869</v>
      </c>
      <c r="F46" s="206">
        <v>30.652157956547263</v>
      </c>
      <c r="G46" s="206">
        <v>126.27282222985347</v>
      </c>
      <c r="H46" s="206">
        <v>61.367802585193878</v>
      </c>
      <c r="J46" s="218">
        <v>30.652157956547263</v>
      </c>
      <c r="K46" s="218">
        <v>126.27282222985347</v>
      </c>
      <c r="L46" s="218">
        <v>61.367802585193878</v>
      </c>
      <c r="N46" s="232">
        <f t="shared" si="1"/>
        <v>31</v>
      </c>
      <c r="O46" s="232">
        <f t="shared" si="2"/>
        <v>126</v>
      </c>
      <c r="P46" s="232">
        <f t="shared" si="3"/>
        <v>61</v>
      </c>
      <c r="Q46" s="232"/>
      <c r="R46" t="str">
        <f t="shared" si="4"/>
        <v>{31,126,61},</v>
      </c>
    </row>
    <row r="47" spans="1:18">
      <c r="A47" s="190">
        <v>45</v>
      </c>
      <c r="B47" s="206">
        <v>36.422413793103445</v>
      </c>
      <c r="C47" s="206">
        <v>234.37500000000003</v>
      </c>
      <c r="D47" s="206">
        <v>172.34042553191489</v>
      </c>
      <c r="F47" s="206">
        <v>0</v>
      </c>
      <c r="G47" s="206">
        <v>118.47811123348018</v>
      </c>
      <c r="H47" s="206">
        <v>78.321044870444481</v>
      </c>
      <c r="J47" s="218">
        <v>22</v>
      </c>
      <c r="K47" s="218">
        <v>118.47811123348018</v>
      </c>
      <c r="L47" s="218">
        <v>78.321044870444481</v>
      </c>
      <c r="N47" s="232">
        <f t="shared" si="1"/>
        <v>22</v>
      </c>
      <c r="O47" s="232">
        <f t="shared" si="2"/>
        <v>118</v>
      </c>
      <c r="P47" s="232">
        <f t="shared" si="3"/>
        <v>78</v>
      </c>
      <c r="Q47" s="232"/>
      <c r="R47" t="str">
        <f t="shared" si="4"/>
        <v>{22,118,78},</v>
      </c>
    </row>
    <row r="48" spans="1:18">
      <c r="A48" s="190">
        <v>46</v>
      </c>
      <c r="B48" s="206">
        <v>22.252747252747255</v>
      </c>
      <c r="C48" s="206">
        <v>225.11627906976744</v>
      </c>
      <c r="D48" s="206">
        <v>200</v>
      </c>
      <c r="F48" s="206">
        <v>0</v>
      </c>
      <c r="G48" s="206">
        <v>112.75913621262455</v>
      </c>
      <c r="H48" s="206">
        <v>94.444444444444443</v>
      </c>
      <c r="J48" s="218">
        <v>18</v>
      </c>
      <c r="K48" s="218">
        <v>112.75913621262455</v>
      </c>
      <c r="L48" s="218">
        <v>94.444444444444443</v>
      </c>
      <c r="N48" s="232">
        <f t="shared" si="1"/>
        <v>18</v>
      </c>
      <c r="O48" s="232">
        <f t="shared" si="2"/>
        <v>113</v>
      </c>
      <c r="P48" s="232">
        <f t="shared" si="3"/>
        <v>94</v>
      </c>
      <c r="Q48" s="232"/>
      <c r="R48" t="str">
        <f t="shared" si="4"/>
        <v>{18,113,94},</v>
      </c>
    </row>
    <row r="49" spans="1:18">
      <c r="A49" s="190">
        <v>47</v>
      </c>
      <c r="B49" s="206">
        <v>21.355555555555554</v>
      </c>
      <c r="C49" s="206">
        <v>211.00478468899519</v>
      </c>
      <c r="D49" s="206">
        <v>213.04347826086959</v>
      </c>
      <c r="F49" s="206">
        <v>0</v>
      </c>
      <c r="G49" s="206">
        <v>105.10982530321573</v>
      </c>
      <c r="H49" s="206">
        <v>104.18701608100059</v>
      </c>
      <c r="J49" s="218">
        <v>13</v>
      </c>
      <c r="K49" s="218">
        <v>105.10982530321573</v>
      </c>
      <c r="L49" s="218">
        <v>104.18701608100059</v>
      </c>
      <c r="N49" s="232">
        <f t="shared" si="1"/>
        <v>13</v>
      </c>
      <c r="O49" s="232">
        <f t="shared" si="2"/>
        <v>105</v>
      </c>
      <c r="P49" s="232">
        <f t="shared" si="3"/>
        <v>104</v>
      </c>
      <c r="Q49" s="232"/>
      <c r="R49" t="str">
        <f t="shared" si="4"/>
        <v>{13,105,104},</v>
      </c>
    </row>
    <row r="50" spans="1:18">
      <c r="A50" s="190">
        <v>48</v>
      </c>
      <c r="B50" s="206">
        <v>0</v>
      </c>
      <c r="C50" s="206">
        <v>196.07843137254901</v>
      </c>
      <c r="D50" s="206">
        <v>230.47619047619048</v>
      </c>
      <c r="F50" s="206">
        <v>0</v>
      </c>
      <c r="G50" s="206">
        <v>95.238095238095212</v>
      </c>
      <c r="H50" s="206">
        <v>113.41854636591478</v>
      </c>
      <c r="J50" s="218">
        <v>7</v>
      </c>
      <c r="K50" s="218">
        <v>95.238095238095212</v>
      </c>
      <c r="L50" s="218">
        <v>113.41854636591478</v>
      </c>
      <c r="N50" s="232">
        <f t="shared" si="1"/>
        <v>7</v>
      </c>
      <c r="O50" s="232">
        <f t="shared" si="2"/>
        <v>95</v>
      </c>
      <c r="P50" s="232">
        <f t="shared" si="3"/>
        <v>113</v>
      </c>
      <c r="Q50" s="232"/>
      <c r="R50" t="str">
        <f t="shared" si="4"/>
        <v>{7,95,113},</v>
      </c>
    </row>
    <row r="51" spans="1:18">
      <c r="A51" s="190">
        <v>49</v>
      </c>
      <c r="B51" s="206">
        <v>0</v>
      </c>
      <c r="C51" s="206">
        <v>181.4070351758794</v>
      </c>
      <c r="D51" s="206">
        <v>248.35680751173709</v>
      </c>
      <c r="F51" s="206">
        <v>0</v>
      </c>
      <c r="G51" s="206">
        <v>87.891708542713559</v>
      </c>
      <c r="H51" s="206">
        <v>124.4968099193451</v>
      </c>
      <c r="J51" s="218">
        <v>2</v>
      </c>
      <c r="K51" s="218">
        <v>87.891708542713559</v>
      </c>
      <c r="L51" s="218">
        <v>124.4968099193451</v>
      </c>
      <c r="N51" s="232">
        <f t="shared" si="1"/>
        <v>2</v>
      </c>
      <c r="O51" s="232">
        <f t="shared" si="2"/>
        <v>88</v>
      </c>
      <c r="P51" s="232">
        <f t="shared" si="3"/>
        <v>124</v>
      </c>
      <c r="Q51" s="232"/>
      <c r="R51" t="str">
        <f t="shared" si="4"/>
        <v>{2,88,124},</v>
      </c>
    </row>
    <row r="52" spans="1:18">
      <c r="A52" s="190">
        <v>50</v>
      </c>
      <c r="B52" s="206">
        <v>0</v>
      </c>
      <c r="C52" s="206">
        <v>167.87564766839378</v>
      </c>
      <c r="D52" s="206">
        <v>267.90697674418607</v>
      </c>
      <c r="F52" s="206">
        <v>0</v>
      </c>
      <c r="G52" s="206">
        <v>80.685782491929572</v>
      </c>
      <c r="H52" s="206">
        <v>137.78073089700996</v>
      </c>
      <c r="J52" s="218">
        <v>0</v>
      </c>
      <c r="K52" s="218">
        <v>80.685782491929572</v>
      </c>
      <c r="L52" s="218">
        <v>137.78073089700996</v>
      </c>
      <c r="N52" s="232">
        <f t="shared" si="1"/>
        <v>0</v>
      </c>
      <c r="O52" s="232">
        <f t="shared" si="2"/>
        <v>81</v>
      </c>
      <c r="P52" s="232">
        <f t="shared" si="3"/>
        <v>138</v>
      </c>
      <c r="Q52" s="232"/>
      <c r="R52" t="str">
        <f t="shared" si="4"/>
        <v>{0,81,138},</v>
      </c>
    </row>
    <row r="53" spans="1:18">
      <c r="A53" s="190">
        <v>51</v>
      </c>
      <c r="B53" s="206">
        <v>0</v>
      </c>
      <c r="C53" s="206">
        <v>109.33734939759036</v>
      </c>
      <c r="D53" s="206">
        <v>245.09803921568627</v>
      </c>
      <c r="F53" s="206">
        <v>0</v>
      </c>
      <c r="G53" s="206">
        <v>38.33640813253011</v>
      </c>
      <c r="H53" s="206">
        <v>89.541547277936971</v>
      </c>
      <c r="J53" s="218">
        <v>0</v>
      </c>
      <c r="K53" s="218">
        <v>71</v>
      </c>
      <c r="L53" s="218">
        <v>159</v>
      </c>
      <c r="N53" s="232">
        <f t="shared" si="1"/>
        <v>0</v>
      </c>
      <c r="O53" s="232">
        <f t="shared" si="2"/>
        <v>71</v>
      </c>
      <c r="P53" s="232">
        <f t="shared" si="3"/>
        <v>159</v>
      </c>
      <c r="Q53" s="232"/>
      <c r="R53" t="str">
        <f t="shared" si="4"/>
        <v>{0,71,159},</v>
      </c>
    </row>
    <row r="54" spans="1:18">
      <c r="A54" s="190">
        <v>52</v>
      </c>
      <c r="B54" s="206">
        <v>0</v>
      </c>
      <c r="C54" s="206">
        <v>134.73053892215569</v>
      </c>
      <c r="D54" s="206">
        <v>314.13043478260869</v>
      </c>
      <c r="F54" s="206">
        <v>0</v>
      </c>
      <c r="G54" s="206">
        <v>63.232430843833789</v>
      </c>
      <c r="H54" s="206">
        <v>168.11795491143317</v>
      </c>
      <c r="J54" s="218">
        <v>0</v>
      </c>
      <c r="K54" s="218">
        <v>63.232430843833789</v>
      </c>
      <c r="L54" s="218">
        <v>168.11795491143317</v>
      </c>
      <c r="N54" s="232">
        <f t="shared" si="1"/>
        <v>0</v>
      </c>
      <c r="O54" s="232">
        <f t="shared" si="2"/>
        <v>63</v>
      </c>
      <c r="P54" s="232">
        <f t="shared" si="3"/>
        <v>168</v>
      </c>
      <c r="Q54" s="232"/>
      <c r="R54" t="str">
        <f t="shared" si="4"/>
        <v>{0,63,168},</v>
      </c>
    </row>
    <row r="55" spans="1:18">
      <c r="A55" s="190">
        <v>53</v>
      </c>
      <c r="B55" s="206">
        <v>0</v>
      </c>
      <c r="C55" s="206">
        <v>111.18421052631579</v>
      </c>
      <c r="D55" s="206">
        <v>328.40909090909088</v>
      </c>
      <c r="F55" s="206">
        <v>0</v>
      </c>
      <c r="G55" s="206">
        <v>51.191063596491233</v>
      </c>
      <c r="H55" s="206">
        <v>177.95667613636363</v>
      </c>
      <c r="J55" s="218">
        <v>0</v>
      </c>
      <c r="K55" s="218">
        <v>51.191063596491233</v>
      </c>
      <c r="L55" s="218">
        <v>177.95667613636363</v>
      </c>
      <c r="N55" s="232">
        <f t="shared" si="1"/>
        <v>0</v>
      </c>
      <c r="O55" s="232">
        <f t="shared" si="2"/>
        <v>51</v>
      </c>
      <c r="P55" s="232">
        <f t="shared" si="3"/>
        <v>178</v>
      </c>
      <c r="Q55" s="232"/>
      <c r="R55" t="str">
        <f t="shared" si="4"/>
        <v>{0,51,178},</v>
      </c>
    </row>
    <row r="56" spans="1:18">
      <c r="A56" s="190">
        <v>54</v>
      </c>
      <c r="B56" s="206">
        <v>0</v>
      </c>
      <c r="C56" s="206">
        <v>89.629629629629619</v>
      </c>
      <c r="D56" s="206">
        <v>345.87765957446811</v>
      </c>
      <c r="F56" s="206">
        <v>0</v>
      </c>
      <c r="G56" s="206">
        <v>39.906525573192233</v>
      </c>
      <c r="H56" s="206">
        <v>190.59910859177785</v>
      </c>
      <c r="J56" s="218">
        <v>0</v>
      </c>
      <c r="K56" s="218">
        <v>39.906525573192233</v>
      </c>
      <c r="L56" s="218">
        <v>190.59910859177785</v>
      </c>
      <c r="N56" s="232">
        <f t="shared" si="1"/>
        <v>0</v>
      </c>
      <c r="O56" s="232">
        <f t="shared" si="2"/>
        <v>40</v>
      </c>
      <c r="P56" s="232">
        <f t="shared" si="3"/>
        <v>191</v>
      </c>
      <c r="Q56" s="232"/>
      <c r="R56" t="str">
        <f t="shared" si="4"/>
        <v>{0,40,191},</v>
      </c>
    </row>
    <row r="57" spans="1:18">
      <c r="A57" s="190">
        <v>55</v>
      </c>
      <c r="B57" s="206">
        <v>0</v>
      </c>
      <c r="C57" s="206">
        <v>67.5</v>
      </c>
      <c r="D57" s="206">
        <v>361.25</v>
      </c>
      <c r="F57" s="206">
        <v>0</v>
      </c>
      <c r="G57" s="206">
        <v>28.95560747663551</v>
      </c>
      <c r="H57" s="206">
        <v>199.07018008474577</v>
      </c>
      <c r="J57" s="218">
        <v>0</v>
      </c>
      <c r="K57" s="218">
        <v>28.95560747663551</v>
      </c>
      <c r="L57" s="218">
        <v>199.07018008474577</v>
      </c>
      <c r="N57" s="232">
        <f t="shared" si="1"/>
        <v>0</v>
      </c>
      <c r="O57" s="232">
        <f t="shared" si="2"/>
        <v>29</v>
      </c>
      <c r="P57" s="232">
        <f t="shared" si="3"/>
        <v>199</v>
      </c>
      <c r="Q57" s="232"/>
      <c r="R57" t="str">
        <f t="shared" si="4"/>
        <v>{0,29,199},</v>
      </c>
    </row>
    <row r="58" spans="1:18">
      <c r="A58" s="190">
        <v>56</v>
      </c>
      <c r="B58" s="206">
        <v>0</v>
      </c>
      <c r="C58" s="206">
        <v>45.794392523364486</v>
      </c>
      <c r="D58" s="206">
        <v>369.46022727272731</v>
      </c>
      <c r="F58" s="206">
        <v>0</v>
      </c>
      <c r="G58" s="206">
        <v>18.165109034267914</v>
      </c>
      <c r="H58" s="206">
        <v>201.8836241883117</v>
      </c>
      <c r="J58" s="218">
        <v>0</v>
      </c>
      <c r="K58" s="218">
        <v>18.165109034267914</v>
      </c>
      <c r="L58" s="218">
        <v>199</v>
      </c>
      <c r="N58" s="232">
        <f t="shared" si="1"/>
        <v>0</v>
      </c>
      <c r="O58" s="232">
        <f t="shared" si="2"/>
        <v>18</v>
      </c>
      <c r="P58" s="232">
        <f t="shared" si="3"/>
        <v>199</v>
      </c>
      <c r="Q58" s="232"/>
      <c r="R58" t="str">
        <f t="shared" si="4"/>
        <v>{0,18,199},</v>
      </c>
    </row>
    <row r="59" spans="1:18">
      <c r="A59" s="190">
        <v>57</v>
      </c>
      <c r="B59" s="206">
        <v>0</v>
      </c>
      <c r="C59" s="206">
        <v>26.881720430107524</v>
      </c>
      <c r="D59" s="206">
        <v>359.19540229885052</v>
      </c>
      <c r="F59" s="206">
        <v>0</v>
      </c>
      <c r="G59" s="206">
        <v>10.08064516129032</v>
      </c>
      <c r="H59" s="206">
        <v>187.6943188241944</v>
      </c>
      <c r="J59" s="218">
        <v>3</v>
      </c>
      <c r="K59" s="218">
        <v>10.08064516129032</v>
      </c>
      <c r="L59" s="218">
        <v>187.6943188241944</v>
      </c>
      <c r="N59" s="232">
        <f t="shared" si="1"/>
        <v>3</v>
      </c>
      <c r="O59" s="232">
        <f t="shared" si="2"/>
        <v>10</v>
      </c>
      <c r="P59" s="232">
        <f t="shared" si="3"/>
        <v>188</v>
      </c>
      <c r="Q59" s="232"/>
      <c r="R59" t="str">
        <f t="shared" si="4"/>
        <v>{3,10,188},</v>
      </c>
    </row>
    <row r="60" spans="1:18">
      <c r="A60" s="190">
        <v>58</v>
      </c>
      <c r="B60" s="206">
        <v>0</v>
      </c>
      <c r="C60" s="206">
        <v>19.753086419753085</v>
      </c>
      <c r="D60" s="206">
        <v>329.14285714285717</v>
      </c>
      <c r="F60" s="206">
        <v>0</v>
      </c>
      <c r="G60" s="206">
        <v>6.716049382716049</v>
      </c>
      <c r="H60" s="206">
        <v>168.56521219366405</v>
      </c>
      <c r="J60" s="218">
        <v>5</v>
      </c>
      <c r="K60" s="218">
        <v>6.716049382716049</v>
      </c>
      <c r="L60" s="218">
        <v>168.56521219366405</v>
      </c>
      <c r="N60" s="232">
        <f t="shared" si="1"/>
        <v>5</v>
      </c>
      <c r="O60" s="232">
        <f t="shared" si="2"/>
        <v>7</v>
      </c>
      <c r="P60" s="232">
        <f t="shared" si="3"/>
        <v>169</v>
      </c>
      <c r="Q60" s="232"/>
      <c r="R60" t="str">
        <f t="shared" si="4"/>
        <v>{5,7,169},</v>
      </c>
    </row>
    <row r="61" spans="1:18">
      <c r="A61" s="190">
        <v>59</v>
      </c>
      <c r="B61" s="206">
        <v>25.520833333333332</v>
      </c>
      <c r="C61" s="206">
        <v>13.043478260869565</v>
      </c>
      <c r="D61" s="206">
        <v>330.68862275449106</v>
      </c>
      <c r="F61" s="206">
        <v>7.5924479166666661</v>
      </c>
      <c r="G61" s="206">
        <v>5.3936545240893059</v>
      </c>
      <c r="H61" s="206">
        <v>185.20108148189607</v>
      </c>
      <c r="J61" s="218">
        <v>7.5924479166666661</v>
      </c>
      <c r="K61" s="218">
        <v>5.3936545240893059</v>
      </c>
      <c r="L61" s="218">
        <v>185.20108148189607</v>
      </c>
      <c r="N61" s="232">
        <f t="shared" si="1"/>
        <v>8</v>
      </c>
      <c r="O61" s="232">
        <f t="shared" si="2"/>
        <v>5</v>
      </c>
      <c r="P61" s="232">
        <f t="shared" si="3"/>
        <v>185</v>
      </c>
      <c r="Q61" s="232"/>
      <c r="R61" t="str">
        <f t="shared" si="4"/>
        <v>{8,5,185},</v>
      </c>
    </row>
    <row r="62" spans="1:18">
      <c r="A62" s="190">
        <v>60</v>
      </c>
      <c r="B62" s="206">
        <v>31.153846153846153</v>
      </c>
      <c r="C62" s="206">
        <v>7.0175438596491224</v>
      </c>
      <c r="D62" s="206">
        <v>310.58282208588957</v>
      </c>
      <c r="F62" s="206">
        <v>10.671354764638346</v>
      </c>
      <c r="G62" s="206">
        <v>0</v>
      </c>
      <c r="H62" s="206">
        <v>168.90700869362951</v>
      </c>
      <c r="J62" s="218">
        <v>10.671354764638346</v>
      </c>
      <c r="K62" s="218">
        <v>4</v>
      </c>
      <c r="L62" s="218">
        <v>168.90700869362951</v>
      </c>
      <c r="N62" s="232">
        <f t="shared" si="1"/>
        <v>11</v>
      </c>
      <c r="O62" s="232">
        <f t="shared" si="2"/>
        <v>4</v>
      </c>
      <c r="P62" s="232">
        <f t="shared" si="3"/>
        <v>169</v>
      </c>
      <c r="Q62" s="232"/>
      <c r="R62" t="str">
        <f t="shared" si="4"/>
        <v>{11,4,169},</v>
      </c>
    </row>
    <row r="63" spans="1:18">
      <c r="A63" s="190">
        <v>61</v>
      </c>
      <c r="B63" s="206">
        <v>34.223684210526315</v>
      </c>
      <c r="C63" s="206">
        <v>2.2727272727272725</v>
      </c>
      <c r="D63" s="206">
        <v>292.5632911392405</v>
      </c>
      <c r="F63" s="206">
        <v>11.868773684210526</v>
      </c>
      <c r="G63" s="206">
        <v>0</v>
      </c>
      <c r="H63" s="206">
        <v>157.25276898734177</v>
      </c>
      <c r="J63" s="218">
        <v>11.868773684210526</v>
      </c>
      <c r="K63" s="218">
        <v>3</v>
      </c>
      <c r="L63" s="218">
        <v>157.25276898734177</v>
      </c>
      <c r="N63" s="232">
        <f t="shared" si="1"/>
        <v>12</v>
      </c>
      <c r="O63" s="232">
        <f t="shared" si="2"/>
        <v>3</v>
      </c>
      <c r="P63" s="232">
        <f t="shared" si="3"/>
        <v>157</v>
      </c>
      <c r="Q63" s="232"/>
      <c r="R63" t="str">
        <f t="shared" si="4"/>
        <v>{12,3,157},</v>
      </c>
    </row>
    <row r="64" spans="1:18">
      <c r="A64" s="190">
        <v>62</v>
      </c>
      <c r="B64" s="206">
        <v>36.011904761904759</v>
      </c>
      <c r="C64" s="206">
        <v>1.0416666666666667</v>
      </c>
      <c r="D64" s="206">
        <v>262.65625</v>
      </c>
      <c r="F64" s="206">
        <v>12.626674107142854</v>
      </c>
      <c r="G64" s="206">
        <v>0</v>
      </c>
      <c r="H64" s="206">
        <v>143.77335569371726</v>
      </c>
      <c r="J64" s="218">
        <v>12.626674107142854</v>
      </c>
      <c r="K64" s="218">
        <v>2</v>
      </c>
      <c r="L64" s="218">
        <v>143.77335569371726</v>
      </c>
      <c r="N64" s="232">
        <f t="shared" si="1"/>
        <v>13</v>
      </c>
      <c r="O64" s="232">
        <f t="shared" si="2"/>
        <v>2</v>
      </c>
      <c r="P64" s="232">
        <f t="shared" si="3"/>
        <v>144</v>
      </c>
      <c r="Q64" s="232"/>
      <c r="R64" t="str">
        <f t="shared" si="4"/>
        <v>{13,2,144},</v>
      </c>
    </row>
    <row r="65" spans="1:18">
      <c r="A65" s="190">
        <v>63</v>
      </c>
      <c r="B65" s="206">
        <v>40</v>
      </c>
      <c r="C65" s="206">
        <v>0</v>
      </c>
      <c r="D65" s="206">
        <v>246.91558441558439</v>
      </c>
      <c r="F65" s="206">
        <v>14.746987951807228</v>
      </c>
      <c r="G65" s="206">
        <v>0</v>
      </c>
      <c r="H65" s="206">
        <v>135.66715397861805</v>
      </c>
      <c r="J65" s="218">
        <v>14.746987951807228</v>
      </c>
      <c r="K65" s="218">
        <v>1</v>
      </c>
      <c r="L65" s="218">
        <v>135.66715397861805</v>
      </c>
      <c r="N65" s="232">
        <f t="shared" si="1"/>
        <v>15</v>
      </c>
      <c r="O65" s="232">
        <f t="shared" si="2"/>
        <v>1</v>
      </c>
      <c r="P65" s="232">
        <f t="shared" si="3"/>
        <v>136</v>
      </c>
      <c r="Q65" s="232"/>
      <c r="R65" t="str">
        <f t="shared" si="4"/>
        <v>{15,1,136},</v>
      </c>
    </row>
    <row r="66" spans="1:18">
      <c r="A66" s="190">
        <v>64</v>
      </c>
      <c r="B66" s="206">
        <v>44.010416666666671</v>
      </c>
      <c r="C66" s="206">
        <v>0</v>
      </c>
      <c r="D66" s="206">
        <v>234.41558441558442</v>
      </c>
      <c r="F66" s="206">
        <v>16.964480377906977</v>
      </c>
      <c r="G66" s="206">
        <v>0</v>
      </c>
      <c r="H66" s="206">
        <v>129.06176210153484</v>
      </c>
      <c r="J66" s="218">
        <v>16.964480377906977</v>
      </c>
      <c r="K66" s="218">
        <v>0</v>
      </c>
      <c r="L66" s="218">
        <v>129.06176210153484</v>
      </c>
      <c r="N66" s="232">
        <f t="shared" si="1"/>
        <v>17</v>
      </c>
      <c r="O66" s="232">
        <f t="shared" si="2"/>
        <v>0</v>
      </c>
      <c r="P66" s="232">
        <f t="shared" si="3"/>
        <v>129</v>
      </c>
      <c r="Q66" s="232"/>
      <c r="R66" t="str">
        <f t="shared" si="4"/>
        <v>{17,0,129},</v>
      </c>
    </row>
  </sheetData>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8523A80FA0C1994D9CEFCE24AE43CB3D" ma:contentTypeVersion="3" ma:contentTypeDescription="새 문서를 만듭니다." ma:contentTypeScope="" ma:versionID="d8b979856a48dcd8ae3ec5fe57b2b9e2">
  <xsd:schema xmlns:xsd="http://www.w3.org/2001/XMLSchema" xmlns:xs="http://www.w3.org/2001/XMLSchema" xmlns:p="http://schemas.microsoft.com/office/2006/metadata/properties" xmlns:ns3="03b2d604-3c5a-4a44-a7a7-d00f855beb8b" targetNamespace="http://schemas.microsoft.com/office/2006/metadata/properties" ma:root="true" ma:fieldsID="9255c1d1e0cf4ca5b43efb5279f90d99" ns3:_="">
    <xsd:import namespace="03b2d604-3c5a-4a44-a7a7-d00f855beb8b"/>
    <xsd:element name="properties">
      <xsd:complexType>
        <xsd:sequence>
          <xsd:element name="documentManagement">
            <xsd:complexType>
              <xsd:all>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2d604-3c5a-4a44-a7a7-d00f855be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DC36CA-924B-45F2-AA96-0CC27AA490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b2d604-3c5a-4a44-a7a7-d00f855beb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D7D60E-6A44-482C-A032-7F69414C6794}">
  <ds:schemaRefs>
    <ds:schemaRef ds:uri="http://schemas.microsoft.com/sharepoint/v3/contenttype/forms"/>
  </ds:schemaRefs>
</ds:datastoreItem>
</file>

<file path=customXml/itemProps3.xml><?xml version="1.0" encoding="utf-8"?>
<ds:datastoreItem xmlns:ds="http://schemas.openxmlformats.org/officeDocument/2006/customXml" ds:itemID="{91F678A6-8DEA-4305-B4BF-3C529F9D6E37}">
  <ds:schemaRefs>
    <ds:schemaRef ds:uri="http://schemas.openxmlformats.org/package/2006/metadata/core-properties"/>
    <ds:schemaRef ds:uri="http://purl.org/dc/elements/1.1/"/>
    <ds:schemaRef ds:uri="http://schemas.microsoft.com/office/2006/documentManagement/types"/>
    <ds:schemaRef ds:uri="http://www.w3.org/XML/1998/namespace"/>
    <ds:schemaRef ds:uri="03b2d604-3c5a-4a44-a7a7-d00f855beb8b"/>
    <ds:schemaRef ds:uri="http://purl.org/dc/terms/"/>
    <ds:schemaRef ds:uri="http://schemas.microsoft.com/office/2006/metadata/properties"/>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전장LED_IC개발사양</vt:lpstr>
      <vt:lpstr>Basic</vt:lpstr>
      <vt:lpstr>고유색</vt:lpstr>
      <vt:lpstr>Delta E</vt:lpstr>
      <vt:lpstr>Delta E 계산방법</vt:lpstr>
      <vt:lpstr>보정 RGB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 Kim</dc:creator>
  <cp:lastModifiedBy>이 준영</cp:lastModifiedBy>
  <dcterms:created xsi:type="dcterms:W3CDTF">2015-06-05T18:17:20Z</dcterms:created>
  <dcterms:modified xsi:type="dcterms:W3CDTF">2024-11-15T00:46:12Z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0x0101008523A80FA0C1994D9CEFCE24AE43CB3D</vt:lpwstr>
  </property>
  <property fmtid="{D5CDD505-2E9C-101B-9397-08002B2CF9AE}" pid="3" name="MSIP_Label_c6d9a7a2-a2c9-479c-a560-d79de4b6971b_Enabled">
    <vt:lpwstr>true</vt:lpwstr>
  </property>
  <property fmtid="{D5CDD505-2E9C-101B-9397-08002B2CF9AE}" pid="4" name="MSIP_Label_c6d9a7a2-a2c9-479c-a560-d79de4b6971b_SetDate">
    <vt:lpwstr>2023-08-16T01:29:27Z</vt:lpwstr>
  </property>
  <property fmtid="{D5CDD505-2E9C-101B-9397-08002B2CF9AE}" pid="5" name="MSIP_Label_c6d9a7a2-a2c9-479c-a560-d79de4b6971b_Method">
    <vt:lpwstr>Privileged</vt:lpwstr>
  </property>
  <property fmtid="{D5CDD505-2E9C-101B-9397-08002B2CF9AE}" pid="6" name="MSIP_Label_c6d9a7a2-a2c9-479c-a560-d79de4b6971b_Name">
    <vt:lpwstr>사외 정책</vt:lpwstr>
  </property>
  <property fmtid="{D5CDD505-2E9C-101B-9397-08002B2CF9AE}" pid="7" name="MSIP_Label_c6d9a7a2-a2c9-479c-a560-d79de4b6971b_SiteId">
    <vt:lpwstr>7cf932c0-bced-4490-b11f-48d23b1fe0d9</vt:lpwstr>
  </property>
  <property fmtid="{D5CDD505-2E9C-101B-9397-08002B2CF9AE}" pid="8" name="MSIP_Label_c6d9a7a2-a2c9-479c-a560-d79de4b6971b_ActionId">
    <vt:lpwstr>02145de5-ba15-4052-84eb-a1efb1b08fbe</vt:lpwstr>
  </property>
  <property fmtid="{D5CDD505-2E9C-101B-9397-08002B2CF9AE}" pid="9" name="MSIP_Label_c6d9a7a2-a2c9-479c-a560-d79de4b6971b_ContentBits">
    <vt:lpwstr>6</vt:lpwstr>
  </property>
</Properties>
</file>