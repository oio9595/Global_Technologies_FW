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working\01_Project\Jig\SAL_JIG\SAL_JIG_ES0\측정자료\color_debug\"/>
    </mc:Choice>
  </mc:AlternateContent>
  <xr:revisionPtr revIDLastSave="0" documentId="13_ncr:1_{6892C309-DE64-492C-911A-005D300D5D43}" xr6:coauthVersionLast="47" xr6:coauthVersionMax="47" xr10:uidLastSave="{00000000-0000-0000-0000-000000000000}"/>
  <bookViews>
    <workbookView xWindow="43080" yWindow="4095" windowWidth="29040" windowHeight="15720" activeTab="1" xr2:uid="{00000000-000D-0000-FFFF-FFFF00000000}"/>
  </bookViews>
  <sheets>
    <sheet name="전문가색상 54색" sheetId="1" r:id="rId1"/>
    <sheet name="커스텀컬러 64색" sheetId="2" r:id="rId2"/>
    <sheet name="Sheet1" sheetId="7" r:id="rId3"/>
    <sheet name="Sheet2" sheetId="8" r:id="rId4"/>
    <sheet name="최종보정값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5" l="1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" i="5"/>
  <c r="H54" i="5"/>
  <c r="H5" i="8"/>
  <c r="AR14" i="8" s="1"/>
  <c r="I5" i="8"/>
  <c r="AS14" i="8" s="1"/>
  <c r="H6" i="8"/>
  <c r="I6" i="8"/>
  <c r="H7" i="8"/>
  <c r="I7" i="8"/>
  <c r="H8" i="8"/>
  <c r="I8" i="8"/>
  <c r="H9" i="8"/>
  <c r="I9" i="8"/>
  <c r="H10" i="8"/>
  <c r="I10" i="8"/>
  <c r="H11" i="8"/>
  <c r="I11" i="8"/>
  <c r="H12" i="8"/>
  <c r="I12" i="8"/>
  <c r="H13" i="8"/>
  <c r="I13" i="8"/>
  <c r="Q4" i="8"/>
  <c r="R4" i="8"/>
  <c r="Q5" i="8"/>
  <c r="R5" i="8"/>
  <c r="Q6" i="8"/>
  <c r="R6" i="8"/>
  <c r="Q7" i="8"/>
  <c r="R7" i="8"/>
  <c r="Q8" i="8"/>
  <c r="R8" i="8"/>
  <c r="Q9" i="8"/>
  <c r="R9" i="8"/>
  <c r="Q10" i="8"/>
  <c r="R10" i="8"/>
  <c r="Q11" i="8"/>
  <c r="R11" i="8"/>
  <c r="Q12" i="8"/>
  <c r="R12" i="8"/>
  <c r="Q13" i="8"/>
  <c r="R13" i="8"/>
  <c r="Z4" i="8"/>
  <c r="AA4" i="8"/>
  <c r="Z5" i="8"/>
  <c r="AA5" i="8"/>
  <c r="Z6" i="8"/>
  <c r="AA6" i="8"/>
  <c r="Z7" i="8"/>
  <c r="AA7" i="8"/>
  <c r="Z8" i="8"/>
  <c r="AA8" i="8"/>
  <c r="Z9" i="8"/>
  <c r="AA9" i="8"/>
  <c r="Z10" i="8"/>
  <c r="AA10" i="8"/>
  <c r="Z11" i="8"/>
  <c r="AA11" i="8"/>
  <c r="Z12" i="8"/>
  <c r="AA12" i="8"/>
  <c r="Z13" i="8"/>
  <c r="AA13" i="8"/>
  <c r="AI4" i="8"/>
  <c r="AJ4" i="8"/>
  <c r="AI5" i="8"/>
  <c r="AJ5" i="8"/>
  <c r="AI6" i="8"/>
  <c r="AJ6" i="8"/>
  <c r="AI7" i="8"/>
  <c r="AJ7" i="8"/>
  <c r="AI8" i="8"/>
  <c r="AJ8" i="8"/>
  <c r="AI9" i="8"/>
  <c r="AJ9" i="8"/>
  <c r="AI10" i="8"/>
  <c r="AJ10" i="8"/>
  <c r="AI11" i="8"/>
  <c r="AJ11" i="8"/>
  <c r="AI12" i="8"/>
  <c r="AJ12" i="8"/>
  <c r="AI13" i="8"/>
  <c r="AJ13" i="8"/>
  <c r="AI14" i="8"/>
  <c r="AJ14" i="8"/>
  <c r="AI15" i="8"/>
  <c r="AJ15" i="8"/>
  <c r="AR4" i="8"/>
  <c r="AS4" i="8"/>
  <c r="AR5" i="8"/>
  <c r="AS5" i="8"/>
  <c r="AR6" i="8"/>
  <c r="AS6" i="8"/>
  <c r="AR7" i="8"/>
  <c r="AS7" i="8"/>
  <c r="AR8" i="8"/>
  <c r="AS8" i="8"/>
  <c r="AR9" i="8"/>
  <c r="AS9" i="8"/>
  <c r="AR10" i="8"/>
  <c r="AS10" i="8"/>
  <c r="AR11" i="8"/>
  <c r="AS11" i="8"/>
  <c r="AR12" i="8"/>
  <c r="AS12" i="8"/>
  <c r="I4" i="8"/>
  <c r="H4" i="8"/>
  <c r="AJ21" i="7"/>
  <c r="AK21" i="7"/>
  <c r="AI21" i="7"/>
  <c r="H6" i="7"/>
  <c r="I6" i="7"/>
  <c r="H7" i="7"/>
  <c r="I7" i="7"/>
  <c r="H8" i="7"/>
  <c r="I8" i="7"/>
  <c r="H9" i="7"/>
  <c r="I9" i="7"/>
  <c r="H10" i="7"/>
  <c r="I10" i="7"/>
  <c r="J10" i="7" s="1"/>
  <c r="H11" i="7"/>
  <c r="I11" i="7"/>
  <c r="H12" i="7"/>
  <c r="I12" i="7"/>
  <c r="H13" i="7"/>
  <c r="I13" i="7"/>
  <c r="H14" i="7"/>
  <c r="I14" i="7"/>
  <c r="H15" i="7"/>
  <c r="I15" i="7"/>
  <c r="H16" i="7"/>
  <c r="I16" i="7"/>
  <c r="H17" i="7"/>
  <c r="I17" i="7"/>
  <c r="H18" i="7"/>
  <c r="I18" i="7"/>
  <c r="H19" i="7"/>
  <c r="I19" i="7"/>
  <c r="H20" i="7"/>
  <c r="I20" i="7"/>
  <c r="Q5" i="7"/>
  <c r="R5" i="7"/>
  <c r="S5" i="7" s="1"/>
  <c r="Q6" i="7"/>
  <c r="R6" i="7"/>
  <c r="Q7" i="7"/>
  <c r="R7" i="7"/>
  <c r="Q8" i="7"/>
  <c r="R8" i="7"/>
  <c r="Q9" i="7"/>
  <c r="S9" i="7" s="1"/>
  <c r="R9" i="7"/>
  <c r="Q10" i="7"/>
  <c r="R10" i="7"/>
  <c r="Q11" i="7"/>
  <c r="R11" i="7"/>
  <c r="Q12" i="7"/>
  <c r="R12" i="7"/>
  <c r="Q13" i="7"/>
  <c r="R13" i="7"/>
  <c r="Q14" i="7"/>
  <c r="R14" i="7"/>
  <c r="Q15" i="7"/>
  <c r="R15" i="7"/>
  <c r="Q16" i="7"/>
  <c r="R16" i="7"/>
  <c r="Q17" i="7"/>
  <c r="S17" i="7" s="1"/>
  <c r="R17" i="7"/>
  <c r="Q18" i="7"/>
  <c r="R18" i="7"/>
  <c r="Q19" i="7"/>
  <c r="R19" i="7"/>
  <c r="S19" i="7"/>
  <c r="Q20" i="7"/>
  <c r="R20" i="7"/>
  <c r="Z5" i="7"/>
  <c r="AA5" i="7"/>
  <c r="Z6" i="7"/>
  <c r="AA6" i="7"/>
  <c r="Z7" i="7"/>
  <c r="AA7" i="7"/>
  <c r="Z8" i="7"/>
  <c r="AA8" i="7"/>
  <c r="Z9" i="7"/>
  <c r="AA9" i="7"/>
  <c r="Z10" i="7"/>
  <c r="AA10" i="7"/>
  <c r="Z11" i="7"/>
  <c r="AA11" i="7"/>
  <c r="Z12" i="7"/>
  <c r="AA12" i="7"/>
  <c r="Z13" i="7"/>
  <c r="AA13" i="7"/>
  <c r="Z14" i="7"/>
  <c r="AA14" i="7"/>
  <c r="Z15" i="7"/>
  <c r="AA15" i="7"/>
  <c r="Z16" i="7"/>
  <c r="AA16" i="7"/>
  <c r="Z17" i="7"/>
  <c r="AA17" i="7"/>
  <c r="Z18" i="7"/>
  <c r="AA18" i="7"/>
  <c r="Z19" i="7"/>
  <c r="AA19" i="7"/>
  <c r="Z20" i="7"/>
  <c r="AA20" i="7"/>
  <c r="AI5" i="7"/>
  <c r="AJ5" i="7"/>
  <c r="AI6" i="7"/>
  <c r="AJ6" i="7"/>
  <c r="AI7" i="7"/>
  <c r="AJ7" i="7"/>
  <c r="AI8" i="7"/>
  <c r="AJ8" i="7"/>
  <c r="AI9" i="7"/>
  <c r="AJ9" i="7"/>
  <c r="AI10" i="7"/>
  <c r="AJ10" i="7"/>
  <c r="AI11" i="7"/>
  <c r="AJ11" i="7"/>
  <c r="AI12" i="7"/>
  <c r="AK12" i="7" s="1"/>
  <c r="AJ12" i="7"/>
  <c r="AI13" i="7"/>
  <c r="AJ13" i="7"/>
  <c r="AI14" i="7"/>
  <c r="AJ14" i="7"/>
  <c r="AI15" i="7"/>
  <c r="AJ15" i="7"/>
  <c r="AI16" i="7"/>
  <c r="AJ16" i="7"/>
  <c r="AI17" i="7"/>
  <c r="AJ17" i="7"/>
  <c r="AI18" i="7"/>
  <c r="AJ18" i="7"/>
  <c r="AI19" i="7"/>
  <c r="AJ19" i="7"/>
  <c r="AI20" i="7"/>
  <c r="AJ20" i="7"/>
  <c r="I5" i="7"/>
  <c r="H5" i="7"/>
  <c r="W68" i="2"/>
  <c r="W67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4" i="2"/>
  <c r="U5" i="2"/>
  <c r="V5" i="2"/>
  <c r="U6" i="2"/>
  <c r="V6" i="2"/>
  <c r="U7" i="2"/>
  <c r="V7" i="2"/>
  <c r="U8" i="2"/>
  <c r="V8" i="2"/>
  <c r="U9" i="2"/>
  <c r="V9" i="2"/>
  <c r="U10" i="2"/>
  <c r="V10" i="2"/>
  <c r="U11" i="2"/>
  <c r="V11" i="2"/>
  <c r="U12" i="2"/>
  <c r="V12" i="2"/>
  <c r="U13" i="2"/>
  <c r="V13" i="2"/>
  <c r="U14" i="2"/>
  <c r="V14" i="2"/>
  <c r="U15" i="2"/>
  <c r="V15" i="2"/>
  <c r="U16" i="2"/>
  <c r="V16" i="2"/>
  <c r="U17" i="2"/>
  <c r="V17" i="2"/>
  <c r="U18" i="2"/>
  <c r="V18" i="2"/>
  <c r="U19" i="2"/>
  <c r="V19" i="2"/>
  <c r="U20" i="2"/>
  <c r="V20" i="2"/>
  <c r="U21" i="2"/>
  <c r="V21" i="2"/>
  <c r="U22" i="2"/>
  <c r="V22" i="2"/>
  <c r="U23" i="2"/>
  <c r="V23" i="2"/>
  <c r="U24" i="2"/>
  <c r="V24" i="2"/>
  <c r="U25" i="2"/>
  <c r="V25" i="2"/>
  <c r="U26" i="2"/>
  <c r="V26" i="2"/>
  <c r="U27" i="2"/>
  <c r="V27" i="2"/>
  <c r="U28" i="2"/>
  <c r="V28" i="2"/>
  <c r="U29" i="2"/>
  <c r="V29" i="2"/>
  <c r="U30" i="2"/>
  <c r="V30" i="2"/>
  <c r="U31" i="2"/>
  <c r="V31" i="2"/>
  <c r="U32" i="2"/>
  <c r="V32" i="2"/>
  <c r="U33" i="2"/>
  <c r="V33" i="2"/>
  <c r="U34" i="2"/>
  <c r="V34" i="2"/>
  <c r="U35" i="2"/>
  <c r="V35" i="2"/>
  <c r="U36" i="2"/>
  <c r="V36" i="2"/>
  <c r="U37" i="2"/>
  <c r="V37" i="2"/>
  <c r="U38" i="2"/>
  <c r="V38" i="2"/>
  <c r="U39" i="2"/>
  <c r="V39" i="2"/>
  <c r="U40" i="2"/>
  <c r="V40" i="2"/>
  <c r="U41" i="2"/>
  <c r="V41" i="2"/>
  <c r="U42" i="2"/>
  <c r="V42" i="2"/>
  <c r="U43" i="2"/>
  <c r="V43" i="2"/>
  <c r="U44" i="2"/>
  <c r="V44" i="2"/>
  <c r="U45" i="2"/>
  <c r="V45" i="2"/>
  <c r="U46" i="2"/>
  <c r="V46" i="2"/>
  <c r="U47" i="2"/>
  <c r="V47" i="2"/>
  <c r="U48" i="2"/>
  <c r="V48" i="2"/>
  <c r="U49" i="2"/>
  <c r="V49" i="2"/>
  <c r="U50" i="2"/>
  <c r="V50" i="2"/>
  <c r="U51" i="2"/>
  <c r="V51" i="2"/>
  <c r="U52" i="2"/>
  <c r="V52" i="2"/>
  <c r="U53" i="2"/>
  <c r="V53" i="2"/>
  <c r="U54" i="2"/>
  <c r="V54" i="2"/>
  <c r="U55" i="2"/>
  <c r="V55" i="2"/>
  <c r="U56" i="2"/>
  <c r="V56" i="2"/>
  <c r="U57" i="2"/>
  <c r="V57" i="2"/>
  <c r="U58" i="2"/>
  <c r="V58" i="2"/>
  <c r="U59" i="2"/>
  <c r="V59" i="2"/>
  <c r="U60" i="2"/>
  <c r="V60" i="2"/>
  <c r="U61" i="2"/>
  <c r="V61" i="2"/>
  <c r="U62" i="2"/>
  <c r="V62" i="2"/>
  <c r="U63" i="2"/>
  <c r="V63" i="2"/>
  <c r="U64" i="2"/>
  <c r="V64" i="2"/>
  <c r="U65" i="2"/>
  <c r="V65" i="2"/>
  <c r="U66" i="2"/>
  <c r="V66" i="2"/>
  <c r="U67" i="2"/>
  <c r="V67" i="2"/>
  <c r="V4" i="2"/>
  <c r="U4" i="2"/>
  <c r="Z55" i="1"/>
  <c r="Y55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4" i="1"/>
  <c r="W5" i="1"/>
  <c r="X5" i="1"/>
  <c r="W6" i="1"/>
  <c r="X6" i="1"/>
  <c r="W7" i="1"/>
  <c r="X7" i="1"/>
  <c r="W8" i="1"/>
  <c r="X8" i="1"/>
  <c r="W9" i="1"/>
  <c r="X9" i="1"/>
  <c r="W10" i="1"/>
  <c r="X10" i="1"/>
  <c r="W11" i="1"/>
  <c r="X11" i="1"/>
  <c r="W12" i="1"/>
  <c r="X12" i="1"/>
  <c r="W13" i="1"/>
  <c r="X13" i="1"/>
  <c r="W14" i="1"/>
  <c r="X14" i="1"/>
  <c r="W15" i="1"/>
  <c r="X15" i="1"/>
  <c r="W16" i="1"/>
  <c r="X16" i="1"/>
  <c r="W17" i="1"/>
  <c r="X17" i="1"/>
  <c r="W18" i="1"/>
  <c r="X18" i="1"/>
  <c r="W19" i="1"/>
  <c r="X19" i="1"/>
  <c r="W20" i="1"/>
  <c r="X20" i="1"/>
  <c r="W21" i="1"/>
  <c r="X21" i="1"/>
  <c r="W22" i="1"/>
  <c r="X22" i="1"/>
  <c r="W23" i="1"/>
  <c r="X23" i="1"/>
  <c r="W24" i="1"/>
  <c r="X24" i="1"/>
  <c r="W25" i="1"/>
  <c r="X25" i="1"/>
  <c r="W26" i="1"/>
  <c r="X26" i="1"/>
  <c r="W27" i="1"/>
  <c r="X27" i="1"/>
  <c r="W28" i="1"/>
  <c r="X28" i="1"/>
  <c r="W29" i="1"/>
  <c r="X29" i="1"/>
  <c r="W30" i="1"/>
  <c r="X30" i="1"/>
  <c r="W31" i="1"/>
  <c r="X31" i="1"/>
  <c r="W32" i="1"/>
  <c r="X32" i="1"/>
  <c r="W33" i="1"/>
  <c r="X33" i="1"/>
  <c r="W34" i="1"/>
  <c r="X34" i="1"/>
  <c r="W35" i="1"/>
  <c r="X35" i="1"/>
  <c r="W36" i="1"/>
  <c r="X36" i="1"/>
  <c r="W37" i="1"/>
  <c r="X37" i="1"/>
  <c r="W38" i="1"/>
  <c r="X38" i="1"/>
  <c r="W39" i="1"/>
  <c r="X39" i="1"/>
  <c r="W40" i="1"/>
  <c r="X40" i="1"/>
  <c r="W41" i="1"/>
  <c r="X41" i="1"/>
  <c r="W42" i="1"/>
  <c r="X42" i="1"/>
  <c r="W43" i="1"/>
  <c r="X43" i="1"/>
  <c r="W44" i="1"/>
  <c r="X44" i="1"/>
  <c r="W45" i="1"/>
  <c r="X45" i="1"/>
  <c r="W46" i="1"/>
  <c r="X46" i="1"/>
  <c r="W47" i="1"/>
  <c r="X47" i="1"/>
  <c r="W48" i="1"/>
  <c r="X48" i="1"/>
  <c r="W49" i="1"/>
  <c r="X49" i="1"/>
  <c r="W50" i="1"/>
  <c r="X50" i="1"/>
  <c r="W51" i="1"/>
  <c r="X51" i="1"/>
  <c r="W52" i="1"/>
  <c r="X52" i="1"/>
  <c r="W53" i="1"/>
  <c r="X53" i="1"/>
  <c r="W54" i="1"/>
  <c r="X54" i="1"/>
  <c r="X4" i="1"/>
  <c r="W4" i="1"/>
  <c r="U53" i="1"/>
  <c r="AK9" i="8" l="1"/>
  <c r="AT5" i="8"/>
  <c r="S13" i="8"/>
  <c r="S5" i="8"/>
  <c r="AB11" i="8"/>
  <c r="J7" i="8"/>
  <c r="S6" i="8"/>
  <c r="AT11" i="8"/>
  <c r="AK10" i="8"/>
  <c r="AB12" i="8"/>
  <c r="AB4" i="8"/>
  <c r="AK13" i="8"/>
  <c r="J13" i="8"/>
  <c r="J5" i="8"/>
  <c r="AK5" i="8"/>
  <c r="AK4" i="8"/>
  <c r="AB10" i="8"/>
  <c r="AT8" i="8"/>
  <c r="J11" i="8"/>
  <c r="AK8" i="8"/>
  <c r="AT4" i="8"/>
  <c r="J9" i="8"/>
  <c r="S7" i="8"/>
  <c r="AB5" i="8"/>
  <c r="AT7" i="8"/>
  <c r="S10" i="8"/>
  <c r="AB8" i="8"/>
  <c r="AK6" i="8"/>
  <c r="AT10" i="8"/>
  <c r="AT12" i="8"/>
  <c r="S4" i="8"/>
  <c r="S8" i="8"/>
  <c r="AB7" i="8"/>
  <c r="AT6" i="8"/>
  <c r="AT9" i="8"/>
  <c r="S11" i="8"/>
  <c r="AB9" i="8"/>
  <c r="J6" i="8"/>
  <c r="S9" i="8"/>
  <c r="AK12" i="8"/>
  <c r="AK14" i="8"/>
  <c r="S12" i="8"/>
  <c r="J10" i="8"/>
  <c r="J8" i="8"/>
  <c r="AK7" i="8"/>
  <c r="AK15" i="8"/>
  <c r="J4" i="8"/>
  <c r="J12" i="8"/>
  <c r="AB6" i="8"/>
  <c r="AB13" i="8"/>
  <c r="AK11" i="8"/>
  <c r="AB15" i="7"/>
  <c r="S16" i="7"/>
  <c r="AB5" i="7"/>
  <c r="S20" i="7"/>
  <c r="S13" i="7"/>
  <c r="S6" i="7"/>
  <c r="AB14" i="7"/>
  <c r="AB12" i="7"/>
  <c r="S18" i="7"/>
  <c r="J11" i="7"/>
  <c r="AB19" i="7"/>
  <c r="AK9" i="7"/>
  <c r="AK11" i="7"/>
  <c r="AB16" i="7"/>
  <c r="J16" i="7"/>
  <c r="J8" i="7"/>
  <c r="S14" i="7"/>
  <c r="AK16" i="7"/>
  <c r="AK7" i="7"/>
  <c r="J17" i="7"/>
  <c r="J7" i="7"/>
  <c r="J12" i="7"/>
  <c r="J19" i="7"/>
  <c r="AK17" i="7"/>
  <c r="AK15" i="7"/>
  <c r="AB9" i="7"/>
  <c r="AK10" i="7"/>
  <c r="J9" i="7"/>
  <c r="AK6" i="7"/>
  <c r="J15" i="7"/>
  <c r="AB20" i="7"/>
  <c r="AK13" i="7"/>
  <c r="AB8" i="7"/>
  <c r="AK19" i="7"/>
  <c r="AK5" i="7"/>
  <c r="S10" i="7"/>
  <c r="S8" i="7"/>
  <c r="AK20" i="7"/>
  <c r="AB6" i="7"/>
  <c r="S15" i="7"/>
  <c r="J14" i="7"/>
  <c r="J6" i="7"/>
  <c r="AB11" i="7"/>
  <c r="S12" i="7"/>
  <c r="AK8" i="7"/>
  <c r="AB17" i="7"/>
  <c r="AB10" i="7"/>
  <c r="S11" i="7"/>
  <c r="J20" i="7"/>
  <c r="AK14" i="7"/>
  <c r="S7" i="7"/>
  <c r="AB13" i="7"/>
  <c r="AB7" i="7"/>
  <c r="AB18" i="7"/>
  <c r="AK18" i="7"/>
  <c r="J13" i="7"/>
  <c r="J18" i="7"/>
  <c r="J5" i="7"/>
  <c r="AT14" i="8" l="1"/>
</calcChain>
</file>

<file path=xl/sharedStrings.xml><?xml version="1.0" encoding="utf-8"?>
<sst xmlns="http://schemas.openxmlformats.org/spreadsheetml/2006/main" count="197" uniqueCount="44">
  <si>
    <t>Cx</t>
    <phoneticPr fontId="6" type="noConversion"/>
  </si>
  <si>
    <t>Cy</t>
    <phoneticPr fontId="6" type="noConversion"/>
  </si>
  <si>
    <t>R</t>
    <phoneticPr fontId="11" type="noConversion"/>
  </si>
  <si>
    <t>G</t>
    <phoneticPr fontId="11" type="noConversion"/>
  </si>
  <si>
    <t>B</t>
    <phoneticPr fontId="11" type="noConversion"/>
  </si>
  <si>
    <t>목표 색좌표</t>
    <phoneticPr fontId="6" type="noConversion"/>
  </si>
  <si>
    <t>color</t>
    <phoneticPr fontId="6" type="noConversion"/>
  </si>
  <si>
    <t>현대</t>
    <phoneticPr fontId="6" type="noConversion"/>
  </si>
  <si>
    <t>기아</t>
    <phoneticPr fontId="6" type="noConversion"/>
  </si>
  <si>
    <t>제네시스</t>
    <phoneticPr fontId="6" type="noConversion"/>
  </si>
  <si>
    <t>듀얼칼라</t>
    <phoneticPr fontId="6" type="noConversion"/>
  </si>
  <si>
    <t>드라이브모드 연동</t>
    <phoneticPr fontId="6" type="noConversion"/>
  </si>
  <si>
    <t>원본 RGB값</t>
    <phoneticPr fontId="6" type="noConversion"/>
  </si>
  <si>
    <t>Y</t>
    <phoneticPr fontId="6" type="noConversion"/>
  </si>
  <si>
    <t>보정 후 실측 데이터</t>
    <phoneticPr fontId="6" type="noConversion"/>
  </si>
  <si>
    <t>번호</t>
    <phoneticPr fontId="6" type="noConversion"/>
  </si>
  <si>
    <t>보정후 실측 좌표</t>
    <phoneticPr fontId="6" type="noConversion"/>
  </si>
  <si>
    <t>보정 RGB값</t>
    <phoneticPr fontId="6" type="noConversion"/>
  </si>
  <si>
    <t>최종보정값</t>
    <phoneticPr fontId="6" type="noConversion"/>
  </si>
  <si>
    <t>전문가 칼라</t>
    <phoneticPr fontId="6" type="noConversion"/>
  </si>
  <si>
    <t>커스텀 칼라</t>
    <phoneticPr fontId="6" type="noConversion"/>
  </si>
  <si>
    <t>2025-01-06(최종버전)</t>
    <phoneticPr fontId="6" type="noConversion"/>
  </si>
  <si>
    <t>R</t>
    <phoneticPr fontId="6" type="noConversion"/>
  </si>
  <si>
    <t>G</t>
    <phoneticPr fontId="6" type="noConversion"/>
  </si>
  <si>
    <t>B</t>
    <phoneticPr fontId="6" type="noConversion"/>
  </si>
  <si>
    <r>
      <rPr>
        <sz val="11"/>
        <color theme="1"/>
        <rFont val="Calibri"/>
        <family val="3"/>
        <charset val="161"/>
      </rPr>
      <t>Δ</t>
    </r>
    <r>
      <rPr>
        <sz val="12.1"/>
        <color theme="1"/>
        <rFont val="Calibri"/>
        <family val="3"/>
      </rPr>
      <t>Cx</t>
    </r>
    <phoneticPr fontId="6" type="noConversion"/>
  </si>
  <si>
    <r>
      <t>Δ</t>
    </r>
    <r>
      <rPr>
        <sz val="11"/>
        <color theme="1"/>
        <rFont val="맑은 고딕"/>
        <family val="3"/>
        <charset val="129"/>
      </rPr>
      <t>Cy</t>
    </r>
    <phoneticPr fontId="6" type="noConversion"/>
  </si>
  <si>
    <t xml:space="preserve"> - </t>
    <phoneticPr fontId="6" type="noConversion"/>
  </si>
  <si>
    <t xml:space="preserve"> -</t>
    <phoneticPr fontId="6" type="noConversion"/>
  </si>
  <si>
    <t>a</t>
    <phoneticPr fontId="6" type="noConversion"/>
  </si>
  <si>
    <t>a'</t>
    <phoneticPr fontId="6" type="noConversion"/>
  </si>
  <si>
    <r>
      <t>Δ</t>
    </r>
    <r>
      <rPr>
        <sz val="11"/>
        <rFont val="맑은 고딕"/>
        <family val="3"/>
        <charset val="129"/>
      </rPr>
      <t>Cx</t>
    </r>
    <phoneticPr fontId="6" type="noConversion"/>
  </si>
  <si>
    <r>
      <t>Δ</t>
    </r>
    <r>
      <rPr>
        <sz val="11"/>
        <rFont val="맑은 고딕"/>
        <family val="3"/>
        <charset val="129"/>
      </rPr>
      <t>C</t>
    </r>
    <r>
      <rPr>
        <sz val="11"/>
        <rFont val="Calibri"/>
        <family val="3"/>
      </rPr>
      <t>y</t>
    </r>
    <phoneticPr fontId="6" type="noConversion"/>
  </si>
  <si>
    <r>
      <t>Δ</t>
    </r>
    <r>
      <rPr>
        <sz val="11"/>
        <rFont val="맑은 고딕"/>
        <family val="3"/>
        <charset val="129"/>
      </rPr>
      <t>a</t>
    </r>
    <phoneticPr fontId="6" type="noConversion"/>
  </si>
  <si>
    <t>목표 좌표와의 거리 편차</t>
    <phoneticPr fontId="6" type="noConversion"/>
  </si>
  <si>
    <t>평균편차</t>
    <phoneticPr fontId="6" type="noConversion"/>
  </si>
  <si>
    <t>보정 색좌표</t>
    <phoneticPr fontId="6" type="noConversion"/>
  </si>
  <si>
    <t>드라이브모드연동</t>
    <phoneticPr fontId="6" type="noConversion"/>
  </si>
  <si>
    <t>보정색좌표</t>
    <phoneticPr fontId="6" type="noConversion"/>
  </si>
  <si>
    <t>목표좌표와의 거리편차</t>
    <phoneticPr fontId="6" type="noConversion"/>
  </si>
  <si>
    <r>
      <t>Δ</t>
    </r>
    <r>
      <rPr>
        <sz val="10"/>
        <color theme="1"/>
        <rFont val="Calibri"/>
        <family val="3"/>
      </rPr>
      <t>Cx</t>
    </r>
    <phoneticPr fontId="6" type="noConversion"/>
  </si>
  <si>
    <r>
      <t>Δ</t>
    </r>
    <r>
      <rPr>
        <sz val="10"/>
        <color theme="1"/>
        <rFont val="맑은 고딕"/>
        <family val="3"/>
        <charset val="129"/>
      </rPr>
      <t>Cy</t>
    </r>
    <phoneticPr fontId="6" type="noConversion"/>
  </si>
  <si>
    <r>
      <rPr>
        <sz val="10"/>
        <color theme="1"/>
        <rFont val="Calibri"/>
        <family val="2"/>
        <charset val="161"/>
      </rPr>
      <t>Δ</t>
    </r>
    <r>
      <rPr>
        <sz val="10"/>
        <color theme="1"/>
        <rFont val="맑은 고딕"/>
        <family val="2"/>
        <scheme val="minor"/>
      </rPr>
      <t>a</t>
    </r>
    <phoneticPr fontId="6" type="noConversion"/>
  </si>
  <si>
    <t>취합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</si>
</sst>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0_ "/>
    <numFmt numFmtId="178" formatCode="0.0000_ "/>
    <numFmt numFmtId="179" formatCode="0.0000"/>
  </numFmts>
  <fonts count="5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name val="현대하모니 L"/>
      <family val="1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ajor"/>
    </font>
    <font>
      <sz val="11"/>
      <color theme="1"/>
      <name val="맑은 고딕"/>
      <family val="3"/>
      <charset val="129"/>
    </font>
    <font>
      <sz val="11"/>
      <color theme="1"/>
      <name val="Calibri"/>
      <family val="3"/>
      <charset val="161"/>
    </font>
    <font>
      <sz val="12.1"/>
      <color theme="1"/>
      <name val="Calibri"/>
      <family val="3"/>
    </font>
    <font>
      <sz val="11"/>
      <name val="Calibri"/>
      <family val="3"/>
      <charset val="161"/>
    </font>
    <font>
      <sz val="11"/>
      <name val="맑은 고딕"/>
      <family val="3"/>
      <charset val="129"/>
    </font>
    <font>
      <sz val="11"/>
      <name val="Calibri"/>
      <family val="3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Calibri"/>
      <family val="3"/>
      <charset val="161"/>
    </font>
    <font>
      <sz val="10"/>
      <color theme="1"/>
      <name val="Calibri"/>
      <family val="3"/>
    </font>
    <font>
      <sz val="10"/>
      <color theme="1"/>
      <name val="맑은 고딕"/>
      <family val="2"/>
      <charset val="161"/>
      <scheme val="minor"/>
    </font>
    <font>
      <sz val="10"/>
      <color theme="1"/>
      <name val="Calibri"/>
      <family val="2"/>
      <charset val="161"/>
    </font>
    <font>
      <sz val="10"/>
      <name val="맑은 고딕"/>
      <family val="3"/>
      <charset val="129"/>
      <scheme val="minor"/>
    </font>
    <font>
      <sz val="10"/>
      <name val="현대하모니 L"/>
      <family val="1"/>
      <charset val="129"/>
    </font>
    <font>
      <sz val="10"/>
      <color rgb="FFFF0000"/>
      <name val="맑은 고딕"/>
      <family val="3"/>
      <charset val="129"/>
      <scheme val="major"/>
    </font>
  </fonts>
  <fills count="141">
    <fill>
      <patternFill patternType="none"/>
    </fill>
    <fill>
      <patternFill patternType="gray125"/>
    </fill>
    <fill>
      <patternFill patternType="solid">
        <fgColor rgb="FF4601B9"/>
        <bgColor indexed="64"/>
      </patternFill>
    </fill>
    <fill>
      <patternFill patternType="solid">
        <fgColor rgb="FF5000AF"/>
        <bgColor indexed="64"/>
      </patternFill>
    </fill>
    <fill>
      <patternFill patternType="solid">
        <fgColor rgb="FF5A00A5"/>
        <bgColor indexed="64"/>
      </patternFill>
    </fill>
    <fill>
      <patternFill patternType="solid">
        <fgColor rgb="FF65009B"/>
        <bgColor indexed="64"/>
      </patternFill>
    </fill>
    <fill>
      <patternFill patternType="solid">
        <fgColor rgb="FF6F0091"/>
        <bgColor indexed="64"/>
      </patternFill>
    </fill>
    <fill>
      <patternFill patternType="solid">
        <fgColor rgb="FF790087"/>
        <bgColor indexed="64"/>
      </patternFill>
    </fill>
    <fill>
      <patternFill patternType="solid">
        <fgColor rgb="FF83007D"/>
        <bgColor indexed="64"/>
      </patternFill>
    </fill>
    <fill>
      <patternFill patternType="solid">
        <fgColor rgb="FF910073"/>
        <bgColor indexed="64"/>
      </patternFill>
    </fill>
    <fill>
      <patternFill patternType="solid">
        <fgColor rgb="FFA50064"/>
        <bgColor indexed="64"/>
      </patternFill>
    </fill>
    <fill>
      <patternFill patternType="solid">
        <fgColor rgb="FFC3005A"/>
        <bgColor indexed="64"/>
      </patternFill>
    </fill>
    <fill>
      <patternFill patternType="solid">
        <fgColor rgb="FFDC0046"/>
        <bgColor indexed="64"/>
      </patternFill>
    </fill>
    <fill>
      <patternFill patternType="solid">
        <fgColor rgb="FFE60032"/>
        <bgColor indexed="64"/>
      </patternFill>
    </fill>
    <fill>
      <patternFill patternType="solid">
        <fgColor rgb="FFF0001E"/>
        <bgColor indexed="64"/>
      </patternFill>
    </fill>
    <fill>
      <patternFill patternType="solid">
        <fgColor rgb="FFF5000F"/>
        <bgColor indexed="64"/>
      </patternFill>
    </fill>
    <fill>
      <patternFill patternType="solid">
        <fgColor rgb="FFFF0005"/>
        <bgColor indexed="64"/>
      </patternFill>
    </fill>
    <fill>
      <patternFill patternType="solid">
        <fgColor rgb="FFFF0A00"/>
        <bgColor indexed="64"/>
      </patternFill>
    </fill>
    <fill>
      <patternFill patternType="solid">
        <fgColor rgb="FFFF1400"/>
        <bgColor indexed="64"/>
      </patternFill>
    </fill>
    <fill>
      <patternFill patternType="solid">
        <fgColor rgb="FFFF1E00"/>
        <bgColor indexed="64"/>
      </patternFill>
    </fill>
    <fill>
      <patternFill patternType="solid">
        <fgColor rgb="FFFF2800"/>
        <bgColor indexed="64"/>
      </patternFill>
    </fill>
    <fill>
      <patternFill patternType="solid">
        <fgColor rgb="FFFF3200"/>
        <bgColor indexed="64"/>
      </patternFill>
    </fill>
    <fill>
      <patternFill patternType="solid">
        <fgColor rgb="FFFF3C00"/>
        <bgColor indexed="64"/>
      </patternFill>
    </fill>
    <fill>
      <patternFill patternType="solid">
        <fgColor rgb="FFFF4600"/>
        <bgColor indexed="64"/>
      </patternFill>
    </fill>
    <fill>
      <patternFill patternType="solid">
        <fgColor rgb="FFFF5000"/>
        <bgColor indexed="64"/>
      </patternFill>
    </fill>
    <fill>
      <patternFill patternType="solid">
        <fgColor rgb="FFFF5A00"/>
        <bgColor indexed="64"/>
      </patternFill>
    </fill>
    <fill>
      <patternFill patternType="solid">
        <fgColor rgb="FFFF6400"/>
        <bgColor indexed="64"/>
      </patternFill>
    </fill>
    <fill>
      <patternFill patternType="solid">
        <fgColor rgb="FFFA6E00"/>
        <bgColor indexed="64"/>
      </patternFill>
    </fill>
    <fill>
      <patternFill patternType="solid">
        <fgColor rgb="FFF07800"/>
        <bgColor indexed="64"/>
      </patternFill>
    </fill>
    <fill>
      <patternFill patternType="solid">
        <fgColor rgb="FFE68200"/>
        <bgColor indexed="64"/>
      </patternFill>
    </fill>
    <fill>
      <patternFill patternType="solid">
        <fgColor rgb="FFD78C00"/>
        <bgColor indexed="64"/>
      </patternFill>
    </fill>
    <fill>
      <patternFill patternType="solid">
        <fgColor rgb="FFD29600"/>
        <bgColor indexed="64"/>
      </patternFill>
    </fill>
    <fill>
      <patternFill patternType="solid">
        <fgColor rgb="FFCDA000"/>
        <bgColor indexed="64"/>
      </patternFill>
    </fill>
    <fill>
      <patternFill patternType="solid">
        <fgColor rgb="FFC8B900"/>
        <bgColor indexed="64"/>
      </patternFill>
    </fill>
    <fill>
      <patternFill patternType="solid">
        <fgColor rgb="FFC3C800"/>
        <bgColor indexed="64"/>
      </patternFill>
    </fill>
    <fill>
      <patternFill patternType="solid">
        <fgColor rgb="FFB9DC00"/>
        <bgColor indexed="64"/>
      </patternFill>
    </fill>
    <fill>
      <patternFill patternType="solid">
        <fgColor rgb="FFAFEB00"/>
        <bgColor indexed="64"/>
      </patternFill>
    </fill>
    <fill>
      <patternFill patternType="solid">
        <fgColor rgb="FFA5F50A"/>
        <bgColor indexed="64"/>
      </patternFill>
    </fill>
    <fill>
      <patternFill patternType="solid">
        <fgColor rgb="FF9BFA14"/>
        <bgColor indexed="64"/>
      </patternFill>
    </fill>
    <fill>
      <patternFill patternType="solid">
        <fgColor rgb="FF91FF28"/>
        <bgColor indexed="64"/>
      </patternFill>
    </fill>
    <fill>
      <patternFill patternType="solid">
        <fgColor rgb="FF87FF3C"/>
        <bgColor indexed="64"/>
      </patternFill>
    </fill>
    <fill>
      <patternFill patternType="solid">
        <fgColor rgb="FF7DFA50"/>
        <bgColor indexed="64"/>
      </patternFill>
    </fill>
    <fill>
      <patternFill patternType="solid">
        <fgColor rgb="FF73F564"/>
        <bgColor indexed="64"/>
      </patternFill>
    </fill>
    <fill>
      <patternFill patternType="solid">
        <fgColor rgb="FF69F078"/>
        <bgColor indexed="64"/>
      </patternFill>
    </fill>
    <fill>
      <patternFill patternType="solid">
        <fgColor rgb="FF5FEB8C"/>
        <bgColor indexed="64"/>
      </patternFill>
    </fill>
    <fill>
      <patternFill patternType="solid">
        <fgColor rgb="FF55E6A0"/>
        <bgColor indexed="64"/>
      </patternFill>
    </fill>
    <fill>
      <patternFill patternType="solid">
        <fgColor rgb="FF41E1B4"/>
        <bgColor indexed="64"/>
      </patternFill>
    </fill>
    <fill>
      <patternFill patternType="solid">
        <fgColor rgb="FF2DDCC8"/>
        <bgColor indexed="64"/>
      </patternFill>
    </fill>
    <fill>
      <patternFill patternType="solid">
        <fgColor rgb="FF1FD2D2"/>
        <bgColor indexed="64"/>
      </patternFill>
    </fill>
    <fill>
      <patternFill patternType="solid">
        <fgColor rgb="FF0FC8DC"/>
        <bgColor indexed="64"/>
      </patternFill>
    </fill>
    <fill>
      <patternFill patternType="solid">
        <fgColor rgb="FF05BEE6"/>
        <bgColor indexed="64"/>
      </patternFill>
    </fill>
    <fill>
      <patternFill patternType="solid">
        <fgColor rgb="FF00B4F0"/>
        <bgColor indexed="64"/>
      </patternFill>
    </fill>
    <fill>
      <patternFill patternType="solid">
        <fgColor rgb="FF00A5FA"/>
        <bgColor indexed="64"/>
      </patternFill>
    </fill>
    <fill>
      <patternFill patternType="solid">
        <fgColor rgb="FF0096FF"/>
        <bgColor indexed="64"/>
      </patternFill>
    </fill>
    <fill>
      <patternFill patternType="solid">
        <fgColor rgb="FF0082FF"/>
        <bgColor indexed="64"/>
      </patternFill>
    </fill>
    <fill>
      <patternFill patternType="solid">
        <fgColor rgb="FF006EFF"/>
        <bgColor indexed="64"/>
      </patternFill>
    </fill>
    <fill>
      <patternFill patternType="solid">
        <fgColor rgb="FF005AFF"/>
        <bgColor indexed="64"/>
      </patternFill>
    </fill>
    <fill>
      <patternFill patternType="solid">
        <fgColor rgb="FF0046FF"/>
        <bgColor indexed="64"/>
      </patternFill>
    </fill>
    <fill>
      <patternFill patternType="solid">
        <fgColor rgb="FF0B32FA"/>
        <bgColor indexed="64"/>
      </patternFill>
    </fill>
    <fill>
      <patternFill patternType="solid">
        <fgColor rgb="FF1928F0"/>
        <bgColor indexed="64"/>
      </patternFill>
    </fill>
    <fill>
      <patternFill patternType="solid">
        <fgColor rgb="FF231EEB"/>
        <bgColor indexed="64"/>
      </patternFill>
    </fill>
    <fill>
      <patternFill patternType="solid">
        <fgColor rgb="FF2D14E1"/>
        <bgColor indexed="64"/>
      </patternFill>
    </fill>
    <fill>
      <patternFill patternType="solid">
        <fgColor rgb="FF330AD7"/>
        <bgColor indexed="64"/>
      </patternFill>
    </fill>
    <fill>
      <patternFill patternType="solid">
        <fgColor rgb="FF3705CD"/>
        <bgColor indexed="64"/>
      </patternFill>
    </fill>
    <fill>
      <patternFill patternType="solid">
        <fgColor rgb="FF3C03C3"/>
        <bgColor indexed="64"/>
      </patternFill>
    </fill>
    <fill>
      <patternFill patternType="solid">
        <fgColor rgb="FF4102B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5F2FA"/>
        <bgColor indexed="64"/>
      </patternFill>
    </fill>
    <fill>
      <patternFill patternType="solid">
        <fgColor rgb="FFF4E9DF"/>
        <bgColor indexed="64"/>
      </patternFill>
    </fill>
    <fill>
      <patternFill patternType="solid">
        <fgColor rgb="FFFEA811"/>
        <bgColor indexed="64"/>
      </patternFill>
    </fill>
    <fill>
      <patternFill patternType="solid">
        <fgColor rgb="FFE93E3E"/>
        <bgColor indexed="64"/>
      </patternFill>
    </fill>
    <fill>
      <patternFill patternType="solid">
        <fgColor rgb="FFBB0FEC"/>
        <bgColor indexed="64"/>
      </patternFill>
    </fill>
    <fill>
      <patternFill patternType="solid">
        <fgColor rgb="FF8A25FC"/>
        <bgColor indexed="64"/>
      </patternFill>
    </fill>
    <fill>
      <patternFill patternType="solid">
        <fgColor rgb="FF188EFD"/>
        <bgColor indexed="64"/>
      </patternFill>
    </fill>
    <fill>
      <patternFill patternType="solid">
        <fgColor rgb="FF03C7C0"/>
        <bgColor indexed="64"/>
      </patternFill>
    </fill>
    <fill>
      <patternFill patternType="solid">
        <fgColor rgb="FF7ED715"/>
        <bgColor indexed="64"/>
      </patternFill>
    </fill>
    <fill>
      <patternFill patternType="solid">
        <fgColor rgb="FFB7E4FC"/>
        <bgColor indexed="64"/>
      </patternFill>
    </fill>
    <fill>
      <patternFill patternType="solid">
        <fgColor rgb="FF4F8AC3"/>
        <bgColor indexed="64"/>
      </patternFill>
    </fill>
    <fill>
      <patternFill patternType="solid">
        <fgColor rgb="FF7F9A7A"/>
        <bgColor indexed="64"/>
      </patternFill>
    </fill>
    <fill>
      <patternFill patternType="solid">
        <fgColor rgb="FF6B5A95"/>
        <bgColor indexed="64"/>
      </patternFill>
    </fill>
    <fill>
      <patternFill patternType="solid">
        <fgColor rgb="FFA7627F"/>
        <bgColor indexed="64"/>
      </patternFill>
    </fill>
    <fill>
      <patternFill patternType="solid">
        <fgColor rgb="FFD07057"/>
        <bgColor indexed="64"/>
      </patternFill>
    </fill>
    <fill>
      <patternFill patternType="solid">
        <fgColor rgb="FFD9AE5F"/>
        <bgColor indexed="64"/>
      </patternFill>
    </fill>
    <fill>
      <patternFill patternType="solid">
        <fgColor rgb="FF329A9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0004"/>
        <bgColor indexed="64"/>
      </patternFill>
    </fill>
    <fill>
      <patternFill patternType="solid">
        <fgColor rgb="FFC8DBFF"/>
        <bgColor indexed="64"/>
      </patternFill>
    </fill>
    <fill>
      <patternFill patternType="solid">
        <fgColor rgb="FFDFC8FF"/>
        <bgColor indexed="64"/>
      </patternFill>
    </fill>
    <fill>
      <patternFill patternType="solid">
        <fgColor rgb="FFFF8C59"/>
        <bgColor indexed="64"/>
      </patternFill>
    </fill>
    <fill>
      <patternFill patternType="solid">
        <fgColor rgb="FFFF5900"/>
        <bgColor indexed="64"/>
      </patternFill>
    </fill>
    <fill>
      <patternFill patternType="solid">
        <fgColor rgb="FFFF281E"/>
        <bgColor indexed="64"/>
      </patternFill>
    </fill>
    <fill>
      <patternFill patternType="solid">
        <fgColor rgb="FFFF000A"/>
        <bgColor indexed="64"/>
      </patternFill>
    </fill>
    <fill>
      <patternFill patternType="solid">
        <fgColor rgb="FFAE00FF"/>
        <bgColor indexed="64"/>
      </patternFill>
    </fill>
    <fill>
      <patternFill patternType="solid">
        <fgColor rgb="FF6400FF"/>
        <bgColor indexed="64"/>
      </patternFill>
    </fill>
    <fill>
      <patternFill patternType="solid">
        <fgColor rgb="FF4B52FF"/>
        <bgColor indexed="64"/>
      </patternFill>
    </fill>
    <fill>
      <patternFill patternType="solid">
        <fgColor rgb="FF00E3CF"/>
        <bgColor indexed="64"/>
      </patternFill>
    </fill>
    <fill>
      <patternFill patternType="solid">
        <fgColor rgb="FFA7FF37"/>
        <bgColor indexed="64"/>
      </patternFill>
    </fill>
    <fill>
      <patternFill patternType="solid">
        <fgColor rgb="FF0054FF"/>
        <bgColor indexed="64"/>
      </patternFill>
    </fill>
    <fill>
      <patternFill patternType="solid">
        <fgColor rgb="FF00DC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83C3C"/>
        <bgColor indexed="64"/>
      </patternFill>
    </fill>
    <fill>
      <patternFill patternType="solid">
        <fgColor rgb="FF503CB4"/>
        <bgColor indexed="64"/>
      </patternFill>
    </fill>
    <fill>
      <patternFill patternType="solid">
        <fgColor rgb="FF0F00FF"/>
        <bgColor indexed="64"/>
      </patternFill>
    </fill>
    <fill>
      <patternFill patternType="solid">
        <fgColor rgb="FF00FA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2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8" borderId="0" applyNumberFormat="0" applyBorder="0" applyAlignment="0" applyProtection="0">
      <alignment vertical="center"/>
    </xf>
    <xf numFmtId="0" fontId="21" fillId="109" borderId="0" applyNumberFormat="0" applyBorder="0" applyAlignment="0" applyProtection="0">
      <alignment vertical="center"/>
    </xf>
    <xf numFmtId="0" fontId="22" fillId="110" borderId="0" applyNumberFormat="0" applyBorder="0" applyAlignment="0" applyProtection="0">
      <alignment vertical="center"/>
    </xf>
    <xf numFmtId="0" fontId="23" fillId="111" borderId="4" applyNumberFormat="0" applyAlignment="0" applyProtection="0">
      <alignment vertical="center"/>
    </xf>
    <xf numFmtId="0" fontId="24" fillId="112" borderId="5" applyNumberFormat="0" applyAlignment="0" applyProtection="0">
      <alignment vertical="center"/>
    </xf>
    <xf numFmtId="0" fontId="25" fillId="112" borderId="4" applyNumberFormat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113" borderId="7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4" fillId="115" borderId="0" applyNumberFormat="0" applyBorder="0" applyAlignment="0" applyProtection="0">
      <alignment vertical="center"/>
    </xf>
    <xf numFmtId="0" fontId="2" fillId="116" borderId="0" applyNumberFormat="0" applyBorder="0" applyAlignment="0" applyProtection="0">
      <alignment vertical="center"/>
    </xf>
    <xf numFmtId="0" fontId="2" fillId="117" borderId="0" applyNumberFormat="0" applyBorder="0" applyAlignment="0" applyProtection="0">
      <alignment vertical="center"/>
    </xf>
    <xf numFmtId="0" fontId="2" fillId="118" borderId="0" applyNumberFormat="0" applyBorder="0" applyAlignment="0" applyProtection="0">
      <alignment vertical="center"/>
    </xf>
    <xf numFmtId="0" fontId="4" fillId="119" borderId="0" applyNumberFormat="0" applyBorder="0" applyAlignment="0" applyProtection="0">
      <alignment vertical="center"/>
    </xf>
    <xf numFmtId="0" fontId="2" fillId="120" borderId="0" applyNumberFormat="0" applyBorder="0" applyAlignment="0" applyProtection="0">
      <alignment vertical="center"/>
    </xf>
    <xf numFmtId="0" fontId="2" fillId="121" borderId="0" applyNumberFormat="0" applyBorder="0" applyAlignment="0" applyProtection="0">
      <alignment vertical="center"/>
    </xf>
    <xf numFmtId="0" fontId="2" fillId="122" borderId="0" applyNumberFormat="0" applyBorder="0" applyAlignment="0" applyProtection="0">
      <alignment vertical="center"/>
    </xf>
    <xf numFmtId="0" fontId="4" fillId="123" borderId="0" applyNumberFormat="0" applyBorder="0" applyAlignment="0" applyProtection="0">
      <alignment vertical="center"/>
    </xf>
    <xf numFmtId="0" fontId="2" fillId="124" borderId="0" applyNumberFormat="0" applyBorder="0" applyAlignment="0" applyProtection="0">
      <alignment vertical="center"/>
    </xf>
    <xf numFmtId="0" fontId="2" fillId="125" borderId="0" applyNumberFormat="0" applyBorder="0" applyAlignment="0" applyProtection="0">
      <alignment vertical="center"/>
    </xf>
    <xf numFmtId="0" fontId="2" fillId="126" borderId="0" applyNumberFormat="0" applyBorder="0" applyAlignment="0" applyProtection="0">
      <alignment vertical="center"/>
    </xf>
    <xf numFmtId="0" fontId="4" fillId="127" borderId="0" applyNumberFormat="0" applyBorder="0" applyAlignment="0" applyProtection="0">
      <alignment vertical="center"/>
    </xf>
    <xf numFmtId="0" fontId="2" fillId="128" borderId="0" applyNumberFormat="0" applyBorder="0" applyAlignment="0" applyProtection="0">
      <alignment vertical="center"/>
    </xf>
    <xf numFmtId="0" fontId="2" fillId="129" borderId="0" applyNumberFormat="0" applyBorder="0" applyAlignment="0" applyProtection="0">
      <alignment vertical="center"/>
    </xf>
    <xf numFmtId="0" fontId="2" fillId="130" borderId="0" applyNumberFormat="0" applyBorder="0" applyAlignment="0" applyProtection="0">
      <alignment vertical="center"/>
    </xf>
    <xf numFmtId="0" fontId="4" fillId="131" borderId="0" applyNumberFormat="0" applyBorder="0" applyAlignment="0" applyProtection="0">
      <alignment vertical="center"/>
    </xf>
    <xf numFmtId="0" fontId="2" fillId="132" borderId="0" applyNumberFormat="0" applyBorder="0" applyAlignment="0" applyProtection="0">
      <alignment vertical="center"/>
    </xf>
    <xf numFmtId="0" fontId="2" fillId="133" borderId="0" applyNumberFormat="0" applyBorder="0" applyAlignment="0" applyProtection="0">
      <alignment vertical="center"/>
    </xf>
    <xf numFmtId="0" fontId="2" fillId="134" borderId="0" applyNumberFormat="0" applyBorder="0" applyAlignment="0" applyProtection="0">
      <alignment vertical="center"/>
    </xf>
    <xf numFmtId="0" fontId="4" fillId="135" borderId="0" applyNumberFormat="0" applyBorder="0" applyAlignment="0" applyProtection="0">
      <alignment vertical="center"/>
    </xf>
    <xf numFmtId="0" fontId="2" fillId="136" borderId="0" applyNumberFormat="0" applyBorder="0" applyAlignment="0" applyProtection="0">
      <alignment vertical="center"/>
    </xf>
    <xf numFmtId="0" fontId="2" fillId="137" borderId="0" applyNumberFormat="0" applyBorder="0" applyAlignment="0" applyProtection="0">
      <alignment vertical="center"/>
    </xf>
    <xf numFmtId="0" fontId="2" fillId="1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14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6" borderId="0" applyNumberFormat="0" applyBorder="0" applyAlignment="0" applyProtection="0">
      <alignment vertical="center"/>
    </xf>
    <xf numFmtId="0" fontId="1" fillId="117" borderId="0" applyNumberFormat="0" applyBorder="0" applyAlignment="0" applyProtection="0">
      <alignment vertical="center"/>
    </xf>
    <xf numFmtId="0" fontId="1" fillId="118" borderId="0" applyNumberFormat="0" applyBorder="0" applyAlignment="0" applyProtection="0">
      <alignment vertical="center"/>
    </xf>
    <xf numFmtId="0" fontId="1" fillId="120" borderId="0" applyNumberFormat="0" applyBorder="0" applyAlignment="0" applyProtection="0">
      <alignment vertical="center"/>
    </xf>
    <xf numFmtId="0" fontId="1" fillId="121" borderId="0" applyNumberFormat="0" applyBorder="0" applyAlignment="0" applyProtection="0">
      <alignment vertical="center"/>
    </xf>
    <xf numFmtId="0" fontId="1" fillId="122" borderId="0" applyNumberFormat="0" applyBorder="0" applyAlignment="0" applyProtection="0">
      <alignment vertical="center"/>
    </xf>
    <xf numFmtId="0" fontId="1" fillId="124" borderId="0" applyNumberFormat="0" applyBorder="0" applyAlignment="0" applyProtection="0">
      <alignment vertical="center"/>
    </xf>
    <xf numFmtId="0" fontId="1" fillId="125" borderId="0" applyNumberFormat="0" applyBorder="0" applyAlignment="0" applyProtection="0">
      <alignment vertical="center"/>
    </xf>
    <xf numFmtId="0" fontId="1" fillId="126" borderId="0" applyNumberFormat="0" applyBorder="0" applyAlignment="0" applyProtection="0">
      <alignment vertical="center"/>
    </xf>
    <xf numFmtId="0" fontId="1" fillId="128" borderId="0" applyNumberFormat="0" applyBorder="0" applyAlignment="0" applyProtection="0">
      <alignment vertical="center"/>
    </xf>
    <xf numFmtId="0" fontId="1" fillId="129" borderId="0" applyNumberFormat="0" applyBorder="0" applyAlignment="0" applyProtection="0">
      <alignment vertical="center"/>
    </xf>
    <xf numFmtId="0" fontId="1" fillId="130" borderId="0" applyNumberFormat="0" applyBorder="0" applyAlignment="0" applyProtection="0">
      <alignment vertical="center"/>
    </xf>
    <xf numFmtId="0" fontId="1" fillId="132" borderId="0" applyNumberFormat="0" applyBorder="0" applyAlignment="0" applyProtection="0">
      <alignment vertical="center"/>
    </xf>
    <xf numFmtId="0" fontId="1" fillId="133" borderId="0" applyNumberFormat="0" applyBorder="0" applyAlignment="0" applyProtection="0">
      <alignment vertical="center"/>
    </xf>
    <xf numFmtId="0" fontId="1" fillId="134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4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6" borderId="0" applyNumberFormat="0" applyBorder="0" applyAlignment="0" applyProtection="0">
      <alignment vertical="center"/>
    </xf>
    <xf numFmtId="0" fontId="1" fillId="117" borderId="0" applyNumberFormat="0" applyBorder="0" applyAlignment="0" applyProtection="0">
      <alignment vertical="center"/>
    </xf>
    <xf numFmtId="0" fontId="1" fillId="118" borderId="0" applyNumberFormat="0" applyBorder="0" applyAlignment="0" applyProtection="0">
      <alignment vertical="center"/>
    </xf>
    <xf numFmtId="0" fontId="1" fillId="120" borderId="0" applyNumberFormat="0" applyBorder="0" applyAlignment="0" applyProtection="0">
      <alignment vertical="center"/>
    </xf>
    <xf numFmtId="0" fontId="1" fillId="121" borderId="0" applyNumberFormat="0" applyBorder="0" applyAlignment="0" applyProtection="0">
      <alignment vertical="center"/>
    </xf>
    <xf numFmtId="0" fontId="1" fillId="122" borderId="0" applyNumberFormat="0" applyBorder="0" applyAlignment="0" applyProtection="0">
      <alignment vertical="center"/>
    </xf>
    <xf numFmtId="0" fontId="1" fillId="124" borderId="0" applyNumberFormat="0" applyBorder="0" applyAlignment="0" applyProtection="0">
      <alignment vertical="center"/>
    </xf>
    <xf numFmtId="0" fontId="1" fillId="125" borderId="0" applyNumberFormat="0" applyBorder="0" applyAlignment="0" applyProtection="0">
      <alignment vertical="center"/>
    </xf>
    <xf numFmtId="0" fontId="1" fillId="126" borderId="0" applyNumberFormat="0" applyBorder="0" applyAlignment="0" applyProtection="0">
      <alignment vertical="center"/>
    </xf>
    <xf numFmtId="0" fontId="1" fillId="128" borderId="0" applyNumberFormat="0" applyBorder="0" applyAlignment="0" applyProtection="0">
      <alignment vertical="center"/>
    </xf>
    <xf numFmtId="0" fontId="1" fillId="129" borderId="0" applyNumberFormat="0" applyBorder="0" applyAlignment="0" applyProtection="0">
      <alignment vertical="center"/>
    </xf>
    <xf numFmtId="0" fontId="1" fillId="130" borderId="0" applyNumberFormat="0" applyBorder="0" applyAlignment="0" applyProtection="0">
      <alignment vertical="center"/>
    </xf>
    <xf numFmtId="0" fontId="1" fillId="132" borderId="0" applyNumberFormat="0" applyBorder="0" applyAlignment="0" applyProtection="0">
      <alignment vertical="center"/>
    </xf>
    <xf numFmtId="0" fontId="1" fillId="133" borderId="0" applyNumberFormat="0" applyBorder="0" applyAlignment="0" applyProtection="0">
      <alignment vertical="center"/>
    </xf>
    <xf numFmtId="0" fontId="1" fillId="134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4" borderId="8" applyNumberFormat="0" applyFont="0" applyAlignment="0" applyProtection="0">
      <alignment vertical="center"/>
    </xf>
  </cellStyleXfs>
  <cellXfs count="301">
    <xf numFmtId="0" fontId="0" fillId="0" borderId="0" xfId="0"/>
    <xf numFmtId="0" fontId="0" fillId="0" borderId="0" xfId="0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5" fillId="5" borderId="0" xfId="1" applyFont="1" applyFill="1" applyAlignment="1">
      <alignment horizontal="center" vertical="center"/>
    </xf>
    <xf numFmtId="0" fontId="5" fillId="6" borderId="0" xfId="1" applyFont="1" applyFill="1" applyAlignment="1">
      <alignment horizontal="center" vertical="center"/>
    </xf>
    <xf numFmtId="0" fontId="5" fillId="7" borderId="0" xfId="1" applyFont="1" applyFill="1" applyAlignment="1">
      <alignment horizontal="center" vertical="center"/>
    </xf>
    <xf numFmtId="0" fontId="5" fillId="8" borderId="0" xfId="1" applyFont="1" applyFill="1" applyAlignment="1">
      <alignment horizontal="center" vertical="center"/>
    </xf>
    <xf numFmtId="0" fontId="5" fillId="9" borderId="0" xfId="1" applyFont="1" applyFill="1" applyAlignment="1">
      <alignment horizontal="center" vertical="center"/>
    </xf>
    <xf numFmtId="0" fontId="5" fillId="10" borderId="0" xfId="1" applyFont="1" applyFill="1" applyAlignment="1">
      <alignment horizontal="center" vertical="center"/>
    </xf>
    <xf numFmtId="0" fontId="5" fillId="11" borderId="0" xfId="1" applyFont="1" applyFill="1" applyAlignment="1">
      <alignment horizontal="center" vertical="center"/>
    </xf>
    <xf numFmtId="0" fontId="5" fillId="12" borderId="0" xfId="1" applyFont="1" applyFill="1" applyAlignment="1">
      <alignment horizontal="center" vertical="center"/>
    </xf>
    <xf numFmtId="0" fontId="5" fillId="13" borderId="0" xfId="1" applyFont="1" applyFill="1" applyAlignment="1">
      <alignment horizontal="center" vertical="center"/>
    </xf>
    <xf numFmtId="0" fontId="5" fillId="14" borderId="0" xfId="1" applyFont="1" applyFill="1" applyAlignment="1">
      <alignment horizontal="center" vertical="center"/>
    </xf>
    <xf numFmtId="0" fontId="5" fillId="15" borderId="0" xfId="1" applyFont="1" applyFill="1" applyAlignment="1">
      <alignment horizontal="center" vertical="center"/>
    </xf>
    <xf numFmtId="0" fontId="5" fillId="16" borderId="0" xfId="1" applyFont="1" applyFill="1" applyAlignment="1">
      <alignment horizontal="center" vertical="center"/>
    </xf>
    <xf numFmtId="0" fontId="5" fillId="17" borderId="0" xfId="1" applyFont="1" applyFill="1" applyAlignment="1">
      <alignment horizontal="center" vertical="center"/>
    </xf>
    <xf numFmtId="0" fontId="5" fillId="18" borderId="0" xfId="1" applyFont="1" applyFill="1" applyAlignment="1">
      <alignment horizontal="center" vertical="center"/>
    </xf>
    <xf numFmtId="0" fontId="5" fillId="19" borderId="0" xfId="1" applyFont="1" applyFill="1" applyAlignment="1">
      <alignment horizontal="center" vertical="center"/>
    </xf>
    <xf numFmtId="0" fontId="5" fillId="20" borderId="0" xfId="1" applyFont="1" applyFill="1" applyAlignment="1">
      <alignment horizontal="center" vertical="center"/>
    </xf>
    <xf numFmtId="0" fontId="5" fillId="21" borderId="0" xfId="1" applyFont="1" applyFill="1" applyAlignment="1">
      <alignment horizontal="center" vertical="center"/>
    </xf>
    <xf numFmtId="0" fontId="5" fillId="22" borderId="0" xfId="1" applyFont="1" applyFill="1" applyAlignment="1">
      <alignment horizontal="center" vertical="center"/>
    </xf>
    <xf numFmtId="0" fontId="5" fillId="23" borderId="0" xfId="1" applyFont="1" applyFill="1" applyAlignment="1">
      <alignment horizontal="center" vertical="center"/>
    </xf>
    <xf numFmtId="0" fontId="5" fillId="24" borderId="0" xfId="1" applyFont="1" applyFill="1" applyAlignment="1">
      <alignment horizontal="center" vertical="center"/>
    </xf>
    <xf numFmtId="0" fontId="5" fillId="25" borderId="0" xfId="1" applyFont="1" applyFill="1" applyAlignment="1">
      <alignment horizontal="center" vertical="center"/>
    </xf>
    <xf numFmtId="0" fontId="5" fillId="26" borderId="0" xfId="1" applyFont="1" applyFill="1" applyAlignment="1">
      <alignment horizontal="center" vertical="center"/>
    </xf>
    <xf numFmtId="0" fontId="7" fillId="27" borderId="0" xfId="1" applyFont="1" applyFill="1" applyAlignment="1">
      <alignment horizontal="center" vertical="center"/>
    </xf>
    <xf numFmtId="0" fontId="5" fillId="28" borderId="0" xfId="1" applyFont="1" applyFill="1" applyAlignment="1">
      <alignment horizontal="center" vertical="center"/>
    </xf>
    <xf numFmtId="0" fontId="5" fillId="29" borderId="0" xfId="1" applyFont="1" applyFill="1" applyAlignment="1">
      <alignment horizontal="center" vertical="center"/>
    </xf>
    <xf numFmtId="0" fontId="5" fillId="30" borderId="0" xfId="1" applyFont="1" applyFill="1" applyAlignment="1">
      <alignment horizontal="center" vertical="center"/>
    </xf>
    <xf numFmtId="0" fontId="5" fillId="31" borderId="0" xfId="1" applyFont="1" applyFill="1" applyAlignment="1">
      <alignment horizontal="center" vertical="center"/>
    </xf>
    <xf numFmtId="0" fontId="5" fillId="32" borderId="0" xfId="1" applyFont="1" applyFill="1" applyAlignment="1">
      <alignment horizontal="center" vertical="center"/>
    </xf>
    <xf numFmtId="0" fontId="5" fillId="33" borderId="0" xfId="1" applyFont="1" applyFill="1" applyAlignment="1">
      <alignment horizontal="center" vertical="center"/>
    </xf>
    <xf numFmtId="0" fontId="5" fillId="34" borderId="0" xfId="1" applyFont="1" applyFill="1" applyAlignment="1">
      <alignment horizontal="center" vertical="center"/>
    </xf>
    <xf numFmtId="0" fontId="5" fillId="35" borderId="0" xfId="1" applyFont="1" applyFill="1" applyAlignment="1">
      <alignment horizontal="center" vertical="center"/>
    </xf>
    <xf numFmtId="0" fontId="5" fillId="36" borderId="0" xfId="1" applyFont="1" applyFill="1" applyAlignment="1">
      <alignment horizontal="center" vertical="center"/>
    </xf>
    <xf numFmtId="0" fontId="5" fillId="37" borderId="0" xfId="1" applyFont="1" applyFill="1" applyAlignment="1">
      <alignment horizontal="center" vertical="center"/>
    </xf>
    <xf numFmtId="0" fontId="5" fillId="38" borderId="0" xfId="1" applyFont="1" applyFill="1" applyAlignment="1">
      <alignment horizontal="center" vertical="center"/>
    </xf>
    <xf numFmtId="0" fontId="5" fillId="39" borderId="0" xfId="1" applyFont="1" applyFill="1" applyAlignment="1">
      <alignment horizontal="center" vertical="center"/>
    </xf>
    <xf numFmtId="0" fontId="5" fillId="40" borderId="0" xfId="1" applyFont="1" applyFill="1" applyAlignment="1">
      <alignment horizontal="center" vertical="center"/>
    </xf>
    <xf numFmtId="0" fontId="5" fillId="41" borderId="0" xfId="1" applyFont="1" applyFill="1" applyAlignment="1">
      <alignment horizontal="center" vertical="center"/>
    </xf>
    <xf numFmtId="0" fontId="5" fillId="42" borderId="0" xfId="1" applyFont="1" applyFill="1" applyAlignment="1">
      <alignment horizontal="center" vertical="center"/>
    </xf>
    <xf numFmtId="0" fontId="5" fillId="43" borderId="0" xfId="1" applyFont="1" applyFill="1" applyAlignment="1">
      <alignment horizontal="center" vertical="center"/>
    </xf>
    <xf numFmtId="0" fontId="5" fillId="44" borderId="0" xfId="1" applyFont="1" applyFill="1" applyAlignment="1">
      <alignment horizontal="center" vertical="center"/>
    </xf>
    <xf numFmtId="0" fontId="5" fillId="45" borderId="0" xfId="1" applyFont="1" applyFill="1" applyAlignment="1">
      <alignment horizontal="center" vertical="center"/>
    </xf>
    <xf numFmtId="0" fontId="5" fillId="46" borderId="0" xfId="1" applyFont="1" applyFill="1" applyAlignment="1">
      <alignment horizontal="center" vertical="center"/>
    </xf>
    <xf numFmtId="0" fontId="5" fillId="47" borderId="0" xfId="1" applyFont="1" applyFill="1" applyAlignment="1">
      <alignment horizontal="center" vertical="center"/>
    </xf>
    <xf numFmtId="0" fontId="5" fillId="48" borderId="0" xfId="1" applyFont="1" applyFill="1" applyAlignment="1">
      <alignment horizontal="center" vertical="center"/>
    </xf>
    <xf numFmtId="0" fontId="5" fillId="49" borderId="0" xfId="1" applyFont="1" applyFill="1" applyAlignment="1">
      <alignment horizontal="center" vertical="center"/>
    </xf>
    <xf numFmtId="0" fontId="5" fillId="50" borderId="0" xfId="1" applyFont="1" applyFill="1" applyAlignment="1">
      <alignment horizontal="center" vertical="center"/>
    </xf>
    <xf numFmtId="0" fontId="5" fillId="51" borderId="0" xfId="1" applyFont="1" applyFill="1" applyAlignment="1">
      <alignment horizontal="center" vertical="center"/>
    </xf>
    <xf numFmtId="0" fontId="5" fillId="52" borderId="0" xfId="1" applyFont="1" applyFill="1" applyAlignment="1">
      <alignment horizontal="center" vertical="center"/>
    </xf>
    <xf numFmtId="0" fontId="8" fillId="53" borderId="0" xfId="1" applyFont="1" applyFill="1" applyAlignment="1">
      <alignment horizontal="center" vertical="center"/>
    </xf>
    <xf numFmtId="0" fontId="8" fillId="54" borderId="0" xfId="1" applyFont="1" applyFill="1" applyAlignment="1">
      <alignment horizontal="center" vertical="center"/>
    </xf>
    <xf numFmtId="0" fontId="5" fillId="55" borderId="0" xfId="1" applyFont="1" applyFill="1" applyAlignment="1">
      <alignment horizontal="center" vertical="center"/>
    </xf>
    <xf numFmtId="0" fontId="5" fillId="56" borderId="0" xfId="1" applyFont="1" applyFill="1" applyAlignment="1">
      <alignment horizontal="center" vertical="center"/>
    </xf>
    <xf numFmtId="0" fontId="8" fillId="57" borderId="0" xfId="1" applyFont="1" applyFill="1" applyAlignment="1">
      <alignment horizontal="center" vertical="center"/>
    </xf>
    <xf numFmtId="0" fontId="5" fillId="58" borderId="0" xfId="1" applyFont="1" applyFill="1" applyAlignment="1">
      <alignment horizontal="center" vertical="center"/>
    </xf>
    <xf numFmtId="0" fontId="5" fillId="59" borderId="0" xfId="1" applyFont="1" applyFill="1" applyAlignment="1">
      <alignment horizontal="center" vertical="center"/>
    </xf>
    <xf numFmtId="0" fontId="5" fillId="60" borderId="0" xfId="1" applyFont="1" applyFill="1" applyAlignment="1">
      <alignment horizontal="center" vertical="center"/>
    </xf>
    <xf numFmtId="0" fontId="5" fillId="61" borderId="0" xfId="1" applyFont="1" applyFill="1" applyAlignment="1">
      <alignment horizontal="center" vertical="center"/>
    </xf>
    <xf numFmtId="0" fontId="5" fillId="62" borderId="0" xfId="1" applyFont="1" applyFill="1" applyAlignment="1">
      <alignment horizontal="center" vertical="center"/>
    </xf>
    <xf numFmtId="0" fontId="5" fillId="63" borderId="0" xfId="1" applyFont="1" applyFill="1" applyAlignment="1">
      <alignment horizontal="center" vertical="center"/>
    </xf>
    <xf numFmtId="0" fontId="5" fillId="64" borderId="0" xfId="1" applyFont="1" applyFill="1" applyAlignment="1">
      <alignment horizontal="center" vertical="center"/>
    </xf>
    <xf numFmtId="0" fontId="5" fillId="65" borderId="0" xfId="1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9" fillId="0" borderId="0" xfId="2" applyNumberFormat="1" applyFont="1" applyAlignment="1">
      <alignment horizontal="center" vertical="center"/>
    </xf>
    <xf numFmtId="1" fontId="10" fillId="0" borderId="0" xfId="2" applyNumberFormat="1" applyFont="1" applyAlignment="1">
      <alignment horizontal="center" vertical="center"/>
    </xf>
    <xf numFmtId="0" fontId="13" fillId="70" borderId="0" xfId="1" applyFont="1" applyFill="1" applyAlignment="1">
      <alignment horizontal="center" vertical="center" wrapText="1"/>
    </xf>
    <xf numFmtId="0" fontId="13" fillId="71" borderId="0" xfId="1" applyFont="1" applyFill="1" applyAlignment="1">
      <alignment horizontal="center" vertical="center" wrapText="1"/>
    </xf>
    <xf numFmtId="0" fontId="13" fillId="72" borderId="0" xfId="1" applyFont="1" applyFill="1" applyAlignment="1">
      <alignment horizontal="center" vertical="center" wrapText="1"/>
    </xf>
    <xf numFmtId="0" fontId="13" fillId="73" borderId="0" xfId="1" applyFont="1" applyFill="1" applyAlignment="1">
      <alignment horizontal="center" vertical="center" wrapText="1"/>
    </xf>
    <xf numFmtId="0" fontId="13" fillId="74" borderId="0" xfId="1" applyFont="1" applyFill="1" applyAlignment="1">
      <alignment horizontal="center" vertical="center" wrapText="1"/>
    </xf>
    <xf numFmtId="0" fontId="13" fillId="75" borderId="0" xfId="1" applyFont="1" applyFill="1" applyAlignment="1">
      <alignment horizontal="center" vertical="center" wrapText="1"/>
    </xf>
    <xf numFmtId="0" fontId="13" fillId="76" borderId="0" xfId="1" applyFont="1" applyFill="1" applyAlignment="1">
      <alignment horizontal="center" vertical="center" wrapText="1"/>
    </xf>
    <xf numFmtId="0" fontId="13" fillId="77" borderId="0" xfId="1" applyFont="1" applyFill="1" applyAlignment="1">
      <alignment horizontal="center" vertical="center" wrapText="1"/>
    </xf>
    <xf numFmtId="0" fontId="13" fillId="78" borderId="0" xfId="1" applyFont="1" applyFill="1" applyAlignment="1">
      <alignment horizontal="center" vertical="center" wrapText="1"/>
    </xf>
    <xf numFmtId="0" fontId="13" fillId="79" borderId="0" xfId="1" applyFont="1" applyFill="1" applyAlignment="1">
      <alignment horizontal="center" vertical="center" wrapText="1"/>
    </xf>
    <xf numFmtId="0" fontId="0" fillId="80" borderId="0" xfId="0" applyFill="1" applyAlignment="1">
      <alignment vertical="center"/>
    </xf>
    <xf numFmtId="0" fontId="0" fillId="81" borderId="0" xfId="0" applyFill="1" applyAlignment="1">
      <alignment vertical="center"/>
    </xf>
    <xf numFmtId="0" fontId="0" fillId="82" borderId="0" xfId="0" applyFill="1" applyAlignment="1">
      <alignment vertical="center"/>
    </xf>
    <xf numFmtId="0" fontId="0" fillId="83" borderId="0" xfId="0" applyFill="1" applyAlignment="1">
      <alignment vertical="center"/>
    </xf>
    <xf numFmtId="0" fontId="0" fillId="84" borderId="0" xfId="0" applyFill="1" applyAlignment="1">
      <alignment vertical="center"/>
    </xf>
    <xf numFmtId="0" fontId="0" fillId="85" borderId="0" xfId="0" applyFill="1" applyAlignment="1">
      <alignment vertical="center"/>
    </xf>
    <xf numFmtId="0" fontId="0" fillId="86" borderId="0" xfId="0" applyFill="1" applyAlignment="1">
      <alignment vertical="center"/>
    </xf>
    <xf numFmtId="0" fontId="0" fillId="87" borderId="0" xfId="0" applyFill="1" applyAlignment="1">
      <alignment vertical="center"/>
    </xf>
    <xf numFmtId="0" fontId="0" fillId="88" borderId="0" xfId="0" applyFill="1" applyAlignment="1">
      <alignment vertical="center"/>
    </xf>
    <xf numFmtId="0" fontId="0" fillId="89" borderId="0" xfId="0" applyFill="1" applyAlignment="1">
      <alignment vertical="center"/>
    </xf>
    <xf numFmtId="0" fontId="14" fillId="90" borderId="0" xfId="1" applyFont="1" applyFill="1" applyAlignment="1">
      <alignment horizontal="center" vertical="center"/>
    </xf>
    <xf numFmtId="0" fontId="14" fillId="91" borderId="0" xfId="1" applyFont="1" applyFill="1" applyAlignment="1">
      <alignment horizontal="center" vertical="center"/>
    </xf>
    <xf numFmtId="0" fontId="14" fillId="92" borderId="0" xfId="1" applyFont="1" applyFill="1" applyAlignment="1">
      <alignment horizontal="center" vertical="center"/>
    </xf>
    <xf numFmtId="0" fontId="14" fillId="93" borderId="0" xfId="1" applyFont="1" applyFill="1" applyAlignment="1">
      <alignment horizontal="center" vertical="center"/>
    </xf>
    <xf numFmtId="0" fontId="14" fillId="94" borderId="0" xfId="1" applyFont="1" applyFill="1" applyAlignment="1">
      <alignment horizontal="center" vertical="center"/>
    </xf>
    <xf numFmtId="0" fontId="14" fillId="95" borderId="0" xfId="1" applyFont="1" applyFill="1" applyAlignment="1">
      <alignment horizontal="center" vertical="center"/>
    </xf>
    <xf numFmtId="0" fontId="14" fillId="96" borderId="0" xfId="1" applyFont="1" applyFill="1" applyAlignment="1">
      <alignment horizontal="center" vertical="center"/>
    </xf>
    <xf numFmtId="0" fontId="14" fillId="97" borderId="0" xfId="1" applyFont="1" applyFill="1" applyAlignment="1">
      <alignment horizontal="center" vertical="center"/>
    </xf>
    <xf numFmtId="0" fontId="14" fillId="98" borderId="0" xfId="1" applyFont="1" applyFill="1" applyAlignment="1">
      <alignment horizontal="center" vertical="center"/>
    </xf>
    <xf numFmtId="0" fontId="14" fillId="99" borderId="0" xfId="1" applyFont="1" applyFill="1" applyAlignment="1">
      <alignment horizontal="center" vertical="center"/>
    </xf>
    <xf numFmtId="0" fontId="15" fillId="100" borderId="0" xfId="0" applyFont="1" applyFill="1" applyAlignment="1">
      <alignment horizontal="center" vertical="center" wrapText="1"/>
    </xf>
    <xf numFmtId="0" fontId="15" fillId="101" borderId="0" xfId="0" applyFont="1" applyFill="1" applyAlignment="1">
      <alignment horizontal="center" vertical="center" wrapText="1"/>
    </xf>
    <xf numFmtId="0" fontId="15" fillId="102" borderId="0" xfId="0" applyFont="1" applyFill="1" applyAlignment="1">
      <alignment horizontal="center" vertical="center" wrapText="1"/>
    </xf>
    <xf numFmtId="0" fontId="15" fillId="66" borderId="0" xfId="0" applyFont="1" applyFill="1" applyAlignment="1">
      <alignment horizontal="center" vertical="center" wrapText="1"/>
    </xf>
    <xf numFmtId="0" fontId="15" fillId="25" borderId="0" xfId="0" applyFont="1" applyFill="1" applyAlignment="1">
      <alignment horizontal="center" vertical="center" wrapText="1"/>
    </xf>
    <xf numFmtId="0" fontId="15" fillId="103" borderId="0" xfId="0" applyFont="1" applyFill="1" applyAlignment="1">
      <alignment horizontal="center" vertical="center" wrapText="1"/>
    </xf>
    <xf numFmtId="0" fontId="15" fillId="104" borderId="0" xfId="0" applyFont="1" applyFill="1" applyAlignment="1">
      <alignment horizontal="center" vertical="center" wrapText="1"/>
    </xf>
    <xf numFmtId="0" fontId="15" fillId="105" borderId="0" xfId="0" applyFont="1" applyFill="1" applyAlignment="1">
      <alignment horizontal="center" vertical="center" wrapText="1"/>
    </xf>
    <xf numFmtId="0" fontId="15" fillId="106" borderId="0" xfId="0" applyFont="1" applyFill="1" applyAlignment="1">
      <alignment horizontal="center" vertical="center" wrapText="1"/>
    </xf>
    <xf numFmtId="0" fontId="5" fillId="47" borderId="0" xfId="2" applyFont="1" applyFill="1">
      <alignment vertical="center"/>
    </xf>
    <xf numFmtId="0" fontId="5" fillId="24" borderId="0" xfId="2" applyFont="1" applyFill="1">
      <alignment vertical="center"/>
    </xf>
    <xf numFmtId="0" fontId="5" fillId="51" borderId="0" xfId="2" applyFont="1" applyFill="1">
      <alignment vertical="center"/>
    </xf>
    <xf numFmtId="0" fontId="5" fillId="4" borderId="0" xfId="2" applyFont="1" applyFill="1">
      <alignment vertical="center"/>
    </xf>
    <xf numFmtId="0" fontId="13" fillId="79" borderId="0" xfId="2" applyFont="1" applyFill="1" applyAlignment="1">
      <alignment horizontal="center" vertical="center" wrapText="1"/>
    </xf>
    <xf numFmtId="0" fontId="5" fillId="36" borderId="0" xfId="2" applyFont="1" applyFill="1">
      <alignment vertical="center"/>
    </xf>
    <xf numFmtId="0" fontId="0" fillId="0" borderId="10" xfId="0" applyBorder="1" applyAlignment="1">
      <alignment horizontal="center" vertical="center"/>
    </xf>
    <xf numFmtId="0" fontId="4" fillId="66" borderId="10" xfId="0" applyFont="1" applyFill="1" applyBorder="1" applyAlignment="1">
      <alignment horizontal="center" vertical="center"/>
    </xf>
    <xf numFmtId="0" fontId="12" fillId="67" borderId="10" xfId="0" applyFont="1" applyFill="1" applyBorder="1" applyAlignment="1">
      <alignment horizontal="center" vertical="center"/>
    </xf>
    <xf numFmtId="0" fontId="12" fillId="68" borderId="10" xfId="0" applyFont="1" applyFill="1" applyBorder="1" applyAlignment="1">
      <alignment horizontal="center" vertical="center"/>
    </xf>
    <xf numFmtId="0" fontId="0" fillId="107" borderId="10" xfId="0" applyFill="1" applyBorder="1" applyAlignment="1">
      <alignment horizontal="center" vertical="center"/>
    </xf>
    <xf numFmtId="0" fontId="0" fillId="69" borderId="10" xfId="0" applyFill="1" applyBorder="1" applyAlignment="1">
      <alignment horizontal="center" vertical="center"/>
    </xf>
    <xf numFmtId="0" fontId="13" fillId="0" borderId="10" xfId="1" applyFont="1" applyBorder="1" applyAlignment="1">
      <alignment horizontal="center" vertical="center" wrapText="1"/>
    </xf>
    <xf numFmtId="176" fontId="31" fillId="0" borderId="10" xfId="2" applyNumberFormat="1" applyFont="1" applyBorder="1" applyAlignment="1">
      <alignment horizontal="center" vertical="center"/>
    </xf>
    <xf numFmtId="176" fontId="32" fillId="0" borderId="10" xfId="2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14" fillId="0" borderId="10" xfId="1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5" fillId="0" borderId="10" xfId="2" applyFont="1" applyBorder="1">
      <alignment vertical="center"/>
    </xf>
    <xf numFmtId="0" fontId="13" fillId="0" borderId="10" xfId="2" applyFont="1" applyBorder="1" applyAlignment="1">
      <alignment horizontal="center" vertical="center" wrapText="1"/>
    </xf>
    <xf numFmtId="0" fontId="0" fillId="0" borderId="10" xfId="0" applyBorder="1"/>
    <xf numFmtId="0" fontId="0" fillId="107" borderId="10" xfId="0" applyFill="1" applyBorder="1"/>
    <xf numFmtId="1" fontId="9" fillId="0" borderId="10" xfId="2" applyNumberFormat="1" applyFont="1" applyBorder="1" applyAlignment="1">
      <alignment horizontal="center" vertical="center"/>
    </xf>
    <xf numFmtId="1" fontId="10" fillId="0" borderId="10" xfId="2" applyNumberFormat="1" applyFont="1" applyBorder="1" applyAlignment="1">
      <alignment horizontal="center" vertical="center"/>
    </xf>
    <xf numFmtId="0" fontId="33" fillId="139" borderId="12" xfId="0" applyFont="1" applyFill="1" applyBorder="1" applyAlignment="1">
      <alignment horizontal="center" vertical="center"/>
    </xf>
    <xf numFmtId="0" fontId="33" fillId="139" borderId="10" xfId="0" applyFont="1" applyFill="1" applyBorder="1" applyAlignment="1">
      <alignment horizontal="center" vertical="center"/>
    </xf>
    <xf numFmtId="0" fontId="0" fillId="69" borderId="10" xfId="0" applyFill="1" applyBorder="1" applyAlignment="1">
      <alignment vertical="center"/>
    </xf>
    <xf numFmtId="0" fontId="34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1" fontId="0" fillId="0" borderId="0" xfId="0" applyNumberFormat="1" applyAlignment="1">
      <alignment horizontal="center" vertical="center"/>
    </xf>
    <xf numFmtId="176" fontId="35" fillId="0" borderId="10" xfId="2" applyNumberFormat="1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107" borderId="0" xfId="0" applyFill="1" applyAlignment="1">
      <alignment horizontal="center" vertical="center"/>
    </xf>
    <xf numFmtId="177" fontId="0" fillId="107" borderId="0" xfId="0" applyNumberFormat="1" applyFill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left" vertical="center"/>
    </xf>
    <xf numFmtId="178" fontId="0" fillId="107" borderId="0" xfId="0" applyNumberFormat="1" applyFill="1" applyAlignment="1">
      <alignment horizontal="left" vertical="center"/>
    </xf>
    <xf numFmtId="0" fontId="0" fillId="107" borderId="0" xfId="0" applyFill="1"/>
    <xf numFmtId="0" fontId="0" fillId="0" borderId="17" xfId="0" applyBorder="1"/>
    <xf numFmtId="0" fontId="39" fillId="0" borderId="0" xfId="0" applyFont="1" applyAlignment="1">
      <alignment horizontal="left" vertical="center"/>
    </xf>
    <xf numFmtId="179" fontId="0" fillId="0" borderId="0" xfId="0" applyNumberFormat="1"/>
    <xf numFmtId="176" fontId="0" fillId="0" borderId="0" xfId="0" applyNumberFormat="1"/>
    <xf numFmtId="0" fontId="39" fillId="0" borderId="0" xfId="0" applyFont="1" applyAlignment="1">
      <alignment horizontal="center" vertical="center"/>
    </xf>
    <xf numFmtId="0" fontId="0" fillId="107" borderId="17" xfId="0" applyFill="1" applyBorder="1"/>
    <xf numFmtId="176" fontId="0" fillId="107" borderId="0" xfId="0" applyNumberFormat="1" applyFill="1"/>
    <xf numFmtId="179" fontId="0" fillId="107" borderId="0" xfId="0" applyNumberFormat="1" applyFill="1"/>
    <xf numFmtId="176" fontId="0" fillId="0" borderId="10" xfId="0" applyNumberFormat="1" applyBorder="1" applyAlignment="1">
      <alignment horizontal="center"/>
    </xf>
    <xf numFmtId="179" fontId="0" fillId="0" borderId="10" xfId="0" applyNumberFormat="1" applyBorder="1" applyAlignment="1">
      <alignment horizontal="center"/>
    </xf>
    <xf numFmtId="0" fontId="0" fillId="69" borderId="18" xfId="0" applyFill="1" applyBorder="1" applyAlignment="1">
      <alignment horizontal="center" vertical="center"/>
    </xf>
    <xf numFmtId="0" fontId="0" fillId="69" borderId="19" xfId="0" applyFill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0" fontId="5" fillId="4" borderId="10" xfId="1" applyFont="1" applyFill="1" applyBorder="1" applyAlignment="1">
      <alignment horizontal="center" vertical="center"/>
    </xf>
    <xf numFmtId="0" fontId="5" fillId="5" borderId="10" xfId="1" applyFont="1" applyFill="1" applyBorder="1" applyAlignment="1">
      <alignment horizontal="center" vertical="center"/>
    </xf>
    <xf numFmtId="0" fontId="5" fillId="6" borderId="10" xfId="1" applyFont="1" applyFill="1" applyBorder="1" applyAlignment="1">
      <alignment horizontal="center" vertical="center"/>
    </xf>
    <xf numFmtId="0" fontId="5" fillId="7" borderId="10" xfId="1" applyFont="1" applyFill="1" applyBorder="1" applyAlignment="1">
      <alignment horizontal="center" vertical="center"/>
    </xf>
    <xf numFmtId="0" fontId="5" fillId="8" borderId="10" xfId="1" applyFont="1" applyFill="1" applyBorder="1" applyAlignment="1">
      <alignment horizontal="center" vertical="center"/>
    </xf>
    <xf numFmtId="0" fontId="5" fillId="9" borderId="10" xfId="1" applyFont="1" applyFill="1" applyBorder="1" applyAlignment="1">
      <alignment horizontal="center" vertical="center"/>
    </xf>
    <xf numFmtId="0" fontId="5" fillId="10" borderId="10" xfId="1" applyFont="1" applyFill="1" applyBorder="1" applyAlignment="1">
      <alignment horizontal="center" vertical="center"/>
    </xf>
    <xf numFmtId="0" fontId="5" fillId="11" borderId="10" xfId="1" applyFont="1" applyFill="1" applyBorder="1" applyAlignment="1">
      <alignment horizontal="center" vertical="center"/>
    </xf>
    <xf numFmtId="0" fontId="5" fillId="12" borderId="10" xfId="1" applyFont="1" applyFill="1" applyBorder="1" applyAlignment="1">
      <alignment horizontal="center" vertical="center"/>
    </xf>
    <xf numFmtId="0" fontId="5" fillId="13" borderId="10" xfId="1" applyFont="1" applyFill="1" applyBorder="1" applyAlignment="1">
      <alignment horizontal="center" vertical="center"/>
    </xf>
    <xf numFmtId="0" fontId="5" fillId="14" borderId="10" xfId="1" applyFont="1" applyFill="1" applyBorder="1" applyAlignment="1">
      <alignment horizontal="center" vertical="center"/>
    </xf>
    <xf numFmtId="0" fontId="5" fillId="15" borderId="10" xfId="1" applyFont="1" applyFill="1" applyBorder="1" applyAlignment="1">
      <alignment horizontal="center" vertical="center"/>
    </xf>
    <xf numFmtId="0" fontId="5" fillId="16" borderId="10" xfId="1" applyFont="1" applyFill="1" applyBorder="1" applyAlignment="1">
      <alignment horizontal="center" vertical="center"/>
    </xf>
    <xf numFmtId="0" fontId="5" fillId="17" borderId="10" xfId="1" applyFont="1" applyFill="1" applyBorder="1" applyAlignment="1">
      <alignment horizontal="center" vertical="center"/>
    </xf>
    <xf numFmtId="0" fontId="5" fillId="18" borderId="10" xfId="1" applyFont="1" applyFill="1" applyBorder="1" applyAlignment="1">
      <alignment horizontal="center" vertical="center"/>
    </xf>
    <xf numFmtId="0" fontId="5" fillId="19" borderId="10" xfId="1" applyFont="1" applyFill="1" applyBorder="1" applyAlignment="1">
      <alignment horizontal="center" vertical="center"/>
    </xf>
    <xf numFmtId="0" fontId="5" fillId="20" borderId="10" xfId="1" applyFont="1" applyFill="1" applyBorder="1" applyAlignment="1">
      <alignment horizontal="center" vertical="center"/>
    </xf>
    <xf numFmtId="0" fontId="5" fillId="21" borderId="10" xfId="1" applyFont="1" applyFill="1" applyBorder="1" applyAlignment="1">
      <alignment horizontal="center" vertical="center"/>
    </xf>
    <xf numFmtId="0" fontId="5" fillId="22" borderId="10" xfId="1" applyFont="1" applyFill="1" applyBorder="1" applyAlignment="1">
      <alignment horizontal="center" vertical="center"/>
    </xf>
    <xf numFmtId="0" fontId="5" fillId="23" borderId="10" xfId="1" applyFont="1" applyFill="1" applyBorder="1" applyAlignment="1">
      <alignment horizontal="center" vertical="center"/>
    </xf>
    <xf numFmtId="0" fontId="5" fillId="24" borderId="10" xfId="1" applyFont="1" applyFill="1" applyBorder="1" applyAlignment="1">
      <alignment horizontal="center" vertical="center"/>
    </xf>
    <xf numFmtId="0" fontId="5" fillId="25" borderId="10" xfId="1" applyFont="1" applyFill="1" applyBorder="1" applyAlignment="1">
      <alignment horizontal="center" vertical="center"/>
    </xf>
    <xf numFmtId="0" fontId="5" fillId="26" borderId="10" xfId="1" applyFont="1" applyFill="1" applyBorder="1" applyAlignment="1">
      <alignment horizontal="center" vertical="center"/>
    </xf>
    <xf numFmtId="0" fontId="7" fillId="27" borderId="10" xfId="1" applyFont="1" applyFill="1" applyBorder="1" applyAlignment="1">
      <alignment horizontal="center" vertical="center"/>
    </xf>
    <xf numFmtId="0" fontId="5" fillId="28" borderId="10" xfId="1" applyFont="1" applyFill="1" applyBorder="1" applyAlignment="1">
      <alignment horizontal="center" vertical="center"/>
    </xf>
    <xf numFmtId="0" fontId="5" fillId="29" borderId="10" xfId="1" applyFont="1" applyFill="1" applyBorder="1" applyAlignment="1">
      <alignment horizontal="center" vertical="center"/>
    </xf>
    <xf numFmtId="0" fontId="5" fillId="30" borderId="10" xfId="1" applyFont="1" applyFill="1" applyBorder="1" applyAlignment="1">
      <alignment horizontal="center" vertical="center"/>
    </xf>
    <xf numFmtId="0" fontId="5" fillId="31" borderId="10" xfId="1" applyFont="1" applyFill="1" applyBorder="1" applyAlignment="1">
      <alignment horizontal="center" vertical="center"/>
    </xf>
    <xf numFmtId="0" fontId="5" fillId="32" borderId="10" xfId="1" applyFont="1" applyFill="1" applyBorder="1" applyAlignment="1">
      <alignment horizontal="center" vertical="center"/>
    </xf>
    <xf numFmtId="0" fontId="5" fillId="33" borderId="10" xfId="1" applyFont="1" applyFill="1" applyBorder="1" applyAlignment="1">
      <alignment horizontal="center" vertical="center"/>
    </xf>
    <xf numFmtId="0" fontId="5" fillId="34" borderId="10" xfId="1" applyFont="1" applyFill="1" applyBorder="1" applyAlignment="1">
      <alignment horizontal="center" vertical="center"/>
    </xf>
    <xf numFmtId="0" fontId="5" fillId="35" borderId="10" xfId="1" applyFont="1" applyFill="1" applyBorder="1" applyAlignment="1">
      <alignment horizontal="center" vertical="center"/>
    </xf>
    <xf numFmtId="0" fontId="5" fillId="36" borderId="10" xfId="1" applyFont="1" applyFill="1" applyBorder="1" applyAlignment="1">
      <alignment horizontal="center" vertical="center"/>
    </xf>
    <xf numFmtId="0" fontId="5" fillId="37" borderId="10" xfId="1" applyFont="1" applyFill="1" applyBorder="1" applyAlignment="1">
      <alignment horizontal="center" vertical="center"/>
    </xf>
    <xf numFmtId="0" fontId="5" fillId="38" borderId="10" xfId="1" applyFont="1" applyFill="1" applyBorder="1" applyAlignment="1">
      <alignment horizontal="center" vertical="center"/>
    </xf>
    <xf numFmtId="0" fontId="5" fillId="39" borderId="10" xfId="1" applyFont="1" applyFill="1" applyBorder="1" applyAlignment="1">
      <alignment horizontal="center" vertical="center"/>
    </xf>
    <xf numFmtId="0" fontId="5" fillId="40" borderId="10" xfId="1" applyFont="1" applyFill="1" applyBorder="1" applyAlignment="1">
      <alignment horizontal="center" vertical="center"/>
    </xf>
    <xf numFmtId="0" fontId="5" fillId="41" borderId="10" xfId="1" applyFont="1" applyFill="1" applyBorder="1" applyAlignment="1">
      <alignment horizontal="center" vertical="center"/>
    </xf>
    <xf numFmtId="0" fontId="5" fillId="42" borderId="10" xfId="1" applyFont="1" applyFill="1" applyBorder="1" applyAlignment="1">
      <alignment horizontal="center" vertical="center"/>
    </xf>
    <xf numFmtId="0" fontId="5" fillId="43" borderId="10" xfId="1" applyFont="1" applyFill="1" applyBorder="1" applyAlignment="1">
      <alignment horizontal="center" vertical="center"/>
    </xf>
    <xf numFmtId="0" fontId="5" fillId="44" borderId="10" xfId="1" applyFont="1" applyFill="1" applyBorder="1" applyAlignment="1">
      <alignment horizontal="center" vertical="center"/>
    </xf>
    <xf numFmtId="0" fontId="5" fillId="45" borderId="10" xfId="1" applyFont="1" applyFill="1" applyBorder="1" applyAlignment="1">
      <alignment horizontal="center" vertical="center"/>
    </xf>
    <xf numFmtId="0" fontId="5" fillId="46" borderId="10" xfId="1" applyFont="1" applyFill="1" applyBorder="1" applyAlignment="1">
      <alignment horizontal="center" vertical="center"/>
    </xf>
    <xf numFmtId="0" fontId="5" fillId="47" borderId="10" xfId="1" applyFont="1" applyFill="1" applyBorder="1" applyAlignment="1">
      <alignment horizontal="center" vertical="center"/>
    </xf>
    <xf numFmtId="0" fontId="5" fillId="48" borderId="10" xfId="1" applyFont="1" applyFill="1" applyBorder="1" applyAlignment="1">
      <alignment horizontal="center" vertical="center"/>
    </xf>
    <xf numFmtId="0" fontId="5" fillId="49" borderId="10" xfId="1" applyFont="1" applyFill="1" applyBorder="1" applyAlignment="1">
      <alignment horizontal="center" vertical="center"/>
    </xf>
    <xf numFmtId="0" fontId="5" fillId="50" borderId="10" xfId="1" applyFont="1" applyFill="1" applyBorder="1" applyAlignment="1">
      <alignment horizontal="center" vertical="center"/>
    </xf>
    <xf numFmtId="0" fontId="5" fillId="51" borderId="10" xfId="1" applyFont="1" applyFill="1" applyBorder="1" applyAlignment="1">
      <alignment horizontal="center" vertical="center"/>
    </xf>
    <xf numFmtId="0" fontId="5" fillId="52" borderId="10" xfId="1" applyFont="1" applyFill="1" applyBorder="1" applyAlignment="1">
      <alignment horizontal="center" vertical="center"/>
    </xf>
    <xf numFmtId="0" fontId="8" fillId="53" borderId="10" xfId="1" applyFont="1" applyFill="1" applyBorder="1" applyAlignment="1">
      <alignment horizontal="center" vertical="center"/>
    </xf>
    <xf numFmtId="0" fontId="8" fillId="54" borderId="10" xfId="1" applyFont="1" applyFill="1" applyBorder="1" applyAlignment="1">
      <alignment horizontal="center" vertical="center"/>
    </xf>
    <xf numFmtId="0" fontId="5" fillId="55" borderId="10" xfId="1" applyFont="1" applyFill="1" applyBorder="1" applyAlignment="1">
      <alignment horizontal="center" vertical="center"/>
    </xf>
    <xf numFmtId="0" fontId="5" fillId="56" borderId="10" xfId="1" applyFont="1" applyFill="1" applyBorder="1" applyAlignment="1">
      <alignment horizontal="center" vertical="center"/>
    </xf>
    <xf numFmtId="0" fontId="8" fillId="57" borderId="10" xfId="1" applyFont="1" applyFill="1" applyBorder="1" applyAlignment="1">
      <alignment horizontal="center" vertical="center"/>
    </xf>
    <xf numFmtId="0" fontId="5" fillId="58" borderId="10" xfId="1" applyFont="1" applyFill="1" applyBorder="1" applyAlignment="1">
      <alignment horizontal="center" vertical="center"/>
    </xf>
    <xf numFmtId="0" fontId="5" fillId="59" borderId="10" xfId="1" applyFont="1" applyFill="1" applyBorder="1" applyAlignment="1">
      <alignment horizontal="center" vertical="center"/>
    </xf>
    <xf numFmtId="0" fontId="5" fillId="60" borderId="10" xfId="1" applyFont="1" applyFill="1" applyBorder="1" applyAlignment="1">
      <alignment horizontal="center" vertical="center"/>
    </xf>
    <xf numFmtId="0" fontId="5" fillId="61" borderId="10" xfId="1" applyFont="1" applyFill="1" applyBorder="1" applyAlignment="1">
      <alignment horizontal="center" vertical="center"/>
    </xf>
    <xf numFmtId="0" fontId="5" fillId="62" borderId="10" xfId="1" applyFont="1" applyFill="1" applyBorder="1" applyAlignment="1">
      <alignment horizontal="center" vertical="center"/>
    </xf>
    <xf numFmtId="0" fontId="5" fillId="63" borderId="10" xfId="1" applyFont="1" applyFill="1" applyBorder="1" applyAlignment="1">
      <alignment horizontal="center" vertical="center"/>
    </xf>
    <xf numFmtId="0" fontId="5" fillId="64" borderId="10" xfId="1" applyFont="1" applyFill="1" applyBorder="1" applyAlignment="1">
      <alignment horizontal="center" vertical="center"/>
    </xf>
    <xf numFmtId="0" fontId="5" fillId="65" borderId="10" xfId="1" applyFont="1" applyFill="1" applyBorder="1" applyAlignment="1">
      <alignment horizontal="center" vertical="center"/>
    </xf>
    <xf numFmtId="179" fontId="0" fillId="0" borderId="10" xfId="0" applyNumberFormat="1" applyBorder="1" applyAlignment="1">
      <alignment horizontal="center" vertical="center"/>
    </xf>
    <xf numFmtId="179" fontId="0" fillId="107" borderId="10" xfId="0" applyNumberFormat="1" applyFill="1" applyBorder="1" applyAlignment="1">
      <alignment horizontal="center"/>
    </xf>
    <xf numFmtId="176" fontId="33" fillId="139" borderId="10" xfId="0" applyNumberFormat="1" applyFont="1" applyFill="1" applyBorder="1" applyAlignment="1">
      <alignment horizontal="center" vertical="center"/>
    </xf>
    <xf numFmtId="176" fontId="0" fillId="107" borderId="10" xfId="0" applyNumberFormat="1" applyFill="1" applyBorder="1" applyAlignment="1">
      <alignment horizontal="center"/>
    </xf>
    <xf numFmtId="0" fontId="0" fillId="0" borderId="20" xfId="0" applyBorder="1"/>
    <xf numFmtId="178" fontId="42" fillId="0" borderId="10" xfId="0" applyNumberFormat="1" applyFont="1" applyBorder="1"/>
    <xf numFmtId="0" fontId="43" fillId="69" borderId="0" xfId="0" applyFont="1" applyFill="1" applyAlignment="1">
      <alignment horizontal="center" vertical="center"/>
    </xf>
    <xf numFmtId="0" fontId="43" fillId="69" borderId="10" xfId="0" applyFont="1" applyFill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6" fillId="0" borderId="10" xfId="0" applyFont="1" applyBorder="1" applyAlignment="1">
      <alignment horizontal="center" vertical="center"/>
    </xf>
    <xf numFmtId="0" fontId="43" fillId="0" borderId="0" xfId="0" applyFont="1"/>
    <xf numFmtId="176" fontId="9" fillId="0" borderId="10" xfId="2" applyNumberFormat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80" borderId="0" xfId="0" applyFont="1" applyFill="1" applyAlignment="1">
      <alignment vertical="center"/>
    </xf>
    <xf numFmtId="176" fontId="10" fillId="0" borderId="10" xfId="2" applyNumberFormat="1" applyFont="1" applyBorder="1" applyAlignment="1">
      <alignment horizontal="center" vertical="center"/>
    </xf>
    <xf numFmtId="0" fontId="48" fillId="90" borderId="0" xfId="1" applyFont="1" applyFill="1" applyAlignment="1">
      <alignment horizontal="center" vertical="center"/>
    </xf>
    <xf numFmtId="0" fontId="49" fillId="100" borderId="0" xfId="0" applyFont="1" applyFill="1" applyAlignment="1">
      <alignment horizontal="center" vertical="center" wrapText="1"/>
    </xf>
    <xf numFmtId="0" fontId="43" fillId="87" borderId="0" xfId="0" applyFont="1" applyFill="1" applyAlignment="1">
      <alignment vertical="center"/>
    </xf>
    <xf numFmtId="0" fontId="43" fillId="81" borderId="0" xfId="0" applyFont="1" applyFill="1" applyAlignment="1">
      <alignment vertical="center"/>
    </xf>
    <xf numFmtId="0" fontId="48" fillId="91" borderId="0" xfId="1" applyFont="1" applyFill="1" applyAlignment="1">
      <alignment horizontal="center" vertical="center"/>
    </xf>
    <xf numFmtId="0" fontId="49" fillId="101" borderId="0" xfId="0" applyFont="1" applyFill="1" applyAlignment="1">
      <alignment horizontal="center" vertical="center" wrapText="1"/>
    </xf>
    <xf numFmtId="0" fontId="43" fillId="82" borderId="0" xfId="0" applyFont="1" applyFill="1" applyAlignment="1">
      <alignment vertical="center"/>
    </xf>
    <xf numFmtId="0" fontId="48" fillId="92" borderId="0" xfId="1" applyFont="1" applyFill="1" applyAlignment="1">
      <alignment horizontal="center" vertical="center"/>
    </xf>
    <xf numFmtId="0" fontId="49" fillId="102" borderId="0" xfId="0" applyFont="1" applyFill="1" applyAlignment="1">
      <alignment horizontal="center" vertical="center" wrapText="1"/>
    </xf>
    <xf numFmtId="0" fontId="43" fillId="83" borderId="0" xfId="0" applyFont="1" applyFill="1" applyAlignment="1">
      <alignment vertical="center"/>
    </xf>
    <xf numFmtId="0" fontId="48" fillId="93" borderId="0" xfId="1" applyFont="1" applyFill="1" applyAlignment="1">
      <alignment horizontal="center" vertical="center"/>
    </xf>
    <xf numFmtId="176" fontId="50" fillId="0" borderId="10" xfId="2" applyNumberFormat="1" applyFont="1" applyBorder="1" applyAlignment="1">
      <alignment horizontal="center" vertical="center"/>
    </xf>
    <xf numFmtId="0" fontId="43" fillId="84" borderId="0" xfId="0" applyFont="1" applyFill="1" applyAlignment="1">
      <alignment vertical="center"/>
    </xf>
    <xf numFmtId="0" fontId="48" fillId="94" borderId="0" xfId="1" applyFont="1" applyFill="1" applyAlignment="1">
      <alignment horizontal="center" vertical="center"/>
    </xf>
    <xf numFmtId="0" fontId="49" fillId="66" borderId="0" xfId="0" applyFont="1" applyFill="1" applyAlignment="1">
      <alignment horizontal="center" vertical="center" wrapText="1"/>
    </xf>
    <xf numFmtId="0" fontId="43" fillId="85" borderId="0" xfId="0" applyFont="1" applyFill="1" applyAlignment="1">
      <alignment vertical="center"/>
    </xf>
    <xf numFmtId="0" fontId="48" fillId="95" borderId="0" xfId="1" applyFont="1" applyFill="1" applyAlignment="1">
      <alignment horizontal="center" vertical="center"/>
    </xf>
    <xf numFmtId="0" fontId="49" fillId="25" borderId="0" xfId="0" applyFont="1" applyFill="1" applyAlignment="1">
      <alignment horizontal="center" vertical="center" wrapText="1"/>
    </xf>
    <xf numFmtId="0" fontId="43" fillId="86" borderId="0" xfId="0" applyFont="1" applyFill="1" applyAlignment="1">
      <alignment vertical="center"/>
    </xf>
    <xf numFmtId="0" fontId="48" fillId="96" borderId="0" xfId="1" applyFont="1" applyFill="1" applyAlignment="1">
      <alignment horizontal="center" vertical="center"/>
    </xf>
    <xf numFmtId="0" fontId="49" fillId="103" borderId="0" xfId="0" applyFont="1" applyFill="1" applyAlignment="1">
      <alignment horizontal="center" vertical="center" wrapText="1"/>
    </xf>
    <xf numFmtId="0" fontId="48" fillId="97" borderId="0" xfId="1" applyFont="1" applyFill="1" applyAlignment="1">
      <alignment horizontal="center" vertical="center"/>
    </xf>
    <xf numFmtId="0" fontId="49" fillId="104" borderId="0" xfId="0" applyFont="1" applyFill="1" applyAlignment="1">
      <alignment horizontal="center" vertical="center" wrapText="1"/>
    </xf>
    <xf numFmtId="0" fontId="43" fillId="88" borderId="0" xfId="0" applyFont="1" applyFill="1" applyAlignment="1">
      <alignment vertical="center"/>
    </xf>
    <xf numFmtId="0" fontId="48" fillId="98" borderId="0" xfId="1" applyFont="1" applyFill="1" applyAlignment="1">
      <alignment horizontal="center" vertical="center"/>
    </xf>
    <xf numFmtId="0" fontId="49" fillId="105" borderId="0" xfId="0" applyFont="1" applyFill="1" applyAlignment="1">
      <alignment horizontal="center" vertical="center" wrapText="1"/>
    </xf>
    <xf numFmtId="0" fontId="43" fillId="89" borderId="0" xfId="0" applyFont="1" applyFill="1" applyAlignment="1">
      <alignment vertical="center"/>
    </xf>
    <xf numFmtId="0" fontId="48" fillId="99" borderId="0" xfId="1" applyFont="1" applyFill="1" applyAlignment="1">
      <alignment horizontal="center" vertical="center"/>
    </xf>
    <xf numFmtId="179" fontId="43" fillId="0" borderId="0" xfId="0" applyNumberFormat="1" applyFont="1" applyAlignment="1">
      <alignment horizontal="center" vertical="center"/>
    </xf>
    <xf numFmtId="0" fontId="49" fillId="106" borderId="0" xfId="0" applyFont="1" applyFill="1" applyAlignment="1">
      <alignment horizontal="center" vertical="center" wrapText="1"/>
    </xf>
    <xf numFmtId="177" fontId="43" fillId="0" borderId="10" xfId="0" applyNumberFormat="1" applyFont="1" applyBorder="1" applyAlignment="1">
      <alignment horizontal="center" vertical="center"/>
    </xf>
    <xf numFmtId="178" fontId="43" fillId="0" borderId="10" xfId="0" applyNumberFormat="1" applyFont="1" applyBorder="1" applyAlignment="1">
      <alignment horizontal="center" vertical="center"/>
    </xf>
    <xf numFmtId="0" fontId="43" fillId="107" borderId="10" xfId="0" applyFont="1" applyFill="1" applyBorder="1" applyAlignment="1">
      <alignment horizontal="center" vertical="center"/>
    </xf>
    <xf numFmtId="178" fontId="43" fillId="107" borderId="10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107" borderId="17" xfId="0" applyFill="1" applyBorder="1" applyAlignment="1">
      <alignment horizontal="center"/>
    </xf>
    <xf numFmtId="0" fontId="0" fillId="107" borderId="0" xfId="0" applyFill="1" applyAlignment="1">
      <alignment horizontal="center"/>
    </xf>
    <xf numFmtId="0" fontId="14" fillId="0" borderId="16" xfId="0" applyFont="1" applyBorder="1" applyAlignment="1">
      <alignment horizontal="center" vertical="center"/>
    </xf>
    <xf numFmtId="0" fontId="0" fillId="69" borderId="10" xfId="0" applyFill="1" applyBorder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9" borderId="11" xfId="0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69" borderId="13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3" fillId="69" borderId="10" xfId="0" applyFont="1" applyFill="1" applyBorder="1" applyAlignment="1">
      <alignment horizontal="center" vertical="center"/>
    </xf>
    <xf numFmtId="0" fontId="43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140" borderId="0" xfId="0" applyFill="1" applyAlignment="1">
      <alignment horizontal="center" vertical="center" wrapText="1"/>
    </xf>
    <xf numFmtId="0" fontId="43" fillId="140" borderId="0" xfId="0" applyFont="1" applyFill="1" applyAlignment="1">
      <alignment horizontal="center" vertical="center" wrapText="1"/>
    </xf>
    <xf numFmtId="0" fontId="42" fillId="0" borderId="10" xfId="0" applyFont="1" applyBorder="1" applyAlignment="1">
      <alignment horizontal="center"/>
    </xf>
    <xf numFmtId="0" fontId="43" fillId="0" borderId="16" xfId="0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69" borderId="15" xfId="0" applyFill="1" applyBorder="1" applyAlignment="1">
      <alignment horizontal="center" vertical="center"/>
    </xf>
    <xf numFmtId="0" fontId="0" fillId="69" borderId="14" xfId="0" applyFill="1" applyBorder="1" applyAlignment="1">
      <alignment horizontal="center" vertical="center"/>
    </xf>
  </cellXfs>
  <cellStyles count="92">
    <cellStyle name="20% - 강조색1" xfId="20" builtinId="30" customBuiltin="1"/>
    <cellStyle name="20% - 강조색1 2" xfId="71" xr:uid="{1053034F-E0A3-4427-9864-E57F22FD2A28}"/>
    <cellStyle name="20% - 강조색1 3" xfId="48" xr:uid="{552D8D37-0285-44BA-809F-6BE9306FFF7D}"/>
    <cellStyle name="20% - 강조색2" xfId="24" builtinId="34" customBuiltin="1"/>
    <cellStyle name="20% - 강조색2 2" xfId="74" xr:uid="{1527231A-DB74-47AF-ACAE-BFA3F768BDED}"/>
    <cellStyle name="20% - 강조색2 3" xfId="51" xr:uid="{CDFDDD74-7DC3-4947-9F16-0EB15DA8029F}"/>
    <cellStyle name="20% - 강조색3" xfId="28" builtinId="38" customBuiltin="1"/>
    <cellStyle name="20% - 강조색3 2" xfId="77" xr:uid="{5674CF40-2101-47BE-885F-D9888759079E}"/>
    <cellStyle name="20% - 강조색3 3" xfId="54" xr:uid="{6E913B6E-0BDE-4309-A01D-B0489D586E17}"/>
    <cellStyle name="20% - 강조색4" xfId="32" builtinId="42" customBuiltin="1"/>
    <cellStyle name="20% - 강조색4 2" xfId="80" xr:uid="{52D20F2A-424E-4F25-97D2-5363F9434F92}"/>
    <cellStyle name="20% - 강조색4 3" xfId="57" xr:uid="{152AA325-4EC8-4597-90D3-D6EF1DFBF636}"/>
    <cellStyle name="20% - 강조색5" xfId="36" builtinId="46" customBuiltin="1"/>
    <cellStyle name="20% - 강조색5 2" xfId="83" xr:uid="{786FC484-5965-403B-827C-16DCF6D0DDCB}"/>
    <cellStyle name="20% - 강조색5 3" xfId="60" xr:uid="{F1E430BA-12D1-4F9F-87E8-2069A9756F85}"/>
    <cellStyle name="20% - 강조색6" xfId="40" builtinId="50" customBuiltin="1"/>
    <cellStyle name="20% - 강조색6 2" xfId="86" xr:uid="{8EC9005D-BA18-445C-A812-449386D26D5A}"/>
    <cellStyle name="20% - 강조색6 3" xfId="63" xr:uid="{AECD1E4A-BFD8-473E-8CA0-1D9F5F7FC13A}"/>
    <cellStyle name="40% - 강조색1" xfId="21" builtinId="31" customBuiltin="1"/>
    <cellStyle name="40% - 강조색1 2" xfId="72" xr:uid="{298B2E4D-FE5F-4068-8EB2-D496DE344B77}"/>
    <cellStyle name="40% - 강조색1 3" xfId="49" xr:uid="{2ACF4CD1-CD9F-4F97-989F-4523CA054C63}"/>
    <cellStyle name="40% - 강조색2" xfId="25" builtinId="35" customBuiltin="1"/>
    <cellStyle name="40% - 강조색2 2" xfId="75" xr:uid="{FEF26F63-8908-45D5-BE57-A1E3D8CAEB80}"/>
    <cellStyle name="40% - 강조색2 3" xfId="52" xr:uid="{C189120C-47F4-4A28-91F7-35041F96E687}"/>
    <cellStyle name="40% - 강조색3" xfId="29" builtinId="39" customBuiltin="1"/>
    <cellStyle name="40% - 강조색3 2" xfId="78" xr:uid="{6158E392-88AF-40D1-A343-BBD5F01959D7}"/>
    <cellStyle name="40% - 강조색3 3" xfId="55" xr:uid="{F79AF63A-118C-44CB-B4B3-47048F1C188F}"/>
    <cellStyle name="40% - 강조색4" xfId="33" builtinId="43" customBuiltin="1"/>
    <cellStyle name="40% - 강조색4 2" xfId="81" xr:uid="{1325D068-9829-4CE5-B98F-0CDF735E9320}"/>
    <cellStyle name="40% - 강조색4 3" xfId="58" xr:uid="{DD38A30E-2D73-4D08-8E5C-AE17965D4571}"/>
    <cellStyle name="40% - 강조색5" xfId="37" builtinId="47" customBuiltin="1"/>
    <cellStyle name="40% - 강조색5 2" xfId="84" xr:uid="{A6BD8DE5-912C-4234-B0E7-60FF0A90C71A}"/>
    <cellStyle name="40% - 강조색5 3" xfId="61" xr:uid="{829606EF-C22C-4E0A-88A3-4B756861177E}"/>
    <cellStyle name="40% - 강조색6" xfId="41" builtinId="51" customBuiltin="1"/>
    <cellStyle name="40% - 강조색6 2" xfId="87" xr:uid="{7561CA85-1EA8-41AC-A8A1-6F45C329913E}"/>
    <cellStyle name="40% - 강조색6 3" xfId="64" xr:uid="{10A76877-5180-4652-B584-6E36C77AB2D1}"/>
    <cellStyle name="60% - 강조색1" xfId="22" builtinId="32" customBuiltin="1"/>
    <cellStyle name="60% - 강조색1 2" xfId="73" xr:uid="{D6EE2D7C-961E-4F18-A638-6E41B1AE296E}"/>
    <cellStyle name="60% - 강조색1 3" xfId="50" xr:uid="{A5CF8888-7453-4057-9312-F526FC897C3F}"/>
    <cellStyle name="60% - 강조색2" xfId="26" builtinId="36" customBuiltin="1"/>
    <cellStyle name="60% - 강조색2 2" xfId="76" xr:uid="{110BAE5F-72A0-491A-859D-ACA6D9F9C32F}"/>
    <cellStyle name="60% - 강조색2 3" xfId="53" xr:uid="{CACDBE4D-211D-46FD-B945-532254090FA2}"/>
    <cellStyle name="60% - 강조색3" xfId="30" builtinId="40" customBuiltin="1"/>
    <cellStyle name="60% - 강조색3 2" xfId="79" xr:uid="{22F5FDA3-4DF4-4242-8CC0-4D0516D14542}"/>
    <cellStyle name="60% - 강조색3 3" xfId="56" xr:uid="{550F3325-7CE6-4011-BC57-18970F6593F5}"/>
    <cellStyle name="60% - 강조색4" xfId="34" builtinId="44" customBuiltin="1"/>
    <cellStyle name="60% - 강조색4 2" xfId="82" xr:uid="{88BAB5EF-E4FF-4CAD-8470-ADA08B12D867}"/>
    <cellStyle name="60% - 강조색4 3" xfId="59" xr:uid="{EC8532A8-91BD-4544-B685-BB6549462D77}"/>
    <cellStyle name="60% - 강조색5" xfId="38" builtinId="48" customBuiltin="1"/>
    <cellStyle name="60% - 강조색5 2" xfId="85" xr:uid="{D833E24F-C706-4496-A5C3-DC904D5A3BCD}"/>
    <cellStyle name="60% - 강조색5 3" xfId="62" xr:uid="{ECC02A79-C4BA-4581-8B55-BD3D30A74B15}"/>
    <cellStyle name="60% - 강조색6" xfId="42" builtinId="52" customBuiltin="1"/>
    <cellStyle name="60% - 강조색6 2" xfId="88" xr:uid="{2CC1C53F-64B5-4BC3-AAF8-53E987BB6FCE}"/>
    <cellStyle name="60% - 강조색6 3" xfId="65" xr:uid="{9CD757A8-8450-4423-825D-568D5A957043}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 2" xfId="45" xr:uid="{FAD63DB4-5201-475F-AE4D-2197040F369D}"/>
    <cellStyle name="메모 2 2" xfId="91" xr:uid="{8FA25AAA-623A-4164-B647-5AB794915B35}"/>
    <cellStyle name="메모 2 3" xfId="68" xr:uid="{AECD271E-17BA-4260-90DE-9673F92025E9}"/>
    <cellStyle name="보통" xfId="10" builtinId="28" customBuiltin="1"/>
    <cellStyle name="설명 텍스트" xfId="17" builtinId="53" customBuiltin="1"/>
    <cellStyle name="셀 확인" xfId="15" builtinId="23" customBuiltin="1"/>
    <cellStyle name="연결된 셀" xfId="14" builtinId="24" customBuiltin="1"/>
    <cellStyle name="요약" xfId="18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2" xfId="1" xr:uid="{5F1577BF-FE4F-4DA8-9704-B43961B55992}"/>
    <cellStyle name="표준 2 2" xfId="2" xr:uid="{E44F09AC-2734-4799-BC73-0CE9F54BCE7E}"/>
    <cellStyle name="표준 2 2 2" xfId="43" xr:uid="{29FDD198-C9E4-4F60-AFBC-AC297BE3EE51}"/>
    <cellStyle name="표준 2 2 2 2" xfId="89" xr:uid="{26CC9427-8236-4D89-B314-44EA16137B7B}"/>
    <cellStyle name="표준 2 2 2 3" xfId="66" xr:uid="{47726B52-122C-43A8-8813-95EA15179CE4}"/>
    <cellStyle name="표준 2 2 3" xfId="70" xr:uid="{D4C65CC7-B56B-420F-A5AA-59E1AD277CE0}"/>
    <cellStyle name="표준 2 2 4" xfId="47" xr:uid="{E3F4CBA7-9361-46EB-B9B5-1F1287C713BD}"/>
    <cellStyle name="표준 2 3" xfId="44" xr:uid="{8DA176AD-1B4D-434A-833E-461FB782FF62}"/>
    <cellStyle name="표준 2 3 2" xfId="90" xr:uid="{63BB284A-830D-45F1-8B2E-1506A361D1B7}"/>
    <cellStyle name="표준 2 3 3" xfId="67" xr:uid="{1E2879E4-87BB-4F47-AD0C-740936FC0DB6}"/>
    <cellStyle name="표준 2 4" xfId="69" xr:uid="{66F96760-1C7F-448A-948A-CAA8832D8DF0}"/>
    <cellStyle name="표준 2 5" xfId="46" xr:uid="{551CC0E8-051C-4E06-89E9-F3EB112201B5}"/>
  </cellStyles>
  <dxfs count="0"/>
  <tableStyles count="0" defaultTableStyle="TableStyleMedium2" defaultPivotStyle="PivotStyleLight16"/>
  <colors>
    <mruColors>
      <color rgb="FF1640F4"/>
      <color rgb="FF3907E0"/>
      <color rgb="FF7C0CEF"/>
      <color rgb="FFF32417"/>
      <color rgb="FFFE8203"/>
      <color rgb="FFF5E0C8"/>
      <color rgb="FFE1EE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전문가 색상 </a:t>
            </a:r>
            <a:r>
              <a:rPr lang="en-US" altLang="ko-KR"/>
              <a:t>Cx </a:t>
            </a:r>
            <a:r>
              <a:rPr lang="ko-KR" altLang="en-US"/>
              <a:t>오차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>
        <c:manualLayout>
          <c:layoutTarget val="inner"/>
          <c:xMode val="edge"/>
          <c:yMode val="edge"/>
          <c:x val="2.3877182078709036E-2"/>
          <c:y val="0.11621119522299241"/>
          <c:w val="0.96353896374933456"/>
          <c:h val="0.71127460048812385"/>
        </c:manualLayout>
      </c:layout>
      <c:lineChart>
        <c:grouping val="standard"/>
        <c:varyColors val="0"/>
        <c:ser>
          <c:idx val="0"/>
          <c:order val="0"/>
          <c:tx>
            <c:v>모비스 Default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'전문가색상 54색'!$F$4:$F$54</c:f>
              <c:numCache>
                <c:formatCode>0.000</c:formatCode>
                <c:ptCount val="51"/>
                <c:pt idx="0">
                  <c:v>0.29659999999999997</c:v>
                </c:pt>
                <c:pt idx="1">
                  <c:v>0.32937</c:v>
                </c:pt>
                <c:pt idx="2">
                  <c:v>0.51727999999999996</c:v>
                </c:pt>
                <c:pt idx="3">
                  <c:v>0.58682999999999996</c:v>
                </c:pt>
                <c:pt idx="4">
                  <c:v>0.29699999999999999</c:v>
                </c:pt>
                <c:pt idx="5">
                  <c:v>0.22844</c:v>
                </c:pt>
                <c:pt idx="6">
                  <c:v>0.16152</c:v>
                </c:pt>
                <c:pt idx="7">
                  <c:v>0.17596999999999999</c:v>
                </c:pt>
                <c:pt idx="8">
                  <c:v>0.31192999999999999</c:v>
                </c:pt>
                <c:pt idx="9">
                  <c:v>0.25833</c:v>
                </c:pt>
                <c:pt idx="10">
                  <c:v>0.19763</c:v>
                </c:pt>
                <c:pt idx="11">
                  <c:v>0.30370999999999998</c:v>
                </c:pt>
                <c:pt idx="12">
                  <c:v>0.26643</c:v>
                </c:pt>
                <c:pt idx="13">
                  <c:v>0.39599000000000001</c:v>
                </c:pt>
                <c:pt idx="14">
                  <c:v>0.49687999999999999</c:v>
                </c:pt>
                <c:pt idx="15">
                  <c:v>0.43759999999999999</c:v>
                </c:pt>
                <c:pt idx="16">
                  <c:v>0.18945000000000001</c:v>
                </c:pt>
                <c:pt idx="17">
                  <c:v>0.31273000000000001</c:v>
                </c:pt>
                <c:pt idx="18">
                  <c:v>0.63990999999999998</c:v>
                </c:pt>
                <c:pt idx="19">
                  <c:v>0.27287</c:v>
                </c:pt>
                <c:pt idx="20">
                  <c:v>0.29727999999999999</c:v>
                </c:pt>
                <c:pt idx="21">
                  <c:v>0.51129999999999998</c:v>
                </c:pt>
                <c:pt idx="22">
                  <c:v>0.60202999999999995</c:v>
                </c:pt>
                <c:pt idx="23">
                  <c:v>0.62704000000000004</c:v>
                </c:pt>
                <c:pt idx="24">
                  <c:v>0.63944999999999996</c:v>
                </c:pt>
                <c:pt idx="25">
                  <c:v>0.26593</c:v>
                </c:pt>
                <c:pt idx="26">
                  <c:v>0.19114999999999999</c:v>
                </c:pt>
                <c:pt idx="27">
                  <c:v>0.17471</c:v>
                </c:pt>
                <c:pt idx="28">
                  <c:v>0.18432000000000001</c:v>
                </c:pt>
                <c:pt idx="29">
                  <c:v>0.32716000000000001</c:v>
                </c:pt>
                <c:pt idx="30">
                  <c:v>0.15346000000000001</c:v>
                </c:pt>
                <c:pt idx="31">
                  <c:v>0.21</c:v>
                </c:pt>
                <c:pt idx="32">
                  <c:v>0.47871000000000002</c:v>
                </c:pt>
                <c:pt idx="33">
                  <c:v>0.21</c:v>
                </c:pt>
                <c:pt idx="34">
                  <c:v>0.64</c:v>
                </c:pt>
                <c:pt idx="35">
                  <c:v>0.60116999999999998</c:v>
                </c:pt>
                <c:pt idx="36">
                  <c:v>0.57308999999999999</c:v>
                </c:pt>
                <c:pt idx="37">
                  <c:v>0.20277999999999999</c:v>
                </c:pt>
                <c:pt idx="38">
                  <c:v>0.15068999999999999</c:v>
                </c:pt>
                <c:pt idx="39">
                  <c:v>0.15346000000000001</c:v>
                </c:pt>
                <c:pt idx="40">
                  <c:v>0.19545000000000001</c:v>
                </c:pt>
                <c:pt idx="41">
                  <c:v>0.21</c:v>
                </c:pt>
                <c:pt idx="42">
                  <c:v>0.31273000000000001</c:v>
                </c:pt>
                <c:pt idx="43">
                  <c:v>0.18448000000000001</c:v>
                </c:pt>
                <c:pt idx="44">
                  <c:v>0.60940000000000005</c:v>
                </c:pt>
                <c:pt idx="45">
                  <c:v>0.60940000000000005</c:v>
                </c:pt>
                <c:pt idx="46">
                  <c:v>0.16633999999999999</c:v>
                </c:pt>
                <c:pt idx="47">
                  <c:v>0.22803000000000001</c:v>
                </c:pt>
                <c:pt idx="48">
                  <c:v>0.25833</c:v>
                </c:pt>
                <c:pt idx="49">
                  <c:v>0.35955999999999999</c:v>
                </c:pt>
                <c:pt idx="50">
                  <c:v>0.22803000000000001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1D-47A5-9552-4FC606FA78BE}"/>
            </c:ext>
          </c:extLst>
        </c:ser>
        <c:ser>
          <c:idx val="1"/>
          <c:order val="1"/>
          <c:tx>
            <c:v>GT 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'전문가색상 54색'!$L$4:$L$54</c:f>
              <c:numCache>
                <c:formatCode>General</c:formatCode>
                <c:ptCount val="51"/>
                <c:pt idx="0">
                  <c:v>0.29699999999999999</c:v>
                </c:pt>
                <c:pt idx="1">
                  <c:v>0.32900000000000001</c:v>
                </c:pt>
                <c:pt idx="2">
                  <c:v>0.51700000000000002</c:v>
                </c:pt>
                <c:pt idx="3">
                  <c:v>0.58799999999999997</c:v>
                </c:pt>
                <c:pt idx="4">
                  <c:v>0.63200000000000001</c:v>
                </c:pt>
                <c:pt idx="5">
                  <c:v>0.22800000000000001</c:v>
                </c:pt>
                <c:pt idx="6">
                  <c:v>0.161</c:v>
                </c:pt>
                <c:pt idx="7">
                  <c:v>0.17699999999999999</c:v>
                </c:pt>
                <c:pt idx="8">
                  <c:v>0.3</c:v>
                </c:pt>
                <c:pt idx="9">
                  <c:v>0.254</c:v>
                </c:pt>
                <c:pt idx="10">
                  <c:v>0.19800000000000001</c:v>
                </c:pt>
                <c:pt idx="11">
                  <c:v>0.30499999999999999</c:v>
                </c:pt>
                <c:pt idx="12">
                  <c:v>0.26300000000000001</c:v>
                </c:pt>
                <c:pt idx="13">
                  <c:v>0.39700000000000002</c:v>
                </c:pt>
                <c:pt idx="14">
                  <c:v>0.499</c:v>
                </c:pt>
                <c:pt idx="15">
                  <c:v>0.44</c:v>
                </c:pt>
                <c:pt idx="16">
                  <c:v>0.188</c:v>
                </c:pt>
                <c:pt idx="17">
                  <c:v>0.311</c:v>
                </c:pt>
                <c:pt idx="18">
                  <c:v>0.63800000000000001</c:v>
                </c:pt>
                <c:pt idx="19">
                  <c:v>0.27400000000000002</c:v>
                </c:pt>
                <c:pt idx="20">
                  <c:v>0.29799999999999999</c:v>
                </c:pt>
                <c:pt idx="21">
                  <c:v>0.51300000000000001</c:v>
                </c:pt>
                <c:pt idx="22">
                  <c:v>0.60099999999999998</c:v>
                </c:pt>
                <c:pt idx="23">
                  <c:v>0.627</c:v>
                </c:pt>
                <c:pt idx="24">
                  <c:v>0.64100000000000001</c:v>
                </c:pt>
                <c:pt idx="25">
                  <c:v>0.26700000000000002</c:v>
                </c:pt>
                <c:pt idx="26">
                  <c:v>0.193</c:v>
                </c:pt>
                <c:pt idx="27">
                  <c:v>0.17599999999999999</c:v>
                </c:pt>
                <c:pt idx="28">
                  <c:v>0.183</c:v>
                </c:pt>
                <c:pt idx="29">
                  <c:v>0.32500000000000001</c:v>
                </c:pt>
                <c:pt idx="30">
                  <c:v>0.153</c:v>
                </c:pt>
                <c:pt idx="31">
                  <c:v>0.192</c:v>
                </c:pt>
                <c:pt idx="32">
                  <c:v>0.47599999999999998</c:v>
                </c:pt>
                <c:pt idx="33">
                  <c:v>0.192</c:v>
                </c:pt>
                <c:pt idx="34">
                  <c:v>0.64</c:v>
                </c:pt>
                <c:pt idx="35">
                  <c:v>0.6</c:v>
                </c:pt>
                <c:pt idx="36">
                  <c:v>0.57199999999999995</c:v>
                </c:pt>
                <c:pt idx="37">
                  <c:v>0.20499999999999999</c:v>
                </c:pt>
                <c:pt idx="38">
                  <c:v>0.153</c:v>
                </c:pt>
                <c:pt idx="39">
                  <c:v>0.151</c:v>
                </c:pt>
                <c:pt idx="40">
                  <c:v>0.19500000000000001</c:v>
                </c:pt>
                <c:pt idx="41">
                  <c:v>0.192</c:v>
                </c:pt>
                <c:pt idx="42">
                  <c:v>0.313</c:v>
                </c:pt>
                <c:pt idx="43">
                  <c:v>0.184</c:v>
                </c:pt>
                <c:pt idx="44">
                  <c:v>0.60699999999999998</c:v>
                </c:pt>
                <c:pt idx="45">
                  <c:v>0.60699999999999998</c:v>
                </c:pt>
                <c:pt idx="46">
                  <c:v>0.16800000000000001</c:v>
                </c:pt>
                <c:pt idx="47">
                  <c:v>0.22800000000000001</c:v>
                </c:pt>
                <c:pt idx="48">
                  <c:v>0.25800000000000001</c:v>
                </c:pt>
                <c:pt idx="49">
                  <c:v>0.35399999999999998</c:v>
                </c:pt>
                <c:pt idx="50">
                  <c:v>0.22700000000000001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1D-47A5-9552-4FC606FA7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5209839"/>
        <c:axId val="1105210319"/>
      </c:lineChart>
      <c:catAx>
        <c:axId val="11052098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5210319"/>
        <c:crosses val="autoZero"/>
        <c:auto val="1"/>
        <c:lblAlgn val="ctr"/>
        <c:lblOffset val="100"/>
        <c:noMultiLvlLbl val="0"/>
      </c:catAx>
      <c:valAx>
        <c:axId val="110521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520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전문가 색상 </a:t>
            </a:r>
            <a:r>
              <a:rPr lang="en-US" altLang="ko-KR"/>
              <a:t>Cy</a:t>
            </a:r>
            <a:r>
              <a:rPr lang="en-US" altLang="ko-KR" baseline="0"/>
              <a:t> </a:t>
            </a:r>
            <a:r>
              <a:rPr lang="ko-KR" altLang="en-US" baseline="0"/>
              <a:t>오차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64673998098875E-2"/>
          <c:y val="0.14166596855567135"/>
          <c:w val="0.94962152460259075"/>
          <c:h val="0.69698926089469382"/>
        </c:manualLayout>
      </c:layout>
      <c:lineChart>
        <c:grouping val="standard"/>
        <c:varyColors val="0"/>
        <c:ser>
          <c:idx val="0"/>
          <c:order val="0"/>
          <c:tx>
            <c:v>모비스 Default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'전문가색상 54색'!$G$4:$G$54</c:f>
              <c:numCache>
                <c:formatCode>0.000</c:formatCode>
                <c:ptCount val="51"/>
                <c:pt idx="0">
                  <c:v>0.32073000000000002</c:v>
                </c:pt>
                <c:pt idx="1">
                  <c:v>0.33933000000000002</c:v>
                </c:pt>
                <c:pt idx="2">
                  <c:v>0.43662000000000001</c:v>
                </c:pt>
                <c:pt idx="3">
                  <c:v>0.32984000000000002</c:v>
                </c:pt>
                <c:pt idx="4">
                  <c:v>0.14199999999999999</c:v>
                </c:pt>
                <c:pt idx="5">
                  <c:v>0.10854</c:v>
                </c:pt>
                <c:pt idx="6">
                  <c:v>0.16786000000000001</c:v>
                </c:pt>
                <c:pt idx="7">
                  <c:v>0.34110000000000001</c:v>
                </c:pt>
                <c:pt idx="8">
                  <c:v>0.61539999999999995</c:v>
                </c:pt>
                <c:pt idx="9">
                  <c:v>0.30124000000000001</c:v>
                </c:pt>
                <c:pt idx="10">
                  <c:v>0.22852</c:v>
                </c:pt>
                <c:pt idx="11">
                  <c:v>0.38968999999999998</c:v>
                </c:pt>
                <c:pt idx="12">
                  <c:v>0.21495</c:v>
                </c:pt>
                <c:pt idx="13">
                  <c:v>0.28621000000000002</c:v>
                </c:pt>
                <c:pt idx="14">
                  <c:v>0.35761999999999999</c:v>
                </c:pt>
                <c:pt idx="15">
                  <c:v>0.4219</c:v>
                </c:pt>
                <c:pt idx="16">
                  <c:v>0.32011000000000001</c:v>
                </c:pt>
                <c:pt idx="17">
                  <c:v>0.32901999999999998</c:v>
                </c:pt>
                <c:pt idx="18">
                  <c:v>0.32995000000000002</c:v>
                </c:pt>
                <c:pt idx="19">
                  <c:v>0.28921999999999998</c:v>
                </c:pt>
                <c:pt idx="20">
                  <c:v>0.27190999999999999</c:v>
                </c:pt>
                <c:pt idx="21">
                  <c:v>0.37468000000000001</c:v>
                </c:pt>
                <c:pt idx="22">
                  <c:v>0.36354999999999998</c:v>
                </c:pt>
                <c:pt idx="23">
                  <c:v>0.33285999999999999</c:v>
                </c:pt>
                <c:pt idx="24">
                  <c:v>0.32969999999999999</c:v>
                </c:pt>
                <c:pt idx="25">
                  <c:v>0.12388</c:v>
                </c:pt>
                <c:pt idx="26">
                  <c:v>8.2669999999999993E-2</c:v>
                </c:pt>
                <c:pt idx="27">
                  <c:v>0.106</c:v>
                </c:pt>
                <c:pt idx="28">
                  <c:v>0.43181000000000003</c:v>
                </c:pt>
                <c:pt idx="29">
                  <c:v>0.58289000000000002</c:v>
                </c:pt>
                <c:pt idx="30">
                  <c:v>9.7519999999999996E-2</c:v>
                </c:pt>
                <c:pt idx="31">
                  <c:v>0.71</c:v>
                </c:pt>
                <c:pt idx="32">
                  <c:v>0.47254000000000002</c:v>
                </c:pt>
                <c:pt idx="33">
                  <c:v>0.71</c:v>
                </c:pt>
                <c:pt idx="34">
                  <c:v>0.33</c:v>
                </c:pt>
                <c:pt idx="35">
                  <c:v>0.36431000000000002</c:v>
                </c:pt>
                <c:pt idx="36">
                  <c:v>0.32979999999999998</c:v>
                </c:pt>
                <c:pt idx="37">
                  <c:v>8.9080000000000006E-2</c:v>
                </c:pt>
                <c:pt idx="38">
                  <c:v>6.0380000000000003E-2</c:v>
                </c:pt>
                <c:pt idx="39">
                  <c:v>9.7519999999999996E-2</c:v>
                </c:pt>
                <c:pt idx="40">
                  <c:v>0.55235999999999996</c:v>
                </c:pt>
                <c:pt idx="41">
                  <c:v>0.71</c:v>
                </c:pt>
                <c:pt idx="42">
                  <c:v>0.32901999999999998</c:v>
                </c:pt>
                <c:pt idx="43">
                  <c:v>0.36168</c:v>
                </c:pt>
                <c:pt idx="44">
                  <c:v>0.35704000000000002</c:v>
                </c:pt>
                <c:pt idx="45">
                  <c:v>0.35704000000000002</c:v>
                </c:pt>
                <c:pt idx="46">
                  <c:v>0.23696</c:v>
                </c:pt>
                <c:pt idx="47">
                  <c:v>0.10299</c:v>
                </c:pt>
                <c:pt idx="48">
                  <c:v>0.30124000000000001</c:v>
                </c:pt>
                <c:pt idx="49">
                  <c:v>0.57782999999999995</c:v>
                </c:pt>
                <c:pt idx="50">
                  <c:v>0.10299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AD-475A-87F6-356B4C04B9C5}"/>
            </c:ext>
          </c:extLst>
        </c:ser>
        <c:ser>
          <c:idx val="1"/>
          <c:order val="1"/>
          <c:tx>
            <c:v>GT 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'전문가색상 54색'!$M$4:$M$54</c:f>
              <c:numCache>
                <c:formatCode>General</c:formatCode>
                <c:ptCount val="51"/>
                <c:pt idx="0">
                  <c:v>0.32100000000000001</c:v>
                </c:pt>
                <c:pt idx="1">
                  <c:v>0.33900000000000002</c:v>
                </c:pt>
                <c:pt idx="2">
                  <c:v>0.436</c:v>
                </c:pt>
                <c:pt idx="3">
                  <c:v>0.33</c:v>
                </c:pt>
                <c:pt idx="4">
                  <c:v>0.32800000000000001</c:v>
                </c:pt>
                <c:pt idx="5">
                  <c:v>0.109</c:v>
                </c:pt>
                <c:pt idx="6">
                  <c:v>0.16800000000000001</c:v>
                </c:pt>
                <c:pt idx="7">
                  <c:v>0.34100000000000003</c:v>
                </c:pt>
                <c:pt idx="8">
                  <c:v>0.60199999999999998</c:v>
                </c:pt>
                <c:pt idx="9">
                  <c:v>0.3</c:v>
                </c:pt>
                <c:pt idx="10">
                  <c:v>0.22800000000000001</c:v>
                </c:pt>
                <c:pt idx="11">
                  <c:v>0.39200000000000002</c:v>
                </c:pt>
                <c:pt idx="12">
                  <c:v>0.216</c:v>
                </c:pt>
                <c:pt idx="13">
                  <c:v>0.28699999999999998</c:v>
                </c:pt>
                <c:pt idx="14">
                  <c:v>0.35599999999999998</c:v>
                </c:pt>
                <c:pt idx="15">
                  <c:v>0.42499999999999999</c:v>
                </c:pt>
                <c:pt idx="16">
                  <c:v>0.32100000000000001</c:v>
                </c:pt>
                <c:pt idx="17">
                  <c:v>0.33</c:v>
                </c:pt>
                <c:pt idx="18">
                  <c:v>0.33</c:v>
                </c:pt>
                <c:pt idx="19">
                  <c:v>0.28899999999999998</c:v>
                </c:pt>
                <c:pt idx="20">
                  <c:v>0.27300000000000002</c:v>
                </c:pt>
                <c:pt idx="21">
                  <c:v>0.377</c:v>
                </c:pt>
                <c:pt idx="22">
                  <c:v>0.36399999999999999</c:v>
                </c:pt>
                <c:pt idx="23">
                  <c:v>0.33500000000000002</c:v>
                </c:pt>
                <c:pt idx="24">
                  <c:v>0.33300000000000002</c:v>
                </c:pt>
                <c:pt idx="25">
                  <c:v>0.126</c:v>
                </c:pt>
                <c:pt idx="26">
                  <c:v>8.2000000000000003E-2</c:v>
                </c:pt>
                <c:pt idx="27">
                  <c:v>0.105</c:v>
                </c:pt>
                <c:pt idx="28">
                  <c:v>0.433</c:v>
                </c:pt>
                <c:pt idx="29">
                  <c:v>0.58199999999999996</c:v>
                </c:pt>
                <c:pt idx="30">
                  <c:v>9.9000000000000005E-2</c:v>
                </c:pt>
                <c:pt idx="31">
                  <c:v>0.68200000000000005</c:v>
                </c:pt>
                <c:pt idx="32">
                  <c:v>0.47</c:v>
                </c:pt>
                <c:pt idx="33">
                  <c:v>0.68200000000000005</c:v>
                </c:pt>
                <c:pt idx="34">
                  <c:v>0.33100000000000002</c:v>
                </c:pt>
                <c:pt idx="35">
                  <c:v>0.36399999999999999</c:v>
                </c:pt>
                <c:pt idx="36">
                  <c:v>0.33300000000000002</c:v>
                </c:pt>
                <c:pt idx="37">
                  <c:v>0.09</c:v>
                </c:pt>
                <c:pt idx="38">
                  <c:v>6.0999999999999999E-2</c:v>
                </c:pt>
                <c:pt idx="39">
                  <c:v>9.7000000000000003E-2</c:v>
                </c:pt>
                <c:pt idx="40">
                  <c:v>0.55400000000000005</c:v>
                </c:pt>
                <c:pt idx="41">
                  <c:v>0.68200000000000005</c:v>
                </c:pt>
                <c:pt idx="42">
                  <c:v>0.32900000000000001</c:v>
                </c:pt>
                <c:pt idx="43">
                  <c:v>0.36299999999999999</c:v>
                </c:pt>
                <c:pt idx="44">
                  <c:v>0.35599999999999998</c:v>
                </c:pt>
                <c:pt idx="45">
                  <c:v>0.35599999999999998</c:v>
                </c:pt>
                <c:pt idx="46">
                  <c:v>0.23699999999999999</c:v>
                </c:pt>
                <c:pt idx="47">
                  <c:v>0.105</c:v>
                </c:pt>
                <c:pt idx="48">
                  <c:v>0.30199999999999999</c:v>
                </c:pt>
                <c:pt idx="49">
                  <c:v>0.56100000000000005</c:v>
                </c:pt>
                <c:pt idx="50">
                  <c:v>0.10199999999999999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AD-475A-87F6-356B4C04B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0202640"/>
        <c:axId val="1110191120"/>
      </c:lineChart>
      <c:catAx>
        <c:axId val="1110202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0191120"/>
        <c:crosses val="autoZero"/>
        <c:auto val="1"/>
        <c:lblAlgn val="ctr"/>
        <c:lblOffset val="100"/>
        <c:noMultiLvlLbl val="0"/>
      </c:catAx>
      <c:valAx>
        <c:axId val="111019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020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Cx </a:t>
            </a:r>
            <a:r>
              <a:rPr lang="ko-KR" altLang="en-US"/>
              <a:t>비교</a:t>
            </a:r>
            <a:r>
              <a:rPr lang="en-US" altLang="ko-KR"/>
              <a:t>(</a:t>
            </a:r>
            <a:r>
              <a:rPr lang="ko-KR" altLang="en-US"/>
              <a:t>전문가칼라</a:t>
            </a:r>
            <a:r>
              <a:rPr lang="en-US" altLang="ko-KR"/>
              <a:t>)</a:t>
            </a:r>
          </a:p>
          <a:p>
            <a:pPr>
              <a:defRPr/>
            </a:pP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모비스 Default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'전문가색상 54색'!$F$4:$F$54</c:f>
              <c:numCache>
                <c:formatCode>0.000</c:formatCode>
                <c:ptCount val="51"/>
                <c:pt idx="0">
                  <c:v>0.29659999999999997</c:v>
                </c:pt>
                <c:pt idx="1">
                  <c:v>0.32937</c:v>
                </c:pt>
                <c:pt idx="2">
                  <c:v>0.51727999999999996</c:v>
                </c:pt>
                <c:pt idx="3">
                  <c:v>0.58682999999999996</c:v>
                </c:pt>
                <c:pt idx="4">
                  <c:v>0.29699999999999999</c:v>
                </c:pt>
                <c:pt idx="5">
                  <c:v>0.22844</c:v>
                </c:pt>
                <c:pt idx="6">
                  <c:v>0.16152</c:v>
                </c:pt>
                <c:pt idx="7">
                  <c:v>0.17596999999999999</c:v>
                </c:pt>
                <c:pt idx="8">
                  <c:v>0.31192999999999999</c:v>
                </c:pt>
                <c:pt idx="9">
                  <c:v>0.25833</c:v>
                </c:pt>
                <c:pt idx="10">
                  <c:v>0.19763</c:v>
                </c:pt>
                <c:pt idx="11">
                  <c:v>0.30370999999999998</c:v>
                </c:pt>
                <c:pt idx="12">
                  <c:v>0.26643</c:v>
                </c:pt>
                <c:pt idx="13">
                  <c:v>0.39599000000000001</c:v>
                </c:pt>
                <c:pt idx="14">
                  <c:v>0.49687999999999999</c:v>
                </c:pt>
                <c:pt idx="15">
                  <c:v>0.43759999999999999</c:v>
                </c:pt>
                <c:pt idx="16">
                  <c:v>0.18945000000000001</c:v>
                </c:pt>
                <c:pt idx="17">
                  <c:v>0.31273000000000001</c:v>
                </c:pt>
                <c:pt idx="18">
                  <c:v>0.63990999999999998</c:v>
                </c:pt>
                <c:pt idx="19">
                  <c:v>0.27287</c:v>
                </c:pt>
                <c:pt idx="20">
                  <c:v>0.29727999999999999</c:v>
                </c:pt>
                <c:pt idx="21">
                  <c:v>0.51129999999999998</c:v>
                </c:pt>
                <c:pt idx="22">
                  <c:v>0.60202999999999995</c:v>
                </c:pt>
                <c:pt idx="23">
                  <c:v>0.62704000000000004</c:v>
                </c:pt>
                <c:pt idx="24">
                  <c:v>0.63944999999999996</c:v>
                </c:pt>
                <c:pt idx="25">
                  <c:v>0.26593</c:v>
                </c:pt>
                <c:pt idx="26">
                  <c:v>0.19114999999999999</c:v>
                </c:pt>
                <c:pt idx="27">
                  <c:v>0.17471</c:v>
                </c:pt>
                <c:pt idx="28">
                  <c:v>0.18432000000000001</c:v>
                </c:pt>
                <c:pt idx="29">
                  <c:v>0.32716000000000001</c:v>
                </c:pt>
                <c:pt idx="30">
                  <c:v>0.15346000000000001</c:v>
                </c:pt>
                <c:pt idx="31">
                  <c:v>0.21</c:v>
                </c:pt>
                <c:pt idx="32">
                  <c:v>0.47871000000000002</c:v>
                </c:pt>
                <c:pt idx="33">
                  <c:v>0.21</c:v>
                </c:pt>
                <c:pt idx="34">
                  <c:v>0.64</c:v>
                </c:pt>
                <c:pt idx="35">
                  <c:v>0.60116999999999998</c:v>
                </c:pt>
                <c:pt idx="36">
                  <c:v>0.57308999999999999</c:v>
                </c:pt>
                <c:pt idx="37">
                  <c:v>0.20277999999999999</c:v>
                </c:pt>
                <c:pt idx="38">
                  <c:v>0.15068999999999999</c:v>
                </c:pt>
                <c:pt idx="39">
                  <c:v>0.15346000000000001</c:v>
                </c:pt>
                <c:pt idx="40">
                  <c:v>0.19545000000000001</c:v>
                </c:pt>
                <c:pt idx="41">
                  <c:v>0.21</c:v>
                </c:pt>
                <c:pt idx="42">
                  <c:v>0.31273000000000001</c:v>
                </c:pt>
                <c:pt idx="43">
                  <c:v>0.18448000000000001</c:v>
                </c:pt>
                <c:pt idx="44">
                  <c:v>0.60940000000000005</c:v>
                </c:pt>
                <c:pt idx="45">
                  <c:v>0.60940000000000005</c:v>
                </c:pt>
                <c:pt idx="46">
                  <c:v>0.16633999999999999</c:v>
                </c:pt>
                <c:pt idx="47">
                  <c:v>0.22803000000000001</c:v>
                </c:pt>
                <c:pt idx="48">
                  <c:v>0.25833</c:v>
                </c:pt>
                <c:pt idx="49">
                  <c:v>0.35955999999999999</c:v>
                </c:pt>
                <c:pt idx="50">
                  <c:v>0.22803000000000001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79-4014-8953-0C278A4E1F64}"/>
            </c:ext>
          </c:extLst>
        </c:ser>
        <c:ser>
          <c:idx val="1"/>
          <c:order val="1"/>
          <c:tx>
            <c:v>GT 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'전문가색상 54색'!$Q$4:$Q$54</c:f>
              <c:numCache>
                <c:formatCode>General</c:formatCode>
                <c:ptCount val="51"/>
                <c:pt idx="0">
                  <c:v>0.29799999999999999</c:v>
                </c:pt>
                <c:pt idx="1">
                  <c:v>0.32800000000000001</c:v>
                </c:pt>
                <c:pt idx="2">
                  <c:v>0.51800000000000002</c:v>
                </c:pt>
                <c:pt idx="3">
                  <c:v>0.58799999999999997</c:v>
                </c:pt>
                <c:pt idx="4">
                  <c:v>0.29799999999999999</c:v>
                </c:pt>
                <c:pt idx="5">
                  <c:v>0.22800000000000001</c:v>
                </c:pt>
                <c:pt idx="6">
                  <c:v>0.161</c:v>
                </c:pt>
                <c:pt idx="7">
                  <c:v>0.17599999999999999</c:v>
                </c:pt>
                <c:pt idx="8">
                  <c:v>0.30299999999999999</c:v>
                </c:pt>
                <c:pt idx="9">
                  <c:v>0.25900000000000001</c:v>
                </c:pt>
                <c:pt idx="10">
                  <c:v>0.19800000000000001</c:v>
                </c:pt>
                <c:pt idx="11">
                  <c:v>0.30299999999999999</c:v>
                </c:pt>
                <c:pt idx="12">
                  <c:v>0.26700000000000002</c:v>
                </c:pt>
                <c:pt idx="13">
                  <c:v>0.39600000000000002</c:v>
                </c:pt>
                <c:pt idx="14">
                  <c:v>0.498</c:v>
                </c:pt>
                <c:pt idx="15">
                  <c:v>0.438</c:v>
                </c:pt>
                <c:pt idx="16">
                  <c:v>0.19</c:v>
                </c:pt>
                <c:pt idx="17">
                  <c:v>0.312</c:v>
                </c:pt>
                <c:pt idx="18">
                  <c:v>0.64100000000000001</c:v>
                </c:pt>
                <c:pt idx="19">
                  <c:v>0.27100000000000002</c:v>
                </c:pt>
                <c:pt idx="20">
                  <c:v>0.29799999999999999</c:v>
                </c:pt>
                <c:pt idx="21">
                  <c:v>0.51100000000000001</c:v>
                </c:pt>
                <c:pt idx="22">
                  <c:v>0.60299999999999998</c:v>
                </c:pt>
                <c:pt idx="23">
                  <c:v>0.629</c:v>
                </c:pt>
                <c:pt idx="24">
                  <c:v>0.64100000000000001</c:v>
                </c:pt>
                <c:pt idx="25">
                  <c:v>0.26500000000000001</c:v>
                </c:pt>
                <c:pt idx="26">
                  <c:v>0.192</c:v>
                </c:pt>
                <c:pt idx="27">
                  <c:v>0.17399999999999999</c:v>
                </c:pt>
                <c:pt idx="28">
                  <c:v>0.185</c:v>
                </c:pt>
                <c:pt idx="29">
                  <c:v>0.32700000000000001</c:v>
                </c:pt>
                <c:pt idx="30">
                  <c:v>0.153</c:v>
                </c:pt>
                <c:pt idx="31">
                  <c:v>0.20899999999999999</c:v>
                </c:pt>
                <c:pt idx="32">
                  <c:v>0.47699999999999998</c:v>
                </c:pt>
                <c:pt idx="33">
                  <c:v>0.20899999999999999</c:v>
                </c:pt>
                <c:pt idx="34">
                  <c:v>0.64200000000000002</c:v>
                </c:pt>
                <c:pt idx="35">
                  <c:v>0.6</c:v>
                </c:pt>
                <c:pt idx="36">
                  <c:v>0.57199999999999995</c:v>
                </c:pt>
                <c:pt idx="37">
                  <c:v>0.20200000000000001</c:v>
                </c:pt>
                <c:pt idx="38">
                  <c:v>0.152</c:v>
                </c:pt>
                <c:pt idx="39">
                  <c:v>0.152</c:v>
                </c:pt>
                <c:pt idx="40">
                  <c:v>0.19600000000000001</c:v>
                </c:pt>
                <c:pt idx="41">
                  <c:v>0.20899999999999999</c:v>
                </c:pt>
                <c:pt idx="42">
                  <c:v>0.312</c:v>
                </c:pt>
                <c:pt idx="43">
                  <c:v>0.183</c:v>
                </c:pt>
                <c:pt idx="44">
                  <c:v>0.60899999999999999</c:v>
                </c:pt>
                <c:pt idx="45">
                  <c:v>0.60899999999999999</c:v>
                </c:pt>
                <c:pt idx="46">
                  <c:v>0.16600000000000001</c:v>
                </c:pt>
                <c:pt idx="47">
                  <c:v>0.22900000000000001</c:v>
                </c:pt>
                <c:pt idx="48">
                  <c:v>0.25700000000000001</c:v>
                </c:pt>
                <c:pt idx="49">
                  <c:v>0.35899999999999999</c:v>
                </c:pt>
                <c:pt idx="50">
                  <c:v>0.22800000000000001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79-4014-8953-0C278A4E1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3355424"/>
        <c:axId val="1333355904"/>
      </c:lineChart>
      <c:catAx>
        <c:axId val="1333355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33355904"/>
        <c:crosses val="autoZero"/>
        <c:auto val="1"/>
        <c:lblAlgn val="ctr"/>
        <c:lblOffset val="100"/>
        <c:noMultiLvlLbl val="0"/>
      </c:catAx>
      <c:valAx>
        <c:axId val="133335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3335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Cy</a:t>
            </a:r>
            <a:r>
              <a:rPr lang="ko-KR" altLang="en-US"/>
              <a:t>비교</a:t>
            </a:r>
            <a:r>
              <a:rPr lang="en-US" altLang="ko-KR"/>
              <a:t>(</a:t>
            </a:r>
            <a:r>
              <a:rPr lang="ko-KR" altLang="en-US"/>
              <a:t>전문가칼라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모비스 Default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'전문가색상 54색'!$G$4:$G$54</c:f>
              <c:numCache>
                <c:formatCode>0.000</c:formatCode>
                <c:ptCount val="51"/>
                <c:pt idx="0">
                  <c:v>0.32073000000000002</c:v>
                </c:pt>
                <c:pt idx="1">
                  <c:v>0.33933000000000002</c:v>
                </c:pt>
                <c:pt idx="2">
                  <c:v>0.43662000000000001</c:v>
                </c:pt>
                <c:pt idx="3">
                  <c:v>0.32984000000000002</c:v>
                </c:pt>
                <c:pt idx="4">
                  <c:v>0.14199999999999999</c:v>
                </c:pt>
                <c:pt idx="5">
                  <c:v>0.10854</c:v>
                </c:pt>
                <c:pt idx="6">
                  <c:v>0.16786000000000001</c:v>
                </c:pt>
                <c:pt idx="7">
                  <c:v>0.34110000000000001</c:v>
                </c:pt>
                <c:pt idx="8">
                  <c:v>0.61539999999999995</c:v>
                </c:pt>
                <c:pt idx="9">
                  <c:v>0.30124000000000001</c:v>
                </c:pt>
                <c:pt idx="10">
                  <c:v>0.22852</c:v>
                </c:pt>
                <c:pt idx="11">
                  <c:v>0.38968999999999998</c:v>
                </c:pt>
                <c:pt idx="12">
                  <c:v>0.21495</c:v>
                </c:pt>
                <c:pt idx="13">
                  <c:v>0.28621000000000002</c:v>
                </c:pt>
                <c:pt idx="14">
                  <c:v>0.35761999999999999</c:v>
                </c:pt>
                <c:pt idx="15">
                  <c:v>0.4219</c:v>
                </c:pt>
                <c:pt idx="16">
                  <c:v>0.32011000000000001</c:v>
                </c:pt>
                <c:pt idx="17">
                  <c:v>0.32901999999999998</c:v>
                </c:pt>
                <c:pt idx="18">
                  <c:v>0.32995000000000002</c:v>
                </c:pt>
                <c:pt idx="19">
                  <c:v>0.28921999999999998</c:v>
                </c:pt>
                <c:pt idx="20">
                  <c:v>0.27190999999999999</c:v>
                </c:pt>
                <c:pt idx="21">
                  <c:v>0.37468000000000001</c:v>
                </c:pt>
                <c:pt idx="22">
                  <c:v>0.36354999999999998</c:v>
                </c:pt>
                <c:pt idx="23">
                  <c:v>0.33285999999999999</c:v>
                </c:pt>
                <c:pt idx="24">
                  <c:v>0.32969999999999999</c:v>
                </c:pt>
                <c:pt idx="25">
                  <c:v>0.12388</c:v>
                </c:pt>
                <c:pt idx="26">
                  <c:v>8.2669999999999993E-2</c:v>
                </c:pt>
                <c:pt idx="27">
                  <c:v>0.106</c:v>
                </c:pt>
                <c:pt idx="28">
                  <c:v>0.43181000000000003</c:v>
                </c:pt>
                <c:pt idx="29">
                  <c:v>0.58289000000000002</c:v>
                </c:pt>
                <c:pt idx="30">
                  <c:v>9.7519999999999996E-2</c:v>
                </c:pt>
                <c:pt idx="31">
                  <c:v>0.71</c:v>
                </c:pt>
                <c:pt idx="32">
                  <c:v>0.47254000000000002</c:v>
                </c:pt>
                <c:pt idx="33">
                  <c:v>0.71</c:v>
                </c:pt>
                <c:pt idx="34">
                  <c:v>0.33</c:v>
                </c:pt>
                <c:pt idx="35">
                  <c:v>0.36431000000000002</c:v>
                </c:pt>
                <c:pt idx="36">
                  <c:v>0.32979999999999998</c:v>
                </c:pt>
                <c:pt idx="37">
                  <c:v>8.9080000000000006E-2</c:v>
                </c:pt>
                <c:pt idx="38">
                  <c:v>6.0380000000000003E-2</c:v>
                </c:pt>
                <c:pt idx="39">
                  <c:v>9.7519999999999996E-2</c:v>
                </c:pt>
                <c:pt idx="40">
                  <c:v>0.55235999999999996</c:v>
                </c:pt>
                <c:pt idx="41">
                  <c:v>0.71</c:v>
                </c:pt>
                <c:pt idx="42">
                  <c:v>0.32901999999999998</c:v>
                </c:pt>
                <c:pt idx="43">
                  <c:v>0.36168</c:v>
                </c:pt>
                <c:pt idx="44">
                  <c:v>0.35704000000000002</c:v>
                </c:pt>
                <c:pt idx="45">
                  <c:v>0.35704000000000002</c:v>
                </c:pt>
                <c:pt idx="46">
                  <c:v>0.23696</c:v>
                </c:pt>
                <c:pt idx="47">
                  <c:v>0.10299</c:v>
                </c:pt>
                <c:pt idx="48">
                  <c:v>0.30124000000000001</c:v>
                </c:pt>
                <c:pt idx="49">
                  <c:v>0.57782999999999995</c:v>
                </c:pt>
                <c:pt idx="50">
                  <c:v>0.10299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1B-4B6E-9686-90685789A28C}"/>
            </c:ext>
          </c:extLst>
        </c:ser>
        <c:ser>
          <c:idx val="1"/>
          <c:order val="1"/>
          <c:tx>
            <c:v>GT 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'전문가색상 54색'!$R$4:$R$54</c:f>
              <c:numCache>
                <c:formatCode>General</c:formatCode>
                <c:ptCount val="51"/>
                <c:pt idx="0">
                  <c:v>0.32100000000000001</c:v>
                </c:pt>
                <c:pt idx="1">
                  <c:v>0.34</c:v>
                </c:pt>
                <c:pt idx="2">
                  <c:v>0.437</c:v>
                </c:pt>
                <c:pt idx="3">
                  <c:v>0.32800000000000001</c:v>
                </c:pt>
                <c:pt idx="4">
                  <c:v>0.14399999999999999</c:v>
                </c:pt>
                <c:pt idx="5">
                  <c:v>0.108</c:v>
                </c:pt>
                <c:pt idx="6">
                  <c:v>0.16800000000000001</c:v>
                </c:pt>
                <c:pt idx="7">
                  <c:v>0.34</c:v>
                </c:pt>
                <c:pt idx="8">
                  <c:v>0.60299999999999998</c:v>
                </c:pt>
                <c:pt idx="9">
                  <c:v>0.30099999999999999</c:v>
                </c:pt>
                <c:pt idx="10">
                  <c:v>0.22900000000000001</c:v>
                </c:pt>
                <c:pt idx="11">
                  <c:v>0.39100000000000001</c:v>
                </c:pt>
                <c:pt idx="12">
                  <c:v>0.215</c:v>
                </c:pt>
                <c:pt idx="13">
                  <c:v>0.28599999999999998</c:v>
                </c:pt>
                <c:pt idx="14">
                  <c:v>0.35899999999999999</c:v>
                </c:pt>
                <c:pt idx="15">
                  <c:v>0.42099999999999999</c:v>
                </c:pt>
                <c:pt idx="16">
                  <c:v>0.31900000000000001</c:v>
                </c:pt>
                <c:pt idx="17">
                  <c:v>0.32900000000000001</c:v>
                </c:pt>
                <c:pt idx="18">
                  <c:v>0.33</c:v>
                </c:pt>
                <c:pt idx="19">
                  <c:v>0.28799999999999998</c:v>
                </c:pt>
                <c:pt idx="20">
                  <c:v>0.27400000000000002</c:v>
                </c:pt>
                <c:pt idx="21">
                  <c:v>0.375</c:v>
                </c:pt>
                <c:pt idx="22">
                  <c:v>0.36299999999999999</c:v>
                </c:pt>
                <c:pt idx="23">
                  <c:v>0.33200000000000002</c:v>
                </c:pt>
                <c:pt idx="24">
                  <c:v>0.33100000000000002</c:v>
                </c:pt>
                <c:pt idx="25">
                  <c:v>0.124</c:v>
                </c:pt>
                <c:pt idx="26">
                  <c:v>8.4000000000000005E-2</c:v>
                </c:pt>
                <c:pt idx="27">
                  <c:v>0.106</c:v>
                </c:pt>
                <c:pt idx="28">
                  <c:v>0.43099999999999999</c:v>
                </c:pt>
                <c:pt idx="29">
                  <c:v>0.58299999999999996</c:v>
                </c:pt>
                <c:pt idx="30">
                  <c:v>9.9000000000000005E-2</c:v>
                </c:pt>
                <c:pt idx="31">
                  <c:v>0.68</c:v>
                </c:pt>
                <c:pt idx="32">
                  <c:v>0.47399999999999998</c:v>
                </c:pt>
                <c:pt idx="33">
                  <c:v>0.68</c:v>
                </c:pt>
                <c:pt idx="34">
                  <c:v>0.33100000000000002</c:v>
                </c:pt>
                <c:pt idx="35">
                  <c:v>0.36199999999999999</c:v>
                </c:pt>
                <c:pt idx="36">
                  <c:v>0.32900000000000001</c:v>
                </c:pt>
                <c:pt idx="37">
                  <c:v>8.6999999999999994E-2</c:v>
                </c:pt>
                <c:pt idx="38">
                  <c:v>6.0999999999999999E-2</c:v>
                </c:pt>
                <c:pt idx="39">
                  <c:v>9.9000000000000005E-2</c:v>
                </c:pt>
                <c:pt idx="40">
                  <c:v>0.55200000000000005</c:v>
                </c:pt>
                <c:pt idx="41">
                  <c:v>0.68</c:v>
                </c:pt>
                <c:pt idx="42">
                  <c:v>0.32900000000000001</c:v>
                </c:pt>
                <c:pt idx="43">
                  <c:v>0.36199999999999999</c:v>
                </c:pt>
                <c:pt idx="44">
                  <c:v>0.35599999999999998</c:v>
                </c:pt>
                <c:pt idx="45">
                  <c:v>0.35599999999999998</c:v>
                </c:pt>
                <c:pt idx="46">
                  <c:v>0.23799999999999999</c:v>
                </c:pt>
                <c:pt idx="47">
                  <c:v>0.10299999999999999</c:v>
                </c:pt>
                <c:pt idx="48">
                  <c:v>0.30099999999999999</c:v>
                </c:pt>
                <c:pt idx="49">
                  <c:v>0.56499999999999995</c:v>
                </c:pt>
                <c:pt idx="50">
                  <c:v>0.10299999999999999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1B-4B6E-9686-90685789A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9924912"/>
        <c:axId val="1333353024"/>
      </c:lineChart>
      <c:catAx>
        <c:axId val="1139924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33353024"/>
        <c:crosses val="autoZero"/>
        <c:auto val="1"/>
        <c:lblAlgn val="ctr"/>
        <c:lblOffset val="100"/>
        <c:noMultiLvlLbl val="0"/>
      </c:catAx>
      <c:valAx>
        <c:axId val="133335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3992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목표와의 거리편차</a:t>
            </a: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</a:t>
            </a:r>
            <a:r>
              <a:rPr lang="ko-KR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전문가 칼라</a:t>
            </a: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'전문가색상 54색'!$Y$4:$Y$54</c:f>
              <c:numCache>
                <c:formatCode>0.0000_ </c:formatCode>
                <c:ptCount val="51"/>
                <c:pt idx="0">
                  <c:v>1.4257980221616352E-3</c:v>
                </c:pt>
                <c:pt idx="1">
                  <c:v>1.5250573759698213E-3</c:v>
                </c:pt>
                <c:pt idx="2">
                  <c:v>8.1412529748194854E-4</c:v>
                </c:pt>
                <c:pt idx="3">
                  <c:v>2.180481598179641E-3</c:v>
                </c:pt>
                <c:pt idx="4">
                  <c:v>2.236067977499792E-3</c:v>
                </c:pt>
                <c:pt idx="5">
                  <c:v>6.9656299069071649E-4</c:v>
                </c:pt>
                <c:pt idx="6">
                  <c:v>5.3851648071344372E-4</c:v>
                </c:pt>
                <c:pt idx="7">
                  <c:v>1.1004090148667349E-3</c:v>
                </c:pt>
                <c:pt idx="8">
                  <c:v>1.5280867121992753E-2</c:v>
                </c:pt>
                <c:pt idx="9">
                  <c:v>7.1168813394633323E-4</c:v>
                </c:pt>
                <c:pt idx="10">
                  <c:v>6.0605280298008254E-4</c:v>
                </c:pt>
                <c:pt idx="11">
                  <c:v>1.4900335566691346E-3</c:v>
                </c:pt>
                <c:pt idx="12">
                  <c:v>5.7218878003681309E-4</c:v>
                </c:pt>
                <c:pt idx="13">
                  <c:v>2.1023796041633029E-4</c:v>
                </c:pt>
                <c:pt idx="14">
                  <c:v>1.7773013250431118E-3</c:v>
                </c:pt>
                <c:pt idx="15">
                  <c:v>9.84885780179626E-4</c:v>
                </c:pt>
                <c:pt idx="16">
                  <c:v>1.2387897319561516E-3</c:v>
                </c:pt>
                <c:pt idx="17">
                  <c:v>7.3027392121039814E-4</c:v>
                </c:pt>
                <c:pt idx="18">
                  <c:v>1.0911461863563822E-3</c:v>
                </c:pt>
                <c:pt idx="19">
                  <c:v>2.2327785380552036E-3</c:v>
                </c:pt>
                <c:pt idx="20">
                  <c:v>2.2105429197371738E-3</c:v>
                </c:pt>
                <c:pt idx="21">
                  <c:v>4.3863424398919406E-4</c:v>
                </c:pt>
                <c:pt idx="22">
                  <c:v>1.115078472574933E-3</c:v>
                </c:pt>
                <c:pt idx="23">
                  <c:v>2.140373799129442E-3</c:v>
                </c:pt>
                <c:pt idx="24">
                  <c:v>2.022992832414445E-3</c:v>
                </c:pt>
                <c:pt idx="25">
                  <c:v>9.377099764852529E-4</c:v>
                </c:pt>
                <c:pt idx="26">
                  <c:v>1.5784169284444654E-3</c:v>
                </c:pt>
                <c:pt idx="27">
                  <c:v>7.1000000000001617E-4</c:v>
                </c:pt>
                <c:pt idx="28">
                  <c:v>1.0575916035975485E-3</c:v>
                </c:pt>
                <c:pt idx="29">
                  <c:v>1.9416487838943861E-4</c:v>
                </c:pt>
                <c:pt idx="30">
                  <c:v>1.5498387012847633E-3</c:v>
                </c:pt>
                <c:pt idx="31">
                  <c:v>3.0016662039607185E-2</c:v>
                </c:pt>
                <c:pt idx="32">
                  <c:v>2.2484883811129735E-3</c:v>
                </c:pt>
                <c:pt idx="33">
                  <c:v>3.0016662039607185E-2</c:v>
                </c:pt>
                <c:pt idx="34">
                  <c:v>2.236067977499792E-3</c:v>
                </c:pt>
                <c:pt idx="35">
                  <c:v>2.5894014752448429E-3</c:v>
                </c:pt>
                <c:pt idx="36">
                  <c:v>1.3520724832641277E-3</c:v>
                </c:pt>
                <c:pt idx="37">
                  <c:v>2.221440973782561E-3</c:v>
                </c:pt>
                <c:pt idx="38">
                  <c:v>1.4493101807411721E-3</c:v>
                </c:pt>
                <c:pt idx="39">
                  <c:v>2.0789420386340923E-3</c:v>
                </c:pt>
                <c:pt idx="40">
                  <c:v>6.5734313718174156E-4</c:v>
                </c:pt>
                <c:pt idx="41">
                  <c:v>3.0016662039607185E-2</c:v>
                </c:pt>
                <c:pt idx="42">
                  <c:v>7.3027392121039814E-4</c:v>
                </c:pt>
                <c:pt idx="43">
                  <c:v>1.5141994584598221E-3</c:v>
                </c:pt>
                <c:pt idx="44">
                  <c:v>1.1142710621747918E-3</c:v>
                </c:pt>
                <c:pt idx="45">
                  <c:v>1.1142710621747918E-3</c:v>
                </c:pt>
                <c:pt idx="46">
                  <c:v>1.0941663493271741E-3</c:v>
                </c:pt>
                <c:pt idx="47">
                  <c:v>9.7005154502222059E-4</c:v>
                </c:pt>
                <c:pt idx="48">
                  <c:v>1.3514806694880999E-3</c:v>
                </c:pt>
                <c:pt idx="49">
                  <c:v>1.2842215540941532E-2</c:v>
                </c:pt>
                <c:pt idx="50">
                  <c:v>3.1622776601684703E-5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05-441B-AF38-7D795284C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26127"/>
        <c:axId val="370824463"/>
      </c:lineChart>
      <c:catAx>
        <c:axId val="3101261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0824463"/>
        <c:crosses val="autoZero"/>
        <c:auto val="1"/>
        <c:lblAlgn val="ctr"/>
        <c:lblOffset val="100"/>
        <c:noMultiLvlLbl val="0"/>
      </c:catAx>
      <c:valAx>
        <c:axId val="37082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10126127"/>
        <c:crosses val="autoZero"/>
        <c:crossBetween val="between"/>
        <c:majorUnit val="2.0000000000000005E-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Cx </a:t>
            </a:r>
            <a:r>
              <a:rPr lang="ko-KR" altLang="en-US"/>
              <a:t>비교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7.2825794777318112E-2"/>
          <c:y val="0.20930555555555555"/>
          <c:w val="0.89158356662536253"/>
          <c:h val="0.58202136191309417"/>
        </c:manualLayout>
      </c:layout>
      <c:lineChart>
        <c:grouping val="standard"/>
        <c:varyColors val="0"/>
        <c:ser>
          <c:idx val="0"/>
          <c:order val="0"/>
          <c:tx>
            <c:v>모비스 Default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'커스텀컬러 64색'!$D$4:$D$67</c:f>
              <c:numCache>
                <c:formatCode>General</c:formatCode>
                <c:ptCount val="64"/>
                <c:pt idx="0">
                  <c:v>0.188</c:v>
                </c:pt>
                <c:pt idx="1">
                  <c:v>0.20400000000000001</c:v>
                </c:pt>
                <c:pt idx="2">
                  <c:v>0.22800000000000001</c:v>
                </c:pt>
                <c:pt idx="3">
                  <c:v>0.25600000000000001</c:v>
                </c:pt>
                <c:pt idx="4">
                  <c:v>0.28800000000000003</c:v>
                </c:pt>
                <c:pt idx="5">
                  <c:v>0.32800000000000001</c:v>
                </c:pt>
                <c:pt idx="6">
                  <c:v>0.36799999999999999</c:v>
                </c:pt>
                <c:pt idx="7">
                  <c:v>0.41600000000000004</c:v>
                </c:pt>
                <c:pt idx="8">
                  <c:v>0.48399999999999999</c:v>
                </c:pt>
                <c:pt idx="9">
                  <c:v>0.54</c:v>
                </c:pt>
                <c:pt idx="10">
                  <c:v>0.59199999999999997</c:v>
                </c:pt>
                <c:pt idx="11">
                  <c:v>0.61599999999999999</c:v>
                </c:pt>
                <c:pt idx="12">
                  <c:v>0.63200000000000001</c:v>
                </c:pt>
                <c:pt idx="13">
                  <c:v>0.64</c:v>
                </c:pt>
                <c:pt idx="14">
                  <c:v>0.64</c:v>
                </c:pt>
                <c:pt idx="15">
                  <c:v>0.64</c:v>
                </c:pt>
                <c:pt idx="16">
                  <c:v>0.64</c:v>
                </c:pt>
                <c:pt idx="17">
                  <c:v>0.63600000000000001</c:v>
                </c:pt>
                <c:pt idx="18">
                  <c:v>0.63200000000000001</c:v>
                </c:pt>
                <c:pt idx="19">
                  <c:v>0.628</c:v>
                </c:pt>
                <c:pt idx="20">
                  <c:v>0.624</c:v>
                </c:pt>
                <c:pt idx="21">
                  <c:v>0.61599999999999999</c:v>
                </c:pt>
                <c:pt idx="22">
                  <c:v>0.60799999999999998</c:v>
                </c:pt>
                <c:pt idx="23">
                  <c:v>0.6</c:v>
                </c:pt>
                <c:pt idx="24">
                  <c:v>0.59199999999999997</c:v>
                </c:pt>
                <c:pt idx="25">
                  <c:v>0.57999999999999996</c:v>
                </c:pt>
                <c:pt idx="26">
                  <c:v>0.56400000000000006</c:v>
                </c:pt>
                <c:pt idx="27">
                  <c:v>0.54800000000000004</c:v>
                </c:pt>
                <c:pt idx="28">
                  <c:v>0.52</c:v>
                </c:pt>
                <c:pt idx="29">
                  <c:v>0.504</c:v>
                </c:pt>
                <c:pt idx="30">
                  <c:v>0.48399999999999999</c:v>
                </c:pt>
                <c:pt idx="31">
                  <c:v>0.44400000000000001</c:v>
                </c:pt>
                <c:pt idx="32">
                  <c:v>0.42</c:v>
                </c:pt>
                <c:pt idx="33">
                  <c:v>0.38800000000000001</c:v>
                </c:pt>
                <c:pt idx="34">
                  <c:v>0.36</c:v>
                </c:pt>
                <c:pt idx="35">
                  <c:v>0.34</c:v>
                </c:pt>
                <c:pt idx="36">
                  <c:v>0.32400000000000001</c:v>
                </c:pt>
                <c:pt idx="37">
                  <c:v>0.30399999999999999</c:v>
                </c:pt>
                <c:pt idx="38">
                  <c:v>0.28800000000000003</c:v>
                </c:pt>
                <c:pt idx="39">
                  <c:v>0.27600000000000002</c:v>
                </c:pt>
                <c:pt idx="40">
                  <c:v>0.26</c:v>
                </c:pt>
                <c:pt idx="41">
                  <c:v>0.24399999999999999</c:v>
                </c:pt>
                <c:pt idx="42">
                  <c:v>0.23200000000000001</c:v>
                </c:pt>
                <c:pt idx="43">
                  <c:v>0.216</c:v>
                </c:pt>
                <c:pt idx="44">
                  <c:v>0.19600000000000001</c:v>
                </c:pt>
                <c:pt idx="45">
                  <c:v>0.184</c:v>
                </c:pt>
                <c:pt idx="46">
                  <c:v>0.17599999999999999</c:v>
                </c:pt>
                <c:pt idx="47">
                  <c:v>0.17200000000000001</c:v>
                </c:pt>
                <c:pt idx="48">
                  <c:v>0.16800000000000001</c:v>
                </c:pt>
                <c:pt idx="49">
                  <c:v>0.16800000000000001</c:v>
                </c:pt>
                <c:pt idx="50">
                  <c:v>0.16400000000000001</c:v>
                </c:pt>
                <c:pt idx="51">
                  <c:v>0.16</c:v>
                </c:pt>
                <c:pt idx="52">
                  <c:v>0.16</c:v>
                </c:pt>
                <c:pt idx="53">
                  <c:v>0.156</c:v>
                </c:pt>
                <c:pt idx="54">
                  <c:v>0.152</c:v>
                </c:pt>
                <c:pt idx="55">
                  <c:v>0.152</c:v>
                </c:pt>
                <c:pt idx="56">
                  <c:v>0.152</c:v>
                </c:pt>
                <c:pt idx="57">
                  <c:v>0.152</c:v>
                </c:pt>
                <c:pt idx="58">
                  <c:v>0.156</c:v>
                </c:pt>
                <c:pt idx="59">
                  <c:v>0.16</c:v>
                </c:pt>
                <c:pt idx="60">
                  <c:v>0.16400000000000001</c:v>
                </c:pt>
                <c:pt idx="61">
                  <c:v>0.16800000000000001</c:v>
                </c:pt>
                <c:pt idx="62">
                  <c:v>0.17599999999999999</c:v>
                </c:pt>
                <c:pt idx="6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97-4876-B272-06D691403552}"/>
            </c:ext>
          </c:extLst>
        </c:ser>
        <c:ser>
          <c:idx val="1"/>
          <c:order val="1"/>
          <c:tx>
            <c:v>GT 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'커스텀컬러 64색'!$J$4:$J$67</c:f>
              <c:numCache>
                <c:formatCode>General</c:formatCode>
                <c:ptCount val="64"/>
                <c:pt idx="0">
                  <c:v>0.188</c:v>
                </c:pt>
                <c:pt idx="1">
                  <c:v>0.20399999999999999</c:v>
                </c:pt>
                <c:pt idx="2">
                  <c:v>0.22700000000000001</c:v>
                </c:pt>
                <c:pt idx="3">
                  <c:v>0.25800000000000001</c:v>
                </c:pt>
                <c:pt idx="4">
                  <c:v>0.28999999999999998</c:v>
                </c:pt>
                <c:pt idx="5">
                  <c:v>0.33</c:v>
                </c:pt>
                <c:pt idx="6">
                  <c:v>0.36699999999999999</c:v>
                </c:pt>
                <c:pt idx="7">
                  <c:v>0.41599999999999998</c:v>
                </c:pt>
                <c:pt idx="8">
                  <c:v>0.48299999999999998</c:v>
                </c:pt>
                <c:pt idx="9">
                  <c:v>0.54200000000000004</c:v>
                </c:pt>
                <c:pt idx="10">
                  <c:v>0.59</c:v>
                </c:pt>
                <c:pt idx="11">
                  <c:v>0.61599999999999999</c:v>
                </c:pt>
                <c:pt idx="12">
                  <c:v>0.63400000000000001</c:v>
                </c:pt>
                <c:pt idx="13">
                  <c:v>0.64</c:v>
                </c:pt>
                <c:pt idx="14">
                  <c:v>0.64</c:v>
                </c:pt>
                <c:pt idx="15">
                  <c:v>0.64</c:v>
                </c:pt>
                <c:pt idx="16">
                  <c:v>0.63900000000000001</c:v>
                </c:pt>
                <c:pt idx="17">
                  <c:v>0.63700000000000001</c:v>
                </c:pt>
                <c:pt idx="18">
                  <c:v>0.63100000000000001</c:v>
                </c:pt>
                <c:pt idx="19">
                  <c:v>0.628</c:v>
                </c:pt>
                <c:pt idx="20">
                  <c:v>0.622</c:v>
                </c:pt>
                <c:pt idx="21">
                  <c:v>0.61399999999999999</c:v>
                </c:pt>
                <c:pt idx="22">
                  <c:v>0.60599999999999998</c:v>
                </c:pt>
                <c:pt idx="23">
                  <c:v>0.59799999999999998</c:v>
                </c:pt>
                <c:pt idx="24">
                  <c:v>0.59199999999999997</c:v>
                </c:pt>
                <c:pt idx="25">
                  <c:v>0.57999999999999996</c:v>
                </c:pt>
                <c:pt idx="26">
                  <c:v>0.56499999999999995</c:v>
                </c:pt>
                <c:pt idx="27">
                  <c:v>0.54700000000000004</c:v>
                </c:pt>
                <c:pt idx="28">
                  <c:v>0.52100000000000002</c:v>
                </c:pt>
                <c:pt idx="29">
                  <c:v>0.503</c:v>
                </c:pt>
                <c:pt idx="30">
                  <c:v>0.48099999999999998</c:v>
                </c:pt>
                <c:pt idx="31">
                  <c:v>0.443</c:v>
                </c:pt>
                <c:pt idx="32">
                  <c:v>0.41099999999999998</c:v>
                </c:pt>
                <c:pt idx="33">
                  <c:v>0.38100000000000001</c:v>
                </c:pt>
                <c:pt idx="34">
                  <c:v>0.34499999999999997</c:v>
                </c:pt>
                <c:pt idx="35">
                  <c:v>0.316</c:v>
                </c:pt>
                <c:pt idx="36">
                  <c:v>0.30199999999999999</c:v>
                </c:pt>
                <c:pt idx="37">
                  <c:v>0.29299999999999998</c:v>
                </c:pt>
                <c:pt idx="38">
                  <c:v>0.28999999999999998</c:v>
                </c:pt>
                <c:pt idx="39">
                  <c:v>0.27300000000000002</c:v>
                </c:pt>
                <c:pt idx="40">
                  <c:v>0.26100000000000001</c:v>
                </c:pt>
                <c:pt idx="41">
                  <c:v>0.24099999999999999</c:v>
                </c:pt>
                <c:pt idx="42">
                  <c:v>0.23200000000000001</c:v>
                </c:pt>
                <c:pt idx="43">
                  <c:v>0.217</c:v>
                </c:pt>
                <c:pt idx="44">
                  <c:v>0.19600000000000001</c:v>
                </c:pt>
                <c:pt idx="45">
                  <c:v>0.183</c:v>
                </c:pt>
                <c:pt idx="46">
                  <c:v>0.17599999999999999</c:v>
                </c:pt>
                <c:pt idx="47">
                  <c:v>0.17199999999999999</c:v>
                </c:pt>
                <c:pt idx="48">
                  <c:v>0.17</c:v>
                </c:pt>
                <c:pt idx="49">
                  <c:v>0.16700000000000001</c:v>
                </c:pt>
                <c:pt idx="50">
                  <c:v>0.16300000000000001</c:v>
                </c:pt>
                <c:pt idx="51">
                  <c:v>0.159</c:v>
                </c:pt>
                <c:pt idx="52">
                  <c:v>0.158</c:v>
                </c:pt>
                <c:pt idx="53">
                  <c:v>0.156</c:v>
                </c:pt>
                <c:pt idx="54">
                  <c:v>0.154</c:v>
                </c:pt>
                <c:pt idx="55">
                  <c:v>0.152</c:v>
                </c:pt>
                <c:pt idx="56">
                  <c:v>0.152</c:v>
                </c:pt>
                <c:pt idx="57">
                  <c:v>0.152</c:v>
                </c:pt>
                <c:pt idx="58">
                  <c:v>0.156</c:v>
                </c:pt>
                <c:pt idx="59">
                  <c:v>0.16</c:v>
                </c:pt>
                <c:pt idx="60">
                  <c:v>0.16500000000000001</c:v>
                </c:pt>
                <c:pt idx="61">
                  <c:v>0.16700000000000001</c:v>
                </c:pt>
                <c:pt idx="62">
                  <c:v>0.17499999999999999</c:v>
                </c:pt>
                <c:pt idx="6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97-4876-B272-06D691403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9529872"/>
        <c:axId val="889530352"/>
      </c:lineChart>
      <c:catAx>
        <c:axId val="889529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9530352"/>
        <c:crosses val="autoZero"/>
        <c:auto val="1"/>
        <c:lblAlgn val="ctr"/>
        <c:lblOffset val="100"/>
        <c:noMultiLvlLbl val="0"/>
      </c:catAx>
      <c:valAx>
        <c:axId val="88953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952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Cy</a:t>
            </a:r>
            <a:r>
              <a:rPr lang="en-US" altLang="ko-KR" baseline="0"/>
              <a:t> </a:t>
            </a:r>
            <a:r>
              <a:rPr lang="ko-KR" altLang="en-US" baseline="0"/>
              <a:t>비교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모비스 Default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'커스텀컬러 64색'!$E$4:$E$67</c:f>
              <c:numCache>
                <c:formatCode>General</c:formatCode>
                <c:ptCount val="64"/>
                <c:pt idx="0">
                  <c:v>7.2000000000000008E-2</c:v>
                </c:pt>
                <c:pt idx="1">
                  <c:v>9.1999999999999998E-2</c:v>
                </c:pt>
                <c:pt idx="2">
                  <c:v>0.10400000000000001</c:v>
                </c:pt>
                <c:pt idx="3">
                  <c:v>0.12</c:v>
                </c:pt>
                <c:pt idx="4">
                  <c:v>0.13600000000000001</c:v>
                </c:pt>
                <c:pt idx="5">
                  <c:v>0.156</c:v>
                </c:pt>
                <c:pt idx="6">
                  <c:v>0.18</c:v>
                </c:pt>
                <c:pt idx="7">
                  <c:v>0.20800000000000002</c:v>
                </c:pt>
                <c:pt idx="8">
                  <c:v>0.24399999999999999</c:v>
                </c:pt>
                <c:pt idx="9">
                  <c:v>0.27600000000000002</c:v>
                </c:pt>
                <c:pt idx="10">
                  <c:v>0.30399999999999999</c:v>
                </c:pt>
                <c:pt idx="11">
                  <c:v>0.316</c:v>
                </c:pt>
                <c:pt idx="12">
                  <c:v>0.32800000000000001</c:v>
                </c:pt>
                <c:pt idx="13">
                  <c:v>0.32400000000000001</c:v>
                </c:pt>
                <c:pt idx="14">
                  <c:v>0.32800000000000001</c:v>
                </c:pt>
                <c:pt idx="15">
                  <c:v>0.33200000000000002</c:v>
                </c:pt>
                <c:pt idx="16">
                  <c:v>0.33600000000000002</c:v>
                </c:pt>
                <c:pt idx="17">
                  <c:v>0.33200000000000002</c:v>
                </c:pt>
                <c:pt idx="18">
                  <c:v>0.33600000000000002</c:v>
                </c:pt>
                <c:pt idx="19">
                  <c:v>0.34</c:v>
                </c:pt>
                <c:pt idx="20">
                  <c:v>0.34400000000000003</c:v>
                </c:pt>
                <c:pt idx="21">
                  <c:v>0.35199999999999998</c:v>
                </c:pt>
                <c:pt idx="22">
                  <c:v>0.35599999999999998</c:v>
                </c:pt>
                <c:pt idx="23">
                  <c:v>0.36399999999999999</c:v>
                </c:pt>
                <c:pt idx="24">
                  <c:v>0.372</c:v>
                </c:pt>
                <c:pt idx="25">
                  <c:v>0.38400000000000001</c:v>
                </c:pt>
                <c:pt idx="26">
                  <c:v>0.39600000000000002</c:v>
                </c:pt>
                <c:pt idx="27">
                  <c:v>0.41200000000000003</c:v>
                </c:pt>
                <c:pt idx="28">
                  <c:v>0.436</c:v>
                </c:pt>
                <c:pt idx="29">
                  <c:v>0.45200000000000001</c:v>
                </c:pt>
                <c:pt idx="30">
                  <c:v>0.46800000000000003</c:v>
                </c:pt>
                <c:pt idx="31">
                  <c:v>0.5</c:v>
                </c:pt>
                <c:pt idx="32">
                  <c:v>0.52400000000000002</c:v>
                </c:pt>
                <c:pt idx="33">
                  <c:v>0.55200000000000005</c:v>
                </c:pt>
                <c:pt idx="34">
                  <c:v>0.57600000000000007</c:v>
                </c:pt>
                <c:pt idx="35">
                  <c:v>0.59599999999999997</c:v>
                </c:pt>
                <c:pt idx="36">
                  <c:v>0.60799999999999998</c:v>
                </c:pt>
                <c:pt idx="37">
                  <c:v>0.61199999999999999</c:v>
                </c:pt>
                <c:pt idx="38">
                  <c:v>0.60799999999999998</c:v>
                </c:pt>
                <c:pt idx="39">
                  <c:v>0.59199999999999997</c:v>
                </c:pt>
                <c:pt idx="40">
                  <c:v>0.56400000000000006</c:v>
                </c:pt>
                <c:pt idx="41">
                  <c:v>0.53200000000000003</c:v>
                </c:pt>
                <c:pt idx="42">
                  <c:v>0.49199999999999999</c:v>
                </c:pt>
                <c:pt idx="43">
                  <c:v>0.44800000000000001</c:v>
                </c:pt>
                <c:pt idx="44">
                  <c:v>0.40400000000000003</c:v>
                </c:pt>
                <c:pt idx="45">
                  <c:v>0.36</c:v>
                </c:pt>
                <c:pt idx="46">
                  <c:v>0.32800000000000001</c:v>
                </c:pt>
                <c:pt idx="47">
                  <c:v>0.29599999999999999</c:v>
                </c:pt>
                <c:pt idx="48">
                  <c:v>0.26400000000000001</c:v>
                </c:pt>
                <c:pt idx="49">
                  <c:v>0.23600000000000002</c:v>
                </c:pt>
                <c:pt idx="50">
                  <c:v>0.20400000000000001</c:v>
                </c:pt>
                <c:pt idx="51">
                  <c:v>0.17599999999999999</c:v>
                </c:pt>
                <c:pt idx="52">
                  <c:v>0.14799999999999999</c:v>
                </c:pt>
                <c:pt idx="53">
                  <c:v>0.124</c:v>
                </c:pt>
                <c:pt idx="54">
                  <c:v>0.10400000000000001</c:v>
                </c:pt>
                <c:pt idx="55">
                  <c:v>8.4000000000000005E-2</c:v>
                </c:pt>
                <c:pt idx="56">
                  <c:v>7.2000000000000008E-2</c:v>
                </c:pt>
                <c:pt idx="57">
                  <c:v>6.8000000000000005E-2</c:v>
                </c:pt>
                <c:pt idx="58">
                  <c:v>6.8000000000000005E-2</c:v>
                </c:pt>
                <c:pt idx="59">
                  <c:v>6.8000000000000005E-2</c:v>
                </c:pt>
                <c:pt idx="60">
                  <c:v>6.8000000000000005E-2</c:v>
                </c:pt>
                <c:pt idx="61">
                  <c:v>7.2000000000000008E-2</c:v>
                </c:pt>
                <c:pt idx="62">
                  <c:v>7.2000000000000008E-2</c:v>
                </c:pt>
                <c:pt idx="63">
                  <c:v>7.5999999999999998E-2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69-4896-AAC9-883DD01220EE}"/>
            </c:ext>
          </c:extLst>
        </c:ser>
        <c:ser>
          <c:idx val="1"/>
          <c:order val="1"/>
          <c:tx>
            <c:v>GT 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'커스텀컬러 64색'!$K$4:$K$67</c:f>
              <c:numCache>
                <c:formatCode>General</c:formatCode>
                <c:ptCount val="64"/>
                <c:pt idx="0">
                  <c:v>7.3999999999999996E-2</c:v>
                </c:pt>
                <c:pt idx="1">
                  <c:v>9.2999999999999999E-2</c:v>
                </c:pt>
                <c:pt idx="2">
                  <c:v>0.104</c:v>
                </c:pt>
                <c:pt idx="3">
                  <c:v>0.12</c:v>
                </c:pt>
                <c:pt idx="4">
                  <c:v>0.13500000000000001</c:v>
                </c:pt>
                <c:pt idx="5">
                  <c:v>0.154</c:v>
                </c:pt>
                <c:pt idx="6">
                  <c:v>0.18099999999999999</c:v>
                </c:pt>
                <c:pt idx="7">
                  <c:v>0.20599999999999999</c:v>
                </c:pt>
                <c:pt idx="8">
                  <c:v>0.24099999999999999</c:v>
                </c:pt>
                <c:pt idx="9">
                  <c:v>0.27600000000000002</c:v>
                </c:pt>
                <c:pt idx="10">
                  <c:v>0.30499999999999999</c:v>
                </c:pt>
                <c:pt idx="11">
                  <c:v>0.316</c:v>
                </c:pt>
                <c:pt idx="12">
                  <c:v>0.32800000000000001</c:v>
                </c:pt>
                <c:pt idx="13">
                  <c:v>0.32300000000000001</c:v>
                </c:pt>
                <c:pt idx="14">
                  <c:v>0.33100000000000002</c:v>
                </c:pt>
                <c:pt idx="15">
                  <c:v>0.33200000000000002</c:v>
                </c:pt>
                <c:pt idx="16">
                  <c:v>0.33500000000000002</c:v>
                </c:pt>
                <c:pt idx="17">
                  <c:v>0.33100000000000002</c:v>
                </c:pt>
                <c:pt idx="18">
                  <c:v>0.33600000000000002</c:v>
                </c:pt>
                <c:pt idx="19">
                  <c:v>0.33800000000000002</c:v>
                </c:pt>
                <c:pt idx="20">
                  <c:v>0.34200000000000003</c:v>
                </c:pt>
                <c:pt idx="21">
                  <c:v>0.34899999999999998</c:v>
                </c:pt>
                <c:pt idx="22">
                  <c:v>0.35499999999999998</c:v>
                </c:pt>
                <c:pt idx="23">
                  <c:v>0.36099999999999999</c:v>
                </c:pt>
                <c:pt idx="24">
                  <c:v>0.371</c:v>
                </c:pt>
                <c:pt idx="25">
                  <c:v>0.38600000000000001</c:v>
                </c:pt>
                <c:pt idx="26">
                  <c:v>0.39700000000000002</c:v>
                </c:pt>
                <c:pt idx="27">
                  <c:v>0.41</c:v>
                </c:pt>
                <c:pt idx="28">
                  <c:v>0.434</c:v>
                </c:pt>
                <c:pt idx="29">
                  <c:v>0.45</c:v>
                </c:pt>
                <c:pt idx="30">
                  <c:v>0.46600000000000003</c:v>
                </c:pt>
                <c:pt idx="31">
                  <c:v>0.497</c:v>
                </c:pt>
                <c:pt idx="32">
                  <c:v>0.52200000000000002</c:v>
                </c:pt>
                <c:pt idx="33">
                  <c:v>0.54500000000000004</c:v>
                </c:pt>
                <c:pt idx="34">
                  <c:v>0.57299999999999995</c:v>
                </c:pt>
                <c:pt idx="35">
                  <c:v>0.59399999999999997</c:v>
                </c:pt>
                <c:pt idx="36">
                  <c:v>0.60499999999999998</c:v>
                </c:pt>
                <c:pt idx="37">
                  <c:v>0.61199999999999999</c:v>
                </c:pt>
                <c:pt idx="38">
                  <c:v>0.61099999999999999</c:v>
                </c:pt>
                <c:pt idx="39">
                  <c:v>0.59299999999999997</c:v>
                </c:pt>
                <c:pt idx="40">
                  <c:v>0.56499999999999995</c:v>
                </c:pt>
                <c:pt idx="41">
                  <c:v>0.53500000000000003</c:v>
                </c:pt>
                <c:pt idx="42">
                  <c:v>0.49299999999999999</c:v>
                </c:pt>
                <c:pt idx="43">
                  <c:v>0.44500000000000001</c:v>
                </c:pt>
                <c:pt idx="44">
                  <c:v>0.40300000000000002</c:v>
                </c:pt>
                <c:pt idx="45">
                  <c:v>0.36</c:v>
                </c:pt>
                <c:pt idx="46">
                  <c:v>0.32600000000000001</c:v>
                </c:pt>
                <c:pt idx="47">
                  <c:v>0.29899999999999999</c:v>
                </c:pt>
                <c:pt idx="48">
                  <c:v>0.26400000000000001</c:v>
                </c:pt>
                <c:pt idx="49">
                  <c:v>0.23699999999999999</c:v>
                </c:pt>
                <c:pt idx="50">
                  <c:v>0.20599999999999999</c:v>
                </c:pt>
                <c:pt idx="51">
                  <c:v>0.17599999999999999</c:v>
                </c:pt>
                <c:pt idx="52">
                  <c:v>0.14799999999999999</c:v>
                </c:pt>
                <c:pt idx="53">
                  <c:v>0.124</c:v>
                </c:pt>
                <c:pt idx="54">
                  <c:v>0.105</c:v>
                </c:pt>
                <c:pt idx="55">
                  <c:v>8.4000000000000005E-2</c:v>
                </c:pt>
                <c:pt idx="56">
                  <c:v>7.2999999999999995E-2</c:v>
                </c:pt>
                <c:pt idx="57">
                  <c:v>6.8000000000000005E-2</c:v>
                </c:pt>
                <c:pt idx="58">
                  <c:v>6.8000000000000005E-2</c:v>
                </c:pt>
                <c:pt idx="59">
                  <c:v>6.9000000000000006E-2</c:v>
                </c:pt>
                <c:pt idx="60">
                  <c:v>6.9000000000000006E-2</c:v>
                </c:pt>
                <c:pt idx="61">
                  <c:v>7.0999999999999994E-2</c:v>
                </c:pt>
                <c:pt idx="62">
                  <c:v>7.0999999999999994E-2</c:v>
                </c:pt>
                <c:pt idx="63">
                  <c:v>7.6999999999999999E-2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69-4896-AAC9-883DD0122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9091568"/>
        <c:axId val="889093968"/>
      </c:lineChart>
      <c:catAx>
        <c:axId val="8890915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9093968"/>
        <c:crosses val="autoZero"/>
        <c:auto val="1"/>
        <c:lblAlgn val="ctr"/>
        <c:lblOffset val="100"/>
        <c:noMultiLvlLbl val="0"/>
      </c:catAx>
      <c:valAx>
        <c:axId val="88909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909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Cx</a:t>
            </a:r>
            <a:r>
              <a:rPr lang="ko-KR" altLang="en-US"/>
              <a:t>비교</a:t>
            </a:r>
            <a:r>
              <a:rPr lang="en-US" altLang="ko-KR"/>
              <a:t>(</a:t>
            </a:r>
            <a:r>
              <a:rPr lang="ko-KR" altLang="en-US"/>
              <a:t>커스텀칼라</a:t>
            </a:r>
            <a:r>
              <a:rPr lang="en-US" altLang="ko-KR"/>
              <a:t>)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모비스 Default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'커스텀컬러 64색'!$D$4:$D$67</c:f>
              <c:numCache>
                <c:formatCode>General</c:formatCode>
                <c:ptCount val="64"/>
                <c:pt idx="0">
                  <c:v>0.188</c:v>
                </c:pt>
                <c:pt idx="1">
                  <c:v>0.20400000000000001</c:v>
                </c:pt>
                <c:pt idx="2">
                  <c:v>0.22800000000000001</c:v>
                </c:pt>
                <c:pt idx="3">
                  <c:v>0.25600000000000001</c:v>
                </c:pt>
                <c:pt idx="4">
                  <c:v>0.28800000000000003</c:v>
                </c:pt>
                <c:pt idx="5">
                  <c:v>0.32800000000000001</c:v>
                </c:pt>
                <c:pt idx="6">
                  <c:v>0.36799999999999999</c:v>
                </c:pt>
                <c:pt idx="7">
                  <c:v>0.41600000000000004</c:v>
                </c:pt>
                <c:pt idx="8">
                  <c:v>0.48399999999999999</c:v>
                </c:pt>
                <c:pt idx="9">
                  <c:v>0.54</c:v>
                </c:pt>
                <c:pt idx="10">
                  <c:v>0.59199999999999997</c:v>
                </c:pt>
                <c:pt idx="11">
                  <c:v>0.61599999999999999</c:v>
                </c:pt>
                <c:pt idx="12">
                  <c:v>0.63200000000000001</c:v>
                </c:pt>
                <c:pt idx="13">
                  <c:v>0.64</c:v>
                </c:pt>
                <c:pt idx="14">
                  <c:v>0.64</c:v>
                </c:pt>
                <c:pt idx="15">
                  <c:v>0.64</c:v>
                </c:pt>
                <c:pt idx="16">
                  <c:v>0.64</c:v>
                </c:pt>
                <c:pt idx="17">
                  <c:v>0.63600000000000001</c:v>
                </c:pt>
                <c:pt idx="18">
                  <c:v>0.63200000000000001</c:v>
                </c:pt>
                <c:pt idx="19">
                  <c:v>0.628</c:v>
                </c:pt>
                <c:pt idx="20">
                  <c:v>0.624</c:v>
                </c:pt>
                <c:pt idx="21">
                  <c:v>0.61599999999999999</c:v>
                </c:pt>
                <c:pt idx="22">
                  <c:v>0.60799999999999998</c:v>
                </c:pt>
                <c:pt idx="23">
                  <c:v>0.6</c:v>
                </c:pt>
                <c:pt idx="24">
                  <c:v>0.59199999999999997</c:v>
                </c:pt>
                <c:pt idx="25">
                  <c:v>0.57999999999999996</c:v>
                </c:pt>
                <c:pt idx="26">
                  <c:v>0.56400000000000006</c:v>
                </c:pt>
                <c:pt idx="27">
                  <c:v>0.54800000000000004</c:v>
                </c:pt>
                <c:pt idx="28">
                  <c:v>0.52</c:v>
                </c:pt>
                <c:pt idx="29">
                  <c:v>0.504</c:v>
                </c:pt>
                <c:pt idx="30">
                  <c:v>0.48399999999999999</c:v>
                </c:pt>
                <c:pt idx="31">
                  <c:v>0.44400000000000001</c:v>
                </c:pt>
                <c:pt idx="32">
                  <c:v>0.42</c:v>
                </c:pt>
                <c:pt idx="33">
                  <c:v>0.38800000000000001</c:v>
                </c:pt>
                <c:pt idx="34">
                  <c:v>0.36</c:v>
                </c:pt>
                <c:pt idx="35">
                  <c:v>0.34</c:v>
                </c:pt>
                <c:pt idx="36">
                  <c:v>0.32400000000000001</c:v>
                </c:pt>
                <c:pt idx="37">
                  <c:v>0.30399999999999999</c:v>
                </c:pt>
                <c:pt idx="38">
                  <c:v>0.28800000000000003</c:v>
                </c:pt>
                <c:pt idx="39">
                  <c:v>0.27600000000000002</c:v>
                </c:pt>
                <c:pt idx="40">
                  <c:v>0.26</c:v>
                </c:pt>
                <c:pt idx="41">
                  <c:v>0.24399999999999999</c:v>
                </c:pt>
                <c:pt idx="42">
                  <c:v>0.23200000000000001</c:v>
                </c:pt>
                <c:pt idx="43">
                  <c:v>0.216</c:v>
                </c:pt>
                <c:pt idx="44">
                  <c:v>0.19600000000000001</c:v>
                </c:pt>
                <c:pt idx="45">
                  <c:v>0.184</c:v>
                </c:pt>
                <c:pt idx="46">
                  <c:v>0.17599999999999999</c:v>
                </c:pt>
                <c:pt idx="47">
                  <c:v>0.17200000000000001</c:v>
                </c:pt>
                <c:pt idx="48">
                  <c:v>0.16800000000000001</c:v>
                </c:pt>
                <c:pt idx="49">
                  <c:v>0.16800000000000001</c:v>
                </c:pt>
                <c:pt idx="50">
                  <c:v>0.16400000000000001</c:v>
                </c:pt>
                <c:pt idx="51">
                  <c:v>0.16</c:v>
                </c:pt>
                <c:pt idx="52">
                  <c:v>0.16</c:v>
                </c:pt>
                <c:pt idx="53">
                  <c:v>0.156</c:v>
                </c:pt>
                <c:pt idx="54">
                  <c:v>0.152</c:v>
                </c:pt>
                <c:pt idx="55">
                  <c:v>0.152</c:v>
                </c:pt>
                <c:pt idx="56">
                  <c:v>0.152</c:v>
                </c:pt>
                <c:pt idx="57">
                  <c:v>0.152</c:v>
                </c:pt>
                <c:pt idx="58">
                  <c:v>0.156</c:v>
                </c:pt>
                <c:pt idx="59">
                  <c:v>0.16</c:v>
                </c:pt>
                <c:pt idx="60">
                  <c:v>0.16400000000000001</c:v>
                </c:pt>
                <c:pt idx="61">
                  <c:v>0.16800000000000001</c:v>
                </c:pt>
                <c:pt idx="62">
                  <c:v>0.17599999999999999</c:v>
                </c:pt>
                <c:pt idx="6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9D-41A4-AAF1-9CD7AD5298AC}"/>
            </c:ext>
          </c:extLst>
        </c:ser>
        <c:ser>
          <c:idx val="1"/>
          <c:order val="1"/>
          <c:tx>
            <c:v>GT 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'커스텀컬러 64색'!$O$4:$O$67</c:f>
              <c:numCache>
                <c:formatCode>General</c:formatCode>
                <c:ptCount val="64"/>
                <c:pt idx="0">
                  <c:v>0.188</c:v>
                </c:pt>
                <c:pt idx="1">
                  <c:v>0.20300000000000001</c:v>
                </c:pt>
                <c:pt idx="2">
                  <c:v>0.22700000000000001</c:v>
                </c:pt>
                <c:pt idx="3">
                  <c:v>0.25700000000000001</c:v>
                </c:pt>
                <c:pt idx="4">
                  <c:v>0.28799999999999998</c:v>
                </c:pt>
                <c:pt idx="5">
                  <c:v>0.32800000000000001</c:v>
                </c:pt>
                <c:pt idx="6">
                  <c:v>0.36799999999999999</c:v>
                </c:pt>
                <c:pt idx="7">
                  <c:v>0.41699999999999998</c:v>
                </c:pt>
                <c:pt idx="8">
                  <c:v>0.48399999999999999</c:v>
                </c:pt>
                <c:pt idx="9">
                  <c:v>0.54200000000000004</c:v>
                </c:pt>
                <c:pt idx="10">
                  <c:v>0.59099999999999997</c:v>
                </c:pt>
                <c:pt idx="11">
                  <c:v>0.61699999999999999</c:v>
                </c:pt>
                <c:pt idx="12">
                  <c:v>0.63100000000000001</c:v>
                </c:pt>
                <c:pt idx="13">
                  <c:v>0.64100000000000001</c:v>
                </c:pt>
                <c:pt idx="14">
                  <c:v>0.64</c:v>
                </c:pt>
                <c:pt idx="15">
                  <c:v>0.64</c:v>
                </c:pt>
                <c:pt idx="16">
                  <c:v>0.63900000000000001</c:v>
                </c:pt>
                <c:pt idx="17">
                  <c:v>0.63600000000000001</c:v>
                </c:pt>
                <c:pt idx="18">
                  <c:v>0.63200000000000001</c:v>
                </c:pt>
                <c:pt idx="19">
                  <c:v>0.627</c:v>
                </c:pt>
                <c:pt idx="20">
                  <c:v>0.626</c:v>
                </c:pt>
                <c:pt idx="21">
                  <c:v>0.61499999999999999</c:v>
                </c:pt>
                <c:pt idx="22">
                  <c:v>0.60799999999999998</c:v>
                </c:pt>
                <c:pt idx="23">
                  <c:v>0.59899999999999998</c:v>
                </c:pt>
                <c:pt idx="24">
                  <c:v>0.59</c:v>
                </c:pt>
                <c:pt idx="25">
                  <c:v>0.57999999999999996</c:v>
                </c:pt>
                <c:pt idx="26">
                  <c:v>0.56399999999999995</c:v>
                </c:pt>
                <c:pt idx="27">
                  <c:v>0.54800000000000004</c:v>
                </c:pt>
                <c:pt idx="28">
                  <c:v>0.52100000000000002</c:v>
                </c:pt>
                <c:pt idx="29">
                  <c:v>0.504</c:v>
                </c:pt>
                <c:pt idx="30">
                  <c:v>0.48399999999999999</c:v>
                </c:pt>
                <c:pt idx="31">
                  <c:v>0.44400000000000001</c:v>
                </c:pt>
                <c:pt idx="32">
                  <c:v>0.41099999999999998</c:v>
                </c:pt>
                <c:pt idx="33">
                  <c:v>0.376</c:v>
                </c:pt>
                <c:pt idx="34">
                  <c:v>0.34499999999999997</c:v>
                </c:pt>
                <c:pt idx="35">
                  <c:v>0.318</c:v>
                </c:pt>
                <c:pt idx="36">
                  <c:v>0.30299999999999999</c:v>
                </c:pt>
                <c:pt idx="37">
                  <c:v>0.29799999999999999</c:v>
                </c:pt>
                <c:pt idx="38">
                  <c:v>0.28999999999999998</c:v>
                </c:pt>
                <c:pt idx="39">
                  <c:v>0.27600000000000002</c:v>
                </c:pt>
                <c:pt idx="40">
                  <c:v>0.26</c:v>
                </c:pt>
                <c:pt idx="41">
                  <c:v>0.245</c:v>
                </c:pt>
                <c:pt idx="42">
                  <c:v>0.23100000000000001</c:v>
                </c:pt>
                <c:pt idx="43">
                  <c:v>0.215</c:v>
                </c:pt>
                <c:pt idx="44">
                  <c:v>0.19600000000000001</c:v>
                </c:pt>
                <c:pt idx="45">
                  <c:v>0.185</c:v>
                </c:pt>
                <c:pt idx="46">
                  <c:v>0.17499999999999999</c:v>
                </c:pt>
                <c:pt idx="47">
                  <c:v>0.17199999999999999</c:v>
                </c:pt>
                <c:pt idx="48">
                  <c:v>0.16900000000000001</c:v>
                </c:pt>
                <c:pt idx="49">
                  <c:v>0.16800000000000001</c:v>
                </c:pt>
                <c:pt idx="50">
                  <c:v>0.16400000000000001</c:v>
                </c:pt>
                <c:pt idx="51">
                  <c:v>0.159</c:v>
                </c:pt>
                <c:pt idx="52">
                  <c:v>0.16</c:v>
                </c:pt>
                <c:pt idx="53">
                  <c:v>0.156</c:v>
                </c:pt>
                <c:pt idx="54">
                  <c:v>0.152</c:v>
                </c:pt>
                <c:pt idx="55">
                  <c:v>0.153</c:v>
                </c:pt>
                <c:pt idx="56">
                  <c:v>0.153</c:v>
                </c:pt>
                <c:pt idx="57">
                  <c:v>0.151</c:v>
                </c:pt>
                <c:pt idx="58">
                  <c:v>0.157</c:v>
                </c:pt>
                <c:pt idx="59">
                  <c:v>0.16</c:v>
                </c:pt>
                <c:pt idx="60">
                  <c:v>0.16500000000000001</c:v>
                </c:pt>
                <c:pt idx="61">
                  <c:v>0.16900000000000001</c:v>
                </c:pt>
                <c:pt idx="62">
                  <c:v>0.17499999999999999</c:v>
                </c:pt>
                <c:pt idx="63">
                  <c:v>0.18099999999999999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9D-41A4-AAF1-9CD7AD529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940432"/>
        <c:axId val="188942832"/>
      </c:lineChart>
      <c:catAx>
        <c:axId val="188940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8942832"/>
        <c:crosses val="autoZero"/>
        <c:auto val="1"/>
        <c:lblAlgn val="ctr"/>
        <c:lblOffset val="100"/>
        <c:noMultiLvlLbl val="0"/>
      </c:catAx>
      <c:valAx>
        <c:axId val="18894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894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Cy</a:t>
            </a:r>
            <a:r>
              <a:rPr lang="ko-KR" altLang="en-US"/>
              <a:t>비교</a:t>
            </a:r>
            <a:r>
              <a:rPr lang="en-US" altLang="ko-KR"/>
              <a:t>(</a:t>
            </a:r>
            <a:r>
              <a:rPr lang="ko-KR" altLang="en-US"/>
              <a:t>커스텀칼라</a:t>
            </a:r>
            <a:r>
              <a:rPr lang="en-US" altLang="ko-KR"/>
              <a:t>)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모비스 Default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'커스텀컬러 64색'!$E$4:$E$67</c:f>
              <c:numCache>
                <c:formatCode>General</c:formatCode>
                <c:ptCount val="64"/>
                <c:pt idx="0">
                  <c:v>7.2000000000000008E-2</c:v>
                </c:pt>
                <c:pt idx="1">
                  <c:v>9.1999999999999998E-2</c:v>
                </c:pt>
                <c:pt idx="2">
                  <c:v>0.10400000000000001</c:v>
                </c:pt>
                <c:pt idx="3">
                  <c:v>0.12</c:v>
                </c:pt>
                <c:pt idx="4">
                  <c:v>0.13600000000000001</c:v>
                </c:pt>
                <c:pt idx="5">
                  <c:v>0.156</c:v>
                </c:pt>
                <c:pt idx="6">
                  <c:v>0.18</c:v>
                </c:pt>
                <c:pt idx="7">
                  <c:v>0.20800000000000002</c:v>
                </c:pt>
                <c:pt idx="8">
                  <c:v>0.24399999999999999</c:v>
                </c:pt>
                <c:pt idx="9">
                  <c:v>0.27600000000000002</c:v>
                </c:pt>
                <c:pt idx="10">
                  <c:v>0.30399999999999999</c:v>
                </c:pt>
                <c:pt idx="11">
                  <c:v>0.316</c:v>
                </c:pt>
                <c:pt idx="12">
                  <c:v>0.32800000000000001</c:v>
                </c:pt>
                <c:pt idx="13">
                  <c:v>0.32400000000000001</c:v>
                </c:pt>
                <c:pt idx="14">
                  <c:v>0.32800000000000001</c:v>
                </c:pt>
                <c:pt idx="15">
                  <c:v>0.33200000000000002</c:v>
                </c:pt>
                <c:pt idx="16">
                  <c:v>0.33600000000000002</c:v>
                </c:pt>
                <c:pt idx="17">
                  <c:v>0.33200000000000002</c:v>
                </c:pt>
                <c:pt idx="18">
                  <c:v>0.33600000000000002</c:v>
                </c:pt>
                <c:pt idx="19">
                  <c:v>0.34</c:v>
                </c:pt>
                <c:pt idx="20">
                  <c:v>0.34400000000000003</c:v>
                </c:pt>
                <c:pt idx="21">
                  <c:v>0.35199999999999998</c:v>
                </c:pt>
                <c:pt idx="22">
                  <c:v>0.35599999999999998</c:v>
                </c:pt>
                <c:pt idx="23">
                  <c:v>0.36399999999999999</c:v>
                </c:pt>
                <c:pt idx="24">
                  <c:v>0.372</c:v>
                </c:pt>
                <c:pt idx="25">
                  <c:v>0.38400000000000001</c:v>
                </c:pt>
                <c:pt idx="26">
                  <c:v>0.39600000000000002</c:v>
                </c:pt>
                <c:pt idx="27">
                  <c:v>0.41200000000000003</c:v>
                </c:pt>
                <c:pt idx="28">
                  <c:v>0.436</c:v>
                </c:pt>
                <c:pt idx="29">
                  <c:v>0.45200000000000001</c:v>
                </c:pt>
                <c:pt idx="30">
                  <c:v>0.46800000000000003</c:v>
                </c:pt>
                <c:pt idx="31">
                  <c:v>0.5</c:v>
                </c:pt>
                <c:pt idx="32">
                  <c:v>0.52400000000000002</c:v>
                </c:pt>
                <c:pt idx="33">
                  <c:v>0.55200000000000005</c:v>
                </c:pt>
                <c:pt idx="34">
                  <c:v>0.57600000000000007</c:v>
                </c:pt>
                <c:pt idx="35">
                  <c:v>0.59599999999999997</c:v>
                </c:pt>
                <c:pt idx="36">
                  <c:v>0.60799999999999998</c:v>
                </c:pt>
                <c:pt idx="37">
                  <c:v>0.61199999999999999</c:v>
                </c:pt>
                <c:pt idx="38">
                  <c:v>0.60799999999999998</c:v>
                </c:pt>
                <c:pt idx="39">
                  <c:v>0.59199999999999997</c:v>
                </c:pt>
                <c:pt idx="40">
                  <c:v>0.56400000000000006</c:v>
                </c:pt>
                <c:pt idx="41">
                  <c:v>0.53200000000000003</c:v>
                </c:pt>
                <c:pt idx="42">
                  <c:v>0.49199999999999999</c:v>
                </c:pt>
                <c:pt idx="43">
                  <c:v>0.44800000000000001</c:v>
                </c:pt>
                <c:pt idx="44">
                  <c:v>0.40400000000000003</c:v>
                </c:pt>
                <c:pt idx="45">
                  <c:v>0.36</c:v>
                </c:pt>
                <c:pt idx="46">
                  <c:v>0.32800000000000001</c:v>
                </c:pt>
                <c:pt idx="47">
                  <c:v>0.29599999999999999</c:v>
                </c:pt>
                <c:pt idx="48">
                  <c:v>0.26400000000000001</c:v>
                </c:pt>
                <c:pt idx="49">
                  <c:v>0.23600000000000002</c:v>
                </c:pt>
                <c:pt idx="50">
                  <c:v>0.20400000000000001</c:v>
                </c:pt>
                <c:pt idx="51">
                  <c:v>0.17599999999999999</c:v>
                </c:pt>
                <c:pt idx="52">
                  <c:v>0.14799999999999999</c:v>
                </c:pt>
                <c:pt idx="53">
                  <c:v>0.124</c:v>
                </c:pt>
                <c:pt idx="54">
                  <c:v>0.10400000000000001</c:v>
                </c:pt>
                <c:pt idx="55">
                  <c:v>8.4000000000000005E-2</c:v>
                </c:pt>
                <c:pt idx="56">
                  <c:v>7.2000000000000008E-2</c:v>
                </c:pt>
                <c:pt idx="57">
                  <c:v>6.8000000000000005E-2</c:v>
                </c:pt>
                <c:pt idx="58">
                  <c:v>6.8000000000000005E-2</c:v>
                </c:pt>
                <c:pt idx="59">
                  <c:v>6.8000000000000005E-2</c:v>
                </c:pt>
                <c:pt idx="60">
                  <c:v>6.8000000000000005E-2</c:v>
                </c:pt>
                <c:pt idx="61">
                  <c:v>7.2000000000000008E-2</c:v>
                </c:pt>
                <c:pt idx="62">
                  <c:v>7.2000000000000008E-2</c:v>
                </c:pt>
                <c:pt idx="63">
                  <c:v>7.5999999999999998E-2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AD-4F5B-922D-736173093B25}"/>
            </c:ext>
          </c:extLst>
        </c:ser>
        <c:ser>
          <c:idx val="1"/>
          <c:order val="1"/>
          <c:tx>
            <c:v>GT 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'커스텀컬러 64색'!$P$4:$P$67</c:f>
              <c:numCache>
                <c:formatCode>General</c:formatCode>
                <c:ptCount val="64"/>
                <c:pt idx="0">
                  <c:v>7.3999999999999996E-2</c:v>
                </c:pt>
                <c:pt idx="1">
                  <c:v>9.2999999999999999E-2</c:v>
                </c:pt>
                <c:pt idx="2">
                  <c:v>0.104</c:v>
                </c:pt>
                <c:pt idx="3">
                  <c:v>0.12</c:v>
                </c:pt>
                <c:pt idx="4">
                  <c:v>0.13700000000000001</c:v>
                </c:pt>
                <c:pt idx="5">
                  <c:v>0.155</c:v>
                </c:pt>
                <c:pt idx="6">
                  <c:v>0.18099999999999999</c:v>
                </c:pt>
                <c:pt idx="7">
                  <c:v>0.20799999999999999</c:v>
                </c:pt>
                <c:pt idx="8">
                  <c:v>0.24199999999999999</c:v>
                </c:pt>
                <c:pt idx="9">
                  <c:v>0.27600000000000002</c:v>
                </c:pt>
                <c:pt idx="10">
                  <c:v>0.30399999999999999</c:v>
                </c:pt>
                <c:pt idx="11">
                  <c:v>0.316</c:v>
                </c:pt>
                <c:pt idx="12">
                  <c:v>0.32700000000000001</c:v>
                </c:pt>
                <c:pt idx="13">
                  <c:v>0.32500000000000001</c:v>
                </c:pt>
                <c:pt idx="14">
                  <c:v>0.32600000000000001</c:v>
                </c:pt>
                <c:pt idx="15">
                  <c:v>0.33200000000000002</c:v>
                </c:pt>
                <c:pt idx="16">
                  <c:v>0.33600000000000002</c:v>
                </c:pt>
                <c:pt idx="17">
                  <c:v>0.33200000000000002</c:v>
                </c:pt>
                <c:pt idx="18">
                  <c:v>0.33700000000000002</c:v>
                </c:pt>
                <c:pt idx="19">
                  <c:v>0.33900000000000002</c:v>
                </c:pt>
                <c:pt idx="20">
                  <c:v>0.34499999999999997</c:v>
                </c:pt>
                <c:pt idx="21">
                  <c:v>0.35099999999999998</c:v>
                </c:pt>
                <c:pt idx="22">
                  <c:v>0.35699999999999998</c:v>
                </c:pt>
                <c:pt idx="23">
                  <c:v>0.36399999999999999</c:v>
                </c:pt>
                <c:pt idx="24">
                  <c:v>0.371</c:v>
                </c:pt>
                <c:pt idx="25">
                  <c:v>0.38400000000000001</c:v>
                </c:pt>
                <c:pt idx="26">
                  <c:v>0.39600000000000002</c:v>
                </c:pt>
                <c:pt idx="27">
                  <c:v>0.41199999999999998</c:v>
                </c:pt>
                <c:pt idx="28">
                  <c:v>0.436</c:v>
                </c:pt>
                <c:pt idx="29">
                  <c:v>0.45200000000000001</c:v>
                </c:pt>
                <c:pt idx="30">
                  <c:v>0.46700000000000003</c:v>
                </c:pt>
                <c:pt idx="31">
                  <c:v>0.5</c:v>
                </c:pt>
                <c:pt idx="32">
                  <c:v>0.52500000000000002</c:v>
                </c:pt>
                <c:pt idx="33">
                  <c:v>0.55200000000000005</c:v>
                </c:pt>
                <c:pt idx="34">
                  <c:v>0.57599999999999996</c:v>
                </c:pt>
                <c:pt idx="35">
                  <c:v>0.59599999999999997</c:v>
                </c:pt>
                <c:pt idx="36">
                  <c:v>0.60799999999999998</c:v>
                </c:pt>
                <c:pt idx="37">
                  <c:v>0.61199999999999999</c:v>
                </c:pt>
                <c:pt idx="38">
                  <c:v>0.61099999999999999</c:v>
                </c:pt>
                <c:pt idx="39">
                  <c:v>0.59199999999999997</c:v>
                </c:pt>
                <c:pt idx="40">
                  <c:v>0.56399999999999995</c:v>
                </c:pt>
                <c:pt idx="41">
                  <c:v>0.53200000000000003</c:v>
                </c:pt>
                <c:pt idx="42">
                  <c:v>0.49099999999999999</c:v>
                </c:pt>
                <c:pt idx="43">
                  <c:v>0.44700000000000001</c:v>
                </c:pt>
                <c:pt idx="44">
                  <c:v>0.40400000000000003</c:v>
                </c:pt>
                <c:pt idx="45">
                  <c:v>0.36099999999999999</c:v>
                </c:pt>
                <c:pt idx="46">
                  <c:v>0.32900000000000001</c:v>
                </c:pt>
                <c:pt idx="47">
                  <c:v>0.29599999999999999</c:v>
                </c:pt>
                <c:pt idx="48">
                  <c:v>0.26400000000000001</c:v>
                </c:pt>
                <c:pt idx="49">
                  <c:v>0.23699999999999999</c:v>
                </c:pt>
                <c:pt idx="50">
                  <c:v>0.20499999999999999</c:v>
                </c:pt>
                <c:pt idx="51">
                  <c:v>0.17699999999999999</c:v>
                </c:pt>
                <c:pt idx="52">
                  <c:v>0.14799999999999999</c:v>
                </c:pt>
                <c:pt idx="53">
                  <c:v>0.125</c:v>
                </c:pt>
                <c:pt idx="54">
                  <c:v>0.104</c:v>
                </c:pt>
                <c:pt idx="55">
                  <c:v>8.5000000000000006E-2</c:v>
                </c:pt>
                <c:pt idx="56">
                  <c:v>7.2999999999999995E-2</c:v>
                </c:pt>
                <c:pt idx="57">
                  <c:v>6.7000000000000004E-2</c:v>
                </c:pt>
                <c:pt idx="58">
                  <c:v>6.8000000000000005E-2</c:v>
                </c:pt>
                <c:pt idx="59">
                  <c:v>6.7000000000000004E-2</c:v>
                </c:pt>
                <c:pt idx="60">
                  <c:v>6.9000000000000006E-2</c:v>
                </c:pt>
                <c:pt idx="61">
                  <c:v>7.1999999999999995E-2</c:v>
                </c:pt>
                <c:pt idx="62">
                  <c:v>7.1999999999999995E-2</c:v>
                </c:pt>
                <c:pt idx="63">
                  <c:v>7.4999999999999997E-2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AD-4F5B-922D-736173093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485264"/>
        <c:axId val="179480464"/>
      </c:lineChart>
      <c:catAx>
        <c:axId val="179485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9480464"/>
        <c:crosses val="autoZero"/>
        <c:auto val="1"/>
        <c:lblAlgn val="ctr"/>
        <c:lblOffset val="100"/>
        <c:noMultiLvlLbl val="0"/>
      </c:catAx>
      <c:valAx>
        <c:axId val="17948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948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목표와의 거리편차</a:t>
            </a:r>
            <a:r>
              <a:rPr lang="en-US" altLang="ko-KR"/>
              <a:t>(</a:t>
            </a:r>
            <a:r>
              <a:rPr lang="ko-KR" altLang="en-US"/>
              <a:t>커스텀 칼라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'커스텀컬러 64색'!$W$4:$W$67</c:f>
              <c:numCache>
                <c:formatCode>0.0000</c:formatCode>
                <c:ptCount val="64"/>
                <c:pt idx="0">
                  <c:v>1.9999999999999879E-3</c:v>
                </c:pt>
                <c:pt idx="1">
                  <c:v>1.4142135623730963E-3</c:v>
                </c:pt>
                <c:pt idx="2">
                  <c:v>1.0000000000000009E-3</c:v>
                </c:pt>
                <c:pt idx="3">
                  <c:v>1.0000000000000009E-3</c:v>
                </c:pt>
                <c:pt idx="4">
                  <c:v>1.0000000000000009E-3</c:v>
                </c:pt>
                <c:pt idx="5">
                  <c:v>1.0000000000000009E-3</c:v>
                </c:pt>
                <c:pt idx="6">
                  <c:v>1.0000000000000009E-3</c:v>
                </c:pt>
                <c:pt idx="7">
                  <c:v>9.9999999999994538E-4</c:v>
                </c:pt>
                <c:pt idx="8">
                  <c:v>2.0000000000000018E-3</c:v>
                </c:pt>
                <c:pt idx="9">
                  <c:v>2.0000000000000018E-3</c:v>
                </c:pt>
                <c:pt idx="10">
                  <c:v>1.0000000000000009E-3</c:v>
                </c:pt>
                <c:pt idx="11">
                  <c:v>1.0000000000000009E-3</c:v>
                </c:pt>
                <c:pt idx="12">
                  <c:v>1.4142135623730963E-3</c:v>
                </c:pt>
                <c:pt idx="13">
                  <c:v>1.4142135623730963E-3</c:v>
                </c:pt>
                <c:pt idx="14">
                  <c:v>2.0000000000000018E-3</c:v>
                </c:pt>
                <c:pt idx="15">
                  <c:v>0</c:v>
                </c:pt>
                <c:pt idx="16">
                  <c:v>1.0000000000000009E-3</c:v>
                </c:pt>
                <c:pt idx="17">
                  <c:v>0</c:v>
                </c:pt>
                <c:pt idx="18">
                  <c:v>1.0000000000000009E-3</c:v>
                </c:pt>
                <c:pt idx="19">
                  <c:v>1.4142135623730963E-3</c:v>
                </c:pt>
                <c:pt idx="20">
                  <c:v>2.2360679774997669E-3</c:v>
                </c:pt>
                <c:pt idx="21">
                  <c:v>1.4142135623730963E-3</c:v>
                </c:pt>
                <c:pt idx="22">
                  <c:v>1.0000000000000009E-3</c:v>
                </c:pt>
                <c:pt idx="23">
                  <c:v>1.0000000000000009E-3</c:v>
                </c:pt>
                <c:pt idx="24">
                  <c:v>2.236067977499792E-3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1.0000000000000009E-3</c:v>
                </c:pt>
                <c:pt idx="29">
                  <c:v>0</c:v>
                </c:pt>
                <c:pt idx="30">
                  <c:v>1.0000000000000009E-3</c:v>
                </c:pt>
                <c:pt idx="31">
                  <c:v>0</c:v>
                </c:pt>
                <c:pt idx="32">
                  <c:v>9.0553851381374242E-3</c:v>
                </c:pt>
                <c:pt idx="33">
                  <c:v>1.2000000000000011E-2</c:v>
                </c:pt>
                <c:pt idx="34">
                  <c:v>1.5000000000000013E-2</c:v>
                </c:pt>
                <c:pt idx="35">
                  <c:v>2.200000000000002E-2</c:v>
                </c:pt>
                <c:pt idx="36">
                  <c:v>2.1000000000000019E-2</c:v>
                </c:pt>
                <c:pt idx="37">
                  <c:v>6.0000000000000053E-3</c:v>
                </c:pt>
                <c:pt idx="38">
                  <c:v>3.6055512754639618E-3</c:v>
                </c:pt>
                <c:pt idx="39">
                  <c:v>0</c:v>
                </c:pt>
                <c:pt idx="40">
                  <c:v>0</c:v>
                </c:pt>
                <c:pt idx="41">
                  <c:v>1.0000000000000009E-3</c:v>
                </c:pt>
                <c:pt idx="42">
                  <c:v>1.4142135623730963E-3</c:v>
                </c:pt>
                <c:pt idx="43">
                  <c:v>1.4142135623730963E-3</c:v>
                </c:pt>
                <c:pt idx="44">
                  <c:v>0</c:v>
                </c:pt>
                <c:pt idx="45">
                  <c:v>1.4142135623730963E-3</c:v>
                </c:pt>
                <c:pt idx="46">
                  <c:v>1.4142135623730963E-3</c:v>
                </c:pt>
                <c:pt idx="47">
                  <c:v>0</c:v>
                </c:pt>
                <c:pt idx="48">
                  <c:v>1.0000000000000009E-3</c:v>
                </c:pt>
                <c:pt idx="49">
                  <c:v>9.9999999999997313E-4</c:v>
                </c:pt>
                <c:pt idx="50">
                  <c:v>9.9999999999997313E-4</c:v>
                </c:pt>
                <c:pt idx="51">
                  <c:v>1.4142135623730963E-3</c:v>
                </c:pt>
                <c:pt idx="52">
                  <c:v>0</c:v>
                </c:pt>
                <c:pt idx="53">
                  <c:v>1.0000000000000009E-3</c:v>
                </c:pt>
                <c:pt idx="54">
                  <c:v>0</c:v>
                </c:pt>
                <c:pt idx="55">
                  <c:v>1.4142135623730963E-3</c:v>
                </c:pt>
                <c:pt idx="56">
                  <c:v>1.4142135623730866E-3</c:v>
                </c:pt>
                <c:pt idx="57">
                  <c:v>1.4142135623730963E-3</c:v>
                </c:pt>
                <c:pt idx="58">
                  <c:v>1.0000000000000009E-3</c:v>
                </c:pt>
                <c:pt idx="59">
                  <c:v>1.0000000000000009E-3</c:v>
                </c:pt>
                <c:pt idx="60">
                  <c:v>1.4142135623730963E-3</c:v>
                </c:pt>
                <c:pt idx="61">
                  <c:v>1.0000000000000009E-3</c:v>
                </c:pt>
                <c:pt idx="62">
                  <c:v>1.0000000000000009E-3</c:v>
                </c:pt>
                <c:pt idx="63">
                  <c:v>1.4142135623730963E-3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E4-47E9-A072-D18373C00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9434799"/>
        <c:axId val="1349432879"/>
      </c:lineChart>
      <c:catAx>
        <c:axId val="13494347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9432879"/>
        <c:crosses val="autoZero"/>
        <c:auto val="1"/>
        <c:lblAlgn val="ctr"/>
        <c:lblOffset val="100"/>
        <c:noMultiLvlLbl val="0"/>
      </c:catAx>
      <c:valAx>
        <c:axId val="134943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9434799"/>
        <c:crosses val="autoZero"/>
        <c:crossBetween val="between"/>
        <c:majorUnit val="2.0000000000000005E-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376519</xdr:colOff>
      <xdr:row>50</xdr:row>
      <xdr:rowOff>145898</xdr:rowOff>
    </xdr:from>
    <xdr:to>
      <xdr:col>44</xdr:col>
      <xdr:colOff>381001</xdr:colOff>
      <xdr:row>70</xdr:row>
      <xdr:rowOff>121359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BB4A177F-D727-6C12-404A-71E1F9393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336176</xdr:colOff>
      <xdr:row>40</xdr:row>
      <xdr:rowOff>13784</xdr:rowOff>
    </xdr:from>
    <xdr:to>
      <xdr:col>45</xdr:col>
      <xdr:colOff>393774</xdr:colOff>
      <xdr:row>59</xdr:row>
      <xdr:rowOff>13783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ECAF97A7-C1EA-A63C-0B33-BF72689D54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49</xdr:col>
      <xdr:colOff>268604</xdr:colOff>
      <xdr:row>0</xdr:row>
      <xdr:rowOff>0</xdr:rowOff>
    </xdr:from>
    <xdr:to>
      <xdr:col>57</xdr:col>
      <xdr:colOff>381824</xdr:colOff>
      <xdr:row>35</xdr:row>
      <xdr:rowOff>3399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EEB6978-B4AC-4A69-A1E3-D8E10CF5B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156063" y="0"/>
          <a:ext cx="5635479" cy="6906223"/>
        </a:xfrm>
        <a:prstGeom prst="rect">
          <a:avLst/>
        </a:prstGeom>
      </xdr:spPr>
    </xdr:pic>
    <xdr:clientData/>
  </xdr:twoCellAnchor>
  <xdr:twoCellAnchor>
    <xdr:from>
      <xdr:col>34</xdr:col>
      <xdr:colOff>654198</xdr:colOff>
      <xdr:row>3</xdr:row>
      <xdr:rowOff>16922</xdr:rowOff>
    </xdr:from>
    <xdr:to>
      <xdr:col>43</xdr:col>
      <xdr:colOff>44751</xdr:colOff>
      <xdr:row>38</xdr:row>
      <xdr:rowOff>81282</xdr:rowOff>
    </xdr:to>
    <xdr:grpSp>
      <xdr:nvGrpSpPr>
        <xdr:cNvPr id="30" name="그룹 29">
          <a:extLst>
            <a:ext uri="{FF2B5EF4-FFF2-40B4-BE49-F238E27FC236}">
              <a16:creationId xmlns:a16="http://schemas.microsoft.com/office/drawing/2014/main" id="{83361218-EF59-2DF1-314C-AA0CBEB0C4C1}"/>
            </a:ext>
          </a:extLst>
        </xdr:cNvPr>
        <xdr:cNvGrpSpPr/>
      </xdr:nvGrpSpPr>
      <xdr:grpSpPr>
        <a:xfrm>
          <a:off x="22497187" y="614399"/>
          <a:ext cx="5547167" cy="7039690"/>
          <a:chOff x="22904599" y="626522"/>
          <a:chExt cx="5603094" cy="6963373"/>
        </a:xfrm>
      </xdr:grpSpPr>
      <xdr:pic>
        <xdr:nvPicPr>
          <xdr:cNvPr id="7" name="그림 6">
            <a:extLst>
              <a:ext uri="{FF2B5EF4-FFF2-40B4-BE49-F238E27FC236}">
                <a16:creationId xmlns:a16="http://schemas.microsoft.com/office/drawing/2014/main" id="{6422FBAA-F27A-45FE-9E57-F0D456EF9B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2904599" y="626522"/>
            <a:ext cx="5603094" cy="6963373"/>
          </a:xfrm>
          <a:prstGeom prst="rect">
            <a:avLst/>
          </a:prstGeom>
        </xdr:spPr>
      </xdr:pic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C2328323-5811-400C-A01D-2E666F72686C}"/>
              </a:ext>
            </a:extLst>
          </xdr:cNvPr>
          <xdr:cNvCxnSpPr/>
        </xdr:nvCxnSpPr>
        <xdr:spPr>
          <a:xfrm>
            <a:off x="24091975" y="4127575"/>
            <a:ext cx="1757082" cy="1342801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E9F335DA-52E6-4919-BA3C-D3A4AF046D0C}"/>
              </a:ext>
            </a:extLst>
          </xdr:cNvPr>
          <xdr:cNvCxnSpPr/>
        </xdr:nvCxnSpPr>
        <xdr:spPr>
          <a:xfrm>
            <a:off x="24097129" y="4148754"/>
            <a:ext cx="37091" cy="2120491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직선 연결선 9">
            <a:extLst>
              <a:ext uri="{FF2B5EF4-FFF2-40B4-BE49-F238E27FC236}">
                <a16:creationId xmlns:a16="http://schemas.microsoft.com/office/drawing/2014/main" id="{917C8397-B342-4915-BD52-01C4F0434A92}"/>
              </a:ext>
            </a:extLst>
          </xdr:cNvPr>
          <xdr:cNvCxnSpPr/>
        </xdr:nvCxnSpPr>
        <xdr:spPr>
          <a:xfrm flipV="1">
            <a:off x="24125929" y="5477435"/>
            <a:ext cx="1737247" cy="817694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623454</xdr:colOff>
      <xdr:row>3</xdr:row>
      <xdr:rowOff>125557</xdr:rowOff>
    </xdr:from>
    <xdr:to>
      <xdr:col>33</xdr:col>
      <xdr:colOff>405245</xdr:colOff>
      <xdr:row>17</xdr:row>
      <xdr:rowOff>80529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715403D-8AEE-A8AF-DFB6-345753D55F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652895</xdr:colOff>
      <xdr:row>20</xdr:row>
      <xdr:rowOff>83993</xdr:rowOff>
    </xdr:from>
    <xdr:to>
      <xdr:col>33</xdr:col>
      <xdr:colOff>436418</xdr:colOff>
      <xdr:row>34</xdr:row>
      <xdr:rowOff>37234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90BE9AF-891D-9C3B-92A5-54F457B02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119147</xdr:colOff>
      <xdr:row>30</xdr:row>
      <xdr:rowOff>51607</xdr:rowOff>
    </xdr:from>
    <xdr:to>
      <xdr:col>22</xdr:col>
      <xdr:colOff>432607</xdr:colOff>
      <xdr:row>49</xdr:row>
      <xdr:rowOff>40005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3165F6CB-2156-5286-90A2-1BFB74E23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3810</xdr:colOff>
      <xdr:row>2</xdr:row>
      <xdr:rowOff>3810</xdr:rowOff>
    </xdr:from>
    <xdr:to>
      <xdr:col>47</xdr:col>
      <xdr:colOff>45720</xdr:colOff>
      <xdr:row>24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C1890B3B-43EB-DC60-C1F5-8ABCD9D2E7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670559</xdr:colOff>
      <xdr:row>24</xdr:row>
      <xdr:rowOff>182879</xdr:rowOff>
    </xdr:from>
    <xdr:to>
      <xdr:col>47</xdr:col>
      <xdr:colOff>19050</xdr:colOff>
      <xdr:row>46</xdr:row>
      <xdr:rowOff>171449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E078333C-0F14-E377-DCF7-C1B3B6E17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47</xdr:col>
      <xdr:colOff>535305</xdr:colOff>
      <xdr:row>2</xdr:row>
      <xdr:rowOff>19050</xdr:rowOff>
    </xdr:from>
    <xdr:to>
      <xdr:col>54</xdr:col>
      <xdr:colOff>533811</xdr:colOff>
      <xdr:row>40</xdr:row>
      <xdr:rowOff>19652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FB997109-10EE-D633-928B-15F4BA783574}"/>
            </a:ext>
          </a:extLst>
        </xdr:cNvPr>
        <xdr:cNvGrpSpPr/>
      </xdr:nvGrpSpPr>
      <xdr:grpSpPr>
        <a:xfrm>
          <a:off x="31382698" y="372836"/>
          <a:ext cx="4761006" cy="6722530"/>
          <a:chOff x="19533870" y="394335"/>
          <a:chExt cx="4745766" cy="6950042"/>
        </a:xfrm>
      </xdr:grpSpPr>
      <xdr:pic>
        <xdr:nvPicPr>
          <xdr:cNvPr id="15" name="그림 14">
            <a:extLst>
              <a:ext uri="{FF2B5EF4-FFF2-40B4-BE49-F238E27FC236}">
                <a16:creationId xmlns:a16="http://schemas.microsoft.com/office/drawing/2014/main" id="{0AE92838-1485-ABEE-DF8D-0B9426F462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9533870" y="394335"/>
            <a:ext cx="4745766" cy="6950042"/>
          </a:xfrm>
          <a:prstGeom prst="rect">
            <a:avLst/>
          </a:prstGeom>
        </xdr:spPr>
      </xdr:pic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AE987837-A5D3-FE89-826D-0FB46CD577A7}"/>
              </a:ext>
            </a:extLst>
          </xdr:cNvPr>
          <xdr:cNvCxnSpPr/>
        </xdr:nvCxnSpPr>
        <xdr:spPr>
          <a:xfrm>
            <a:off x="20694015" y="3869055"/>
            <a:ext cx="1805940" cy="133350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6C17BC82-BF1F-AF3F-8893-54C1446052D1}"/>
              </a:ext>
            </a:extLst>
          </xdr:cNvPr>
          <xdr:cNvCxnSpPr/>
        </xdr:nvCxnSpPr>
        <xdr:spPr>
          <a:xfrm>
            <a:off x="20716875" y="3884295"/>
            <a:ext cx="57150" cy="2188845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직선 연결선 11">
            <a:extLst>
              <a:ext uri="{FF2B5EF4-FFF2-40B4-BE49-F238E27FC236}">
                <a16:creationId xmlns:a16="http://schemas.microsoft.com/office/drawing/2014/main" id="{F6D0CB03-629A-6A1D-E56E-85839AA4A913}"/>
              </a:ext>
            </a:extLst>
          </xdr:cNvPr>
          <xdr:cNvCxnSpPr/>
        </xdr:nvCxnSpPr>
        <xdr:spPr>
          <a:xfrm flipV="1">
            <a:off x="20770215" y="5229225"/>
            <a:ext cx="1729740" cy="81153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39</xdr:col>
      <xdr:colOff>434090</xdr:colOff>
      <xdr:row>11</xdr:row>
      <xdr:rowOff>7652</xdr:rowOff>
    </xdr:from>
    <xdr:to>
      <xdr:col>41</xdr:col>
      <xdr:colOff>321127</xdr:colOff>
      <xdr:row>14</xdr:row>
      <xdr:rowOff>143278</xdr:rowOff>
    </xdr:to>
    <xdr:sp macro="" textlink="">
      <xdr:nvSpPr>
        <xdr:cNvPr id="22" name="타원 21">
          <a:extLst>
            <a:ext uri="{FF2B5EF4-FFF2-40B4-BE49-F238E27FC236}">
              <a16:creationId xmlns:a16="http://schemas.microsoft.com/office/drawing/2014/main" id="{06D59927-0A26-4521-8CDE-850E02D0EBC9}"/>
            </a:ext>
          </a:extLst>
        </xdr:cNvPr>
        <xdr:cNvSpPr/>
      </xdr:nvSpPr>
      <xdr:spPr>
        <a:xfrm rot="12771564">
          <a:off x="14226290" y="2019332"/>
          <a:ext cx="1243397" cy="684266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31</xdr:col>
      <xdr:colOff>114300</xdr:colOff>
      <xdr:row>14</xdr:row>
      <xdr:rowOff>3388</xdr:rowOff>
    </xdr:from>
    <xdr:to>
      <xdr:col>40</xdr:col>
      <xdr:colOff>61300</xdr:colOff>
      <xdr:row>35</xdr:row>
      <xdr:rowOff>0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FEA226A0-0EC8-46DE-BA3A-E67190958B13}"/>
            </a:ext>
          </a:extLst>
        </xdr:cNvPr>
        <xdr:cNvCxnSpPr>
          <a:cxnSpLocks/>
        </xdr:cNvCxnSpPr>
      </xdr:nvCxnSpPr>
      <xdr:spPr>
        <a:xfrm flipH="1">
          <a:off x="8481060" y="2563708"/>
          <a:ext cx="6050620" cy="3837092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633411</xdr:colOff>
      <xdr:row>4</xdr:row>
      <xdr:rowOff>95250</xdr:rowOff>
    </xdr:from>
    <xdr:to>
      <xdr:col>36</xdr:col>
      <xdr:colOff>619124</xdr:colOff>
      <xdr:row>19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FC44BEB-B676-A559-56E4-5B025FD28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376237</xdr:colOff>
      <xdr:row>24</xdr:row>
      <xdr:rowOff>47624</xdr:rowOff>
    </xdr:from>
    <xdr:to>
      <xdr:col>37</xdr:col>
      <xdr:colOff>276225</xdr:colOff>
      <xdr:row>42</xdr:row>
      <xdr:rowOff>133349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AB0E3E8-3568-5D91-4DB4-0F618C283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247650</xdr:colOff>
      <xdr:row>43</xdr:row>
      <xdr:rowOff>30480</xdr:rowOff>
    </xdr:from>
    <xdr:to>
      <xdr:col>32</xdr:col>
      <xdr:colOff>152400</xdr:colOff>
      <xdr:row>66</xdr:row>
      <xdr:rowOff>152400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429EFEF3-A779-33AB-ECA3-E087A7063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Z55"/>
  <sheetViews>
    <sheetView topLeftCell="C15" zoomScale="110" zoomScaleNormal="110" workbookViewId="0">
      <selection activeCell="Q4" sqref="Q4:R54"/>
    </sheetView>
  </sheetViews>
  <sheetFormatPr defaultColWidth="9" defaultRowHeight="15.75" customHeight="1"/>
  <cols>
    <col min="1" max="1" width="2.625" style="1" customWidth="1"/>
    <col min="2" max="2" width="17.375" style="1" bestFit="1" customWidth="1"/>
    <col min="3" max="3" width="11.125" style="1" customWidth="1"/>
    <col min="4" max="5" width="5.5" style="1" customWidth="1"/>
    <col min="6" max="7" width="10.6875" style="1" bestFit="1" customWidth="1"/>
    <col min="8" max="10" width="4.5" style="1" bestFit="1" customWidth="1"/>
    <col min="11" max="11" width="2.625" style="1" customWidth="1"/>
    <col min="12" max="16" width="9" style="1" customWidth="1"/>
    <col min="17" max="21" width="9" style="1"/>
    <col min="22" max="23" width="9.125" style="1" customWidth="1"/>
    <col min="24" max="16384" width="9" style="1"/>
  </cols>
  <sheetData>
    <row r="2" spans="2:26" ht="15.75" customHeight="1">
      <c r="B2" s="2"/>
      <c r="C2" s="2"/>
      <c r="D2" s="282" t="s">
        <v>15</v>
      </c>
      <c r="E2" s="120"/>
      <c r="F2" s="282" t="s">
        <v>5</v>
      </c>
      <c r="G2" s="282"/>
      <c r="H2" s="282" t="s">
        <v>12</v>
      </c>
      <c r="I2" s="282"/>
      <c r="J2" s="282"/>
      <c r="L2" s="282" t="s">
        <v>14</v>
      </c>
      <c r="M2" s="282"/>
      <c r="N2" s="282"/>
      <c r="O2" s="282"/>
      <c r="P2" s="282"/>
    </row>
    <row r="3" spans="2:26" ht="15.75" customHeight="1">
      <c r="B3" s="2"/>
      <c r="C3" s="2" t="s">
        <v>6</v>
      </c>
      <c r="D3" s="282"/>
      <c r="E3" s="120" t="s">
        <v>13</v>
      </c>
      <c r="F3" s="120" t="s">
        <v>0</v>
      </c>
      <c r="G3" s="120" t="s">
        <v>1</v>
      </c>
      <c r="H3" s="116" t="s">
        <v>2</v>
      </c>
      <c r="I3" s="117" t="s">
        <v>3</v>
      </c>
      <c r="J3" s="118" t="s">
        <v>4</v>
      </c>
      <c r="K3" s="67"/>
      <c r="L3" s="120" t="s">
        <v>0</v>
      </c>
      <c r="M3" s="120" t="s">
        <v>1</v>
      </c>
      <c r="N3" s="116" t="s">
        <v>2</v>
      </c>
      <c r="O3" s="117" t="s">
        <v>3</v>
      </c>
      <c r="P3" s="118" t="s">
        <v>4</v>
      </c>
      <c r="Q3" s="1" t="s">
        <v>0</v>
      </c>
      <c r="R3" s="1" t="s">
        <v>1</v>
      </c>
      <c r="S3" s="1" t="s">
        <v>22</v>
      </c>
      <c r="T3" s="1" t="s">
        <v>23</v>
      </c>
      <c r="U3" s="1" t="s">
        <v>24</v>
      </c>
      <c r="W3" s="142" t="s">
        <v>25</v>
      </c>
      <c r="X3" s="142" t="s">
        <v>26</v>
      </c>
      <c r="Y3" s="1" t="s">
        <v>29</v>
      </c>
      <c r="Z3" s="1" t="s">
        <v>30</v>
      </c>
    </row>
    <row r="4" spans="2:26" ht="15.75" customHeight="1">
      <c r="B4" s="283" t="s">
        <v>7</v>
      </c>
      <c r="C4" s="70"/>
      <c r="D4" s="121">
        <v>1</v>
      </c>
      <c r="E4" s="121">
        <v>86.596000000000004</v>
      </c>
      <c r="F4" s="122">
        <v>0.29659999999999997</v>
      </c>
      <c r="G4" s="122">
        <v>0.32073000000000002</v>
      </c>
      <c r="H4" s="115">
        <v>229</v>
      </c>
      <c r="I4" s="115">
        <v>242</v>
      </c>
      <c r="J4" s="115">
        <v>250</v>
      </c>
      <c r="L4" s="115">
        <v>0.29699999999999999</v>
      </c>
      <c r="M4" s="115">
        <v>0.32100000000000001</v>
      </c>
      <c r="N4" s="115">
        <v>125</v>
      </c>
      <c r="O4" s="115">
        <v>144</v>
      </c>
      <c r="P4" s="115">
        <v>151</v>
      </c>
      <c r="Q4" s="1">
        <v>0.29799999999999999</v>
      </c>
      <c r="R4" s="1">
        <v>0.32100000000000001</v>
      </c>
      <c r="S4" s="140">
        <v>225</v>
      </c>
      <c r="T4" s="140">
        <v>238</v>
      </c>
      <c r="U4" s="140">
        <v>253</v>
      </c>
      <c r="W4" s="143">
        <f>F4-Q4</f>
        <v>-1.4000000000000123E-3</v>
      </c>
      <c r="X4" s="143">
        <f>G4-R4</f>
        <v>-2.6999999999999247E-4</v>
      </c>
      <c r="Y4" s="148">
        <f>SQRT(W4^2+X4^2)</f>
        <v>1.4257980221616352E-3</v>
      </c>
      <c r="Z4" s="144">
        <v>1.4257980221616352E-3</v>
      </c>
    </row>
    <row r="5" spans="2:26" ht="15.75" customHeight="1">
      <c r="B5" s="283"/>
      <c r="C5" s="71"/>
      <c r="D5" s="121">
        <v>2</v>
      </c>
      <c r="E5" s="121">
        <v>84</v>
      </c>
      <c r="F5" s="123">
        <v>0.32937</v>
      </c>
      <c r="G5" s="123">
        <v>0.33933000000000002</v>
      </c>
      <c r="H5" s="115">
        <v>244</v>
      </c>
      <c r="I5" s="115">
        <v>233</v>
      </c>
      <c r="J5" s="115">
        <v>223</v>
      </c>
      <c r="L5" s="115">
        <v>0.32900000000000001</v>
      </c>
      <c r="M5" s="115">
        <v>0.33900000000000002</v>
      </c>
      <c r="N5" s="115">
        <v>164</v>
      </c>
      <c r="O5" s="115">
        <v>159</v>
      </c>
      <c r="P5" s="115">
        <v>140</v>
      </c>
      <c r="Q5" s="1">
        <v>0.32800000000000001</v>
      </c>
      <c r="R5" s="1">
        <v>0.34</v>
      </c>
      <c r="S5" s="140">
        <v>245</v>
      </c>
      <c r="T5" s="140">
        <v>224</v>
      </c>
      <c r="U5" s="140">
        <v>200</v>
      </c>
      <c r="W5" s="143">
        <f t="shared" ref="W5:W54" si="0">F5-Q5</f>
        <v>1.3699999999999823E-3</v>
      </c>
      <c r="X5" s="143">
        <f t="shared" ref="X5:X54" si="1">G5-R5</f>
        <v>-6.7000000000000393E-4</v>
      </c>
      <c r="Y5" s="148">
        <f t="shared" ref="Y5:Y54" si="2">SQRT(W5^2+X5^2)</f>
        <v>1.5250573759698213E-3</v>
      </c>
      <c r="Z5" s="144">
        <v>1.5250573759698213E-3</v>
      </c>
    </row>
    <row r="6" spans="2:26" ht="15.75" customHeight="1">
      <c r="B6" s="283"/>
      <c r="C6" s="72"/>
      <c r="D6" s="121">
        <v>3</v>
      </c>
      <c r="E6" s="121">
        <v>54</v>
      </c>
      <c r="F6" s="123">
        <v>0.51727999999999996</v>
      </c>
      <c r="G6" s="123">
        <v>0.43662000000000001</v>
      </c>
      <c r="H6" s="115">
        <v>254</v>
      </c>
      <c r="I6" s="115">
        <v>168</v>
      </c>
      <c r="J6" s="115">
        <v>17</v>
      </c>
      <c r="L6" s="115">
        <v>0.51700000000000002</v>
      </c>
      <c r="M6" s="115">
        <v>0.436</v>
      </c>
      <c r="N6" s="115">
        <v>227</v>
      </c>
      <c r="O6" s="115">
        <v>115</v>
      </c>
      <c r="P6" s="115">
        <v>4</v>
      </c>
      <c r="Q6" s="1">
        <v>0.51800000000000002</v>
      </c>
      <c r="R6" s="1">
        <v>0.437</v>
      </c>
      <c r="S6" s="1">
        <v>254</v>
      </c>
      <c r="T6" s="1">
        <v>130</v>
      </c>
      <c r="U6" s="1">
        <v>3</v>
      </c>
      <c r="W6" s="143">
        <f t="shared" si="0"/>
        <v>-7.2000000000005393E-4</v>
      </c>
      <c r="X6" s="143">
        <f t="shared" si="1"/>
        <v>-3.7999999999999146E-4</v>
      </c>
      <c r="Y6" s="148">
        <f t="shared" si="2"/>
        <v>8.1412529748194854E-4</v>
      </c>
      <c r="Z6" s="144">
        <v>8.1412529748194854E-4</v>
      </c>
    </row>
    <row r="7" spans="2:26" ht="15.75" customHeight="1">
      <c r="B7" s="283"/>
      <c r="C7" s="73"/>
      <c r="D7" s="121">
        <v>4</v>
      </c>
      <c r="E7" s="121">
        <v>27.5</v>
      </c>
      <c r="F7" s="123">
        <v>0.58682999999999996</v>
      </c>
      <c r="G7" s="123">
        <v>0.32984000000000002</v>
      </c>
      <c r="H7" s="115">
        <v>233</v>
      </c>
      <c r="I7" s="115">
        <v>62</v>
      </c>
      <c r="J7" s="115">
        <v>62</v>
      </c>
      <c r="L7" s="115">
        <v>0.58799999999999997</v>
      </c>
      <c r="M7" s="115">
        <v>0.33</v>
      </c>
      <c r="N7" s="115">
        <v>210</v>
      </c>
      <c r="O7" s="115">
        <v>30</v>
      </c>
      <c r="P7" s="115">
        <v>20</v>
      </c>
      <c r="Q7" s="1">
        <v>0.58799999999999997</v>
      </c>
      <c r="R7" s="1">
        <v>0.32800000000000001</v>
      </c>
      <c r="S7" s="1">
        <v>243</v>
      </c>
      <c r="T7" s="1">
        <v>36</v>
      </c>
      <c r="U7" s="1">
        <v>23</v>
      </c>
      <c r="W7" s="143">
        <f t="shared" si="0"/>
        <v>-1.1700000000000044E-3</v>
      </c>
      <c r="X7" s="143">
        <f t="shared" si="1"/>
        <v>1.8400000000000083E-3</v>
      </c>
      <c r="Y7" s="148">
        <f t="shared" si="2"/>
        <v>2.180481598179641E-3</v>
      </c>
      <c r="Z7" s="144">
        <v>2.180481598179641E-3</v>
      </c>
    </row>
    <row r="8" spans="2:26" ht="15.75" customHeight="1">
      <c r="B8" s="283"/>
      <c r="C8" s="74"/>
      <c r="D8" s="121">
        <v>5</v>
      </c>
      <c r="E8" s="121">
        <v>21.5</v>
      </c>
      <c r="F8" s="141">
        <v>0.29699999999999999</v>
      </c>
      <c r="G8" s="123">
        <v>0.14199999999999999</v>
      </c>
      <c r="H8" s="115">
        <v>187</v>
      </c>
      <c r="I8" s="115">
        <v>15</v>
      </c>
      <c r="J8" s="115">
        <v>236</v>
      </c>
      <c r="L8" s="115">
        <v>0.63200000000000001</v>
      </c>
      <c r="M8" s="115">
        <v>0.32800000000000001</v>
      </c>
      <c r="N8" s="115">
        <v>235</v>
      </c>
      <c r="O8" s="115">
        <v>20</v>
      </c>
      <c r="P8" s="115">
        <v>10</v>
      </c>
      <c r="Q8" s="1">
        <v>0.29799999999999999</v>
      </c>
      <c r="R8" s="1">
        <v>0.14399999999999999</v>
      </c>
      <c r="S8" s="1">
        <v>124</v>
      </c>
      <c r="T8" s="1">
        <v>12</v>
      </c>
      <c r="U8" s="1">
        <v>239</v>
      </c>
      <c r="W8" s="143">
        <f t="shared" si="0"/>
        <v>-1.0000000000000009E-3</v>
      </c>
      <c r="X8" s="143">
        <f t="shared" si="1"/>
        <v>-2.0000000000000018E-3</v>
      </c>
      <c r="Y8" s="148">
        <f t="shared" si="2"/>
        <v>2.236067977499792E-3</v>
      </c>
      <c r="Z8" s="144">
        <v>2.236067977499792E-3</v>
      </c>
    </row>
    <row r="9" spans="2:26" ht="15.75" customHeight="1">
      <c r="B9" s="283"/>
      <c r="C9" s="75"/>
      <c r="D9" s="121">
        <v>6</v>
      </c>
      <c r="E9" s="121">
        <v>15.9</v>
      </c>
      <c r="F9" s="123">
        <v>0.22844</v>
      </c>
      <c r="G9" s="123">
        <v>0.10854</v>
      </c>
      <c r="H9" s="115">
        <v>138</v>
      </c>
      <c r="I9" s="115">
        <v>37</v>
      </c>
      <c r="J9" s="115">
        <v>252</v>
      </c>
      <c r="L9" s="115">
        <v>0.22800000000000001</v>
      </c>
      <c r="M9" s="115">
        <v>0.109</v>
      </c>
      <c r="N9" s="115">
        <v>35</v>
      </c>
      <c r="O9" s="115">
        <v>7</v>
      </c>
      <c r="P9" s="115">
        <v>152</v>
      </c>
      <c r="Q9" s="1">
        <v>0.22800000000000001</v>
      </c>
      <c r="R9" s="1">
        <v>0.108</v>
      </c>
      <c r="S9" s="1">
        <v>57</v>
      </c>
      <c r="T9" s="1">
        <v>7</v>
      </c>
      <c r="U9" s="1">
        <v>224</v>
      </c>
      <c r="W9" s="143">
        <f t="shared" si="0"/>
        <v>4.3999999999999595E-4</v>
      </c>
      <c r="X9" s="143">
        <f t="shared" si="1"/>
        <v>5.3999999999999881E-4</v>
      </c>
      <c r="Y9" s="148">
        <f t="shared" si="2"/>
        <v>6.9656299069071649E-4</v>
      </c>
      <c r="Z9" s="144">
        <v>6.9656299069071649E-4</v>
      </c>
    </row>
    <row r="10" spans="2:26" ht="15.75" customHeight="1">
      <c r="B10" s="283"/>
      <c r="C10" s="76"/>
      <c r="D10" s="121">
        <v>7</v>
      </c>
      <c r="E10" s="121">
        <v>24.8</v>
      </c>
      <c r="F10" s="123">
        <v>0.16152</v>
      </c>
      <c r="G10" s="123">
        <v>0.16786000000000001</v>
      </c>
      <c r="H10" s="115">
        <v>24</v>
      </c>
      <c r="I10" s="115">
        <v>142</v>
      </c>
      <c r="J10" s="115">
        <v>253</v>
      </c>
      <c r="L10" s="115">
        <v>0.161</v>
      </c>
      <c r="M10" s="115">
        <v>0.16800000000000001</v>
      </c>
      <c r="N10" s="115">
        <v>11</v>
      </c>
      <c r="O10" s="115">
        <v>43</v>
      </c>
      <c r="P10" s="115">
        <v>153</v>
      </c>
      <c r="Q10" s="1">
        <v>0.161</v>
      </c>
      <c r="R10" s="1">
        <v>0.16800000000000001</v>
      </c>
      <c r="S10" s="1">
        <v>22</v>
      </c>
      <c r="T10" s="1">
        <v>64</v>
      </c>
      <c r="U10" s="1">
        <v>244</v>
      </c>
      <c r="W10" s="143">
        <f t="shared" si="0"/>
        <v>5.1999999999999269E-4</v>
      </c>
      <c r="X10" s="143">
        <f t="shared" si="1"/>
        <v>-1.4000000000000123E-4</v>
      </c>
      <c r="Y10" s="148">
        <f t="shared" si="2"/>
        <v>5.3851648071344372E-4</v>
      </c>
      <c r="Z10" s="144">
        <v>5.3851648071344372E-4</v>
      </c>
    </row>
    <row r="11" spans="2:26" ht="15.75" customHeight="1">
      <c r="B11" s="283"/>
      <c r="C11" s="77"/>
      <c r="D11" s="121">
        <v>8</v>
      </c>
      <c r="E11" s="121">
        <v>40.299999999999997</v>
      </c>
      <c r="F11" s="123">
        <v>0.17596999999999999</v>
      </c>
      <c r="G11" s="123">
        <v>0.34110000000000001</v>
      </c>
      <c r="H11" s="115">
        <v>3</v>
      </c>
      <c r="I11" s="115">
        <v>199</v>
      </c>
      <c r="J11" s="115">
        <v>192</v>
      </c>
      <c r="L11" s="115">
        <v>0.17699999999999999</v>
      </c>
      <c r="M11" s="115">
        <v>0.34100000000000003</v>
      </c>
      <c r="N11" s="115">
        <v>22</v>
      </c>
      <c r="O11" s="115">
        <v>124</v>
      </c>
      <c r="P11" s="115">
        <v>115</v>
      </c>
      <c r="Q11" s="1">
        <v>0.17599999999999999</v>
      </c>
      <c r="R11" s="1">
        <v>0.34</v>
      </c>
      <c r="S11" s="1">
        <v>34</v>
      </c>
      <c r="T11" s="1">
        <v>199</v>
      </c>
      <c r="U11" s="1">
        <v>192</v>
      </c>
      <c r="W11" s="143">
        <f t="shared" si="0"/>
        <v>-3.0000000000002247E-5</v>
      </c>
      <c r="X11" s="143">
        <f t="shared" si="1"/>
        <v>1.0999999999999899E-3</v>
      </c>
      <c r="Y11" s="148">
        <f t="shared" si="2"/>
        <v>1.1004090148667349E-3</v>
      </c>
      <c r="Z11" s="144">
        <v>1.1004090148667349E-3</v>
      </c>
    </row>
    <row r="12" spans="2:26" ht="15.75" customHeight="1">
      <c r="B12" s="283"/>
      <c r="C12" s="78"/>
      <c r="D12" s="121">
        <v>9</v>
      </c>
      <c r="E12" s="121">
        <v>49.4</v>
      </c>
      <c r="F12" s="123">
        <v>0.31192999999999999</v>
      </c>
      <c r="G12" s="123">
        <v>0.61539999999999995</v>
      </c>
      <c r="H12" s="115">
        <v>126</v>
      </c>
      <c r="I12" s="115">
        <v>215</v>
      </c>
      <c r="J12" s="115">
        <v>21</v>
      </c>
      <c r="L12" s="119">
        <v>0.3</v>
      </c>
      <c r="M12" s="119">
        <v>0.60199999999999998</v>
      </c>
      <c r="N12" s="119">
        <v>75</v>
      </c>
      <c r="O12" s="119">
        <v>195</v>
      </c>
      <c r="P12" s="119">
        <v>0</v>
      </c>
      <c r="Q12" s="145">
        <v>0.30299999999999999</v>
      </c>
      <c r="R12" s="145">
        <v>0.60299999999999998</v>
      </c>
      <c r="S12" s="145">
        <v>86</v>
      </c>
      <c r="T12" s="145">
        <v>244</v>
      </c>
      <c r="U12" s="145">
        <v>0</v>
      </c>
      <c r="V12" s="145"/>
      <c r="W12" s="146">
        <f t="shared" si="0"/>
        <v>8.9299999999999935E-3</v>
      </c>
      <c r="X12" s="146">
        <f t="shared" si="1"/>
        <v>1.2399999999999967E-2</v>
      </c>
      <c r="Y12" s="149">
        <f t="shared" si="2"/>
        <v>1.5280867121992753E-2</v>
      </c>
      <c r="Z12" s="144" t="s">
        <v>27</v>
      </c>
    </row>
    <row r="13" spans="2:26" ht="15.75" customHeight="1">
      <c r="B13" s="283"/>
      <c r="C13" s="79"/>
      <c r="D13" s="121">
        <v>10</v>
      </c>
      <c r="E13" s="121">
        <v>27.3</v>
      </c>
      <c r="F13" s="123">
        <v>0.25833</v>
      </c>
      <c r="G13" s="123">
        <v>0.30124000000000001</v>
      </c>
      <c r="H13" s="115">
        <v>183</v>
      </c>
      <c r="I13" s="115">
        <v>228</v>
      </c>
      <c r="J13" s="115">
        <v>252</v>
      </c>
      <c r="L13" s="115">
        <v>0.254</v>
      </c>
      <c r="M13" s="115">
        <v>0.3</v>
      </c>
      <c r="N13" s="115">
        <v>54</v>
      </c>
      <c r="O13" s="115">
        <v>84</v>
      </c>
      <c r="P13" s="115">
        <v>99</v>
      </c>
      <c r="Q13" s="1">
        <v>0.25900000000000001</v>
      </c>
      <c r="R13" s="1">
        <v>0.30099999999999999</v>
      </c>
      <c r="S13" s="1">
        <v>129</v>
      </c>
      <c r="T13" s="1">
        <v>184</v>
      </c>
      <c r="U13" s="1">
        <v>233</v>
      </c>
      <c r="W13" s="143">
        <f t="shared" si="0"/>
        <v>-6.7000000000000393E-4</v>
      </c>
      <c r="X13" s="143">
        <f t="shared" si="1"/>
        <v>2.4000000000001798E-4</v>
      </c>
      <c r="Y13" s="148">
        <f t="shared" si="2"/>
        <v>7.1168813394633323E-4</v>
      </c>
      <c r="Z13" s="144">
        <v>7.1168813394633323E-4</v>
      </c>
    </row>
    <row r="14" spans="2:26" ht="15.75" customHeight="1">
      <c r="B14" s="283" t="s">
        <v>8</v>
      </c>
      <c r="C14" s="80"/>
      <c r="D14" s="121">
        <v>11</v>
      </c>
      <c r="E14" s="124">
        <v>22.6</v>
      </c>
      <c r="F14" s="123">
        <v>0.19763</v>
      </c>
      <c r="G14" s="123">
        <v>0.22852</v>
      </c>
      <c r="H14" s="115">
        <v>79</v>
      </c>
      <c r="I14" s="115">
        <v>138</v>
      </c>
      <c r="J14" s="115">
        <v>195</v>
      </c>
      <c r="L14" s="115">
        <v>0.19800000000000001</v>
      </c>
      <c r="M14" s="115">
        <v>0.22800000000000001</v>
      </c>
      <c r="N14" s="115">
        <v>26</v>
      </c>
      <c r="O14" s="115">
        <v>58</v>
      </c>
      <c r="P14" s="115">
        <v>118</v>
      </c>
      <c r="Q14" s="1">
        <v>0.19800000000000001</v>
      </c>
      <c r="R14" s="1">
        <v>0.22900000000000001</v>
      </c>
      <c r="S14" s="1">
        <v>42</v>
      </c>
      <c r="T14" s="1">
        <v>88</v>
      </c>
      <c r="U14" s="1">
        <v>195</v>
      </c>
      <c r="W14" s="143">
        <f t="shared" si="0"/>
        <v>-3.7000000000000921E-4</v>
      </c>
      <c r="X14" s="143">
        <f t="shared" si="1"/>
        <v>-4.800000000000082E-4</v>
      </c>
      <c r="Y14" s="148">
        <f t="shared" si="2"/>
        <v>6.0605280298008254E-4</v>
      </c>
      <c r="Z14" s="144">
        <v>6.0605280298008254E-4</v>
      </c>
    </row>
    <row r="15" spans="2:26" ht="15.75" customHeight="1">
      <c r="B15" s="283"/>
      <c r="C15" s="81"/>
      <c r="D15" s="121">
        <v>12</v>
      </c>
      <c r="E15" s="124">
        <v>28.6</v>
      </c>
      <c r="F15" s="123">
        <v>0.30370999999999998</v>
      </c>
      <c r="G15" s="123">
        <v>0.38968999999999998</v>
      </c>
      <c r="H15" s="115">
        <v>127</v>
      </c>
      <c r="I15" s="115">
        <v>154</v>
      </c>
      <c r="J15" s="115">
        <v>122</v>
      </c>
      <c r="L15" s="115">
        <v>0.30499999999999999</v>
      </c>
      <c r="M15" s="115">
        <v>0.39200000000000002</v>
      </c>
      <c r="N15" s="115">
        <v>86</v>
      </c>
      <c r="O15" s="115">
        <v>125</v>
      </c>
      <c r="P15" s="115">
        <v>68</v>
      </c>
      <c r="Q15" s="1">
        <v>0.30299999999999999</v>
      </c>
      <c r="R15" s="1">
        <v>0.39100000000000001</v>
      </c>
      <c r="S15" s="1">
        <v>92</v>
      </c>
      <c r="T15" s="1">
        <v>140</v>
      </c>
      <c r="U15" s="1">
        <v>82</v>
      </c>
      <c r="W15" s="143">
        <f t="shared" si="0"/>
        <v>7.0999999999998842E-4</v>
      </c>
      <c r="X15" s="143">
        <f t="shared" si="1"/>
        <v>-1.3100000000000334E-3</v>
      </c>
      <c r="Y15" s="148">
        <f t="shared" si="2"/>
        <v>1.4900335566691346E-3</v>
      </c>
      <c r="Z15" s="144">
        <v>1.4900335566691346E-3</v>
      </c>
    </row>
    <row r="16" spans="2:26" ht="15.75" customHeight="1">
      <c r="B16" s="283"/>
      <c r="C16" s="82"/>
      <c r="D16" s="121">
        <v>13</v>
      </c>
      <c r="E16" s="124">
        <v>13</v>
      </c>
      <c r="F16" s="123">
        <v>0.26643</v>
      </c>
      <c r="G16" s="123">
        <v>0.21495</v>
      </c>
      <c r="H16" s="115">
        <v>107</v>
      </c>
      <c r="I16" s="115">
        <v>90</v>
      </c>
      <c r="J16" s="115">
        <v>149</v>
      </c>
      <c r="L16" s="115">
        <v>0.26300000000000001</v>
      </c>
      <c r="M16" s="115">
        <v>0.216</v>
      </c>
      <c r="N16" s="115">
        <v>44</v>
      </c>
      <c r="O16" s="115">
        <v>36</v>
      </c>
      <c r="P16" s="115">
        <v>95</v>
      </c>
      <c r="Q16" s="1">
        <v>0.26700000000000002</v>
      </c>
      <c r="R16" s="1">
        <v>0.215</v>
      </c>
      <c r="S16" s="1">
        <v>64</v>
      </c>
      <c r="T16" s="1">
        <v>49</v>
      </c>
      <c r="U16" s="1">
        <v>142</v>
      </c>
      <c r="W16" s="143">
        <f t="shared" si="0"/>
        <v>-5.7000000000001494E-4</v>
      </c>
      <c r="X16" s="143">
        <f t="shared" si="1"/>
        <v>-4.9999999999994493E-5</v>
      </c>
      <c r="Y16" s="148">
        <f t="shared" si="2"/>
        <v>5.7218878003681309E-4</v>
      </c>
      <c r="Z16" s="144">
        <v>5.7218878003681309E-4</v>
      </c>
    </row>
    <row r="17" spans="2:26" ht="15.75" customHeight="1">
      <c r="B17" s="283"/>
      <c r="C17" s="83"/>
      <c r="D17" s="121">
        <v>14</v>
      </c>
      <c r="E17" s="124">
        <v>24.3</v>
      </c>
      <c r="F17" s="123">
        <v>0.39599000000000001</v>
      </c>
      <c r="G17" s="123">
        <v>0.28621000000000002</v>
      </c>
      <c r="H17" s="115">
        <v>167</v>
      </c>
      <c r="I17" s="115">
        <v>98</v>
      </c>
      <c r="J17" s="115">
        <v>127</v>
      </c>
      <c r="L17" s="115">
        <v>0.39700000000000002</v>
      </c>
      <c r="M17" s="115">
        <v>0.28699999999999998</v>
      </c>
      <c r="N17" s="115">
        <v>133</v>
      </c>
      <c r="O17" s="115">
        <v>56</v>
      </c>
      <c r="P17" s="115">
        <v>82</v>
      </c>
      <c r="Q17" s="1">
        <v>0.39600000000000002</v>
      </c>
      <c r="R17" s="1">
        <v>0.28599999999999998</v>
      </c>
      <c r="S17" s="1">
        <v>155</v>
      </c>
      <c r="T17" s="1">
        <v>67</v>
      </c>
      <c r="U17" s="1">
        <v>104</v>
      </c>
      <c r="W17" s="143">
        <f t="shared" si="0"/>
        <v>-1.0000000000010001E-5</v>
      </c>
      <c r="X17" s="143">
        <f t="shared" si="1"/>
        <v>2.1000000000004349E-4</v>
      </c>
      <c r="Y17" s="148">
        <f t="shared" si="2"/>
        <v>2.1023796041633029E-4</v>
      </c>
      <c r="Z17" s="144">
        <v>2.1023796041633029E-4</v>
      </c>
    </row>
    <row r="18" spans="2:26" ht="15.75" customHeight="1">
      <c r="B18" s="283"/>
      <c r="C18" s="84"/>
      <c r="D18" s="121">
        <v>15</v>
      </c>
      <c r="E18" s="124">
        <v>29.9</v>
      </c>
      <c r="F18" s="123">
        <v>0.49687999999999999</v>
      </c>
      <c r="G18" s="123">
        <v>0.35761999999999999</v>
      </c>
      <c r="H18" s="115">
        <v>208</v>
      </c>
      <c r="I18" s="115">
        <v>112</v>
      </c>
      <c r="J18" s="115">
        <v>87</v>
      </c>
      <c r="L18" s="115">
        <v>0.499</v>
      </c>
      <c r="M18" s="115">
        <v>0.35599999999999998</v>
      </c>
      <c r="N18" s="115">
        <v>170</v>
      </c>
      <c r="O18" s="115">
        <v>60</v>
      </c>
      <c r="P18" s="115">
        <v>31</v>
      </c>
      <c r="Q18" s="1">
        <v>0.498</v>
      </c>
      <c r="R18" s="1">
        <v>0.35899999999999999</v>
      </c>
      <c r="S18" s="1">
        <v>155</v>
      </c>
      <c r="T18" s="1">
        <v>58</v>
      </c>
      <c r="U18" s="1">
        <v>30</v>
      </c>
      <c r="W18" s="143">
        <f t="shared" si="0"/>
        <v>-1.1200000000000099E-3</v>
      </c>
      <c r="X18" s="143">
        <f t="shared" si="1"/>
        <v>-1.3799999999999923E-3</v>
      </c>
      <c r="Y18" s="148">
        <f t="shared" si="2"/>
        <v>1.7773013250431118E-3</v>
      </c>
      <c r="Z18" s="144">
        <v>1.7773013250431118E-3</v>
      </c>
    </row>
    <row r="19" spans="2:26" ht="15.75" customHeight="1">
      <c r="B19" s="283"/>
      <c r="C19" s="85"/>
      <c r="D19" s="121">
        <v>16</v>
      </c>
      <c r="E19" s="124">
        <v>48.7</v>
      </c>
      <c r="F19" s="123">
        <v>0.43759999999999999</v>
      </c>
      <c r="G19" s="123">
        <v>0.4219</v>
      </c>
      <c r="H19" s="115">
        <v>217</v>
      </c>
      <c r="I19" s="115">
        <v>174</v>
      </c>
      <c r="J19" s="115">
        <v>95</v>
      </c>
      <c r="L19" s="115">
        <v>0.44</v>
      </c>
      <c r="M19" s="115">
        <v>0.42499999999999999</v>
      </c>
      <c r="N19" s="115">
        <v>190</v>
      </c>
      <c r="O19" s="115">
        <v>134</v>
      </c>
      <c r="P19" s="115">
        <v>30</v>
      </c>
      <c r="Q19" s="1">
        <v>0.438</v>
      </c>
      <c r="R19" s="1">
        <v>0.42099999999999999</v>
      </c>
      <c r="S19" s="1">
        <v>210</v>
      </c>
      <c r="T19" s="1">
        <v>150</v>
      </c>
      <c r="U19" s="1">
        <v>40</v>
      </c>
      <c r="W19" s="143">
        <f t="shared" si="0"/>
        <v>-4.0000000000001146E-4</v>
      </c>
      <c r="X19" s="143">
        <f t="shared" si="1"/>
        <v>9.000000000000119E-4</v>
      </c>
      <c r="Y19" s="148">
        <f t="shared" si="2"/>
        <v>9.84885780179626E-4</v>
      </c>
      <c r="Z19" s="144">
        <v>9.84885780179626E-4</v>
      </c>
    </row>
    <row r="20" spans="2:26" ht="15.75" customHeight="1">
      <c r="B20" s="283"/>
      <c r="C20" s="86"/>
      <c r="D20" s="121">
        <v>17</v>
      </c>
      <c r="E20" s="124">
        <v>24.1</v>
      </c>
      <c r="F20" s="123">
        <v>0.18945000000000001</v>
      </c>
      <c r="G20" s="123">
        <v>0.32011000000000001</v>
      </c>
      <c r="H20" s="115">
        <v>50</v>
      </c>
      <c r="I20" s="115">
        <v>154</v>
      </c>
      <c r="J20" s="115">
        <v>158</v>
      </c>
      <c r="L20" s="115">
        <v>0.188</v>
      </c>
      <c r="M20" s="115">
        <v>0.32100000000000001</v>
      </c>
      <c r="N20" s="115">
        <v>23</v>
      </c>
      <c r="O20" s="115">
        <v>94</v>
      </c>
      <c r="P20" s="115">
        <v>95</v>
      </c>
      <c r="Q20" s="1">
        <v>0.19</v>
      </c>
      <c r="R20" s="1">
        <v>0.31900000000000001</v>
      </c>
      <c r="S20" s="1">
        <v>36</v>
      </c>
      <c r="T20" s="1">
        <v>145</v>
      </c>
      <c r="U20" s="1">
        <v>160</v>
      </c>
      <c r="W20" s="143">
        <f t="shared" si="0"/>
        <v>-5.4999999999999494E-4</v>
      </c>
      <c r="X20" s="143">
        <f t="shared" si="1"/>
        <v>1.1099999999999999E-3</v>
      </c>
      <c r="Y20" s="148">
        <f t="shared" si="2"/>
        <v>1.2387897319561516E-3</v>
      </c>
      <c r="Z20" s="144">
        <v>1.2387897319561516E-3</v>
      </c>
    </row>
    <row r="21" spans="2:26" ht="15.75" customHeight="1">
      <c r="B21" s="283"/>
      <c r="C21" s="87"/>
      <c r="D21" s="121">
        <v>18</v>
      </c>
      <c r="E21" s="124">
        <v>100</v>
      </c>
      <c r="F21" s="123">
        <v>0.31273000000000001</v>
      </c>
      <c r="G21" s="123">
        <v>0.32901999999999998</v>
      </c>
      <c r="H21" s="115">
        <v>255</v>
      </c>
      <c r="I21" s="115">
        <v>255</v>
      </c>
      <c r="J21" s="115">
        <v>255</v>
      </c>
      <c r="L21" s="115">
        <v>0.311</v>
      </c>
      <c r="M21" s="115">
        <v>0.33</v>
      </c>
      <c r="N21" s="115">
        <v>155</v>
      </c>
      <c r="O21" s="115">
        <v>162</v>
      </c>
      <c r="P21" s="115">
        <v>148</v>
      </c>
      <c r="Q21" s="1">
        <v>0.312</v>
      </c>
      <c r="R21" s="1">
        <v>0.32900000000000001</v>
      </c>
      <c r="S21" s="1">
        <v>248</v>
      </c>
      <c r="T21" s="1">
        <v>243</v>
      </c>
      <c r="U21" s="1">
        <v>242</v>
      </c>
      <c r="W21" s="143">
        <f t="shared" si="0"/>
        <v>7.3000000000000842E-4</v>
      </c>
      <c r="X21" s="143">
        <f t="shared" si="1"/>
        <v>1.9999999999964491E-5</v>
      </c>
      <c r="Y21" s="148">
        <f t="shared" si="2"/>
        <v>7.3027392121039814E-4</v>
      </c>
      <c r="Z21" s="144">
        <v>7.3027392121039814E-4</v>
      </c>
    </row>
    <row r="22" spans="2:26" ht="15.75" customHeight="1">
      <c r="B22" s="283"/>
      <c r="C22" s="88"/>
      <c r="D22" s="121">
        <v>19</v>
      </c>
      <c r="E22" s="124">
        <v>24.6</v>
      </c>
      <c r="F22" s="123">
        <v>0.63990999999999998</v>
      </c>
      <c r="G22" s="123">
        <v>0.32995000000000002</v>
      </c>
      <c r="H22" s="115">
        <v>234</v>
      </c>
      <c r="I22" s="115">
        <v>0</v>
      </c>
      <c r="J22" s="115">
        <v>4</v>
      </c>
      <c r="L22" s="115">
        <v>0.63800000000000001</v>
      </c>
      <c r="M22" s="115">
        <v>0.33</v>
      </c>
      <c r="N22" s="115">
        <v>130</v>
      </c>
      <c r="O22" s="115">
        <v>10</v>
      </c>
      <c r="P22" s="115">
        <v>5</v>
      </c>
      <c r="Q22" s="1">
        <v>0.64100000000000001</v>
      </c>
      <c r="R22" s="1">
        <v>0.33</v>
      </c>
      <c r="S22" s="1">
        <v>190</v>
      </c>
      <c r="T22" s="1">
        <v>17</v>
      </c>
      <c r="U22" s="1">
        <v>6</v>
      </c>
      <c r="W22" s="143">
        <f t="shared" si="0"/>
        <v>-1.0900000000000354E-3</v>
      </c>
      <c r="X22" s="143">
        <f t="shared" si="1"/>
        <v>-4.9999999999994493E-5</v>
      </c>
      <c r="Y22" s="148">
        <f t="shared" si="2"/>
        <v>1.0911461863563822E-3</v>
      </c>
      <c r="Z22" s="144">
        <v>1.0911461863563822E-3</v>
      </c>
    </row>
    <row r="23" spans="2:26" ht="15.75" customHeight="1">
      <c r="B23" s="283"/>
      <c r="C23" s="89"/>
      <c r="D23" s="121">
        <v>20</v>
      </c>
      <c r="E23" s="124">
        <v>69.8</v>
      </c>
      <c r="F23" s="123">
        <v>0.27287</v>
      </c>
      <c r="G23" s="123">
        <v>0.28921999999999998</v>
      </c>
      <c r="H23" s="115">
        <v>200</v>
      </c>
      <c r="I23" s="115">
        <v>219</v>
      </c>
      <c r="J23" s="115">
        <v>255</v>
      </c>
      <c r="L23" s="115">
        <v>0.27400000000000002</v>
      </c>
      <c r="M23" s="115">
        <v>0.28899999999999998</v>
      </c>
      <c r="N23" s="115">
        <v>100</v>
      </c>
      <c r="O23" s="115">
        <v>118</v>
      </c>
      <c r="P23" s="115">
        <v>154</v>
      </c>
      <c r="Q23" s="1">
        <v>0.27100000000000002</v>
      </c>
      <c r="R23" s="1">
        <v>0.28799999999999998</v>
      </c>
      <c r="S23" s="1">
        <v>150</v>
      </c>
      <c r="T23" s="1">
        <v>175</v>
      </c>
      <c r="U23" s="1">
        <v>250</v>
      </c>
      <c r="W23" s="143">
        <f t="shared" si="0"/>
        <v>1.8699999999999828E-3</v>
      </c>
      <c r="X23" s="143">
        <f t="shared" si="1"/>
        <v>1.2199999999999989E-3</v>
      </c>
      <c r="Y23" s="148">
        <f t="shared" si="2"/>
        <v>2.2327785380552036E-3</v>
      </c>
      <c r="Z23" s="144">
        <v>2.2327785380552036E-3</v>
      </c>
    </row>
    <row r="24" spans="2:26" ht="15.75" customHeight="1">
      <c r="B24" s="283" t="s">
        <v>9</v>
      </c>
      <c r="C24" s="90"/>
      <c r="D24" s="121">
        <v>21</v>
      </c>
      <c r="E24" s="125">
        <v>66.400000000000006</v>
      </c>
      <c r="F24" s="123">
        <v>0.29727999999999999</v>
      </c>
      <c r="G24" s="123">
        <v>0.27190999999999999</v>
      </c>
      <c r="H24" s="115">
        <v>223</v>
      </c>
      <c r="I24" s="115">
        <v>200</v>
      </c>
      <c r="J24" s="115">
        <v>255</v>
      </c>
      <c r="L24" s="115">
        <v>0.29799999999999999</v>
      </c>
      <c r="M24" s="115">
        <v>0.27300000000000002</v>
      </c>
      <c r="N24" s="115">
        <v>90</v>
      </c>
      <c r="O24" s="115">
        <v>78</v>
      </c>
      <c r="P24" s="115">
        <v>120</v>
      </c>
      <c r="Q24" s="1">
        <v>0.29799999999999999</v>
      </c>
      <c r="R24" s="1">
        <v>0.27400000000000002</v>
      </c>
      <c r="S24" s="1">
        <v>177</v>
      </c>
      <c r="T24" s="1">
        <v>146</v>
      </c>
      <c r="U24" s="1">
        <v>240</v>
      </c>
      <c r="W24" s="143">
        <f t="shared" si="0"/>
        <v>-7.1999999999999842E-4</v>
      </c>
      <c r="X24" s="143">
        <f t="shared" si="1"/>
        <v>-2.0900000000000363E-3</v>
      </c>
      <c r="Y24" s="148">
        <f t="shared" si="2"/>
        <v>2.2105429197371738E-3</v>
      </c>
      <c r="Z24" s="144">
        <v>2.2105429197371738E-3</v>
      </c>
    </row>
    <row r="25" spans="2:26" ht="15.75" customHeight="1">
      <c r="B25" s="283"/>
      <c r="C25" s="91"/>
      <c r="D25" s="121">
        <v>22</v>
      </c>
      <c r="E25" s="125">
        <v>47.2</v>
      </c>
      <c r="F25" s="123">
        <v>0.51129999999999998</v>
      </c>
      <c r="G25" s="123">
        <v>0.37468000000000001</v>
      </c>
      <c r="H25" s="115">
        <v>255</v>
      </c>
      <c r="I25" s="115">
        <v>140</v>
      </c>
      <c r="J25" s="115">
        <v>89</v>
      </c>
      <c r="L25" s="115">
        <v>0.51300000000000001</v>
      </c>
      <c r="M25" s="115">
        <v>0.377</v>
      </c>
      <c r="N25" s="115">
        <v>230</v>
      </c>
      <c r="O25" s="115">
        <v>84</v>
      </c>
      <c r="P25" s="115">
        <v>27</v>
      </c>
      <c r="Q25" s="1">
        <v>0.51100000000000001</v>
      </c>
      <c r="R25" s="1">
        <v>0.375</v>
      </c>
      <c r="S25" s="1">
        <v>248</v>
      </c>
      <c r="T25" s="1">
        <v>92</v>
      </c>
      <c r="U25" s="1">
        <v>33</v>
      </c>
      <c r="W25" s="143">
        <f t="shared" si="0"/>
        <v>2.9999999999996696E-4</v>
      </c>
      <c r="X25" s="143">
        <f t="shared" si="1"/>
        <v>-3.1999999999998696E-4</v>
      </c>
      <c r="Y25" s="148">
        <f t="shared" si="2"/>
        <v>4.3863424398919406E-4</v>
      </c>
      <c r="Z25" s="144">
        <v>4.3863424398919406E-4</v>
      </c>
    </row>
    <row r="26" spans="2:26" ht="15.75" customHeight="1">
      <c r="B26" s="283"/>
      <c r="C26" s="92"/>
      <c r="D26" s="121">
        <v>23</v>
      </c>
      <c r="E26" s="125">
        <v>35.9</v>
      </c>
      <c r="F26" s="123">
        <v>0.60202999999999995</v>
      </c>
      <c r="G26" s="123">
        <v>0.36354999999999998</v>
      </c>
      <c r="H26" s="115">
        <v>255</v>
      </c>
      <c r="I26" s="115">
        <v>89</v>
      </c>
      <c r="J26" s="115">
        <v>0</v>
      </c>
      <c r="L26" s="115">
        <v>0.60099999999999998</v>
      </c>
      <c r="M26" s="115">
        <v>0.36399999999999999</v>
      </c>
      <c r="N26" s="115">
        <v>184</v>
      </c>
      <c r="O26" s="115">
        <v>35</v>
      </c>
      <c r="P26" s="115">
        <v>5</v>
      </c>
      <c r="Q26" s="1">
        <v>0.60299999999999998</v>
      </c>
      <c r="R26" s="1">
        <v>0.36299999999999999</v>
      </c>
      <c r="S26" s="1">
        <v>230</v>
      </c>
      <c r="T26" s="1">
        <v>45</v>
      </c>
      <c r="U26" s="1">
        <v>6</v>
      </c>
      <c r="W26" s="143">
        <f t="shared" si="0"/>
        <v>-9.700000000000264E-4</v>
      </c>
      <c r="X26" s="143">
        <f t="shared" si="1"/>
        <v>5.4999999999999494E-4</v>
      </c>
      <c r="Y26" s="148">
        <f t="shared" si="2"/>
        <v>1.115078472574933E-3</v>
      </c>
      <c r="Z26" s="144">
        <v>1.115078472574933E-3</v>
      </c>
    </row>
    <row r="27" spans="2:26" ht="15.75" customHeight="1">
      <c r="B27" s="283"/>
      <c r="C27" s="93"/>
      <c r="D27" s="121">
        <v>24</v>
      </c>
      <c r="E27" s="125">
        <v>30.8</v>
      </c>
      <c r="F27" s="123">
        <v>0.62704000000000004</v>
      </c>
      <c r="G27" s="123">
        <v>0.33285999999999999</v>
      </c>
      <c r="H27" s="115">
        <v>255</v>
      </c>
      <c r="I27" s="115">
        <v>40</v>
      </c>
      <c r="J27" s="115">
        <v>30</v>
      </c>
      <c r="L27" s="115">
        <v>0.627</v>
      </c>
      <c r="M27" s="115">
        <v>0.33500000000000002</v>
      </c>
      <c r="N27" s="115">
        <v>178</v>
      </c>
      <c r="O27" s="115">
        <v>18</v>
      </c>
      <c r="P27" s="115">
        <v>7</v>
      </c>
      <c r="Q27" s="1">
        <v>0.629</v>
      </c>
      <c r="R27" s="1">
        <v>0.33200000000000002</v>
      </c>
      <c r="S27" s="1">
        <v>220</v>
      </c>
      <c r="T27" s="1">
        <v>23</v>
      </c>
      <c r="U27" s="1">
        <v>9</v>
      </c>
      <c r="W27" s="143">
        <f t="shared" si="0"/>
        <v>-1.9599999999999618E-3</v>
      </c>
      <c r="X27" s="143">
        <f t="shared" si="1"/>
        <v>8.599999999999719E-4</v>
      </c>
      <c r="Y27" s="148">
        <f t="shared" si="2"/>
        <v>2.140373799129442E-3</v>
      </c>
      <c r="Z27" s="144">
        <v>2.140373799129442E-3</v>
      </c>
    </row>
    <row r="28" spans="2:26" ht="15.75" customHeight="1">
      <c r="B28" s="283"/>
      <c r="C28" s="94"/>
      <c r="D28" s="121">
        <v>25</v>
      </c>
      <c r="E28" s="125">
        <v>29.7</v>
      </c>
      <c r="F28" s="123">
        <v>0.63944999999999996</v>
      </c>
      <c r="G28" s="123">
        <v>0.32969999999999999</v>
      </c>
      <c r="H28" s="115">
        <v>255</v>
      </c>
      <c r="I28" s="115">
        <v>0</v>
      </c>
      <c r="J28" s="115">
        <v>10</v>
      </c>
      <c r="L28" s="115">
        <v>0.64100000000000001</v>
      </c>
      <c r="M28" s="115">
        <v>0.33300000000000002</v>
      </c>
      <c r="N28" s="115">
        <v>187</v>
      </c>
      <c r="O28" s="115">
        <v>15</v>
      </c>
      <c r="P28" s="115">
        <v>5</v>
      </c>
      <c r="Q28" s="1">
        <v>0.64100000000000001</v>
      </c>
      <c r="R28" s="1">
        <v>0.33100000000000002</v>
      </c>
      <c r="S28" s="1">
        <v>235</v>
      </c>
      <c r="T28" s="1">
        <v>21</v>
      </c>
      <c r="U28" s="1">
        <v>7</v>
      </c>
      <c r="W28" s="143">
        <f t="shared" si="0"/>
        <v>-1.5500000000000513E-3</v>
      </c>
      <c r="X28" s="143">
        <f t="shared" si="1"/>
        <v>-1.3000000000000234E-3</v>
      </c>
      <c r="Y28" s="148">
        <f t="shared" si="2"/>
        <v>2.022992832414445E-3</v>
      </c>
      <c r="Z28" s="144">
        <v>2.022992832414445E-3</v>
      </c>
    </row>
    <row r="29" spans="2:26" ht="15.75" customHeight="1">
      <c r="B29" s="283"/>
      <c r="C29" s="95"/>
      <c r="D29" s="121">
        <v>26</v>
      </c>
      <c r="E29" s="125">
        <v>20.3</v>
      </c>
      <c r="F29" s="123">
        <v>0.26593</v>
      </c>
      <c r="G29" s="123">
        <v>0.12388</v>
      </c>
      <c r="H29" s="115">
        <v>174</v>
      </c>
      <c r="I29" s="115">
        <v>0</v>
      </c>
      <c r="J29" s="115">
        <v>255</v>
      </c>
      <c r="L29" s="115">
        <v>0.26700000000000002</v>
      </c>
      <c r="M29" s="115">
        <v>0.126</v>
      </c>
      <c r="N29" s="115">
        <v>62</v>
      </c>
      <c r="O29" s="115">
        <v>7</v>
      </c>
      <c r="P29" s="115">
        <v>160</v>
      </c>
      <c r="Q29" s="1">
        <v>0.26500000000000001</v>
      </c>
      <c r="R29" s="1">
        <v>0.124</v>
      </c>
      <c r="S29" s="1">
        <v>90</v>
      </c>
      <c r="T29" s="1">
        <v>8</v>
      </c>
      <c r="U29" s="1">
        <v>240</v>
      </c>
      <c r="W29" s="143">
        <f t="shared" si="0"/>
        <v>9.2999999999998639E-4</v>
      </c>
      <c r="X29" s="143">
        <f t="shared" si="1"/>
        <v>-1.1999999999999511E-4</v>
      </c>
      <c r="Y29" s="148">
        <f t="shared" si="2"/>
        <v>9.377099764852529E-4</v>
      </c>
      <c r="Z29" s="144">
        <v>9.377099764852529E-4</v>
      </c>
    </row>
    <row r="30" spans="2:26" ht="15.75" customHeight="1">
      <c r="B30" s="283"/>
      <c r="C30" s="96"/>
      <c r="D30" s="121">
        <v>27</v>
      </c>
      <c r="E30" s="125">
        <v>11.3</v>
      </c>
      <c r="F30" s="123">
        <v>0.19114999999999999</v>
      </c>
      <c r="G30" s="123">
        <v>8.2669999999999993E-2</v>
      </c>
      <c r="H30" s="115">
        <v>100</v>
      </c>
      <c r="I30" s="115">
        <v>0</v>
      </c>
      <c r="J30" s="115">
        <v>255</v>
      </c>
      <c r="L30" s="115">
        <v>0.193</v>
      </c>
      <c r="M30" s="115">
        <v>8.2000000000000003E-2</v>
      </c>
      <c r="N30" s="115">
        <v>23</v>
      </c>
      <c r="O30" s="115">
        <v>3</v>
      </c>
      <c r="P30" s="115">
        <v>165</v>
      </c>
      <c r="Q30" s="1">
        <v>0.192</v>
      </c>
      <c r="R30" s="1">
        <v>8.4000000000000005E-2</v>
      </c>
      <c r="S30" s="1">
        <v>36</v>
      </c>
      <c r="T30" s="1">
        <v>3</v>
      </c>
      <c r="U30" s="1">
        <v>247</v>
      </c>
      <c r="W30" s="143">
        <f t="shared" si="0"/>
        <v>-8.5000000000001741E-4</v>
      </c>
      <c r="X30" s="143">
        <f t="shared" si="1"/>
        <v>-1.3300000000000117E-3</v>
      </c>
      <c r="Y30" s="148">
        <f t="shared" si="2"/>
        <v>1.5784169284444654E-3</v>
      </c>
      <c r="Z30" s="144">
        <v>1.5784169284444654E-3</v>
      </c>
    </row>
    <row r="31" spans="2:26" ht="15.75" customHeight="1">
      <c r="B31" s="283"/>
      <c r="C31" s="97"/>
      <c r="D31" s="121">
        <v>28</v>
      </c>
      <c r="E31" s="125">
        <v>14.7</v>
      </c>
      <c r="F31" s="123">
        <v>0.17471</v>
      </c>
      <c r="G31" s="123">
        <v>0.106</v>
      </c>
      <c r="H31" s="115">
        <v>75</v>
      </c>
      <c r="I31" s="115">
        <v>82</v>
      </c>
      <c r="J31" s="115">
        <v>255</v>
      </c>
      <c r="L31" s="115">
        <v>0.17599999999999999</v>
      </c>
      <c r="M31" s="115">
        <v>0.105</v>
      </c>
      <c r="N31" s="115">
        <v>17</v>
      </c>
      <c r="O31" s="115">
        <v>16</v>
      </c>
      <c r="P31" s="115">
        <v>165</v>
      </c>
      <c r="Q31" s="1">
        <v>0.17399999999999999</v>
      </c>
      <c r="R31" s="1">
        <v>0.106</v>
      </c>
      <c r="S31" s="1">
        <v>26</v>
      </c>
      <c r="T31" s="1">
        <v>21</v>
      </c>
      <c r="U31" s="1">
        <v>247</v>
      </c>
      <c r="W31" s="143">
        <f t="shared" si="0"/>
        <v>7.1000000000001617E-4</v>
      </c>
      <c r="X31" s="143">
        <f t="shared" si="1"/>
        <v>0</v>
      </c>
      <c r="Y31" s="148">
        <f t="shared" si="2"/>
        <v>7.1000000000001617E-4</v>
      </c>
      <c r="Z31" s="144">
        <v>7.1000000000001617E-4</v>
      </c>
    </row>
    <row r="32" spans="2:26" ht="15.75" customHeight="1">
      <c r="B32" s="283"/>
      <c r="C32" s="98"/>
      <c r="D32" s="121">
        <v>29</v>
      </c>
      <c r="E32" s="125">
        <v>53.3</v>
      </c>
      <c r="F32" s="123">
        <v>0.18432000000000001</v>
      </c>
      <c r="G32" s="123">
        <v>0.43181000000000003</v>
      </c>
      <c r="H32" s="115">
        <v>0</v>
      </c>
      <c r="I32" s="115">
        <v>227</v>
      </c>
      <c r="J32" s="115">
        <v>207</v>
      </c>
      <c r="L32" s="115">
        <v>0.183</v>
      </c>
      <c r="M32" s="115">
        <v>0.433</v>
      </c>
      <c r="N32" s="115">
        <v>30</v>
      </c>
      <c r="O32" s="115">
        <v>186</v>
      </c>
      <c r="P32" s="115">
        <v>90</v>
      </c>
      <c r="Q32" s="1">
        <v>0.185</v>
      </c>
      <c r="R32" s="1">
        <v>0.43099999999999999</v>
      </c>
      <c r="S32" s="1">
        <v>36</v>
      </c>
      <c r="T32" s="1">
        <v>240</v>
      </c>
      <c r="U32" s="1">
        <v>129</v>
      </c>
      <c r="W32" s="143">
        <f t="shared" si="0"/>
        <v>-6.7999999999998617E-4</v>
      </c>
      <c r="X32" s="143">
        <f t="shared" si="1"/>
        <v>8.1000000000003292E-4</v>
      </c>
      <c r="Y32" s="148">
        <f t="shared" si="2"/>
        <v>1.0575916035975485E-3</v>
      </c>
      <c r="Z32" s="144">
        <v>1.0575916035975485E-3</v>
      </c>
    </row>
    <row r="33" spans="2:26" ht="15.75" customHeight="1">
      <c r="B33" s="283"/>
      <c r="C33" s="99"/>
      <c r="D33" s="121">
        <v>30</v>
      </c>
      <c r="E33" s="125">
        <v>74.7</v>
      </c>
      <c r="F33" s="123">
        <v>0.32716000000000001</v>
      </c>
      <c r="G33" s="123">
        <v>0.58289000000000002</v>
      </c>
      <c r="H33" s="115">
        <v>167</v>
      </c>
      <c r="I33" s="115">
        <v>255</v>
      </c>
      <c r="J33" s="115">
        <v>55</v>
      </c>
      <c r="L33" s="115">
        <v>0.32500000000000001</v>
      </c>
      <c r="M33" s="115">
        <v>0.58199999999999996</v>
      </c>
      <c r="N33" s="115">
        <v>94</v>
      </c>
      <c r="O33" s="115">
        <v>200</v>
      </c>
      <c r="P33" s="115">
        <v>1</v>
      </c>
      <c r="Q33" s="1">
        <v>0.32700000000000001</v>
      </c>
      <c r="R33" s="1">
        <v>0.58299999999999996</v>
      </c>
      <c r="S33" s="1">
        <v>103</v>
      </c>
      <c r="T33" s="1">
        <v>230</v>
      </c>
      <c r="U33" s="1">
        <v>4</v>
      </c>
      <c r="W33" s="143">
        <f t="shared" si="0"/>
        <v>1.5999999999999348E-4</v>
      </c>
      <c r="X33" s="143">
        <f t="shared" si="1"/>
        <v>-1.0999999999994348E-4</v>
      </c>
      <c r="Y33" s="148">
        <f t="shared" si="2"/>
        <v>1.9416487838943861E-4</v>
      </c>
      <c r="Z33" s="144">
        <v>1.9416487838943861E-4</v>
      </c>
    </row>
    <row r="34" spans="2:26" ht="15.75" customHeight="1">
      <c r="B34" s="283" t="s">
        <v>10</v>
      </c>
      <c r="C34" s="100"/>
      <c r="D34" s="121">
        <v>31</v>
      </c>
      <c r="E34" s="126">
        <v>12.9</v>
      </c>
      <c r="F34" s="123">
        <v>0.15346000000000001</v>
      </c>
      <c r="G34" s="123">
        <v>9.7519999999999996E-2</v>
      </c>
      <c r="H34" s="115">
        <v>0</v>
      </c>
      <c r="I34" s="115">
        <v>84</v>
      </c>
      <c r="J34" s="115">
        <v>255</v>
      </c>
      <c r="L34" s="115">
        <v>0.153</v>
      </c>
      <c r="M34" s="115">
        <v>9.9000000000000005E-2</v>
      </c>
      <c r="N34" s="115">
        <v>7</v>
      </c>
      <c r="O34" s="115">
        <v>16</v>
      </c>
      <c r="P34" s="115">
        <v>153</v>
      </c>
      <c r="Q34" s="1">
        <v>0.153</v>
      </c>
      <c r="R34" s="1">
        <v>9.9000000000000005E-2</v>
      </c>
      <c r="S34" s="1">
        <v>13</v>
      </c>
      <c r="T34" s="1">
        <v>21</v>
      </c>
      <c r="U34" s="1">
        <v>240</v>
      </c>
      <c r="W34" s="143">
        <f t="shared" si="0"/>
        <v>4.6000000000001595E-4</v>
      </c>
      <c r="X34" s="143">
        <f t="shared" si="1"/>
        <v>-1.4800000000000091E-3</v>
      </c>
      <c r="Y34" s="148">
        <f t="shared" si="2"/>
        <v>1.5498387012847633E-3</v>
      </c>
      <c r="Z34" s="144">
        <v>1.5498387012847633E-3</v>
      </c>
    </row>
    <row r="35" spans="2:26" ht="15.75" customHeight="1">
      <c r="B35" s="283"/>
      <c r="C35" s="101"/>
      <c r="D35" s="121">
        <v>32</v>
      </c>
      <c r="E35" s="126">
        <v>45.3</v>
      </c>
      <c r="F35" s="123">
        <v>0.21</v>
      </c>
      <c r="G35" s="123">
        <v>0.71</v>
      </c>
      <c r="H35" s="115">
        <v>0</v>
      </c>
      <c r="I35" s="115">
        <v>220</v>
      </c>
      <c r="J35" s="115">
        <v>0</v>
      </c>
      <c r="L35" s="119">
        <v>0.192</v>
      </c>
      <c r="M35" s="119">
        <v>0.68200000000000005</v>
      </c>
      <c r="N35" s="119">
        <v>20</v>
      </c>
      <c r="O35" s="119">
        <v>160</v>
      </c>
      <c r="P35" s="119">
        <v>0</v>
      </c>
      <c r="Q35" s="145">
        <v>0.20899999999999999</v>
      </c>
      <c r="R35" s="145">
        <v>0.68</v>
      </c>
      <c r="S35" s="145">
        <v>32</v>
      </c>
      <c r="T35" s="145">
        <v>254</v>
      </c>
      <c r="U35" s="145">
        <v>0</v>
      </c>
      <c r="V35" s="145"/>
      <c r="W35" s="146">
        <f t="shared" si="0"/>
        <v>1.0000000000000009E-3</v>
      </c>
      <c r="X35" s="146">
        <f t="shared" si="1"/>
        <v>2.9999999999999916E-2</v>
      </c>
      <c r="Y35" s="149">
        <f t="shared" si="2"/>
        <v>3.0016662039607185E-2</v>
      </c>
      <c r="Z35" s="144" t="s">
        <v>28</v>
      </c>
    </row>
    <row r="36" spans="2:26" ht="15.75" customHeight="1">
      <c r="B36" s="283"/>
      <c r="C36" s="102"/>
      <c r="D36" s="121">
        <v>33</v>
      </c>
      <c r="E36" s="126">
        <v>68.099999999999994</v>
      </c>
      <c r="F36" s="123">
        <v>0.47871000000000002</v>
      </c>
      <c r="G36" s="123">
        <v>0.47254000000000002</v>
      </c>
      <c r="H36" s="115">
        <v>255</v>
      </c>
      <c r="I36" s="115">
        <v>204</v>
      </c>
      <c r="J36" s="115">
        <v>0</v>
      </c>
      <c r="L36" s="115">
        <v>0.47599999999999998</v>
      </c>
      <c r="M36" s="115">
        <v>0.47</v>
      </c>
      <c r="N36" s="115">
        <v>122</v>
      </c>
      <c r="O36" s="115">
        <v>90</v>
      </c>
      <c r="P36" s="115">
        <v>0</v>
      </c>
      <c r="Q36" s="1">
        <v>0.47699999999999998</v>
      </c>
      <c r="R36" s="1">
        <v>0.47399999999999998</v>
      </c>
      <c r="S36" s="1">
        <v>244</v>
      </c>
      <c r="T36" s="1">
        <v>180</v>
      </c>
      <c r="U36" s="1">
        <v>0</v>
      </c>
      <c r="W36" s="143">
        <f t="shared" si="0"/>
        <v>1.7100000000000448E-3</v>
      </c>
      <c r="X36" s="143">
        <f t="shared" si="1"/>
        <v>-1.4599999999999613E-3</v>
      </c>
      <c r="Y36" s="148">
        <f t="shared" si="2"/>
        <v>2.2484883811129735E-3</v>
      </c>
      <c r="Z36" s="144">
        <v>2.2484883811129735E-3</v>
      </c>
    </row>
    <row r="37" spans="2:26" ht="15.75" customHeight="1">
      <c r="B37" s="283"/>
      <c r="C37" s="101"/>
      <c r="D37" s="121">
        <v>34</v>
      </c>
      <c r="E37" s="126">
        <v>45.3</v>
      </c>
      <c r="F37" s="123">
        <v>0.21</v>
      </c>
      <c r="G37" s="123">
        <v>0.71</v>
      </c>
      <c r="H37" s="115">
        <v>0</v>
      </c>
      <c r="I37" s="115">
        <v>220</v>
      </c>
      <c r="J37" s="115">
        <v>0</v>
      </c>
      <c r="L37" s="119">
        <v>0.192</v>
      </c>
      <c r="M37" s="119">
        <v>0.68200000000000005</v>
      </c>
      <c r="N37" s="119">
        <v>20</v>
      </c>
      <c r="O37" s="119">
        <v>160</v>
      </c>
      <c r="P37" s="119">
        <v>0</v>
      </c>
      <c r="Q37" s="145">
        <v>0.20899999999999999</v>
      </c>
      <c r="R37" s="145">
        <v>0.68</v>
      </c>
      <c r="S37" s="145">
        <v>32</v>
      </c>
      <c r="T37" s="145">
        <v>254</v>
      </c>
      <c r="U37" s="145">
        <v>0</v>
      </c>
      <c r="V37" s="145"/>
      <c r="W37" s="146">
        <f t="shared" si="0"/>
        <v>1.0000000000000009E-3</v>
      </c>
      <c r="X37" s="146">
        <f t="shared" si="1"/>
        <v>2.9999999999999916E-2</v>
      </c>
      <c r="Y37" s="149">
        <f t="shared" si="2"/>
        <v>3.0016662039607185E-2</v>
      </c>
      <c r="Z37" s="144"/>
    </row>
    <row r="38" spans="2:26" ht="15.75" customHeight="1">
      <c r="B38" s="283"/>
      <c r="C38" s="103"/>
      <c r="D38" s="121">
        <v>35</v>
      </c>
      <c r="E38" s="126">
        <v>29.7</v>
      </c>
      <c r="F38" s="123">
        <v>0.64</v>
      </c>
      <c r="G38" s="123">
        <v>0.33</v>
      </c>
      <c r="H38" s="115">
        <v>255</v>
      </c>
      <c r="I38" s="115">
        <v>0</v>
      </c>
      <c r="J38" s="115">
        <v>0</v>
      </c>
      <c r="L38" s="115">
        <v>0.64</v>
      </c>
      <c r="M38" s="115">
        <v>0.33100000000000002</v>
      </c>
      <c r="N38" s="115">
        <v>124</v>
      </c>
      <c r="O38" s="115">
        <v>10</v>
      </c>
      <c r="P38" s="115">
        <v>5</v>
      </c>
      <c r="Q38" s="1">
        <v>0.64200000000000002</v>
      </c>
      <c r="R38" s="1">
        <v>0.33100000000000002</v>
      </c>
      <c r="S38" s="1">
        <v>250</v>
      </c>
      <c r="T38" s="1">
        <v>22</v>
      </c>
      <c r="U38" s="1">
        <v>7</v>
      </c>
      <c r="W38" s="143">
        <f t="shared" si="0"/>
        <v>-2.0000000000000018E-3</v>
      </c>
      <c r="X38" s="143">
        <f t="shared" si="1"/>
        <v>-1.0000000000000009E-3</v>
      </c>
      <c r="Y38" s="148">
        <f t="shared" si="2"/>
        <v>2.236067977499792E-3</v>
      </c>
      <c r="Z38" s="144">
        <v>2.236067977499792E-3</v>
      </c>
    </row>
    <row r="39" spans="2:26" ht="15.75" customHeight="1">
      <c r="B39" s="283"/>
      <c r="C39" s="104"/>
      <c r="D39" s="121">
        <v>36</v>
      </c>
      <c r="E39" s="126">
        <v>36</v>
      </c>
      <c r="F39" s="123">
        <v>0.60116999999999998</v>
      </c>
      <c r="G39" s="123">
        <v>0.36431000000000002</v>
      </c>
      <c r="H39" s="115">
        <v>255</v>
      </c>
      <c r="I39" s="115">
        <v>90</v>
      </c>
      <c r="J39" s="115">
        <v>0</v>
      </c>
      <c r="L39" s="115">
        <v>0.6</v>
      </c>
      <c r="M39" s="115">
        <v>0.36399999999999999</v>
      </c>
      <c r="N39" s="115">
        <v>188</v>
      </c>
      <c r="O39" s="115">
        <v>37</v>
      </c>
      <c r="P39" s="115">
        <v>6</v>
      </c>
      <c r="Q39" s="1">
        <v>0.6</v>
      </c>
      <c r="R39" s="1">
        <v>0.36199999999999999</v>
      </c>
      <c r="S39" s="1">
        <v>246</v>
      </c>
      <c r="T39" s="1">
        <v>49</v>
      </c>
      <c r="U39" s="1">
        <v>8</v>
      </c>
      <c r="W39" s="143">
        <f t="shared" si="0"/>
        <v>1.1700000000000044E-3</v>
      </c>
      <c r="X39" s="143">
        <f t="shared" si="1"/>
        <v>2.3100000000000342E-3</v>
      </c>
      <c r="Y39" s="148">
        <f t="shared" si="2"/>
        <v>2.5894014752448429E-3</v>
      </c>
      <c r="Z39" s="144">
        <v>2.5894014752448429E-3</v>
      </c>
    </row>
    <row r="40" spans="2:26" ht="15.75" customHeight="1">
      <c r="B40" s="283"/>
      <c r="C40" s="105"/>
      <c r="D40" s="121">
        <v>37</v>
      </c>
      <c r="E40" s="126">
        <v>20.3</v>
      </c>
      <c r="F40" s="123">
        <v>0.57308999999999999</v>
      </c>
      <c r="G40" s="123">
        <v>0.32979999999999998</v>
      </c>
      <c r="H40" s="115">
        <v>200</v>
      </c>
      <c r="I40" s="115">
        <v>60</v>
      </c>
      <c r="J40" s="115">
        <v>60</v>
      </c>
      <c r="L40" s="115">
        <v>0.57199999999999995</v>
      </c>
      <c r="M40" s="115">
        <v>0.33300000000000002</v>
      </c>
      <c r="N40" s="115">
        <v>190</v>
      </c>
      <c r="O40" s="115">
        <v>32</v>
      </c>
      <c r="P40" s="115">
        <v>24</v>
      </c>
      <c r="Q40" s="1">
        <v>0.57199999999999995</v>
      </c>
      <c r="R40" s="1">
        <v>0.32900000000000001</v>
      </c>
      <c r="S40" s="1">
        <v>194</v>
      </c>
      <c r="T40" s="1">
        <v>33</v>
      </c>
      <c r="U40" s="1">
        <v>23</v>
      </c>
      <c r="W40" s="143">
        <f t="shared" si="0"/>
        <v>1.0900000000000354E-3</v>
      </c>
      <c r="X40" s="143">
        <f t="shared" si="1"/>
        <v>7.999999999999674E-4</v>
      </c>
      <c r="Y40" s="148">
        <f t="shared" si="2"/>
        <v>1.3520724832641277E-3</v>
      </c>
      <c r="Z40" s="144">
        <v>1.3520724832641277E-3</v>
      </c>
    </row>
    <row r="41" spans="2:26" ht="15.75" customHeight="1">
      <c r="B41" s="283"/>
      <c r="C41" s="106"/>
      <c r="D41" s="121">
        <v>38</v>
      </c>
      <c r="E41" s="126">
        <v>5.8</v>
      </c>
      <c r="F41" s="123">
        <v>0.20277999999999999</v>
      </c>
      <c r="G41" s="123">
        <v>8.9080000000000006E-2</v>
      </c>
      <c r="H41" s="115">
        <v>80</v>
      </c>
      <c r="I41" s="115">
        <v>0</v>
      </c>
      <c r="J41" s="115">
        <v>180</v>
      </c>
      <c r="L41" s="115">
        <v>0.20499999999999999</v>
      </c>
      <c r="M41" s="115">
        <v>0.09</v>
      </c>
      <c r="N41" s="115">
        <v>20</v>
      </c>
      <c r="O41" s="115">
        <v>3</v>
      </c>
      <c r="P41" s="115">
        <v>140</v>
      </c>
      <c r="Q41" s="1">
        <v>0.20200000000000001</v>
      </c>
      <c r="R41" s="1">
        <v>8.6999999999999994E-2</v>
      </c>
      <c r="S41" s="1">
        <v>31</v>
      </c>
      <c r="T41" s="1">
        <v>2</v>
      </c>
      <c r="U41" s="1">
        <v>182</v>
      </c>
      <c r="W41" s="143">
        <f t="shared" si="0"/>
        <v>7.7999999999997516E-4</v>
      </c>
      <c r="X41" s="143">
        <f t="shared" si="1"/>
        <v>2.0800000000000124E-3</v>
      </c>
      <c r="Y41" s="148">
        <f t="shared" si="2"/>
        <v>2.221440973782561E-3</v>
      </c>
      <c r="Z41" s="144">
        <v>2.221440973782561E-3</v>
      </c>
    </row>
    <row r="42" spans="2:26" ht="15.75" customHeight="1">
      <c r="B42" s="283"/>
      <c r="C42" s="107"/>
      <c r="D42" s="121">
        <v>39</v>
      </c>
      <c r="E42" s="126">
        <v>7.5</v>
      </c>
      <c r="F42" s="123">
        <v>0.15068999999999999</v>
      </c>
      <c r="G42" s="123">
        <v>6.0380000000000003E-2</v>
      </c>
      <c r="H42" s="115">
        <v>15</v>
      </c>
      <c r="I42" s="115">
        <v>0</v>
      </c>
      <c r="J42" s="115">
        <v>255</v>
      </c>
      <c r="L42" s="115">
        <v>0.153</v>
      </c>
      <c r="M42" s="115">
        <v>6.0999999999999999E-2</v>
      </c>
      <c r="N42" s="115">
        <v>5</v>
      </c>
      <c r="O42" s="115">
        <v>2</v>
      </c>
      <c r="P42" s="115">
        <v>156</v>
      </c>
      <c r="Q42" s="1">
        <v>0.152</v>
      </c>
      <c r="R42" s="1">
        <v>6.0999999999999999E-2</v>
      </c>
      <c r="S42" s="1">
        <v>12</v>
      </c>
      <c r="T42" s="1">
        <v>0</v>
      </c>
      <c r="U42" s="1">
        <v>246</v>
      </c>
      <c r="W42" s="143">
        <f t="shared" si="0"/>
        <v>-1.3100000000000056E-3</v>
      </c>
      <c r="X42" s="143">
        <f t="shared" si="1"/>
        <v>-6.1999999999999555E-4</v>
      </c>
      <c r="Y42" s="148">
        <f t="shared" si="2"/>
        <v>1.4493101807411721E-3</v>
      </c>
      <c r="Z42" s="144">
        <v>1.4493101807411721E-3</v>
      </c>
    </row>
    <row r="43" spans="2:26" ht="15.75" customHeight="1">
      <c r="B43" s="283"/>
      <c r="C43" s="100"/>
      <c r="D43" s="121">
        <v>40</v>
      </c>
      <c r="E43" s="126">
        <v>12.9</v>
      </c>
      <c r="F43" s="123">
        <v>0.15346000000000001</v>
      </c>
      <c r="G43" s="123">
        <v>9.7519999999999996E-2</v>
      </c>
      <c r="H43" s="115">
        <v>0</v>
      </c>
      <c r="I43" s="115">
        <v>84</v>
      </c>
      <c r="J43" s="115">
        <v>255</v>
      </c>
      <c r="L43" s="115">
        <v>0.151</v>
      </c>
      <c r="M43" s="115">
        <v>9.7000000000000003E-2</v>
      </c>
      <c r="N43" s="115">
        <v>5</v>
      </c>
      <c r="O43" s="115">
        <v>13</v>
      </c>
      <c r="P43" s="115">
        <v>150</v>
      </c>
      <c r="Q43" s="1">
        <v>0.152</v>
      </c>
      <c r="R43" s="1">
        <v>9.9000000000000005E-2</v>
      </c>
      <c r="S43" s="1">
        <v>12</v>
      </c>
      <c r="T43" s="1">
        <v>21</v>
      </c>
      <c r="U43" s="1">
        <v>235</v>
      </c>
      <c r="W43" s="143">
        <f t="shared" si="0"/>
        <v>1.4600000000000168E-3</v>
      </c>
      <c r="X43" s="143">
        <f t="shared" si="1"/>
        <v>-1.4800000000000091E-3</v>
      </c>
      <c r="Y43" s="148">
        <f t="shared" si="2"/>
        <v>2.0789420386340923E-3</v>
      </c>
      <c r="Z43" s="144">
        <v>2.0789420386340923E-3</v>
      </c>
    </row>
    <row r="44" spans="2:26" ht="15.75" customHeight="1">
      <c r="B44" s="283"/>
      <c r="C44" s="108"/>
      <c r="D44" s="121">
        <v>41</v>
      </c>
      <c r="E44" s="126">
        <v>100</v>
      </c>
      <c r="F44" s="123">
        <v>0.19545000000000001</v>
      </c>
      <c r="G44" s="123">
        <v>0.55235999999999996</v>
      </c>
      <c r="H44" s="115">
        <v>0</v>
      </c>
      <c r="I44" s="115">
        <v>250</v>
      </c>
      <c r="J44" s="115">
        <v>127</v>
      </c>
      <c r="L44" s="115">
        <v>0.19500000000000001</v>
      </c>
      <c r="M44" s="115">
        <v>0.55400000000000005</v>
      </c>
      <c r="N44" s="115">
        <v>21</v>
      </c>
      <c r="O44" s="115">
        <v>136</v>
      </c>
      <c r="P44" s="115">
        <v>30</v>
      </c>
      <c r="Q44" s="1">
        <v>0.19600000000000001</v>
      </c>
      <c r="R44" s="1">
        <v>0.55200000000000005</v>
      </c>
      <c r="S44" s="1">
        <v>33</v>
      </c>
      <c r="T44" s="1">
        <v>248</v>
      </c>
      <c r="U44" s="1">
        <v>53</v>
      </c>
      <c r="W44" s="143">
        <f t="shared" si="0"/>
        <v>-5.4999999999999494E-4</v>
      </c>
      <c r="X44" s="143">
        <f t="shared" si="1"/>
        <v>3.5999999999991594E-4</v>
      </c>
      <c r="Y44" s="148">
        <f t="shared" si="2"/>
        <v>6.5734313718174156E-4</v>
      </c>
      <c r="Z44" s="144">
        <v>6.5734313718174156E-4</v>
      </c>
    </row>
    <row r="45" spans="2:26" ht="15.75" customHeight="1">
      <c r="B45" s="283"/>
      <c r="C45" s="101"/>
      <c r="D45" s="121">
        <v>42</v>
      </c>
      <c r="E45" s="126">
        <v>45.3</v>
      </c>
      <c r="F45" s="123">
        <v>0.21</v>
      </c>
      <c r="G45" s="123">
        <v>0.71</v>
      </c>
      <c r="H45" s="115">
        <v>0</v>
      </c>
      <c r="I45" s="115">
        <v>220</v>
      </c>
      <c r="J45" s="115">
        <v>0</v>
      </c>
      <c r="L45" s="119">
        <v>0.192</v>
      </c>
      <c r="M45" s="119">
        <v>0.68200000000000005</v>
      </c>
      <c r="N45" s="119">
        <v>20</v>
      </c>
      <c r="O45" s="119">
        <v>160</v>
      </c>
      <c r="P45" s="119">
        <v>0</v>
      </c>
      <c r="Q45" s="145">
        <v>0.20899999999999999</v>
      </c>
      <c r="R45" s="145">
        <v>0.68</v>
      </c>
      <c r="S45" s="145">
        <v>32</v>
      </c>
      <c r="T45" s="145">
        <v>254</v>
      </c>
      <c r="U45" s="145">
        <v>0</v>
      </c>
      <c r="V45" s="145"/>
      <c r="W45" s="146">
        <f t="shared" si="0"/>
        <v>1.0000000000000009E-3</v>
      </c>
      <c r="X45" s="146">
        <f t="shared" si="1"/>
        <v>2.9999999999999916E-2</v>
      </c>
      <c r="Y45" s="149">
        <f t="shared" si="2"/>
        <v>3.0016662039607185E-2</v>
      </c>
      <c r="Z45" s="144" t="s">
        <v>28</v>
      </c>
    </row>
    <row r="46" spans="2:26" ht="15.75" customHeight="1">
      <c r="B46" s="283" t="s">
        <v>11</v>
      </c>
      <c r="C46" s="87"/>
      <c r="D46" s="121">
        <v>43</v>
      </c>
      <c r="E46" s="124">
        <v>100</v>
      </c>
      <c r="F46" s="123">
        <v>0.31273000000000001</v>
      </c>
      <c r="G46" s="123">
        <v>0.32901999999999998</v>
      </c>
      <c r="H46" s="115">
        <v>255</v>
      </c>
      <c r="I46" s="115">
        <v>255</v>
      </c>
      <c r="J46" s="115">
        <v>255</v>
      </c>
      <c r="L46" s="115">
        <v>0.313</v>
      </c>
      <c r="M46" s="115">
        <v>0.32900000000000001</v>
      </c>
      <c r="N46" s="115">
        <v>133</v>
      </c>
      <c r="O46" s="115">
        <v>141</v>
      </c>
      <c r="P46" s="115">
        <v>154</v>
      </c>
      <c r="Q46" s="1">
        <v>0.312</v>
      </c>
      <c r="R46" s="1">
        <v>0.32900000000000001</v>
      </c>
      <c r="S46" s="1">
        <v>248</v>
      </c>
      <c r="T46" s="1">
        <v>243</v>
      </c>
      <c r="U46" s="1">
        <v>242</v>
      </c>
      <c r="W46" s="143">
        <f t="shared" si="0"/>
        <v>7.3000000000000842E-4</v>
      </c>
      <c r="X46" s="143">
        <f t="shared" si="1"/>
        <v>1.9999999999964491E-5</v>
      </c>
      <c r="Y46" s="148">
        <f t="shared" si="2"/>
        <v>7.3027392121039814E-4</v>
      </c>
      <c r="Z46" s="144">
        <v>7.3027392121039814E-4</v>
      </c>
    </row>
    <row r="47" spans="2:26" ht="15.75" customHeight="1">
      <c r="B47" s="283"/>
      <c r="C47" s="109"/>
      <c r="D47" s="121">
        <v>44</v>
      </c>
      <c r="E47" s="127">
        <v>50.4</v>
      </c>
      <c r="F47" s="123">
        <v>0.18448000000000001</v>
      </c>
      <c r="G47" s="123">
        <v>0.36168</v>
      </c>
      <c r="H47" s="115">
        <v>45</v>
      </c>
      <c r="I47" s="115">
        <v>220</v>
      </c>
      <c r="J47" s="115">
        <v>200</v>
      </c>
      <c r="L47" s="115">
        <v>0.184</v>
      </c>
      <c r="M47" s="115">
        <v>0.36299999999999999</v>
      </c>
      <c r="N47" s="115">
        <v>27</v>
      </c>
      <c r="O47" s="115">
        <v>138</v>
      </c>
      <c r="P47" s="115">
        <v>125</v>
      </c>
      <c r="Q47" s="1">
        <v>0.183</v>
      </c>
      <c r="R47" s="1">
        <v>0.36199999999999999</v>
      </c>
      <c r="S47" s="1">
        <v>40</v>
      </c>
      <c r="T47" s="1">
        <v>220</v>
      </c>
      <c r="U47" s="1">
        <v>184</v>
      </c>
      <c r="W47" s="143">
        <f t="shared" si="0"/>
        <v>1.4800000000000091E-3</v>
      </c>
      <c r="X47" s="143">
        <f t="shared" si="1"/>
        <v>-3.1999999999998696E-4</v>
      </c>
      <c r="Y47" s="148">
        <f t="shared" si="2"/>
        <v>1.5141994584598221E-3</v>
      </c>
      <c r="Z47" s="144">
        <v>1.5141994584598221E-3</v>
      </c>
    </row>
    <row r="48" spans="2:26" ht="15.75" customHeight="1">
      <c r="B48" s="283"/>
      <c r="C48" s="110"/>
      <c r="D48" s="121">
        <v>45</v>
      </c>
      <c r="E48" s="127">
        <v>34.6</v>
      </c>
      <c r="F48" s="123">
        <v>0.60940000000000005</v>
      </c>
      <c r="G48" s="123">
        <v>0.35704000000000002</v>
      </c>
      <c r="H48" s="115">
        <v>255</v>
      </c>
      <c r="I48" s="115">
        <v>80</v>
      </c>
      <c r="J48" s="115">
        <v>0</v>
      </c>
      <c r="L48" s="115">
        <v>0.60699999999999998</v>
      </c>
      <c r="M48" s="115">
        <v>0.35599999999999998</v>
      </c>
      <c r="N48" s="115">
        <v>153</v>
      </c>
      <c r="O48" s="115">
        <v>26</v>
      </c>
      <c r="P48" s="115">
        <v>6</v>
      </c>
      <c r="Q48" s="1">
        <v>0.60899999999999999</v>
      </c>
      <c r="R48" s="1">
        <v>0.35599999999999998</v>
      </c>
      <c r="S48" s="1">
        <v>232</v>
      </c>
      <c r="T48" s="1">
        <v>41</v>
      </c>
      <c r="U48" s="1">
        <v>7</v>
      </c>
      <c r="W48" s="143">
        <f t="shared" si="0"/>
        <v>4.0000000000006697E-4</v>
      </c>
      <c r="X48" s="143">
        <f t="shared" si="1"/>
        <v>1.0400000000000409E-3</v>
      </c>
      <c r="Y48" s="148">
        <f t="shared" si="2"/>
        <v>1.1142710621747918E-3</v>
      </c>
      <c r="Z48" s="144">
        <v>1.1142710621747918E-3</v>
      </c>
    </row>
    <row r="49" spans="2:26" ht="15.75" customHeight="1">
      <c r="B49" s="283"/>
      <c r="C49" s="110"/>
      <c r="D49" s="121">
        <v>46</v>
      </c>
      <c r="E49" s="127">
        <v>34.6</v>
      </c>
      <c r="F49" s="123">
        <v>0.60940000000000005</v>
      </c>
      <c r="G49" s="123">
        <v>0.35704000000000002</v>
      </c>
      <c r="H49" s="115">
        <v>255</v>
      </c>
      <c r="I49" s="115">
        <v>80</v>
      </c>
      <c r="J49" s="115">
        <v>0</v>
      </c>
      <c r="L49" s="115">
        <v>0.60699999999999998</v>
      </c>
      <c r="M49" s="115">
        <v>0.35599999999999998</v>
      </c>
      <c r="N49" s="115">
        <v>153</v>
      </c>
      <c r="O49" s="115">
        <v>26</v>
      </c>
      <c r="P49" s="115">
        <v>6</v>
      </c>
      <c r="Q49" s="1">
        <v>0.60899999999999999</v>
      </c>
      <c r="R49" s="1">
        <v>0.35599999999999998</v>
      </c>
      <c r="S49" s="1">
        <v>232</v>
      </c>
      <c r="T49" s="1">
        <v>41</v>
      </c>
      <c r="U49" s="1">
        <v>7</v>
      </c>
      <c r="W49" s="143">
        <f t="shared" si="0"/>
        <v>4.0000000000006697E-4</v>
      </c>
      <c r="X49" s="143">
        <f t="shared" si="1"/>
        <v>1.0400000000000409E-3</v>
      </c>
      <c r="Y49" s="148">
        <f t="shared" si="2"/>
        <v>1.1142710621747918E-3</v>
      </c>
      <c r="Z49" s="144">
        <v>1.1142710621747918E-3</v>
      </c>
    </row>
    <row r="50" spans="2:26" ht="15.75" customHeight="1">
      <c r="B50" s="283"/>
      <c r="C50" s="111"/>
      <c r="D50" s="121">
        <v>47</v>
      </c>
      <c r="E50" s="127">
        <v>35.700000000000003</v>
      </c>
      <c r="F50" s="123">
        <v>0.16633999999999999</v>
      </c>
      <c r="G50" s="123">
        <v>0.23696</v>
      </c>
      <c r="H50" s="115">
        <v>0</v>
      </c>
      <c r="I50" s="115">
        <v>180</v>
      </c>
      <c r="J50" s="115">
        <v>240</v>
      </c>
      <c r="L50" s="115">
        <v>0.16800000000000001</v>
      </c>
      <c r="M50" s="115">
        <v>0.23699999999999999</v>
      </c>
      <c r="N50" s="115">
        <v>13</v>
      </c>
      <c r="O50" s="115">
        <v>60</v>
      </c>
      <c r="P50" s="115">
        <v>130</v>
      </c>
      <c r="Q50" s="1">
        <v>0.16600000000000001</v>
      </c>
      <c r="R50" s="1">
        <v>0.23799999999999999</v>
      </c>
      <c r="S50" s="1">
        <v>26</v>
      </c>
      <c r="T50" s="1">
        <v>118</v>
      </c>
      <c r="U50" s="1">
        <v>234</v>
      </c>
      <c r="W50" s="143">
        <f t="shared" si="0"/>
        <v>3.3999999999997921E-4</v>
      </c>
      <c r="X50" s="143">
        <f t="shared" si="1"/>
        <v>-1.0399999999999854E-3</v>
      </c>
      <c r="Y50" s="148">
        <f t="shared" si="2"/>
        <v>1.0941663493271741E-3</v>
      </c>
      <c r="Z50" s="144">
        <v>1.0941663493271741E-3</v>
      </c>
    </row>
    <row r="51" spans="2:26" ht="15.75" customHeight="1">
      <c r="B51" s="283"/>
      <c r="C51" s="112"/>
      <c r="D51" s="121">
        <v>48</v>
      </c>
      <c r="E51" s="127">
        <v>5.9</v>
      </c>
      <c r="F51" s="123">
        <v>0.22803000000000001</v>
      </c>
      <c r="G51" s="123">
        <v>0.10299</v>
      </c>
      <c r="H51" s="115">
        <v>90</v>
      </c>
      <c r="I51" s="115">
        <v>0</v>
      </c>
      <c r="J51" s="115">
        <v>165</v>
      </c>
      <c r="L51" s="115">
        <v>0.22800000000000001</v>
      </c>
      <c r="M51" s="115">
        <v>0.105</v>
      </c>
      <c r="N51" s="115">
        <v>18</v>
      </c>
      <c r="O51" s="115">
        <v>3</v>
      </c>
      <c r="P51" s="115">
        <v>90</v>
      </c>
      <c r="Q51" s="1">
        <v>0.22900000000000001</v>
      </c>
      <c r="R51" s="1">
        <v>0.10299999999999999</v>
      </c>
      <c r="S51" s="1">
        <v>36</v>
      </c>
      <c r="T51" s="1">
        <v>3</v>
      </c>
      <c r="U51" s="1">
        <v>148</v>
      </c>
      <c r="W51" s="143">
        <f t="shared" si="0"/>
        <v>-9.6999999999999864E-4</v>
      </c>
      <c r="X51" s="143">
        <f t="shared" si="1"/>
        <v>-9.9999999999961231E-6</v>
      </c>
      <c r="Y51" s="148">
        <f t="shared" si="2"/>
        <v>9.7005154502222059E-4</v>
      </c>
      <c r="Z51" s="144">
        <v>9.7005154502222059E-4</v>
      </c>
    </row>
    <row r="52" spans="2:26" ht="15.75" customHeight="1">
      <c r="B52" s="283"/>
      <c r="C52" s="113"/>
      <c r="D52" s="121">
        <v>49</v>
      </c>
      <c r="E52" s="128">
        <v>70.7</v>
      </c>
      <c r="F52" s="123">
        <v>0.25833</v>
      </c>
      <c r="G52" s="123">
        <v>0.30124000000000001</v>
      </c>
      <c r="H52" s="115">
        <v>183</v>
      </c>
      <c r="I52" s="115">
        <v>228</v>
      </c>
      <c r="J52" s="115">
        <v>252</v>
      </c>
      <c r="L52" s="115">
        <v>0.25800000000000001</v>
      </c>
      <c r="M52" s="115">
        <v>0.30199999999999999</v>
      </c>
      <c r="N52" s="115">
        <v>78</v>
      </c>
      <c r="O52" s="115">
        <v>120</v>
      </c>
      <c r="P52" s="115">
        <v>163</v>
      </c>
      <c r="Q52" s="1">
        <v>0.25700000000000001</v>
      </c>
      <c r="R52" s="1">
        <v>0.30099999999999999</v>
      </c>
      <c r="S52" s="1">
        <v>124</v>
      </c>
      <c r="T52" s="1">
        <v>184</v>
      </c>
      <c r="U52" s="1">
        <v>234</v>
      </c>
      <c r="W52" s="143">
        <f t="shared" si="0"/>
        <v>1.3299999999999979E-3</v>
      </c>
      <c r="X52" s="143">
        <f t="shared" si="1"/>
        <v>2.4000000000001798E-4</v>
      </c>
      <c r="Y52" s="148">
        <f t="shared" si="2"/>
        <v>1.3514806694880999E-3</v>
      </c>
      <c r="Z52" s="144">
        <v>1.3514806694880999E-3</v>
      </c>
    </row>
    <row r="53" spans="2:26" ht="15.75" customHeight="1">
      <c r="B53" s="283"/>
      <c r="C53" s="114"/>
      <c r="D53" s="121">
        <v>50</v>
      </c>
      <c r="E53" s="127">
        <v>65.400000000000006</v>
      </c>
      <c r="F53" s="123">
        <v>0.35955999999999999</v>
      </c>
      <c r="G53" s="123">
        <v>0.57782999999999995</v>
      </c>
      <c r="H53" s="115">
        <v>175</v>
      </c>
      <c r="I53" s="115">
        <v>235</v>
      </c>
      <c r="J53" s="115">
        <v>0</v>
      </c>
      <c r="L53" s="119">
        <v>0.35399999999999998</v>
      </c>
      <c r="M53" s="119">
        <v>0.56100000000000005</v>
      </c>
      <c r="N53" s="119">
        <v>95</v>
      </c>
      <c r="O53" s="119">
        <v>168</v>
      </c>
      <c r="P53" s="119">
        <v>0</v>
      </c>
      <c r="Q53" s="145">
        <v>0.35899999999999999</v>
      </c>
      <c r="R53" s="145">
        <v>0.56499999999999995</v>
      </c>
      <c r="S53" s="145">
        <v>145</v>
      </c>
      <c r="T53" s="145">
        <v>255</v>
      </c>
      <c r="U53" s="145">
        <f>P53*1.4</f>
        <v>0</v>
      </c>
      <c r="V53" s="145"/>
      <c r="W53" s="146">
        <f t="shared" si="0"/>
        <v>5.6000000000000494E-4</v>
      </c>
      <c r="X53" s="146">
        <f t="shared" si="1"/>
        <v>1.2830000000000008E-2</v>
      </c>
      <c r="Y53" s="149">
        <f t="shared" si="2"/>
        <v>1.2842215540941532E-2</v>
      </c>
      <c r="Z53" s="144" t="s">
        <v>28</v>
      </c>
    </row>
    <row r="54" spans="2:26" ht="15.75" customHeight="1">
      <c r="B54" s="283"/>
      <c r="C54" s="112"/>
      <c r="D54" s="121">
        <v>51</v>
      </c>
      <c r="E54" s="127">
        <v>5.9</v>
      </c>
      <c r="F54" s="123">
        <v>0.22803000000000001</v>
      </c>
      <c r="G54" s="123">
        <v>0.10299</v>
      </c>
      <c r="H54" s="115">
        <v>90</v>
      </c>
      <c r="I54" s="115">
        <v>0</v>
      </c>
      <c r="J54" s="115">
        <v>165</v>
      </c>
      <c r="L54" s="115">
        <v>0.22700000000000001</v>
      </c>
      <c r="M54" s="115">
        <v>0.10199999999999999</v>
      </c>
      <c r="N54" s="115">
        <v>24</v>
      </c>
      <c r="O54" s="115">
        <v>3</v>
      </c>
      <c r="P54" s="115">
        <v>120</v>
      </c>
      <c r="Q54" s="1">
        <v>0.22800000000000001</v>
      </c>
      <c r="R54" s="1">
        <v>0.10299999999999999</v>
      </c>
      <c r="S54" s="1">
        <v>34</v>
      </c>
      <c r="T54" s="1">
        <v>3</v>
      </c>
      <c r="U54" s="1">
        <v>140</v>
      </c>
      <c r="W54" s="143">
        <f t="shared" si="0"/>
        <v>3.0000000000002247E-5</v>
      </c>
      <c r="X54" s="143">
        <f t="shared" si="1"/>
        <v>-9.9999999999961231E-6</v>
      </c>
      <c r="Y54" s="148">
        <f t="shared" si="2"/>
        <v>3.1622776601684703E-5</v>
      </c>
      <c r="Z54" s="144">
        <v>3.1622776601684703E-5</v>
      </c>
    </row>
    <row r="55" spans="2:26" ht="15.75" customHeight="1">
      <c r="Y55" s="147">
        <f>AVERAGE(Y4:Y54)</f>
        <v>3.4714551392967864E-3</v>
      </c>
      <c r="Z55" s="147">
        <f>AVERAGE(Z4:Z54)</f>
        <v>1.2798074635300056E-3</v>
      </c>
    </row>
  </sheetData>
  <mergeCells count="9">
    <mergeCell ref="L2:P2"/>
    <mergeCell ref="B46:B54"/>
    <mergeCell ref="F2:G2"/>
    <mergeCell ref="H2:J2"/>
    <mergeCell ref="B4:B13"/>
    <mergeCell ref="B14:B23"/>
    <mergeCell ref="B24:B33"/>
    <mergeCell ref="D2:D3"/>
    <mergeCell ref="B34:B45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4588-6DA4-4EA1-9C3D-908CC62CDC63}">
  <dimension ref="B2:AE68"/>
  <sheetViews>
    <sheetView tabSelected="1" zoomScale="70" zoomScaleNormal="70" workbookViewId="0"/>
  </sheetViews>
  <sheetFormatPr defaultColWidth="8.875" defaultRowHeight="14.25" customHeight="1"/>
  <cols>
    <col min="1" max="1" width="1.375" style="1" customWidth="1"/>
    <col min="2" max="2" width="8.875" style="1" customWidth="1"/>
    <col min="3" max="8" width="8.875" style="1"/>
    <col min="9" max="9" width="1.625" style="1" customWidth="1"/>
    <col min="10" max="16384" width="8.875" style="1"/>
  </cols>
  <sheetData>
    <row r="2" spans="2:31" ht="14.25" customHeight="1">
      <c r="B2" s="284" t="s">
        <v>15</v>
      </c>
      <c r="C2" s="285" t="s">
        <v>6</v>
      </c>
      <c r="D2" s="282" t="s">
        <v>5</v>
      </c>
      <c r="E2" s="282"/>
      <c r="F2" s="282" t="s">
        <v>12</v>
      </c>
      <c r="G2" s="282"/>
      <c r="H2" s="282"/>
      <c r="J2" s="282" t="s">
        <v>16</v>
      </c>
      <c r="K2" s="282"/>
      <c r="L2" s="282" t="s">
        <v>17</v>
      </c>
      <c r="M2" s="282"/>
      <c r="N2" s="282"/>
      <c r="O2" s="282" t="s">
        <v>16</v>
      </c>
      <c r="P2" s="282"/>
      <c r="Q2" s="282" t="s">
        <v>17</v>
      </c>
      <c r="R2" s="282"/>
      <c r="S2" s="282"/>
    </row>
    <row r="3" spans="2:31" ht="14.25" customHeight="1">
      <c r="B3" s="284"/>
      <c r="C3" s="285"/>
      <c r="D3" s="120" t="s">
        <v>0</v>
      </c>
      <c r="E3" s="120" t="s">
        <v>1</v>
      </c>
      <c r="F3" s="116" t="s">
        <v>2</v>
      </c>
      <c r="G3" s="117" t="s">
        <v>3</v>
      </c>
      <c r="H3" s="118" t="s">
        <v>4</v>
      </c>
      <c r="I3" s="67"/>
      <c r="J3" s="120" t="s">
        <v>0</v>
      </c>
      <c r="K3" s="120" t="s">
        <v>1</v>
      </c>
      <c r="L3" s="116" t="s">
        <v>2</v>
      </c>
      <c r="M3" s="117" t="s">
        <v>3</v>
      </c>
      <c r="N3" s="118" t="s">
        <v>4</v>
      </c>
      <c r="O3" s="120" t="s">
        <v>0</v>
      </c>
      <c r="P3" s="120" t="s">
        <v>1</v>
      </c>
      <c r="Q3" s="116" t="s">
        <v>2</v>
      </c>
      <c r="R3" s="117" t="s">
        <v>3</v>
      </c>
      <c r="S3" s="118" t="s">
        <v>4</v>
      </c>
      <c r="T3" s="67"/>
      <c r="U3" s="152" t="s">
        <v>31</v>
      </c>
      <c r="V3" s="152" t="s">
        <v>32</v>
      </c>
      <c r="W3" s="155" t="s">
        <v>33</v>
      </c>
      <c r="X3" s="67"/>
      <c r="Y3" s="67"/>
      <c r="Z3" s="67"/>
      <c r="AA3" s="67"/>
      <c r="AB3" s="67"/>
      <c r="AC3" s="67"/>
      <c r="AD3" s="67"/>
      <c r="AE3" s="67"/>
    </row>
    <row r="4" spans="2:31" ht="14.25" customHeight="1">
      <c r="B4" s="1">
        <v>1</v>
      </c>
      <c r="C4" s="3"/>
      <c r="D4" s="133">
        <v>0.188</v>
      </c>
      <c r="E4" s="134">
        <v>7.2000000000000008E-2</v>
      </c>
      <c r="F4" s="131">
        <v>70</v>
      </c>
      <c r="G4" s="131">
        <v>1</v>
      </c>
      <c r="H4" s="131">
        <v>185</v>
      </c>
      <c r="I4" s="68"/>
      <c r="J4" s="129">
        <v>0.188</v>
      </c>
      <c r="K4" s="129">
        <v>7.3999999999999996E-2</v>
      </c>
      <c r="L4" s="129">
        <v>16</v>
      </c>
      <c r="M4" s="129">
        <v>1</v>
      </c>
      <c r="N4" s="129">
        <v>131</v>
      </c>
      <c r="O4" s="151">
        <v>0.188</v>
      </c>
      <c r="P4" s="151">
        <v>7.3999999999999996E-2</v>
      </c>
      <c r="Q4">
        <v>20</v>
      </c>
      <c r="R4">
        <v>1</v>
      </c>
      <c r="S4">
        <v>170</v>
      </c>
      <c r="T4"/>
      <c r="U4" s="154">
        <f>D4-O4</f>
        <v>0</v>
      </c>
      <c r="V4" s="154">
        <f>E4-P4</f>
        <v>-1.9999999999999879E-3</v>
      </c>
      <c r="W4" s="153">
        <f>SQRT(U4^2+V4^2)</f>
        <v>1.9999999999999879E-3</v>
      </c>
      <c r="X4"/>
      <c r="Y4"/>
      <c r="Z4"/>
      <c r="AA4"/>
      <c r="AB4"/>
      <c r="AC4"/>
      <c r="AD4"/>
      <c r="AE4"/>
    </row>
    <row r="5" spans="2:31" ht="14.25" customHeight="1">
      <c r="B5" s="1">
        <v>2</v>
      </c>
      <c r="C5" s="4"/>
      <c r="D5" s="133">
        <v>0.20400000000000001</v>
      </c>
      <c r="E5" s="134">
        <v>9.1999999999999998E-2</v>
      </c>
      <c r="F5" s="132">
        <v>80</v>
      </c>
      <c r="G5" s="132">
        <v>0</v>
      </c>
      <c r="H5" s="132">
        <v>175</v>
      </c>
      <c r="I5" s="69"/>
      <c r="J5" s="129">
        <v>0.20399999999999999</v>
      </c>
      <c r="K5" s="129">
        <v>9.2999999999999999E-2</v>
      </c>
      <c r="L5" s="129">
        <v>20</v>
      </c>
      <c r="M5" s="129">
        <v>4</v>
      </c>
      <c r="N5" s="129">
        <v>119</v>
      </c>
      <c r="O5" s="151">
        <v>0.20300000000000001</v>
      </c>
      <c r="P5" s="151">
        <v>9.2999999999999999E-2</v>
      </c>
      <c r="Q5">
        <v>26</v>
      </c>
      <c r="R5">
        <v>4</v>
      </c>
      <c r="S5">
        <v>154</v>
      </c>
      <c r="T5"/>
      <c r="U5" s="154">
        <f t="shared" ref="U5:U67" si="0">D5-O5</f>
        <v>1.0000000000000009E-3</v>
      </c>
      <c r="V5" s="154">
        <f t="shared" ref="V5:V67" si="1">E5-P5</f>
        <v>-1.0000000000000009E-3</v>
      </c>
      <c r="W5" s="153">
        <f t="shared" ref="W5:W67" si="2">SQRT(U5^2+V5^2)</f>
        <v>1.4142135623730963E-3</v>
      </c>
      <c r="X5"/>
      <c r="Y5"/>
      <c r="Z5"/>
      <c r="AA5"/>
      <c r="AB5"/>
      <c r="AC5"/>
      <c r="AD5"/>
      <c r="AE5"/>
    </row>
    <row r="6" spans="2:31" ht="14.25" customHeight="1">
      <c r="B6" s="1">
        <v>3</v>
      </c>
      <c r="C6" s="5"/>
      <c r="D6" s="133">
        <v>0.22800000000000001</v>
      </c>
      <c r="E6" s="134">
        <v>0.10400000000000001</v>
      </c>
      <c r="F6" s="132">
        <v>90</v>
      </c>
      <c r="G6" s="132">
        <v>0</v>
      </c>
      <c r="H6" s="132">
        <v>165</v>
      </c>
      <c r="I6" s="69"/>
      <c r="J6" s="129">
        <v>0.22700000000000001</v>
      </c>
      <c r="K6" s="129">
        <v>0.104</v>
      </c>
      <c r="L6" s="129">
        <v>26</v>
      </c>
      <c r="M6" s="129">
        <v>4</v>
      </c>
      <c r="N6" s="129">
        <v>110</v>
      </c>
      <c r="O6" s="151">
        <v>0.22700000000000001</v>
      </c>
      <c r="P6" s="151">
        <v>0.104</v>
      </c>
      <c r="Q6">
        <v>36</v>
      </c>
      <c r="R6">
        <v>4</v>
      </c>
      <c r="S6">
        <v>154</v>
      </c>
      <c r="T6"/>
      <c r="U6" s="154">
        <f t="shared" si="0"/>
        <v>1.0000000000000009E-3</v>
      </c>
      <c r="V6" s="154">
        <f t="shared" si="1"/>
        <v>0</v>
      </c>
      <c r="W6" s="153">
        <f t="shared" si="2"/>
        <v>1.0000000000000009E-3</v>
      </c>
      <c r="X6"/>
      <c r="Y6"/>
      <c r="Z6"/>
      <c r="AA6"/>
      <c r="AB6"/>
      <c r="AC6"/>
      <c r="AD6"/>
      <c r="AE6"/>
    </row>
    <row r="7" spans="2:31" ht="14.25" customHeight="1">
      <c r="B7" s="1">
        <v>4</v>
      </c>
      <c r="C7" s="6"/>
      <c r="D7" s="133">
        <v>0.25600000000000001</v>
      </c>
      <c r="E7" s="134">
        <v>0.12</v>
      </c>
      <c r="F7" s="132">
        <v>101</v>
      </c>
      <c r="G7" s="132">
        <v>0</v>
      </c>
      <c r="H7" s="132">
        <v>155</v>
      </c>
      <c r="I7" s="69"/>
      <c r="J7" s="129">
        <v>0.25800000000000001</v>
      </c>
      <c r="K7" s="129">
        <v>0.12</v>
      </c>
      <c r="L7" s="129">
        <v>32</v>
      </c>
      <c r="M7" s="129">
        <v>4</v>
      </c>
      <c r="N7" s="129">
        <v>95</v>
      </c>
      <c r="O7" s="151">
        <v>0.25700000000000001</v>
      </c>
      <c r="P7" s="151">
        <v>0.12</v>
      </c>
      <c r="Q7">
        <v>47</v>
      </c>
      <c r="R7">
        <v>5</v>
      </c>
      <c r="S7">
        <v>142</v>
      </c>
      <c r="T7"/>
      <c r="U7" s="154">
        <f t="shared" si="0"/>
        <v>-1.0000000000000009E-3</v>
      </c>
      <c r="V7" s="154">
        <f t="shared" si="1"/>
        <v>0</v>
      </c>
      <c r="W7" s="153">
        <f t="shared" si="2"/>
        <v>1.0000000000000009E-3</v>
      </c>
      <c r="X7"/>
      <c r="Y7"/>
      <c r="Z7"/>
      <c r="AA7"/>
      <c r="AB7"/>
      <c r="AC7"/>
      <c r="AD7"/>
      <c r="AE7"/>
    </row>
    <row r="8" spans="2:31" ht="14.25" customHeight="1">
      <c r="B8" s="1">
        <v>5</v>
      </c>
      <c r="C8" s="7"/>
      <c r="D8" s="133">
        <v>0.28800000000000003</v>
      </c>
      <c r="E8" s="134">
        <v>0.13600000000000001</v>
      </c>
      <c r="F8" s="132">
        <v>111</v>
      </c>
      <c r="G8" s="132">
        <v>0</v>
      </c>
      <c r="H8" s="132">
        <v>145</v>
      </c>
      <c r="I8" s="69"/>
      <c r="J8" s="129">
        <v>0.28999999999999998</v>
      </c>
      <c r="K8" s="129">
        <v>0.13500000000000001</v>
      </c>
      <c r="L8" s="129">
        <v>40</v>
      </c>
      <c r="M8" s="129">
        <v>4</v>
      </c>
      <c r="N8" s="129">
        <v>87</v>
      </c>
      <c r="O8" s="151">
        <v>0.28799999999999998</v>
      </c>
      <c r="P8" s="151">
        <v>0.13700000000000001</v>
      </c>
      <c r="Q8">
        <v>62</v>
      </c>
      <c r="R8">
        <v>6</v>
      </c>
      <c r="S8">
        <v>139</v>
      </c>
      <c r="T8"/>
      <c r="U8" s="154">
        <f t="shared" si="0"/>
        <v>0</v>
      </c>
      <c r="V8" s="154">
        <f t="shared" si="1"/>
        <v>-1.0000000000000009E-3</v>
      </c>
      <c r="W8" s="153">
        <f t="shared" si="2"/>
        <v>1.0000000000000009E-3</v>
      </c>
      <c r="X8"/>
      <c r="Y8"/>
      <c r="Z8"/>
      <c r="AA8"/>
      <c r="AB8"/>
      <c r="AC8"/>
      <c r="AD8"/>
      <c r="AE8"/>
    </row>
    <row r="9" spans="2:31" ht="14.25" customHeight="1">
      <c r="B9" s="1">
        <v>6</v>
      </c>
      <c r="C9" s="8"/>
      <c r="D9" s="133">
        <v>0.32800000000000001</v>
      </c>
      <c r="E9" s="134">
        <v>0.156</v>
      </c>
      <c r="F9" s="132">
        <v>121</v>
      </c>
      <c r="G9" s="132">
        <v>0</v>
      </c>
      <c r="H9" s="132">
        <v>135</v>
      </c>
      <c r="I9" s="69"/>
      <c r="J9" s="129">
        <v>0.33</v>
      </c>
      <c r="K9" s="129">
        <v>0.154</v>
      </c>
      <c r="L9" s="129">
        <v>48</v>
      </c>
      <c r="M9" s="129">
        <v>4</v>
      </c>
      <c r="N9" s="129">
        <v>75</v>
      </c>
      <c r="O9" s="151">
        <v>0.32800000000000001</v>
      </c>
      <c r="P9" s="151">
        <v>0.155</v>
      </c>
      <c r="Q9">
        <v>79</v>
      </c>
      <c r="R9">
        <v>6</v>
      </c>
      <c r="S9">
        <v>127</v>
      </c>
      <c r="T9"/>
      <c r="U9" s="154">
        <f t="shared" si="0"/>
        <v>0</v>
      </c>
      <c r="V9" s="154">
        <f t="shared" si="1"/>
        <v>1.0000000000000009E-3</v>
      </c>
      <c r="W9" s="153">
        <f t="shared" si="2"/>
        <v>1.0000000000000009E-3</v>
      </c>
      <c r="X9"/>
      <c r="Y9"/>
      <c r="Z9"/>
      <c r="AA9"/>
      <c r="AB9"/>
      <c r="AC9"/>
      <c r="AD9"/>
      <c r="AE9"/>
    </row>
    <row r="10" spans="2:31" ht="14.25" customHeight="1">
      <c r="B10" s="1">
        <v>7</v>
      </c>
      <c r="C10" s="9"/>
      <c r="D10" s="133">
        <v>0.36799999999999999</v>
      </c>
      <c r="E10" s="134">
        <v>0.18</v>
      </c>
      <c r="F10" s="132">
        <v>131</v>
      </c>
      <c r="G10" s="132">
        <v>0</v>
      </c>
      <c r="H10" s="132">
        <v>125</v>
      </c>
      <c r="I10" s="69"/>
      <c r="J10" s="129">
        <v>0.36699999999999999</v>
      </c>
      <c r="K10" s="129">
        <v>0.18099999999999999</v>
      </c>
      <c r="L10" s="129">
        <v>55</v>
      </c>
      <c r="M10" s="129">
        <v>6</v>
      </c>
      <c r="N10" s="129">
        <v>63</v>
      </c>
      <c r="O10" s="151">
        <v>0.36799999999999999</v>
      </c>
      <c r="P10" s="151">
        <v>0.18099999999999999</v>
      </c>
      <c r="Q10">
        <v>103</v>
      </c>
      <c r="R10">
        <v>10</v>
      </c>
      <c r="S10">
        <v>119</v>
      </c>
      <c r="T10"/>
      <c r="U10" s="154">
        <f t="shared" si="0"/>
        <v>0</v>
      </c>
      <c r="V10" s="154">
        <f t="shared" si="1"/>
        <v>-1.0000000000000009E-3</v>
      </c>
      <c r="W10" s="153">
        <f t="shared" si="2"/>
        <v>1.0000000000000009E-3</v>
      </c>
      <c r="X10"/>
      <c r="Y10"/>
      <c r="Z10"/>
      <c r="AA10"/>
      <c r="AB10"/>
      <c r="AC10"/>
      <c r="AD10"/>
      <c r="AE10"/>
    </row>
    <row r="11" spans="2:31" ht="14.25" customHeight="1">
      <c r="B11" s="1">
        <v>8</v>
      </c>
      <c r="C11" s="10"/>
      <c r="D11" s="133">
        <v>0.41600000000000004</v>
      </c>
      <c r="E11" s="134">
        <v>0.20800000000000002</v>
      </c>
      <c r="F11" s="132">
        <v>145</v>
      </c>
      <c r="G11" s="132">
        <v>0</v>
      </c>
      <c r="H11" s="132">
        <v>115</v>
      </c>
      <c r="I11" s="69"/>
      <c r="J11" s="129">
        <v>0.41599999999999998</v>
      </c>
      <c r="K11" s="129">
        <v>0.20599999999999999</v>
      </c>
      <c r="L11" s="129">
        <v>62</v>
      </c>
      <c r="M11" s="129">
        <v>6</v>
      </c>
      <c r="N11" s="129">
        <v>49</v>
      </c>
      <c r="O11" s="151">
        <v>0.41699999999999998</v>
      </c>
      <c r="P11" s="151">
        <v>0.20799999999999999</v>
      </c>
      <c r="Q11">
        <v>117</v>
      </c>
      <c r="R11">
        <v>11</v>
      </c>
      <c r="S11">
        <v>93</v>
      </c>
      <c r="T11"/>
      <c r="U11" s="154">
        <f t="shared" si="0"/>
        <v>-9.9999999999994538E-4</v>
      </c>
      <c r="V11" s="154">
        <f t="shared" si="1"/>
        <v>0</v>
      </c>
      <c r="W11" s="153">
        <f t="shared" si="2"/>
        <v>9.9999999999994538E-4</v>
      </c>
      <c r="X11"/>
      <c r="Y11"/>
      <c r="Z11"/>
      <c r="AA11"/>
      <c r="AB11"/>
      <c r="AC11"/>
      <c r="AD11"/>
      <c r="AE11"/>
    </row>
    <row r="12" spans="2:31" ht="14.25" customHeight="1">
      <c r="B12" s="1">
        <v>9</v>
      </c>
      <c r="C12" s="11"/>
      <c r="D12" s="133">
        <v>0.48399999999999999</v>
      </c>
      <c r="E12" s="134">
        <v>0.24399999999999999</v>
      </c>
      <c r="F12" s="132">
        <v>165</v>
      </c>
      <c r="G12" s="132">
        <v>0</v>
      </c>
      <c r="H12" s="132">
        <v>100</v>
      </c>
      <c r="I12" s="69"/>
      <c r="J12" s="129">
        <v>0.48299999999999998</v>
      </c>
      <c r="K12" s="129">
        <v>0.24099999999999999</v>
      </c>
      <c r="L12" s="129">
        <v>68</v>
      </c>
      <c r="M12" s="129">
        <v>6</v>
      </c>
      <c r="N12" s="129">
        <v>32</v>
      </c>
      <c r="O12" s="151">
        <v>0.48399999999999999</v>
      </c>
      <c r="P12" s="151">
        <v>0.24199999999999999</v>
      </c>
      <c r="Q12">
        <v>163</v>
      </c>
      <c r="R12">
        <v>14</v>
      </c>
      <c r="S12">
        <v>76</v>
      </c>
      <c r="T12"/>
      <c r="U12" s="154">
        <f t="shared" si="0"/>
        <v>0</v>
      </c>
      <c r="V12" s="154">
        <f t="shared" si="1"/>
        <v>2.0000000000000018E-3</v>
      </c>
      <c r="W12" s="153">
        <f t="shared" si="2"/>
        <v>2.0000000000000018E-3</v>
      </c>
      <c r="X12"/>
      <c r="Y12"/>
      <c r="Z12"/>
      <c r="AA12"/>
      <c r="AB12"/>
      <c r="AC12"/>
      <c r="AD12"/>
      <c r="AE12"/>
    </row>
    <row r="13" spans="2:31" ht="14.25" customHeight="1">
      <c r="B13" s="1">
        <v>10</v>
      </c>
      <c r="C13" s="12"/>
      <c r="D13" s="133">
        <v>0.54</v>
      </c>
      <c r="E13" s="134">
        <v>0.27600000000000002</v>
      </c>
      <c r="F13" s="132">
        <v>195</v>
      </c>
      <c r="G13" s="132">
        <v>0</v>
      </c>
      <c r="H13" s="132">
        <v>90</v>
      </c>
      <c r="I13" s="69"/>
      <c r="J13" s="129">
        <v>0.54200000000000004</v>
      </c>
      <c r="K13" s="129">
        <v>0.27600000000000002</v>
      </c>
      <c r="L13" s="129">
        <v>87</v>
      </c>
      <c r="M13" s="129">
        <v>8</v>
      </c>
      <c r="N13" s="129">
        <v>23</v>
      </c>
      <c r="O13" s="151">
        <v>0.54200000000000004</v>
      </c>
      <c r="P13" s="151">
        <v>0.27600000000000002</v>
      </c>
      <c r="Q13">
        <v>190</v>
      </c>
      <c r="R13">
        <v>17</v>
      </c>
      <c r="S13">
        <v>50</v>
      </c>
      <c r="T13"/>
      <c r="U13" s="154">
        <f t="shared" si="0"/>
        <v>-2.0000000000000018E-3</v>
      </c>
      <c r="V13" s="154">
        <f t="shared" si="1"/>
        <v>0</v>
      </c>
      <c r="W13" s="153">
        <f t="shared" si="2"/>
        <v>2.0000000000000018E-3</v>
      </c>
      <c r="X13"/>
      <c r="Y13"/>
      <c r="Z13"/>
      <c r="AA13"/>
      <c r="AB13"/>
      <c r="AC13"/>
      <c r="AD13"/>
      <c r="AE13"/>
    </row>
    <row r="14" spans="2:31" ht="14.25" customHeight="1">
      <c r="B14" s="1">
        <v>11</v>
      </c>
      <c r="C14" s="13"/>
      <c r="D14" s="133">
        <v>0.59199999999999997</v>
      </c>
      <c r="E14" s="134">
        <v>0.30399999999999999</v>
      </c>
      <c r="F14" s="132">
        <v>220</v>
      </c>
      <c r="G14" s="132">
        <v>0</v>
      </c>
      <c r="H14" s="132">
        <v>70</v>
      </c>
      <c r="I14" s="69"/>
      <c r="J14" s="129">
        <v>0.59</v>
      </c>
      <c r="K14" s="129">
        <v>0.30499999999999999</v>
      </c>
      <c r="L14" s="129">
        <v>94</v>
      </c>
      <c r="M14" s="129">
        <v>9</v>
      </c>
      <c r="N14" s="129">
        <v>13</v>
      </c>
      <c r="O14" s="151">
        <v>0.59099999999999997</v>
      </c>
      <c r="P14" s="151">
        <v>0.30399999999999999</v>
      </c>
      <c r="Q14">
        <v>208</v>
      </c>
      <c r="R14">
        <v>19</v>
      </c>
      <c r="S14">
        <v>28</v>
      </c>
      <c r="T14"/>
      <c r="U14" s="154">
        <f t="shared" si="0"/>
        <v>1.0000000000000009E-3</v>
      </c>
      <c r="V14" s="154">
        <f t="shared" si="1"/>
        <v>0</v>
      </c>
      <c r="W14" s="153">
        <f t="shared" si="2"/>
        <v>1.0000000000000009E-3</v>
      </c>
      <c r="X14"/>
      <c r="Y14"/>
      <c r="Z14"/>
      <c r="AA14"/>
      <c r="AB14"/>
      <c r="AC14"/>
      <c r="AD14"/>
      <c r="AE14"/>
    </row>
    <row r="15" spans="2:31" ht="14.25" customHeight="1">
      <c r="B15" s="1">
        <v>12</v>
      </c>
      <c r="C15" s="14"/>
      <c r="D15" s="133">
        <v>0.61599999999999999</v>
      </c>
      <c r="E15" s="134">
        <v>0.316</v>
      </c>
      <c r="F15" s="132">
        <v>230</v>
      </c>
      <c r="G15" s="132">
        <v>0</v>
      </c>
      <c r="H15" s="132">
        <v>50</v>
      </c>
      <c r="I15" s="69"/>
      <c r="J15" s="129">
        <v>0.61599999999999999</v>
      </c>
      <c r="K15" s="129">
        <v>0.316</v>
      </c>
      <c r="L15" s="129">
        <v>102</v>
      </c>
      <c r="M15" s="129">
        <v>9</v>
      </c>
      <c r="N15" s="129">
        <v>9</v>
      </c>
      <c r="O15" s="151">
        <v>0.61699999999999999</v>
      </c>
      <c r="P15" s="151">
        <v>0.316</v>
      </c>
      <c r="Q15">
        <v>228</v>
      </c>
      <c r="R15">
        <v>20</v>
      </c>
      <c r="S15">
        <v>18</v>
      </c>
      <c r="T15"/>
      <c r="U15" s="154">
        <f t="shared" si="0"/>
        <v>-1.0000000000000009E-3</v>
      </c>
      <c r="V15" s="154">
        <f t="shared" si="1"/>
        <v>0</v>
      </c>
      <c r="W15" s="153">
        <f t="shared" si="2"/>
        <v>1.0000000000000009E-3</v>
      </c>
      <c r="X15"/>
      <c r="Y15"/>
      <c r="Z15"/>
      <c r="AA15"/>
      <c r="AB15"/>
      <c r="AC15"/>
      <c r="AD15"/>
      <c r="AE15"/>
    </row>
    <row r="16" spans="2:31" ht="14.25" customHeight="1">
      <c r="B16" s="1">
        <v>13</v>
      </c>
      <c r="C16" s="15"/>
      <c r="D16" s="133">
        <v>0.63200000000000001</v>
      </c>
      <c r="E16" s="134">
        <v>0.32800000000000001</v>
      </c>
      <c r="F16" s="132">
        <v>240</v>
      </c>
      <c r="G16" s="132">
        <v>0</v>
      </c>
      <c r="H16" s="132">
        <v>30</v>
      </c>
      <c r="I16" s="69"/>
      <c r="J16" s="129">
        <v>0.63400000000000001</v>
      </c>
      <c r="K16" s="129">
        <v>0.32800000000000001</v>
      </c>
      <c r="L16" s="129">
        <v>108</v>
      </c>
      <c r="M16" s="129">
        <v>10</v>
      </c>
      <c r="N16" s="129">
        <v>5</v>
      </c>
      <c r="O16" s="151">
        <v>0.63100000000000001</v>
      </c>
      <c r="P16" s="151">
        <v>0.32700000000000001</v>
      </c>
      <c r="Q16">
        <v>237</v>
      </c>
      <c r="R16">
        <v>22</v>
      </c>
      <c r="S16">
        <v>11</v>
      </c>
      <c r="T16"/>
      <c r="U16" s="154">
        <f t="shared" si="0"/>
        <v>1.0000000000000009E-3</v>
      </c>
      <c r="V16" s="154">
        <f t="shared" si="1"/>
        <v>1.0000000000000009E-3</v>
      </c>
      <c r="W16" s="153">
        <f t="shared" si="2"/>
        <v>1.4142135623730963E-3</v>
      </c>
      <c r="X16"/>
      <c r="Y16"/>
      <c r="Z16"/>
      <c r="AA16"/>
      <c r="AB16"/>
      <c r="AC16"/>
      <c r="AD16"/>
      <c r="AE16"/>
    </row>
    <row r="17" spans="2:31" ht="14.25" customHeight="1">
      <c r="B17" s="1">
        <v>14</v>
      </c>
      <c r="C17" s="16"/>
      <c r="D17" s="133">
        <v>0.64</v>
      </c>
      <c r="E17" s="134">
        <v>0.32400000000000001</v>
      </c>
      <c r="F17" s="132">
        <v>245</v>
      </c>
      <c r="G17" s="132">
        <v>0</v>
      </c>
      <c r="H17" s="132">
        <v>15</v>
      </c>
      <c r="I17" s="69"/>
      <c r="J17" s="129">
        <v>0.64</v>
      </c>
      <c r="K17" s="129">
        <v>0.32300000000000001</v>
      </c>
      <c r="L17" s="129">
        <v>106</v>
      </c>
      <c r="M17" s="129">
        <v>8</v>
      </c>
      <c r="N17" s="129">
        <v>5</v>
      </c>
      <c r="O17" s="151">
        <v>0.64100000000000001</v>
      </c>
      <c r="P17" s="151">
        <v>0.32500000000000001</v>
      </c>
      <c r="Q17">
        <v>232</v>
      </c>
      <c r="R17">
        <v>18</v>
      </c>
      <c r="S17">
        <v>9</v>
      </c>
      <c r="T17"/>
      <c r="U17" s="154">
        <f t="shared" si="0"/>
        <v>-1.0000000000000009E-3</v>
      </c>
      <c r="V17" s="154">
        <f t="shared" si="1"/>
        <v>-1.0000000000000009E-3</v>
      </c>
      <c r="W17" s="153">
        <f t="shared" si="2"/>
        <v>1.4142135623730963E-3</v>
      </c>
      <c r="X17"/>
      <c r="Y17"/>
      <c r="Z17"/>
      <c r="AA17"/>
      <c r="AB17"/>
      <c r="AC17"/>
      <c r="AD17"/>
      <c r="AE17"/>
    </row>
    <row r="18" spans="2:31" ht="14.25" customHeight="1">
      <c r="B18" s="1">
        <v>15</v>
      </c>
      <c r="C18" s="17"/>
      <c r="D18" s="133">
        <v>0.64</v>
      </c>
      <c r="E18" s="134">
        <v>0.32800000000000001</v>
      </c>
      <c r="F18" s="132">
        <v>255</v>
      </c>
      <c r="G18" s="132">
        <v>0</v>
      </c>
      <c r="H18" s="132">
        <v>5</v>
      </c>
      <c r="I18" s="69"/>
      <c r="J18" s="129">
        <v>0.64</v>
      </c>
      <c r="K18" s="129">
        <v>0.33100000000000002</v>
      </c>
      <c r="L18" s="129">
        <v>109</v>
      </c>
      <c r="M18" s="129">
        <v>8</v>
      </c>
      <c r="N18" s="129">
        <v>4</v>
      </c>
      <c r="O18" s="151">
        <v>0.64</v>
      </c>
      <c r="P18" s="151">
        <v>0.32600000000000001</v>
      </c>
      <c r="Q18">
        <v>245</v>
      </c>
      <c r="R18">
        <v>20</v>
      </c>
      <c r="S18">
        <v>9</v>
      </c>
      <c r="T18"/>
      <c r="U18" s="154">
        <f t="shared" si="0"/>
        <v>0</v>
      </c>
      <c r="V18" s="154">
        <f t="shared" si="1"/>
        <v>2.0000000000000018E-3</v>
      </c>
      <c r="W18" s="153">
        <f t="shared" si="2"/>
        <v>2.0000000000000018E-3</v>
      </c>
      <c r="X18"/>
      <c r="Y18"/>
      <c r="Z18"/>
      <c r="AA18"/>
      <c r="AB18"/>
      <c r="AC18"/>
      <c r="AD18"/>
      <c r="AE18"/>
    </row>
    <row r="19" spans="2:31" ht="14.25" customHeight="1">
      <c r="B19" s="1">
        <v>16</v>
      </c>
      <c r="C19" s="18"/>
      <c r="D19" s="133">
        <v>0.64</v>
      </c>
      <c r="E19" s="134">
        <v>0.33200000000000002</v>
      </c>
      <c r="F19" s="132">
        <v>255</v>
      </c>
      <c r="G19" s="132">
        <v>10</v>
      </c>
      <c r="H19" s="132">
        <v>0</v>
      </c>
      <c r="I19" s="69"/>
      <c r="J19" s="129">
        <v>0.64</v>
      </c>
      <c r="K19" s="129">
        <v>0.33200000000000002</v>
      </c>
      <c r="L19" s="129">
        <v>118</v>
      </c>
      <c r="M19" s="129">
        <v>9</v>
      </c>
      <c r="N19" s="129">
        <v>4</v>
      </c>
      <c r="O19" s="151">
        <v>0.64</v>
      </c>
      <c r="P19" s="151">
        <v>0.33200000000000002</v>
      </c>
      <c r="Q19">
        <v>248</v>
      </c>
      <c r="R19">
        <v>23</v>
      </c>
      <c r="S19">
        <v>7</v>
      </c>
      <c r="T19"/>
      <c r="U19" s="154">
        <f t="shared" si="0"/>
        <v>0</v>
      </c>
      <c r="V19" s="154">
        <f t="shared" si="1"/>
        <v>0</v>
      </c>
      <c r="W19" s="153">
        <f t="shared" si="2"/>
        <v>0</v>
      </c>
      <c r="X19"/>
      <c r="Y19"/>
      <c r="Z19"/>
      <c r="AA19"/>
      <c r="AB19"/>
      <c r="AC19"/>
      <c r="AD19"/>
      <c r="AE19"/>
    </row>
    <row r="20" spans="2:31" ht="14.25" customHeight="1">
      <c r="B20" s="1">
        <v>17</v>
      </c>
      <c r="C20" s="19"/>
      <c r="D20" s="133">
        <v>0.64</v>
      </c>
      <c r="E20" s="134">
        <v>0.33600000000000002</v>
      </c>
      <c r="F20" s="132">
        <v>255</v>
      </c>
      <c r="G20" s="132">
        <v>20</v>
      </c>
      <c r="H20" s="132">
        <v>0</v>
      </c>
      <c r="I20" s="69"/>
      <c r="J20" s="129">
        <v>0.63900000000000001</v>
      </c>
      <c r="K20" s="129">
        <v>0.33500000000000002</v>
      </c>
      <c r="L20" s="129">
        <v>130</v>
      </c>
      <c r="M20" s="129">
        <v>11</v>
      </c>
      <c r="N20" s="129">
        <v>4</v>
      </c>
      <c r="O20" s="151">
        <v>0.63900000000000001</v>
      </c>
      <c r="P20" s="151">
        <v>0.33600000000000002</v>
      </c>
      <c r="Q20">
        <v>237</v>
      </c>
      <c r="R20">
        <v>24</v>
      </c>
      <c r="S20">
        <v>6</v>
      </c>
      <c r="T20"/>
      <c r="U20" s="154">
        <f t="shared" si="0"/>
        <v>1.0000000000000009E-3</v>
      </c>
      <c r="V20" s="154">
        <f t="shared" si="1"/>
        <v>0</v>
      </c>
      <c r="W20" s="153">
        <f t="shared" si="2"/>
        <v>1.0000000000000009E-3</v>
      </c>
      <c r="X20"/>
      <c r="Y20"/>
      <c r="Z20"/>
      <c r="AA20"/>
      <c r="AB20"/>
      <c r="AC20"/>
      <c r="AD20"/>
      <c r="AE20"/>
    </row>
    <row r="21" spans="2:31" ht="14.25" customHeight="1">
      <c r="B21" s="1">
        <v>18</v>
      </c>
      <c r="C21" s="20"/>
      <c r="D21" s="133">
        <v>0.63600000000000001</v>
      </c>
      <c r="E21" s="134">
        <v>0.33200000000000002</v>
      </c>
      <c r="F21" s="132">
        <v>255</v>
      </c>
      <c r="G21" s="132">
        <v>30</v>
      </c>
      <c r="H21" s="132">
        <v>0</v>
      </c>
      <c r="I21" s="69"/>
      <c r="J21" s="129">
        <v>0.63700000000000001</v>
      </c>
      <c r="K21" s="129">
        <v>0.33100000000000002</v>
      </c>
      <c r="L21" s="129">
        <v>128</v>
      </c>
      <c r="M21" s="129">
        <v>10</v>
      </c>
      <c r="N21" s="129">
        <v>5</v>
      </c>
      <c r="O21" s="151">
        <v>0.63600000000000001</v>
      </c>
      <c r="P21" s="151">
        <v>0.33200000000000002</v>
      </c>
      <c r="Q21">
        <v>225</v>
      </c>
      <c r="R21">
        <v>22</v>
      </c>
      <c r="S21">
        <v>8</v>
      </c>
      <c r="T21"/>
      <c r="U21" s="154">
        <f t="shared" si="0"/>
        <v>0</v>
      </c>
      <c r="V21" s="154">
        <f t="shared" si="1"/>
        <v>0</v>
      </c>
      <c r="W21" s="153">
        <f t="shared" si="2"/>
        <v>0</v>
      </c>
      <c r="X21"/>
      <c r="Y21"/>
      <c r="Z21"/>
      <c r="AA21"/>
      <c r="AB21"/>
      <c r="AC21"/>
      <c r="AD21"/>
      <c r="AE21"/>
    </row>
    <row r="22" spans="2:31" ht="14.25" customHeight="1">
      <c r="B22" s="1">
        <v>19</v>
      </c>
      <c r="C22" s="21"/>
      <c r="D22" s="133">
        <v>0.63200000000000001</v>
      </c>
      <c r="E22" s="134">
        <v>0.33600000000000002</v>
      </c>
      <c r="F22" s="132">
        <v>255</v>
      </c>
      <c r="G22" s="132">
        <v>40</v>
      </c>
      <c r="H22" s="132">
        <v>0</v>
      </c>
      <c r="I22" s="69"/>
      <c r="J22" s="129">
        <v>0.63100000000000001</v>
      </c>
      <c r="K22" s="129">
        <v>0.33600000000000002</v>
      </c>
      <c r="L22" s="129">
        <v>128</v>
      </c>
      <c r="M22" s="129">
        <v>12</v>
      </c>
      <c r="N22" s="129">
        <v>5</v>
      </c>
      <c r="O22" s="151">
        <v>0.63200000000000001</v>
      </c>
      <c r="P22" s="151">
        <v>0.33700000000000002</v>
      </c>
      <c r="Q22">
        <v>214</v>
      </c>
      <c r="R22">
        <v>24</v>
      </c>
      <c r="S22">
        <v>7</v>
      </c>
      <c r="T22"/>
      <c r="U22" s="154">
        <f t="shared" si="0"/>
        <v>0</v>
      </c>
      <c r="V22" s="154">
        <f t="shared" si="1"/>
        <v>-1.0000000000000009E-3</v>
      </c>
      <c r="W22" s="153">
        <f t="shared" si="2"/>
        <v>1.0000000000000009E-3</v>
      </c>
      <c r="X22"/>
      <c r="Y22"/>
      <c r="Z22"/>
      <c r="AA22"/>
      <c r="AB22"/>
      <c r="AC22"/>
      <c r="AD22"/>
      <c r="AE22"/>
    </row>
    <row r="23" spans="2:31" ht="14.25" customHeight="1">
      <c r="B23" s="1">
        <v>20</v>
      </c>
      <c r="C23" s="22"/>
      <c r="D23" s="133">
        <v>0.628</v>
      </c>
      <c r="E23" s="134">
        <v>0.34</v>
      </c>
      <c r="F23" s="132">
        <v>255</v>
      </c>
      <c r="G23" s="132">
        <v>50</v>
      </c>
      <c r="H23" s="132">
        <v>0</v>
      </c>
      <c r="I23" s="69"/>
      <c r="J23" s="129">
        <v>0.628</v>
      </c>
      <c r="K23" s="129">
        <v>0.33800000000000002</v>
      </c>
      <c r="L23" s="129">
        <v>128</v>
      </c>
      <c r="M23" s="129">
        <v>13</v>
      </c>
      <c r="N23" s="129">
        <v>5</v>
      </c>
      <c r="O23" s="151">
        <v>0.627</v>
      </c>
      <c r="P23" s="151">
        <v>0.33900000000000002</v>
      </c>
      <c r="Q23">
        <v>230</v>
      </c>
      <c r="R23">
        <v>28</v>
      </c>
      <c r="S23">
        <v>8</v>
      </c>
      <c r="T23"/>
      <c r="U23" s="154">
        <f t="shared" si="0"/>
        <v>1.0000000000000009E-3</v>
      </c>
      <c r="V23" s="154">
        <f t="shared" si="1"/>
        <v>1.0000000000000009E-3</v>
      </c>
      <c r="W23" s="153">
        <f t="shared" si="2"/>
        <v>1.4142135623730963E-3</v>
      </c>
      <c r="X23"/>
      <c r="Y23"/>
      <c r="Z23"/>
      <c r="AA23"/>
      <c r="AB23"/>
      <c r="AC23"/>
      <c r="AD23"/>
      <c r="AE23"/>
    </row>
    <row r="24" spans="2:31" ht="14.25" customHeight="1">
      <c r="B24" s="1">
        <v>21</v>
      </c>
      <c r="C24" s="23"/>
      <c r="D24" s="133">
        <v>0.624</v>
      </c>
      <c r="E24" s="134">
        <v>0.34400000000000003</v>
      </c>
      <c r="F24" s="132">
        <v>255</v>
      </c>
      <c r="G24" s="132">
        <v>60</v>
      </c>
      <c r="H24" s="132">
        <v>0</v>
      </c>
      <c r="I24" s="69"/>
      <c r="J24" s="129">
        <v>0.622</v>
      </c>
      <c r="K24" s="129">
        <v>0.34200000000000003</v>
      </c>
      <c r="L24" s="129">
        <v>128</v>
      </c>
      <c r="M24" s="129">
        <v>15</v>
      </c>
      <c r="N24" s="129">
        <v>5</v>
      </c>
      <c r="O24" s="151">
        <v>0.626</v>
      </c>
      <c r="P24" s="151">
        <v>0.34499999999999997</v>
      </c>
      <c r="Q24">
        <v>222</v>
      </c>
      <c r="R24">
        <v>30</v>
      </c>
      <c r="S24">
        <v>6</v>
      </c>
      <c r="T24"/>
      <c r="U24" s="154">
        <f t="shared" si="0"/>
        <v>-2.0000000000000018E-3</v>
      </c>
      <c r="V24" s="154">
        <f t="shared" si="1"/>
        <v>-9.9999999999994538E-4</v>
      </c>
      <c r="W24" s="153">
        <f t="shared" si="2"/>
        <v>2.2360679774997669E-3</v>
      </c>
      <c r="X24"/>
      <c r="Y24"/>
      <c r="Z24"/>
      <c r="AA24"/>
      <c r="AB24"/>
      <c r="AC24"/>
      <c r="AD24"/>
      <c r="AE24"/>
    </row>
    <row r="25" spans="2:31" ht="14.25" customHeight="1">
      <c r="B25" s="1">
        <v>22</v>
      </c>
      <c r="C25" s="24"/>
      <c r="D25" s="133">
        <v>0.61599999999999999</v>
      </c>
      <c r="E25" s="134">
        <v>0.35199999999999998</v>
      </c>
      <c r="F25" s="132">
        <v>255</v>
      </c>
      <c r="G25" s="132">
        <v>70</v>
      </c>
      <c r="H25" s="132">
        <v>0</v>
      </c>
      <c r="I25" s="69"/>
      <c r="J25" s="129">
        <v>0.61399999999999999</v>
      </c>
      <c r="K25" s="129">
        <v>0.34899999999999998</v>
      </c>
      <c r="L25" s="129">
        <v>128</v>
      </c>
      <c r="M25" s="129">
        <v>18</v>
      </c>
      <c r="N25" s="129">
        <v>5</v>
      </c>
      <c r="O25" s="151">
        <v>0.61499999999999999</v>
      </c>
      <c r="P25" s="151">
        <v>0.35099999999999998</v>
      </c>
      <c r="Q25">
        <v>230</v>
      </c>
      <c r="R25">
        <v>37</v>
      </c>
      <c r="S25">
        <v>7</v>
      </c>
      <c r="T25"/>
      <c r="U25" s="154">
        <f t="shared" si="0"/>
        <v>1.0000000000000009E-3</v>
      </c>
      <c r="V25" s="154">
        <f t="shared" si="1"/>
        <v>1.0000000000000009E-3</v>
      </c>
      <c r="W25" s="153">
        <f t="shared" si="2"/>
        <v>1.4142135623730963E-3</v>
      </c>
      <c r="X25"/>
      <c r="Y25"/>
      <c r="Z25"/>
      <c r="AA25"/>
      <c r="AB25"/>
      <c r="AC25"/>
      <c r="AD25"/>
      <c r="AE25"/>
    </row>
    <row r="26" spans="2:31" ht="14.25" customHeight="1">
      <c r="B26" s="1">
        <v>23</v>
      </c>
      <c r="C26" s="25"/>
      <c r="D26" s="133">
        <v>0.60799999999999998</v>
      </c>
      <c r="E26" s="134">
        <v>0.35599999999999998</v>
      </c>
      <c r="F26" s="132">
        <v>255</v>
      </c>
      <c r="G26" s="132">
        <v>80</v>
      </c>
      <c r="H26" s="132">
        <v>0</v>
      </c>
      <c r="I26" s="69"/>
      <c r="J26" s="129">
        <v>0.60599999999999998</v>
      </c>
      <c r="K26" s="129">
        <v>0.35499999999999998</v>
      </c>
      <c r="L26" s="129">
        <v>128</v>
      </c>
      <c r="M26" s="129">
        <v>21</v>
      </c>
      <c r="N26" s="129">
        <v>5</v>
      </c>
      <c r="O26" s="151">
        <v>0.60799999999999998</v>
      </c>
      <c r="P26" s="151">
        <v>0.35699999999999998</v>
      </c>
      <c r="Q26">
        <v>230</v>
      </c>
      <c r="R26">
        <v>42</v>
      </c>
      <c r="S26">
        <v>7</v>
      </c>
      <c r="T26"/>
      <c r="U26" s="154">
        <f t="shared" si="0"/>
        <v>0</v>
      </c>
      <c r="V26" s="154">
        <f t="shared" si="1"/>
        <v>-1.0000000000000009E-3</v>
      </c>
      <c r="W26" s="153">
        <f t="shared" si="2"/>
        <v>1.0000000000000009E-3</v>
      </c>
      <c r="X26"/>
      <c r="Y26"/>
      <c r="Z26"/>
      <c r="AA26"/>
      <c r="AB26"/>
      <c r="AC26"/>
      <c r="AD26"/>
      <c r="AE26"/>
    </row>
    <row r="27" spans="2:31" ht="14.25" customHeight="1">
      <c r="B27" s="1">
        <v>24</v>
      </c>
      <c r="C27" s="26"/>
      <c r="D27" s="133">
        <v>0.6</v>
      </c>
      <c r="E27" s="134">
        <v>0.36399999999999999</v>
      </c>
      <c r="F27" s="132">
        <v>255</v>
      </c>
      <c r="G27" s="132">
        <v>90</v>
      </c>
      <c r="H27" s="132">
        <v>0</v>
      </c>
      <c r="I27" s="69"/>
      <c r="J27" s="129">
        <v>0.59799999999999998</v>
      </c>
      <c r="K27" s="129">
        <v>0.36099999999999999</v>
      </c>
      <c r="L27" s="129">
        <v>128</v>
      </c>
      <c r="M27" s="129">
        <v>24</v>
      </c>
      <c r="N27" s="129">
        <v>5</v>
      </c>
      <c r="O27" s="151">
        <v>0.59899999999999998</v>
      </c>
      <c r="P27" s="151">
        <v>0.36399999999999999</v>
      </c>
      <c r="Q27">
        <v>230</v>
      </c>
      <c r="R27">
        <v>48</v>
      </c>
      <c r="S27">
        <v>7</v>
      </c>
      <c r="T27"/>
      <c r="U27" s="154">
        <f t="shared" si="0"/>
        <v>1.0000000000000009E-3</v>
      </c>
      <c r="V27" s="154">
        <f t="shared" si="1"/>
        <v>0</v>
      </c>
      <c r="W27" s="153">
        <f t="shared" si="2"/>
        <v>1.0000000000000009E-3</v>
      </c>
      <c r="X27"/>
      <c r="Y27"/>
      <c r="Z27"/>
      <c r="AA27"/>
      <c r="AB27"/>
      <c r="AC27"/>
      <c r="AD27"/>
      <c r="AE27"/>
    </row>
    <row r="28" spans="2:31" ht="14.25" customHeight="1">
      <c r="B28" s="1">
        <v>25</v>
      </c>
      <c r="C28" s="27"/>
      <c r="D28" s="133">
        <v>0.59199999999999997</v>
      </c>
      <c r="E28" s="134">
        <v>0.372</v>
      </c>
      <c r="F28" s="132">
        <v>255</v>
      </c>
      <c r="G28" s="132">
        <v>100</v>
      </c>
      <c r="H28" s="132">
        <v>0</v>
      </c>
      <c r="I28" s="69"/>
      <c r="J28" s="129">
        <v>0.59199999999999997</v>
      </c>
      <c r="K28" s="129">
        <v>0.371</v>
      </c>
      <c r="L28" s="129">
        <v>128</v>
      </c>
      <c r="M28" s="129">
        <v>28</v>
      </c>
      <c r="N28" s="129">
        <v>4</v>
      </c>
      <c r="O28" s="151">
        <v>0.59</v>
      </c>
      <c r="P28" s="151">
        <v>0.371</v>
      </c>
      <c r="Q28">
        <v>230</v>
      </c>
      <c r="R28">
        <v>54</v>
      </c>
      <c r="S28">
        <v>7</v>
      </c>
      <c r="T28"/>
      <c r="U28" s="154">
        <f t="shared" si="0"/>
        <v>2.0000000000000018E-3</v>
      </c>
      <c r="V28" s="154">
        <f t="shared" si="1"/>
        <v>1.0000000000000009E-3</v>
      </c>
      <c r="W28" s="153">
        <f t="shared" si="2"/>
        <v>2.236067977499792E-3</v>
      </c>
      <c r="X28"/>
      <c r="Y28"/>
      <c r="Z28"/>
      <c r="AA28"/>
      <c r="AB28"/>
      <c r="AC28"/>
      <c r="AD28"/>
      <c r="AE28"/>
    </row>
    <row r="29" spans="2:31" ht="14.25" customHeight="1">
      <c r="B29" s="1">
        <v>26</v>
      </c>
      <c r="C29" s="28"/>
      <c r="D29" s="133">
        <v>0.57999999999999996</v>
      </c>
      <c r="E29" s="134">
        <v>0.38400000000000001</v>
      </c>
      <c r="F29" s="132">
        <v>250</v>
      </c>
      <c r="G29" s="132">
        <v>110</v>
      </c>
      <c r="H29" s="132">
        <v>0</v>
      </c>
      <c r="I29" s="69"/>
      <c r="J29" s="129">
        <v>0.57999999999999996</v>
      </c>
      <c r="K29" s="129">
        <v>0.38600000000000001</v>
      </c>
      <c r="L29" s="129">
        <v>126</v>
      </c>
      <c r="M29" s="129">
        <v>34</v>
      </c>
      <c r="N29" s="129">
        <v>3</v>
      </c>
      <c r="O29" s="151">
        <v>0.57999999999999996</v>
      </c>
      <c r="P29" s="151">
        <v>0.38400000000000001</v>
      </c>
      <c r="Q29">
        <v>218</v>
      </c>
      <c r="R29">
        <v>61</v>
      </c>
      <c r="S29">
        <v>5</v>
      </c>
      <c r="T29"/>
      <c r="U29" s="154">
        <f t="shared" si="0"/>
        <v>0</v>
      </c>
      <c r="V29" s="154">
        <f t="shared" si="1"/>
        <v>0</v>
      </c>
      <c r="W29" s="153">
        <f t="shared" si="2"/>
        <v>0</v>
      </c>
      <c r="X29"/>
      <c r="Y29"/>
      <c r="Z29"/>
      <c r="AA29"/>
      <c r="AB29"/>
      <c r="AC29"/>
      <c r="AD29"/>
      <c r="AE29"/>
    </row>
    <row r="30" spans="2:31" ht="14.25" customHeight="1">
      <c r="B30" s="1">
        <v>27</v>
      </c>
      <c r="C30" s="29"/>
      <c r="D30" s="133">
        <v>0.56400000000000006</v>
      </c>
      <c r="E30" s="134">
        <v>0.39600000000000002</v>
      </c>
      <c r="F30" s="132">
        <v>240</v>
      </c>
      <c r="G30" s="132">
        <v>120</v>
      </c>
      <c r="H30" s="132">
        <v>0</v>
      </c>
      <c r="I30" s="69"/>
      <c r="J30" s="129">
        <v>0.56499999999999995</v>
      </c>
      <c r="K30" s="129">
        <v>0.39700000000000002</v>
      </c>
      <c r="L30" s="129">
        <v>115</v>
      </c>
      <c r="M30" s="129">
        <v>37</v>
      </c>
      <c r="N30" s="129">
        <v>3</v>
      </c>
      <c r="O30" s="151">
        <v>0.56399999999999995</v>
      </c>
      <c r="P30" s="151">
        <v>0.39600000000000002</v>
      </c>
      <c r="Q30">
        <v>200</v>
      </c>
      <c r="R30">
        <v>67</v>
      </c>
      <c r="S30">
        <v>5</v>
      </c>
      <c r="T30"/>
      <c r="U30" s="154">
        <f t="shared" si="0"/>
        <v>0</v>
      </c>
      <c r="V30" s="154">
        <f t="shared" si="1"/>
        <v>0</v>
      </c>
      <c r="W30" s="153">
        <f t="shared" si="2"/>
        <v>0</v>
      </c>
      <c r="X30"/>
      <c r="Y30"/>
      <c r="Z30"/>
      <c r="AA30"/>
      <c r="AB30"/>
      <c r="AC30"/>
      <c r="AD30"/>
      <c r="AE30"/>
    </row>
    <row r="31" spans="2:31" ht="14.25" customHeight="1">
      <c r="B31" s="1">
        <v>28</v>
      </c>
      <c r="C31" s="30"/>
      <c r="D31" s="133">
        <v>0.54800000000000004</v>
      </c>
      <c r="E31" s="134">
        <v>0.41200000000000003</v>
      </c>
      <c r="F31" s="132">
        <v>230</v>
      </c>
      <c r="G31" s="132">
        <v>130</v>
      </c>
      <c r="H31" s="132">
        <v>0</v>
      </c>
      <c r="I31" s="69"/>
      <c r="J31" s="129">
        <v>0.54700000000000004</v>
      </c>
      <c r="K31" s="129">
        <v>0.41</v>
      </c>
      <c r="L31" s="129">
        <v>106</v>
      </c>
      <c r="M31" s="129">
        <v>41</v>
      </c>
      <c r="N31" s="129">
        <v>3</v>
      </c>
      <c r="O31" s="151">
        <v>0.54800000000000004</v>
      </c>
      <c r="P31" s="151">
        <v>0.41199999999999998</v>
      </c>
      <c r="Q31">
        <v>186</v>
      </c>
      <c r="R31">
        <v>75</v>
      </c>
      <c r="S31">
        <v>4</v>
      </c>
      <c r="T31"/>
      <c r="U31" s="154">
        <f t="shared" si="0"/>
        <v>0</v>
      </c>
      <c r="V31" s="154">
        <f t="shared" si="1"/>
        <v>0</v>
      </c>
      <c r="W31" s="153">
        <f t="shared" si="2"/>
        <v>0</v>
      </c>
      <c r="X31"/>
      <c r="Y31"/>
      <c r="Z31"/>
      <c r="AA31"/>
      <c r="AB31"/>
      <c r="AC31"/>
      <c r="AD31"/>
      <c r="AE31"/>
    </row>
    <row r="32" spans="2:31" ht="14.25" customHeight="1">
      <c r="B32" s="1">
        <v>29</v>
      </c>
      <c r="C32" s="31"/>
      <c r="D32" s="133">
        <v>0.52</v>
      </c>
      <c r="E32" s="134">
        <v>0.436</v>
      </c>
      <c r="F32" s="132">
        <v>215</v>
      </c>
      <c r="G32" s="132">
        <v>140</v>
      </c>
      <c r="H32" s="132">
        <v>0</v>
      </c>
      <c r="I32" s="69"/>
      <c r="J32" s="129">
        <v>0.52100000000000002</v>
      </c>
      <c r="K32" s="129">
        <v>0.434</v>
      </c>
      <c r="L32" s="129">
        <v>95</v>
      </c>
      <c r="M32" s="129">
        <v>48</v>
      </c>
      <c r="N32" s="129">
        <v>2</v>
      </c>
      <c r="O32" s="151">
        <v>0.52100000000000002</v>
      </c>
      <c r="P32" s="151">
        <v>0.436</v>
      </c>
      <c r="Q32">
        <v>168</v>
      </c>
      <c r="R32">
        <v>88</v>
      </c>
      <c r="S32">
        <v>3</v>
      </c>
      <c r="T32"/>
      <c r="U32" s="154">
        <f t="shared" si="0"/>
        <v>-1.0000000000000009E-3</v>
      </c>
      <c r="V32" s="154">
        <f t="shared" si="1"/>
        <v>0</v>
      </c>
      <c r="W32" s="153">
        <f t="shared" si="2"/>
        <v>1.0000000000000009E-3</v>
      </c>
      <c r="X32"/>
      <c r="Y32"/>
      <c r="Z32"/>
      <c r="AA32"/>
      <c r="AB32"/>
      <c r="AC32"/>
      <c r="AD32"/>
      <c r="AE32"/>
    </row>
    <row r="33" spans="2:31" ht="14.25" customHeight="1">
      <c r="B33" s="1">
        <v>30</v>
      </c>
      <c r="C33" s="32"/>
      <c r="D33" s="133">
        <v>0.504</v>
      </c>
      <c r="E33" s="134">
        <v>0.45200000000000001</v>
      </c>
      <c r="F33" s="132">
        <v>210</v>
      </c>
      <c r="G33" s="132">
        <v>150</v>
      </c>
      <c r="H33" s="132">
        <v>0</v>
      </c>
      <c r="I33" s="69"/>
      <c r="J33" s="129">
        <v>0.503</v>
      </c>
      <c r="K33" s="129">
        <v>0.45</v>
      </c>
      <c r="L33" s="129">
        <v>94</v>
      </c>
      <c r="M33" s="129">
        <v>56</v>
      </c>
      <c r="N33" s="129">
        <v>1</v>
      </c>
      <c r="O33" s="151">
        <v>0.504</v>
      </c>
      <c r="P33" s="151">
        <v>0.45200000000000001</v>
      </c>
      <c r="Q33">
        <v>163</v>
      </c>
      <c r="R33">
        <v>100</v>
      </c>
      <c r="S33">
        <v>2</v>
      </c>
      <c r="T33"/>
      <c r="U33" s="154">
        <f t="shared" si="0"/>
        <v>0</v>
      </c>
      <c r="V33" s="154">
        <f t="shared" si="1"/>
        <v>0</v>
      </c>
      <c r="W33" s="153">
        <f t="shared" si="2"/>
        <v>0</v>
      </c>
      <c r="X33"/>
      <c r="Y33"/>
      <c r="Z33"/>
      <c r="AA33"/>
      <c r="AB33"/>
      <c r="AC33"/>
      <c r="AD33"/>
      <c r="AE33"/>
    </row>
    <row r="34" spans="2:31" ht="14.25" customHeight="1">
      <c r="B34" s="1">
        <v>31</v>
      </c>
      <c r="C34" s="33"/>
      <c r="D34" s="133">
        <v>0.48399999999999999</v>
      </c>
      <c r="E34" s="134">
        <v>0.46800000000000003</v>
      </c>
      <c r="F34" s="132">
        <v>205</v>
      </c>
      <c r="G34" s="132">
        <v>160</v>
      </c>
      <c r="H34" s="132">
        <v>0</v>
      </c>
      <c r="I34" s="69"/>
      <c r="J34" s="129">
        <v>0.48099999999999998</v>
      </c>
      <c r="K34" s="129">
        <v>0.46600000000000003</v>
      </c>
      <c r="L34" s="129">
        <v>88</v>
      </c>
      <c r="M34" s="129">
        <v>62</v>
      </c>
      <c r="N34" s="129">
        <v>1</v>
      </c>
      <c r="O34" s="151">
        <v>0.48399999999999999</v>
      </c>
      <c r="P34" s="151">
        <v>0.46700000000000003</v>
      </c>
      <c r="Q34">
        <v>156</v>
      </c>
      <c r="R34">
        <v>112</v>
      </c>
      <c r="S34">
        <v>2</v>
      </c>
      <c r="T34"/>
      <c r="U34" s="154">
        <f t="shared" si="0"/>
        <v>0</v>
      </c>
      <c r="V34" s="154">
        <f t="shared" si="1"/>
        <v>1.0000000000000009E-3</v>
      </c>
      <c r="W34" s="153">
        <f t="shared" si="2"/>
        <v>1.0000000000000009E-3</v>
      </c>
      <c r="X34"/>
      <c r="Y34"/>
      <c r="Z34"/>
      <c r="AA34"/>
      <c r="AB34"/>
      <c r="AC34"/>
      <c r="AD34"/>
      <c r="AE34"/>
    </row>
    <row r="35" spans="2:31" ht="14.25" customHeight="1">
      <c r="B35" s="1">
        <v>32</v>
      </c>
      <c r="C35" s="34"/>
      <c r="D35" s="133">
        <v>0.44400000000000001</v>
      </c>
      <c r="E35" s="134">
        <v>0.5</v>
      </c>
      <c r="F35" s="132">
        <v>200</v>
      </c>
      <c r="G35" s="132">
        <v>185</v>
      </c>
      <c r="H35" s="132">
        <v>0</v>
      </c>
      <c r="I35" s="69"/>
      <c r="J35" s="129">
        <v>0.443</v>
      </c>
      <c r="K35" s="129">
        <v>0.497</v>
      </c>
      <c r="L35" s="129">
        <v>79</v>
      </c>
      <c r="M35" s="129">
        <v>75</v>
      </c>
      <c r="N35" s="129">
        <v>0</v>
      </c>
      <c r="O35" s="151">
        <v>0.44400000000000001</v>
      </c>
      <c r="P35" s="151">
        <v>0.5</v>
      </c>
      <c r="Q35">
        <v>142</v>
      </c>
      <c r="R35">
        <v>138</v>
      </c>
      <c r="S35">
        <v>0</v>
      </c>
      <c r="T35"/>
      <c r="U35" s="154">
        <f t="shared" si="0"/>
        <v>0</v>
      </c>
      <c r="V35" s="154">
        <f t="shared" si="1"/>
        <v>0</v>
      </c>
      <c r="W35" s="153">
        <f t="shared" si="2"/>
        <v>0</v>
      </c>
      <c r="X35"/>
      <c r="Y35"/>
      <c r="Z35"/>
      <c r="AA35"/>
      <c r="AB35"/>
      <c r="AC35"/>
      <c r="AD35"/>
      <c r="AE35"/>
    </row>
    <row r="36" spans="2:31" ht="14.25" customHeight="1">
      <c r="B36" s="1">
        <v>33</v>
      </c>
      <c r="C36" s="35"/>
      <c r="D36" s="133">
        <v>0.42</v>
      </c>
      <c r="E36" s="134">
        <v>0.52400000000000002</v>
      </c>
      <c r="F36" s="132">
        <v>195</v>
      </c>
      <c r="G36" s="132">
        <v>200</v>
      </c>
      <c r="H36" s="132">
        <v>0</v>
      </c>
      <c r="I36" s="69"/>
      <c r="J36" s="130">
        <v>0.41099999999999998</v>
      </c>
      <c r="K36" s="130">
        <v>0.52200000000000002</v>
      </c>
      <c r="L36" s="130">
        <v>76</v>
      </c>
      <c r="M36" s="130">
        <v>90</v>
      </c>
      <c r="N36" s="130">
        <v>0</v>
      </c>
      <c r="O36" s="156">
        <v>0.41099999999999998</v>
      </c>
      <c r="P36" s="156">
        <v>0.52500000000000002</v>
      </c>
      <c r="Q36" s="150">
        <v>135</v>
      </c>
      <c r="R36" s="150">
        <v>165</v>
      </c>
      <c r="S36" s="150">
        <v>0</v>
      </c>
      <c r="T36"/>
      <c r="U36" s="157">
        <f t="shared" si="0"/>
        <v>9.000000000000008E-3</v>
      </c>
      <c r="V36" s="157">
        <f t="shared" si="1"/>
        <v>-1.0000000000000009E-3</v>
      </c>
      <c r="W36" s="158">
        <f t="shared" si="2"/>
        <v>9.0553851381374242E-3</v>
      </c>
      <c r="X36"/>
      <c r="Y36"/>
      <c r="Z36"/>
      <c r="AA36"/>
      <c r="AB36"/>
      <c r="AC36"/>
      <c r="AD36"/>
      <c r="AE36"/>
    </row>
    <row r="37" spans="2:31" ht="14.25" customHeight="1">
      <c r="B37" s="1">
        <v>34</v>
      </c>
      <c r="C37" s="36"/>
      <c r="D37" s="133">
        <v>0.38800000000000001</v>
      </c>
      <c r="E37" s="134">
        <v>0.55200000000000005</v>
      </c>
      <c r="F37" s="132">
        <v>185</v>
      </c>
      <c r="G37" s="132">
        <v>220</v>
      </c>
      <c r="H37" s="132">
        <v>0</v>
      </c>
      <c r="I37" s="69"/>
      <c r="J37" s="130">
        <v>0.38100000000000001</v>
      </c>
      <c r="K37" s="130">
        <v>0.54500000000000004</v>
      </c>
      <c r="L37" s="130">
        <v>70</v>
      </c>
      <c r="M37" s="130">
        <v>102</v>
      </c>
      <c r="N37" s="130">
        <v>0</v>
      </c>
      <c r="O37" s="156">
        <v>0.376</v>
      </c>
      <c r="P37" s="156">
        <v>0.55200000000000005</v>
      </c>
      <c r="Q37" s="150">
        <v>127</v>
      </c>
      <c r="R37" s="150">
        <v>200</v>
      </c>
      <c r="S37" s="150">
        <v>0</v>
      </c>
      <c r="T37"/>
      <c r="U37" s="157">
        <f t="shared" si="0"/>
        <v>1.2000000000000011E-2</v>
      </c>
      <c r="V37" s="157">
        <f t="shared" si="1"/>
        <v>0</v>
      </c>
      <c r="W37" s="158">
        <f t="shared" si="2"/>
        <v>1.2000000000000011E-2</v>
      </c>
      <c r="X37"/>
      <c r="Y37"/>
      <c r="Z37"/>
      <c r="AA37"/>
      <c r="AB37"/>
      <c r="AC37"/>
      <c r="AD37"/>
      <c r="AE37"/>
    </row>
    <row r="38" spans="2:31" ht="14.25" customHeight="1">
      <c r="B38" s="1">
        <v>35</v>
      </c>
      <c r="C38" s="37"/>
      <c r="D38" s="133">
        <v>0.36</v>
      </c>
      <c r="E38" s="134">
        <v>0.57600000000000007</v>
      </c>
      <c r="F38" s="132">
        <v>175</v>
      </c>
      <c r="G38" s="132">
        <v>235</v>
      </c>
      <c r="H38" s="132">
        <v>0</v>
      </c>
      <c r="I38" s="69"/>
      <c r="J38" s="130">
        <v>0.34499999999999997</v>
      </c>
      <c r="K38" s="130">
        <v>0.57299999999999995</v>
      </c>
      <c r="L38" s="130">
        <v>60</v>
      </c>
      <c r="M38" s="130">
        <v>113</v>
      </c>
      <c r="N38" s="130">
        <v>0</v>
      </c>
      <c r="O38" s="156">
        <v>0.34499999999999997</v>
      </c>
      <c r="P38" s="156">
        <v>0.57599999999999996</v>
      </c>
      <c r="Q38" s="150">
        <v>110</v>
      </c>
      <c r="R38" s="150">
        <v>218</v>
      </c>
      <c r="S38" s="150">
        <v>0</v>
      </c>
      <c r="T38"/>
      <c r="U38" s="157">
        <f t="shared" si="0"/>
        <v>1.5000000000000013E-2</v>
      </c>
      <c r="V38" s="157">
        <f t="shared" si="1"/>
        <v>0</v>
      </c>
      <c r="W38" s="158">
        <f t="shared" si="2"/>
        <v>1.5000000000000013E-2</v>
      </c>
      <c r="X38"/>
      <c r="Y38"/>
      <c r="Z38"/>
      <c r="AA38"/>
      <c r="AB38"/>
      <c r="AC38"/>
      <c r="AD38"/>
      <c r="AE38"/>
    </row>
    <row r="39" spans="2:31" ht="14.25" customHeight="1">
      <c r="B39" s="1">
        <v>36</v>
      </c>
      <c r="C39" s="38"/>
      <c r="D39" s="133">
        <v>0.34</v>
      </c>
      <c r="E39" s="134">
        <v>0.59599999999999997</v>
      </c>
      <c r="F39" s="132">
        <v>165</v>
      </c>
      <c r="G39" s="132">
        <v>245</v>
      </c>
      <c r="H39" s="132">
        <v>10</v>
      </c>
      <c r="I39" s="69"/>
      <c r="J39" s="130">
        <v>0.316</v>
      </c>
      <c r="K39" s="130">
        <v>0.59399999999999997</v>
      </c>
      <c r="L39" s="130">
        <v>55</v>
      </c>
      <c r="M39" s="130">
        <v>128</v>
      </c>
      <c r="N39" s="130">
        <v>0</v>
      </c>
      <c r="O39" s="156">
        <v>0.318</v>
      </c>
      <c r="P39" s="156">
        <v>0.59599999999999997</v>
      </c>
      <c r="Q39" s="150">
        <v>94</v>
      </c>
      <c r="R39" s="150">
        <v>230</v>
      </c>
      <c r="S39" s="150">
        <v>0</v>
      </c>
      <c r="T39"/>
      <c r="U39" s="157">
        <f t="shared" si="0"/>
        <v>2.200000000000002E-2</v>
      </c>
      <c r="V39" s="157">
        <f t="shared" si="1"/>
        <v>0</v>
      </c>
      <c r="W39" s="158">
        <f t="shared" si="2"/>
        <v>2.200000000000002E-2</v>
      </c>
      <c r="X39"/>
      <c r="Y39"/>
      <c r="Z39"/>
      <c r="AA39"/>
      <c r="AB39"/>
      <c r="AC39"/>
      <c r="AD39"/>
      <c r="AE39"/>
    </row>
    <row r="40" spans="2:31" ht="14.25" customHeight="1">
      <c r="B40" s="1">
        <v>37</v>
      </c>
      <c r="C40" s="39"/>
      <c r="D40" s="133">
        <v>0.32400000000000001</v>
      </c>
      <c r="E40" s="134">
        <v>0.60799999999999998</v>
      </c>
      <c r="F40" s="132">
        <v>155</v>
      </c>
      <c r="G40" s="132">
        <v>250</v>
      </c>
      <c r="H40" s="132">
        <v>20</v>
      </c>
      <c r="I40" s="69"/>
      <c r="J40" s="130">
        <v>0.30199999999999999</v>
      </c>
      <c r="K40" s="130">
        <v>0.60499999999999998</v>
      </c>
      <c r="L40" s="130">
        <v>50</v>
      </c>
      <c r="M40" s="130">
        <v>130</v>
      </c>
      <c r="N40" s="130">
        <v>0</v>
      </c>
      <c r="O40" s="156">
        <v>0.30299999999999999</v>
      </c>
      <c r="P40" s="156">
        <v>0.60799999999999998</v>
      </c>
      <c r="Q40" s="150">
        <v>84</v>
      </c>
      <c r="R40" s="150">
        <v>234</v>
      </c>
      <c r="S40" s="150">
        <v>0</v>
      </c>
      <c r="T40"/>
      <c r="U40" s="157">
        <f t="shared" si="0"/>
        <v>2.1000000000000019E-2</v>
      </c>
      <c r="V40" s="157">
        <f t="shared" si="1"/>
        <v>0</v>
      </c>
      <c r="W40" s="158">
        <f t="shared" si="2"/>
        <v>2.1000000000000019E-2</v>
      </c>
      <c r="X40"/>
      <c r="Y40"/>
      <c r="Z40"/>
      <c r="AA40"/>
      <c r="AB40"/>
      <c r="AC40"/>
      <c r="AD40"/>
      <c r="AE40"/>
    </row>
    <row r="41" spans="2:31" ht="14.25" customHeight="1">
      <c r="B41" s="1">
        <v>38</v>
      </c>
      <c r="C41" s="40"/>
      <c r="D41" s="133">
        <v>0.30399999999999999</v>
      </c>
      <c r="E41" s="134">
        <v>0.61199999999999999</v>
      </c>
      <c r="F41" s="132">
        <v>145</v>
      </c>
      <c r="G41" s="132">
        <v>255</v>
      </c>
      <c r="H41" s="132">
        <v>40</v>
      </c>
      <c r="I41" s="69"/>
      <c r="J41" s="130">
        <v>0.29299999999999998</v>
      </c>
      <c r="K41" s="130">
        <v>0.61199999999999999</v>
      </c>
      <c r="L41" s="130">
        <v>50</v>
      </c>
      <c r="M41" s="130">
        <v>140</v>
      </c>
      <c r="N41" s="130">
        <v>0</v>
      </c>
      <c r="O41" s="156">
        <v>0.29799999999999999</v>
      </c>
      <c r="P41" s="156">
        <v>0.61199999999999999</v>
      </c>
      <c r="Q41" s="150">
        <v>85</v>
      </c>
      <c r="R41" s="150">
        <v>247</v>
      </c>
      <c r="S41" s="150">
        <v>0</v>
      </c>
      <c r="T41"/>
      <c r="U41" s="157">
        <f t="shared" si="0"/>
        <v>6.0000000000000053E-3</v>
      </c>
      <c r="V41" s="157">
        <f t="shared" si="1"/>
        <v>0</v>
      </c>
      <c r="W41" s="158">
        <f t="shared" si="2"/>
        <v>6.0000000000000053E-3</v>
      </c>
      <c r="X41"/>
      <c r="Y41"/>
      <c r="Z41"/>
      <c r="AA41"/>
      <c r="AB41"/>
      <c r="AC41"/>
      <c r="AD41"/>
      <c r="AE41"/>
    </row>
    <row r="42" spans="2:31" ht="14.25" customHeight="1">
      <c r="B42" s="1">
        <v>39</v>
      </c>
      <c r="C42" s="41"/>
      <c r="D42" s="133">
        <v>0.28800000000000003</v>
      </c>
      <c r="E42" s="134">
        <v>0.60799999999999998</v>
      </c>
      <c r="F42" s="132">
        <v>135</v>
      </c>
      <c r="G42" s="132">
        <v>255</v>
      </c>
      <c r="H42" s="132">
        <v>60</v>
      </c>
      <c r="I42" s="69"/>
      <c r="J42" s="129">
        <v>0.28999999999999998</v>
      </c>
      <c r="K42" s="129">
        <v>0.61099999999999999</v>
      </c>
      <c r="L42" s="129">
        <v>45</v>
      </c>
      <c r="M42" s="129">
        <v>129</v>
      </c>
      <c r="N42" s="129">
        <v>2</v>
      </c>
      <c r="O42" s="129">
        <v>0.28999999999999998</v>
      </c>
      <c r="P42" s="129">
        <v>0.61099999999999999</v>
      </c>
      <c r="Q42">
        <v>80</v>
      </c>
      <c r="R42">
        <v>247</v>
      </c>
      <c r="S42">
        <v>4</v>
      </c>
      <c r="T42"/>
      <c r="U42" s="154">
        <f t="shared" si="0"/>
        <v>-1.9999999999999463E-3</v>
      </c>
      <c r="V42" s="154">
        <f t="shared" si="1"/>
        <v>-3.0000000000000027E-3</v>
      </c>
      <c r="W42" s="153">
        <f t="shared" si="2"/>
        <v>3.6055512754639618E-3</v>
      </c>
      <c r="X42"/>
      <c r="Y42"/>
      <c r="Z42"/>
      <c r="AA42"/>
      <c r="AB42"/>
      <c r="AC42"/>
      <c r="AD42"/>
      <c r="AE42"/>
    </row>
    <row r="43" spans="2:31" ht="14.25" customHeight="1">
      <c r="B43" s="1">
        <v>40</v>
      </c>
      <c r="C43" s="42"/>
      <c r="D43" s="133">
        <v>0.27600000000000002</v>
      </c>
      <c r="E43" s="134">
        <v>0.59199999999999997</v>
      </c>
      <c r="F43" s="132">
        <v>125</v>
      </c>
      <c r="G43" s="132">
        <v>250</v>
      </c>
      <c r="H43" s="132">
        <v>80</v>
      </c>
      <c r="I43" s="69"/>
      <c r="J43" s="129">
        <v>0.27300000000000002</v>
      </c>
      <c r="K43" s="129">
        <v>0.59299999999999997</v>
      </c>
      <c r="L43" s="129">
        <v>44</v>
      </c>
      <c r="M43" s="129">
        <v>137</v>
      </c>
      <c r="N43" s="129">
        <v>8</v>
      </c>
      <c r="O43" s="151">
        <v>0.27600000000000002</v>
      </c>
      <c r="P43" s="151">
        <v>0.59199999999999997</v>
      </c>
      <c r="Q43">
        <v>75</v>
      </c>
      <c r="R43">
        <v>247</v>
      </c>
      <c r="S43">
        <v>15</v>
      </c>
      <c r="T43"/>
      <c r="U43" s="154">
        <f t="shared" si="0"/>
        <v>0</v>
      </c>
      <c r="V43" s="154">
        <f t="shared" si="1"/>
        <v>0</v>
      </c>
      <c r="W43" s="153">
        <f t="shared" si="2"/>
        <v>0</v>
      </c>
      <c r="X43"/>
      <c r="Y43"/>
      <c r="Z43"/>
      <c r="AA43"/>
      <c r="AB43"/>
      <c r="AC43"/>
      <c r="AD43"/>
      <c r="AE43"/>
    </row>
    <row r="44" spans="2:31" ht="14.25" customHeight="1">
      <c r="B44" s="1">
        <v>41</v>
      </c>
      <c r="C44" s="43"/>
      <c r="D44" s="133">
        <v>0.26</v>
      </c>
      <c r="E44" s="134">
        <v>0.56400000000000006</v>
      </c>
      <c r="F44" s="132">
        <v>115</v>
      </c>
      <c r="G44" s="132">
        <v>245</v>
      </c>
      <c r="H44" s="132">
        <v>100</v>
      </c>
      <c r="I44" s="69"/>
      <c r="J44" s="129">
        <v>0.26100000000000001</v>
      </c>
      <c r="K44" s="129">
        <v>0.56499999999999995</v>
      </c>
      <c r="L44" s="129">
        <v>37</v>
      </c>
      <c r="M44" s="129">
        <v>120</v>
      </c>
      <c r="N44" s="129">
        <v>14</v>
      </c>
      <c r="O44" s="151">
        <v>0.26</v>
      </c>
      <c r="P44" s="151">
        <v>0.56399999999999995</v>
      </c>
      <c r="Q44">
        <v>60</v>
      </c>
      <c r="R44">
        <v>212</v>
      </c>
      <c r="S44">
        <v>27</v>
      </c>
      <c r="T44"/>
      <c r="U44" s="154">
        <f t="shared" si="0"/>
        <v>0</v>
      </c>
      <c r="V44" s="154">
        <f t="shared" si="1"/>
        <v>0</v>
      </c>
      <c r="W44" s="153">
        <f t="shared" si="2"/>
        <v>0</v>
      </c>
      <c r="X44"/>
      <c r="Y44"/>
      <c r="Z44"/>
      <c r="AA44"/>
      <c r="AB44"/>
      <c r="AC44"/>
      <c r="AD44"/>
      <c r="AE44"/>
    </row>
    <row r="45" spans="2:31" ht="14.25" customHeight="1">
      <c r="B45" s="1">
        <v>42</v>
      </c>
      <c r="C45" s="44"/>
      <c r="D45" s="133">
        <v>0.24399999999999999</v>
      </c>
      <c r="E45" s="134">
        <v>0.53200000000000003</v>
      </c>
      <c r="F45" s="132">
        <v>105</v>
      </c>
      <c r="G45" s="132">
        <v>240</v>
      </c>
      <c r="H45" s="132">
        <v>120</v>
      </c>
      <c r="I45" s="69"/>
      <c r="J45" s="129">
        <v>0.24099999999999999</v>
      </c>
      <c r="K45" s="129">
        <v>0.53500000000000003</v>
      </c>
      <c r="L45" s="129">
        <v>36</v>
      </c>
      <c r="M45" s="129">
        <v>131</v>
      </c>
      <c r="N45" s="129">
        <v>25</v>
      </c>
      <c r="O45" s="151">
        <v>0.245</v>
      </c>
      <c r="P45" s="151">
        <v>0.53200000000000003</v>
      </c>
      <c r="Q45">
        <v>58</v>
      </c>
      <c r="R45">
        <v>220</v>
      </c>
      <c r="S45">
        <v>45</v>
      </c>
      <c r="T45"/>
      <c r="U45" s="154">
        <f t="shared" si="0"/>
        <v>-1.0000000000000009E-3</v>
      </c>
      <c r="V45" s="154">
        <f t="shared" si="1"/>
        <v>0</v>
      </c>
      <c r="W45" s="153">
        <f t="shared" si="2"/>
        <v>1.0000000000000009E-3</v>
      </c>
      <c r="X45"/>
      <c r="Y45"/>
      <c r="Z45"/>
      <c r="AA45"/>
      <c r="AB45"/>
      <c r="AC45"/>
      <c r="AD45"/>
      <c r="AE45"/>
    </row>
    <row r="46" spans="2:31" ht="14.25" customHeight="1">
      <c r="B46" s="1">
        <v>43</v>
      </c>
      <c r="C46" s="45"/>
      <c r="D46" s="133">
        <v>0.23200000000000001</v>
      </c>
      <c r="E46" s="134">
        <v>0.49199999999999999</v>
      </c>
      <c r="F46" s="132">
        <v>95</v>
      </c>
      <c r="G46" s="132">
        <v>235</v>
      </c>
      <c r="H46" s="132">
        <v>140</v>
      </c>
      <c r="I46" s="69"/>
      <c r="J46" s="129">
        <v>0.23200000000000001</v>
      </c>
      <c r="K46" s="129">
        <v>0.49299999999999999</v>
      </c>
      <c r="L46" s="129">
        <v>32</v>
      </c>
      <c r="M46" s="129">
        <v>116</v>
      </c>
      <c r="N46" s="129">
        <v>34</v>
      </c>
      <c r="O46" s="151">
        <v>0.23100000000000001</v>
      </c>
      <c r="P46" s="151">
        <v>0.49099999999999999</v>
      </c>
      <c r="Q46">
        <v>53</v>
      </c>
      <c r="R46">
        <v>211</v>
      </c>
      <c r="S46">
        <v>66</v>
      </c>
      <c r="T46"/>
      <c r="U46" s="154">
        <f t="shared" si="0"/>
        <v>1.0000000000000009E-3</v>
      </c>
      <c r="V46" s="154">
        <f t="shared" si="1"/>
        <v>1.0000000000000009E-3</v>
      </c>
      <c r="W46" s="153">
        <f t="shared" si="2"/>
        <v>1.4142135623730963E-3</v>
      </c>
      <c r="X46"/>
      <c r="Y46"/>
      <c r="Z46"/>
      <c r="AA46"/>
      <c r="AB46"/>
      <c r="AC46"/>
      <c r="AD46"/>
      <c r="AE46"/>
    </row>
    <row r="47" spans="2:31" ht="14.25" customHeight="1">
      <c r="B47" s="1">
        <v>44</v>
      </c>
      <c r="C47" s="46"/>
      <c r="D47" s="133">
        <v>0.216</v>
      </c>
      <c r="E47" s="134">
        <v>0.44800000000000001</v>
      </c>
      <c r="F47" s="132">
        <v>85</v>
      </c>
      <c r="G47" s="132">
        <v>230</v>
      </c>
      <c r="H47" s="132">
        <v>160</v>
      </c>
      <c r="I47" s="69"/>
      <c r="J47" s="129">
        <v>0.217</v>
      </c>
      <c r="K47" s="129">
        <v>0.44500000000000001</v>
      </c>
      <c r="L47" s="129">
        <v>30</v>
      </c>
      <c r="M47" s="129">
        <v>115</v>
      </c>
      <c r="N47" s="129">
        <v>50</v>
      </c>
      <c r="O47" s="151">
        <v>0.215</v>
      </c>
      <c r="P47" s="151">
        <v>0.44700000000000001</v>
      </c>
      <c r="Q47">
        <v>48</v>
      </c>
      <c r="R47">
        <v>207</v>
      </c>
      <c r="S47">
        <v>95</v>
      </c>
      <c r="T47"/>
      <c r="U47" s="154">
        <f t="shared" si="0"/>
        <v>1.0000000000000009E-3</v>
      </c>
      <c r="V47" s="154">
        <f t="shared" si="1"/>
        <v>1.0000000000000009E-3</v>
      </c>
      <c r="W47" s="153">
        <f t="shared" si="2"/>
        <v>1.4142135623730963E-3</v>
      </c>
      <c r="X47"/>
      <c r="Y47"/>
      <c r="Z47"/>
      <c r="AA47"/>
      <c r="AB47"/>
      <c r="AC47"/>
      <c r="AD47"/>
      <c r="AE47"/>
    </row>
    <row r="48" spans="2:31" ht="14.25" customHeight="1">
      <c r="B48" s="1">
        <v>45</v>
      </c>
      <c r="C48" s="47"/>
      <c r="D48" s="133">
        <v>0.19600000000000001</v>
      </c>
      <c r="E48" s="134">
        <v>0.40400000000000003</v>
      </c>
      <c r="F48" s="132">
        <v>65</v>
      </c>
      <c r="G48" s="132">
        <v>225</v>
      </c>
      <c r="H48" s="132">
        <v>180</v>
      </c>
      <c r="I48" s="69"/>
      <c r="J48" s="129">
        <v>0.19600000000000001</v>
      </c>
      <c r="K48" s="129">
        <v>0.40300000000000002</v>
      </c>
      <c r="L48" s="129">
        <v>22</v>
      </c>
      <c r="M48" s="129">
        <v>100</v>
      </c>
      <c r="N48" s="129">
        <v>60</v>
      </c>
      <c r="O48" s="151">
        <v>0.19600000000000001</v>
      </c>
      <c r="P48" s="151">
        <v>0.40400000000000003</v>
      </c>
      <c r="Q48">
        <v>36</v>
      </c>
      <c r="R48">
        <v>180</v>
      </c>
      <c r="S48">
        <v>114</v>
      </c>
      <c r="T48"/>
      <c r="U48" s="154">
        <f t="shared" si="0"/>
        <v>0</v>
      </c>
      <c r="V48" s="154">
        <f t="shared" si="1"/>
        <v>0</v>
      </c>
      <c r="W48" s="153">
        <f t="shared" si="2"/>
        <v>0</v>
      </c>
      <c r="X48"/>
      <c r="Y48"/>
      <c r="Z48"/>
      <c r="AA48"/>
      <c r="AB48"/>
      <c r="AC48"/>
      <c r="AD48"/>
      <c r="AE48"/>
    </row>
    <row r="49" spans="2:31" ht="14.25" customHeight="1">
      <c r="B49" s="1">
        <v>46</v>
      </c>
      <c r="C49" s="48"/>
      <c r="D49" s="133">
        <v>0.184</v>
      </c>
      <c r="E49" s="134">
        <v>0.36</v>
      </c>
      <c r="F49" s="132">
        <v>45</v>
      </c>
      <c r="G49" s="132">
        <v>220</v>
      </c>
      <c r="H49" s="132">
        <v>200</v>
      </c>
      <c r="I49" s="69"/>
      <c r="J49" s="129">
        <v>0.183</v>
      </c>
      <c r="K49" s="129">
        <v>0.36</v>
      </c>
      <c r="L49" s="129">
        <v>22</v>
      </c>
      <c r="M49" s="129">
        <v>113</v>
      </c>
      <c r="N49" s="129">
        <v>90</v>
      </c>
      <c r="O49" s="151">
        <v>0.185</v>
      </c>
      <c r="P49" s="151">
        <v>0.36099999999999999</v>
      </c>
      <c r="Q49">
        <v>34</v>
      </c>
      <c r="R49">
        <v>180</v>
      </c>
      <c r="S49">
        <v>152</v>
      </c>
      <c r="T49"/>
      <c r="U49" s="154">
        <f t="shared" si="0"/>
        <v>-1.0000000000000009E-3</v>
      </c>
      <c r="V49" s="154">
        <f t="shared" si="1"/>
        <v>-1.0000000000000009E-3</v>
      </c>
      <c r="W49" s="153">
        <f t="shared" si="2"/>
        <v>1.4142135623730963E-3</v>
      </c>
      <c r="X49"/>
      <c r="Y49"/>
      <c r="Z49"/>
      <c r="AA49"/>
      <c r="AB49"/>
      <c r="AC49"/>
      <c r="AD49"/>
      <c r="AE49"/>
    </row>
    <row r="50" spans="2:31" ht="14.25" customHeight="1">
      <c r="B50" s="1">
        <v>47</v>
      </c>
      <c r="C50" s="49"/>
      <c r="D50" s="133">
        <v>0.17599999999999999</v>
      </c>
      <c r="E50" s="134">
        <v>0.32800000000000001</v>
      </c>
      <c r="F50" s="132">
        <v>31</v>
      </c>
      <c r="G50" s="132">
        <v>210</v>
      </c>
      <c r="H50" s="132">
        <v>210</v>
      </c>
      <c r="I50" s="69"/>
      <c r="J50" s="129">
        <v>0.17599999999999999</v>
      </c>
      <c r="K50" s="129">
        <v>0.32600000000000001</v>
      </c>
      <c r="L50" s="129">
        <v>20</v>
      </c>
      <c r="M50" s="129">
        <v>105</v>
      </c>
      <c r="N50" s="129">
        <v>104</v>
      </c>
      <c r="O50" s="151">
        <v>0.17499999999999999</v>
      </c>
      <c r="P50" s="151">
        <v>0.32900000000000001</v>
      </c>
      <c r="Q50">
        <v>31</v>
      </c>
      <c r="R50">
        <v>180</v>
      </c>
      <c r="S50">
        <v>187</v>
      </c>
      <c r="T50"/>
      <c r="U50" s="154">
        <f t="shared" si="0"/>
        <v>1.0000000000000009E-3</v>
      </c>
      <c r="V50" s="154">
        <f t="shared" si="1"/>
        <v>-1.0000000000000009E-3</v>
      </c>
      <c r="W50" s="153">
        <f t="shared" si="2"/>
        <v>1.4142135623730963E-3</v>
      </c>
      <c r="X50"/>
      <c r="Y50"/>
      <c r="Z50"/>
      <c r="AA50"/>
      <c r="AB50"/>
      <c r="AC50"/>
      <c r="AD50"/>
      <c r="AE50"/>
    </row>
    <row r="51" spans="2:31" ht="14.25" customHeight="1">
      <c r="B51" s="1">
        <v>48</v>
      </c>
      <c r="C51" s="50"/>
      <c r="D51" s="133">
        <v>0.17200000000000001</v>
      </c>
      <c r="E51" s="134">
        <v>0.29599999999999999</v>
      </c>
      <c r="F51" s="132">
        <v>15</v>
      </c>
      <c r="G51" s="132">
        <v>200</v>
      </c>
      <c r="H51" s="132">
        <v>220</v>
      </c>
      <c r="I51" s="69"/>
      <c r="J51" s="129">
        <v>0.17199999999999999</v>
      </c>
      <c r="K51" s="129">
        <v>0.29899999999999999</v>
      </c>
      <c r="L51" s="129">
        <v>18</v>
      </c>
      <c r="M51" s="129">
        <v>95</v>
      </c>
      <c r="N51" s="129">
        <v>113</v>
      </c>
      <c r="O51" s="151">
        <v>0.17199999999999999</v>
      </c>
      <c r="P51" s="151">
        <v>0.29599999999999999</v>
      </c>
      <c r="Q51">
        <v>29</v>
      </c>
      <c r="R51">
        <v>161</v>
      </c>
      <c r="S51">
        <v>208</v>
      </c>
      <c r="T51"/>
      <c r="U51" s="154">
        <f t="shared" si="0"/>
        <v>0</v>
      </c>
      <c r="V51" s="154">
        <f t="shared" si="1"/>
        <v>0</v>
      </c>
      <c r="W51" s="153">
        <f t="shared" si="2"/>
        <v>0</v>
      </c>
      <c r="X51"/>
      <c r="Y51"/>
      <c r="Z51"/>
      <c r="AA51"/>
      <c r="AB51"/>
      <c r="AC51"/>
      <c r="AD51"/>
      <c r="AE51"/>
    </row>
    <row r="52" spans="2:31" ht="14.25" customHeight="1">
      <c r="B52" s="1">
        <v>49</v>
      </c>
      <c r="C52" s="51"/>
      <c r="D52" s="133">
        <v>0.16800000000000001</v>
      </c>
      <c r="E52" s="134">
        <v>0.26400000000000001</v>
      </c>
      <c r="F52" s="132">
        <v>5</v>
      </c>
      <c r="G52" s="132">
        <v>190</v>
      </c>
      <c r="H52" s="132">
        <v>230</v>
      </c>
      <c r="I52" s="69"/>
      <c r="J52" s="129">
        <v>0.17</v>
      </c>
      <c r="K52" s="129">
        <v>0.26400000000000001</v>
      </c>
      <c r="L52" s="129">
        <v>17</v>
      </c>
      <c r="M52" s="129">
        <v>82</v>
      </c>
      <c r="N52" s="129">
        <v>124</v>
      </c>
      <c r="O52" s="151">
        <v>0.16900000000000001</v>
      </c>
      <c r="P52" s="151">
        <v>0.26400000000000001</v>
      </c>
      <c r="Q52">
        <v>29</v>
      </c>
      <c r="R52">
        <v>147</v>
      </c>
      <c r="S52">
        <v>238</v>
      </c>
      <c r="T52"/>
      <c r="U52" s="154">
        <f t="shared" si="0"/>
        <v>-1.0000000000000009E-3</v>
      </c>
      <c r="V52" s="154">
        <f t="shared" si="1"/>
        <v>0</v>
      </c>
      <c r="W52" s="153">
        <f t="shared" si="2"/>
        <v>1.0000000000000009E-3</v>
      </c>
      <c r="X52"/>
      <c r="Y52"/>
      <c r="Z52"/>
      <c r="AA52"/>
      <c r="AB52"/>
      <c r="AC52"/>
      <c r="AD52"/>
      <c r="AE52"/>
    </row>
    <row r="53" spans="2:31" ht="14.25" customHeight="1">
      <c r="B53" s="1">
        <v>50</v>
      </c>
      <c r="C53" s="52"/>
      <c r="D53" s="133">
        <v>0.16800000000000001</v>
      </c>
      <c r="E53" s="134">
        <v>0.23600000000000002</v>
      </c>
      <c r="F53" s="132">
        <v>0</v>
      </c>
      <c r="G53" s="132">
        <v>180</v>
      </c>
      <c r="H53" s="132">
        <v>240</v>
      </c>
      <c r="I53" s="69"/>
      <c r="J53" s="129">
        <v>0.16700000000000001</v>
      </c>
      <c r="K53" s="129">
        <v>0.23699999999999999</v>
      </c>
      <c r="L53" s="129">
        <v>16</v>
      </c>
      <c r="M53" s="129">
        <v>75</v>
      </c>
      <c r="N53" s="129">
        <v>138</v>
      </c>
      <c r="O53" s="151">
        <v>0.16800000000000001</v>
      </c>
      <c r="P53" s="151">
        <v>0.23699999999999999</v>
      </c>
      <c r="Q53">
        <v>28</v>
      </c>
      <c r="R53">
        <v>125</v>
      </c>
      <c r="S53">
        <v>249</v>
      </c>
      <c r="T53"/>
      <c r="U53" s="154">
        <f t="shared" si="0"/>
        <v>0</v>
      </c>
      <c r="V53" s="154">
        <f t="shared" si="1"/>
        <v>-9.9999999999997313E-4</v>
      </c>
      <c r="W53" s="153">
        <f t="shared" si="2"/>
        <v>9.9999999999997313E-4</v>
      </c>
      <c r="X53"/>
      <c r="Y53"/>
      <c r="Z53"/>
      <c r="AA53"/>
      <c r="AB53"/>
      <c r="AC53"/>
      <c r="AD53"/>
      <c r="AE53"/>
    </row>
    <row r="54" spans="2:31" ht="14.25" customHeight="1">
      <c r="B54" s="1">
        <v>51</v>
      </c>
      <c r="C54" s="53"/>
      <c r="D54" s="133">
        <v>0.16400000000000001</v>
      </c>
      <c r="E54" s="134">
        <v>0.20400000000000001</v>
      </c>
      <c r="F54" s="132">
        <v>0</v>
      </c>
      <c r="G54" s="132">
        <v>165</v>
      </c>
      <c r="H54" s="132">
        <v>250</v>
      </c>
      <c r="I54" s="69"/>
      <c r="J54" s="129">
        <v>0.16300000000000001</v>
      </c>
      <c r="K54" s="129">
        <v>0.20599999999999999</v>
      </c>
      <c r="L54" s="129">
        <v>13</v>
      </c>
      <c r="M54" s="129">
        <v>58</v>
      </c>
      <c r="N54" s="129">
        <v>138</v>
      </c>
      <c r="O54" s="151">
        <v>0.16400000000000001</v>
      </c>
      <c r="P54" s="151">
        <v>0.20499999999999999</v>
      </c>
      <c r="Q54">
        <v>23</v>
      </c>
      <c r="R54">
        <v>95</v>
      </c>
      <c r="S54">
        <v>248</v>
      </c>
      <c r="T54"/>
      <c r="U54" s="154">
        <f t="shared" si="0"/>
        <v>0</v>
      </c>
      <c r="V54" s="154">
        <f t="shared" si="1"/>
        <v>-9.9999999999997313E-4</v>
      </c>
      <c r="W54" s="153">
        <f t="shared" si="2"/>
        <v>9.9999999999997313E-4</v>
      </c>
      <c r="X54"/>
      <c r="Y54"/>
      <c r="Z54"/>
      <c r="AA54"/>
      <c r="AB54"/>
      <c r="AC54"/>
      <c r="AD54"/>
      <c r="AE54"/>
    </row>
    <row r="55" spans="2:31" ht="14.25" customHeight="1">
      <c r="B55" s="1">
        <v>52</v>
      </c>
      <c r="C55" s="54"/>
      <c r="D55" s="133">
        <v>0.16</v>
      </c>
      <c r="E55" s="134">
        <v>0.17599999999999999</v>
      </c>
      <c r="F55" s="132">
        <v>0</v>
      </c>
      <c r="G55" s="132">
        <v>150</v>
      </c>
      <c r="H55" s="132">
        <v>255</v>
      </c>
      <c r="I55" s="69"/>
      <c r="J55" s="129">
        <v>0.159</v>
      </c>
      <c r="K55" s="129">
        <v>0.17599999999999999</v>
      </c>
      <c r="L55" s="129">
        <v>12</v>
      </c>
      <c r="M55" s="129">
        <v>50</v>
      </c>
      <c r="N55" s="129">
        <v>156</v>
      </c>
      <c r="O55" s="151">
        <v>0.159</v>
      </c>
      <c r="P55" s="151">
        <v>0.17699999999999999</v>
      </c>
      <c r="Q55">
        <v>19</v>
      </c>
      <c r="R55">
        <v>74</v>
      </c>
      <c r="S55">
        <v>250</v>
      </c>
      <c r="T55"/>
      <c r="U55" s="154">
        <f t="shared" si="0"/>
        <v>1.0000000000000009E-3</v>
      </c>
      <c r="V55" s="154">
        <f t="shared" si="1"/>
        <v>-1.0000000000000009E-3</v>
      </c>
      <c r="W55" s="153">
        <f t="shared" si="2"/>
        <v>1.4142135623730963E-3</v>
      </c>
      <c r="X55"/>
      <c r="Y55"/>
      <c r="Z55"/>
      <c r="AA55"/>
      <c r="AB55"/>
      <c r="AC55"/>
      <c r="AD55"/>
      <c r="AE55"/>
    </row>
    <row r="56" spans="2:31" ht="14.25" customHeight="1">
      <c r="B56" s="1">
        <v>53</v>
      </c>
      <c r="C56" s="55"/>
      <c r="D56" s="133">
        <v>0.16</v>
      </c>
      <c r="E56" s="134">
        <v>0.14799999999999999</v>
      </c>
      <c r="F56" s="132">
        <v>0</v>
      </c>
      <c r="G56" s="132">
        <v>130</v>
      </c>
      <c r="H56" s="132">
        <v>255</v>
      </c>
      <c r="I56" s="69"/>
      <c r="J56" s="129">
        <v>0.158</v>
      </c>
      <c r="K56" s="129">
        <v>0.14799999999999999</v>
      </c>
      <c r="L56" s="129">
        <v>12</v>
      </c>
      <c r="M56" s="129">
        <v>41</v>
      </c>
      <c r="N56" s="129">
        <v>176</v>
      </c>
      <c r="O56" s="151">
        <v>0.16</v>
      </c>
      <c r="P56" s="151">
        <v>0.14799999999999999</v>
      </c>
      <c r="Q56">
        <v>19</v>
      </c>
      <c r="R56">
        <v>53</v>
      </c>
      <c r="S56">
        <v>253</v>
      </c>
      <c r="T56"/>
      <c r="U56" s="154">
        <f t="shared" si="0"/>
        <v>0</v>
      </c>
      <c r="V56" s="154">
        <f t="shared" si="1"/>
        <v>0</v>
      </c>
      <c r="W56" s="153">
        <f t="shared" si="2"/>
        <v>0</v>
      </c>
      <c r="X56"/>
      <c r="Y56"/>
      <c r="Z56"/>
      <c r="AA56"/>
      <c r="AB56"/>
      <c r="AC56"/>
      <c r="AD56"/>
      <c r="AE56"/>
    </row>
    <row r="57" spans="2:31" ht="14.25" customHeight="1">
      <c r="B57" s="1">
        <v>54</v>
      </c>
      <c r="C57" s="56"/>
      <c r="D57" s="133">
        <v>0.156</v>
      </c>
      <c r="E57" s="134">
        <v>0.124</v>
      </c>
      <c r="F57" s="132">
        <v>0</v>
      </c>
      <c r="G57" s="132">
        <v>110</v>
      </c>
      <c r="H57" s="132">
        <v>255</v>
      </c>
      <c r="I57" s="69"/>
      <c r="J57" s="129">
        <v>0.156</v>
      </c>
      <c r="K57" s="129">
        <v>0.124</v>
      </c>
      <c r="L57" s="129">
        <v>11</v>
      </c>
      <c r="M57" s="129">
        <v>31</v>
      </c>
      <c r="N57" s="129">
        <v>186</v>
      </c>
      <c r="O57" s="151">
        <v>0.156</v>
      </c>
      <c r="P57" s="151">
        <v>0.125</v>
      </c>
      <c r="Q57">
        <v>16</v>
      </c>
      <c r="R57">
        <v>38</v>
      </c>
      <c r="S57">
        <v>255</v>
      </c>
      <c r="T57"/>
      <c r="U57" s="154">
        <f t="shared" si="0"/>
        <v>0</v>
      </c>
      <c r="V57" s="154">
        <f t="shared" si="1"/>
        <v>-1.0000000000000009E-3</v>
      </c>
      <c r="W57" s="153">
        <f t="shared" si="2"/>
        <v>1.0000000000000009E-3</v>
      </c>
      <c r="X57"/>
      <c r="Y57"/>
      <c r="Z57"/>
      <c r="AA57"/>
      <c r="AB57"/>
      <c r="AC57"/>
      <c r="AD57"/>
      <c r="AE57"/>
    </row>
    <row r="58" spans="2:31" ht="14.25" customHeight="1">
      <c r="B58" s="1">
        <v>55</v>
      </c>
      <c r="C58" s="57"/>
      <c r="D58" s="133">
        <v>0.152</v>
      </c>
      <c r="E58" s="134">
        <v>0.10400000000000001</v>
      </c>
      <c r="F58" s="132">
        <v>0</v>
      </c>
      <c r="G58" s="132">
        <v>90</v>
      </c>
      <c r="H58" s="132">
        <v>255</v>
      </c>
      <c r="I58" s="69"/>
      <c r="J58" s="129">
        <v>0.154</v>
      </c>
      <c r="K58" s="129">
        <v>0.105</v>
      </c>
      <c r="L58" s="129">
        <v>10</v>
      </c>
      <c r="M58" s="129">
        <v>23</v>
      </c>
      <c r="N58" s="129">
        <v>199</v>
      </c>
      <c r="O58" s="151">
        <v>0.152</v>
      </c>
      <c r="P58" s="151">
        <v>0.104</v>
      </c>
      <c r="Q58">
        <v>13</v>
      </c>
      <c r="R58">
        <v>26</v>
      </c>
      <c r="S58">
        <v>255</v>
      </c>
      <c r="T58"/>
      <c r="U58" s="154">
        <f t="shared" si="0"/>
        <v>0</v>
      </c>
      <c r="V58" s="154">
        <f t="shared" si="1"/>
        <v>0</v>
      </c>
      <c r="W58" s="153">
        <f t="shared" si="2"/>
        <v>0</v>
      </c>
      <c r="X58"/>
      <c r="Y58"/>
      <c r="Z58"/>
      <c r="AA58"/>
      <c r="AB58"/>
      <c r="AC58"/>
      <c r="AD58"/>
      <c r="AE58"/>
    </row>
    <row r="59" spans="2:31" ht="14.25" customHeight="1">
      <c r="B59" s="1">
        <v>56</v>
      </c>
      <c r="C59" s="58"/>
      <c r="D59" s="133">
        <v>0.152</v>
      </c>
      <c r="E59" s="134">
        <v>8.4000000000000005E-2</v>
      </c>
      <c r="F59" s="132">
        <v>0</v>
      </c>
      <c r="G59" s="132">
        <v>70</v>
      </c>
      <c r="H59" s="132">
        <v>255</v>
      </c>
      <c r="I59" s="69"/>
      <c r="J59" s="129">
        <v>0.152</v>
      </c>
      <c r="K59" s="129">
        <v>8.4000000000000005E-2</v>
      </c>
      <c r="L59" s="129">
        <v>9</v>
      </c>
      <c r="M59" s="129">
        <v>14</v>
      </c>
      <c r="N59" s="129">
        <v>210</v>
      </c>
      <c r="O59" s="151">
        <v>0.153</v>
      </c>
      <c r="P59" s="151">
        <v>8.5000000000000006E-2</v>
      </c>
      <c r="Q59">
        <v>13</v>
      </c>
      <c r="R59">
        <v>14</v>
      </c>
      <c r="S59">
        <v>255</v>
      </c>
      <c r="T59"/>
      <c r="U59" s="154">
        <f t="shared" si="0"/>
        <v>-1.0000000000000009E-3</v>
      </c>
      <c r="V59" s="154">
        <f t="shared" si="1"/>
        <v>-1.0000000000000009E-3</v>
      </c>
      <c r="W59" s="153">
        <f t="shared" si="2"/>
        <v>1.4142135623730963E-3</v>
      </c>
      <c r="X59"/>
      <c r="Y59"/>
      <c r="Z59"/>
      <c r="AA59"/>
      <c r="AB59"/>
      <c r="AC59"/>
      <c r="AD59"/>
      <c r="AE59"/>
    </row>
    <row r="60" spans="2:31" ht="14.25" customHeight="1">
      <c r="B60" s="1">
        <v>57</v>
      </c>
      <c r="C60" s="59"/>
      <c r="D60" s="133">
        <v>0.152</v>
      </c>
      <c r="E60" s="134">
        <v>7.2000000000000008E-2</v>
      </c>
      <c r="F60" s="132">
        <v>11</v>
      </c>
      <c r="G60" s="132">
        <v>50</v>
      </c>
      <c r="H60" s="132">
        <v>250</v>
      </c>
      <c r="I60" s="69"/>
      <c r="J60" s="129">
        <v>0.152</v>
      </c>
      <c r="K60" s="129">
        <v>7.2999999999999995E-2</v>
      </c>
      <c r="L60" s="129">
        <v>7</v>
      </c>
      <c r="M60" s="129">
        <v>7</v>
      </c>
      <c r="N60" s="129">
        <v>169</v>
      </c>
      <c r="O60" s="151">
        <v>0.153</v>
      </c>
      <c r="P60" s="151">
        <v>7.2999999999999995E-2</v>
      </c>
      <c r="Q60">
        <v>13</v>
      </c>
      <c r="R60">
        <v>7</v>
      </c>
      <c r="S60">
        <v>255</v>
      </c>
      <c r="T60"/>
      <c r="U60" s="154">
        <f t="shared" si="0"/>
        <v>-1.0000000000000009E-3</v>
      </c>
      <c r="V60" s="154">
        <f t="shared" si="1"/>
        <v>-9.9999999999998701E-4</v>
      </c>
      <c r="W60" s="153">
        <f t="shared" si="2"/>
        <v>1.4142135623730866E-3</v>
      </c>
      <c r="X60"/>
      <c r="Y60"/>
      <c r="Z60"/>
      <c r="AA60"/>
      <c r="AB60"/>
      <c r="AC60"/>
      <c r="AD60"/>
      <c r="AE60"/>
    </row>
    <row r="61" spans="2:31" ht="14.25" customHeight="1">
      <c r="B61" s="1">
        <v>58</v>
      </c>
      <c r="C61" s="60"/>
      <c r="D61" s="133">
        <v>0.152</v>
      </c>
      <c r="E61" s="134">
        <v>6.8000000000000005E-2</v>
      </c>
      <c r="F61" s="132">
        <v>25</v>
      </c>
      <c r="G61" s="132">
        <v>40</v>
      </c>
      <c r="H61" s="132">
        <v>240</v>
      </c>
      <c r="I61" s="69"/>
      <c r="J61" s="129">
        <v>0.152</v>
      </c>
      <c r="K61" s="129">
        <v>6.8000000000000005E-2</v>
      </c>
      <c r="L61" s="129">
        <v>7</v>
      </c>
      <c r="M61" s="129">
        <v>5</v>
      </c>
      <c r="N61" s="129">
        <v>169</v>
      </c>
      <c r="O61" s="151">
        <v>0.151</v>
      </c>
      <c r="P61" s="151">
        <v>6.7000000000000004E-2</v>
      </c>
      <c r="Q61">
        <v>11</v>
      </c>
      <c r="R61">
        <v>4</v>
      </c>
      <c r="S61">
        <v>237</v>
      </c>
      <c r="T61"/>
      <c r="U61" s="154">
        <f t="shared" si="0"/>
        <v>1.0000000000000009E-3</v>
      </c>
      <c r="V61" s="154">
        <f t="shared" si="1"/>
        <v>1.0000000000000009E-3</v>
      </c>
      <c r="W61" s="153">
        <f t="shared" si="2"/>
        <v>1.4142135623730963E-3</v>
      </c>
      <c r="X61"/>
      <c r="Y61"/>
      <c r="Z61"/>
      <c r="AA61"/>
      <c r="AB61"/>
      <c r="AC61"/>
      <c r="AD61"/>
      <c r="AE61"/>
    </row>
    <row r="62" spans="2:31" ht="14.25" customHeight="1">
      <c r="B62" s="1">
        <v>59</v>
      </c>
      <c r="C62" s="61"/>
      <c r="D62" s="133">
        <v>0.156</v>
      </c>
      <c r="E62" s="134">
        <v>6.8000000000000005E-2</v>
      </c>
      <c r="F62" s="132">
        <v>35</v>
      </c>
      <c r="G62" s="132">
        <v>30</v>
      </c>
      <c r="H62" s="132">
        <v>235</v>
      </c>
      <c r="I62" s="69"/>
      <c r="J62" s="129">
        <v>0.156</v>
      </c>
      <c r="K62" s="129">
        <v>6.8000000000000005E-2</v>
      </c>
      <c r="L62" s="129">
        <v>9</v>
      </c>
      <c r="M62" s="129">
        <v>5</v>
      </c>
      <c r="N62" s="129">
        <v>185</v>
      </c>
      <c r="O62" s="151">
        <v>0.157</v>
      </c>
      <c r="P62" s="151">
        <v>6.8000000000000005E-2</v>
      </c>
      <c r="Q62">
        <v>13</v>
      </c>
      <c r="R62">
        <v>3</v>
      </c>
      <c r="S62">
        <v>222</v>
      </c>
      <c r="T62"/>
      <c r="U62" s="154">
        <f t="shared" si="0"/>
        <v>-1.0000000000000009E-3</v>
      </c>
      <c r="V62" s="154">
        <f t="shared" si="1"/>
        <v>0</v>
      </c>
      <c r="W62" s="153">
        <f t="shared" si="2"/>
        <v>1.0000000000000009E-3</v>
      </c>
      <c r="X62"/>
      <c r="Y62"/>
      <c r="Z62"/>
      <c r="AA62"/>
      <c r="AB62"/>
      <c r="AC62"/>
      <c r="AD62"/>
      <c r="AE62"/>
    </row>
    <row r="63" spans="2:31" ht="14.25" customHeight="1">
      <c r="B63" s="1">
        <v>60</v>
      </c>
      <c r="C63" s="62"/>
      <c r="D63" s="133">
        <v>0.16</v>
      </c>
      <c r="E63" s="134">
        <v>6.8000000000000005E-2</v>
      </c>
      <c r="F63" s="132">
        <v>45</v>
      </c>
      <c r="G63" s="132">
        <v>20</v>
      </c>
      <c r="H63" s="132">
        <v>225</v>
      </c>
      <c r="I63" s="69"/>
      <c r="J63" s="129">
        <v>0.16</v>
      </c>
      <c r="K63" s="129">
        <v>6.9000000000000006E-2</v>
      </c>
      <c r="L63" s="129">
        <v>10</v>
      </c>
      <c r="M63" s="129">
        <v>4</v>
      </c>
      <c r="N63" s="129">
        <v>169</v>
      </c>
      <c r="O63" s="151">
        <v>0.16</v>
      </c>
      <c r="P63" s="151">
        <v>6.7000000000000004E-2</v>
      </c>
      <c r="Q63">
        <v>13</v>
      </c>
      <c r="R63">
        <v>2</v>
      </c>
      <c r="S63">
        <v>203</v>
      </c>
      <c r="T63"/>
      <c r="U63" s="154">
        <f t="shared" si="0"/>
        <v>0</v>
      </c>
      <c r="V63" s="154">
        <f t="shared" si="1"/>
        <v>1.0000000000000009E-3</v>
      </c>
      <c r="W63" s="153">
        <f t="shared" si="2"/>
        <v>1.0000000000000009E-3</v>
      </c>
      <c r="X63"/>
      <c r="Y63"/>
      <c r="Z63"/>
      <c r="AA63"/>
      <c r="AB63"/>
      <c r="AC63"/>
      <c r="AD63"/>
      <c r="AE63"/>
    </row>
    <row r="64" spans="2:31" ht="14.25" customHeight="1">
      <c r="B64" s="1">
        <v>61</v>
      </c>
      <c r="C64" s="63"/>
      <c r="D64" s="133">
        <v>0.16400000000000001</v>
      </c>
      <c r="E64" s="134">
        <v>6.8000000000000005E-2</v>
      </c>
      <c r="F64" s="132">
        <v>51</v>
      </c>
      <c r="G64" s="132">
        <v>10</v>
      </c>
      <c r="H64" s="132">
        <v>215</v>
      </c>
      <c r="I64" s="69"/>
      <c r="J64" s="129">
        <v>0.16500000000000001</v>
      </c>
      <c r="K64" s="129">
        <v>6.9000000000000006E-2</v>
      </c>
      <c r="L64" s="129">
        <v>11</v>
      </c>
      <c r="M64" s="129">
        <v>3</v>
      </c>
      <c r="N64" s="129">
        <v>157</v>
      </c>
      <c r="O64" s="151">
        <v>0.16500000000000001</v>
      </c>
      <c r="P64" s="151">
        <v>6.9000000000000006E-2</v>
      </c>
      <c r="Q64">
        <v>14</v>
      </c>
      <c r="R64">
        <v>2</v>
      </c>
      <c r="S64">
        <v>188</v>
      </c>
      <c r="T64"/>
      <c r="U64" s="154">
        <f t="shared" si="0"/>
        <v>-1.0000000000000009E-3</v>
      </c>
      <c r="V64" s="154">
        <f t="shared" si="1"/>
        <v>-1.0000000000000009E-3</v>
      </c>
      <c r="W64" s="153">
        <f t="shared" si="2"/>
        <v>1.4142135623730963E-3</v>
      </c>
      <c r="X64"/>
      <c r="Y64"/>
      <c r="Z64"/>
      <c r="AA64"/>
      <c r="AB64"/>
      <c r="AC64"/>
      <c r="AD64"/>
      <c r="AE64"/>
    </row>
    <row r="65" spans="2:31" ht="14.25" customHeight="1">
      <c r="B65" s="1">
        <v>62</v>
      </c>
      <c r="C65" s="64"/>
      <c r="D65" s="133">
        <v>0.16800000000000001</v>
      </c>
      <c r="E65" s="134">
        <v>7.2000000000000008E-2</v>
      </c>
      <c r="F65" s="132">
        <v>55</v>
      </c>
      <c r="G65" s="132">
        <v>5</v>
      </c>
      <c r="H65" s="132">
        <v>205</v>
      </c>
      <c r="I65" s="69"/>
      <c r="J65" s="129">
        <v>0.16700000000000001</v>
      </c>
      <c r="K65" s="129">
        <v>7.0999999999999994E-2</v>
      </c>
      <c r="L65" s="129">
        <v>11</v>
      </c>
      <c r="M65" s="129">
        <v>3</v>
      </c>
      <c r="N65" s="129">
        <v>144</v>
      </c>
      <c r="O65" s="151">
        <v>0.16900000000000001</v>
      </c>
      <c r="P65" s="151">
        <v>7.1999999999999995E-2</v>
      </c>
      <c r="Q65">
        <v>15</v>
      </c>
      <c r="R65">
        <v>2</v>
      </c>
      <c r="S65">
        <v>176</v>
      </c>
      <c r="T65"/>
      <c r="U65" s="154">
        <f t="shared" si="0"/>
        <v>-1.0000000000000009E-3</v>
      </c>
      <c r="V65" s="154">
        <f t="shared" si="1"/>
        <v>0</v>
      </c>
      <c r="W65" s="153">
        <f t="shared" si="2"/>
        <v>1.0000000000000009E-3</v>
      </c>
      <c r="X65"/>
      <c r="Y65"/>
      <c r="Z65"/>
      <c r="AA65"/>
      <c r="AB65"/>
      <c r="AC65"/>
      <c r="AD65"/>
      <c r="AE65"/>
    </row>
    <row r="66" spans="2:31" ht="14.25" customHeight="1">
      <c r="B66" s="1">
        <v>63</v>
      </c>
      <c r="C66" s="65"/>
      <c r="D66" s="133">
        <v>0.17599999999999999</v>
      </c>
      <c r="E66" s="134">
        <v>7.2000000000000008E-2</v>
      </c>
      <c r="F66" s="132">
        <v>60</v>
      </c>
      <c r="G66" s="132">
        <v>3</v>
      </c>
      <c r="H66" s="132">
        <v>195</v>
      </c>
      <c r="I66" s="69"/>
      <c r="J66" s="129">
        <v>0.17499999999999999</v>
      </c>
      <c r="K66" s="129">
        <v>7.0999999999999994E-2</v>
      </c>
      <c r="L66" s="129">
        <v>13</v>
      </c>
      <c r="M66" s="129">
        <v>2</v>
      </c>
      <c r="N66" s="129">
        <v>136</v>
      </c>
      <c r="O66" s="151">
        <v>0.17499999999999999</v>
      </c>
      <c r="P66">
        <v>7.1999999999999995E-2</v>
      </c>
      <c r="Q66">
        <v>16</v>
      </c>
      <c r="R66">
        <v>1</v>
      </c>
      <c r="S66">
        <v>163</v>
      </c>
      <c r="T66"/>
      <c r="U66" s="154">
        <f t="shared" si="0"/>
        <v>1.0000000000000009E-3</v>
      </c>
      <c r="V66" s="154">
        <f t="shared" si="1"/>
        <v>0</v>
      </c>
      <c r="W66" s="153">
        <f t="shared" si="2"/>
        <v>1.0000000000000009E-3</v>
      </c>
      <c r="X66"/>
      <c r="Y66"/>
      <c r="Z66"/>
      <c r="AA66"/>
      <c r="AB66"/>
      <c r="AC66"/>
      <c r="AD66"/>
      <c r="AE66"/>
    </row>
    <row r="67" spans="2:31" ht="14.25" customHeight="1">
      <c r="B67" s="1">
        <v>64</v>
      </c>
      <c r="C67" s="66"/>
      <c r="D67" s="133">
        <v>0.18</v>
      </c>
      <c r="E67" s="134">
        <v>7.5999999999999998E-2</v>
      </c>
      <c r="F67" s="132">
        <v>65</v>
      </c>
      <c r="G67" s="132">
        <v>2</v>
      </c>
      <c r="H67" s="132">
        <v>190</v>
      </c>
      <c r="I67" s="69"/>
      <c r="J67" s="129">
        <v>0.18</v>
      </c>
      <c r="K67" s="129">
        <v>7.6999999999999999E-2</v>
      </c>
      <c r="L67" s="129">
        <v>14</v>
      </c>
      <c r="M67" s="129">
        <v>3</v>
      </c>
      <c r="N67" s="129">
        <v>129</v>
      </c>
      <c r="O67" s="151">
        <v>0.18099999999999999</v>
      </c>
      <c r="P67" s="151">
        <v>7.4999999999999997E-2</v>
      </c>
      <c r="Q67">
        <v>17</v>
      </c>
      <c r="R67">
        <v>1</v>
      </c>
      <c r="S67">
        <v>152</v>
      </c>
      <c r="T67"/>
      <c r="U67" s="154">
        <f t="shared" si="0"/>
        <v>-1.0000000000000009E-3</v>
      </c>
      <c r="V67" s="154">
        <f t="shared" si="1"/>
        <v>1.0000000000000009E-3</v>
      </c>
      <c r="W67" s="153">
        <f t="shared" si="2"/>
        <v>1.4142135623730963E-3</v>
      </c>
      <c r="X67"/>
      <c r="Y67"/>
      <c r="Z67"/>
      <c r="AA67"/>
      <c r="AB67"/>
      <c r="AC67"/>
      <c r="AD67"/>
      <c r="AE67"/>
    </row>
    <row r="68" spans="2:31" ht="14.25" customHeight="1">
      <c r="W68" s="147">
        <f>AVERAGE(W4:W67)</f>
        <v>2.2710355594405831E-3</v>
      </c>
    </row>
  </sheetData>
  <mergeCells count="8">
    <mergeCell ref="O2:P2"/>
    <mergeCell ref="Q2:S2"/>
    <mergeCell ref="L2:N2"/>
    <mergeCell ref="B2:B3"/>
    <mergeCell ref="C2:C3"/>
    <mergeCell ref="D2:E2"/>
    <mergeCell ref="F2:H2"/>
    <mergeCell ref="J2:K2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58902-58FB-4EF0-809D-6A3E53B1BF3C}">
  <dimension ref="B3:AK21"/>
  <sheetViews>
    <sheetView workbookViewId="0">
      <selection activeCell="M36" sqref="M36"/>
    </sheetView>
  </sheetViews>
  <sheetFormatPr defaultRowHeight="16.899999999999999"/>
  <cols>
    <col min="1" max="1" width="2.6875" customWidth="1"/>
    <col min="2" max="2" width="6.5" customWidth="1"/>
    <col min="11" max="11" width="6.5" customWidth="1"/>
    <col min="20" max="20" width="6.5" customWidth="1"/>
    <col min="29" max="29" width="6.5" customWidth="1"/>
  </cols>
  <sheetData>
    <row r="3" spans="2:37">
      <c r="B3" s="287" t="s">
        <v>15</v>
      </c>
      <c r="C3" s="282" t="s">
        <v>6</v>
      </c>
      <c r="D3" s="282" t="s">
        <v>5</v>
      </c>
      <c r="E3" s="282"/>
      <c r="F3" s="282" t="s">
        <v>36</v>
      </c>
      <c r="G3" s="289"/>
      <c r="H3" s="290" t="s">
        <v>34</v>
      </c>
      <c r="I3" s="290"/>
      <c r="J3" s="290"/>
      <c r="K3" s="287" t="s">
        <v>15</v>
      </c>
      <c r="L3" s="282" t="s">
        <v>6</v>
      </c>
      <c r="M3" s="282" t="s">
        <v>5</v>
      </c>
      <c r="N3" s="282"/>
      <c r="O3" s="282" t="s">
        <v>36</v>
      </c>
      <c r="P3" s="289"/>
      <c r="Q3" s="290" t="s">
        <v>34</v>
      </c>
      <c r="R3" s="290"/>
      <c r="S3" s="290"/>
      <c r="T3" s="287" t="s">
        <v>15</v>
      </c>
      <c r="U3" s="282" t="s">
        <v>6</v>
      </c>
      <c r="V3" s="282" t="s">
        <v>5</v>
      </c>
      <c r="W3" s="282"/>
      <c r="X3" s="282" t="s">
        <v>36</v>
      </c>
      <c r="Y3" s="289"/>
      <c r="Z3" s="290" t="s">
        <v>34</v>
      </c>
      <c r="AA3" s="290"/>
      <c r="AB3" s="290"/>
      <c r="AC3" s="287" t="s">
        <v>15</v>
      </c>
      <c r="AD3" s="282" t="s">
        <v>6</v>
      </c>
      <c r="AE3" s="282" t="s">
        <v>5</v>
      </c>
      <c r="AF3" s="282"/>
      <c r="AG3" s="282" t="s">
        <v>36</v>
      </c>
      <c r="AH3" s="289"/>
      <c r="AI3" s="290" t="s">
        <v>34</v>
      </c>
      <c r="AJ3" s="290"/>
      <c r="AK3" s="290"/>
    </row>
    <row r="4" spans="2:37">
      <c r="B4" s="288"/>
      <c r="C4" s="282"/>
      <c r="D4" s="161" t="s">
        <v>0</v>
      </c>
      <c r="E4" s="161" t="s">
        <v>1</v>
      </c>
      <c r="F4" s="161" t="s">
        <v>0</v>
      </c>
      <c r="G4" s="162" t="s">
        <v>1</v>
      </c>
      <c r="H4" s="163" t="s">
        <v>31</v>
      </c>
      <c r="I4" s="163" t="s">
        <v>32</v>
      </c>
      <c r="J4" s="163" t="s">
        <v>33</v>
      </c>
      <c r="K4" s="288"/>
      <c r="L4" s="282"/>
      <c r="M4" s="161" t="s">
        <v>0</v>
      </c>
      <c r="N4" s="161" t="s">
        <v>1</v>
      </c>
      <c r="O4" s="161" t="s">
        <v>0</v>
      </c>
      <c r="P4" s="162" t="s">
        <v>1</v>
      </c>
      <c r="Q4" s="163" t="s">
        <v>31</v>
      </c>
      <c r="R4" s="163" t="s">
        <v>32</v>
      </c>
      <c r="S4" s="163" t="s">
        <v>33</v>
      </c>
      <c r="T4" s="288"/>
      <c r="U4" s="282"/>
      <c r="V4" s="161" t="s">
        <v>0</v>
      </c>
      <c r="W4" s="161" t="s">
        <v>1</v>
      </c>
      <c r="X4" s="161" t="s">
        <v>0</v>
      </c>
      <c r="Y4" s="162" t="s">
        <v>1</v>
      </c>
      <c r="Z4" s="163" t="s">
        <v>31</v>
      </c>
      <c r="AA4" s="163" t="s">
        <v>32</v>
      </c>
      <c r="AB4" s="163" t="s">
        <v>33</v>
      </c>
      <c r="AC4" s="288"/>
      <c r="AD4" s="282"/>
      <c r="AE4" s="161" t="s">
        <v>0</v>
      </c>
      <c r="AF4" s="161" t="s">
        <v>1</v>
      </c>
      <c r="AG4" s="161" t="s">
        <v>0</v>
      </c>
      <c r="AH4" s="162" t="s">
        <v>1</v>
      </c>
      <c r="AI4" s="163" t="s">
        <v>31</v>
      </c>
      <c r="AJ4" s="163" t="s">
        <v>32</v>
      </c>
      <c r="AK4" s="163" t="s">
        <v>33</v>
      </c>
    </row>
    <row r="5" spans="2:37">
      <c r="B5" s="139">
        <v>1</v>
      </c>
      <c r="C5" s="164"/>
      <c r="D5" s="230">
        <v>0.188</v>
      </c>
      <c r="E5" s="230">
        <v>7.2000000000000008E-2</v>
      </c>
      <c r="F5" s="159">
        <v>0.188</v>
      </c>
      <c r="G5" s="159">
        <v>7.3999999999999996E-2</v>
      </c>
      <c r="H5" s="159">
        <f>D5-F5</f>
        <v>0</v>
      </c>
      <c r="I5" s="159">
        <f>E5-G5</f>
        <v>-1.9999999999999879E-3</v>
      </c>
      <c r="J5" s="160">
        <f>SQRT(H5^2+I5^2)</f>
        <v>1.9999999999999879E-3</v>
      </c>
      <c r="K5" s="139">
        <v>17</v>
      </c>
      <c r="L5" s="180"/>
      <c r="M5" s="230">
        <v>0.64</v>
      </c>
      <c r="N5" s="230">
        <v>0.33600000000000002</v>
      </c>
      <c r="O5" s="159">
        <v>0.63900000000000001</v>
      </c>
      <c r="P5" s="159">
        <v>0.33600000000000002</v>
      </c>
      <c r="Q5" s="159">
        <f t="shared" ref="Q5:Q20" si="0">M5-O5</f>
        <v>1.0000000000000009E-3</v>
      </c>
      <c r="R5" s="159">
        <f t="shared" ref="R5:R20" si="1">N5-P5</f>
        <v>0</v>
      </c>
      <c r="S5" s="160">
        <f t="shared" ref="S5:S20" si="2">SQRT(Q5^2+R5^2)</f>
        <v>1.0000000000000009E-3</v>
      </c>
      <c r="T5" s="139">
        <v>33</v>
      </c>
      <c r="U5" s="196"/>
      <c r="V5" s="230">
        <v>0.42</v>
      </c>
      <c r="W5" s="230">
        <v>0.52400000000000002</v>
      </c>
      <c r="X5" s="231">
        <v>0.41099999999999998</v>
      </c>
      <c r="Y5" s="231">
        <v>0.52500000000000002</v>
      </c>
      <c r="Z5" s="231">
        <f t="shared" ref="Z5:Z20" si="3">V5-X5</f>
        <v>9.000000000000008E-3</v>
      </c>
      <c r="AA5" s="231">
        <f t="shared" ref="AA5:AA20" si="4">W5-Y5</f>
        <v>-1.0000000000000009E-3</v>
      </c>
      <c r="AB5" s="229">
        <f t="shared" ref="AB5:AB20" si="5">SQRT(Z5^2+AA5^2)</f>
        <v>9.0553851381374242E-3</v>
      </c>
      <c r="AC5" s="139">
        <v>49</v>
      </c>
      <c r="AD5" s="212"/>
      <c r="AE5" s="230">
        <v>0.16800000000000001</v>
      </c>
      <c r="AF5" s="230">
        <v>0.26400000000000001</v>
      </c>
      <c r="AG5" s="159">
        <v>0.16900000000000001</v>
      </c>
      <c r="AH5" s="159">
        <v>0.26400000000000001</v>
      </c>
      <c r="AI5" s="159">
        <f t="shared" ref="AI5:AI20" si="6">AE5-AG5</f>
        <v>-1.0000000000000009E-3</v>
      </c>
      <c r="AJ5" s="159">
        <f t="shared" ref="AJ5:AJ20" si="7">AF5-AH5</f>
        <v>0</v>
      </c>
      <c r="AK5" s="160">
        <f t="shared" ref="AK5:AK20" si="8">SQRT(AI5^2+AJ5^2)</f>
        <v>1.0000000000000009E-3</v>
      </c>
    </row>
    <row r="6" spans="2:37">
      <c r="B6" s="139">
        <v>2</v>
      </c>
      <c r="C6" s="165"/>
      <c r="D6" s="230">
        <v>0.20400000000000001</v>
      </c>
      <c r="E6" s="230">
        <v>9.1999999999999998E-2</v>
      </c>
      <c r="F6" s="159">
        <v>0.20300000000000001</v>
      </c>
      <c r="G6" s="159">
        <v>9.2999999999999999E-2</v>
      </c>
      <c r="H6" s="159">
        <f t="shared" ref="H6:H20" si="9">D6-F6</f>
        <v>1.0000000000000009E-3</v>
      </c>
      <c r="I6" s="159">
        <f t="shared" ref="I6:I20" si="10">E6-G6</f>
        <v>-1.0000000000000009E-3</v>
      </c>
      <c r="J6" s="160">
        <f t="shared" ref="J6:J20" si="11">SQRT(H6^2+I6^2)</f>
        <v>1.4142135623730963E-3</v>
      </c>
      <c r="K6" s="139">
        <v>18</v>
      </c>
      <c r="L6" s="181"/>
      <c r="M6" s="230">
        <v>0.63600000000000001</v>
      </c>
      <c r="N6" s="230">
        <v>0.33200000000000002</v>
      </c>
      <c r="O6" s="159">
        <v>0.63600000000000001</v>
      </c>
      <c r="P6" s="159">
        <v>0.33200000000000002</v>
      </c>
      <c r="Q6" s="159">
        <f t="shared" si="0"/>
        <v>0</v>
      </c>
      <c r="R6" s="159">
        <f t="shared" si="1"/>
        <v>0</v>
      </c>
      <c r="S6" s="160">
        <f t="shared" si="2"/>
        <v>0</v>
      </c>
      <c r="T6" s="139">
        <v>34</v>
      </c>
      <c r="U6" s="197"/>
      <c r="V6" s="230">
        <v>0.38800000000000001</v>
      </c>
      <c r="W6" s="230">
        <v>0.55200000000000005</v>
      </c>
      <c r="X6" s="231">
        <v>0.376</v>
      </c>
      <c r="Y6" s="231">
        <v>0.55200000000000005</v>
      </c>
      <c r="Z6" s="231">
        <f t="shared" si="3"/>
        <v>1.2000000000000011E-2</v>
      </c>
      <c r="AA6" s="231">
        <f t="shared" si="4"/>
        <v>0</v>
      </c>
      <c r="AB6" s="229">
        <f t="shared" si="5"/>
        <v>1.2000000000000011E-2</v>
      </c>
      <c r="AC6" s="139">
        <v>50</v>
      </c>
      <c r="AD6" s="213"/>
      <c r="AE6" s="230">
        <v>0.16800000000000001</v>
      </c>
      <c r="AF6" s="230">
        <v>0.23600000000000002</v>
      </c>
      <c r="AG6" s="159">
        <v>0.16800000000000001</v>
      </c>
      <c r="AH6" s="159">
        <v>0.23699999999999999</v>
      </c>
      <c r="AI6" s="159">
        <f t="shared" si="6"/>
        <v>0</v>
      </c>
      <c r="AJ6" s="159">
        <f t="shared" si="7"/>
        <v>-9.9999999999997313E-4</v>
      </c>
      <c r="AK6" s="160">
        <f t="shared" si="8"/>
        <v>9.9999999999997313E-4</v>
      </c>
    </row>
    <row r="7" spans="2:37">
      <c r="B7" s="139">
        <v>3</v>
      </c>
      <c r="C7" s="166"/>
      <c r="D7" s="230">
        <v>0.22800000000000001</v>
      </c>
      <c r="E7" s="230">
        <v>0.10400000000000001</v>
      </c>
      <c r="F7" s="159">
        <v>0.22700000000000001</v>
      </c>
      <c r="G7" s="159">
        <v>0.104</v>
      </c>
      <c r="H7" s="159">
        <f t="shared" si="9"/>
        <v>1.0000000000000009E-3</v>
      </c>
      <c r="I7" s="159">
        <f t="shared" si="10"/>
        <v>0</v>
      </c>
      <c r="J7" s="160">
        <f t="shared" si="11"/>
        <v>1.0000000000000009E-3</v>
      </c>
      <c r="K7" s="139">
        <v>19</v>
      </c>
      <c r="L7" s="182"/>
      <c r="M7" s="230">
        <v>0.63200000000000001</v>
      </c>
      <c r="N7" s="230">
        <v>0.33600000000000002</v>
      </c>
      <c r="O7" s="159">
        <v>0.63200000000000001</v>
      </c>
      <c r="P7" s="159">
        <v>0.33700000000000002</v>
      </c>
      <c r="Q7" s="159">
        <f t="shared" si="0"/>
        <v>0</v>
      </c>
      <c r="R7" s="159">
        <f t="shared" si="1"/>
        <v>-1.0000000000000009E-3</v>
      </c>
      <c r="S7" s="160">
        <f t="shared" si="2"/>
        <v>1.0000000000000009E-3</v>
      </c>
      <c r="T7" s="139">
        <v>35</v>
      </c>
      <c r="U7" s="198"/>
      <c r="V7" s="230">
        <v>0.36</v>
      </c>
      <c r="W7" s="230">
        <v>0.57600000000000007</v>
      </c>
      <c r="X7" s="231">
        <v>0.34499999999999997</v>
      </c>
      <c r="Y7" s="231">
        <v>0.57599999999999996</v>
      </c>
      <c r="Z7" s="231">
        <f t="shared" si="3"/>
        <v>1.5000000000000013E-2</v>
      </c>
      <c r="AA7" s="231">
        <f t="shared" si="4"/>
        <v>0</v>
      </c>
      <c r="AB7" s="229">
        <f t="shared" si="5"/>
        <v>1.5000000000000013E-2</v>
      </c>
      <c r="AC7" s="139">
        <v>51</v>
      </c>
      <c r="AD7" s="214"/>
      <c r="AE7" s="230">
        <v>0.16400000000000001</v>
      </c>
      <c r="AF7" s="230">
        <v>0.20400000000000001</v>
      </c>
      <c r="AG7" s="159">
        <v>0.16400000000000001</v>
      </c>
      <c r="AH7" s="159">
        <v>0.20499999999999999</v>
      </c>
      <c r="AI7" s="159">
        <f t="shared" si="6"/>
        <v>0</v>
      </c>
      <c r="AJ7" s="159">
        <f t="shared" si="7"/>
        <v>-9.9999999999997313E-4</v>
      </c>
      <c r="AK7" s="160">
        <f t="shared" si="8"/>
        <v>9.9999999999997313E-4</v>
      </c>
    </row>
    <row r="8" spans="2:37">
      <c r="B8" s="139">
        <v>4</v>
      </c>
      <c r="C8" s="167"/>
      <c r="D8" s="230">
        <v>0.25600000000000001</v>
      </c>
      <c r="E8" s="230">
        <v>0.12</v>
      </c>
      <c r="F8" s="159">
        <v>0.25700000000000001</v>
      </c>
      <c r="G8" s="159">
        <v>0.12</v>
      </c>
      <c r="H8" s="159">
        <f t="shared" si="9"/>
        <v>-1.0000000000000009E-3</v>
      </c>
      <c r="I8" s="159">
        <f t="shared" si="10"/>
        <v>0</v>
      </c>
      <c r="J8" s="160">
        <f t="shared" si="11"/>
        <v>1.0000000000000009E-3</v>
      </c>
      <c r="K8" s="139">
        <v>20</v>
      </c>
      <c r="L8" s="183"/>
      <c r="M8" s="230">
        <v>0.628</v>
      </c>
      <c r="N8" s="230">
        <v>0.34</v>
      </c>
      <c r="O8" s="159">
        <v>0.627</v>
      </c>
      <c r="P8" s="159">
        <v>0.33900000000000002</v>
      </c>
      <c r="Q8" s="159">
        <f t="shared" si="0"/>
        <v>1.0000000000000009E-3</v>
      </c>
      <c r="R8" s="159">
        <f t="shared" si="1"/>
        <v>1.0000000000000009E-3</v>
      </c>
      <c r="S8" s="160">
        <f t="shared" si="2"/>
        <v>1.4142135623730963E-3</v>
      </c>
      <c r="T8" s="139">
        <v>36</v>
      </c>
      <c r="U8" s="199"/>
      <c r="V8" s="230">
        <v>0.34</v>
      </c>
      <c r="W8" s="230">
        <v>0.59599999999999997</v>
      </c>
      <c r="X8" s="231">
        <v>0.318</v>
      </c>
      <c r="Y8" s="231">
        <v>0.59599999999999997</v>
      </c>
      <c r="Z8" s="231">
        <f t="shared" si="3"/>
        <v>2.200000000000002E-2</v>
      </c>
      <c r="AA8" s="231">
        <f t="shared" si="4"/>
        <v>0</v>
      </c>
      <c r="AB8" s="229">
        <f t="shared" si="5"/>
        <v>2.200000000000002E-2</v>
      </c>
      <c r="AC8" s="139">
        <v>52</v>
      </c>
      <c r="AD8" s="215"/>
      <c r="AE8" s="230">
        <v>0.16</v>
      </c>
      <c r="AF8" s="230">
        <v>0.17599999999999999</v>
      </c>
      <c r="AG8" s="159">
        <v>0.159</v>
      </c>
      <c r="AH8" s="159">
        <v>0.17699999999999999</v>
      </c>
      <c r="AI8" s="159">
        <f t="shared" si="6"/>
        <v>1.0000000000000009E-3</v>
      </c>
      <c r="AJ8" s="159">
        <f t="shared" si="7"/>
        <v>-1.0000000000000009E-3</v>
      </c>
      <c r="AK8" s="160">
        <f t="shared" si="8"/>
        <v>1.4142135623730963E-3</v>
      </c>
    </row>
    <row r="9" spans="2:37">
      <c r="B9" s="139">
        <v>5</v>
      </c>
      <c r="C9" s="168"/>
      <c r="D9" s="230">
        <v>0.28800000000000003</v>
      </c>
      <c r="E9" s="230">
        <v>0.13600000000000001</v>
      </c>
      <c r="F9" s="159">
        <v>0.28799999999999998</v>
      </c>
      <c r="G9" s="159">
        <v>0.13700000000000001</v>
      </c>
      <c r="H9" s="159">
        <f t="shared" si="9"/>
        <v>0</v>
      </c>
      <c r="I9" s="159">
        <f t="shared" si="10"/>
        <v>-1.0000000000000009E-3</v>
      </c>
      <c r="J9" s="160">
        <f t="shared" si="11"/>
        <v>1.0000000000000009E-3</v>
      </c>
      <c r="K9" s="139">
        <v>21</v>
      </c>
      <c r="L9" s="184"/>
      <c r="M9" s="230">
        <v>0.624</v>
      </c>
      <c r="N9" s="230">
        <v>0.34400000000000003</v>
      </c>
      <c r="O9" s="159">
        <v>0.626</v>
      </c>
      <c r="P9" s="159">
        <v>0.34499999999999997</v>
      </c>
      <c r="Q9" s="159">
        <f t="shared" si="0"/>
        <v>-2.0000000000000018E-3</v>
      </c>
      <c r="R9" s="159">
        <f t="shared" si="1"/>
        <v>-9.9999999999994538E-4</v>
      </c>
      <c r="S9" s="160">
        <f t="shared" si="2"/>
        <v>2.2360679774997669E-3</v>
      </c>
      <c r="T9" s="139">
        <v>37</v>
      </c>
      <c r="U9" s="200"/>
      <c r="V9" s="230">
        <v>0.32400000000000001</v>
      </c>
      <c r="W9" s="230">
        <v>0.60799999999999998</v>
      </c>
      <c r="X9" s="231">
        <v>0.30299999999999999</v>
      </c>
      <c r="Y9" s="231">
        <v>0.60799999999999998</v>
      </c>
      <c r="Z9" s="231">
        <f t="shared" si="3"/>
        <v>2.1000000000000019E-2</v>
      </c>
      <c r="AA9" s="231">
        <f t="shared" si="4"/>
        <v>0</v>
      </c>
      <c r="AB9" s="229">
        <f t="shared" si="5"/>
        <v>2.1000000000000019E-2</v>
      </c>
      <c r="AC9" s="139">
        <v>53</v>
      </c>
      <c r="AD9" s="216"/>
      <c r="AE9" s="230">
        <v>0.16</v>
      </c>
      <c r="AF9" s="230">
        <v>0.14799999999999999</v>
      </c>
      <c r="AG9" s="159">
        <v>0.16</v>
      </c>
      <c r="AH9" s="159">
        <v>0.14799999999999999</v>
      </c>
      <c r="AI9" s="159">
        <f t="shared" si="6"/>
        <v>0</v>
      </c>
      <c r="AJ9" s="159">
        <f t="shared" si="7"/>
        <v>0</v>
      </c>
      <c r="AK9" s="160">
        <f t="shared" si="8"/>
        <v>0</v>
      </c>
    </row>
    <row r="10" spans="2:37">
      <c r="B10" s="139">
        <v>6</v>
      </c>
      <c r="C10" s="169"/>
      <c r="D10" s="230">
        <v>0.32800000000000001</v>
      </c>
      <c r="E10" s="230">
        <v>0.156</v>
      </c>
      <c r="F10" s="159">
        <v>0.32800000000000001</v>
      </c>
      <c r="G10" s="159">
        <v>0.155</v>
      </c>
      <c r="H10" s="159">
        <f t="shared" si="9"/>
        <v>0</v>
      </c>
      <c r="I10" s="159">
        <f t="shared" si="10"/>
        <v>1.0000000000000009E-3</v>
      </c>
      <c r="J10" s="160">
        <f t="shared" si="11"/>
        <v>1.0000000000000009E-3</v>
      </c>
      <c r="K10" s="139">
        <v>22</v>
      </c>
      <c r="L10" s="185"/>
      <c r="M10" s="230">
        <v>0.61599999999999999</v>
      </c>
      <c r="N10" s="230">
        <v>0.35199999999999998</v>
      </c>
      <c r="O10" s="159">
        <v>0.61499999999999999</v>
      </c>
      <c r="P10" s="159">
        <v>0.35099999999999998</v>
      </c>
      <c r="Q10" s="159">
        <f t="shared" si="0"/>
        <v>1.0000000000000009E-3</v>
      </c>
      <c r="R10" s="159">
        <f t="shared" si="1"/>
        <v>1.0000000000000009E-3</v>
      </c>
      <c r="S10" s="160">
        <f t="shared" si="2"/>
        <v>1.4142135623730963E-3</v>
      </c>
      <c r="T10" s="139">
        <v>38</v>
      </c>
      <c r="U10" s="201"/>
      <c r="V10" s="230">
        <v>0.30399999999999999</v>
      </c>
      <c r="W10" s="230">
        <v>0.61199999999999999</v>
      </c>
      <c r="X10" s="231">
        <v>0.29799999999999999</v>
      </c>
      <c r="Y10" s="231">
        <v>0.61199999999999999</v>
      </c>
      <c r="Z10" s="231">
        <f t="shared" si="3"/>
        <v>6.0000000000000053E-3</v>
      </c>
      <c r="AA10" s="231">
        <f t="shared" si="4"/>
        <v>0</v>
      </c>
      <c r="AB10" s="229">
        <f t="shared" si="5"/>
        <v>6.0000000000000053E-3</v>
      </c>
      <c r="AC10" s="139">
        <v>54</v>
      </c>
      <c r="AD10" s="217"/>
      <c r="AE10" s="230">
        <v>0.156</v>
      </c>
      <c r="AF10" s="230">
        <v>0.124</v>
      </c>
      <c r="AG10" s="159">
        <v>0.156</v>
      </c>
      <c r="AH10" s="159">
        <v>0.125</v>
      </c>
      <c r="AI10" s="159">
        <f t="shared" si="6"/>
        <v>0</v>
      </c>
      <c r="AJ10" s="159">
        <f t="shared" si="7"/>
        <v>-1.0000000000000009E-3</v>
      </c>
      <c r="AK10" s="160">
        <f t="shared" si="8"/>
        <v>1.0000000000000009E-3</v>
      </c>
    </row>
    <row r="11" spans="2:37">
      <c r="B11" s="139">
        <v>7</v>
      </c>
      <c r="C11" s="170"/>
      <c r="D11" s="230">
        <v>0.36799999999999999</v>
      </c>
      <c r="E11" s="230">
        <v>0.18</v>
      </c>
      <c r="F11" s="159">
        <v>0.36799999999999999</v>
      </c>
      <c r="G11" s="159">
        <v>0.18099999999999999</v>
      </c>
      <c r="H11" s="159">
        <f t="shared" si="9"/>
        <v>0</v>
      </c>
      <c r="I11" s="159">
        <f t="shared" si="10"/>
        <v>-1.0000000000000009E-3</v>
      </c>
      <c r="J11" s="160">
        <f t="shared" si="11"/>
        <v>1.0000000000000009E-3</v>
      </c>
      <c r="K11" s="139">
        <v>23</v>
      </c>
      <c r="L11" s="186"/>
      <c r="M11" s="230">
        <v>0.60799999999999998</v>
      </c>
      <c r="N11" s="230">
        <v>0.35599999999999998</v>
      </c>
      <c r="O11" s="159">
        <v>0.60799999999999998</v>
      </c>
      <c r="P11" s="159">
        <v>0.35699999999999998</v>
      </c>
      <c r="Q11" s="159">
        <f t="shared" si="0"/>
        <v>0</v>
      </c>
      <c r="R11" s="159">
        <f t="shared" si="1"/>
        <v>-1.0000000000000009E-3</v>
      </c>
      <c r="S11" s="160">
        <f t="shared" si="2"/>
        <v>1.0000000000000009E-3</v>
      </c>
      <c r="T11" s="139">
        <v>39</v>
      </c>
      <c r="U11" s="202"/>
      <c r="V11" s="230">
        <v>0.28800000000000003</v>
      </c>
      <c r="W11" s="230">
        <v>0.60799999999999998</v>
      </c>
      <c r="X11" s="159">
        <v>0.28999999999999998</v>
      </c>
      <c r="Y11" s="159">
        <v>0.61099999999999999</v>
      </c>
      <c r="Z11" s="159">
        <f t="shared" si="3"/>
        <v>-1.9999999999999463E-3</v>
      </c>
      <c r="AA11" s="159">
        <f t="shared" si="4"/>
        <v>-3.0000000000000027E-3</v>
      </c>
      <c r="AB11" s="160">
        <f t="shared" si="5"/>
        <v>3.6055512754639618E-3</v>
      </c>
      <c r="AC11" s="139">
        <v>55</v>
      </c>
      <c r="AD11" s="218"/>
      <c r="AE11" s="230">
        <v>0.152</v>
      </c>
      <c r="AF11" s="230">
        <v>0.10400000000000001</v>
      </c>
      <c r="AG11" s="159">
        <v>0.152</v>
      </c>
      <c r="AH11" s="159">
        <v>0.104</v>
      </c>
      <c r="AI11" s="159">
        <f t="shared" si="6"/>
        <v>0</v>
      </c>
      <c r="AJ11" s="159">
        <f t="shared" si="7"/>
        <v>0</v>
      </c>
      <c r="AK11" s="160">
        <f t="shared" si="8"/>
        <v>0</v>
      </c>
    </row>
    <row r="12" spans="2:37">
      <c r="B12" s="139">
        <v>8</v>
      </c>
      <c r="C12" s="171"/>
      <c r="D12" s="230">
        <v>0.41600000000000004</v>
      </c>
      <c r="E12" s="230">
        <v>0.20800000000000002</v>
      </c>
      <c r="F12" s="159">
        <v>0.41699999999999998</v>
      </c>
      <c r="G12" s="159">
        <v>0.20799999999999999</v>
      </c>
      <c r="H12" s="159">
        <f t="shared" si="9"/>
        <v>-9.9999999999994538E-4</v>
      </c>
      <c r="I12" s="159">
        <f t="shared" si="10"/>
        <v>0</v>
      </c>
      <c r="J12" s="160">
        <f t="shared" si="11"/>
        <v>9.9999999999994538E-4</v>
      </c>
      <c r="K12" s="139">
        <v>24</v>
      </c>
      <c r="L12" s="187"/>
      <c r="M12" s="230">
        <v>0.6</v>
      </c>
      <c r="N12" s="230">
        <v>0.36399999999999999</v>
      </c>
      <c r="O12" s="159">
        <v>0.59899999999999998</v>
      </c>
      <c r="P12" s="159">
        <v>0.36399999999999999</v>
      </c>
      <c r="Q12" s="159">
        <f t="shared" si="0"/>
        <v>1.0000000000000009E-3</v>
      </c>
      <c r="R12" s="159">
        <f t="shared" si="1"/>
        <v>0</v>
      </c>
      <c r="S12" s="160">
        <f t="shared" si="2"/>
        <v>1.0000000000000009E-3</v>
      </c>
      <c r="T12" s="139">
        <v>40</v>
      </c>
      <c r="U12" s="203"/>
      <c r="V12" s="230">
        <v>0.27600000000000002</v>
      </c>
      <c r="W12" s="230">
        <v>0.59199999999999997</v>
      </c>
      <c r="X12" s="159">
        <v>0.27600000000000002</v>
      </c>
      <c r="Y12" s="159">
        <v>0.59199999999999997</v>
      </c>
      <c r="Z12" s="159">
        <f t="shared" si="3"/>
        <v>0</v>
      </c>
      <c r="AA12" s="159">
        <f t="shared" si="4"/>
        <v>0</v>
      </c>
      <c r="AB12" s="160">
        <f t="shared" si="5"/>
        <v>0</v>
      </c>
      <c r="AC12" s="139">
        <v>56</v>
      </c>
      <c r="AD12" s="219"/>
      <c r="AE12" s="230">
        <v>0.152</v>
      </c>
      <c r="AF12" s="230">
        <v>8.4000000000000005E-2</v>
      </c>
      <c r="AG12" s="159">
        <v>0.153</v>
      </c>
      <c r="AH12" s="159">
        <v>8.5000000000000006E-2</v>
      </c>
      <c r="AI12" s="159">
        <f t="shared" si="6"/>
        <v>-1.0000000000000009E-3</v>
      </c>
      <c r="AJ12" s="159">
        <f t="shared" si="7"/>
        <v>-1.0000000000000009E-3</v>
      </c>
      <c r="AK12" s="160">
        <f t="shared" si="8"/>
        <v>1.4142135623730963E-3</v>
      </c>
    </row>
    <row r="13" spans="2:37">
      <c r="B13" s="139">
        <v>9</v>
      </c>
      <c r="C13" s="172"/>
      <c r="D13" s="230">
        <v>0.48399999999999999</v>
      </c>
      <c r="E13" s="230">
        <v>0.24399999999999999</v>
      </c>
      <c r="F13" s="159">
        <v>0.48399999999999999</v>
      </c>
      <c r="G13" s="159">
        <v>0.24199999999999999</v>
      </c>
      <c r="H13" s="159">
        <f t="shared" si="9"/>
        <v>0</v>
      </c>
      <c r="I13" s="159">
        <f t="shared" si="10"/>
        <v>2.0000000000000018E-3</v>
      </c>
      <c r="J13" s="160">
        <f t="shared" si="11"/>
        <v>2.0000000000000018E-3</v>
      </c>
      <c r="K13" s="139">
        <v>25</v>
      </c>
      <c r="L13" s="188"/>
      <c r="M13" s="230">
        <v>0.59199999999999997</v>
      </c>
      <c r="N13" s="230">
        <v>0.372</v>
      </c>
      <c r="O13" s="159">
        <v>0.59</v>
      </c>
      <c r="P13" s="159">
        <v>0.371</v>
      </c>
      <c r="Q13" s="159">
        <f t="shared" si="0"/>
        <v>2.0000000000000018E-3</v>
      </c>
      <c r="R13" s="159">
        <f t="shared" si="1"/>
        <v>1.0000000000000009E-3</v>
      </c>
      <c r="S13" s="160">
        <f t="shared" si="2"/>
        <v>2.236067977499792E-3</v>
      </c>
      <c r="T13" s="139">
        <v>41</v>
      </c>
      <c r="U13" s="204"/>
      <c r="V13" s="230">
        <v>0.26</v>
      </c>
      <c r="W13" s="230">
        <v>0.56400000000000006</v>
      </c>
      <c r="X13" s="159">
        <v>0.26</v>
      </c>
      <c r="Y13" s="159">
        <v>0.56399999999999995</v>
      </c>
      <c r="Z13" s="159">
        <f t="shared" si="3"/>
        <v>0</v>
      </c>
      <c r="AA13" s="159">
        <f t="shared" si="4"/>
        <v>0</v>
      </c>
      <c r="AB13" s="160">
        <f t="shared" si="5"/>
        <v>0</v>
      </c>
      <c r="AC13" s="139">
        <v>57</v>
      </c>
      <c r="AD13" s="220"/>
      <c r="AE13" s="230">
        <v>0.152</v>
      </c>
      <c r="AF13" s="230">
        <v>7.2000000000000008E-2</v>
      </c>
      <c r="AG13" s="159">
        <v>0.153</v>
      </c>
      <c r="AH13" s="159">
        <v>7.2999999999999995E-2</v>
      </c>
      <c r="AI13" s="159">
        <f t="shared" si="6"/>
        <v>-1.0000000000000009E-3</v>
      </c>
      <c r="AJ13" s="159">
        <f t="shared" si="7"/>
        <v>-9.9999999999998701E-4</v>
      </c>
      <c r="AK13" s="160">
        <f t="shared" si="8"/>
        <v>1.4142135623730866E-3</v>
      </c>
    </row>
    <row r="14" spans="2:37">
      <c r="B14" s="139">
        <v>10</v>
      </c>
      <c r="C14" s="173"/>
      <c r="D14" s="230">
        <v>0.54</v>
      </c>
      <c r="E14" s="230">
        <v>0.27600000000000002</v>
      </c>
      <c r="F14" s="159">
        <v>0.54200000000000004</v>
      </c>
      <c r="G14" s="159">
        <v>0.27600000000000002</v>
      </c>
      <c r="H14" s="159">
        <f t="shared" si="9"/>
        <v>-2.0000000000000018E-3</v>
      </c>
      <c r="I14" s="159">
        <f t="shared" si="10"/>
        <v>0</v>
      </c>
      <c r="J14" s="160">
        <f t="shared" si="11"/>
        <v>2.0000000000000018E-3</v>
      </c>
      <c r="K14" s="139">
        <v>26</v>
      </c>
      <c r="L14" s="189"/>
      <c r="M14" s="230">
        <v>0.57999999999999996</v>
      </c>
      <c r="N14" s="230">
        <v>0.38400000000000001</v>
      </c>
      <c r="O14" s="159">
        <v>0.57999999999999996</v>
      </c>
      <c r="P14" s="159">
        <v>0.38400000000000001</v>
      </c>
      <c r="Q14" s="159">
        <f t="shared" si="0"/>
        <v>0</v>
      </c>
      <c r="R14" s="159">
        <f t="shared" si="1"/>
        <v>0</v>
      </c>
      <c r="S14" s="160">
        <f t="shared" si="2"/>
        <v>0</v>
      </c>
      <c r="T14" s="139">
        <v>42</v>
      </c>
      <c r="U14" s="205"/>
      <c r="V14" s="230">
        <v>0.24399999999999999</v>
      </c>
      <c r="W14" s="230">
        <v>0.53200000000000003</v>
      </c>
      <c r="X14" s="159">
        <v>0.245</v>
      </c>
      <c r="Y14" s="159">
        <v>0.53200000000000003</v>
      </c>
      <c r="Z14" s="159">
        <f t="shared" si="3"/>
        <v>-1.0000000000000009E-3</v>
      </c>
      <c r="AA14" s="159">
        <f t="shared" si="4"/>
        <v>0</v>
      </c>
      <c r="AB14" s="160">
        <f t="shared" si="5"/>
        <v>1.0000000000000009E-3</v>
      </c>
      <c r="AC14" s="139">
        <v>58</v>
      </c>
      <c r="AD14" s="221"/>
      <c r="AE14" s="230">
        <v>0.152</v>
      </c>
      <c r="AF14" s="230">
        <v>6.8000000000000005E-2</v>
      </c>
      <c r="AG14" s="159">
        <v>0.151</v>
      </c>
      <c r="AH14" s="159">
        <v>6.7000000000000004E-2</v>
      </c>
      <c r="AI14" s="159">
        <f t="shared" si="6"/>
        <v>1.0000000000000009E-3</v>
      </c>
      <c r="AJ14" s="159">
        <f t="shared" si="7"/>
        <v>1.0000000000000009E-3</v>
      </c>
      <c r="AK14" s="160">
        <f t="shared" si="8"/>
        <v>1.4142135623730963E-3</v>
      </c>
    </row>
    <row r="15" spans="2:37">
      <c r="B15" s="139">
        <v>11</v>
      </c>
      <c r="C15" s="174"/>
      <c r="D15" s="230">
        <v>0.59199999999999997</v>
      </c>
      <c r="E15" s="230">
        <v>0.30399999999999999</v>
      </c>
      <c r="F15" s="159">
        <v>0.59099999999999997</v>
      </c>
      <c r="G15" s="159">
        <v>0.30399999999999999</v>
      </c>
      <c r="H15" s="159">
        <f t="shared" si="9"/>
        <v>1.0000000000000009E-3</v>
      </c>
      <c r="I15" s="159">
        <f t="shared" si="10"/>
        <v>0</v>
      </c>
      <c r="J15" s="160">
        <f t="shared" si="11"/>
        <v>1.0000000000000009E-3</v>
      </c>
      <c r="K15" s="139">
        <v>27</v>
      </c>
      <c r="L15" s="190"/>
      <c r="M15" s="230">
        <v>0.56400000000000006</v>
      </c>
      <c r="N15" s="230">
        <v>0.39600000000000002</v>
      </c>
      <c r="O15" s="159">
        <v>0.56399999999999995</v>
      </c>
      <c r="P15" s="159">
        <v>0.39600000000000002</v>
      </c>
      <c r="Q15" s="159">
        <f t="shared" si="0"/>
        <v>0</v>
      </c>
      <c r="R15" s="159">
        <f t="shared" si="1"/>
        <v>0</v>
      </c>
      <c r="S15" s="160">
        <f t="shared" si="2"/>
        <v>0</v>
      </c>
      <c r="T15" s="139">
        <v>43</v>
      </c>
      <c r="U15" s="206"/>
      <c r="V15" s="230">
        <v>0.23200000000000001</v>
      </c>
      <c r="W15" s="230">
        <v>0.49199999999999999</v>
      </c>
      <c r="X15" s="159">
        <v>0.23100000000000001</v>
      </c>
      <c r="Y15" s="159">
        <v>0.49099999999999999</v>
      </c>
      <c r="Z15" s="159">
        <f t="shared" si="3"/>
        <v>1.0000000000000009E-3</v>
      </c>
      <c r="AA15" s="159">
        <f t="shared" si="4"/>
        <v>1.0000000000000009E-3</v>
      </c>
      <c r="AB15" s="160">
        <f t="shared" si="5"/>
        <v>1.4142135623730963E-3</v>
      </c>
      <c r="AC15" s="139">
        <v>59</v>
      </c>
      <c r="AD15" s="222"/>
      <c r="AE15" s="230">
        <v>0.156</v>
      </c>
      <c r="AF15" s="230">
        <v>6.8000000000000005E-2</v>
      </c>
      <c r="AG15" s="159">
        <v>0.157</v>
      </c>
      <c r="AH15" s="159">
        <v>6.8000000000000005E-2</v>
      </c>
      <c r="AI15" s="159">
        <f t="shared" si="6"/>
        <v>-1.0000000000000009E-3</v>
      </c>
      <c r="AJ15" s="159">
        <f t="shared" si="7"/>
        <v>0</v>
      </c>
      <c r="AK15" s="160">
        <f t="shared" si="8"/>
        <v>1.0000000000000009E-3</v>
      </c>
    </row>
    <row r="16" spans="2:37">
      <c r="B16" s="139">
        <v>12</v>
      </c>
      <c r="C16" s="175"/>
      <c r="D16" s="230">
        <v>0.61599999999999999</v>
      </c>
      <c r="E16" s="230">
        <v>0.316</v>
      </c>
      <c r="F16" s="159">
        <v>0.61699999999999999</v>
      </c>
      <c r="G16" s="159">
        <v>0.316</v>
      </c>
      <c r="H16" s="159">
        <f t="shared" si="9"/>
        <v>-1.0000000000000009E-3</v>
      </c>
      <c r="I16" s="159">
        <f t="shared" si="10"/>
        <v>0</v>
      </c>
      <c r="J16" s="160">
        <f t="shared" si="11"/>
        <v>1.0000000000000009E-3</v>
      </c>
      <c r="K16" s="139">
        <v>28</v>
      </c>
      <c r="L16" s="191"/>
      <c r="M16" s="230">
        <v>0.54800000000000004</v>
      </c>
      <c r="N16" s="230">
        <v>0.41200000000000003</v>
      </c>
      <c r="O16" s="159">
        <v>0.54800000000000004</v>
      </c>
      <c r="P16" s="159">
        <v>0.41199999999999998</v>
      </c>
      <c r="Q16" s="159">
        <f t="shared" si="0"/>
        <v>0</v>
      </c>
      <c r="R16" s="159">
        <f t="shared" si="1"/>
        <v>0</v>
      </c>
      <c r="S16" s="160">
        <f t="shared" si="2"/>
        <v>0</v>
      </c>
      <c r="T16" s="139">
        <v>44</v>
      </c>
      <c r="U16" s="207"/>
      <c r="V16" s="230">
        <v>0.216</v>
      </c>
      <c r="W16" s="230">
        <v>0.44800000000000001</v>
      </c>
      <c r="X16" s="159">
        <v>0.215</v>
      </c>
      <c r="Y16" s="159">
        <v>0.44700000000000001</v>
      </c>
      <c r="Z16" s="159">
        <f t="shared" si="3"/>
        <v>1.0000000000000009E-3</v>
      </c>
      <c r="AA16" s="159">
        <f t="shared" si="4"/>
        <v>1.0000000000000009E-3</v>
      </c>
      <c r="AB16" s="160">
        <f t="shared" si="5"/>
        <v>1.4142135623730963E-3</v>
      </c>
      <c r="AC16" s="139">
        <v>60</v>
      </c>
      <c r="AD16" s="223"/>
      <c r="AE16" s="230">
        <v>0.16</v>
      </c>
      <c r="AF16" s="230">
        <v>6.8000000000000005E-2</v>
      </c>
      <c r="AG16" s="159">
        <v>0.16</v>
      </c>
      <c r="AH16" s="159">
        <v>6.7000000000000004E-2</v>
      </c>
      <c r="AI16" s="159">
        <f t="shared" si="6"/>
        <v>0</v>
      </c>
      <c r="AJ16" s="159">
        <f t="shared" si="7"/>
        <v>1.0000000000000009E-3</v>
      </c>
      <c r="AK16" s="160">
        <f t="shared" si="8"/>
        <v>1.0000000000000009E-3</v>
      </c>
    </row>
    <row r="17" spans="2:37">
      <c r="B17" s="139">
        <v>13</v>
      </c>
      <c r="C17" s="176"/>
      <c r="D17" s="230">
        <v>0.63200000000000001</v>
      </c>
      <c r="E17" s="230">
        <v>0.32800000000000001</v>
      </c>
      <c r="F17" s="159">
        <v>0.63100000000000001</v>
      </c>
      <c r="G17" s="159">
        <v>0.32700000000000001</v>
      </c>
      <c r="H17" s="159">
        <f t="shared" si="9"/>
        <v>1.0000000000000009E-3</v>
      </c>
      <c r="I17" s="159">
        <f t="shared" si="10"/>
        <v>1.0000000000000009E-3</v>
      </c>
      <c r="J17" s="160">
        <f t="shared" si="11"/>
        <v>1.4142135623730963E-3</v>
      </c>
      <c r="K17" s="139">
        <v>29</v>
      </c>
      <c r="L17" s="192"/>
      <c r="M17" s="230">
        <v>0.52</v>
      </c>
      <c r="N17" s="230">
        <v>0.436</v>
      </c>
      <c r="O17" s="159">
        <v>0.52100000000000002</v>
      </c>
      <c r="P17" s="159">
        <v>0.436</v>
      </c>
      <c r="Q17" s="159">
        <f t="shared" si="0"/>
        <v>-1.0000000000000009E-3</v>
      </c>
      <c r="R17" s="159">
        <f t="shared" si="1"/>
        <v>0</v>
      </c>
      <c r="S17" s="160">
        <f t="shared" si="2"/>
        <v>1.0000000000000009E-3</v>
      </c>
      <c r="T17" s="139">
        <v>45</v>
      </c>
      <c r="U17" s="208"/>
      <c r="V17" s="230">
        <v>0.19600000000000001</v>
      </c>
      <c r="W17" s="230">
        <v>0.40400000000000003</v>
      </c>
      <c r="X17" s="159">
        <v>0.19600000000000001</v>
      </c>
      <c r="Y17" s="159">
        <v>0.40400000000000003</v>
      </c>
      <c r="Z17" s="159">
        <f t="shared" si="3"/>
        <v>0</v>
      </c>
      <c r="AA17" s="159">
        <f t="shared" si="4"/>
        <v>0</v>
      </c>
      <c r="AB17" s="160">
        <f t="shared" si="5"/>
        <v>0</v>
      </c>
      <c r="AC17" s="139">
        <v>61</v>
      </c>
      <c r="AD17" s="224"/>
      <c r="AE17" s="230">
        <v>0.16400000000000001</v>
      </c>
      <c r="AF17" s="230">
        <v>6.8000000000000005E-2</v>
      </c>
      <c r="AG17" s="159">
        <v>0.16500000000000001</v>
      </c>
      <c r="AH17" s="159">
        <v>6.9000000000000006E-2</v>
      </c>
      <c r="AI17" s="159">
        <f t="shared" si="6"/>
        <v>-1.0000000000000009E-3</v>
      </c>
      <c r="AJ17" s="159">
        <f t="shared" si="7"/>
        <v>-1.0000000000000009E-3</v>
      </c>
      <c r="AK17" s="160">
        <f t="shared" si="8"/>
        <v>1.4142135623730963E-3</v>
      </c>
    </row>
    <row r="18" spans="2:37">
      <c r="B18" s="139">
        <v>14</v>
      </c>
      <c r="C18" s="177"/>
      <c r="D18" s="230">
        <v>0.64</v>
      </c>
      <c r="E18" s="230">
        <v>0.32400000000000001</v>
      </c>
      <c r="F18" s="159">
        <v>0.64100000000000001</v>
      </c>
      <c r="G18" s="159">
        <v>0.32500000000000001</v>
      </c>
      <c r="H18" s="159">
        <f t="shared" si="9"/>
        <v>-1.0000000000000009E-3</v>
      </c>
      <c r="I18" s="159">
        <f t="shared" si="10"/>
        <v>-1.0000000000000009E-3</v>
      </c>
      <c r="J18" s="160">
        <f t="shared" si="11"/>
        <v>1.4142135623730963E-3</v>
      </c>
      <c r="K18" s="139">
        <v>30</v>
      </c>
      <c r="L18" s="193"/>
      <c r="M18" s="230">
        <v>0.504</v>
      </c>
      <c r="N18" s="230">
        <v>0.45200000000000001</v>
      </c>
      <c r="O18" s="159">
        <v>0.504</v>
      </c>
      <c r="P18" s="159">
        <v>0.45200000000000001</v>
      </c>
      <c r="Q18" s="159">
        <f t="shared" si="0"/>
        <v>0</v>
      </c>
      <c r="R18" s="159">
        <f t="shared" si="1"/>
        <v>0</v>
      </c>
      <c r="S18" s="160">
        <f t="shared" si="2"/>
        <v>0</v>
      </c>
      <c r="T18" s="139">
        <v>46</v>
      </c>
      <c r="U18" s="209"/>
      <c r="V18" s="230">
        <v>0.184</v>
      </c>
      <c r="W18" s="230">
        <v>0.36</v>
      </c>
      <c r="X18" s="159">
        <v>0.185</v>
      </c>
      <c r="Y18" s="159">
        <v>0.36099999999999999</v>
      </c>
      <c r="Z18" s="159">
        <f t="shared" si="3"/>
        <v>-1.0000000000000009E-3</v>
      </c>
      <c r="AA18" s="159">
        <f t="shared" si="4"/>
        <v>-1.0000000000000009E-3</v>
      </c>
      <c r="AB18" s="160">
        <f t="shared" si="5"/>
        <v>1.4142135623730963E-3</v>
      </c>
      <c r="AC18" s="139">
        <v>62</v>
      </c>
      <c r="AD18" s="225"/>
      <c r="AE18" s="230">
        <v>0.16800000000000001</v>
      </c>
      <c r="AF18" s="230">
        <v>7.2000000000000008E-2</v>
      </c>
      <c r="AG18" s="159">
        <v>0.16900000000000001</v>
      </c>
      <c r="AH18" s="159">
        <v>7.1999999999999995E-2</v>
      </c>
      <c r="AI18" s="159">
        <f t="shared" si="6"/>
        <v>-1.0000000000000009E-3</v>
      </c>
      <c r="AJ18" s="159">
        <f t="shared" si="7"/>
        <v>0</v>
      </c>
      <c r="AK18" s="160">
        <f t="shared" si="8"/>
        <v>1.0000000000000009E-3</v>
      </c>
    </row>
    <row r="19" spans="2:37">
      <c r="B19" s="139">
        <v>15</v>
      </c>
      <c r="C19" s="178"/>
      <c r="D19" s="230">
        <v>0.64</v>
      </c>
      <c r="E19" s="230">
        <v>0.32800000000000001</v>
      </c>
      <c r="F19" s="159">
        <v>0.64</v>
      </c>
      <c r="G19" s="159">
        <v>0.32600000000000001</v>
      </c>
      <c r="H19" s="159">
        <f t="shared" si="9"/>
        <v>0</v>
      </c>
      <c r="I19" s="159">
        <f t="shared" si="10"/>
        <v>2.0000000000000018E-3</v>
      </c>
      <c r="J19" s="160">
        <f t="shared" si="11"/>
        <v>2.0000000000000018E-3</v>
      </c>
      <c r="K19" s="139">
        <v>31</v>
      </c>
      <c r="L19" s="194"/>
      <c r="M19" s="230">
        <v>0.48399999999999999</v>
      </c>
      <c r="N19" s="230">
        <v>0.46800000000000003</v>
      </c>
      <c r="O19" s="159">
        <v>0.48399999999999999</v>
      </c>
      <c r="P19" s="159">
        <v>0.46700000000000003</v>
      </c>
      <c r="Q19" s="159">
        <f t="shared" si="0"/>
        <v>0</v>
      </c>
      <c r="R19" s="159">
        <f t="shared" si="1"/>
        <v>1.0000000000000009E-3</v>
      </c>
      <c r="S19" s="160">
        <f t="shared" si="2"/>
        <v>1.0000000000000009E-3</v>
      </c>
      <c r="T19" s="139">
        <v>47</v>
      </c>
      <c r="U19" s="210"/>
      <c r="V19" s="230">
        <v>0.17599999999999999</v>
      </c>
      <c r="W19" s="230">
        <v>0.32800000000000001</v>
      </c>
      <c r="X19" s="159">
        <v>0.17499999999999999</v>
      </c>
      <c r="Y19" s="159">
        <v>0.32900000000000001</v>
      </c>
      <c r="Z19" s="159">
        <f t="shared" si="3"/>
        <v>1.0000000000000009E-3</v>
      </c>
      <c r="AA19" s="159">
        <f t="shared" si="4"/>
        <v>-1.0000000000000009E-3</v>
      </c>
      <c r="AB19" s="160">
        <f t="shared" si="5"/>
        <v>1.4142135623730963E-3</v>
      </c>
      <c r="AC19" s="139">
        <v>63</v>
      </c>
      <c r="AD19" s="226"/>
      <c r="AE19" s="230">
        <v>0.17599999999999999</v>
      </c>
      <c r="AF19" s="230">
        <v>7.2000000000000008E-2</v>
      </c>
      <c r="AG19" s="159">
        <v>0.17499999999999999</v>
      </c>
      <c r="AH19" s="159">
        <v>7.1999999999999995E-2</v>
      </c>
      <c r="AI19" s="159">
        <f t="shared" si="6"/>
        <v>1.0000000000000009E-3</v>
      </c>
      <c r="AJ19" s="159">
        <f t="shared" si="7"/>
        <v>0</v>
      </c>
      <c r="AK19" s="160">
        <f t="shared" si="8"/>
        <v>1.0000000000000009E-3</v>
      </c>
    </row>
    <row r="20" spans="2:37">
      <c r="B20" s="139">
        <v>16</v>
      </c>
      <c r="C20" s="179"/>
      <c r="D20" s="230">
        <v>0.64</v>
      </c>
      <c r="E20" s="230">
        <v>0.33200000000000002</v>
      </c>
      <c r="F20" s="159">
        <v>0.64</v>
      </c>
      <c r="G20" s="159">
        <v>0.33200000000000002</v>
      </c>
      <c r="H20" s="159">
        <f t="shared" si="9"/>
        <v>0</v>
      </c>
      <c r="I20" s="159">
        <f t="shared" si="10"/>
        <v>0</v>
      </c>
      <c r="J20" s="160">
        <f t="shared" si="11"/>
        <v>0</v>
      </c>
      <c r="K20" s="139">
        <v>32</v>
      </c>
      <c r="L20" s="195"/>
      <c r="M20" s="230">
        <v>0.44400000000000001</v>
      </c>
      <c r="N20" s="230">
        <v>0.5</v>
      </c>
      <c r="O20" s="159">
        <v>0.44400000000000001</v>
      </c>
      <c r="P20" s="159">
        <v>0.5</v>
      </c>
      <c r="Q20" s="159">
        <f t="shared" si="0"/>
        <v>0</v>
      </c>
      <c r="R20" s="159">
        <f t="shared" si="1"/>
        <v>0</v>
      </c>
      <c r="S20" s="160">
        <f t="shared" si="2"/>
        <v>0</v>
      </c>
      <c r="T20" s="139">
        <v>48</v>
      </c>
      <c r="U20" s="211"/>
      <c r="V20" s="230">
        <v>0.17200000000000001</v>
      </c>
      <c r="W20" s="230">
        <v>0.29599999999999999</v>
      </c>
      <c r="X20" s="159">
        <v>0.17199999999999999</v>
      </c>
      <c r="Y20" s="159">
        <v>0.29599999999999999</v>
      </c>
      <c r="Z20" s="159">
        <f t="shared" si="3"/>
        <v>0</v>
      </c>
      <c r="AA20" s="159">
        <f t="shared" si="4"/>
        <v>0</v>
      </c>
      <c r="AB20" s="160">
        <f t="shared" si="5"/>
        <v>0</v>
      </c>
      <c r="AC20" s="139">
        <v>64</v>
      </c>
      <c r="AD20" s="227"/>
      <c r="AE20" s="230">
        <v>0.18</v>
      </c>
      <c r="AF20" s="230">
        <v>7.5999999999999998E-2</v>
      </c>
      <c r="AG20" s="159">
        <v>0.18099999999999999</v>
      </c>
      <c r="AH20" s="159">
        <v>7.4999999999999997E-2</v>
      </c>
      <c r="AI20" s="159">
        <f t="shared" si="6"/>
        <v>-1.0000000000000009E-3</v>
      </c>
      <c r="AJ20" s="159">
        <f t="shared" si="7"/>
        <v>1.0000000000000009E-3</v>
      </c>
      <c r="AK20" s="160">
        <f t="shared" si="8"/>
        <v>1.4142135623730963E-3</v>
      </c>
    </row>
    <row r="21" spans="2:37">
      <c r="AC21" s="232"/>
      <c r="AD21" s="232"/>
      <c r="AE21" s="286" t="s">
        <v>35</v>
      </c>
      <c r="AF21" s="286"/>
      <c r="AG21" s="286"/>
      <c r="AH21" s="286"/>
      <c r="AI21" s="228">
        <f>AVERAGE(H5:H20,Q5:Q20,Z5:Z20,AI5:AI20)</f>
        <v>1.2656250000000029E-3</v>
      </c>
      <c r="AJ21" s="228">
        <f t="shared" ref="AJ21:AK21" si="12">AVERAGE(I5:I20,R5:R20,AA5:AA20,AJ5:AJ20)</f>
        <v>-1.0937499999999793E-4</v>
      </c>
      <c r="AK21" s="228">
        <f t="shared" si="12"/>
        <v>2.2710355594405831E-3</v>
      </c>
    </row>
  </sheetData>
  <mergeCells count="21">
    <mergeCell ref="AI3:AK3"/>
    <mergeCell ref="X3:Y3"/>
    <mergeCell ref="Z3:AB3"/>
    <mergeCell ref="AC3:AC4"/>
    <mergeCell ref="AD3:AD4"/>
    <mergeCell ref="AE3:AF3"/>
    <mergeCell ref="AG3:AH3"/>
    <mergeCell ref="AE21:AH21"/>
    <mergeCell ref="B3:B4"/>
    <mergeCell ref="K3:K4"/>
    <mergeCell ref="L3:L4"/>
    <mergeCell ref="M3:N3"/>
    <mergeCell ref="O3:P3"/>
    <mergeCell ref="Q3:S3"/>
    <mergeCell ref="T3:T4"/>
    <mergeCell ref="U3:U4"/>
    <mergeCell ref="V3:W3"/>
    <mergeCell ref="C3:C4"/>
    <mergeCell ref="D3:E3"/>
    <mergeCell ref="F3:G3"/>
    <mergeCell ref="H3:J3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F7A88-2ADE-4A72-B769-E41CFAD0B9F0}">
  <dimension ref="B2:AT15"/>
  <sheetViews>
    <sheetView workbookViewId="0">
      <selection activeCell="I20" sqref="I20"/>
    </sheetView>
  </sheetViews>
  <sheetFormatPr defaultColWidth="6.375" defaultRowHeight="16.899999999999999"/>
  <cols>
    <col min="1" max="1" width="1.6875" customWidth="1"/>
    <col min="4" max="7" width="6.5" bestFit="1" customWidth="1"/>
    <col min="8" max="9" width="6.6875" bestFit="1" customWidth="1"/>
    <col min="10" max="10" width="6.875" bestFit="1" customWidth="1"/>
    <col min="13" max="16" width="6.5" bestFit="1" customWidth="1"/>
    <col min="17" max="18" width="6.6875" bestFit="1" customWidth="1"/>
    <col min="19" max="19" width="6.875" bestFit="1" customWidth="1"/>
    <col min="22" max="25" width="6.5" bestFit="1" customWidth="1"/>
    <col min="26" max="27" width="6.6875" bestFit="1" customWidth="1"/>
    <col min="28" max="28" width="6.875" bestFit="1" customWidth="1"/>
    <col min="31" max="34" width="6.5" bestFit="1" customWidth="1"/>
    <col min="35" max="36" width="6.6875" bestFit="1" customWidth="1"/>
    <col min="37" max="37" width="6.875" bestFit="1" customWidth="1"/>
    <col min="40" max="43" width="6.5" bestFit="1" customWidth="1"/>
    <col min="44" max="46" width="7.5" bestFit="1" customWidth="1"/>
  </cols>
  <sheetData>
    <row r="2" spans="2:46">
      <c r="B2" s="293"/>
      <c r="C2" s="234"/>
      <c r="D2" s="291" t="s">
        <v>5</v>
      </c>
      <c r="E2" s="291"/>
      <c r="F2" s="292" t="s">
        <v>38</v>
      </c>
      <c r="G2" s="292"/>
      <c r="H2" s="292" t="s">
        <v>39</v>
      </c>
      <c r="I2" s="292"/>
      <c r="J2" s="292"/>
      <c r="K2" s="297"/>
      <c r="L2" s="234"/>
      <c r="M2" s="291" t="s">
        <v>5</v>
      </c>
      <c r="N2" s="291"/>
      <c r="O2" s="292" t="s">
        <v>38</v>
      </c>
      <c r="P2" s="292"/>
      <c r="Q2" s="292" t="s">
        <v>39</v>
      </c>
      <c r="R2" s="292"/>
      <c r="S2" s="292"/>
      <c r="T2" s="297"/>
      <c r="U2" s="234"/>
      <c r="V2" s="291" t="s">
        <v>5</v>
      </c>
      <c r="W2" s="291"/>
      <c r="X2" s="292" t="s">
        <v>38</v>
      </c>
      <c r="Y2" s="292"/>
      <c r="Z2" s="292" t="s">
        <v>39</v>
      </c>
      <c r="AA2" s="292"/>
      <c r="AB2" s="292"/>
      <c r="AC2" s="297"/>
      <c r="AD2" s="234"/>
      <c r="AE2" s="291" t="s">
        <v>5</v>
      </c>
      <c r="AF2" s="291"/>
      <c r="AG2" s="292" t="s">
        <v>38</v>
      </c>
      <c r="AH2" s="292"/>
      <c r="AI2" s="292" t="s">
        <v>39</v>
      </c>
      <c r="AJ2" s="292"/>
      <c r="AK2" s="292"/>
      <c r="AL2" s="297"/>
      <c r="AM2" s="234"/>
      <c r="AN2" s="291" t="s">
        <v>5</v>
      </c>
      <c r="AO2" s="291"/>
      <c r="AP2" s="292" t="s">
        <v>38</v>
      </c>
      <c r="AQ2" s="292"/>
      <c r="AR2" s="292" t="s">
        <v>39</v>
      </c>
      <c r="AS2" s="292"/>
      <c r="AT2" s="292"/>
    </row>
    <row r="3" spans="2:46">
      <c r="B3" s="293"/>
      <c r="C3" s="234" t="s">
        <v>6</v>
      </c>
      <c r="D3" s="235" t="s">
        <v>0</v>
      </c>
      <c r="E3" s="235" t="s">
        <v>1</v>
      </c>
      <c r="F3" s="236" t="s">
        <v>0</v>
      </c>
      <c r="G3" s="236" t="s">
        <v>1</v>
      </c>
      <c r="H3" s="237" t="s">
        <v>40</v>
      </c>
      <c r="I3" s="237" t="s">
        <v>41</v>
      </c>
      <c r="J3" s="238" t="s">
        <v>42</v>
      </c>
      <c r="K3" s="297"/>
      <c r="L3" s="234" t="s">
        <v>6</v>
      </c>
      <c r="M3" s="235" t="s">
        <v>0</v>
      </c>
      <c r="N3" s="235" t="s">
        <v>1</v>
      </c>
      <c r="O3" s="236" t="s">
        <v>0</v>
      </c>
      <c r="P3" s="236" t="s">
        <v>1</v>
      </c>
      <c r="Q3" s="237" t="s">
        <v>40</v>
      </c>
      <c r="R3" s="237" t="s">
        <v>41</v>
      </c>
      <c r="S3" s="238" t="s">
        <v>42</v>
      </c>
      <c r="T3" s="297"/>
      <c r="U3" s="234" t="s">
        <v>6</v>
      </c>
      <c r="V3" s="235" t="s">
        <v>0</v>
      </c>
      <c r="W3" s="235" t="s">
        <v>1</v>
      </c>
      <c r="X3" s="236" t="s">
        <v>0</v>
      </c>
      <c r="Y3" s="236" t="s">
        <v>1</v>
      </c>
      <c r="Z3" s="237" t="s">
        <v>40</v>
      </c>
      <c r="AA3" s="237" t="s">
        <v>41</v>
      </c>
      <c r="AB3" s="238" t="s">
        <v>42</v>
      </c>
      <c r="AC3" s="297"/>
      <c r="AD3" s="234" t="s">
        <v>6</v>
      </c>
      <c r="AE3" s="235" t="s">
        <v>0</v>
      </c>
      <c r="AF3" s="235" t="s">
        <v>1</v>
      </c>
      <c r="AG3" s="236" t="s">
        <v>0</v>
      </c>
      <c r="AH3" s="236" t="s">
        <v>1</v>
      </c>
      <c r="AI3" s="237" t="s">
        <v>40</v>
      </c>
      <c r="AJ3" s="237" t="s">
        <v>41</v>
      </c>
      <c r="AK3" s="238" t="s">
        <v>42</v>
      </c>
      <c r="AL3" s="297"/>
      <c r="AM3" s="234" t="s">
        <v>6</v>
      </c>
      <c r="AN3" s="235" t="s">
        <v>0</v>
      </c>
      <c r="AO3" s="235" t="s">
        <v>1</v>
      </c>
      <c r="AP3" s="236" t="s">
        <v>0</v>
      </c>
      <c r="AQ3" s="236" t="s">
        <v>1</v>
      </c>
      <c r="AR3" s="237" t="s">
        <v>40</v>
      </c>
      <c r="AS3" s="237" t="s">
        <v>41</v>
      </c>
      <c r="AT3" s="238" t="s">
        <v>42</v>
      </c>
    </row>
    <row r="4" spans="2:46">
      <c r="B4" s="294" t="s">
        <v>7</v>
      </c>
      <c r="C4" s="70"/>
      <c r="D4" s="240">
        <v>0.29659999999999997</v>
      </c>
      <c r="E4" s="240">
        <v>0.32073000000000002</v>
      </c>
      <c r="F4" s="236">
        <v>0.29799999999999999</v>
      </c>
      <c r="G4" s="236">
        <v>0.32100000000000001</v>
      </c>
      <c r="H4" s="274">
        <f>D4-F4</f>
        <v>-1.4000000000000123E-3</v>
      </c>
      <c r="I4" s="274">
        <f>E4-G4</f>
        <v>-2.6999999999999247E-4</v>
      </c>
      <c r="J4" s="275">
        <f>SQRT(H4^2+I4^2)</f>
        <v>1.4257980221616352E-3</v>
      </c>
      <c r="K4" s="295" t="s">
        <v>8</v>
      </c>
      <c r="L4" s="242"/>
      <c r="M4" s="243">
        <v>0.19763</v>
      </c>
      <c r="N4" s="243">
        <v>0.22852</v>
      </c>
      <c r="O4" s="236">
        <v>0.19800000000000001</v>
      </c>
      <c r="P4" s="236">
        <v>0.22900000000000001</v>
      </c>
      <c r="Q4" s="274">
        <f t="shared" ref="Q4:Q13" si="0">M4-O4</f>
        <v>-3.7000000000000921E-4</v>
      </c>
      <c r="R4" s="274">
        <f t="shared" ref="R4:R13" si="1">N4-P4</f>
        <v>-4.800000000000082E-4</v>
      </c>
      <c r="S4" s="275">
        <f t="shared" ref="S4:S13" si="2">SQRT(Q4^2+R4^2)</f>
        <v>6.0605280298008254E-4</v>
      </c>
      <c r="T4" s="295" t="s">
        <v>9</v>
      </c>
      <c r="U4" s="244"/>
      <c r="V4" s="243">
        <v>0.29727999999999999</v>
      </c>
      <c r="W4" s="243">
        <v>0.27190999999999999</v>
      </c>
      <c r="X4" s="236">
        <v>0.29799999999999999</v>
      </c>
      <c r="Y4" s="236">
        <v>0.27400000000000002</v>
      </c>
      <c r="Z4" s="274">
        <f t="shared" ref="Z4:Z13" si="3">V4-X4</f>
        <v>-7.1999999999999842E-4</v>
      </c>
      <c r="AA4" s="274">
        <f t="shared" ref="AA4:AA13" si="4">W4-Y4</f>
        <v>-2.0900000000000363E-3</v>
      </c>
      <c r="AB4" s="275">
        <f t="shared" ref="AB4:AB13" si="5">SQRT(Z4^2+AA4^2)</f>
        <v>2.2105429197371738E-3</v>
      </c>
      <c r="AC4" s="295" t="s">
        <v>10</v>
      </c>
      <c r="AD4" s="245"/>
      <c r="AE4" s="243">
        <v>0.15346000000000001</v>
      </c>
      <c r="AF4" s="243">
        <v>9.7519999999999996E-2</v>
      </c>
      <c r="AG4" s="236">
        <v>0.153</v>
      </c>
      <c r="AH4" s="236">
        <v>9.9000000000000005E-2</v>
      </c>
      <c r="AI4" s="274">
        <f t="shared" ref="AI4:AI15" si="6">AE4-AG4</f>
        <v>4.6000000000001595E-4</v>
      </c>
      <c r="AJ4" s="274">
        <f t="shared" ref="AJ4:AJ15" si="7">AF4-AH4</f>
        <v>-1.4800000000000091E-3</v>
      </c>
      <c r="AK4" s="275">
        <f t="shared" ref="AK4:AK15" si="8">SQRT(AI4^2+AJ4^2)</f>
        <v>1.5498387012847633E-3</v>
      </c>
      <c r="AL4" s="295" t="s">
        <v>37</v>
      </c>
      <c r="AM4" s="246"/>
      <c r="AN4" s="243">
        <v>0.31273000000000001</v>
      </c>
      <c r="AO4" s="243">
        <v>0.32901999999999998</v>
      </c>
      <c r="AP4" s="236">
        <v>0.312</v>
      </c>
      <c r="AQ4" s="236">
        <v>0.32900000000000001</v>
      </c>
      <c r="AR4" s="274">
        <f t="shared" ref="AR4:AR12" si="9">AN4-AP4</f>
        <v>7.3000000000000842E-4</v>
      </c>
      <c r="AS4" s="274">
        <f t="shared" ref="AS4:AS12" si="10">AO4-AQ4</f>
        <v>1.9999999999964491E-5</v>
      </c>
      <c r="AT4" s="275">
        <f t="shared" ref="AT4:AT12" si="11">SQRT(AR4^2+AS4^2)</f>
        <v>7.3027392121039814E-4</v>
      </c>
    </row>
    <row r="5" spans="2:46">
      <c r="B5" s="294"/>
      <c r="C5" s="71"/>
      <c r="D5" s="243">
        <v>0.32937</v>
      </c>
      <c r="E5" s="243">
        <v>0.33933000000000002</v>
      </c>
      <c r="F5" s="236">
        <v>0.32800000000000001</v>
      </c>
      <c r="G5" s="236">
        <v>0.34</v>
      </c>
      <c r="H5" s="274">
        <f t="shared" ref="H5:H13" si="12">D5-F5</f>
        <v>1.3699999999999823E-3</v>
      </c>
      <c r="I5" s="274">
        <f t="shared" ref="I5:I13" si="13">E5-G5</f>
        <v>-6.7000000000000393E-4</v>
      </c>
      <c r="J5" s="275">
        <f t="shared" ref="J5:J13" si="14">SQRT(H5^2+I5^2)</f>
        <v>1.5250573759698213E-3</v>
      </c>
      <c r="K5" s="295"/>
      <c r="L5" s="247"/>
      <c r="M5" s="243">
        <v>0.30370999999999998</v>
      </c>
      <c r="N5" s="243">
        <v>0.38968999999999998</v>
      </c>
      <c r="O5" s="236">
        <v>0.30299999999999999</v>
      </c>
      <c r="P5" s="236">
        <v>0.39100000000000001</v>
      </c>
      <c r="Q5" s="274">
        <f t="shared" si="0"/>
        <v>7.0999999999998842E-4</v>
      </c>
      <c r="R5" s="274">
        <f t="shared" si="1"/>
        <v>-1.3100000000000334E-3</v>
      </c>
      <c r="S5" s="275">
        <f t="shared" si="2"/>
        <v>1.4900335566691346E-3</v>
      </c>
      <c r="T5" s="295"/>
      <c r="U5" s="248"/>
      <c r="V5" s="243">
        <v>0.51129999999999998</v>
      </c>
      <c r="W5" s="243">
        <v>0.37468000000000001</v>
      </c>
      <c r="X5" s="236">
        <v>0.51100000000000001</v>
      </c>
      <c r="Y5" s="236">
        <v>0.375</v>
      </c>
      <c r="Z5" s="274">
        <f t="shared" si="3"/>
        <v>2.9999999999996696E-4</v>
      </c>
      <c r="AA5" s="274">
        <f t="shared" si="4"/>
        <v>-3.1999999999998696E-4</v>
      </c>
      <c r="AB5" s="275">
        <f t="shared" si="5"/>
        <v>4.3863424398919406E-4</v>
      </c>
      <c r="AC5" s="295"/>
      <c r="AD5" s="249"/>
      <c r="AE5" s="243">
        <v>0.21</v>
      </c>
      <c r="AF5" s="243">
        <v>0.71</v>
      </c>
      <c r="AG5" s="276">
        <v>0.20899999999999999</v>
      </c>
      <c r="AH5" s="276">
        <v>0.68</v>
      </c>
      <c r="AI5" s="274">
        <f t="shared" si="6"/>
        <v>1.0000000000000009E-3</v>
      </c>
      <c r="AJ5" s="274">
        <f t="shared" si="7"/>
        <v>2.9999999999999916E-2</v>
      </c>
      <c r="AK5" s="277">
        <f t="shared" si="8"/>
        <v>3.0016662039607185E-2</v>
      </c>
      <c r="AL5" s="295"/>
      <c r="AM5" s="109"/>
      <c r="AN5" s="243">
        <v>0.18448000000000001</v>
      </c>
      <c r="AO5" s="243">
        <v>0.36168</v>
      </c>
      <c r="AP5" s="236">
        <v>0.183</v>
      </c>
      <c r="AQ5" s="236">
        <v>0.36199999999999999</v>
      </c>
      <c r="AR5" s="274">
        <f t="shared" si="9"/>
        <v>1.4800000000000091E-3</v>
      </c>
      <c r="AS5" s="274">
        <f t="shared" si="10"/>
        <v>-3.1999999999998696E-4</v>
      </c>
      <c r="AT5" s="275">
        <f t="shared" si="11"/>
        <v>1.5141994584598221E-3</v>
      </c>
    </row>
    <row r="6" spans="2:46">
      <c r="B6" s="294"/>
      <c r="C6" s="72"/>
      <c r="D6" s="243">
        <v>0.51727999999999996</v>
      </c>
      <c r="E6" s="243">
        <v>0.43662000000000001</v>
      </c>
      <c r="F6" s="236">
        <v>0.51800000000000002</v>
      </c>
      <c r="G6" s="236">
        <v>0.437</v>
      </c>
      <c r="H6" s="274">
        <f t="shared" si="12"/>
        <v>-7.2000000000005393E-4</v>
      </c>
      <c r="I6" s="274">
        <f t="shared" si="13"/>
        <v>-3.7999999999999146E-4</v>
      </c>
      <c r="J6" s="275">
        <f t="shared" si="14"/>
        <v>8.1412529748194854E-4</v>
      </c>
      <c r="K6" s="295"/>
      <c r="L6" s="250"/>
      <c r="M6" s="243">
        <v>0.26643</v>
      </c>
      <c r="N6" s="243">
        <v>0.21495</v>
      </c>
      <c r="O6" s="236">
        <v>0.26700000000000002</v>
      </c>
      <c r="P6" s="236">
        <v>0.215</v>
      </c>
      <c r="Q6" s="274">
        <f t="shared" si="0"/>
        <v>-5.7000000000001494E-4</v>
      </c>
      <c r="R6" s="274">
        <f t="shared" si="1"/>
        <v>-4.9999999999994493E-5</v>
      </c>
      <c r="S6" s="275">
        <f t="shared" si="2"/>
        <v>5.7218878003681309E-4</v>
      </c>
      <c r="T6" s="295"/>
      <c r="U6" s="251"/>
      <c r="V6" s="243">
        <v>0.60202999999999995</v>
      </c>
      <c r="W6" s="243">
        <v>0.36354999999999998</v>
      </c>
      <c r="X6" s="236">
        <v>0.60299999999999998</v>
      </c>
      <c r="Y6" s="236">
        <v>0.36299999999999999</v>
      </c>
      <c r="Z6" s="274">
        <f t="shared" si="3"/>
        <v>-9.700000000000264E-4</v>
      </c>
      <c r="AA6" s="274">
        <f t="shared" si="4"/>
        <v>5.4999999999999494E-4</v>
      </c>
      <c r="AB6" s="275">
        <f t="shared" si="5"/>
        <v>1.115078472574933E-3</v>
      </c>
      <c r="AC6" s="295"/>
      <c r="AD6" s="252"/>
      <c r="AE6" s="243">
        <v>0.47871000000000002</v>
      </c>
      <c r="AF6" s="243">
        <v>0.47254000000000002</v>
      </c>
      <c r="AG6" s="236">
        <v>0.47699999999999998</v>
      </c>
      <c r="AH6" s="236">
        <v>0.47399999999999998</v>
      </c>
      <c r="AI6" s="274">
        <f t="shared" si="6"/>
        <v>1.7100000000000448E-3</v>
      </c>
      <c r="AJ6" s="274">
        <f t="shared" si="7"/>
        <v>-1.4599999999999613E-3</v>
      </c>
      <c r="AK6" s="275">
        <f t="shared" si="8"/>
        <v>2.2484883811129735E-3</v>
      </c>
      <c r="AL6" s="295"/>
      <c r="AM6" s="110"/>
      <c r="AN6" s="243">
        <v>0.60940000000000005</v>
      </c>
      <c r="AO6" s="243">
        <v>0.35704000000000002</v>
      </c>
      <c r="AP6" s="236">
        <v>0.60899999999999999</v>
      </c>
      <c r="AQ6" s="236">
        <v>0.35599999999999998</v>
      </c>
      <c r="AR6" s="274">
        <f t="shared" si="9"/>
        <v>4.0000000000006697E-4</v>
      </c>
      <c r="AS6" s="274">
        <f t="shared" si="10"/>
        <v>1.0400000000000409E-3</v>
      </c>
      <c r="AT6" s="275">
        <f t="shared" si="11"/>
        <v>1.1142710621747918E-3</v>
      </c>
    </row>
    <row r="7" spans="2:46">
      <c r="B7" s="294"/>
      <c r="C7" s="73"/>
      <c r="D7" s="243">
        <v>0.58682999999999996</v>
      </c>
      <c r="E7" s="243">
        <v>0.32984000000000002</v>
      </c>
      <c r="F7" s="236">
        <v>0.58799999999999997</v>
      </c>
      <c r="G7" s="236">
        <v>0.32800000000000001</v>
      </c>
      <c r="H7" s="274">
        <f t="shared" si="12"/>
        <v>-1.1700000000000044E-3</v>
      </c>
      <c r="I7" s="274">
        <f t="shared" si="13"/>
        <v>1.8400000000000083E-3</v>
      </c>
      <c r="J7" s="275">
        <f t="shared" si="14"/>
        <v>2.180481598179641E-3</v>
      </c>
      <c r="K7" s="295"/>
      <c r="L7" s="253"/>
      <c r="M7" s="243">
        <v>0.39599000000000001</v>
      </c>
      <c r="N7" s="243">
        <v>0.28621000000000002</v>
      </c>
      <c r="O7" s="236">
        <v>0.39600000000000002</v>
      </c>
      <c r="P7" s="236">
        <v>0.28599999999999998</v>
      </c>
      <c r="Q7" s="274">
        <f t="shared" si="0"/>
        <v>-1.0000000000010001E-5</v>
      </c>
      <c r="R7" s="274">
        <f t="shared" si="1"/>
        <v>2.1000000000004349E-4</v>
      </c>
      <c r="S7" s="275">
        <f t="shared" si="2"/>
        <v>2.1023796041633029E-4</v>
      </c>
      <c r="T7" s="295"/>
      <c r="U7" s="254"/>
      <c r="V7" s="243">
        <v>0.62704000000000004</v>
      </c>
      <c r="W7" s="243">
        <v>0.33285999999999999</v>
      </c>
      <c r="X7" s="236">
        <v>0.629</v>
      </c>
      <c r="Y7" s="236">
        <v>0.33200000000000002</v>
      </c>
      <c r="Z7" s="274">
        <f t="shared" si="3"/>
        <v>-1.9599999999999618E-3</v>
      </c>
      <c r="AA7" s="274">
        <f t="shared" si="4"/>
        <v>8.599999999999719E-4</v>
      </c>
      <c r="AB7" s="275">
        <f t="shared" si="5"/>
        <v>2.140373799129442E-3</v>
      </c>
      <c r="AC7" s="295"/>
      <c r="AD7" s="249"/>
      <c r="AE7" s="243">
        <v>0.21</v>
      </c>
      <c r="AF7" s="243">
        <v>0.71</v>
      </c>
      <c r="AG7" s="276">
        <v>0.20899999999999999</v>
      </c>
      <c r="AH7" s="276">
        <v>0.68</v>
      </c>
      <c r="AI7" s="274">
        <f t="shared" si="6"/>
        <v>1.0000000000000009E-3</v>
      </c>
      <c r="AJ7" s="274">
        <f t="shared" si="7"/>
        <v>2.9999999999999916E-2</v>
      </c>
      <c r="AK7" s="277">
        <f t="shared" si="8"/>
        <v>3.0016662039607185E-2</v>
      </c>
      <c r="AL7" s="295"/>
      <c r="AM7" s="110"/>
      <c r="AN7" s="243">
        <v>0.60940000000000005</v>
      </c>
      <c r="AO7" s="243">
        <v>0.35704000000000002</v>
      </c>
      <c r="AP7" s="236">
        <v>0.60899999999999999</v>
      </c>
      <c r="AQ7" s="236">
        <v>0.35599999999999998</v>
      </c>
      <c r="AR7" s="274">
        <f t="shared" si="9"/>
        <v>4.0000000000006697E-4</v>
      </c>
      <c r="AS7" s="274">
        <f t="shared" si="10"/>
        <v>1.0400000000000409E-3</v>
      </c>
      <c r="AT7" s="275">
        <f t="shared" si="11"/>
        <v>1.1142710621747918E-3</v>
      </c>
    </row>
    <row r="8" spans="2:46">
      <c r="B8" s="294"/>
      <c r="C8" s="74"/>
      <c r="D8" s="255">
        <v>0.29699999999999999</v>
      </c>
      <c r="E8" s="243">
        <v>0.14199999999999999</v>
      </c>
      <c r="F8" s="236">
        <v>0.29799999999999999</v>
      </c>
      <c r="G8" s="236">
        <v>0.14399999999999999</v>
      </c>
      <c r="H8" s="274">
        <f t="shared" si="12"/>
        <v>-1.0000000000000009E-3</v>
      </c>
      <c r="I8" s="274">
        <f t="shared" si="13"/>
        <v>-2.0000000000000018E-3</v>
      </c>
      <c r="J8" s="275">
        <f t="shared" si="14"/>
        <v>2.236067977499792E-3</v>
      </c>
      <c r="K8" s="295"/>
      <c r="L8" s="256"/>
      <c r="M8" s="243">
        <v>0.49687999999999999</v>
      </c>
      <c r="N8" s="243">
        <v>0.35761999999999999</v>
      </c>
      <c r="O8" s="236">
        <v>0.498</v>
      </c>
      <c r="P8" s="236">
        <v>0.35899999999999999</v>
      </c>
      <c r="Q8" s="274">
        <f t="shared" si="0"/>
        <v>-1.1200000000000099E-3</v>
      </c>
      <c r="R8" s="274">
        <f t="shared" si="1"/>
        <v>-1.3799999999999923E-3</v>
      </c>
      <c r="S8" s="275">
        <f t="shared" si="2"/>
        <v>1.7773013250431118E-3</v>
      </c>
      <c r="T8" s="295"/>
      <c r="U8" s="257"/>
      <c r="V8" s="243">
        <v>0.63944999999999996</v>
      </c>
      <c r="W8" s="243">
        <v>0.32969999999999999</v>
      </c>
      <c r="X8" s="236">
        <v>0.64100000000000001</v>
      </c>
      <c r="Y8" s="236">
        <v>0.33100000000000002</v>
      </c>
      <c r="Z8" s="274">
        <f t="shared" si="3"/>
        <v>-1.5500000000000513E-3</v>
      </c>
      <c r="AA8" s="274">
        <f t="shared" si="4"/>
        <v>-1.3000000000000234E-3</v>
      </c>
      <c r="AB8" s="275">
        <f t="shared" si="5"/>
        <v>2.022992832414445E-3</v>
      </c>
      <c r="AC8" s="295"/>
      <c r="AD8" s="258"/>
      <c r="AE8" s="243">
        <v>0.64</v>
      </c>
      <c r="AF8" s="243">
        <v>0.33</v>
      </c>
      <c r="AG8" s="236">
        <v>0.64200000000000002</v>
      </c>
      <c r="AH8" s="236">
        <v>0.33100000000000002</v>
      </c>
      <c r="AI8" s="274">
        <f t="shared" si="6"/>
        <v>-2.0000000000000018E-3</v>
      </c>
      <c r="AJ8" s="274">
        <f t="shared" si="7"/>
        <v>-1.0000000000000009E-3</v>
      </c>
      <c r="AK8" s="275">
        <f t="shared" si="8"/>
        <v>2.236067977499792E-3</v>
      </c>
      <c r="AL8" s="295"/>
      <c r="AM8" s="111"/>
      <c r="AN8" s="243">
        <v>0.16633999999999999</v>
      </c>
      <c r="AO8" s="243">
        <v>0.23696</v>
      </c>
      <c r="AP8" s="236">
        <v>0.16600000000000001</v>
      </c>
      <c r="AQ8" s="236">
        <v>0.23799999999999999</v>
      </c>
      <c r="AR8" s="274">
        <f t="shared" si="9"/>
        <v>3.3999999999997921E-4</v>
      </c>
      <c r="AS8" s="274">
        <f t="shared" si="10"/>
        <v>-1.0399999999999854E-3</v>
      </c>
      <c r="AT8" s="275">
        <f t="shared" si="11"/>
        <v>1.0941663493271741E-3</v>
      </c>
    </row>
    <row r="9" spans="2:46">
      <c r="B9" s="294"/>
      <c r="C9" s="75"/>
      <c r="D9" s="243">
        <v>0.22844</v>
      </c>
      <c r="E9" s="243">
        <v>0.10854</v>
      </c>
      <c r="F9" s="236">
        <v>0.22800000000000001</v>
      </c>
      <c r="G9" s="236">
        <v>0.108</v>
      </c>
      <c r="H9" s="274">
        <f t="shared" si="12"/>
        <v>4.3999999999999595E-4</v>
      </c>
      <c r="I9" s="274">
        <f t="shared" si="13"/>
        <v>5.3999999999999881E-4</v>
      </c>
      <c r="J9" s="275">
        <f t="shared" si="14"/>
        <v>6.9656299069071649E-4</v>
      </c>
      <c r="K9" s="295"/>
      <c r="L9" s="259"/>
      <c r="M9" s="243">
        <v>0.43759999999999999</v>
      </c>
      <c r="N9" s="243">
        <v>0.4219</v>
      </c>
      <c r="O9" s="236">
        <v>0.438</v>
      </c>
      <c r="P9" s="236">
        <v>0.42099999999999999</v>
      </c>
      <c r="Q9" s="274">
        <f t="shared" si="0"/>
        <v>-4.0000000000001146E-4</v>
      </c>
      <c r="R9" s="274">
        <f t="shared" si="1"/>
        <v>9.000000000000119E-4</v>
      </c>
      <c r="S9" s="275">
        <f t="shared" si="2"/>
        <v>9.84885780179626E-4</v>
      </c>
      <c r="T9" s="295"/>
      <c r="U9" s="260"/>
      <c r="V9" s="243">
        <v>0.26593</v>
      </c>
      <c r="W9" s="243">
        <v>0.12388</v>
      </c>
      <c r="X9" s="236">
        <v>0.26500000000000001</v>
      </c>
      <c r="Y9" s="236">
        <v>0.124</v>
      </c>
      <c r="Z9" s="274">
        <f t="shared" si="3"/>
        <v>9.2999999999998639E-4</v>
      </c>
      <c r="AA9" s="274">
        <f t="shared" si="4"/>
        <v>-1.1999999999999511E-4</v>
      </c>
      <c r="AB9" s="275">
        <f t="shared" si="5"/>
        <v>9.377099764852529E-4</v>
      </c>
      <c r="AC9" s="295"/>
      <c r="AD9" s="261"/>
      <c r="AE9" s="243">
        <v>0.60116999999999998</v>
      </c>
      <c r="AF9" s="243">
        <v>0.36431000000000002</v>
      </c>
      <c r="AG9" s="236">
        <v>0.6</v>
      </c>
      <c r="AH9" s="236">
        <v>0.36199999999999999</v>
      </c>
      <c r="AI9" s="274">
        <f t="shared" si="6"/>
        <v>1.1700000000000044E-3</v>
      </c>
      <c r="AJ9" s="274">
        <f t="shared" si="7"/>
        <v>2.3100000000000342E-3</v>
      </c>
      <c r="AK9" s="275">
        <f t="shared" si="8"/>
        <v>2.5894014752448429E-3</v>
      </c>
      <c r="AL9" s="295"/>
      <c r="AM9" s="112"/>
      <c r="AN9" s="243">
        <v>0.22803000000000001</v>
      </c>
      <c r="AO9" s="243">
        <v>0.10299</v>
      </c>
      <c r="AP9" s="236">
        <v>0.22900000000000001</v>
      </c>
      <c r="AQ9" s="236">
        <v>0.10299999999999999</v>
      </c>
      <c r="AR9" s="274">
        <f t="shared" si="9"/>
        <v>-9.6999999999999864E-4</v>
      </c>
      <c r="AS9" s="274">
        <f t="shared" si="10"/>
        <v>-9.9999999999961231E-6</v>
      </c>
      <c r="AT9" s="275">
        <f t="shared" si="11"/>
        <v>9.7005154502222059E-4</v>
      </c>
    </row>
    <row r="10" spans="2:46">
      <c r="B10" s="294"/>
      <c r="C10" s="76"/>
      <c r="D10" s="243">
        <v>0.16152</v>
      </c>
      <c r="E10" s="243">
        <v>0.16786000000000001</v>
      </c>
      <c r="F10" s="236">
        <v>0.161</v>
      </c>
      <c r="G10" s="236">
        <v>0.16800000000000001</v>
      </c>
      <c r="H10" s="274">
        <f t="shared" si="12"/>
        <v>5.1999999999999269E-4</v>
      </c>
      <c r="I10" s="274">
        <f t="shared" si="13"/>
        <v>-1.4000000000000123E-4</v>
      </c>
      <c r="J10" s="275">
        <f t="shared" si="14"/>
        <v>5.3851648071344372E-4</v>
      </c>
      <c r="K10" s="295"/>
      <c r="L10" s="262"/>
      <c r="M10" s="243">
        <v>0.18945000000000001</v>
      </c>
      <c r="N10" s="243">
        <v>0.32011000000000001</v>
      </c>
      <c r="O10" s="236">
        <v>0.19</v>
      </c>
      <c r="P10" s="236">
        <v>0.31900000000000001</v>
      </c>
      <c r="Q10" s="274">
        <f t="shared" si="0"/>
        <v>-5.4999999999999494E-4</v>
      </c>
      <c r="R10" s="274">
        <f t="shared" si="1"/>
        <v>1.1099999999999999E-3</v>
      </c>
      <c r="S10" s="275">
        <f t="shared" si="2"/>
        <v>1.2387897319561516E-3</v>
      </c>
      <c r="T10" s="295"/>
      <c r="U10" s="263"/>
      <c r="V10" s="243">
        <v>0.19114999999999999</v>
      </c>
      <c r="W10" s="243">
        <v>8.2669999999999993E-2</v>
      </c>
      <c r="X10" s="236">
        <v>0.192</v>
      </c>
      <c r="Y10" s="236">
        <v>8.4000000000000005E-2</v>
      </c>
      <c r="Z10" s="274">
        <f t="shared" si="3"/>
        <v>-8.5000000000001741E-4</v>
      </c>
      <c r="AA10" s="274">
        <f t="shared" si="4"/>
        <v>-1.3300000000000117E-3</v>
      </c>
      <c r="AB10" s="275">
        <f t="shared" si="5"/>
        <v>1.5784169284444654E-3</v>
      </c>
      <c r="AC10" s="295"/>
      <c r="AD10" s="264"/>
      <c r="AE10" s="243">
        <v>0.57308999999999999</v>
      </c>
      <c r="AF10" s="243">
        <v>0.32979999999999998</v>
      </c>
      <c r="AG10" s="236">
        <v>0.57199999999999995</v>
      </c>
      <c r="AH10" s="236">
        <v>0.32900000000000001</v>
      </c>
      <c r="AI10" s="274">
        <f t="shared" si="6"/>
        <v>1.0900000000000354E-3</v>
      </c>
      <c r="AJ10" s="274">
        <f t="shared" si="7"/>
        <v>7.999999999999674E-4</v>
      </c>
      <c r="AK10" s="275">
        <f t="shared" si="8"/>
        <v>1.3520724832641277E-3</v>
      </c>
      <c r="AL10" s="295"/>
      <c r="AM10" s="113"/>
      <c r="AN10" s="243">
        <v>0.25833</v>
      </c>
      <c r="AO10" s="243">
        <v>0.30124000000000001</v>
      </c>
      <c r="AP10" s="236">
        <v>0.25700000000000001</v>
      </c>
      <c r="AQ10" s="236">
        <v>0.30099999999999999</v>
      </c>
      <c r="AR10" s="274">
        <f t="shared" si="9"/>
        <v>1.3299999999999979E-3</v>
      </c>
      <c r="AS10" s="274">
        <f t="shared" si="10"/>
        <v>2.4000000000001798E-4</v>
      </c>
      <c r="AT10" s="275">
        <f t="shared" si="11"/>
        <v>1.3514806694880999E-3</v>
      </c>
    </row>
    <row r="11" spans="2:46">
      <c r="B11" s="294"/>
      <c r="C11" s="77"/>
      <c r="D11" s="243">
        <v>0.17596999999999999</v>
      </c>
      <c r="E11" s="243">
        <v>0.34110000000000001</v>
      </c>
      <c r="F11" s="236">
        <v>0.17599999999999999</v>
      </c>
      <c r="G11" s="236">
        <v>0.34</v>
      </c>
      <c r="H11" s="274">
        <f t="shared" si="12"/>
        <v>-3.0000000000002247E-5</v>
      </c>
      <c r="I11" s="274">
        <f t="shared" si="13"/>
        <v>1.0999999999999899E-3</v>
      </c>
      <c r="J11" s="275">
        <f t="shared" si="14"/>
        <v>1.1004090148667349E-3</v>
      </c>
      <c r="K11" s="295"/>
      <c r="L11" s="246"/>
      <c r="M11" s="243">
        <v>0.31273000000000001</v>
      </c>
      <c r="N11" s="243">
        <v>0.32901999999999998</v>
      </c>
      <c r="O11" s="236">
        <v>0.312</v>
      </c>
      <c r="P11" s="236">
        <v>0.32900000000000001</v>
      </c>
      <c r="Q11" s="274">
        <f t="shared" si="0"/>
        <v>7.3000000000000842E-4</v>
      </c>
      <c r="R11" s="274">
        <f t="shared" si="1"/>
        <v>1.9999999999964491E-5</v>
      </c>
      <c r="S11" s="275">
        <f t="shared" si="2"/>
        <v>7.3027392121039814E-4</v>
      </c>
      <c r="T11" s="295"/>
      <c r="U11" s="265"/>
      <c r="V11" s="243">
        <v>0.17471</v>
      </c>
      <c r="W11" s="243">
        <v>0.106</v>
      </c>
      <c r="X11" s="236">
        <v>0.17399999999999999</v>
      </c>
      <c r="Y11" s="236">
        <v>0.106</v>
      </c>
      <c r="Z11" s="274">
        <f t="shared" si="3"/>
        <v>7.1000000000001617E-4</v>
      </c>
      <c r="AA11" s="274">
        <f t="shared" si="4"/>
        <v>0</v>
      </c>
      <c r="AB11" s="275">
        <f t="shared" si="5"/>
        <v>7.1000000000001617E-4</v>
      </c>
      <c r="AC11" s="295"/>
      <c r="AD11" s="266"/>
      <c r="AE11" s="243">
        <v>0.20277999999999999</v>
      </c>
      <c r="AF11" s="243">
        <v>8.9080000000000006E-2</v>
      </c>
      <c r="AG11" s="236">
        <v>0.20200000000000001</v>
      </c>
      <c r="AH11" s="236">
        <v>8.6999999999999994E-2</v>
      </c>
      <c r="AI11" s="274">
        <f t="shared" si="6"/>
        <v>7.7999999999997516E-4</v>
      </c>
      <c r="AJ11" s="274">
        <f t="shared" si="7"/>
        <v>2.0800000000000124E-3</v>
      </c>
      <c r="AK11" s="275">
        <f t="shared" si="8"/>
        <v>2.221440973782561E-3</v>
      </c>
      <c r="AL11" s="295"/>
      <c r="AM11" s="114"/>
      <c r="AN11" s="243">
        <v>0.35955999999999999</v>
      </c>
      <c r="AO11" s="243">
        <v>0.57782999999999995</v>
      </c>
      <c r="AP11" s="276">
        <v>0.35899999999999999</v>
      </c>
      <c r="AQ11" s="276">
        <v>0.56499999999999995</v>
      </c>
      <c r="AR11" s="274">
        <f t="shared" si="9"/>
        <v>5.6000000000000494E-4</v>
      </c>
      <c r="AS11" s="274">
        <f t="shared" si="10"/>
        <v>1.2830000000000008E-2</v>
      </c>
      <c r="AT11" s="277">
        <f t="shared" si="11"/>
        <v>1.2842215540941532E-2</v>
      </c>
    </row>
    <row r="12" spans="2:46">
      <c r="B12" s="294"/>
      <c r="C12" s="78"/>
      <c r="D12" s="243">
        <v>0.31192999999999999</v>
      </c>
      <c r="E12" s="243">
        <v>0.61539999999999995</v>
      </c>
      <c r="F12" s="276">
        <v>0.30299999999999999</v>
      </c>
      <c r="G12" s="276">
        <v>0.60299999999999998</v>
      </c>
      <c r="H12" s="274">
        <f t="shared" si="12"/>
        <v>8.9299999999999935E-3</v>
      </c>
      <c r="I12" s="274">
        <f t="shared" si="13"/>
        <v>1.2399999999999967E-2</v>
      </c>
      <c r="J12" s="277">
        <f t="shared" si="14"/>
        <v>1.5280867121992753E-2</v>
      </c>
      <c r="K12" s="295"/>
      <c r="L12" s="267"/>
      <c r="M12" s="243">
        <v>0.63990999999999998</v>
      </c>
      <c r="N12" s="243">
        <v>0.32995000000000002</v>
      </c>
      <c r="O12" s="236">
        <v>0.64100000000000001</v>
      </c>
      <c r="P12" s="236">
        <v>0.33</v>
      </c>
      <c r="Q12" s="274">
        <f t="shared" si="0"/>
        <v>-1.0900000000000354E-3</v>
      </c>
      <c r="R12" s="274">
        <f t="shared" si="1"/>
        <v>-4.9999999999994493E-5</v>
      </c>
      <c r="S12" s="275">
        <f t="shared" si="2"/>
        <v>1.0911461863563822E-3</v>
      </c>
      <c r="T12" s="295"/>
      <c r="U12" s="268"/>
      <c r="V12" s="243">
        <v>0.18432000000000001</v>
      </c>
      <c r="W12" s="243">
        <v>0.43181000000000003</v>
      </c>
      <c r="X12" s="236">
        <v>0.185</v>
      </c>
      <c r="Y12" s="236">
        <v>0.43099999999999999</v>
      </c>
      <c r="Z12" s="274">
        <f t="shared" si="3"/>
        <v>-6.7999999999998617E-4</v>
      </c>
      <c r="AA12" s="274">
        <f t="shared" si="4"/>
        <v>8.1000000000003292E-4</v>
      </c>
      <c r="AB12" s="275">
        <f t="shared" si="5"/>
        <v>1.0575916035975485E-3</v>
      </c>
      <c r="AC12" s="295"/>
      <c r="AD12" s="269"/>
      <c r="AE12" s="243">
        <v>0.15068999999999999</v>
      </c>
      <c r="AF12" s="243">
        <v>6.0380000000000003E-2</v>
      </c>
      <c r="AG12" s="236">
        <v>0.152</v>
      </c>
      <c r="AH12" s="236">
        <v>6.0999999999999999E-2</v>
      </c>
      <c r="AI12" s="274">
        <f t="shared" si="6"/>
        <v>-1.3100000000000056E-3</v>
      </c>
      <c r="AJ12" s="274">
        <f t="shared" si="7"/>
        <v>-6.1999999999999555E-4</v>
      </c>
      <c r="AK12" s="275">
        <f t="shared" si="8"/>
        <v>1.4493101807411721E-3</v>
      </c>
      <c r="AL12" s="295"/>
      <c r="AM12" s="112"/>
      <c r="AN12" s="243">
        <v>0.22803000000000001</v>
      </c>
      <c r="AO12" s="243">
        <v>0.10299</v>
      </c>
      <c r="AP12" s="236">
        <v>0.22800000000000001</v>
      </c>
      <c r="AQ12" s="236">
        <v>0.10299999999999999</v>
      </c>
      <c r="AR12" s="274">
        <f t="shared" si="9"/>
        <v>3.0000000000002247E-5</v>
      </c>
      <c r="AS12" s="274">
        <f t="shared" si="10"/>
        <v>-9.9999999999961231E-6</v>
      </c>
      <c r="AT12" s="275">
        <f t="shared" si="11"/>
        <v>3.1622776601684703E-5</v>
      </c>
    </row>
    <row r="13" spans="2:46">
      <c r="B13" s="294"/>
      <c r="C13" s="79"/>
      <c r="D13" s="243">
        <v>0.25833</v>
      </c>
      <c r="E13" s="243">
        <v>0.30124000000000001</v>
      </c>
      <c r="F13" s="236">
        <v>0.25900000000000001</v>
      </c>
      <c r="G13" s="236">
        <v>0.30099999999999999</v>
      </c>
      <c r="H13" s="274">
        <f t="shared" si="12"/>
        <v>-6.7000000000000393E-4</v>
      </c>
      <c r="I13" s="274">
        <f t="shared" si="13"/>
        <v>2.4000000000001798E-4</v>
      </c>
      <c r="J13" s="275">
        <f t="shared" si="14"/>
        <v>7.1168813394633323E-4</v>
      </c>
      <c r="K13" s="295"/>
      <c r="L13" s="270"/>
      <c r="M13" s="243">
        <v>0.27287</v>
      </c>
      <c r="N13" s="243">
        <v>0.28921999999999998</v>
      </c>
      <c r="O13" s="236">
        <v>0.27100000000000002</v>
      </c>
      <c r="P13" s="236">
        <v>0.28799999999999998</v>
      </c>
      <c r="Q13" s="274">
        <f t="shared" si="0"/>
        <v>1.8699999999999828E-3</v>
      </c>
      <c r="R13" s="274">
        <f t="shared" si="1"/>
        <v>1.2199999999999989E-3</v>
      </c>
      <c r="S13" s="275">
        <f t="shared" si="2"/>
        <v>2.2327785380552036E-3</v>
      </c>
      <c r="T13" s="295"/>
      <c r="U13" s="271"/>
      <c r="V13" s="243">
        <v>0.32716000000000001</v>
      </c>
      <c r="W13" s="243">
        <v>0.58289000000000002</v>
      </c>
      <c r="X13" s="236">
        <v>0.32700000000000001</v>
      </c>
      <c r="Y13" s="236">
        <v>0.58299999999999996</v>
      </c>
      <c r="Z13" s="274">
        <f t="shared" si="3"/>
        <v>1.5999999999999348E-4</v>
      </c>
      <c r="AA13" s="274">
        <f t="shared" si="4"/>
        <v>-1.0999999999994348E-4</v>
      </c>
      <c r="AB13" s="275">
        <f t="shared" si="5"/>
        <v>1.9416487838943861E-4</v>
      </c>
      <c r="AC13" s="295"/>
      <c r="AD13" s="245"/>
      <c r="AE13" s="243">
        <v>0.15346000000000001</v>
      </c>
      <c r="AF13" s="243">
        <v>9.7519999999999996E-2</v>
      </c>
      <c r="AG13" s="236">
        <v>0.152</v>
      </c>
      <c r="AH13" s="236">
        <v>9.9000000000000005E-2</v>
      </c>
      <c r="AI13" s="274">
        <f t="shared" si="6"/>
        <v>1.4600000000000168E-3</v>
      </c>
      <c r="AJ13" s="274">
        <f t="shared" si="7"/>
        <v>-1.4800000000000091E-3</v>
      </c>
      <c r="AK13" s="275">
        <f t="shared" si="8"/>
        <v>2.0789420386340923E-3</v>
      </c>
      <c r="AL13" s="239"/>
      <c r="AM13" s="239"/>
      <c r="AN13" s="239"/>
      <c r="AO13" s="239"/>
      <c r="AP13" s="241"/>
      <c r="AQ13" s="241"/>
      <c r="AR13" s="241"/>
      <c r="AS13" s="241"/>
      <c r="AT13" s="272"/>
    </row>
    <row r="14" spans="2:46">
      <c r="C14" s="239"/>
      <c r="D14" s="239"/>
      <c r="E14" s="239"/>
      <c r="F14" s="239"/>
      <c r="G14" s="239"/>
      <c r="H14" s="239"/>
      <c r="I14" s="239"/>
      <c r="J14" s="239"/>
      <c r="K14" s="239"/>
      <c r="L14" s="239"/>
      <c r="M14" s="239"/>
      <c r="N14" s="239"/>
      <c r="O14" s="239"/>
      <c r="P14" s="239"/>
      <c r="Q14" s="239"/>
      <c r="R14" s="239"/>
      <c r="S14" s="239"/>
      <c r="T14" s="239"/>
      <c r="U14" s="239"/>
      <c r="V14" s="239"/>
      <c r="W14" s="239"/>
      <c r="X14" s="239"/>
      <c r="Y14" s="239"/>
      <c r="Z14" s="239"/>
      <c r="AA14" s="239"/>
      <c r="AB14" s="239"/>
      <c r="AC14" s="295"/>
      <c r="AD14" s="273"/>
      <c r="AE14" s="243">
        <v>0.19545000000000001</v>
      </c>
      <c r="AF14" s="243">
        <v>0.55235999999999996</v>
      </c>
      <c r="AG14" s="236">
        <v>0.19600000000000001</v>
      </c>
      <c r="AH14" s="236">
        <v>0.55200000000000005</v>
      </c>
      <c r="AI14" s="274">
        <f t="shared" si="6"/>
        <v>-5.4999999999999494E-4</v>
      </c>
      <c r="AJ14" s="274">
        <f t="shared" si="7"/>
        <v>3.5999999999991594E-4</v>
      </c>
      <c r="AK14" s="275">
        <f t="shared" si="8"/>
        <v>6.5734313718174156E-4</v>
      </c>
      <c r="AL14" s="239"/>
      <c r="AM14" s="239"/>
      <c r="AN14" s="296" t="s">
        <v>35</v>
      </c>
      <c r="AO14" s="296"/>
      <c r="AP14" s="296"/>
      <c r="AQ14" s="296"/>
      <c r="AR14" s="233">
        <f>AVERAGE(H4:H13,Q4:Q13,Z4:Z13,AI4:AI15,AR4:AR12)</f>
        <v>2.1470588235293986E-4</v>
      </c>
      <c r="AS14" s="233">
        <f t="shared" ref="AS14:AT14" si="15">AVERAGE(I4:I13,R4:R13,AA4:AA13,AJ4:AJ15,AS4:AS12)</f>
        <v>2.2176470588235256E-3</v>
      </c>
      <c r="AT14" s="233">
        <f t="shared" si="15"/>
        <v>3.4714551392967864E-3</v>
      </c>
    </row>
    <row r="15" spans="2:46">
      <c r="C15" s="239"/>
      <c r="D15" s="239"/>
      <c r="E15" s="239"/>
      <c r="F15" s="239"/>
      <c r="G15" s="239"/>
      <c r="H15" s="239"/>
      <c r="I15" s="239"/>
      <c r="J15" s="239"/>
      <c r="K15" s="239"/>
      <c r="L15" s="239"/>
      <c r="M15" s="239"/>
      <c r="N15" s="239"/>
      <c r="O15" s="239"/>
      <c r="P15" s="239"/>
      <c r="Q15" s="239"/>
      <c r="R15" s="239"/>
      <c r="S15" s="239"/>
      <c r="T15" s="239"/>
      <c r="U15" s="239"/>
      <c r="V15" s="239"/>
      <c r="W15" s="239"/>
      <c r="X15" s="239"/>
      <c r="Y15" s="239"/>
      <c r="Z15" s="239"/>
      <c r="AA15" s="239"/>
      <c r="AB15" s="239"/>
      <c r="AC15" s="295"/>
      <c r="AD15" s="249"/>
      <c r="AE15" s="243">
        <v>0.21</v>
      </c>
      <c r="AF15" s="243">
        <v>0.71</v>
      </c>
      <c r="AG15" s="276">
        <v>0.20899999999999999</v>
      </c>
      <c r="AH15" s="276">
        <v>0.68</v>
      </c>
      <c r="AI15" s="274">
        <f t="shared" si="6"/>
        <v>1.0000000000000009E-3</v>
      </c>
      <c r="AJ15" s="274">
        <f t="shared" si="7"/>
        <v>2.9999999999999916E-2</v>
      </c>
      <c r="AK15" s="277">
        <f t="shared" si="8"/>
        <v>3.0016662039607185E-2</v>
      </c>
      <c r="AL15" s="239"/>
      <c r="AM15" s="239"/>
      <c r="AN15" s="239"/>
      <c r="AO15" s="239"/>
      <c r="AP15" s="239"/>
      <c r="AQ15" s="239"/>
      <c r="AR15" s="239"/>
      <c r="AS15" s="239"/>
      <c r="AT15" s="239"/>
    </row>
  </sheetData>
  <mergeCells count="26">
    <mergeCell ref="AE2:AF2"/>
    <mergeCell ref="AG2:AH2"/>
    <mergeCell ref="AI2:AK2"/>
    <mergeCell ref="AN2:AO2"/>
    <mergeCell ref="AP2:AQ2"/>
    <mergeCell ref="AR2:AT2"/>
    <mergeCell ref="T4:T13"/>
    <mergeCell ref="AC4:AC15"/>
    <mergeCell ref="AL4:AL12"/>
    <mergeCell ref="F2:G2"/>
    <mergeCell ref="M2:N2"/>
    <mergeCell ref="O2:P2"/>
    <mergeCell ref="Q2:S2"/>
    <mergeCell ref="V2:W2"/>
    <mergeCell ref="X2:Y2"/>
    <mergeCell ref="Z2:AB2"/>
    <mergeCell ref="AN14:AQ14"/>
    <mergeCell ref="AL2:AL3"/>
    <mergeCell ref="AC2:AC3"/>
    <mergeCell ref="T2:T3"/>
    <mergeCell ref="K2:K3"/>
    <mergeCell ref="D2:E2"/>
    <mergeCell ref="H2:J2"/>
    <mergeCell ref="B2:B3"/>
    <mergeCell ref="B4:B13"/>
    <mergeCell ref="K4:K13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5DEAC-1E4F-4858-A432-948B98A35141}">
  <dimension ref="B1:T68"/>
  <sheetViews>
    <sheetView workbookViewId="0">
      <selection activeCell="S18" sqref="S18"/>
    </sheetView>
  </sheetViews>
  <sheetFormatPr defaultRowHeight="16.899999999999999"/>
  <cols>
    <col min="1" max="1" width="1.6875" customWidth="1"/>
    <col min="9" max="9" width="13.0625" bestFit="1" customWidth="1"/>
    <col min="17" max="17" width="12.0625" bestFit="1" customWidth="1"/>
  </cols>
  <sheetData>
    <row r="1" spans="2:20">
      <c r="B1" t="s">
        <v>21</v>
      </c>
    </row>
    <row r="2" spans="2:20" ht="20.65">
      <c r="B2" s="136" t="s">
        <v>19</v>
      </c>
      <c r="K2" s="136" t="s">
        <v>20</v>
      </c>
    </row>
    <row r="3" spans="2:20">
      <c r="B3" s="2"/>
      <c r="C3" s="2"/>
      <c r="D3" s="135" t="s">
        <v>14</v>
      </c>
      <c r="E3" s="135"/>
      <c r="F3" s="289" t="s">
        <v>18</v>
      </c>
      <c r="G3" s="299"/>
      <c r="H3" s="300"/>
      <c r="I3" s="2"/>
      <c r="J3" s="298" t="s">
        <v>15</v>
      </c>
      <c r="K3" s="285" t="s">
        <v>6</v>
      </c>
      <c r="L3" s="282" t="s">
        <v>16</v>
      </c>
      <c r="M3" s="282"/>
      <c r="N3" s="282" t="s">
        <v>17</v>
      </c>
      <c r="O3" s="282"/>
      <c r="P3" s="282"/>
      <c r="Q3" s="2"/>
    </row>
    <row r="4" spans="2:20">
      <c r="B4" s="2"/>
      <c r="C4" s="2" t="s">
        <v>6</v>
      </c>
      <c r="D4" s="120" t="s">
        <v>0</v>
      </c>
      <c r="E4" s="120" t="s">
        <v>1</v>
      </c>
      <c r="F4" s="116" t="s">
        <v>2</v>
      </c>
      <c r="G4" s="117" t="s">
        <v>3</v>
      </c>
      <c r="H4" s="118" t="s">
        <v>4</v>
      </c>
      <c r="I4" s="281" t="s">
        <v>43</v>
      </c>
      <c r="J4" s="298"/>
      <c r="K4" s="285"/>
      <c r="L4" s="120" t="s">
        <v>0</v>
      </c>
      <c r="M4" s="120" t="s">
        <v>1</v>
      </c>
      <c r="N4" s="116" t="s">
        <v>2</v>
      </c>
      <c r="O4" s="117" t="s">
        <v>3</v>
      </c>
      <c r="P4" s="118" t="s">
        <v>4</v>
      </c>
      <c r="Q4" s="281" t="s">
        <v>43</v>
      </c>
    </row>
    <row r="5" spans="2:20">
      <c r="B5" s="283" t="s">
        <v>7</v>
      </c>
      <c r="C5" s="70"/>
      <c r="D5" s="1">
        <v>0.29799999999999999</v>
      </c>
      <c r="E5" s="1">
        <v>0.32100000000000001</v>
      </c>
      <c r="F5" s="140">
        <v>225</v>
      </c>
      <c r="G5" s="140">
        <v>238</v>
      </c>
      <c r="H5" s="140">
        <v>253</v>
      </c>
      <c r="I5" s="140" t="str">
        <f>_xlfn.CONCAT("{", F5, ",", G5, ",", H5, "}", ",")</f>
        <v>{225,238,253},</v>
      </c>
      <c r="J5" s="1">
        <v>1</v>
      </c>
      <c r="K5" s="3"/>
      <c r="L5" s="278">
        <v>0.188</v>
      </c>
      <c r="M5" s="278">
        <v>7.3999999999999996E-2</v>
      </c>
      <c r="N5" s="138">
        <v>20</v>
      </c>
      <c r="O5" s="138">
        <v>1</v>
      </c>
      <c r="P5" s="138">
        <v>170</v>
      </c>
      <c r="Q5" s="140" t="str">
        <f>_xlfn.CONCAT("{", N5, ",", O5, ",", P5, "}", ",")</f>
        <v>{20,1,170},</v>
      </c>
      <c r="R5" s="137"/>
      <c r="S5" s="137"/>
      <c r="T5" s="137"/>
    </row>
    <row r="6" spans="2:20">
      <c r="B6" s="283"/>
      <c r="C6" s="71"/>
      <c r="D6" s="1">
        <v>0.32800000000000001</v>
      </c>
      <c r="E6" s="1">
        <v>0.34</v>
      </c>
      <c r="F6" s="140">
        <v>245</v>
      </c>
      <c r="G6" s="140">
        <v>224</v>
      </c>
      <c r="H6" s="140">
        <v>200</v>
      </c>
      <c r="I6" s="140" t="str">
        <f t="shared" ref="I6:I55" si="0">_xlfn.CONCAT("{", F6, ",", G6, ",", H6, "}", ",")</f>
        <v>{245,224,200},</v>
      </c>
      <c r="J6" s="1">
        <v>2</v>
      </c>
      <c r="K6" s="4"/>
      <c r="L6" s="278">
        <v>0.20300000000000001</v>
      </c>
      <c r="M6" s="278">
        <v>9.2999999999999999E-2</v>
      </c>
      <c r="N6" s="138">
        <v>26</v>
      </c>
      <c r="O6" s="138">
        <v>4</v>
      </c>
      <c r="P6" s="138">
        <v>154</v>
      </c>
      <c r="Q6" s="140" t="str">
        <f t="shared" ref="Q6:Q68" si="1">_xlfn.CONCAT("{", N6, ",", O6, ",", P6, "}", ",")</f>
        <v>{26,4,154},</v>
      </c>
    </row>
    <row r="7" spans="2:20">
      <c r="B7" s="283"/>
      <c r="C7" s="72"/>
      <c r="D7" s="1">
        <v>0.51800000000000002</v>
      </c>
      <c r="E7" s="1">
        <v>0.437</v>
      </c>
      <c r="F7" s="1">
        <v>254</v>
      </c>
      <c r="G7" s="1">
        <v>130</v>
      </c>
      <c r="H7" s="1">
        <v>3</v>
      </c>
      <c r="I7" s="140" t="str">
        <f t="shared" si="0"/>
        <v>{254,130,3},</v>
      </c>
      <c r="J7" s="1">
        <v>3</v>
      </c>
      <c r="K7" s="5"/>
      <c r="L7" s="278">
        <v>0.22700000000000001</v>
      </c>
      <c r="M7" s="278">
        <v>0.104</v>
      </c>
      <c r="N7" s="138">
        <v>36</v>
      </c>
      <c r="O7" s="138">
        <v>4</v>
      </c>
      <c r="P7" s="138">
        <v>154</v>
      </c>
      <c r="Q7" s="140" t="str">
        <f t="shared" si="1"/>
        <v>{36,4,154},</v>
      </c>
    </row>
    <row r="8" spans="2:20">
      <c r="B8" s="283"/>
      <c r="C8" s="73"/>
      <c r="D8" s="1">
        <v>0.58799999999999997</v>
      </c>
      <c r="E8" s="1">
        <v>0.32800000000000001</v>
      </c>
      <c r="F8" s="1">
        <v>243</v>
      </c>
      <c r="G8" s="1">
        <v>36</v>
      </c>
      <c r="H8" s="1">
        <v>23</v>
      </c>
      <c r="I8" s="140" t="str">
        <f t="shared" si="0"/>
        <v>{243,36,23},</v>
      </c>
      <c r="J8" s="1">
        <v>4</v>
      </c>
      <c r="K8" s="6"/>
      <c r="L8" s="278">
        <v>0.25700000000000001</v>
      </c>
      <c r="M8" s="278">
        <v>0.12</v>
      </c>
      <c r="N8" s="138">
        <v>47</v>
      </c>
      <c r="O8" s="138">
        <v>5</v>
      </c>
      <c r="P8" s="138">
        <v>142</v>
      </c>
      <c r="Q8" s="140" t="str">
        <f t="shared" si="1"/>
        <v>{47,5,142},</v>
      </c>
    </row>
    <row r="9" spans="2:20">
      <c r="B9" s="283"/>
      <c r="C9" s="74"/>
      <c r="D9" s="1">
        <v>0.29799999999999999</v>
      </c>
      <c r="E9" s="1">
        <v>0.14399999999999999</v>
      </c>
      <c r="F9" s="1">
        <v>124</v>
      </c>
      <c r="G9" s="1">
        <v>12</v>
      </c>
      <c r="H9" s="1">
        <v>239</v>
      </c>
      <c r="I9" s="140" t="str">
        <f t="shared" si="0"/>
        <v>{124,12,239},</v>
      </c>
      <c r="J9" s="1">
        <v>5</v>
      </c>
      <c r="K9" s="7"/>
      <c r="L9" s="278">
        <v>0.28799999999999998</v>
      </c>
      <c r="M9" s="278">
        <v>0.13700000000000001</v>
      </c>
      <c r="N9" s="138">
        <v>62</v>
      </c>
      <c r="O9" s="138">
        <v>6</v>
      </c>
      <c r="P9" s="138">
        <v>139</v>
      </c>
      <c r="Q9" s="140" t="str">
        <f t="shared" si="1"/>
        <v>{62,6,139},</v>
      </c>
    </row>
    <row r="10" spans="2:20">
      <c r="B10" s="283"/>
      <c r="C10" s="75"/>
      <c r="D10" s="1">
        <v>0.22800000000000001</v>
      </c>
      <c r="E10" s="1">
        <v>0.108</v>
      </c>
      <c r="F10" s="1">
        <v>57</v>
      </c>
      <c r="G10" s="1">
        <v>7</v>
      </c>
      <c r="H10" s="1">
        <v>224</v>
      </c>
      <c r="I10" s="140" t="str">
        <f t="shared" si="0"/>
        <v>{57,7,224},</v>
      </c>
      <c r="J10" s="1">
        <v>6</v>
      </c>
      <c r="K10" s="8"/>
      <c r="L10" s="278">
        <v>0.32800000000000001</v>
      </c>
      <c r="M10" s="278">
        <v>0.155</v>
      </c>
      <c r="N10" s="138">
        <v>79</v>
      </c>
      <c r="O10" s="138">
        <v>6</v>
      </c>
      <c r="P10" s="138">
        <v>127</v>
      </c>
      <c r="Q10" s="140" t="str">
        <f t="shared" si="1"/>
        <v>{79,6,127},</v>
      </c>
    </row>
    <row r="11" spans="2:20">
      <c r="B11" s="283"/>
      <c r="C11" s="76"/>
      <c r="D11" s="1">
        <v>0.161</v>
      </c>
      <c r="E11" s="1">
        <v>0.16800000000000001</v>
      </c>
      <c r="F11" s="1">
        <v>22</v>
      </c>
      <c r="G11" s="1">
        <v>64</v>
      </c>
      <c r="H11" s="1">
        <v>244</v>
      </c>
      <c r="I11" s="140" t="str">
        <f t="shared" si="0"/>
        <v>{22,64,244},</v>
      </c>
      <c r="J11" s="1">
        <v>7</v>
      </c>
      <c r="K11" s="9"/>
      <c r="L11" s="278">
        <v>0.36799999999999999</v>
      </c>
      <c r="M11" s="278">
        <v>0.18099999999999999</v>
      </c>
      <c r="N11" s="138">
        <v>103</v>
      </c>
      <c r="O11" s="138">
        <v>10</v>
      </c>
      <c r="P11" s="138">
        <v>119</v>
      </c>
      <c r="Q11" s="140" t="str">
        <f t="shared" si="1"/>
        <v>{103,10,119},</v>
      </c>
    </row>
    <row r="12" spans="2:20">
      <c r="B12" s="283"/>
      <c r="C12" s="77"/>
      <c r="D12" s="1">
        <v>0.17599999999999999</v>
      </c>
      <c r="E12" s="1">
        <v>0.34</v>
      </c>
      <c r="F12" s="1">
        <v>34</v>
      </c>
      <c r="G12" s="1">
        <v>199</v>
      </c>
      <c r="H12" s="1">
        <v>192</v>
      </c>
      <c r="I12" s="140" t="str">
        <f t="shared" si="0"/>
        <v>{34,199,192},</v>
      </c>
      <c r="J12" s="1">
        <v>8</v>
      </c>
      <c r="K12" s="10"/>
      <c r="L12" s="278">
        <v>0.41699999999999998</v>
      </c>
      <c r="M12" s="278">
        <v>0.20799999999999999</v>
      </c>
      <c r="N12" s="138">
        <v>117</v>
      </c>
      <c r="O12" s="138">
        <v>11</v>
      </c>
      <c r="P12" s="138">
        <v>93</v>
      </c>
      <c r="Q12" s="140" t="str">
        <f t="shared" si="1"/>
        <v>{117,11,93},</v>
      </c>
    </row>
    <row r="13" spans="2:20">
      <c r="B13" s="283"/>
      <c r="C13" s="78"/>
      <c r="D13" s="145">
        <v>0.30299999999999999</v>
      </c>
      <c r="E13" s="145">
        <v>0.60299999999999998</v>
      </c>
      <c r="F13" s="145">
        <v>86</v>
      </c>
      <c r="G13" s="145">
        <v>244</v>
      </c>
      <c r="H13" s="145">
        <v>0</v>
      </c>
      <c r="I13" s="140" t="str">
        <f t="shared" si="0"/>
        <v>{86,244,0},</v>
      </c>
      <c r="J13" s="1">
        <v>9</v>
      </c>
      <c r="K13" s="11"/>
      <c r="L13" s="278">
        <v>0.48399999999999999</v>
      </c>
      <c r="M13" s="278">
        <v>0.24199999999999999</v>
      </c>
      <c r="N13" s="138">
        <v>163</v>
      </c>
      <c r="O13" s="138">
        <v>14</v>
      </c>
      <c r="P13" s="138">
        <v>76</v>
      </c>
      <c r="Q13" s="140" t="str">
        <f t="shared" si="1"/>
        <v>{163,14,76},</v>
      </c>
    </row>
    <row r="14" spans="2:20">
      <c r="B14" s="283"/>
      <c r="C14" s="79"/>
      <c r="D14" s="1">
        <v>0.25900000000000001</v>
      </c>
      <c r="E14" s="1">
        <v>0.30099999999999999</v>
      </c>
      <c r="F14" s="1">
        <v>129</v>
      </c>
      <c r="G14" s="1">
        <v>184</v>
      </c>
      <c r="H14" s="1">
        <v>233</v>
      </c>
      <c r="I14" s="140" t="str">
        <f t="shared" si="0"/>
        <v>{129,184,233},</v>
      </c>
      <c r="J14" s="1">
        <v>10</v>
      </c>
      <c r="K14" s="12"/>
      <c r="L14" s="278">
        <v>0.54200000000000004</v>
      </c>
      <c r="M14" s="278">
        <v>0.27600000000000002</v>
      </c>
      <c r="N14" s="138">
        <v>190</v>
      </c>
      <c r="O14" s="138">
        <v>17</v>
      </c>
      <c r="P14" s="138">
        <v>50</v>
      </c>
      <c r="Q14" s="140" t="str">
        <f t="shared" si="1"/>
        <v>{190,17,50},</v>
      </c>
    </row>
    <row r="15" spans="2:20">
      <c r="B15" s="283" t="s">
        <v>8</v>
      </c>
      <c r="C15" s="80"/>
      <c r="D15" s="1">
        <v>0.19800000000000001</v>
      </c>
      <c r="E15" s="1">
        <v>0.22900000000000001</v>
      </c>
      <c r="F15" s="1">
        <v>42</v>
      </c>
      <c r="G15" s="1">
        <v>88</v>
      </c>
      <c r="H15" s="1">
        <v>195</v>
      </c>
      <c r="I15" s="140" t="str">
        <f t="shared" si="0"/>
        <v>{42,88,195},</v>
      </c>
      <c r="J15" s="1">
        <v>11</v>
      </c>
      <c r="K15" s="13"/>
      <c r="L15" s="278">
        <v>0.59099999999999997</v>
      </c>
      <c r="M15" s="278">
        <v>0.30399999999999999</v>
      </c>
      <c r="N15" s="138">
        <v>208</v>
      </c>
      <c r="O15" s="138">
        <v>19</v>
      </c>
      <c r="P15" s="138">
        <v>28</v>
      </c>
      <c r="Q15" s="140" t="str">
        <f t="shared" si="1"/>
        <v>{208,19,28},</v>
      </c>
    </row>
    <row r="16" spans="2:20">
      <c r="B16" s="283"/>
      <c r="C16" s="81"/>
      <c r="D16" s="1">
        <v>0.30299999999999999</v>
      </c>
      <c r="E16" s="1">
        <v>0.39100000000000001</v>
      </c>
      <c r="F16" s="1">
        <v>92</v>
      </c>
      <c r="G16" s="1">
        <v>140</v>
      </c>
      <c r="H16" s="1">
        <v>82</v>
      </c>
      <c r="I16" s="140" t="str">
        <f t="shared" si="0"/>
        <v>{92,140,82},</v>
      </c>
      <c r="J16" s="1">
        <v>12</v>
      </c>
      <c r="K16" s="14"/>
      <c r="L16" s="278">
        <v>0.61699999999999999</v>
      </c>
      <c r="M16" s="278">
        <v>0.316</v>
      </c>
      <c r="N16" s="138">
        <v>228</v>
      </c>
      <c r="O16" s="138">
        <v>20</v>
      </c>
      <c r="P16" s="138">
        <v>18</v>
      </c>
      <c r="Q16" s="140" t="str">
        <f t="shared" si="1"/>
        <v>{228,20,18},</v>
      </c>
    </row>
    <row r="17" spans="2:17">
      <c r="B17" s="283"/>
      <c r="C17" s="82"/>
      <c r="D17" s="1">
        <v>0.26700000000000002</v>
      </c>
      <c r="E17" s="1">
        <v>0.215</v>
      </c>
      <c r="F17" s="1">
        <v>64</v>
      </c>
      <c r="G17" s="1">
        <v>49</v>
      </c>
      <c r="H17" s="1">
        <v>142</v>
      </c>
      <c r="I17" s="140" t="str">
        <f t="shared" si="0"/>
        <v>{64,49,142},</v>
      </c>
      <c r="J17" s="1">
        <v>13</v>
      </c>
      <c r="K17" s="15"/>
      <c r="L17" s="278">
        <v>0.63100000000000001</v>
      </c>
      <c r="M17" s="278">
        <v>0.32700000000000001</v>
      </c>
      <c r="N17" s="138">
        <v>237</v>
      </c>
      <c r="O17" s="138">
        <v>22</v>
      </c>
      <c r="P17" s="138">
        <v>11</v>
      </c>
      <c r="Q17" s="140" t="str">
        <f t="shared" si="1"/>
        <v>{237,22,11},</v>
      </c>
    </row>
    <row r="18" spans="2:17">
      <c r="B18" s="283"/>
      <c r="C18" s="83"/>
      <c r="D18" s="1">
        <v>0.39600000000000002</v>
      </c>
      <c r="E18" s="1">
        <v>0.28599999999999998</v>
      </c>
      <c r="F18" s="1">
        <v>155</v>
      </c>
      <c r="G18" s="1">
        <v>67</v>
      </c>
      <c r="H18" s="1">
        <v>104</v>
      </c>
      <c r="I18" s="140" t="str">
        <f t="shared" si="0"/>
        <v>{155,67,104},</v>
      </c>
      <c r="J18" s="1">
        <v>14</v>
      </c>
      <c r="K18" s="16"/>
      <c r="L18" s="278">
        <v>0.64100000000000001</v>
      </c>
      <c r="M18" s="278">
        <v>0.32500000000000001</v>
      </c>
      <c r="N18" s="138">
        <v>232</v>
      </c>
      <c r="O18" s="138">
        <v>18</v>
      </c>
      <c r="P18" s="138">
        <v>9</v>
      </c>
      <c r="Q18" s="140" t="str">
        <f t="shared" si="1"/>
        <v>{232,18,9},</v>
      </c>
    </row>
    <row r="19" spans="2:17">
      <c r="B19" s="283"/>
      <c r="C19" s="84"/>
      <c r="D19" s="1">
        <v>0.498</v>
      </c>
      <c r="E19" s="1">
        <v>0.35899999999999999</v>
      </c>
      <c r="F19" s="1">
        <v>155</v>
      </c>
      <c r="G19" s="1">
        <v>58</v>
      </c>
      <c r="H19" s="1">
        <v>30</v>
      </c>
      <c r="I19" s="140" t="str">
        <f t="shared" si="0"/>
        <v>{155,58,30},</v>
      </c>
      <c r="J19" s="1">
        <v>15</v>
      </c>
      <c r="K19" s="17"/>
      <c r="L19" s="278">
        <v>0.64</v>
      </c>
      <c r="M19" s="278">
        <v>0.32600000000000001</v>
      </c>
      <c r="N19" s="138">
        <v>245</v>
      </c>
      <c r="O19" s="138">
        <v>20</v>
      </c>
      <c r="P19" s="138">
        <v>9</v>
      </c>
      <c r="Q19" s="140" t="str">
        <f t="shared" si="1"/>
        <v>{245,20,9},</v>
      </c>
    </row>
    <row r="20" spans="2:17">
      <c r="B20" s="283"/>
      <c r="C20" s="85"/>
      <c r="D20" s="1">
        <v>0.438</v>
      </c>
      <c r="E20" s="1">
        <v>0.42099999999999999</v>
      </c>
      <c r="F20" s="1">
        <v>210</v>
      </c>
      <c r="G20" s="1">
        <v>150</v>
      </c>
      <c r="H20" s="1">
        <v>40</v>
      </c>
      <c r="I20" s="140" t="str">
        <f t="shared" si="0"/>
        <v>{210,150,40},</v>
      </c>
      <c r="J20" s="1">
        <v>16</v>
      </c>
      <c r="K20" s="18"/>
      <c r="L20" s="278">
        <v>0.64</v>
      </c>
      <c r="M20" s="278">
        <v>0.33200000000000002</v>
      </c>
      <c r="N20" s="138">
        <v>248</v>
      </c>
      <c r="O20" s="138">
        <v>23</v>
      </c>
      <c r="P20" s="138">
        <v>7</v>
      </c>
      <c r="Q20" s="140" t="str">
        <f t="shared" si="1"/>
        <v>{248,23,7},</v>
      </c>
    </row>
    <row r="21" spans="2:17">
      <c r="B21" s="283"/>
      <c r="C21" s="86"/>
      <c r="D21" s="1">
        <v>0.19</v>
      </c>
      <c r="E21" s="1">
        <v>0.31900000000000001</v>
      </c>
      <c r="F21" s="1">
        <v>36</v>
      </c>
      <c r="G21" s="1">
        <v>145</v>
      </c>
      <c r="H21" s="1">
        <v>160</v>
      </c>
      <c r="I21" s="140" t="str">
        <f t="shared" si="0"/>
        <v>{36,145,160},</v>
      </c>
      <c r="J21" s="1">
        <v>17</v>
      </c>
      <c r="K21" s="19"/>
      <c r="L21" s="278">
        <v>0.63900000000000001</v>
      </c>
      <c r="M21" s="278">
        <v>0.33600000000000002</v>
      </c>
      <c r="N21" s="138">
        <v>237</v>
      </c>
      <c r="O21" s="138">
        <v>24</v>
      </c>
      <c r="P21" s="138">
        <v>6</v>
      </c>
      <c r="Q21" s="140" t="str">
        <f t="shared" si="1"/>
        <v>{237,24,6},</v>
      </c>
    </row>
    <row r="22" spans="2:17">
      <c r="B22" s="283"/>
      <c r="C22" s="87"/>
      <c r="D22" s="1">
        <v>0.312</v>
      </c>
      <c r="E22" s="1">
        <v>0.32900000000000001</v>
      </c>
      <c r="F22" s="1">
        <v>248</v>
      </c>
      <c r="G22" s="1">
        <v>243</v>
      </c>
      <c r="H22" s="1">
        <v>242</v>
      </c>
      <c r="I22" s="140" t="str">
        <f t="shared" si="0"/>
        <v>{248,243,242},</v>
      </c>
      <c r="J22" s="1">
        <v>18</v>
      </c>
      <c r="K22" s="20"/>
      <c r="L22" s="278">
        <v>0.63600000000000001</v>
      </c>
      <c r="M22" s="278">
        <v>0.33200000000000002</v>
      </c>
      <c r="N22" s="138">
        <v>225</v>
      </c>
      <c r="O22" s="138">
        <v>22</v>
      </c>
      <c r="P22" s="138">
        <v>8</v>
      </c>
      <c r="Q22" s="140" t="str">
        <f t="shared" si="1"/>
        <v>{225,22,8},</v>
      </c>
    </row>
    <row r="23" spans="2:17">
      <c r="B23" s="283"/>
      <c r="C23" s="88"/>
      <c r="D23" s="1">
        <v>0.64100000000000001</v>
      </c>
      <c r="E23" s="1">
        <v>0.33</v>
      </c>
      <c r="F23" s="1">
        <v>190</v>
      </c>
      <c r="G23" s="1">
        <v>17</v>
      </c>
      <c r="H23" s="1">
        <v>6</v>
      </c>
      <c r="I23" s="140" t="str">
        <f t="shared" si="0"/>
        <v>{190,17,6},</v>
      </c>
      <c r="J23" s="1">
        <v>19</v>
      </c>
      <c r="K23" s="21"/>
      <c r="L23" s="278">
        <v>0.63200000000000001</v>
      </c>
      <c r="M23" s="278">
        <v>0.33700000000000002</v>
      </c>
      <c r="N23" s="138">
        <v>214</v>
      </c>
      <c r="O23" s="138">
        <v>24</v>
      </c>
      <c r="P23" s="138">
        <v>7</v>
      </c>
      <c r="Q23" s="140" t="str">
        <f t="shared" si="1"/>
        <v>{214,24,7},</v>
      </c>
    </row>
    <row r="24" spans="2:17">
      <c r="B24" s="283"/>
      <c r="C24" s="89"/>
      <c r="D24" s="1">
        <v>0.27100000000000002</v>
      </c>
      <c r="E24" s="1">
        <v>0.28799999999999998</v>
      </c>
      <c r="F24" s="1">
        <v>150</v>
      </c>
      <c r="G24" s="1">
        <v>175</v>
      </c>
      <c r="H24" s="1">
        <v>250</v>
      </c>
      <c r="I24" s="140" t="str">
        <f t="shared" si="0"/>
        <v>{150,175,250},</v>
      </c>
      <c r="J24" s="1">
        <v>20</v>
      </c>
      <c r="K24" s="22"/>
      <c r="L24" s="278">
        <v>0.627</v>
      </c>
      <c r="M24" s="278">
        <v>0.33900000000000002</v>
      </c>
      <c r="N24" s="138">
        <v>230</v>
      </c>
      <c r="O24" s="138">
        <v>28</v>
      </c>
      <c r="P24" s="138">
        <v>8</v>
      </c>
      <c r="Q24" s="140" t="str">
        <f t="shared" si="1"/>
        <v>{230,28,8},</v>
      </c>
    </row>
    <row r="25" spans="2:17">
      <c r="B25" s="283" t="s">
        <v>9</v>
      </c>
      <c r="C25" s="90"/>
      <c r="D25" s="1">
        <v>0.29799999999999999</v>
      </c>
      <c r="E25" s="1">
        <v>0.27400000000000002</v>
      </c>
      <c r="F25" s="1">
        <v>177</v>
      </c>
      <c r="G25" s="1">
        <v>146</v>
      </c>
      <c r="H25" s="1">
        <v>240</v>
      </c>
      <c r="I25" s="140" t="str">
        <f t="shared" si="0"/>
        <v>{177,146,240},</v>
      </c>
      <c r="J25" s="1">
        <v>21</v>
      </c>
      <c r="K25" s="23"/>
      <c r="L25" s="278">
        <v>0.626</v>
      </c>
      <c r="M25" s="278">
        <v>0.34499999999999997</v>
      </c>
      <c r="N25" s="138">
        <v>222</v>
      </c>
      <c r="O25" s="138">
        <v>30</v>
      </c>
      <c r="P25" s="138">
        <v>6</v>
      </c>
      <c r="Q25" s="140" t="str">
        <f t="shared" si="1"/>
        <v>{222,30,6},</v>
      </c>
    </row>
    <row r="26" spans="2:17">
      <c r="B26" s="283"/>
      <c r="C26" s="91"/>
      <c r="D26" s="1">
        <v>0.51100000000000001</v>
      </c>
      <c r="E26" s="1">
        <v>0.375</v>
      </c>
      <c r="F26" s="1">
        <v>248</v>
      </c>
      <c r="G26" s="1">
        <v>92</v>
      </c>
      <c r="H26" s="1">
        <v>33</v>
      </c>
      <c r="I26" s="140" t="str">
        <f t="shared" si="0"/>
        <v>{248,92,33},</v>
      </c>
      <c r="J26" s="1">
        <v>22</v>
      </c>
      <c r="K26" s="24"/>
      <c r="L26" s="278">
        <v>0.61499999999999999</v>
      </c>
      <c r="M26" s="278">
        <v>0.35099999999999998</v>
      </c>
      <c r="N26" s="138">
        <v>230</v>
      </c>
      <c r="O26" s="138">
        <v>37</v>
      </c>
      <c r="P26" s="138">
        <v>7</v>
      </c>
      <c r="Q26" s="140" t="str">
        <f t="shared" si="1"/>
        <v>{230,37,7},</v>
      </c>
    </row>
    <row r="27" spans="2:17">
      <c r="B27" s="283"/>
      <c r="C27" s="92"/>
      <c r="D27" s="1">
        <v>0.60299999999999998</v>
      </c>
      <c r="E27" s="1">
        <v>0.36299999999999999</v>
      </c>
      <c r="F27" s="1">
        <v>230</v>
      </c>
      <c r="G27" s="1">
        <v>45</v>
      </c>
      <c r="H27" s="1">
        <v>6</v>
      </c>
      <c r="I27" s="140" t="str">
        <f t="shared" si="0"/>
        <v>{230,45,6},</v>
      </c>
      <c r="J27" s="1">
        <v>23</v>
      </c>
      <c r="K27" s="25"/>
      <c r="L27" s="278">
        <v>0.60799999999999998</v>
      </c>
      <c r="M27" s="278">
        <v>0.35699999999999998</v>
      </c>
      <c r="N27" s="138">
        <v>230</v>
      </c>
      <c r="O27" s="138">
        <v>42</v>
      </c>
      <c r="P27" s="138">
        <v>7</v>
      </c>
      <c r="Q27" s="140" t="str">
        <f t="shared" si="1"/>
        <v>{230,42,7},</v>
      </c>
    </row>
    <row r="28" spans="2:17">
      <c r="B28" s="283"/>
      <c r="C28" s="93"/>
      <c r="D28" s="1">
        <v>0.629</v>
      </c>
      <c r="E28" s="1">
        <v>0.33200000000000002</v>
      </c>
      <c r="F28" s="1">
        <v>220</v>
      </c>
      <c r="G28" s="1">
        <v>23</v>
      </c>
      <c r="H28" s="1">
        <v>9</v>
      </c>
      <c r="I28" s="140" t="str">
        <f t="shared" si="0"/>
        <v>{220,23,9},</v>
      </c>
      <c r="J28" s="1">
        <v>24</v>
      </c>
      <c r="K28" s="26"/>
      <c r="L28" s="278">
        <v>0.59899999999999998</v>
      </c>
      <c r="M28" s="278">
        <v>0.36399999999999999</v>
      </c>
      <c r="N28" s="138">
        <v>230</v>
      </c>
      <c r="O28" s="138">
        <v>48</v>
      </c>
      <c r="P28" s="138">
        <v>7</v>
      </c>
      <c r="Q28" s="140" t="str">
        <f t="shared" si="1"/>
        <v>{230,48,7},</v>
      </c>
    </row>
    <row r="29" spans="2:17">
      <c r="B29" s="283"/>
      <c r="C29" s="94"/>
      <c r="D29" s="1">
        <v>0.64100000000000001</v>
      </c>
      <c r="E29" s="1">
        <v>0.33100000000000002</v>
      </c>
      <c r="F29" s="1">
        <v>235</v>
      </c>
      <c r="G29" s="1">
        <v>21</v>
      </c>
      <c r="H29" s="1">
        <v>7</v>
      </c>
      <c r="I29" s="140" t="str">
        <f t="shared" si="0"/>
        <v>{235,21,7},</v>
      </c>
      <c r="J29" s="1">
        <v>25</v>
      </c>
      <c r="K29" s="27"/>
      <c r="L29" s="278">
        <v>0.59</v>
      </c>
      <c r="M29" s="278">
        <v>0.371</v>
      </c>
      <c r="N29" s="138">
        <v>230</v>
      </c>
      <c r="O29" s="138">
        <v>54</v>
      </c>
      <c r="P29" s="138">
        <v>7</v>
      </c>
      <c r="Q29" s="140" t="str">
        <f t="shared" si="1"/>
        <v>{230,54,7},</v>
      </c>
    </row>
    <row r="30" spans="2:17">
      <c r="B30" s="283"/>
      <c r="C30" s="95"/>
      <c r="D30" s="1">
        <v>0.26500000000000001</v>
      </c>
      <c r="E30" s="1">
        <v>0.124</v>
      </c>
      <c r="F30" s="1">
        <v>90</v>
      </c>
      <c r="G30" s="1">
        <v>8</v>
      </c>
      <c r="H30" s="1">
        <v>240</v>
      </c>
      <c r="I30" s="140" t="str">
        <f t="shared" si="0"/>
        <v>{90,8,240},</v>
      </c>
      <c r="J30" s="1">
        <v>26</v>
      </c>
      <c r="K30" s="28"/>
      <c r="L30" s="278">
        <v>0.57999999999999996</v>
      </c>
      <c r="M30" s="278">
        <v>0.38400000000000001</v>
      </c>
      <c r="N30" s="138">
        <v>218</v>
      </c>
      <c r="O30" s="138">
        <v>61</v>
      </c>
      <c r="P30" s="138">
        <v>5</v>
      </c>
      <c r="Q30" s="140" t="str">
        <f t="shared" si="1"/>
        <v>{218,61,5},</v>
      </c>
    </row>
    <row r="31" spans="2:17">
      <c r="B31" s="283"/>
      <c r="C31" s="96"/>
      <c r="D31" s="1">
        <v>0.192</v>
      </c>
      <c r="E31" s="1">
        <v>8.4000000000000005E-2</v>
      </c>
      <c r="F31" s="1">
        <v>36</v>
      </c>
      <c r="G31" s="1">
        <v>3</v>
      </c>
      <c r="H31" s="1">
        <v>247</v>
      </c>
      <c r="I31" s="140" t="str">
        <f t="shared" si="0"/>
        <v>{36,3,247},</v>
      </c>
      <c r="J31" s="1">
        <v>27</v>
      </c>
      <c r="K31" s="29"/>
      <c r="L31" s="278">
        <v>0.56399999999999995</v>
      </c>
      <c r="M31" s="278">
        <v>0.39600000000000002</v>
      </c>
      <c r="N31" s="138">
        <v>200</v>
      </c>
      <c r="O31" s="138">
        <v>67</v>
      </c>
      <c r="P31" s="138">
        <v>5</v>
      </c>
      <c r="Q31" s="140" t="str">
        <f t="shared" si="1"/>
        <v>{200,67,5},</v>
      </c>
    </row>
    <row r="32" spans="2:17">
      <c r="B32" s="283"/>
      <c r="C32" s="97"/>
      <c r="D32" s="1">
        <v>0.17399999999999999</v>
      </c>
      <c r="E32" s="1">
        <v>0.106</v>
      </c>
      <c r="F32" s="1">
        <v>26</v>
      </c>
      <c r="G32" s="1">
        <v>21</v>
      </c>
      <c r="H32" s="1">
        <v>247</v>
      </c>
      <c r="I32" s="140" t="str">
        <f t="shared" si="0"/>
        <v>{26,21,247},</v>
      </c>
      <c r="J32" s="1">
        <v>28</v>
      </c>
      <c r="K32" s="30"/>
      <c r="L32" s="278">
        <v>0.54800000000000004</v>
      </c>
      <c r="M32" s="278">
        <v>0.41199999999999998</v>
      </c>
      <c r="N32" s="138">
        <v>186</v>
      </c>
      <c r="O32" s="138">
        <v>75</v>
      </c>
      <c r="P32" s="138">
        <v>4</v>
      </c>
      <c r="Q32" s="140" t="str">
        <f t="shared" si="1"/>
        <v>{186,75,4},</v>
      </c>
    </row>
    <row r="33" spans="2:17">
      <c r="B33" s="283"/>
      <c r="C33" s="98"/>
      <c r="D33" s="1">
        <v>0.185</v>
      </c>
      <c r="E33" s="1">
        <v>0.43099999999999999</v>
      </c>
      <c r="F33" s="1">
        <v>36</v>
      </c>
      <c r="G33" s="1">
        <v>240</v>
      </c>
      <c r="H33" s="1">
        <v>129</v>
      </c>
      <c r="I33" s="140" t="str">
        <f t="shared" si="0"/>
        <v>{36,240,129},</v>
      </c>
      <c r="J33" s="1">
        <v>29</v>
      </c>
      <c r="K33" s="31"/>
      <c r="L33" s="278">
        <v>0.52100000000000002</v>
      </c>
      <c r="M33" s="278">
        <v>0.436</v>
      </c>
      <c r="N33" s="138">
        <v>168</v>
      </c>
      <c r="O33" s="138">
        <v>88</v>
      </c>
      <c r="P33" s="138">
        <v>3</v>
      </c>
      <c r="Q33" s="140" t="str">
        <f t="shared" si="1"/>
        <v>{168,88,3},</v>
      </c>
    </row>
    <row r="34" spans="2:17">
      <c r="B34" s="283"/>
      <c r="C34" s="99"/>
      <c r="D34" s="1">
        <v>0.32700000000000001</v>
      </c>
      <c r="E34" s="1">
        <v>0.58299999999999996</v>
      </c>
      <c r="F34" s="1">
        <v>103</v>
      </c>
      <c r="G34" s="1">
        <v>230</v>
      </c>
      <c r="H34" s="1">
        <v>4</v>
      </c>
      <c r="I34" s="140" t="str">
        <f t="shared" si="0"/>
        <v>{103,230,4},</v>
      </c>
      <c r="J34" s="1">
        <v>30</v>
      </c>
      <c r="K34" s="32"/>
      <c r="L34" s="278">
        <v>0.504</v>
      </c>
      <c r="M34" s="278">
        <v>0.45200000000000001</v>
      </c>
      <c r="N34" s="138">
        <v>163</v>
      </c>
      <c r="O34" s="138">
        <v>100</v>
      </c>
      <c r="P34" s="138">
        <v>2</v>
      </c>
      <c r="Q34" s="140" t="str">
        <f t="shared" si="1"/>
        <v>{163,100,2},</v>
      </c>
    </row>
    <row r="35" spans="2:17">
      <c r="B35" s="283" t="s">
        <v>10</v>
      </c>
      <c r="C35" s="100"/>
      <c r="D35" s="1">
        <v>0.153</v>
      </c>
      <c r="E35" s="1">
        <v>9.9000000000000005E-2</v>
      </c>
      <c r="F35" s="1">
        <v>13</v>
      </c>
      <c r="G35" s="1">
        <v>21</v>
      </c>
      <c r="H35" s="1">
        <v>240</v>
      </c>
      <c r="I35" s="140" t="str">
        <f t="shared" si="0"/>
        <v>{13,21,240},</v>
      </c>
      <c r="J35" s="1">
        <v>31</v>
      </c>
      <c r="K35" s="33"/>
      <c r="L35" s="278">
        <v>0.48399999999999999</v>
      </c>
      <c r="M35" s="278">
        <v>0.46700000000000003</v>
      </c>
      <c r="N35" s="138">
        <v>156</v>
      </c>
      <c r="O35" s="138">
        <v>112</v>
      </c>
      <c r="P35" s="138">
        <v>2</v>
      </c>
      <c r="Q35" s="140" t="str">
        <f t="shared" si="1"/>
        <v>{156,112,2},</v>
      </c>
    </row>
    <row r="36" spans="2:17">
      <c r="B36" s="283"/>
      <c r="C36" s="101"/>
      <c r="D36" s="145">
        <v>0.20899999999999999</v>
      </c>
      <c r="E36" s="145">
        <v>0.68</v>
      </c>
      <c r="F36" s="145">
        <v>32</v>
      </c>
      <c r="G36" s="145">
        <v>254</v>
      </c>
      <c r="H36" s="145">
        <v>0</v>
      </c>
      <c r="I36" s="140" t="str">
        <f t="shared" si="0"/>
        <v>{32,254,0},</v>
      </c>
      <c r="J36" s="1">
        <v>32</v>
      </c>
      <c r="K36" s="34"/>
      <c r="L36" s="278">
        <v>0.44400000000000001</v>
      </c>
      <c r="M36" s="278">
        <v>0.5</v>
      </c>
      <c r="N36" s="138">
        <v>142</v>
      </c>
      <c r="O36" s="138">
        <v>138</v>
      </c>
      <c r="P36" s="138">
        <v>0</v>
      </c>
      <c r="Q36" s="140" t="str">
        <f t="shared" si="1"/>
        <v>{142,138,0},</v>
      </c>
    </row>
    <row r="37" spans="2:17">
      <c r="B37" s="283"/>
      <c r="C37" s="102"/>
      <c r="D37" s="1">
        <v>0.47699999999999998</v>
      </c>
      <c r="E37" s="1">
        <v>0.47399999999999998</v>
      </c>
      <c r="F37" s="1">
        <v>244</v>
      </c>
      <c r="G37" s="1">
        <v>180</v>
      </c>
      <c r="H37" s="1">
        <v>0</v>
      </c>
      <c r="I37" s="140" t="str">
        <f t="shared" si="0"/>
        <v>{244,180,0},</v>
      </c>
      <c r="J37" s="1">
        <v>33</v>
      </c>
      <c r="K37" s="35"/>
      <c r="L37" s="279">
        <v>0.41099999999999998</v>
      </c>
      <c r="M37" s="279">
        <v>0.52500000000000002</v>
      </c>
      <c r="N37" s="280">
        <v>135</v>
      </c>
      <c r="O37" s="280">
        <v>165</v>
      </c>
      <c r="P37" s="280">
        <v>0</v>
      </c>
      <c r="Q37" s="140" t="str">
        <f t="shared" si="1"/>
        <v>{135,165,0},</v>
      </c>
    </row>
    <row r="38" spans="2:17">
      <c r="B38" s="283"/>
      <c r="C38" s="101"/>
      <c r="D38" s="145">
        <v>0.20899999999999999</v>
      </c>
      <c r="E38" s="145">
        <v>0.68</v>
      </c>
      <c r="F38" s="145">
        <v>32</v>
      </c>
      <c r="G38" s="145">
        <v>254</v>
      </c>
      <c r="H38" s="145">
        <v>0</v>
      </c>
      <c r="I38" s="140" t="str">
        <f t="shared" si="0"/>
        <v>{32,254,0},</v>
      </c>
      <c r="J38" s="1">
        <v>34</v>
      </c>
      <c r="K38" s="36"/>
      <c r="L38" s="279">
        <v>0.376</v>
      </c>
      <c r="M38" s="279">
        <v>0.55200000000000005</v>
      </c>
      <c r="N38" s="280">
        <v>127</v>
      </c>
      <c r="O38" s="280">
        <v>200</v>
      </c>
      <c r="P38" s="280">
        <v>0</v>
      </c>
      <c r="Q38" s="140" t="str">
        <f t="shared" si="1"/>
        <v>{127,200,0},</v>
      </c>
    </row>
    <row r="39" spans="2:17">
      <c r="B39" s="283"/>
      <c r="C39" s="103"/>
      <c r="D39" s="1">
        <v>0.64200000000000002</v>
      </c>
      <c r="E39" s="1">
        <v>0.33100000000000002</v>
      </c>
      <c r="F39" s="1">
        <v>250</v>
      </c>
      <c r="G39" s="1">
        <v>22</v>
      </c>
      <c r="H39" s="1">
        <v>7</v>
      </c>
      <c r="I39" s="140" t="str">
        <f t="shared" si="0"/>
        <v>{250,22,7},</v>
      </c>
      <c r="J39" s="1">
        <v>35</v>
      </c>
      <c r="K39" s="37"/>
      <c r="L39" s="279">
        <v>0.34499999999999997</v>
      </c>
      <c r="M39" s="279">
        <v>0.57599999999999996</v>
      </c>
      <c r="N39" s="280">
        <v>110</v>
      </c>
      <c r="O39" s="280">
        <v>218</v>
      </c>
      <c r="P39" s="280">
        <v>0</v>
      </c>
      <c r="Q39" s="140" t="str">
        <f t="shared" si="1"/>
        <v>{110,218,0},</v>
      </c>
    </row>
    <row r="40" spans="2:17">
      <c r="B40" s="283"/>
      <c r="C40" s="104"/>
      <c r="D40" s="1">
        <v>0.6</v>
      </c>
      <c r="E40" s="1">
        <v>0.36199999999999999</v>
      </c>
      <c r="F40" s="1">
        <v>246</v>
      </c>
      <c r="G40" s="1">
        <v>49</v>
      </c>
      <c r="H40" s="1">
        <v>8</v>
      </c>
      <c r="I40" s="140" t="str">
        <f t="shared" si="0"/>
        <v>{246,49,8},</v>
      </c>
      <c r="J40" s="1">
        <v>36</v>
      </c>
      <c r="K40" s="38"/>
      <c r="L40" s="279">
        <v>0.318</v>
      </c>
      <c r="M40" s="279">
        <v>0.59599999999999997</v>
      </c>
      <c r="N40" s="280">
        <v>94</v>
      </c>
      <c r="O40" s="280">
        <v>230</v>
      </c>
      <c r="P40" s="280">
        <v>0</v>
      </c>
      <c r="Q40" s="140" t="str">
        <f t="shared" si="1"/>
        <v>{94,230,0},</v>
      </c>
    </row>
    <row r="41" spans="2:17">
      <c r="B41" s="283"/>
      <c r="C41" s="105"/>
      <c r="D41" s="1">
        <v>0.57199999999999995</v>
      </c>
      <c r="E41" s="1">
        <v>0.32900000000000001</v>
      </c>
      <c r="F41" s="1">
        <v>194</v>
      </c>
      <c r="G41" s="1">
        <v>33</v>
      </c>
      <c r="H41" s="1">
        <v>23</v>
      </c>
      <c r="I41" s="140" t="str">
        <f t="shared" si="0"/>
        <v>{194,33,23},</v>
      </c>
      <c r="J41" s="1">
        <v>37</v>
      </c>
      <c r="K41" s="39"/>
      <c r="L41" s="279">
        <v>0.30299999999999999</v>
      </c>
      <c r="M41" s="279">
        <v>0.60799999999999998</v>
      </c>
      <c r="N41" s="280">
        <v>84</v>
      </c>
      <c r="O41" s="280">
        <v>234</v>
      </c>
      <c r="P41" s="280">
        <v>0</v>
      </c>
      <c r="Q41" s="140" t="str">
        <f t="shared" si="1"/>
        <v>{84,234,0},</v>
      </c>
    </row>
    <row r="42" spans="2:17">
      <c r="B42" s="283"/>
      <c r="C42" s="106"/>
      <c r="D42" s="1">
        <v>0.20200000000000001</v>
      </c>
      <c r="E42" s="1">
        <v>8.6999999999999994E-2</v>
      </c>
      <c r="F42" s="1">
        <v>31</v>
      </c>
      <c r="G42" s="1">
        <v>2</v>
      </c>
      <c r="H42" s="1">
        <v>182</v>
      </c>
      <c r="I42" s="140" t="str">
        <f t="shared" si="0"/>
        <v>{31,2,182},</v>
      </c>
      <c r="J42" s="1">
        <v>38</v>
      </c>
      <c r="K42" s="40"/>
      <c r="L42" s="279">
        <v>0.29799999999999999</v>
      </c>
      <c r="M42" s="279">
        <v>0.61199999999999999</v>
      </c>
      <c r="N42" s="280">
        <v>85</v>
      </c>
      <c r="O42" s="280">
        <v>247</v>
      </c>
      <c r="P42" s="280">
        <v>0</v>
      </c>
      <c r="Q42" s="140" t="str">
        <f t="shared" si="1"/>
        <v>{85,247,0},</v>
      </c>
    </row>
    <row r="43" spans="2:17">
      <c r="B43" s="283"/>
      <c r="C43" s="107"/>
      <c r="D43" s="1">
        <v>0.152</v>
      </c>
      <c r="E43" s="1">
        <v>6.0999999999999999E-2</v>
      </c>
      <c r="F43" s="1">
        <v>12</v>
      </c>
      <c r="G43" s="1">
        <v>0</v>
      </c>
      <c r="H43" s="1">
        <v>246</v>
      </c>
      <c r="I43" s="140" t="str">
        <f t="shared" si="0"/>
        <v>{12,0,246},</v>
      </c>
      <c r="J43" s="1">
        <v>39</v>
      </c>
      <c r="K43" s="41"/>
      <c r="L43" s="139">
        <v>0.28999999999999998</v>
      </c>
      <c r="M43" s="139">
        <v>0.61099999999999999</v>
      </c>
      <c r="N43" s="138">
        <v>80</v>
      </c>
      <c r="O43" s="138">
        <v>247</v>
      </c>
      <c r="P43" s="138">
        <v>4</v>
      </c>
      <c r="Q43" s="140" t="str">
        <f t="shared" si="1"/>
        <v>{80,247,4},</v>
      </c>
    </row>
    <row r="44" spans="2:17">
      <c r="B44" s="283"/>
      <c r="C44" s="100"/>
      <c r="D44" s="1">
        <v>0.152</v>
      </c>
      <c r="E44" s="1">
        <v>9.9000000000000005E-2</v>
      </c>
      <c r="F44" s="1">
        <v>12</v>
      </c>
      <c r="G44" s="1">
        <v>21</v>
      </c>
      <c r="H44" s="1">
        <v>235</v>
      </c>
      <c r="I44" s="140" t="str">
        <f t="shared" si="0"/>
        <v>{12,21,235},</v>
      </c>
      <c r="J44" s="1">
        <v>40</v>
      </c>
      <c r="K44" s="42"/>
      <c r="L44" s="278">
        <v>0.27600000000000002</v>
      </c>
      <c r="M44" s="278">
        <v>0.59199999999999997</v>
      </c>
      <c r="N44" s="138">
        <v>75</v>
      </c>
      <c r="O44" s="138">
        <v>247</v>
      </c>
      <c r="P44" s="138">
        <v>15</v>
      </c>
      <c r="Q44" s="140" t="str">
        <f t="shared" si="1"/>
        <v>{75,247,15},</v>
      </c>
    </row>
    <row r="45" spans="2:17">
      <c r="B45" s="283"/>
      <c r="C45" s="108"/>
      <c r="D45" s="1">
        <v>0.19600000000000001</v>
      </c>
      <c r="E45" s="1">
        <v>0.55200000000000005</v>
      </c>
      <c r="F45" s="1">
        <v>33</v>
      </c>
      <c r="G45" s="1">
        <v>248</v>
      </c>
      <c r="H45" s="1">
        <v>53</v>
      </c>
      <c r="I45" s="140" t="str">
        <f t="shared" si="0"/>
        <v>{33,248,53},</v>
      </c>
      <c r="J45" s="1">
        <v>41</v>
      </c>
      <c r="K45" s="43"/>
      <c r="L45" s="278">
        <v>0.26</v>
      </c>
      <c r="M45" s="278">
        <v>0.56399999999999995</v>
      </c>
      <c r="N45" s="138">
        <v>60</v>
      </c>
      <c r="O45" s="138">
        <v>212</v>
      </c>
      <c r="P45" s="138">
        <v>27</v>
      </c>
      <c r="Q45" s="140" t="str">
        <f t="shared" si="1"/>
        <v>{60,212,27},</v>
      </c>
    </row>
    <row r="46" spans="2:17">
      <c r="B46" s="283"/>
      <c r="C46" s="101"/>
      <c r="D46" s="145">
        <v>0.20899999999999999</v>
      </c>
      <c r="E46" s="145">
        <v>0.68</v>
      </c>
      <c r="F46" s="145">
        <v>32</v>
      </c>
      <c r="G46" s="145">
        <v>254</v>
      </c>
      <c r="H46" s="145">
        <v>0</v>
      </c>
      <c r="I46" s="140" t="str">
        <f t="shared" si="0"/>
        <v>{32,254,0},</v>
      </c>
      <c r="J46" s="1">
        <v>42</v>
      </c>
      <c r="K46" s="44"/>
      <c r="L46" s="278">
        <v>0.245</v>
      </c>
      <c r="M46" s="278">
        <v>0.53200000000000003</v>
      </c>
      <c r="N46" s="138">
        <v>58</v>
      </c>
      <c r="O46" s="138">
        <v>220</v>
      </c>
      <c r="P46" s="138">
        <v>45</v>
      </c>
      <c r="Q46" s="140" t="str">
        <f t="shared" si="1"/>
        <v>{58,220,45},</v>
      </c>
    </row>
    <row r="47" spans="2:17">
      <c r="B47" s="283" t="s">
        <v>11</v>
      </c>
      <c r="C47" s="87"/>
      <c r="D47" s="1">
        <v>0.312</v>
      </c>
      <c r="E47" s="1">
        <v>0.32900000000000001</v>
      </c>
      <c r="F47" s="1">
        <v>248</v>
      </c>
      <c r="G47" s="1">
        <v>243</v>
      </c>
      <c r="H47" s="1">
        <v>242</v>
      </c>
      <c r="I47" s="140" t="str">
        <f t="shared" si="0"/>
        <v>{248,243,242},</v>
      </c>
      <c r="J47" s="1">
        <v>43</v>
      </c>
      <c r="K47" s="45"/>
      <c r="L47" s="278">
        <v>0.23100000000000001</v>
      </c>
      <c r="M47" s="278">
        <v>0.49099999999999999</v>
      </c>
      <c r="N47" s="138">
        <v>53</v>
      </c>
      <c r="O47" s="138">
        <v>211</v>
      </c>
      <c r="P47" s="138">
        <v>66</v>
      </c>
      <c r="Q47" s="140" t="str">
        <f t="shared" si="1"/>
        <v>{53,211,66},</v>
      </c>
    </row>
    <row r="48" spans="2:17">
      <c r="B48" s="283"/>
      <c r="C48" s="109"/>
      <c r="D48" s="1">
        <v>0.183</v>
      </c>
      <c r="E48" s="1">
        <v>0.36199999999999999</v>
      </c>
      <c r="F48" s="1">
        <v>40</v>
      </c>
      <c r="G48" s="1">
        <v>220</v>
      </c>
      <c r="H48" s="1">
        <v>184</v>
      </c>
      <c r="I48" s="140" t="str">
        <f t="shared" si="0"/>
        <v>{40,220,184},</v>
      </c>
      <c r="J48" s="1">
        <v>44</v>
      </c>
      <c r="K48" s="46"/>
      <c r="L48" s="278">
        <v>0.215</v>
      </c>
      <c r="M48" s="278">
        <v>0.44700000000000001</v>
      </c>
      <c r="N48" s="138">
        <v>48</v>
      </c>
      <c r="O48" s="138">
        <v>207</v>
      </c>
      <c r="P48" s="138">
        <v>95</v>
      </c>
      <c r="Q48" s="140" t="str">
        <f t="shared" si="1"/>
        <v>{48,207,95},</v>
      </c>
    </row>
    <row r="49" spans="2:17">
      <c r="B49" s="283"/>
      <c r="C49" s="110"/>
      <c r="D49" s="1">
        <v>0.60899999999999999</v>
      </c>
      <c r="E49" s="1">
        <v>0.35599999999999998</v>
      </c>
      <c r="F49" s="1">
        <v>232</v>
      </c>
      <c r="G49" s="1">
        <v>41</v>
      </c>
      <c r="H49" s="1">
        <v>7</v>
      </c>
      <c r="I49" s="140" t="str">
        <f t="shared" si="0"/>
        <v>{232,41,7},</v>
      </c>
      <c r="J49" s="1">
        <v>45</v>
      </c>
      <c r="K49" s="47"/>
      <c r="L49" s="278">
        <v>0.19600000000000001</v>
      </c>
      <c r="M49" s="278">
        <v>0.40400000000000003</v>
      </c>
      <c r="N49" s="138">
        <v>36</v>
      </c>
      <c r="O49" s="138">
        <v>180</v>
      </c>
      <c r="P49" s="138">
        <v>114</v>
      </c>
      <c r="Q49" s="140" t="str">
        <f t="shared" si="1"/>
        <v>{36,180,114},</v>
      </c>
    </row>
    <row r="50" spans="2:17">
      <c r="B50" s="283"/>
      <c r="C50" s="110"/>
      <c r="D50" s="1">
        <v>0.60899999999999999</v>
      </c>
      <c r="E50" s="1">
        <v>0.35599999999999998</v>
      </c>
      <c r="F50" s="1">
        <v>232</v>
      </c>
      <c r="G50" s="1">
        <v>41</v>
      </c>
      <c r="H50" s="1">
        <v>7</v>
      </c>
      <c r="I50" s="140" t="str">
        <f t="shared" si="0"/>
        <v>{232,41,7},</v>
      </c>
      <c r="J50" s="1">
        <v>46</v>
      </c>
      <c r="K50" s="48"/>
      <c r="L50" s="278">
        <v>0.185</v>
      </c>
      <c r="M50" s="278">
        <v>0.36099999999999999</v>
      </c>
      <c r="N50" s="138">
        <v>34</v>
      </c>
      <c r="O50" s="138">
        <v>180</v>
      </c>
      <c r="P50" s="138">
        <v>152</v>
      </c>
      <c r="Q50" s="140" t="str">
        <f t="shared" si="1"/>
        <v>{34,180,152},</v>
      </c>
    </row>
    <row r="51" spans="2:17">
      <c r="B51" s="283"/>
      <c r="C51" s="111"/>
      <c r="D51" s="1">
        <v>0.16600000000000001</v>
      </c>
      <c r="E51" s="1">
        <v>0.23799999999999999</v>
      </c>
      <c r="F51" s="1">
        <v>26</v>
      </c>
      <c r="G51" s="1">
        <v>118</v>
      </c>
      <c r="H51" s="1">
        <v>234</v>
      </c>
      <c r="I51" s="140" t="str">
        <f t="shared" si="0"/>
        <v>{26,118,234},</v>
      </c>
      <c r="J51" s="1">
        <v>47</v>
      </c>
      <c r="K51" s="49"/>
      <c r="L51" s="278">
        <v>0.17499999999999999</v>
      </c>
      <c r="M51" s="278">
        <v>0.32900000000000001</v>
      </c>
      <c r="N51" s="138">
        <v>31</v>
      </c>
      <c r="O51" s="138">
        <v>180</v>
      </c>
      <c r="P51" s="138">
        <v>187</v>
      </c>
      <c r="Q51" s="140" t="str">
        <f t="shared" si="1"/>
        <v>{31,180,187},</v>
      </c>
    </row>
    <row r="52" spans="2:17">
      <c r="B52" s="283"/>
      <c r="C52" s="112"/>
      <c r="D52" s="1">
        <v>0.22900000000000001</v>
      </c>
      <c r="E52" s="1">
        <v>0.10299999999999999</v>
      </c>
      <c r="F52" s="1">
        <v>36</v>
      </c>
      <c r="G52" s="1">
        <v>3</v>
      </c>
      <c r="H52" s="1">
        <v>148</v>
      </c>
      <c r="I52" s="140" t="str">
        <f t="shared" si="0"/>
        <v>{36,3,148},</v>
      </c>
      <c r="J52" s="1">
        <v>48</v>
      </c>
      <c r="K52" s="50"/>
      <c r="L52" s="278">
        <v>0.17199999999999999</v>
      </c>
      <c r="M52" s="278">
        <v>0.29599999999999999</v>
      </c>
      <c r="N52" s="138">
        <v>29</v>
      </c>
      <c r="O52" s="138">
        <v>161</v>
      </c>
      <c r="P52" s="138">
        <v>208</v>
      </c>
      <c r="Q52" s="140" t="str">
        <f t="shared" si="1"/>
        <v>{29,161,208},</v>
      </c>
    </row>
    <row r="53" spans="2:17">
      <c r="B53" s="283"/>
      <c r="C53" s="113"/>
      <c r="D53" s="1">
        <v>0.25700000000000001</v>
      </c>
      <c r="E53" s="1">
        <v>0.30099999999999999</v>
      </c>
      <c r="F53" s="1">
        <v>124</v>
      </c>
      <c r="G53" s="1">
        <v>184</v>
      </c>
      <c r="H53" s="1">
        <v>234</v>
      </c>
      <c r="I53" s="140" t="str">
        <f t="shared" si="0"/>
        <v>{124,184,234},</v>
      </c>
      <c r="J53" s="1">
        <v>49</v>
      </c>
      <c r="K53" s="51"/>
      <c r="L53" s="278">
        <v>0.16900000000000001</v>
      </c>
      <c r="M53" s="278">
        <v>0.26400000000000001</v>
      </c>
      <c r="N53" s="138">
        <v>29</v>
      </c>
      <c r="O53" s="138">
        <v>147</v>
      </c>
      <c r="P53" s="138">
        <v>238</v>
      </c>
      <c r="Q53" s="140" t="str">
        <f t="shared" si="1"/>
        <v>{29,147,238},</v>
      </c>
    </row>
    <row r="54" spans="2:17">
      <c r="B54" s="283"/>
      <c r="C54" s="114"/>
      <c r="D54" s="145">
        <v>0.35899999999999999</v>
      </c>
      <c r="E54" s="145">
        <v>0.56499999999999995</v>
      </c>
      <c r="F54" s="145">
        <v>145</v>
      </c>
      <c r="G54" s="145">
        <v>255</v>
      </c>
      <c r="H54" s="145">
        <f>C54*1.4</f>
        <v>0</v>
      </c>
      <c r="I54" s="140" t="str">
        <f t="shared" si="0"/>
        <v>{145,255,0},</v>
      </c>
      <c r="J54" s="1">
        <v>50</v>
      </c>
      <c r="K54" s="52"/>
      <c r="L54" s="278">
        <v>0.16800000000000001</v>
      </c>
      <c r="M54" s="278">
        <v>0.23699999999999999</v>
      </c>
      <c r="N54" s="138">
        <v>28</v>
      </c>
      <c r="O54" s="138">
        <v>125</v>
      </c>
      <c r="P54" s="138">
        <v>249</v>
      </c>
      <c r="Q54" s="140" t="str">
        <f t="shared" si="1"/>
        <v>{28,125,249},</v>
      </c>
    </row>
    <row r="55" spans="2:17">
      <c r="B55" s="283"/>
      <c r="C55" s="112"/>
      <c r="D55" s="1">
        <v>0.22800000000000001</v>
      </c>
      <c r="E55" s="1">
        <v>0.10299999999999999</v>
      </c>
      <c r="F55" s="1">
        <v>34</v>
      </c>
      <c r="G55" s="1">
        <v>3</v>
      </c>
      <c r="H55" s="1">
        <v>140</v>
      </c>
      <c r="I55" s="140" t="str">
        <f t="shared" si="0"/>
        <v>{34,3,140},</v>
      </c>
      <c r="J55" s="1">
        <v>51</v>
      </c>
      <c r="K55" s="53"/>
      <c r="L55" s="278">
        <v>0.16400000000000001</v>
      </c>
      <c r="M55" s="278">
        <v>0.20499999999999999</v>
      </c>
      <c r="N55" s="138">
        <v>23</v>
      </c>
      <c r="O55" s="138">
        <v>95</v>
      </c>
      <c r="P55" s="138">
        <v>248</v>
      </c>
      <c r="Q55" s="140" t="str">
        <f t="shared" si="1"/>
        <v>{23,95,248},</v>
      </c>
    </row>
    <row r="56" spans="2:17">
      <c r="I56" s="140"/>
      <c r="J56" s="1">
        <v>52</v>
      </c>
      <c r="K56" s="54"/>
      <c r="L56" s="278">
        <v>0.159</v>
      </c>
      <c r="M56" s="278">
        <v>0.17699999999999999</v>
      </c>
      <c r="N56" s="138">
        <v>19</v>
      </c>
      <c r="O56" s="138">
        <v>74</v>
      </c>
      <c r="P56" s="138">
        <v>250</v>
      </c>
      <c r="Q56" s="140" t="str">
        <f t="shared" si="1"/>
        <v>{19,74,250},</v>
      </c>
    </row>
    <row r="57" spans="2:17">
      <c r="I57" s="140"/>
      <c r="J57" s="1">
        <v>53</v>
      </c>
      <c r="K57" s="55"/>
      <c r="L57" s="278">
        <v>0.16</v>
      </c>
      <c r="M57" s="278">
        <v>0.14799999999999999</v>
      </c>
      <c r="N57" s="138">
        <v>19</v>
      </c>
      <c r="O57" s="138">
        <v>53</v>
      </c>
      <c r="P57" s="138">
        <v>253</v>
      </c>
      <c r="Q57" s="140" t="str">
        <f t="shared" si="1"/>
        <v>{19,53,253},</v>
      </c>
    </row>
    <row r="58" spans="2:17">
      <c r="I58" s="140"/>
      <c r="J58" s="1">
        <v>54</v>
      </c>
      <c r="K58" s="56"/>
      <c r="L58" s="278">
        <v>0.156</v>
      </c>
      <c r="M58" s="278">
        <v>0.125</v>
      </c>
      <c r="N58" s="138">
        <v>16</v>
      </c>
      <c r="O58" s="138">
        <v>38</v>
      </c>
      <c r="P58" s="138">
        <v>255</v>
      </c>
      <c r="Q58" s="140" t="str">
        <f t="shared" si="1"/>
        <v>{16,38,255},</v>
      </c>
    </row>
    <row r="59" spans="2:17">
      <c r="I59" s="140"/>
      <c r="J59" s="1">
        <v>55</v>
      </c>
      <c r="K59" s="57"/>
      <c r="L59" s="278">
        <v>0.152</v>
      </c>
      <c r="M59" s="278">
        <v>0.104</v>
      </c>
      <c r="N59" s="138">
        <v>13</v>
      </c>
      <c r="O59" s="138">
        <v>26</v>
      </c>
      <c r="P59" s="138">
        <v>255</v>
      </c>
      <c r="Q59" s="140" t="str">
        <f t="shared" si="1"/>
        <v>{13,26,255},</v>
      </c>
    </row>
    <row r="60" spans="2:17">
      <c r="I60" s="140"/>
      <c r="J60" s="1">
        <v>56</v>
      </c>
      <c r="K60" s="58"/>
      <c r="L60" s="278">
        <v>0.153</v>
      </c>
      <c r="M60" s="278">
        <v>8.5000000000000006E-2</v>
      </c>
      <c r="N60" s="138">
        <v>13</v>
      </c>
      <c r="O60" s="138">
        <v>14</v>
      </c>
      <c r="P60" s="138">
        <v>255</v>
      </c>
      <c r="Q60" s="140" t="str">
        <f t="shared" si="1"/>
        <v>{13,14,255},</v>
      </c>
    </row>
    <row r="61" spans="2:17">
      <c r="I61" s="140"/>
      <c r="J61" s="1">
        <v>57</v>
      </c>
      <c r="K61" s="59"/>
      <c r="L61" s="278">
        <v>0.153</v>
      </c>
      <c r="M61" s="278">
        <v>7.2999999999999995E-2</v>
      </c>
      <c r="N61" s="138">
        <v>13</v>
      </c>
      <c r="O61" s="138">
        <v>7</v>
      </c>
      <c r="P61" s="138">
        <v>255</v>
      </c>
      <c r="Q61" s="140" t="str">
        <f t="shared" si="1"/>
        <v>{13,7,255},</v>
      </c>
    </row>
    <row r="62" spans="2:17">
      <c r="I62" s="140"/>
      <c r="J62" s="1">
        <v>58</v>
      </c>
      <c r="K62" s="60"/>
      <c r="L62" s="278">
        <v>0.151</v>
      </c>
      <c r="M62" s="278">
        <v>6.7000000000000004E-2</v>
      </c>
      <c r="N62" s="138">
        <v>11</v>
      </c>
      <c r="O62" s="138">
        <v>4</v>
      </c>
      <c r="P62" s="138">
        <v>237</v>
      </c>
      <c r="Q62" s="140" t="str">
        <f t="shared" si="1"/>
        <v>{11,4,237},</v>
      </c>
    </row>
    <row r="63" spans="2:17">
      <c r="I63" s="140"/>
      <c r="J63" s="1">
        <v>59</v>
      </c>
      <c r="K63" s="61"/>
      <c r="L63" s="278">
        <v>0.157</v>
      </c>
      <c r="M63" s="278">
        <v>6.8000000000000005E-2</v>
      </c>
      <c r="N63" s="138">
        <v>13</v>
      </c>
      <c r="O63" s="138">
        <v>3</v>
      </c>
      <c r="P63" s="138">
        <v>222</v>
      </c>
      <c r="Q63" s="140" t="str">
        <f t="shared" si="1"/>
        <v>{13,3,222},</v>
      </c>
    </row>
    <row r="64" spans="2:17">
      <c r="I64" s="140"/>
      <c r="J64" s="1">
        <v>60</v>
      </c>
      <c r="K64" s="62"/>
      <c r="L64" s="278">
        <v>0.16</v>
      </c>
      <c r="M64" s="278">
        <v>6.7000000000000004E-2</v>
      </c>
      <c r="N64" s="138">
        <v>13</v>
      </c>
      <c r="O64" s="138">
        <v>2</v>
      </c>
      <c r="P64" s="138">
        <v>203</v>
      </c>
      <c r="Q64" s="140" t="str">
        <f t="shared" si="1"/>
        <v>{13,2,203},</v>
      </c>
    </row>
    <row r="65" spans="9:17">
      <c r="I65" s="140"/>
      <c r="J65" s="1">
        <v>61</v>
      </c>
      <c r="K65" s="63"/>
      <c r="L65" s="278">
        <v>0.16500000000000001</v>
      </c>
      <c r="M65" s="278">
        <v>6.9000000000000006E-2</v>
      </c>
      <c r="N65" s="138">
        <v>14</v>
      </c>
      <c r="O65" s="138">
        <v>2</v>
      </c>
      <c r="P65" s="138">
        <v>188</v>
      </c>
      <c r="Q65" s="140" t="str">
        <f t="shared" si="1"/>
        <v>{14,2,188},</v>
      </c>
    </row>
    <row r="66" spans="9:17">
      <c r="I66" s="140"/>
      <c r="J66" s="1">
        <v>62</v>
      </c>
      <c r="K66" s="64"/>
      <c r="L66" s="278">
        <v>0.16900000000000001</v>
      </c>
      <c r="M66" s="278">
        <v>7.1999999999999995E-2</v>
      </c>
      <c r="N66" s="138">
        <v>15</v>
      </c>
      <c r="O66" s="138">
        <v>2</v>
      </c>
      <c r="P66" s="138">
        <v>176</v>
      </c>
      <c r="Q66" s="140" t="str">
        <f t="shared" si="1"/>
        <v>{15,2,176},</v>
      </c>
    </row>
    <row r="67" spans="9:17">
      <c r="I67" s="140"/>
      <c r="J67" s="1">
        <v>63</v>
      </c>
      <c r="K67" s="65"/>
      <c r="L67" s="278">
        <v>0.17499999999999999</v>
      </c>
      <c r="M67" s="138">
        <v>7.1999999999999995E-2</v>
      </c>
      <c r="N67" s="138">
        <v>16</v>
      </c>
      <c r="O67" s="138">
        <v>1</v>
      </c>
      <c r="P67" s="138">
        <v>163</v>
      </c>
      <c r="Q67" s="140" t="str">
        <f t="shared" si="1"/>
        <v>{16,1,163},</v>
      </c>
    </row>
    <row r="68" spans="9:17">
      <c r="I68" s="140"/>
      <c r="J68" s="1">
        <v>64</v>
      </c>
      <c r="K68" s="66"/>
      <c r="L68" s="278">
        <v>0.18099999999999999</v>
      </c>
      <c r="M68" s="278">
        <v>7.4999999999999997E-2</v>
      </c>
      <c r="N68" s="138">
        <v>17</v>
      </c>
      <c r="O68" s="138">
        <v>1</v>
      </c>
      <c r="P68" s="138">
        <v>152</v>
      </c>
      <c r="Q68" s="140" t="str">
        <f t="shared" si="1"/>
        <v>{17,1,152},</v>
      </c>
    </row>
  </sheetData>
  <mergeCells count="10">
    <mergeCell ref="B15:B24"/>
    <mergeCell ref="B25:B34"/>
    <mergeCell ref="B35:B46"/>
    <mergeCell ref="B47:B55"/>
    <mergeCell ref="F3:H3"/>
    <mergeCell ref="L3:M3"/>
    <mergeCell ref="N3:P3"/>
    <mergeCell ref="J3:J4"/>
    <mergeCell ref="K3:K4"/>
    <mergeCell ref="B5:B14"/>
  </mergeCells>
  <phoneticPr fontId="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전문가색상 54색</vt:lpstr>
      <vt:lpstr>커스텀컬러 64색</vt:lpstr>
      <vt:lpstr>Sheet1</vt:lpstr>
      <vt:lpstr>Sheet2</vt:lpstr>
      <vt:lpstr>최종보정값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2025-04-09T01:34:07Z</dcterms:modified>
</cp:coreProperties>
</file>