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color_debug\자료취합\"/>
    </mc:Choice>
  </mc:AlternateContent>
  <xr:revisionPtr revIDLastSave="0" documentId="13_ncr:1_{00BBF8DB-8331-4CBD-BD53-BAE4FE7C017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전문가색상 54색" sheetId="1" r:id="rId1"/>
    <sheet name="커스텀컬러 64색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K4" i="1"/>
  <c r="L4" i="1"/>
  <c r="J4" i="1"/>
  <c r="L5" i="2" l="1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4" i="2"/>
</calcChain>
</file>

<file path=xl/sharedStrings.xml><?xml version="1.0" encoding="utf-8"?>
<sst xmlns="http://schemas.openxmlformats.org/spreadsheetml/2006/main" count="558" uniqueCount="40">
  <si>
    <t>Cx</t>
    <phoneticPr fontId="5" type="noConversion"/>
  </si>
  <si>
    <t>Cy</t>
    <phoneticPr fontId="5" type="noConversion"/>
  </si>
  <si>
    <t>R</t>
    <phoneticPr fontId="10" type="noConversion"/>
  </si>
  <si>
    <t>G</t>
    <phoneticPr fontId="10" type="noConversion"/>
  </si>
  <si>
    <t>B</t>
    <phoneticPr fontId="10" type="noConversion"/>
  </si>
  <si>
    <t>No.</t>
  </si>
  <si>
    <t>X</t>
  </si>
  <si>
    <t>Y</t>
  </si>
  <si>
    <t>Z</t>
  </si>
  <si>
    <t>x</t>
  </si>
  <si>
    <t>y</t>
  </si>
  <si>
    <t>Lv [cd/m²]</t>
  </si>
  <si>
    <t>u'</t>
  </si>
  <si>
    <t>v'</t>
  </si>
  <si>
    <t>Tcp</t>
  </si>
  <si>
    <t>duv</t>
  </si>
  <si>
    <t>λd/λc</t>
  </si>
  <si>
    <t>Pe</t>
  </si>
  <si>
    <t>Δt</t>
  </si>
  <si>
    <t>ErrCode</t>
  </si>
  <si>
    <t>Sync Mode</t>
  </si>
  <si>
    <t>Meas Speed</t>
  </si>
  <si>
    <t>Averaging Times</t>
  </si>
  <si>
    <t>Integration Time</t>
  </si>
  <si>
    <t>Date</t>
  </si>
  <si>
    <t>Time</t>
  </si>
  <si>
    <t>----</t>
  </si>
  <si>
    <t>UNIV</t>
  </si>
  <si>
    <t>FAST</t>
  </si>
  <si>
    <t>목표 색좌표</t>
    <phoneticPr fontId="5" type="noConversion"/>
  </si>
  <si>
    <t>적용 RGB값</t>
    <phoneticPr fontId="5" type="noConversion"/>
  </si>
  <si>
    <t>측정 데이터</t>
    <phoneticPr fontId="5" type="noConversion"/>
  </si>
  <si>
    <t>color</t>
    <phoneticPr fontId="5" type="noConversion"/>
  </si>
  <si>
    <t>현대</t>
    <phoneticPr fontId="5" type="noConversion"/>
  </si>
  <si>
    <t>기아</t>
    <phoneticPr fontId="5" type="noConversion"/>
  </si>
  <si>
    <t>제네시스</t>
    <phoneticPr fontId="5" type="noConversion"/>
  </si>
  <si>
    <t>듀얼칼라</t>
    <phoneticPr fontId="5" type="noConversion"/>
  </si>
  <si>
    <t>드라이브모드 연동</t>
    <phoneticPr fontId="5" type="noConversion"/>
  </si>
  <si>
    <t>취합</t>
    <phoneticPr fontId="5" type="noConversion"/>
  </si>
  <si>
    <t>원본 RGB값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</si>
</sst>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현대하모니 L"/>
      <family val="1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139">
    <fill>
      <patternFill patternType="none"/>
    </fill>
    <fill>
      <patternFill patternType="gray125"/>
    </fill>
    <fill>
      <patternFill patternType="solid">
        <fgColor rgb="FF4601B9"/>
        <bgColor indexed="64"/>
      </patternFill>
    </fill>
    <fill>
      <patternFill patternType="solid">
        <fgColor rgb="FF5000AF"/>
        <bgColor indexed="64"/>
      </patternFill>
    </fill>
    <fill>
      <patternFill patternType="solid">
        <fgColor rgb="FF5A00A5"/>
        <bgColor indexed="64"/>
      </patternFill>
    </fill>
    <fill>
      <patternFill patternType="solid">
        <fgColor rgb="FF65009B"/>
        <bgColor indexed="64"/>
      </patternFill>
    </fill>
    <fill>
      <patternFill patternType="solid">
        <fgColor rgb="FF6F0091"/>
        <bgColor indexed="64"/>
      </patternFill>
    </fill>
    <fill>
      <patternFill patternType="solid">
        <fgColor rgb="FF790087"/>
        <bgColor indexed="64"/>
      </patternFill>
    </fill>
    <fill>
      <patternFill patternType="solid">
        <fgColor rgb="FF83007D"/>
        <bgColor indexed="64"/>
      </patternFill>
    </fill>
    <fill>
      <patternFill patternType="solid">
        <fgColor rgb="FF910073"/>
        <bgColor indexed="64"/>
      </patternFill>
    </fill>
    <fill>
      <patternFill patternType="solid">
        <fgColor rgb="FFA50064"/>
        <bgColor indexed="64"/>
      </patternFill>
    </fill>
    <fill>
      <patternFill patternType="solid">
        <fgColor rgb="FFC3005A"/>
        <bgColor indexed="64"/>
      </patternFill>
    </fill>
    <fill>
      <patternFill patternType="solid">
        <fgColor rgb="FFDC0046"/>
        <bgColor indexed="64"/>
      </patternFill>
    </fill>
    <fill>
      <patternFill patternType="solid">
        <fgColor rgb="FFE60032"/>
        <bgColor indexed="64"/>
      </patternFill>
    </fill>
    <fill>
      <patternFill patternType="solid">
        <fgColor rgb="FFF0001E"/>
        <bgColor indexed="64"/>
      </patternFill>
    </fill>
    <fill>
      <patternFill patternType="solid">
        <fgColor rgb="FFF5000F"/>
        <bgColor indexed="64"/>
      </patternFill>
    </fill>
    <fill>
      <patternFill patternType="solid">
        <fgColor rgb="FFFF0005"/>
        <bgColor indexed="64"/>
      </patternFill>
    </fill>
    <fill>
      <patternFill patternType="solid">
        <fgColor rgb="FFFF0A00"/>
        <bgColor indexed="64"/>
      </patternFill>
    </fill>
    <fill>
      <patternFill patternType="solid">
        <fgColor rgb="FFFF1400"/>
        <bgColor indexed="64"/>
      </patternFill>
    </fill>
    <fill>
      <patternFill patternType="solid">
        <fgColor rgb="FFFF1E00"/>
        <bgColor indexed="64"/>
      </patternFill>
    </fill>
    <fill>
      <patternFill patternType="solid">
        <fgColor rgb="FFFF2800"/>
        <bgColor indexed="64"/>
      </patternFill>
    </fill>
    <fill>
      <patternFill patternType="solid">
        <fgColor rgb="FFFF3200"/>
        <bgColor indexed="64"/>
      </patternFill>
    </fill>
    <fill>
      <patternFill patternType="solid">
        <fgColor rgb="FFFF3C00"/>
        <bgColor indexed="64"/>
      </patternFill>
    </fill>
    <fill>
      <patternFill patternType="solid">
        <fgColor rgb="FFFF4600"/>
        <bgColor indexed="64"/>
      </patternFill>
    </fill>
    <fill>
      <patternFill patternType="solid">
        <fgColor rgb="FFFF5000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FF6400"/>
        <bgColor indexed="64"/>
      </patternFill>
    </fill>
    <fill>
      <patternFill patternType="solid">
        <fgColor rgb="FFFA6E00"/>
        <bgColor indexed="64"/>
      </patternFill>
    </fill>
    <fill>
      <patternFill patternType="solid">
        <fgColor rgb="FFF07800"/>
        <bgColor indexed="64"/>
      </patternFill>
    </fill>
    <fill>
      <patternFill patternType="solid">
        <fgColor rgb="FFE68200"/>
        <bgColor indexed="64"/>
      </patternFill>
    </fill>
    <fill>
      <patternFill patternType="solid">
        <fgColor rgb="FFD78C00"/>
        <bgColor indexed="64"/>
      </patternFill>
    </fill>
    <fill>
      <patternFill patternType="solid">
        <fgColor rgb="FFD29600"/>
        <bgColor indexed="64"/>
      </patternFill>
    </fill>
    <fill>
      <patternFill patternType="solid">
        <fgColor rgb="FFCDA000"/>
        <bgColor indexed="64"/>
      </patternFill>
    </fill>
    <fill>
      <patternFill patternType="solid">
        <fgColor rgb="FFC8B900"/>
        <bgColor indexed="64"/>
      </patternFill>
    </fill>
    <fill>
      <patternFill patternType="solid">
        <fgColor rgb="FFC3C800"/>
        <bgColor indexed="64"/>
      </patternFill>
    </fill>
    <fill>
      <patternFill patternType="solid">
        <fgColor rgb="FFB9DC00"/>
        <bgColor indexed="64"/>
      </patternFill>
    </fill>
    <fill>
      <patternFill patternType="solid">
        <fgColor rgb="FFAFEB00"/>
        <bgColor indexed="64"/>
      </patternFill>
    </fill>
    <fill>
      <patternFill patternType="solid">
        <fgColor rgb="FFA5F50A"/>
        <bgColor indexed="64"/>
      </patternFill>
    </fill>
    <fill>
      <patternFill patternType="solid">
        <fgColor rgb="FF9BFA14"/>
        <bgColor indexed="64"/>
      </patternFill>
    </fill>
    <fill>
      <patternFill patternType="solid">
        <fgColor rgb="FF91FF28"/>
        <bgColor indexed="64"/>
      </patternFill>
    </fill>
    <fill>
      <patternFill patternType="solid">
        <fgColor rgb="FF87FF3C"/>
        <bgColor indexed="64"/>
      </patternFill>
    </fill>
    <fill>
      <patternFill patternType="solid">
        <fgColor rgb="FF7DFA50"/>
        <bgColor indexed="64"/>
      </patternFill>
    </fill>
    <fill>
      <patternFill patternType="solid">
        <fgColor rgb="FF73F564"/>
        <bgColor indexed="64"/>
      </patternFill>
    </fill>
    <fill>
      <patternFill patternType="solid">
        <fgColor rgb="FF69F078"/>
        <bgColor indexed="64"/>
      </patternFill>
    </fill>
    <fill>
      <patternFill patternType="solid">
        <fgColor rgb="FF5FEB8C"/>
        <bgColor indexed="64"/>
      </patternFill>
    </fill>
    <fill>
      <patternFill patternType="solid">
        <fgColor rgb="FF55E6A0"/>
        <bgColor indexed="64"/>
      </patternFill>
    </fill>
    <fill>
      <patternFill patternType="solid">
        <fgColor rgb="FF41E1B4"/>
        <bgColor indexed="64"/>
      </patternFill>
    </fill>
    <fill>
      <patternFill patternType="solid">
        <fgColor rgb="FF2DDCC8"/>
        <bgColor indexed="64"/>
      </patternFill>
    </fill>
    <fill>
      <patternFill patternType="solid">
        <fgColor rgb="FF1FD2D2"/>
        <bgColor indexed="64"/>
      </patternFill>
    </fill>
    <fill>
      <patternFill patternType="solid">
        <fgColor rgb="FF0FC8DC"/>
        <bgColor indexed="64"/>
      </patternFill>
    </fill>
    <fill>
      <patternFill patternType="solid">
        <fgColor rgb="FF05BEE6"/>
        <bgColor indexed="64"/>
      </patternFill>
    </fill>
    <fill>
      <patternFill patternType="solid">
        <fgColor rgb="FF00B4F0"/>
        <bgColor indexed="64"/>
      </patternFill>
    </fill>
    <fill>
      <patternFill patternType="solid">
        <fgColor rgb="FF00A5FA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82FF"/>
        <bgColor indexed="64"/>
      </patternFill>
    </fill>
    <fill>
      <patternFill patternType="solid">
        <fgColor rgb="FF006EFF"/>
        <bgColor indexed="64"/>
      </patternFill>
    </fill>
    <fill>
      <patternFill patternType="solid">
        <fgColor rgb="FF005AFF"/>
        <bgColor indexed="64"/>
      </patternFill>
    </fill>
    <fill>
      <patternFill patternType="solid">
        <fgColor rgb="FF0046FF"/>
        <bgColor indexed="64"/>
      </patternFill>
    </fill>
    <fill>
      <patternFill patternType="solid">
        <fgColor rgb="FF0B32FA"/>
        <bgColor indexed="64"/>
      </patternFill>
    </fill>
    <fill>
      <patternFill patternType="solid">
        <fgColor rgb="FF1928F0"/>
        <bgColor indexed="64"/>
      </patternFill>
    </fill>
    <fill>
      <patternFill patternType="solid">
        <fgColor rgb="FF231EEB"/>
        <bgColor indexed="64"/>
      </patternFill>
    </fill>
    <fill>
      <patternFill patternType="solid">
        <fgColor rgb="FF2D14E1"/>
        <bgColor indexed="64"/>
      </patternFill>
    </fill>
    <fill>
      <patternFill patternType="solid">
        <fgColor rgb="FF330AD7"/>
        <bgColor indexed="64"/>
      </patternFill>
    </fill>
    <fill>
      <patternFill patternType="solid">
        <fgColor rgb="FF3705CD"/>
        <bgColor indexed="64"/>
      </patternFill>
    </fill>
    <fill>
      <patternFill patternType="solid">
        <fgColor rgb="FF3C03C3"/>
        <bgColor indexed="64"/>
      </patternFill>
    </fill>
    <fill>
      <patternFill patternType="solid">
        <fgColor rgb="FF4102B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5F2FA"/>
        <bgColor indexed="64"/>
      </patternFill>
    </fill>
    <fill>
      <patternFill patternType="solid">
        <fgColor rgb="FFF4E9DF"/>
        <bgColor indexed="64"/>
      </patternFill>
    </fill>
    <fill>
      <patternFill patternType="solid">
        <fgColor rgb="FFFEA811"/>
        <bgColor indexed="64"/>
      </patternFill>
    </fill>
    <fill>
      <patternFill patternType="solid">
        <fgColor rgb="FFE93E3E"/>
        <bgColor indexed="64"/>
      </patternFill>
    </fill>
    <fill>
      <patternFill patternType="solid">
        <fgColor rgb="FFBB0FEC"/>
        <bgColor indexed="64"/>
      </patternFill>
    </fill>
    <fill>
      <patternFill patternType="solid">
        <fgColor rgb="FF8A25FC"/>
        <bgColor indexed="64"/>
      </patternFill>
    </fill>
    <fill>
      <patternFill patternType="solid">
        <fgColor rgb="FF188EFD"/>
        <bgColor indexed="64"/>
      </patternFill>
    </fill>
    <fill>
      <patternFill patternType="solid">
        <fgColor rgb="FF03C7C0"/>
        <bgColor indexed="64"/>
      </patternFill>
    </fill>
    <fill>
      <patternFill patternType="solid">
        <fgColor rgb="FF7ED715"/>
        <bgColor indexed="64"/>
      </patternFill>
    </fill>
    <fill>
      <patternFill patternType="solid">
        <fgColor rgb="FFB7E4FC"/>
        <bgColor indexed="64"/>
      </patternFill>
    </fill>
    <fill>
      <patternFill patternType="solid">
        <fgColor rgb="FF4F8AC3"/>
        <bgColor indexed="64"/>
      </patternFill>
    </fill>
    <fill>
      <patternFill patternType="solid">
        <fgColor rgb="FF7F9A7A"/>
        <bgColor indexed="64"/>
      </patternFill>
    </fill>
    <fill>
      <patternFill patternType="solid">
        <fgColor rgb="FF6B5A95"/>
        <bgColor indexed="64"/>
      </patternFill>
    </fill>
    <fill>
      <patternFill patternType="solid">
        <fgColor rgb="FFA7627F"/>
        <bgColor indexed="64"/>
      </patternFill>
    </fill>
    <fill>
      <patternFill patternType="solid">
        <fgColor rgb="FFD07057"/>
        <bgColor indexed="64"/>
      </patternFill>
    </fill>
    <fill>
      <patternFill patternType="solid">
        <fgColor rgb="FFD9AE5F"/>
        <bgColor indexed="64"/>
      </patternFill>
    </fill>
    <fill>
      <patternFill patternType="solid">
        <fgColor rgb="FF329A9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0004"/>
        <bgColor indexed="64"/>
      </patternFill>
    </fill>
    <fill>
      <patternFill patternType="solid">
        <fgColor rgb="FFC8DBFF"/>
        <bgColor indexed="64"/>
      </patternFill>
    </fill>
    <fill>
      <patternFill patternType="solid">
        <fgColor rgb="FFDFC8FF"/>
        <bgColor indexed="64"/>
      </patternFill>
    </fill>
    <fill>
      <patternFill patternType="solid">
        <fgColor rgb="FFFF8C59"/>
        <bgColor indexed="64"/>
      </patternFill>
    </fill>
    <fill>
      <patternFill patternType="solid">
        <fgColor rgb="FFFF5900"/>
        <bgColor indexed="64"/>
      </patternFill>
    </fill>
    <fill>
      <patternFill patternType="solid">
        <fgColor rgb="FFFF281E"/>
        <bgColor indexed="64"/>
      </patternFill>
    </fill>
    <fill>
      <patternFill patternType="solid">
        <fgColor rgb="FFFF000A"/>
        <bgColor indexed="64"/>
      </patternFill>
    </fill>
    <fill>
      <patternFill patternType="solid">
        <fgColor rgb="FFAE00FF"/>
        <bgColor indexed="64"/>
      </patternFill>
    </fill>
    <fill>
      <patternFill patternType="solid">
        <fgColor rgb="FF6400FF"/>
        <bgColor indexed="64"/>
      </patternFill>
    </fill>
    <fill>
      <patternFill patternType="solid">
        <fgColor rgb="FF4B52FF"/>
        <bgColor indexed="64"/>
      </patternFill>
    </fill>
    <fill>
      <patternFill patternType="solid">
        <fgColor rgb="FF00E3CF"/>
        <bgColor indexed="64"/>
      </patternFill>
    </fill>
    <fill>
      <patternFill patternType="solid">
        <fgColor rgb="FFA7FF37"/>
        <bgColor indexed="64"/>
      </patternFill>
    </fill>
    <fill>
      <patternFill patternType="solid">
        <fgColor rgb="FF0054FF"/>
        <bgColor indexed="64"/>
      </patternFill>
    </fill>
    <fill>
      <patternFill patternType="solid">
        <fgColor rgb="FF00D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83C3C"/>
        <bgColor indexed="64"/>
      </patternFill>
    </fill>
    <fill>
      <patternFill patternType="solid">
        <fgColor rgb="FF503CB4"/>
        <bgColor indexed="64"/>
      </patternFill>
    </fill>
    <fill>
      <patternFill patternType="solid">
        <fgColor rgb="FF0F00FF"/>
        <bgColor indexed="64"/>
      </patternFill>
    </fill>
    <fill>
      <patternFill patternType="solid">
        <fgColor rgb="FF00FA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8" borderId="0" applyNumberFormat="0" applyBorder="0" applyAlignment="0" applyProtection="0">
      <alignment vertical="center"/>
    </xf>
    <xf numFmtId="0" fontId="20" fillId="109" borderId="0" applyNumberFormat="0" applyBorder="0" applyAlignment="0" applyProtection="0">
      <alignment vertical="center"/>
    </xf>
    <xf numFmtId="0" fontId="21" fillId="110" borderId="0" applyNumberFormat="0" applyBorder="0" applyAlignment="0" applyProtection="0">
      <alignment vertical="center"/>
    </xf>
    <xf numFmtId="0" fontId="22" fillId="111" borderId="4" applyNumberFormat="0" applyAlignment="0" applyProtection="0">
      <alignment vertical="center"/>
    </xf>
    <xf numFmtId="0" fontId="23" fillId="112" borderId="5" applyNumberFormat="0" applyAlignment="0" applyProtection="0">
      <alignment vertical="center"/>
    </xf>
    <xf numFmtId="0" fontId="24" fillId="112" borderId="4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113" borderId="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" fillId="115" borderId="0" applyNumberFormat="0" applyBorder="0" applyAlignment="0" applyProtection="0">
      <alignment vertical="center"/>
    </xf>
    <xf numFmtId="0" fontId="1" fillId="116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3" fillId="119" borderId="0" applyNumberFormat="0" applyBorder="0" applyAlignment="0" applyProtection="0">
      <alignment vertical="center"/>
    </xf>
    <xf numFmtId="0" fontId="1" fillId="120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3" fillId="123" borderId="0" applyNumberFormat="0" applyBorder="0" applyAlignment="0" applyProtection="0">
      <alignment vertical="center"/>
    </xf>
    <xf numFmtId="0" fontId="1" fillId="124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3" fillId="127" borderId="0" applyNumberFormat="0" applyBorder="0" applyAlignment="0" applyProtection="0">
      <alignment vertical="center"/>
    </xf>
    <xf numFmtId="0" fontId="1" fillId="128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3" fillId="131" borderId="0" applyNumberFormat="0" applyBorder="0" applyAlignment="0" applyProtection="0">
      <alignment vertical="center"/>
    </xf>
    <xf numFmtId="0" fontId="1" fillId="132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3" fillId="135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4" borderId="8" applyNumberFormat="0" applyFont="0" applyAlignment="0" applyProtection="0">
      <alignment vertical="center"/>
    </xf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3" fillId="66" borderId="0" xfId="0" applyFont="1" applyFill="1" applyAlignment="1">
      <alignment horizontal="center" vertical="center"/>
    </xf>
    <xf numFmtId="0" fontId="11" fillId="67" borderId="0" xfId="0" applyFont="1" applyFill="1" applyAlignment="1">
      <alignment horizontal="center" vertical="center"/>
    </xf>
    <xf numFmtId="0" fontId="11" fillId="68" borderId="0" xfId="0" applyFont="1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176" fontId="8" fillId="0" borderId="0" xfId="2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76" fontId="9" fillId="0" borderId="0" xfId="2" applyNumberFormat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0" fontId="4" fillId="6" borderId="0" xfId="1" applyFont="1" applyFill="1" applyAlignment="1">
      <alignment horizontal="center" vertical="center"/>
    </xf>
    <xf numFmtId="0" fontId="4" fillId="7" borderId="0" xfId="1" applyFont="1" applyFill="1" applyAlignment="1">
      <alignment horizontal="center" vertical="center"/>
    </xf>
    <xf numFmtId="0" fontId="4" fillId="8" borderId="0" xfId="1" applyFont="1" applyFill="1" applyAlignment="1">
      <alignment horizontal="center" vertical="center"/>
    </xf>
    <xf numFmtId="0" fontId="4" fillId="9" borderId="0" xfId="1" applyFont="1" applyFill="1" applyAlignment="1">
      <alignment horizontal="center" vertical="center"/>
    </xf>
    <xf numFmtId="0" fontId="4" fillId="10" borderId="0" xfId="1" applyFont="1" applyFill="1" applyAlignment="1">
      <alignment horizontal="center" vertical="center"/>
    </xf>
    <xf numFmtId="0" fontId="4" fillId="11" borderId="0" xfId="1" applyFont="1" applyFill="1" applyAlignment="1">
      <alignment horizontal="center" vertical="center"/>
    </xf>
    <xf numFmtId="0" fontId="4" fillId="12" borderId="0" xfId="1" applyFont="1" applyFill="1" applyAlignment="1">
      <alignment horizontal="center" vertical="center"/>
    </xf>
    <xf numFmtId="0" fontId="4" fillId="13" borderId="0" xfId="1" applyFont="1" applyFill="1" applyAlignment="1">
      <alignment horizontal="center" vertical="center"/>
    </xf>
    <xf numFmtId="0" fontId="4" fillId="14" borderId="0" xfId="1" applyFont="1" applyFill="1" applyAlignment="1">
      <alignment horizontal="center" vertical="center"/>
    </xf>
    <xf numFmtId="0" fontId="4" fillId="15" borderId="0" xfId="1" applyFont="1" applyFill="1" applyAlignment="1">
      <alignment horizontal="center" vertical="center"/>
    </xf>
    <xf numFmtId="0" fontId="4" fillId="16" borderId="0" xfId="1" applyFont="1" applyFill="1" applyAlignment="1">
      <alignment horizontal="center" vertical="center"/>
    </xf>
    <xf numFmtId="0" fontId="4" fillId="17" borderId="0" xfId="1" applyFont="1" applyFill="1" applyAlignment="1">
      <alignment horizontal="center" vertical="center"/>
    </xf>
    <xf numFmtId="0" fontId="4" fillId="18" borderId="0" xfId="1" applyFont="1" applyFill="1" applyAlignment="1">
      <alignment horizontal="center" vertical="center"/>
    </xf>
    <xf numFmtId="0" fontId="4" fillId="19" borderId="0" xfId="1" applyFont="1" applyFill="1" applyAlignment="1">
      <alignment horizontal="center" vertical="center"/>
    </xf>
    <xf numFmtId="0" fontId="4" fillId="20" borderId="0" xfId="1" applyFont="1" applyFill="1" applyAlignment="1">
      <alignment horizontal="center" vertical="center"/>
    </xf>
    <xf numFmtId="0" fontId="4" fillId="21" borderId="0" xfId="1" applyFont="1" applyFill="1" applyAlignment="1">
      <alignment horizontal="center" vertical="center"/>
    </xf>
    <xf numFmtId="0" fontId="4" fillId="22" borderId="0" xfId="1" applyFont="1" applyFill="1" applyAlignment="1">
      <alignment horizontal="center" vertical="center"/>
    </xf>
    <xf numFmtId="0" fontId="4" fillId="23" borderId="0" xfId="1" applyFont="1" applyFill="1" applyAlignment="1">
      <alignment horizontal="center" vertical="center"/>
    </xf>
    <xf numFmtId="0" fontId="4" fillId="24" borderId="0" xfId="1" applyFont="1" applyFill="1" applyAlignment="1">
      <alignment horizontal="center" vertical="center"/>
    </xf>
    <xf numFmtId="0" fontId="4" fillId="25" borderId="0" xfId="1" applyFont="1" applyFill="1" applyAlignment="1">
      <alignment horizontal="center" vertical="center"/>
    </xf>
    <xf numFmtId="0" fontId="4" fillId="26" borderId="0" xfId="1" applyFont="1" applyFill="1" applyAlignment="1">
      <alignment horizontal="center" vertical="center"/>
    </xf>
    <xf numFmtId="0" fontId="6" fillId="27" borderId="0" xfId="1" applyFont="1" applyFill="1" applyAlignment="1">
      <alignment horizontal="center" vertical="center"/>
    </xf>
    <xf numFmtId="0" fontId="4" fillId="28" borderId="0" xfId="1" applyFont="1" applyFill="1" applyAlignment="1">
      <alignment horizontal="center" vertical="center"/>
    </xf>
    <xf numFmtId="0" fontId="4" fillId="29" borderId="0" xfId="1" applyFont="1" applyFill="1" applyAlignment="1">
      <alignment horizontal="center" vertical="center"/>
    </xf>
    <xf numFmtId="0" fontId="4" fillId="30" borderId="0" xfId="1" applyFont="1" applyFill="1" applyAlignment="1">
      <alignment horizontal="center" vertical="center"/>
    </xf>
    <xf numFmtId="0" fontId="4" fillId="31" borderId="0" xfId="1" applyFont="1" applyFill="1" applyAlignment="1">
      <alignment horizontal="center" vertical="center"/>
    </xf>
    <xf numFmtId="0" fontId="4" fillId="32" borderId="0" xfId="1" applyFont="1" applyFill="1" applyAlignment="1">
      <alignment horizontal="center" vertical="center"/>
    </xf>
    <xf numFmtId="0" fontId="4" fillId="33" borderId="0" xfId="1" applyFont="1" applyFill="1" applyAlignment="1">
      <alignment horizontal="center" vertical="center"/>
    </xf>
    <xf numFmtId="0" fontId="4" fillId="34" borderId="0" xfId="1" applyFont="1" applyFill="1" applyAlignment="1">
      <alignment horizontal="center" vertical="center"/>
    </xf>
    <xf numFmtId="0" fontId="4" fillId="35" borderId="0" xfId="1" applyFont="1" applyFill="1" applyAlignment="1">
      <alignment horizontal="center" vertical="center"/>
    </xf>
    <xf numFmtId="0" fontId="4" fillId="36" borderId="0" xfId="1" applyFont="1" applyFill="1" applyAlignment="1">
      <alignment horizontal="center" vertical="center"/>
    </xf>
    <xf numFmtId="0" fontId="4" fillId="37" borderId="0" xfId="1" applyFont="1" applyFill="1" applyAlignment="1">
      <alignment horizontal="center" vertical="center"/>
    </xf>
    <xf numFmtId="0" fontId="4" fillId="38" borderId="0" xfId="1" applyFont="1" applyFill="1" applyAlignment="1">
      <alignment horizontal="center" vertical="center"/>
    </xf>
    <xf numFmtId="0" fontId="4" fillId="39" borderId="0" xfId="1" applyFont="1" applyFill="1" applyAlignment="1">
      <alignment horizontal="center" vertical="center"/>
    </xf>
    <xf numFmtId="0" fontId="4" fillId="40" borderId="0" xfId="1" applyFont="1" applyFill="1" applyAlignment="1">
      <alignment horizontal="center" vertical="center"/>
    </xf>
    <xf numFmtId="0" fontId="4" fillId="41" borderId="0" xfId="1" applyFont="1" applyFill="1" applyAlignment="1">
      <alignment horizontal="center" vertical="center"/>
    </xf>
    <xf numFmtId="0" fontId="4" fillId="42" borderId="0" xfId="1" applyFont="1" applyFill="1" applyAlignment="1">
      <alignment horizontal="center" vertical="center"/>
    </xf>
    <xf numFmtId="0" fontId="4" fillId="43" borderId="0" xfId="1" applyFont="1" applyFill="1" applyAlignment="1">
      <alignment horizontal="center" vertical="center"/>
    </xf>
    <xf numFmtId="0" fontId="4" fillId="44" borderId="0" xfId="1" applyFont="1" applyFill="1" applyAlignment="1">
      <alignment horizontal="center" vertical="center"/>
    </xf>
    <xf numFmtId="0" fontId="4" fillId="45" borderId="0" xfId="1" applyFont="1" applyFill="1" applyAlignment="1">
      <alignment horizontal="center" vertical="center"/>
    </xf>
    <xf numFmtId="0" fontId="4" fillId="46" borderId="0" xfId="1" applyFont="1" applyFill="1" applyAlignment="1">
      <alignment horizontal="center" vertical="center"/>
    </xf>
    <xf numFmtId="0" fontId="4" fillId="47" borderId="0" xfId="1" applyFont="1" applyFill="1" applyAlignment="1">
      <alignment horizontal="center" vertical="center"/>
    </xf>
    <xf numFmtId="0" fontId="4" fillId="48" borderId="0" xfId="1" applyFont="1" applyFill="1" applyAlignment="1">
      <alignment horizontal="center" vertical="center"/>
    </xf>
    <xf numFmtId="0" fontId="4" fillId="49" borderId="0" xfId="1" applyFont="1" applyFill="1" applyAlignment="1">
      <alignment horizontal="center" vertical="center"/>
    </xf>
    <xf numFmtId="0" fontId="4" fillId="50" borderId="0" xfId="1" applyFont="1" applyFill="1" applyAlignment="1">
      <alignment horizontal="center" vertical="center"/>
    </xf>
    <xf numFmtId="0" fontId="4" fillId="51" borderId="0" xfId="1" applyFont="1" applyFill="1" applyAlignment="1">
      <alignment horizontal="center" vertical="center"/>
    </xf>
    <xf numFmtId="0" fontId="4" fillId="52" borderId="0" xfId="1" applyFont="1" applyFill="1" applyAlignment="1">
      <alignment horizontal="center" vertical="center"/>
    </xf>
    <xf numFmtId="0" fontId="7" fillId="53" borderId="0" xfId="1" applyFont="1" applyFill="1" applyAlignment="1">
      <alignment horizontal="center" vertical="center"/>
    </xf>
    <xf numFmtId="0" fontId="7" fillId="54" borderId="0" xfId="1" applyFont="1" applyFill="1" applyAlignment="1">
      <alignment horizontal="center" vertical="center"/>
    </xf>
    <xf numFmtId="0" fontId="4" fillId="55" borderId="0" xfId="1" applyFont="1" applyFill="1" applyAlignment="1">
      <alignment horizontal="center" vertical="center"/>
    </xf>
    <xf numFmtId="0" fontId="4" fillId="56" borderId="0" xfId="1" applyFont="1" applyFill="1" applyAlignment="1">
      <alignment horizontal="center" vertical="center"/>
    </xf>
    <xf numFmtId="0" fontId="7" fillId="57" borderId="0" xfId="1" applyFont="1" applyFill="1" applyAlignment="1">
      <alignment horizontal="center" vertical="center"/>
    </xf>
    <xf numFmtId="0" fontId="4" fillId="58" borderId="0" xfId="1" applyFont="1" applyFill="1" applyAlignment="1">
      <alignment horizontal="center" vertical="center"/>
    </xf>
    <xf numFmtId="0" fontId="4" fillId="59" borderId="0" xfId="1" applyFont="1" applyFill="1" applyAlignment="1">
      <alignment horizontal="center" vertical="center"/>
    </xf>
    <xf numFmtId="0" fontId="4" fillId="60" borderId="0" xfId="1" applyFont="1" applyFill="1" applyAlignment="1">
      <alignment horizontal="center" vertical="center"/>
    </xf>
    <xf numFmtId="0" fontId="4" fillId="61" borderId="0" xfId="1" applyFont="1" applyFill="1" applyAlignment="1">
      <alignment horizontal="center" vertical="center"/>
    </xf>
    <xf numFmtId="0" fontId="4" fillId="62" borderId="0" xfId="1" applyFont="1" applyFill="1" applyAlignment="1">
      <alignment horizontal="center" vertical="center"/>
    </xf>
    <xf numFmtId="0" fontId="4" fillId="63" borderId="0" xfId="1" applyFont="1" applyFill="1" applyAlignment="1">
      <alignment horizontal="center" vertical="center"/>
    </xf>
    <xf numFmtId="0" fontId="4" fillId="64" borderId="0" xfId="1" applyFont="1" applyFill="1" applyAlignment="1">
      <alignment horizontal="center" vertical="center"/>
    </xf>
    <xf numFmtId="0" fontId="4" fillId="65" borderId="0" xfId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107" borderId="0" xfId="0" applyFont="1" applyFill="1" applyAlignment="1">
      <alignment horizontal="center" vertical="center"/>
    </xf>
    <xf numFmtId="1" fontId="8" fillId="0" borderId="0" xfId="2" applyNumberFormat="1" applyFont="1" applyAlignment="1">
      <alignment horizontal="center" vertical="center"/>
    </xf>
    <xf numFmtId="1" fontId="9" fillId="0" borderId="0" xfId="2" applyNumberFormat="1" applyFont="1" applyAlignment="1">
      <alignment horizontal="center" vertical="center"/>
    </xf>
    <xf numFmtId="0" fontId="12" fillId="70" borderId="0" xfId="1" applyFont="1" applyFill="1" applyAlignment="1">
      <alignment horizontal="center" vertical="center" wrapText="1"/>
    </xf>
    <xf numFmtId="0" fontId="12" fillId="71" borderId="0" xfId="1" applyFont="1" applyFill="1" applyAlignment="1">
      <alignment horizontal="center" vertical="center" wrapText="1"/>
    </xf>
    <xf numFmtId="0" fontId="12" fillId="72" borderId="0" xfId="1" applyFont="1" applyFill="1" applyAlignment="1">
      <alignment horizontal="center" vertical="center" wrapText="1"/>
    </xf>
    <xf numFmtId="0" fontId="12" fillId="73" borderId="0" xfId="1" applyFont="1" applyFill="1" applyAlignment="1">
      <alignment horizontal="center" vertical="center" wrapText="1"/>
    </xf>
    <xf numFmtId="0" fontId="12" fillId="74" borderId="0" xfId="1" applyFont="1" applyFill="1" applyAlignment="1">
      <alignment horizontal="center" vertical="center" wrapText="1"/>
    </xf>
    <xf numFmtId="0" fontId="12" fillId="75" borderId="0" xfId="1" applyFont="1" applyFill="1" applyAlignment="1">
      <alignment horizontal="center" vertical="center" wrapText="1"/>
    </xf>
    <xf numFmtId="0" fontId="12" fillId="76" borderId="0" xfId="1" applyFont="1" applyFill="1" applyAlignment="1">
      <alignment horizontal="center" vertical="center" wrapText="1"/>
    </xf>
    <xf numFmtId="0" fontId="12" fillId="77" borderId="0" xfId="1" applyFont="1" applyFill="1" applyAlignment="1">
      <alignment horizontal="center" vertical="center" wrapText="1"/>
    </xf>
    <xf numFmtId="0" fontId="12" fillId="78" borderId="0" xfId="1" applyFont="1" applyFill="1" applyAlignment="1">
      <alignment horizontal="center" vertical="center" wrapText="1"/>
    </xf>
    <xf numFmtId="0" fontId="12" fillId="79" borderId="0" xfId="1" applyFont="1" applyFill="1" applyAlignment="1">
      <alignment horizontal="center" vertical="center" wrapText="1"/>
    </xf>
    <xf numFmtId="0" fontId="0" fillId="80" borderId="0" xfId="0" applyFill="1" applyAlignment="1">
      <alignment vertical="center"/>
    </xf>
    <xf numFmtId="0" fontId="0" fillId="81" borderId="0" xfId="0" applyFill="1" applyAlignment="1">
      <alignment vertical="center"/>
    </xf>
    <xf numFmtId="0" fontId="0" fillId="82" borderId="0" xfId="0" applyFill="1" applyAlignment="1">
      <alignment vertical="center"/>
    </xf>
    <xf numFmtId="0" fontId="0" fillId="83" borderId="0" xfId="0" applyFill="1" applyAlignment="1">
      <alignment vertical="center"/>
    </xf>
    <xf numFmtId="0" fontId="0" fillId="84" borderId="0" xfId="0" applyFill="1" applyAlignment="1">
      <alignment vertical="center"/>
    </xf>
    <xf numFmtId="0" fontId="0" fillId="85" borderId="0" xfId="0" applyFill="1" applyAlignment="1">
      <alignment vertical="center"/>
    </xf>
    <xf numFmtId="0" fontId="0" fillId="86" borderId="0" xfId="0" applyFill="1" applyAlignment="1">
      <alignment vertical="center"/>
    </xf>
    <xf numFmtId="0" fontId="0" fillId="87" borderId="0" xfId="0" applyFill="1" applyAlignment="1">
      <alignment vertical="center"/>
    </xf>
    <xf numFmtId="0" fontId="0" fillId="88" borderId="0" xfId="0" applyFill="1" applyAlignment="1">
      <alignment vertical="center"/>
    </xf>
    <xf numFmtId="0" fontId="0" fillId="89" borderId="0" xfId="0" applyFill="1" applyAlignment="1">
      <alignment vertical="center"/>
    </xf>
    <xf numFmtId="0" fontId="13" fillId="90" borderId="0" xfId="1" applyFont="1" applyFill="1" applyAlignment="1">
      <alignment horizontal="center" vertical="center"/>
    </xf>
    <xf numFmtId="0" fontId="13" fillId="91" borderId="0" xfId="1" applyFont="1" applyFill="1" applyAlignment="1">
      <alignment horizontal="center" vertical="center"/>
    </xf>
    <xf numFmtId="0" fontId="13" fillId="92" borderId="0" xfId="1" applyFont="1" applyFill="1" applyAlignment="1">
      <alignment horizontal="center" vertical="center"/>
    </xf>
    <xf numFmtId="0" fontId="13" fillId="93" borderId="0" xfId="1" applyFont="1" applyFill="1" applyAlignment="1">
      <alignment horizontal="center" vertical="center"/>
    </xf>
    <xf numFmtId="0" fontId="13" fillId="94" borderId="0" xfId="1" applyFont="1" applyFill="1" applyAlignment="1">
      <alignment horizontal="center" vertical="center"/>
    </xf>
    <xf numFmtId="0" fontId="13" fillId="95" borderId="0" xfId="1" applyFont="1" applyFill="1" applyAlignment="1">
      <alignment horizontal="center" vertical="center"/>
    </xf>
    <xf numFmtId="0" fontId="13" fillId="96" borderId="0" xfId="1" applyFont="1" applyFill="1" applyAlignment="1">
      <alignment horizontal="center" vertical="center"/>
    </xf>
    <xf numFmtId="0" fontId="13" fillId="97" borderId="0" xfId="1" applyFont="1" applyFill="1" applyAlignment="1">
      <alignment horizontal="center" vertical="center"/>
    </xf>
    <xf numFmtId="0" fontId="13" fillId="98" borderId="0" xfId="1" applyFont="1" applyFill="1" applyAlignment="1">
      <alignment horizontal="center" vertical="center"/>
    </xf>
    <xf numFmtId="0" fontId="13" fillId="99" borderId="0" xfId="1" applyFont="1" applyFill="1" applyAlignment="1">
      <alignment horizontal="center" vertical="center"/>
    </xf>
    <xf numFmtId="0" fontId="14" fillId="100" borderId="0" xfId="0" applyFont="1" applyFill="1" applyAlignment="1">
      <alignment horizontal="center" vertical="center" wrapText="1"/>
    </xf>
    <xf numFmtId="0" fontId="14" fillId="101" borderId="0" xfId="0" applyFont="1" applyFill="1" applyAlignment="1">
      <alignment horizontal="center" vertical="center" wrapText="1"/>
    </xf>
    <xf numFmtId="0" fontId="14" fillId="102" borderId="0" xfId="0" applyFont="1" applyFill="1" applyAlignment="1">
      <alignment horizontal="center" vertical="center" wrapText="1"/>
    </xf>
    <xf numFmtId="0" fontId="14" fillId="66" borderId="0" xfId="0" applyFont="1" applyFill="1" applyAlignment="1">
      <alignment horizontal="center" vertical="center" wrapText="1"/>
    </xf>
    <xf numFmtId="0" fontId="14" fillId="25" borderId="0" xfId="0" applyFont="1" applyFill="1" applyAlignment="1">
      <alignment horizontal="center" vertical="center" wrapText="1"/>
    </xf>
    <xf numFmtId="0" fontId="14" fillId="103" borderId="0" xfId="0" applyFont="1" applyFill="1" applyAlignment="1">
      <alignment horizontal="center" vertical="center" wrapText="1"/>
    </xf>
    <xf numFmtId="0" fontId="14" fillId="104" borderId="0" xfId="0" applyFont="1" applyFill="1" applyAlignment="1">
      <alignment horizontal="center" vertical="center" wrapText="1"/>
    </xf>
    <xf numFmtId="0" fontId="14" fillId="105" borderId="0" xfId="0" applyFont="1" applyFill="1" applyAlignment="1">
      <alignment horizontal="center" vertical="center" wrapText="1"/>
    </xf>
    <xf numFmtId="0" fontId="14" fillId="106" borderId="0" xfId="0" applyFont="1" applyFill="1" applyAlignment="1">
      <alignment horizontal="center" vertical="center" wrapText="1"/>
    </xf>
    <xf numFmtId="0" fontId="4" fillId="47" borderId="0" xfId="2" applyFont="1" applyFill="1">
      <alignment vertical="center"/>
    </xf>
    <xf numFmtId="0" fontId="4" fillId="24" borderId="0" xfId="2" applyFont="1" applyFill="1">
      <alignment vertical="center"/>
    </xf>
    <xf numFmtId="0" fontId="4" fillId="51" borderId="0" xfId="2" applyFont="1" applyFill="1">
      <alignment vertical="center"/>
    </xf>
    <xf numFmtId="0" fontId="4" fillId="4" borderId="0" xfId="2" applyFont="1" applyFill="1">
      <alignment vertical="center"/>
    </xf>
    <xf numFmtId="0" fontId="12" fillId="79" borderId="0" xfId="2" applyFont="1" applyFill="1" applyAlignment="1">
      <alignment horizontal="center" vertical="center" wrapText="1"/>
    </xf>
    <xf numFmtId="0" fontId="4" fillId="36" borderId="0" xfId="2" applyFont="1" applyFill="1">
      <alignment vertical="center"/>
    </xf>
    <xf numFmtId="0" fontId="0" fillId="69" borderId="0" xfId="0" applyFill="1" applyAlignment="1">
      <alignment horizontal="center" vertical="center"/>
    </xf>
  </cellXfs>
  <cellStyles count="46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 2" xfId="45" xr:uid="{FAD63DB4-5201-475F-AE4D-2197040F369D}"/>
    <cellStyle name="보통" xfId="10" builtinId="28" customBuiltin="1"/>
    <cellStyle name="설명 텍스트" xfId="17" builtinId="53" customBuiltin="1"/>
    <cellStyle name="셀 확인" xfId="15" builtinId="23" customBuiltin="1"/>
    <cellStyle name="연결된 셀" xfId="14" builtinId="24" customBuiltin="1"/>
    <cellStyle name="요약" xfId="18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1" xr:uid="{5F1577BF-FE4F-4DA8-9704-B43961B55992}"/>
    <cellStyle name="표준 2 2" xfId="2" xr:uid="{E44F09AC-2734-4799-BC73-0CE9F54BCE7E}"/>
    <cellStyle name="표준 2 2 2" xfId="43" xr:uid="{29FDD198-C9E4-4F60-AFBC-AC297BE3EE51}"/>
    <cellStyle name="표준 2 3" xfId="44" xr:uid="{8DA176AD-1B4D-434A-833E-461FB782FF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54"/>
  <sheetViews>
    <sheetView tabSelected="1" zoomScale="70" zoomScaleNormal="70" workbookViewId="0"/>
  </sheetViews>
  <sheetFormatPr defaultRowHeight="16.899999999999999"/>
  <cols>
    <col min="1" max="1" width="2.5625" style="1" customWidth="1"/>
    <col min="2" max="2" width="17.3125" style="1" bestFit="1" customWidth="1"/>
    <col min="3" max="3" width="5.5" style="1" bestFit="1" customWidth="1"/>
    <col min="4" max="5" width="6.0625" style="1" bestFit="1" customWidth="1"/>
    <col min="6" max="8" width="4.4375" style="1" bestFit="1" customWidth="1"/>
    <col min="9" max="9" width="2.5625" style="1" customWidth="1"/>
    <col min="10" max="12" width="3.375" style="1" bestFit="1" customWidth="1"/>
    <col min="13" max="13" width="10.0625" style="1" bestFit="1" customWidth="1"/>
    <col min="14" max="14" width="2.5625" style="1" customWidth="1"/>
    <col min="15" max="15" width="4.25" style="1" bestFit="1" customWidth="1"/>
    <col min="16" max="18" width="10.875" style="1" bestFit="1" customWidth="1"/>
    <col min="19" max="20" width="13.1875" style="1" bestFit="1" customWidth="1"/>
    <col min="21" max="21" width="10.875" style="1" bestFit="1" customWidth="1"/>
    <col min="22" max="24" width="13.1875" style="1" bestFit="1" customWidth="1"/>
    <col min="25" max="26" width="14.0625" style="1" bestFit="1" customWidth="1"/>
    <col min="27" max="27" width="13.1875" style="1" bestFit="1" customWidth="1"/>
    <col min="28" max="28" width="6.3125" style="1" bestFit="1" customWidth="1"/>
    <col min="29" max="29" width="7.9375" style="1" bestFit="1" customWidth="1"/>
    <col min="30" max="30" width="10.6875" style="1" bestFit="1" customWidth="1"/>
    <col min="31" max="31" width="11.6875" style="1" bestFit="1" customWidth="1"/>
    <col min="32" max="32" width="15.625" style="1" bestFit="1" customWidth="1"/>
    <col min="33" max="33" width="15.5" style="1" bestFit="1" customWidth="1"/>
    <col min="34" max="34" width="11.5" style="1" bestFit="1" customWidth="1"/>
    <col min="35" max="35" width="8.5625" style="1" bestFit="1" customWidth="1"/>
    <col min="36" max="16384" width="9" style="1"/>
  </cols>
  <sheetData>
    <row r="2" spans="2:35">
      <c r="B2" s="5"/>
      <c r="C2" s="5"/>
      <c r="D2" s="123" t="s">
        <v>29</v>
      </c>
      <c r="E2" s="123"/>
      <c r="F2" s="123" t="s">
        <v>39</v>
      </c>
      <c r="G2" s="123"/>
      <c r="H2" s="123"/>
      <c r="J2" s="123" t="s">
        <v>30</v>
      </c>
      <c r="K2" s="123"/>
      <c r="L2" s="123"/>
      <c r="M2" s="123"/>
      <c r="O2" s="123" t="s">
        <v>31</v>
      </c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</row>
    <row r="3" spans="2:35">
      <c r="B3" s="5"/>
      <c r="C3" s="5" t="s">
        <v>32</v>
      </c>
      <c r="D3" s="5" t="s">
        <v>0</v>
      </c>
      <c r="E3" s="5" t="s">
        <v>1</v>
      </c>
      <c r="F3" s="2" t="s">
        <v>2</v>
      </c>
      <c r="G3" s="3" t="s">
        <v>3</v>
      </c>
      <c r="H3" s="4" t="s">
        <v>4</v>
      </c>
      <c r="I3" s="74"/>
      <c r="J3" s="2" t="s">
        <v>2</v>
      </c>
      <c r="K3" s="3" t="s">
        <v>3</v>
      </c>
      <c r="L3" s="4" t="s">
        <v>4</v>
      </c>
      <c r="M3" s="75" t="s">
        <v>38</v>
      </c>
      <c r="N3" s="74"/>
      <c r="O3" s="5" t="s">
        <v>5</v>
      </c>
      <c r="P3" s="5" t="s">
        <v>6</v>
      </c>
      <c r="Q3" s="5" t="s">
        <v>7</v>
      </c>
      <c r="R3" s="5" t="s">
        <v>8</v>
      </c>
      <c r="S3" s="5" t="s">
        <v>9</v>
      </c>
      <c r="T3" s="5" t="s">
        <v>10</v>
      </c>
      <c r="U3" s="5" t="s">
        <v>11</v>
      </c>
      <c r="V3" s="5" t="s">
        <v>12</v>
      </c>
      <c r="W3" s="5" t="s">
        <v>13</v>
      </c>
      <c r="X3" s="5" t="s">
        <v>14</v>
      </c>
      <c r="Y3" s="5" t="s">
        <v>15</v>
      </c>
      <c r="Z3" s="5" t="s">
        <v>16</v>
      </c>
      <c r="AA3" s="5" t="s">
        <v>17</v>
      </c>
      <c r="AB3" s="5" t="s">
        <v>18</v>
      </c>
      <c r="AC3" s="5" t="s">
        <v>19</v>
      </c>
      <c r="AD3" s="5" t="s">
        <v>20</v>
      </c>
      <c r="AE3" s="5" t="s">
        <v>21</v>
      </c>
      <c r="AF3" s="5" t="s">
        <v>22</v>
      </c>
      <c r="AG3" s="5" t="s">
        <v>23</v>
      </c>
      <c r="AH3" s="5" t="s">
        <v>24</v>
      </c>
      <c r="AI3" s="5" t="s">
        <v>25</v>
      </c>
    </row>
    <row r="4" spans="2:35">
      <c r="B4" s="123" t="s">
        <v>33</v>
      </c>
      <c r="C4" s="78"/>
      <c r="D4" s="6">
        <v>0.29659999999999997</v>
      </c>
      <c r="E4" s="6">
        <v>0.32073000000000002</v>
      </c>
      <c r="F4" s="1">
        <v>229</v>
      </c>
      <c r="G4" s="1">
        <v>242</v>
      </c>
      <c r="H4" s="1">
        <v>250</v>
      </c>
      <c r="J4" s="1">
        <f>ROUND(F4*0.3, 0)</f>
        <v>69</v>
      </c>
      <c r="K4" s="1">
        <f t="shared" ref="K4:L4" si="0">ROUND(G4*0.3, 0)</f>
        <v>73</v>
      </c>
      <c r="L4" s="1">
        <f t="shared" si="0"/>
        <v>75</v>
      </c>
      <c r="M4" s="1" t="str">
        <f>_xlfn.CONCAT("{", J4, ",", K4, ",", L4, "}", ",")</f>
        <v>{69,73,75},</v>
      </c>
      <c r="O4" s="1">
        <v>1</v>
      </c>
      <c r="P4" s="1">
        <v>2094.2199000000001</v>
      </c>
      <c r="Q4" s="1">
        <v>2060.9142999999999</v>
      </c>
      <c r="R4" s="1">
        <v>2373.3868000000002</v>
      </c>
      <c r="S4" s="1">
        <v>0.32078014300635599</v>
      </c>
      <c r="T4" s="1">
        <v>0.31567858937728799</v>
      </c>
      <c r="U4" s="1">
        <v>2060.9142999999999</v>
      </c>
      <c r="V4" s="1">
        <v>0.208753484105106</v>
      </c>
      <c r="W4" s="1">
        <v>0.46222550042420701</v>
      </c>
      <c r="X4" s="1">
        <v>6138.2577264624097</v>
      </c>
      <c r="Y4" s="1">
        <v>-7.9814167195529691E-3</v>
      </c>
      <c r="Z4" s="1">
        <v>467.50246402394998</v>
      </c>
      <c r="AA4" s="1">
        <v>6.1803868972276002</v>
      </c>
      <c r="AB4" s="1">
        <v>0</v>
      </c>
      <c r="AC4" s="1">
        <v>0</v>
      </c>
      <c r="AD4" s="1" t="s">
        <v>27</v>
      </c>
      <c r="AE4" s="1" t="s">
        <v>28</v>
      </c>
      <c r="AF4" s="1">
        <v>1</v>
      </c>
      <c r="AG4" s="1" t="s">
        <v>26</v>
      </c>
      <c r="AH4" s="7">
        <v>45611</v>
      </c>
      <c r="AI4" s="8">
        <v>0.62875000000000003</v>
      </c>
    </row>
    <row r="5" spans="2:35">
      <c r="B5" s="123"/>
      <c r="C5" s="79"/>
      <c r="D5" s="9">
        <v>0.32937</v>
      </c>
      <c r="E5" s="9">
        <v>0.33933000000000002</v>
      </c>
      <c r="F5" s="1">
        <v>244</v>
      </c>
      <c r="G5" s="1">
        <v>233</v>
      </c>
      <c r="H5" s="1">
        <v>223</v>
      </c>
      <c r="J5" s="1">
        <f t="shared" ref="J5:J54" si="1">ROUND(F5*0.3, 0)</f>
        <v>73</v>
      </c>
      <c r="K5" s="1">
        <f t="shared" ref="K5:K54" si="2">ROUND(G5*0.3, 0)</f>
        <v>70</v>
      </c>
      <c r="L5" s="1">
        <f t="shared" ref="L5:L54" si="3">ROUND(H5*0.3, 0)</f>
        <v>67</v>
      </c>
      <c r="M5" s="1" t="str">
        <f t="shared" ref="M5:M54" si="4">_xlfn.CONCAT("{", J5, ",", K5, ",", L5, "}", ",")</f>
        <v>{73,70,67},</v>
      </c>
      <c r="O5" s="1">
        <v>2</v>
      </c>
      <c r="P5" s="1">
        <v>2124.7224000000001</v>
      </c>
      <c r="Q5" s="1">
        <v>2029.5568000000001</v>
      </c>
      <c r="R5" s="1">
        <v>2126.7011000000002</v>
      </c>
      <c r="S5" s="1">
        <v>0.33827878746889201</v>
      </c>
      <c r="T5" s="1">
        <v>0.32312739462023099</v>
      </c>
      <c r="U5" s="1">
        <v>2029.5568000000001</v>
      </c>
      <c r="V5" s="1">
        <v>0.218210198830432</v>
      </c>
      <c r="W5" s="1">
        <v>0.468982434574853</v>
      </c>
      <c r="X5" s="1">
        <v>5204.3696978192302</v>
      </c>
      <c r="Y5" s="1">
        <v>-1.21923053902035E-2</v>
      </c>
      <c r="Z5" s="1">
        <v>-522.15626805354702</v>
      </c>
      <c r="AA5" s="1">
        <v>4.9105897079496597</v>
      </c>
      <c r="AB5" s="1">
        <v>-0.03</v>
      </c>
      <c r="AC5" s="1">
        <v>0</v>
      </c>
      <c r="AD5" s="1" t="s">
        <v>27</v>
      </c>
      <c r="AE5" s="1" t="s">
        <v>28</v>
      </c>
      <c r="AF5" s="1">
        <v>1</v>
      </c>
      <c r="AG5" s="1" t="s">
        <v>26</v>
      </c>
      <c r="AH5" s="7">
        <v>45611</v>
      </c>
      <c r="AI5" s="8">
        <v>0.62878472222222226</v>
      </c>
    </row>
    <row r="6" spans="2:35">
      <c r="B6" s="123"/>
      <c r="C6" s="80"/>
      <c r="D6" s="9">
        <v>0.51727999999999996</v>
      </c>
      <c r="E6" s="9">
        <v>0.43662000000000001</v>
      </c>
      <c r="F6" s="1">
        <v>254</v>
      </c>
      <c r="G6" s="1">
        <v>168</v>
      </c>
      <c r="H6" s="1">
        <v>17</v>
      </c>
      <c r="J6" s="1">
        <f t="shared" si="1"/>
        <v>76</v>
      </c>
      <c r="K6" s="1">
        <f t="shared" si="2"/>
        <v>50</v>
      </c>
      <c r="L6" s="1">
        <f t="shared" si="3"/>
        <v>5</v>
      </c>
      <c r="M6" s="1" t="str">
        <f t="shared" si="4"/>
        <v>{76,50,5},</v>
      </c>
      <c r="O6" s="1">
        <v>3</v>
      </c>
      <c r="P6" s="1">
        <v>1846.8942999999999</v>
      </c>
      <c r="Q6" s="1">
        <v>1619.8282999999999</v>
      </c>
      <c r="R6" s="1">
        <v>275.25675999999999</v>
      </c>
      <c r="S6" s="1">
        <v>0.49356079291682697</v>
      </c>
      <c r="T6" s="1">
        <v>0.43288007339516699</v>
      </c>
      <c r="U6" s="1">
        <v>1619.8282999999999</v>
      </c>
      <c r="V6" s="1">
        <v>0.27391741933393698</v>
      </c>
      <c r="W6" s="1">
        <v>0.54054158504099403</v>
      </c>
      <c r="X6" s="1">
        <v>2445.2415435074799</v>
      </c>
      <c r="Y6" s="1">
        <v>5.7691414484050503E-3</v>
      </c>
      <c r="Z6" s="1">
        <v>583.995041805715</v>
      </c>
      <c r="AA6" s="1">
        <v>78.122599235334604</v>
      </c>
      <c r="AB6" s="1">
        <v>-0.02</v>
      </c>
      <c r="AC6" s="1">
        <v>0</v>
      </c>
      <c r="AD6" s="1" t="s">
        <v>27</v>
      </c>
      <c r="AE6" s="1" t="s">
        <v>28</v>
      </c>
      <c r="AF6" s="1">
        <v>1</v>
      </c>
      <c r="AG6" s="1" t="s">
        <v>26</v>
      </c>
      <c r="AH6" s="7">
        <v>45611</v>
      </c>
      <c r="AI6" s="8">
        <v>0.62881944444444449</v>
      </c>
    </row>
    <row r="7" spans="2:35">
      <c r="B7" s="123"/>
      <c r="C7" s="81"/>
      <c r="D7" s="9">
        <v>0.58682999999999996</v>
      </c>
      <c r="E7" s="9">
        <v>0.32984000000000002</v>
      </c>
      <c r="F7" s="1">
        <v>233</v>
      </c>
      <c r="G7" s="1">
        <v>62</v>
      </c>
      <c r="H7" s="1">
        <v>62</v>
      </c>
      <c r="J7" s="1">
        <f t="shared" si="1"/>
        <v>70</v>
      </c>
      <c r="K7" s="1">
        <f t="shared" si="2"/>
        <v>19</v>
      </c>
      <c r="L7" s="1">
        <f t="shared" si="3"/>
        <v>19</v>
      </c>
      <c r="M7" s="1" t="str">
        <f t="shared" si="4"/>
        <v>{70,19,19},</v>
      </c>
      <c r="O7" s="1">
        <v>4</v>
      </c>
      <c r="P7" s="1">
        <v>1702.27</v>
      </c>
      <c r="Q7" s="1">
        <v>1057.8656000000001</v>
      </c>
      <c r="R7" s="1">
        <v>575.21439999999996</v>
      </c>
      <c r="S7" s="1">
        <v>0.51037222480399402</v>
      </c>
      <c r="T7" s="1">
        <v>0.31716779348494201</v>
      </c>
      <c r="U7" s="1">
        <v>1057.8656000000001</v>
      </c>
      <c r="V7" s="1">
        <v>0.35287708725977301</v>
      </c>
      <c r="W7" s="1">
        <v>0.49341009134314801</v>
      </c>
      <c r="X7" s="1" t="s">
        <v>26</v>
      </c>
      <c r="Y7" s="1" t="s">
        <v>26</v>
      </c>
      <c r="Z7" s="1">
        <v>624.669490350572</v>
      </c>
      <c r="AA7" s="1">
        <v>48.2761059744821</v>
      </c>
      <c r="AB7" s="1">
        <v>0</v>
      </c>
      <c r="AC7" s="1">
        <v>0</v>
      </c>
      <c r="AD7" s="1" t="s">
        <v>27</v>
      </c>
      <c r="AE7" s="1" t="s">
        <v>28</v>
      </c>
      <c r="AF7" s="1">
        <v>1</v>
      </c>
      <c r="AG7" s="1" t="s">
        <v>26</v>
      </c>
      <c r="AH7" s="7">
        <v>45611</v>
      </c>
      <c r="AI7" s="8">
        <v>0.62885416666666671</v>
      </c>
    </row>
    <row r="8" spans="2:35">
      <c r="B8" s="123"/>
      <c r="C8" s="82"/>
      <c r="D8" s="9">
        <v>0.63170999999999999</v>
      </c>
      <c r="E8" s="9">
        <v>0.32773999999999998</v>
      </c>
      <c r="F8" s="1">
        <v>187</v>
      </c>
      <c r="G8" s="1">
        <v>15</v>
      </c>
      <c r="H8" s="1">
        <v>236</v>
      </c>
      <c r="J8" s="1">
        <f t="shared" si="1"/>
        <v>56</v>
      </c>
      <c r="K8" s="1">
        <f t="shared" si="2"/>
        <v>5</v>
      </c>
      <c r="L8" s="1">
        <f t="shared" si="3"/>
        <v>71</v>
      </c>
      <c r="M8" s="1" t="str">
        <f t="shared" si="4"/>
        <v>{56,5,71},</v>
      </c>
      <c r="O8" s="1">
        <v>5</v>
      </c>
      <c r="P8" s="1">
        <v>1598.9828</v>
      </c>
      <c r="Q8" s="1">
        <v>763.27468999999996</v>
      </c>
      <c r="R8" s="1">
        <v>2026.9167</v>
      </c>
      <c r="S8" s="1">
        <v>0.36430151340154499</v>
      </c>
      <c r="T8" s="1">
        <v>0.17389938447624001</v>
      </c>
      <c r="U8" s="1">
        <v>763.27468999999996</v>
      </c>
      <c r="V8" s="1">
        <v>0.33436040918971399</v>
      </c>
      <c r="W8" s="1">
        <v>0.35911573580606598</v>
      </c>
      <c r="X8" s="1" t="s">
        <v>26</v>
      </c>
      <c r="Y8" s="1" t="s">
        <v>26</v>
      </c>
      <c r="Z8" s="1">
        <v>-543.59920800453904</v>
      </c>
      <c r="AA8" s="1">
        <v>68.259263941887994</v>
      </c>
      <c r="AB8" s="1">
        <v>0.01</v>
      </c>
      <c r="AC8" s="1">
        <v>0</v>
      </c>
      <c r="AD8" s="1" t="s">
        <v>27</v>
      </c>
      <c r="AE8" s="1" t="s">
        <v>28</v>
      </c>
      <c r="AF8" s="1">
        <v>1</v>
      </c>
      <c r="AG8" s="1" t="s">
        <v>26</v>
      </c>
      <c r="AH8" s="7">
        <v>45611</v>
      </c>
      <c r="AI8" s="8">
        <v>0.62888888888888894</v>
      </c>
    </row>
    <row r="9" spans="2:35">
      <c r="B9" s="123"/>
      <c r="C9" s="83"/>
      <c r="D9" s="9">
        <v>0.22844</v>
      </c>
      <c r="E9" s="9">
        <v>0.10854</v>
      </c>
      <c r="F9" s="1">
        <v>138</v>
      </c>
      <c r="G9" s="1">
        <v>37</v>
      </c>
      <c r="H9" s="1">
        <v>252</v>
      </c>
      <c r="J9" s="1">
        <f t="shared" si="1"/>
        <v>41</v>
      </c>
      <c r="K9" s="1">
        <f t="shared" si="2"/>
        <v>11</v>
      </c>
      <c r="L9" s="1">
        <f t="shared" si="3"/>
        <v>76</v>
      </c>
      <c r="M9" s="1" t="str">
        <f t="shared" si="4"/>
        <v>{41,11,76},</v>
      </c>
      <c r="O9" s="1">
        <v>6</v>
      </c>
      <c r="P9" s="1">
        <v>1302.1128000000001</v>
      </c>
      <c r="Q9" s="1">
        <v>720.24675999999999</v>
      </c>
      <c r="R9" s="1">
        <v>2193.3649</v>
      </c>
      <c r="S9" s="1">
        <v>0.30887047110284799</v>
      </c>
      <c r="T9" s="1">
        <v>0.170847683911486</v>
      </c>
      <c r="U9" s="1">
        <v>720.24675999999999</v>
      </c>
      <c r="V9" s="1">
        <v>0.278736840036719</v>
      </c>
      <c r="W9" s="1">
        <v>0.34690423006397098</v>
      </c>
      <c r="X9" s="1" t="s">
        <v>26</v>
      </c>
      <c r="Y9" s="1" t="s">
        <v>26</v>
      </c>
      <c r="Z9" s="1">
        <v>-560.49091557393501</v>
      </c>
      <c r="AA9" s="1">
        <v>59.335613927550703</v>
      </c>
      <c r="AB9" s="1">
        <v>0</v>
      </c>
      <c r="AC9" s="1">
        <v>0</v>
      </c>
      <c r="AD9" s="1" t="s">
        <v>27</v>
      </c>
      <c r="AE9" s="1" t="s">
        <v>28</v>
      </c>
      <c r="AF9" s="1">
        <v>1</v>
      </c>
      <c r="AG9" s="1" t="s">
        <v>26</v>
      </c>
      <c r="AH9" s="7">
        <v>45611</v>
      </c>
      <c r="AI9" s="8">
        <v>0.62893518518518521</v>
      </c>
    </row>
    <row r="10" spans="2:35">
      <c r="B10" s="123"/>
      <c r="C10" s="84"/>
      <c r="D10" s="9">
        <v>0.16152</v>
      </c>
      <c r="E10" s="9">
        <v>0.16786000000000001</v>
      </c>
      <c r="F10" s="1">
        <v>24</v>
      </c>
      <c r="G10" s="1">
        <v>142</v>
      </c>
      <c r="H10" s="1">
        <v>253</v>
      </c>
      <c r="J10" s="1">
        <f t="shared" si="1"/>
        <v>7</v>
      </c>
      <c r="K10" s="1">
        <f t="shared" si="2"/>
        <v>43</v>
      </c>
      <c r="L10" s="1">
        <f t="shared" si="3"/>
        <v>76</v>
      </c>
      <c r="M10" s="1" t="str">
        <f t="shared" si="4"/>
        <v>{7,43,76},</v>
      </c>
      <c r="O10" s="1">
        <v>7</v>
      </c>
      <c r="P10" s="1">
        <v>613.20001999999999</v>
      </c>
      <c r="Q10" s="1">
        <v>913.00852999999995</v>
      </c>
      <c r="R10" s="1">
        <v>2298.4589999999998</v>
      </c>
      <c r="S10" s="1">
        <v>0.16032766560325001</v>
      </c>
      <c r="T10" s="1">
        <v>0.238715788513436</v>
      </c>
      <c r="U10" s="1">
        <v>913.00852999999995</v>
      </c>
      <c r="V10" s="1">
        <v>0.115677900794712</v>
      </c>
      <c r="W10" s="1">
        <v>0.38753023500496298</v>
      </c>
      <c r="X10" s="1" t="s">
        <v>26</v>
      </c>
      <c r="Y10" s="1" t="s">
        <v>26</v>
      </c>
      <c r="Z10" s="1">
        <v>484.33471203780601</v>
      </c>
      <c r="AA10" s="1">
        <v>66.161142207757507</v>
      </c>
      <c r="AB10" s="1">
        <v>0.01</v>
      </c>
      <c r="AC10" s="1">
        <v>0</v>
      </c>
      <c r="AD10" s="1" t="s">
        <v>27</v>
      </c>
      <c r="AE10" s="1" t="s">
        <v>28</v>
      </c>
      <c r="AF10" s="1">
        <v>1</v>
      </c>
      <c r="AG10" s="1" t="s">
        <v>26</v>
      </c>
      <c r="AH10" s="7">
        <v>45611</v>
      </c>
      <c r="AI10" s="8">
        <v>0.62895833333333329</v>
      </c>
    </row>
    <row r="11" spans="2:35">
      <c r="B11" s="123"/>
      <c r="C11" s="85"/>
      <c r="D11" s="9">
        <v>0.17596999999999999</v>
      </c>
      <c r="E11" s="9">
        <v>0.34110000000000001</v>
      </c>
      <c r="F11" s="1">
        <v>3</v>
      </c>
      <c r="G11" s="1">
        <v>199</v>
      </c>
      <c r="H11" s="1">
        <v>192</v>
      </c>
      <c r="J11" s="1">
        <f t="shared" si="1"/>
        <v>1</v>
      </c>
      <c r="K11" s="1">
        <f t="shared" si="2"/>
        <v>60</v>
      </c>
      <c r="L11" s="1">
        <f t="shared" si="3"/>
        <v>58</v>
      </c>
      <c r="M11" s="1" t="str">
        <f t="shared" si="4"/>
        <v>{1,60,58},</v>
      </c>
      <c r="O11" s="1">
        <v>8</v>
      </c>
      <c r="P11" s="1">
        <v>436.03962000000001</v>
      </c>
      <c r="Q11" s="1">
        <v>1107.8503000000001</v>
      </c>
      <c r="R11" s="1">
        <v>1832.9673</v>
      </c>
      <c r="S11" s="1">
        <v>0.129125868105256</v>
      </c>
      <c r="T11" s="1">
        <v>0.32807140717664102</v>
      </c>
      <c r="U11" s="1">
        <v>1107.8503000000001</v>
      </c>
      <c r="V11" s="1">
        <v>7.7337027841516595E-2</v>
      </c>
      <c r="W11" s="1">
        <v>0.44210469077213199</v>
      </c>
      <c r="X11" s="1" t="s">
        <v>26</v>
      </c>
      <c r="Y11" s="1" t="s">
        <v>26</v>
      </c>
      <c r="Z11" s="1">
        <v>491.385875626928</v>
      </c>
      <c r="AA11" s="1">
        <v>69.382465735204207</v>
      </c>
      <c r="AB11" s="1">
        <v>0.01</v>
      </c>
      <c r="AC11" s="1">
        <v>0</v>
      </c>
      <c r="AD11" s="1" t="s">
        <v>27</v>
      </c>
      <c r="AE11" s="1" t="s">
        <v>28</v>
      </c>
      <c r="AF11" s="1">
        <v>1</v>
      </c>
      <c r="AG11" s="1" t="s">
        <v>26</v>
      </c>
      <c r="AH11" s="7">
        <v>45611</v>
      </c>
      <c r="AI11" s="8">
        <v>0.62899305555555551</v>
      </c>
    </row>
    <row r="12" spans="2:35">
      <c r="B12" s="123"/>
      <c r="C12" s="86"/>
      <c r="D12" s="9">
        <v>0.31192999999999999</v>
      </c>
      <c r="E12" s="9">
        <v>0.61539999999999995</v>
      </c>
      <c r="F12" s="1">
        <v>126</v>
      </c>
      <c r="G12" s="1">
        <v>215</v>
      </c>
      <c r="H12" s="1">
        <v>21</v>
      </c>
      <c r="J12" s="1">
        <f t="shared" si="1"/>
        <v>38</v>
      </c>
      <c r="K12" s="1">
        <f t="shared" si="2"/>
        <v>65</v>
      </c>
      <c r="L12" s="1">
        <f t="shared" si="3"/>
        <v>6</v>
      </c>
      <c r="M12" s="1" t="str">
        <f t="shared" si="4"/>
        <v>{38,65,6},</v>
      </c>
      <c r="O12" s="1">
        <v>9</v>
      </c>
      <c r="P12" s="1">
        <v>1037.0037</v>
      </c>
      <c r="Q12" s="1">
        <v>1486.6873000000001</v>
      </c>
      <c r="R12" s="1">
        <v>352.88065</v>
      </c>
      <c r="S12" s="1">
        <v>0.36049986795913802</v>
      </c>
      <c r="T12" s="1">
        <v>0.51682609748309205</v>
      </c>
      <c r="U12" s="1">
        <v>1486.6873000000001</v>
      </c>
      <c r="V12" s="1">
        <v>0.170028792662377</v>
      </c>
      <c r="W12" s="1">
        <v>0.54845918586630904</v>
      </c>
      <c r="X12" s="1">
        <v>4989.5034264945198</v>
      </c>
      <c r="Y12" s="1">
        <v>5.9336641956629202E-2</v>
      </c>
      <c r="Z12" s="1">
        <v>560.40301477478602</v>
      </c>
      <c r="AA12" s="1">
        <v>63.650083285327099</v>
      </c>
      <c r="AB12" s="1">
        <v>0.03</v>
      </c>
      <c r="AC12" s="1">
        <v>0</v>
      </c>
      <c r="AD12" s="1" t="s">
        <v>27</v>
      </c>
      <c r="AE12" s="1" t="s">
        <v>28</v>
      </c>
      <c r="AF12" s="1">
        <v>1</v>
      </c>
      <c r="AG12" s="1" t="s">
        <v>26</v>
      </c>
      <c r="AH12" s="7">
        <v>45611</v>
      </c>
      <c r="AI12" s="8">
        <v>0.62902777777777774</v>
      </c>
    </row>
    <row r="13" spans="2:35">
      <c r="B13" s="123"/>
      <c r="C13" s="87"/>
      <c r="D13" s="9">
        <v>0.25833</v>
      </c>
      <c r="E13" s="9">
        <v>0.30124000000000001</v>
      </c>
      <c r="F13" s="1">
        <v>183</v>
      </c>
      <c r="G13" s="1">
        <v>228</v>
      </c>
      <c r="H13" s="1">
        <v>252</v>
      </c>
      <c r="J13" s="1">
        <f t="shared" si="1"/>
        <v>55</v>
      </c>
      <c r="K13" s="1">
        <f t="shared" si="2"/>
        <v>68</v>
      </c>
      <c r="L13" s="1">
        <f t="shared" si="3"/>
        <v>76</v>
      </c>
      <c r="M13" s="1" t="str">
        <f t="shared" si="4"/>
        <v>{55,68,76},</v>
      </c>
      <c r="O13" s="1">
        <v>10</v>
      </c>
      <c r="P13" s="1">
        <v>1757.0689</v>
      </c>
      <c r="Q13" s="1">
        <v>1826.9476</v>
      </c>
      <c r="R13" s="1">
        <v>2375.4114</v>
      </c>
      <c r="S13" s="1">
        <v>0.29483851965051899</v>
      </c>
      <c r="T13" s="1">
        <v>0.30656425929744002</v>
      </c>
      <c r="U13" s="1">
        <v>1826.9476</v>
      </c>
      <c r="V13" s="1">
        <v>0.19368301172636601</v>
      </c>
      <c r="W13" s="1">
        <v>0.45311803380452298</v>
      </c>
      <c r="X13" s="1">
        <v>7985.2921791931103</v>
      </c>
      <c r="Y13" s="1">
        <v>1.1350381520574401E-3</v>
      </c>
      <c r="Z13" s="1">
        <v>482.127960601594</v>
      </c>
      <c r="AA13" s="1">
        <v>15.3216726214477</v>
      </c>
      <c r="AB13" s="1">
        <v>0.02</v>
      </c>
      <c r="AC13" s="1">
        <v>0</v>
      </c>
      <c r="AD13" s="1" t="s">
        <v>27</v>
      </c>
      <c r="AE13" s="1" t="s">
        <v>28</v>
      </c>
      <c r="AF13" s="1">
        <v>1</v>
      </c>
      <c r="AG13" s="1" t="s">
        <v>26</v>
      </c>
      <c r="AH13" s="7">
        <v>45611</v>
      </c>
      <c r="AI13" s="8">
        <v>0.62906249999999997</v>
      </c>
    </row>
    <row r="14" spans="2:35">
      <c r="B14" s="123" t="s">
        <v>34</v>
      </c>
      <c r="C14" s="88"/>
      <c r="D14" s="9">
        <v>0.19763</v>
      </c>
      <c r="E14" s="9">
        <v>0.22852</v>
      </c>
      <c r="F14" s="1">
        <v>79</v>
      </c>
      <c r="G14" s="1">
        <v>138</v>
      </c>
      <c r="H14" s="1">
        <v>195</v>
      </c>
      <c r="J14" s="1">
        <f t="shared" si="1"/>
        <v>24</v>
      </c>
      <c r="K14" s="1">
        <f t="shared" si="2"/>
        <v>41</v>
      </c>
      <c r="L14" s="1">
        <f t="shared" si="3"/>
        <v>59</v>
      </c>
      <c r="M14" s="1" t="str">
        <f t="shared" si="4"/>
        <v>{24,41,59},</v>
      </c>
      <c r="O14" s="1">
        <v>11</v>
      </c>
      <c r="P14" s="1">
        <v>912.29256999999996</v>
      </c>
      <c r="Q14" s="1">
        <v>1026.0601999999999</v>
      </c>
      <c r="R14" s="1">
        <v>1800.0051000000001</v>
      </c>
      <c r="S14" s="1">
        <v>0.24403564391763299</v>
      </c>
      <c r="T14" s="1">
        <v>0.27446815839490502</v>
      </c>
      <c r="U14" s="1">
        <v>1026.0601999999999</v>
      </c>
      <c r="V14" s="1">
        <v>0.16813965002036599</v>
      </c>
      <c r="W14" s="1">
        <v>0.42549196316222299</v>
      </c>
      <c r="X14" s="1">
        <v>18668.054014731399</v>
      </c>
      <c r="Y14" s="1">
        <v>1.6989193372312601E-2</v>
      </c>
      <c r="Z14" s="1">
        <v>482.67571395274501</v>
      </c>
      <c r="AA14" s="1">
        <v>35.191256163640602</v>
      </c>
      <c r="AB14" s="1">
        <v>0.03</v>
      </c>
      <c r="AC14" s="1">
        <v>0</v>
      </c>
      <c r="AD14" s="1" t="s">
        <v>27</v>
      </c>
      <c r="AE14" s="1" t="s">
        <v>28</v>
      </c>
      <c r="AF14" s="1">
        <v>1</v>
      </c>
      <c r="AG14" s="1" t="s">
        <v>26</v>
      </c>
      <c r="AH14" s="7">
        <v>45611</v>
      </c>
      <c r="AI14" s="8">
        <v>0.6290972222222222</v>
      </c>
    </row>
    <row r="15" spans="2:35">
      <c r="B15" s="123"/>
      <c r="C15" s="89"/>
      <c r="D15" s="9">
        <v>0.30370999999999998</v>
      </c>
      <c r="E15" s="9">
        <v>0.38968999999999998</v>
      </c>
      <c r="F15" s="1">
        <v>127</v>
      </c>
      <c r="G15" s="1">
        <v>154</v>
      </c>
      <c r="H15" s="1">
        <v>122</v>
      </c>
      <c r="J15" s="1">
        <f t="shared" si="1"/>
        <v>38</v>
      </c>
      <c r="K15" s="1">
        <f t="shared" si="2"/>
        <v>46</v>
      </c>
      <c r="L15" s="1">
        <f t="shared" si="3"/>
        <v>37</v>
      </c>
      <c r="M15" s="1" t="str">
        <f t="shared" si="4"/>
        <v>{38,46,37},</v>
      </c>
      <c r="O15" s="1">
        <v>12</v>
      </c>
      <c r="P15" s="1">
        <v>1135.5124000000001</v>
      </c>
      <c r="Q15" s="1">
        <v>1216.3955000000001</v>
      </c>
      <c r="R15" s="1">
        <v>1183.0144</v>
      </c>
      <c r="S15" s="1">
        <v>0.32122697576690701</v>
      </c>
      <c r="T15" s="1">
        <v>0.34410812933568602</v>
      </c>
      <c r="U15" s="1">
        <v>1216.3955000000001</v>
      </c>
      <c r="V15" s="1">
        <v>0.198079063131674</v>
      </c>
      <c r="W15" s="1">
        <v>0.47742374485260097</v>
      </c>
      <c r="X15" s="1">
        <v>6001.65054579352</v>
      </c>
      <c r="Y15" s="1">
        <v>6.6737414262750599E-3</v>
      </c>
      <c r="Z15" s="1">
        <v>503.726381315602</v>
      </c>
      <c r="AA15" s="1">
        <v>3.67304687788587</v>
      </c>
      <c r="AB15" s="1">
        <v>0.02</v>
      </c>
      <c r="AC15" s="1">
        <v>0</v>
      </c>
      <c r="AD15" s="1" t="s">
        <v>27</v>
      </c>
      <c r="AE15" s="1" t="s">
        <v>28</v>
      </c>
      <c r="AF15" s="1">
        <v>1</v>
      </c>
      <c r="AG15" s="1" t="s">
        <v>26</v>
      </c>
      <c r="AH15" s="7">
        <v>45611</v>
      </c>
      <c r="AI15" s="8">
        <v>0.62913194444444442</v>
      </c>
    </row>
    <row r="16" spans="2:35">
      <c r="B16" s="123"/>
      <c r="C16" s="90"/>
      <c r="D16" s="9">
        <v>0.26643</v>
      </c>
      <c r="E16" s="9">
        <v>0.21495</v>
      </c>
      <c r="F16" s="1">
        <v>107</v>
      </c>
      <c r="G16" s="1">
        <v>90</v>
      </c>
      <c r="H16" s="1">
        <v>149</v>
      </c>
      <c r="J16" s="1">
        <f t="shared" si="1"/>
        <v>32</v>
      </c>
      <c r="K16" s="1">
        <f t="shared" si="2"/>
        <v>27</v>
      </c>
      <c r="L16" s="1">
        <f t="shared" si="3"/>
        <v>45</v>
      </c>
      <c r="M16" s="1" t="str">
        <f t="shared" si="4"/>
        <v>{32,27,45},</v>
      </c>
      <c r="O16" s="1">
        <v>13</v>
      </c>
      <c r="P16" s="1">
        <v>991.12229000000002</v>
      </c>
      <c r="Q16" s="1">
        <v>847.24415999999997</v>
      </c>
      <c r="R16" s="1">
        <v>1352.5431000000001</v>
      </c>
      <c r="S16" s="1">
        <v>0.31060808038259802</v>
      </c>
      <c r="T16" s="1">
        <v>0.26551807461919402</v>
      </c>
      <c r="U16" s="1">
        <v>847.24415999999997</v>
      </c>
      <c r="V16" s="1">
        <v>0.223258249328004</v>
      </c>
      <c r="W16" s="1">
        <v>0.42940922840984003</v>
      </c>
      <c r="X16" s="1">
        <v>7688.9501384391697</v>
      </c>
      <c r="Y16" s="1">
        <v>-3.2365038102505898E-2</v>
      </c>
      <c r="Z16" s="1">
        <v>-566.10810661772098</v>
      </c>
      <c r="AA16" s="1">
        <v>22.479036649358399</v>
      </c>
      <c r="AB16" s="1">
        <v>0.04</v>
      </c>
      <c r="AC16" s="1">
        <v>0</v>
      </c>
      <c r="AD16" s="1" t="s">
        <v>27</v>
      </c>
      <c r="AE16" s="1" t="s">
        <v>28</v>
      </c>
      <c r="AF16" s="1">
        <v>1</v>
      </c>
      <c r="AG16" s="1" t="s">
        <v>26</v>
      </c>
      <c r="AH16" s="7">
        <v>45611</v>
      </c>
      <c r="AI16" s="8">
        <v>0.62916666666666665</v>
      </c>
    </row>
    <row r="17" spans="2:35">
      <c r="B17" s="123"/>
      <c r="C17" s="91"/>
      <c r="D17" s="9">
        <v>0.39599000000000001</v>
      </c>
      <c r="E17" s="9">
        <v>0.28621000000000002</v>
      </c>
      <c r="F17" s="1">
        <v>167</v>
      </c>
      <c r="G17" s="1">
        <v>98</v>
      </c>
      <c r="H17" s="1">
        <v>127</v>
      </c>
      <c r="J17" s="1">
        <f t="shared" si="1"/>
        <v>50</v>
      </c>
      <c r="K17" s="1">
        <f t="shared" si="2"/>
        <v>29</v>
      </c>
      <c r="L17" s="1">
        <f t="shared" si="3"/>
        <v>38</v>
      </c>
      <c r="M17" s="1" t="str">
        <f t="shared" si="4"/>
        <v>{50,29,38},</v>
      </c>
      <c r="O17" s="1">
        <v>14</v>
      </c>
      <c r="P17" s="1">
        <v>1370.6765</v>
      </c>
      <c r="Q17" s="1">
        <v>1055.9645</v>
      </c>
      <c r="R17" s="1">
        <v>1157.4663</v>
      </c>
      <c r="S17" s="1">
        <v>0.38243177038812398</v>
      </c>
      <c r="T17" s="1">
        <v>0.29462413137017401</v>
      </c>
      <c r="U17" s="1">
        <v>1055.9645</v>
      </c>
      <c r="V17" s="1">
        <v>0.26508858347393999</v>
      </c>
      <c r="W17" s="1">
        <v>0.45950251600831898</v>
      </c>
      <c r="X17" s="1">
        <v>3044.3937844507</v>
      </c>
      <c r="Y17" s="1">
        <v>-4.3715713355101403E-2</v>
      </c>
      <c r="Z17" s="1">
        <v>-502.235060767758</v>
      </c>
      <c r="AA17" s="1">
        <v>24.165387887059399</v>
      </c>
      <c r="AB17" s="1">
        <v>0.05</v>
      </c>
      <c r="AC17" s="1">
        <v>0</v>
      </c>
      <c r="AD17" s="1" t="s">
        <v>27</v>
      </c>
      <c r="AE17" s="1" t="s">
        <v>28</v>
      </c>
      <c r="AF17" s="1">
        <v>1</v>
      </c>
      <c r="AG17" s="1" t="s">
        <v>26</v>
      </c>
      <c r="AH17" s="7">
        <v>45611</v>
      </c>
      <c r="AI17" s="8">
        <v>0.62920138888888888</v>
      </c>
    </row>
    <row r="18" spans="2:35">
      <c r="B18" s="123"/>
      <c r="C18" s="92"/>
      <c r="D18" s="9">
        <v>0.49687999999999999</v>
      </c>
      <c r="E18" s="9">
        <v>0.35761999999999999</v>
      </c>
      <c r="F18" s="1">
        <v>208</v>
      </c>
      <c r="G18" s="1">
        <v>112</v>
      </c>
      <c r="H18" s="1">
        <v>87</v>
      </c>
      <c r="J18" s="1">
        <f t="shared" si="1"/>
        <v>62</v>
      </c>
      <c r="K18" s="1">
        <f t="shared" si="2"/>
        <v>34</v>
      </c>
      <c r="L18" s="1">
        <f t="shared" si="3"/>
        <v>26</v>
      </c>
      <c r="M18" s="1" t="str">
        <f t="shared" si="4"/>
        <v>{62,34,26},</v>
      </c>
      <c r="O18" s="1">
        <v>15</v>
      </c>
      <c r="P18" s="1">
        <v>1589.5687</v>
      </c>
      <c r="Q18" s="1">
        <v>1239.9672</v>
      </c>
      <c r="R18" s="1">
        <v>826.56268</v>
      </c>
      <c r="S18" s="1">
        <v>0.43477183812696901</v>
      </c>
      <c r="T18" s="1">
        <v>0.33915037378450602</v>
      </c>
      <c r="U18" s="1">
        <v>1239.9672</v>
      </c>
      <c r="V18" s="1">
        <v>0.28048616115286401</v>
      </c>
      <c r="W18" s="1">
        <v>0.49229434986848802</v>
      </c>
      <c r="X18" s="1">
        <v>2450.9441082961298</v>
      </c>
      <c r="Y18" s="1">
        <v>-2.70583130941244E-2</v>
      </c>
      <c r="Z18" s="1">
        <v>605.00088892346696</v>
      </c>
      <c r="AA18" s="1">
        <v>32.212608294421401</v>
      </c>
      <c r="AB18" s="1">
        <v>0.06</v>
      </c>
      <c r="AC18" s="1">
        <v>0</v>
      </c>
      <c r="AD18" s="1" t="s">
        <v>27</v>
      </c>
      <c r="AE18" s="1" t="s">
        <v>28</v>
      </c>
      <c r="AF18" s="1">
        <v>1</v>
      </c>
      <c r="AG18" s="1" t="s">
        <v>26</v>
      </c>
      <c r="AH18" s="7">
        <v>45611</v>
      </c>
      <c r="AI18" s="8">
        <v>0.62923611111111111</v>
      </c>
    </row>
    <row r="19" spans="2:35">
      <c r="B19" s="123"/>
      <c r="C19" s="93"/>
      <c r="D19" s="9">
        <v>0.43759999999999999</v>
      </c>
      <c r="E19" s="9">
        <v>0.4219</v>
      </c>
      <c r="F19" s="1">
        <v>217</v>
      </c>
      <c r="G19" s="1">
        <v>174</v>
      </c>
      <c r="H19" s="1">
        <v>95</v>
      </c>
      <c r="J19" s="1">
        <f t="shared" si="1"/>
        <v>65</v>
      </c>
      <c r="K19" s="1">
        <f t="shared" si="2"/>
        <v>52</v>
      </c>
      <c r="L19" s="1">
        <f t="shared" si="3"/>
        <v>29</v>
      </c>
      <c r="M19" s="1" t="str">
        <f t="shared" si="4"/>
        <v>{65,52,29},</v>
      </c>
      <c r="O19" s="1">
        <v>16</v>
      </c>
      <c r="P19" s="1">
        <v>1714.6257000000001</v>
      </c>
      <c r="Q19" s="1">
        <v>1577.1087</v>
      </c>
      <c r="R19" s="1">
        <v>973.48891000000003</v>
      </c>
      <c r="S19" s="1">
        <v>0.402001390168713</v>
      </c>
      <c r="T19" s="1">
        <v>0.36975993643812299</v>
      </c>
      <c r="U19" s="1">
        <v>1577.1087</v>
      </c>
      <c r="V19" s="1">
        <v>0.242420824527706</v>
      </c>
      <c r="W19" s="1">
        <v>0.50170073894471001</v>
      </c>
      <c r="X19" s="1">
        <v>3392.22429506852</v>
      </c>
      <c r="Y19" s="1">
        <v>-8.7528740246009904E-3</v>
      </c>
      <c r="Z19" s="1">
        <v>585.93845207704703</v>
      </c>
      <c r="AA19" s="1">
        <v>31.599175502699701</v>
      </c>
      <c r="AB19" s="1">
        <v>0.08</v>
      </c>
      <c r="AC19" s="1">
        <v>0</v>
      </c>
      <c r="AD19" s="1" t="s">
        <v>27</v>
      </c>
      <c r="AE19" s="1" t="s">
        <v>28</v>
      </c>
      <c r="AF19" s="1">
        <v>1</v>
      </c>
      <c r="AG19" s="1" t="s">
        <v>26</v>
      </c>
      <c r="AH19" s="7">
        <v>45611</v>
      </c>
      <c r="AI19" s="8">
        <v>0.62927083333333333</v>
      </c>
    </row>
    <row r="20" spans="2:35">
      <c r="B20" s="123"/>
      <c r="C20" s="94"/>
      <c r="D20" s="9">
        <v>0.18945000000000001</v>
      </c>
      <c r="E20" s="9">
        <v>0.32011000000000001</v>
      </c>
      <c r="F20" s="1">
        <v>50</v>
      </c>
      <c r="G20" s="1">
        <v>154</v>
      </c>
      <c r="H20" s="1">
        <v>158</v>
      </c>
      <c r="J20" s="1">
        <f t="shared" si="1"/>
        <v>15</v>
      </c>
      <c r="K20" s="1">
        <f t="shared" si="2"/>
        <v>46</v>
      </c>
      <c r="L20" s="1">
        <f t="shared" si="3"/>
        <v>47</v>
      </c>
      <c r="M20" s="1" t="str">
        <f t="shared" si="4"/>
        <v>{15,46,47},</v>
      </c>
      <c r="O20" s="1">
        <v>17</v>
      </c>
      <c r="P20" s="1">
        <v>666.88520000000005</v>
      </c>
      <c r="Q20" s="1">
        <v>999.17074000000002</v>
      </c>
      <c r="R20" s="1">
        <v>1477.3639000000001</v>
      </c>
      <c r="S20" s="1">
        <v>0.21215276162410401</v>
      </c>
      <c r="T20" s="1">
        <v>0.317861052884364</v>
      </c>
      <c r="U20" s="1">
        <v>999.17074000000002</v>
      </c>
      <c r="V20" s="1">
        <v>0.132802417220927</v>
      </c>
      <c r="W20" s="1">
        <v>0.447689724331789</v>
      </c>
      <c r="X20" s="1">
        <v>16756.241280365601</v>
      </c>
      <c r="Y20" s="1">
        <v>5.5218230921922601E-2</v>
      </c>
      <c r="Z20" s="1">
        <v>490.07101515214202</v>
      </c>
      <c r="AA20" s="1">
        <v>42.037288609236597</v>
      </c>
      <c r="AB20" s="1">
        <v>7.0000000000000007E-2</v>
      </c>
      <c r="AC20" s="1">
        <v>0</v>
      </c>
      <c r="AD20" s="1" t="s">
        <v>27</v>
      </c>
      <c r="AE20" s="1" t="s">
        <v>28</v>
      </c>
      <c r="AF20" s="1">
        <v>1</v>
      </c>
      <c r="AG20" s="1" t="s">
        <v>26</v>
      </c>
      <c r="AH20" s="7">
        <v>45611</v>
      </c>
      <c r="AI20" s="8">
        <v>0.6293171296296296</v>
      </c>
    </row>
    <row r="21" spans="2:35">
      <c r="B21" s="123"/>
      <c r="C21" s="95"/>
      <c r="D21" s="9">
        <v>0.31273000000000001</v>
      </c>
      <c r="E21" s="9">
        <v>0.32901999999999998</v>
      </c>
      <c r="F21" s="1">
        <v>255</v>
      </c>
      <c r="G21" s="1">
        <v>255</v>
      </c>
      <c r="H21" s="1">
        <v>255</v>
      </c>
      <c r="J21" s="1">
        <f t="shared" si="1"/>
        <v>77</v>
      </c>
      <c r="K21" s="1">
        <f t="shared" si="2"/>
        <v>77</v>
      </c>
      <c r="L21" s="1">
        <f t="shared" si="3"/>
        <v>77</v>
      </c>
      <c r="M21" s="1" t="str">
        <f t="shared" si="4"/>
        <v>{77,77,77},</v>
      </c>
      <c r="O21" s="1">
        <v>18</v>
      </c>
      <c r="P21" s="1">
        <v>2276.1163999999999</v>
      </c>
      <c r="Q21" s="1">
        <v>2205.3031000000001</v>
      </c>
      <c r="R21" s="1">
        <v>2436.2386999999999</v>
      </c>
      <c r="S21" s="1">
        <v>0.32902990205558302</v>
      </c>
      <c r="T21" s="1">
        <v>0.31879330204548101</v>
      </c>
      <c r="U21" s="1">
        <v>2205.3031000000001</v>
      </c>
      <c r="V21" s="1">
        <v>0.21339735426595599</v>
      </c>
      <c r="W21" s="1">
        <v>0.46520606569710099</v>
      </c>
      <c r="X21" s="1">
        <v>5670.7807442550702</v>
      </c>
      <c r="Y21" s="1">
        <v>-1.0323057762223401E-2</v>
      </c>
      <c r="Z21" s="1">
        <v>-565.047922712797</v>
      </c>
      <c r="AA21" s="1">
        <v>4.9235550156316199</v>
      </c>
      <c r="AB21" s="1">
        <v>0.06</v>
      </c>
      <c r="AC21" s="1">
        <v>0</v>
      </c>
      <c r="AD21" s="1" t="s">
        <v>27</v>
      </c>
      <c r="AE21" s="1" t="s">
        <v>28</v>
      </c>
      <c r="AF21" s="1">
        <v>1</v>
      </c>
      <c r="AG21" s="1" t="s">
        <v>26</v>
      </c>
      <c r="AH21" s="7">
        <v>45611</v>
      </c>
      <c r="AI21" s="8">
        <v>0.62934027777777779</v>
      </c>
    </row>
    <row r="22" spans="2:35">
      <c r="B22" s="123"/>
      <c r="C22" s="96"/>
      <c r="D22" s="9">
        <v>0.63990999999999998</v>
      </c>
      <c r="E22" s="9">
        <v>0.32995000000000002</v>
      </c>
      <c r="F22" s="1">
        <v>234</v>
      </c>
      <c r="G22" s="1">
        <v>0</v>
      </c>
      <c r="H22" s="1">
        <v>4</v>
      </c>
      <c r="J22" s="1">
        <f t="shared" si="1"/>
        <v>70</v>
      </c>
      <c r="K22" s="1">
        <f t="shared" si="2"/>
        <v>0</v>
      </c>
      <c r="L22" s="1">
        <f t="shared" si="3"/>
        <v>1</v>
      </c>
      <c r="M22" s="1" t="str">
        <f t="shared" si="4"/>
        <v>{70,0,1},</v>
      </c>
      <c r="O22" s="1">
        <v>19</v>
      </c>
      <c r="P22" s="1">
        <v>1563.838</v>
      </c>
      <c r="Q22" s="1">
        <v>711.29492000000005</v>
      </c>
      <c r="R22" s="1">
        <v>3.3964471999999999</v>
      </c>
      <c r="S22" s="1">
        <v>0.68633655660174497</v>
      </c>
      <c r="T22" s="1">
        <v>0.31217281209505898</v>
      </c>
      <c r="U22" s="1">
        <v>711.29492000000005</v>
      </c>
      <c r="V22" s="1">
        <v>0.51091411462785796</v>
      </c>
      <c r="W22" s="1">
        <v>0.52286354606740504</v>
      </c>
      <c r="X22" s="1" t="s">
        <v>26</v>
      </c>
      <c r="Y22" s="1" t="s">
        <v>26</v>
      </c>
      <c r="Z22" s="1">
        <v>618.23035516355696</v>
      </c>
      <c r="AA22" s="1">
        <v>99.601422628745595</v>
      </c>
      <c r="AB22" s="1">
        <v>0.08</v>
      </c>
      <c r="AC22" s="1">
        <v>0</v>
      </c>
      <c r="AD22" s="1" t="s">
        <v>27</v>
      </c>
      <c r="AE22" s="1" t="s">
        <v>28</v>
      </c>
      <c r="AF22" s="1">
        <v>1</v>
      </c>
      <c r="AG22" s="1" t="s">
        <v>26</v>
      </c>
      <c r="AH22" s="7">
        <v>45611</v>
      </c>
      <c r="AI22" s="8">
        <v>0.62937500000000002</v>
      </c>
    </row>
    <row r="23" spans="2:35">
      <c r="B23" s="123"/>
      <c r="C23" s="97"/>
      <c r="D23" s="9">
        <v>0.27287</v>
      </c>
      <c r="E23" s="9">
        <v>0.28921999999999998</v>
      </c>
      <c r="F23" s="1">
        <v>200</v>
      </c>
      <c r="G23" s="1">
        <v>219</v>
      </c>
      <c r="H23" s="1">
        <v>255</v>
      </c>
      <c r="J23" s="1">
        <f t="shared" si="1"/>
        <v>60</v>
      </c>
      <c r="K23" s="1">
        <f t="shared" si="2"/>
        <v>66</v>
      </c>
      <c r="L23" s="1">
        <f t="shared" si="3"/>
        <v>77</v>
      </c>
      <c r="M23" s="1" t="str">
        <f t="shared" si="4"/>
        <v>{60,66,77},</v>
      </c>
      <c r="O23" s="1">
        <v>20</v>
      </c>
      <c r="P23" s="1">
        <v>1864.7272</v>
      </c>
      <c r="Q23" s="1">
        <v>1842.4271000000001</v>
      </c>
      <c r="R23" s="1">
        <v>2394.5160000000001</v>
      </c>
      <c r="S23" s="1">
        <v>0.30560930176774698</v>
      </c>
      <c r="T23" s="1">
        <v>0.30195454841275199</v>
      </c>
      <c r="U23" s="1">
        <v>1842.4271000000001</v>
      </c>
      <c r="V23" s="1">
        <v>0.20332488805538701</v>
      </c>
      <c r="W23" s="1">
        <v>0.45201002520896899</v>
      </c>
      <c r="X23" s="1">
        <v>7274.0128889042398</v>
      </c>
      <c r="Y23" s="1">
        <v>-7.4764627672808904E-3</v>
      </c>
      <c r="Z23" s="1">
        <v>474.35861259748901</v>
      </c>
      <c r="AA23" s="1">
        <v>12.504916679533901</v>
      </c>
      <c r="AB23" s="1">
        <v>0.06</v>
      </c>
      <c r="AC23" s="1">
        <v>0</v>
      </c>
      <c r="AD23" s="1" t="s">
        <v>27</v>
      </c>
      <c r="AE23" s="1" t="s">
        <v>28</v>
      </c>
      <c r="AF23" s="1">
        <v>1</v>
      </c>
      <c r="AG23" s="1" t="s">
        <v>26</v>
      </c>
      <c r="AH23" s="7">
        <v>45611</v>
      </c>
      <c r="AI23" s="8">
        <v>0.62940972222222225</v>
      </c>
    </row>
    <row r="24" spans="2:35">
      <c r="B24" s="123" t="s">
        <v>35</v>
      </c>
      <c r="C24" s="98"/>
      <c r="D24" s="9">
        <v>0.29727999999999999</v>
      </c>
      <c r="E24" s="9">
        <v>0.27190999999999999</v>
      </c>
      <c r="F24" s="1">
        <v>223</v>
      </c>
      <c r="G24" s="1">
        <v>200</v>
      </c>
      <c r="H24" s="1">
        <v>255</v>
      </c>
      <c r="J24" s="1">
        <f t="shared" si="1"/>
        <v>67</v>
      </c>
      <c r="K24" s="1">
        <f t="shared" si="2"/>
        <v>60</v>
      </c>
      <c r="L24" s="1">
        <f t="shared" si="3"/>
        <v>77</v>
      </c>
      <c r="M24" s="1" t="str">
        <f t="shared" si="4"/>
        <v>{67,60,77},</v>
      </c>
      <c r="O24" s="1">
        <v>21</v>
      </c>
      <c r="P24" s="1">
        <v>2010.1461999999999</v>
      </c>
      <c r="Q24" s="1">
        <v>1816.4396999999999</v>
      </c>
      <c r="R24" s="1">
        <v>2383.8159000000001</v>
      </c>
      <c r="S24" s="1">
        <v>0.32367409786593798</v>
      </c>
      <c r="T24" s="1">
        <v>0.29248344285872102</v>
      </c>
      <c r="U24" s="1">
        <v>1816.4396999999999</v>
      </c>
      <c r="V24" s="1">
        <v>0.22084550021594901</v>
      </c>
      <c r="W24" s="1">
        <v>0.44901868424140901</v>
      </c>
      <c r="X24" s="1">
        <v>6077.1095803420703</v>
      </c>
      <c r="Y24" s="1">
        <v>-2.29306957202959E-2</v>
      </c>
      <c r="Z24" s="1">
        <v>-563.306912035952</v>
      </c>
      <c r="AA24" s="1">
        <v>14.2765569556214</v>
      </c>
      <c r="AB24" s="1">
        <v>0.06</v>
      </c>
      <c r="AC24" s="1">
        <v>0</v>
      </c>
      <c r="AD24" s="1" t="s">
        <v>27</v>
      </c>
      <c r="AE24" s="1" t="s">
        <v>28</v>
      </c>
      <c r="AF24" s="1">
        <v>1</v>
      </c>
      <c r="AG24" s="1" t="s">
        <v>26</v>
      </c>
      <c r="AH24" s="7">
        <v>45611</v>
      </c>
      <c r="AI24" s="8">
        <v>0.62944444444444447</v>
      </c>
    </row>
    <row r="25" spans="2:35">
      <c r="B25" s="123"/>
      <c r="C25" s="99"/>
      <c r="D25" s="9">
        <v>0.51129999999999998</v>
      </c>
      <c r="E25" s="9">
        <v>0.37468000000000001</v>
      </c>
      <c r="F25" s="1">
        <v>255</v>
      </c>
      <c r="G25" s="1">
        <v>140</v>
      </c>
      <c r="H25" s="1">
        <v>89</v>
      </c>
      <c r="J25" s="1">
        <f t="shared" si="1"/>
        <v>77</v>
      </c>
      <c r="K25" s="1">
        <f t="shared" si="2"/>
        <v>42</v>
      </c>
      <c r="L25" s="1">
        <f t="shared" si="3"/>
        <v>27</v>
      </c>
      <c r="M25" s="1" t="str">
        <f t="shared" si="4"/>
        <v>{77,42,27},</v>
      </c>
      <c r="O25" s="1">
        <v>22</v>
      </c>
      <c r="P25" s="1">
        <v>1945.1554000000001</v>
      </c>
      <c r="Q25" s="1">
        <v>1526.6498999999999</v>
      </c>
      <c r="R25" s="1">
        <v>880.85568999999998</v>
      </c>
      <c r="S25" s="1">
        <v>0.44688878928749298</v>
      </c>
      <c r="T25" s="1">
        <v>0.350739445021653</v>
      </c>
      <c r="U25" s="1">
        <v>1526.6498999999999</v>
      </c>
      <c r="V25" s="1">
        <v>0.28306065728970897</v>
      </c>
      <c r="W25" s="1">
        <v>0.49985861249278801</v>
      </c>
      <c r="X25" s="1">
        <v>2380.9883784930998</v>
      </c>
      <c r="Y25" s="1">
        <v>-2.2632233064117099E-2</v>
      </c>
      <c r="Z25" s="1">
        <v>598.88895598321506</v>
      </c>
      <c r="AA25" s="1">
        <v>39.347007061378001</v>
      </c>
      <c r="AB25" s="1">
        <v>0.09</v>
      </c>
      <c r="AC25" s="1">
        <v>0</v>
      </c>
      <c r="AD25" s="1" t="s">
        <v>27</v>
      </c>
      <c r="AE25" s="1" t="s">
        <v>28</v>
      </c>
      <c r="AF25" s="1">
        <v>1</v>
      </c>
      <c r="AG25" s="1" t="s">
        <v>26</v>
      </c>
      <c r="AH25" s="7">
        <v>45611</v>
      </c>
      <c r="AI25" s="8">
        <v>0.6294791666666667</v>
      </c>
    </row>
    <row r="26" spans="2:35">
      <c r="B26" s="123"/>
      <c r="C26" s="100"/>
      <c r="D26" s="9">
        <v>0.60202999999999995</v>
      </c>
      <c r="E26" s="9">
        <v>0.36354999999999998</v>
      </c>
      <c r="F26" s="1">
        <v>255</v>
      </c>
      <c r="G26" s="1">
        <v>89</v>
      </c>
      <c r="H26" s="1">
        <v>0</v>
      </c>
      <c r="J26" s="1">
        <f t="shared" si="1"/>
        <v>77</v>
      </c>
      <c r="K26" s="1">
        <f t="shared" si="2"/>
        <v>27</v>
      </c>
      <c r="L26" s="1">
        <f t="shared" si="3"/>
        <v>0</v>
      </c>
      <c r="M26" s="1" t="str">
        <f t="shared" si="4"/>
        <v>{77,27,0},</v>
      </c>
      <c r="O26" s="1">
        <v>23</v>
      </c>
      <c r="P26" s="1">
        <v>1783.7182</v>
      </c>
      <c r="Q26" s="1">
        <v>1227.8879999999999</v>
      </c>
      <c r="R26" s="1">
        <v>86.671605999999997</v>
      </c>
      <c r="S26" s="1">
        <v>0.57571280294676097</v>
      </c>
      <c r="T26" s="1">
        <v>0.39631307354754403</v>
      </c>
      <c r="U26" s="1">
        <v>1227.8879999999999</v>
      </c>
      <c r="V26" s="1">
        <v>0.34868802234671298</v>
      </c>
      <c r="W26" s="1">
        <v>0.54007249371696497</v>
      </c>
      <c r="X26" s="1">
        <v>1570.8375423115799</v>
      </c>
      <c r="Y26" s="1">
        <v>-4.4738597184648698E-4</v>
      </c>
      <c r="Z26" s="1">
        <v>593.96345128425401</v>
      </c>
      <c r="AA26" s="1">
        <v>91.767470460782107</v>
      </c>
      <c r="AB26" s="1">
        <v>0.09</v>
      </c>
      <c r="AC26" s="1">
        <v>0</v>
      </c>
      <c r="AD26" s="1" t="s">
        <v>27</v>
      </c>
      <c r="AE26" s="1" t="s">
        <v>28</v>
      </c>
      <c r="AF26" s="1">
        <v>1</v>
      </c>
      <c r="AG26" s="1" t="s">
        <v>26</v>
      </c>
      <c r="AH26" s="7">
        <v>45611</v>
      </c>
      <c r="AI26" s="8">
        <v>0.62951388888888893</v>
      </c>
    </row>
    <row r="27" spans="2:35">
      <c r="B27" s="123"/>
      <c r="C27" s="101"/>
      <c r="D27" s="9">
        <v>0.62704000000000004</v>
      </c>
      <c r="E27" s="9">
        <v>0.33285999999999999</v>
      </c>
      <c r="F27" s="1">
        <v>255</v>
      </c>
      <c r="G27" s="1">
        <v>40</v>
      </c>
      <c r="H27" s="1">
        <v>30</v>
      </c>
      <c r="J27" s="1">
        <f t="shared" si="1"/>
        <v>77</v>
      </c>
      <c r="K27" s="1">
        <f t="shared" si="2"/>
        <v>12</v>
      </c>
      <c r="L27" s="1">
        <f t="shared" si="3"/>
        <v>9</v>
      </c>
      <c r="M27" s="1" t="str">
        <f t="shared" si="4"/>
        <v>{77,12,9},</v>
      </c>
      <c r="O27" s="1">
        <v>24</v>
      </c>
      <c r="P27" s="1">
        <v>1786.8496</v>
      </c>
      <c r="Q27" s="1">
        <v>989.50699999999995</v>
      </c>
      <c r="R27" s="1">
        <v>260.20913999999999</v>
      </c>
      <c r="S27" s="1">
        <v>0.58844423371515697</v>
      </c>
      <c r="T27" s="1">
        <v>0.32586384907313098</v>
      </c>
      <c r="U27" s="1">
        <v>989.50699999999995</v>
      </c>
      <c r="V27" s="1">
        <v>0.41053214980775798</v>
      </c>
      <c r="W27" s="1">
        <v>0.51151757870925896</v>
      </c>
      <c r="X27" s="1" t="s">
        <v>26</v>
      </c>
      <c r="Y27" s="1" t="s">
        <v>26</v>
      </c>
      <c r="Z27" s="1">
        <v>613.66428603212</v>
      </c>
      <c r="AA27" s="1">
        <v>74.332821473319299</v>
      </c>
      <c r="AB27" s="1">
        <v>0.09</v>
      </c>
      <c r="AC27" s="1">
        <v>0</v>
      </c>
      <c r="AD27" s="1" t="s">
        <v>27</v>
      </c>
      <c r="AE27" s="1" t="s">
        <v>28</v>
      </c>
      <c r="AF27" s="1">
        <v>1</v>
      </c>
      <c r="AG27" s="1" t="s">
        <v>26</v>
      </c>
      <c r="AH27" s="7">
        <v>45611</v>
      </c>
      <c r="AI27" s="8">
        <v>0.62954861111111116</v>
      </c>
    </row>
    <row r="28" spans="2:35">
      <c r="B28" s="123"/>
      <c r="C28" s="102"/>
      <c r="D28" s="9">
        <v>0.63944999999999996</v>
      </c>
      <c r="E28" s="9">
        <v>0.32969999999999999</v>
      </c>
      <c r="F28" s="1">
        <v>255</v>
      </c>
      <c r="G28" s="1">
        <v>0</v>
      </c>
      <c r="H28" s="1">
        <v>10</v>
      </c>
      <c r="J28" s="1">
        <f t="shared" si="1"/>
        <v>77</v>
      </c>
      <c r="K28" s="1">
        <f t="shared" si="2"/>
        <v>0</v>
      </c>
      <c r="L28" s="1">
        <f t="shared" si="3"/>
        <v>3</v>
      </c>
      <c r="M28" s="1" t="str">
        <f t="shared" si="4"/>
        <v>{77,0,3},</v>
      </c>
      <c r="O28" s="1">
        <v>25</v>
      </c>
      <c r="P28" s="1">
        <v>1731.6402</v>
      </c>
      <c r="Q28" s="1">
        <v>786.85122000000001</v>
      </c>
      <c r="R28" s="1">
        <v>48.630609999999997</v>
      </c>
      <c r="S28" s="1">
        <v>0.67454533900751101</v>
      </c>
      <c r="T28" s="1">
        <v>0.30651103095399002</v>
      </c>
      <c r="U28" s="1">
        <v>786.85122000000001</v>
      </c>
      <c r="V28" s="1">
        <v>0.50631642821543199</v>
      </c>
      <c r="W28" s="1">
        <v>0.51765391176905595</v>
      </c>
      <c r="X28" s="1" t="s">
        <v>26</v>
      </c>
      <c r="Y28" s="1" t="s">
        <v>26</v>
      </c>
      <c r="Z28" s="1">
        <v>621.77426581412897</v>
      </c>
      <c r="AA28" s="1">
        <v>94.355265639567307</v>
      </c>
      <c r="AB28" s="1">
        <v>0.08</v>
      </c>
      <c r="AC28" s="1">
        <v>0</v>
      </c>
      <c r="AD28" s="1" t="s">
        <v>27</v>
      </c>
      <c r="AE28" s="1" t="s">
        <v>28</v>
      </c>
      <c r="AF28" s="1">
        <v>1</v>
      </c>
      <c r="AG28" s="1" t="s">
        <v>26</v>
      </c>
      <c r="AH28" s="7">
        <v>45611</v>
      </c>
      <c r="AI28" s="8">
        <v>0.62958333333333338</v>
      </c>
    </row>
    <row r="29" spans="2:35">
      <c r="B29" s="123"/>
      <c r="C29" s="103"/>
      <c r="D29" s="9">
        <v>0.26593</v>
      </c>
      <c r="E29" s="9">
        <v>0.12388</v>
      </c>
      <c r="F29" s="1">
        <v>174</v>
      </c>
      <c r="G29" s="1">
        <v>0</v>
      </c>
      <c r="H29" s="1">
        <v>255</v>
      </c>
      <c r="J29" s="1">
        <f t="shared" si="1"/>
        <v>52</v>
      </c>
      <c r="K29" s="1">
        <f t="shared" si="2"/>
        <v>0</v>
      </c>
      <c r="L29" s="1">
        <f t="shared" si="3"/>
        <v>77</v>
      </c>
      <c r="M29" s="1" t="str">
        <f t="shared" si="4"/>
        <v>{52,0,77},</v>
      </c>
      <c r="O29" s="1">
        <v>26</v>
      </c>
      <c r="P29" s="1">
        <v>1521.981</v>
      </c>
      <c r="Q29" s="1">
        <v>654.69047999999998</v>
      </c>
      <c r="R29" s="1">
        <v>2183.9938999999999</v>
      </c>
      <c r="S29" s="1">
        <v>0.349024946280102</v>
      </c>
      <c r="T29" s="1">
        <v>0.15013545478694801</v>
      </c>
      <c r="U29" s="1">
        <v>654.69047999999998</v>
      </c>
      <c r="V29" s="1">
        <v>0.34021544456685399</v>
      </c>
      <c r="W29" s="1">
        <v>0.32927847232685298</v>
      </c>
      <c r="X29" s="1" t="s">
        <v>26</v>
      </c>
      <c r="Y29" s="1" t="s">
        <v>26</v>
      </c>
      <c r="Z29" s="1">
        <v>-550.14645877145404</v>
      </c>
      <c r="AA29" s="1">
        <v>74.800990594819297</v>
      </c>
      <c r="AB29" s="1">
        <v>0.08</v>
      </c>
      <c r="AC29" s="1">
        <v>0</v>
      </c>
      <c r="AD29" s="1" t="s">
        <v>27</v>
      </c>
      <c r="AE29" s="1" t="s">
        <v>28</v>
      </c>
      <c r="AF29" s="1">
        <v>1</v>
      </c>
      <c r="AG29" s="1" t="s">
        <v>26</v>
      </c>
      <c r="AH29" s="7">
        <v>45611</v>
      </c>
      <c r="AI29" s="8">
        <v>0.6296180555555555</v>
      </c>
    </row>
    <row r="30" spans="2:35">
      <c r="B30" s="123"/>
      <c r="C30" s="104"/>
      <c r="D30" s="9">
        <v>0.19114999999999999</v>
      </c>
      <c r="E30" s="9">
        <v>8.2669999999999993E-2</v>
      </c>
      <c r="F30" s="1">
        <v>100</v>
      </c>
      <c r="G30" s="1">
        <v>0</v>
      </c>
      <c r="H30" s="1">
        <v>255</v>
      </c>
      <c r="J30" s="1">
        <f t="shared" si="1"/>
        <v>30</v>
      </c>
      <c r="K30" s="1">
        <f t="shared" si="2"/>
        <v>0</v>
      </c>
      <c r="L30" s="1">
        <f t="shared" si="3"/>
        <v>77</v>
      </c>
      <c r="M30" s="1" t="str">
        <f t="shared" si="4"/>
        <v>{30,0,77},</v>
      </c>
      <c r="O30" s="1">
        <v>27</v>
      </c>
      <c r="P30" s="1">
        <v>1030.4712</v>
      </c>
      <c r="Q30" s="1">
        <v>431.04915999999997</v>
      </c>
      <c r="R30" s="1">
        <v>2189.6370999999999</v>
      </c>
      <c r="S30" s="1">
        <v>0.28223137766290701</v>
      </c>
      <c r="T30" s="1">
        <v>0.118058222556088</v>
      </c>
      <c r="U30" s="1">
        <v>431.04915999999997</v>
      </c>
      <c r="V30" s="1">
        <v>0.29305721026949799</v>
      </c>
      <c r="W30" s="1">
        <v>0.275820076016558</v>
      </c>
      <c r="X30" s="1" t="s">
        <v>26</v>
      </c>
      <c r="Y30" s="1" t="s">
        <v>26</v>
      </c>
      <c r="Z30" s="1">
        <v>-563.33492020974302</v>
      </c>
      <c r="AA30" s="1">
        <v>75.199841943791597</v>
      </c>
      <c r="AB30" s="1">
        <v>0.08</v>
      </c>
      <c r="AC30" s="1">
        <v>0</v>
      </c>
      <c r="AD30" s="1" t="s">
        <v>27</v>
      </c>
      <c r="AE30" s="1" t="s">
        <v>28</v>
      </c>
      <c r="AF30" s="1">
        <v>1</v>
      </c>
      <c r="AG30" s="1" t="s">
        <v>26</v>
      </c>
      <c r="AH30" s="7">
        <v>45611</v>
      </c>
      <c r="AI30" s="8">
        <v>0.62966435185185188</v>
      </c>
    </row>
    <row r="31" spans="2:35">
      <c r="B31" s="123"/>
      <c r="C31" s="105"/>
      <c r="D31" s="9">
        <v>0.17471</v>
      </c>
      <c r="E31" s="9">
        <v>0.106</v>
      </c>
      <c r="F31" s="1">
        <v>75</v>
      </c>
      <c r="G31" s="1">
        <v>82</v>
      </c>
      <c r="H31" s="1">
        <v>255</v>
      </c>
      <c r="J31" s="1">
        <f t="shared" si="1"/>
        <v>23</v>
      </c>
      <c r="K31" s="1">
        <f t="shared" si="2"/>
        <v>25</v>
      </c>
      <c r="L31" s="1">
        <f t="shared" si="3"/>
        <v>77</v>
      </c>
      <c r="M31" s="1" t="str">
        <f t="shared" si="4"/>
        <v>{23,25,77},</v>
      </c>
      <c r="O31" s="1">
        <v>28</v>
      </c>
      <c r="P31" s="1">
        <v>936.60715000000005</v>
      </c>
      <c r="Q31" s="1">
        <v>775.15419999999995</v>
      </c>
      <c r="R31" s="1">
        <v>2271.6768999999999</v>
      </c>
      <c r="S31" s="1">
        <v>0.23512530914719201</v>
      </c>
      <c r="T31" s="1">
        <v>0.194594255352145</v>
      </c>
      <c r="U31" s="1">
        <v>775.15419999999995</v>
      </c>
      <c r="V31" s="1">
        <v>0.193324635012426</v>
      </c>
      <c r="W31" s="1">
        <v>0.35999821940825</v>
      </c>
      <c r="X31" s="1" t="s">
        <v>26</v>
      </c>
      <c r="Y31" s="1" t="s">
        <v>26</v>
      </c>
      <c r="Z31" s="1">
        <v>467.31415246213498</v>
      </c>
      <c r="AA31" s="1">
        <v>48.4540671688952</v>
      </c>
      <c r="AB31" s="1">
        <v>7.0000000000000007E-2</v>
      </c>
      <c r="AC31" s="1">
        <v>0</v>
      </c>
      <c r="AD31" s="1" t="s">
        <v>27</v>
      </c>
      <c r="AE31" s="1" t="s">
        <v>28</v>
      </c>
      <c r="AF31" s="1">
        <v>1</v>
      </c>
      <c r="AG31" s="1" t="s">
        <v>26</v>
      </c>
      <c r="AH31" s="7">
        <v>45611</v>
      </c>
      <c r="AI31" s="8">
        <v>0.62969907407407411</v>
      </c>
    </row>
    <row r="32" spans="2:35">
      <c r="B32" s="123"/>
      <c r="C32" s="106"/>
      <c r="D32" s="9">
        <v>0.18432000000000001</v>
      </c>
      <c r="E32" s="9">
        <v>0.43181000000000003</v>
      </c>
      <c r="F32" s="1">
        <v>0</v>
      </c>
      <c r="G32" s="1">
        <v>227</v>
      </c>
      <c r="H32" s="1">
        <v>207</v>
      </c>
      <c r="J32" s="1">
        <f t="shared" si="1"/>
        <v>0</v>
      </c>
      <c r="K32" s="1">
        <f t="shared" si="2"/>
        <v>68</v>
      </c>
      <c r="L32" s="1">
        <f t="shared" si="3"/>
        <v>62</v>
      </c>
      <c r="M32" s="1" t="str">
        <f t="shared" si="4"/>
        <v>{0,68,62},</v>
      </c>
      <c r="O32" s="1">
        <v>29</v>
      </c>
      <c r="P32" s="1">
        <v>466.55937999999998</v>
      </c>
      <c r="Q32" s="1">
        <v>1249.2165</v>
      </c>
      <c r="R32" s="1">
        <v>1984.1746000000001</v>
      </c>
      <c r="S32" s="1">
        <v>0.126098817409037</v>
      </c>
      <c r="T32" s="1">
        <v>0.337630599856028</v>
      </c>
      <c r="U32" s="1">
        <v>1249.2165</v>
      </c>
      <c r="V32" s="1">
        <v>7.4182652513434297E-2</v>
      </c>
      <c r="W32" s="1">
        <v>0.44690546238827</v>
      </c>
      <c r="X32" s="1" t="s">
        <v>26</v>
      </c>
      <c r="Y32" s="1" t="s">
        <v>26</v>
      </c>
      <c r="Z32" s="1">
        <v>491.98251461114302</v>
      </c>
      <c r="AA32" s="1">
        <v>69.762482084939904</v>
      </c>
      <c r="AB32" s="1">
        <v>0.09</v>
      </c>
      <c r="AC32" s="1">
        <v>0</v>
      </c>
      <c r="AD32" s="1" t="s">
        <v>27</v>
      </c>
      <c r="AE32" s="1" t="s">
        <v>28</v>
      </c>
      <c r="AF32" s="1">
        <v>1</v>
      </c>
      <c r="AG32" s="1" t="s">
        <v>26</v>
      </c>
      <c r="AH32" s="7">
        <v>45611</v>
      </c>
      <c r="AI32" s="8">
        <v>0.62972222222222218</v>
      </c>
    </row>
    <row r="33" spans="2:35">
      <c r="B33" s="123"/>
      <c r="C33" s="107"/>
      <c r="D33" s="9">
        <v>0.32716000000000001</v>
      </c>
      <c r="E33" s="9">
        <v>0.58289000000000002</v>
      </c>
      <c r="F33" s="1">
        <v>167</v>
      </c>
      <c r="G33" s="1">
        <v>255</v>
      </c>
      <c r="H33" s="1">
        <v>55</v>
      </c>
      <c r="J33" s="1">
        <f t="shared" si="1"/>
        <v>50</v>
      </c>
      <c r="K33" s="1">
        <f t="shared" si="2"/>
        <v>77</v>
      </c>
      <c r="L33" s="1">
        <f t="shared" si="3"/>
        <v>17</v>
      </c>
      <c r="M33" s="1" t="str">
        <f t="shared" si="4"/>
        <v>{50,77,17},</v>
      </c>
      <c r="O33" s="1">
        <v>30</v>
      </c>
      <c r="P33" s="1">
        <v>1389.7417</v>
      </c>
      <c r="Q33" s="1">
        <v>1831.9244000000001</v>
      </c>
      <c r="R33" s="1">
        <v>711.57560999999998</v>
      </c>
      <c r="S33" s="1">
        <v>0.35333239156563301</v>
      </c>
      <c r="T33" s="1">
        <v>0.465754340838616</v>
      </c>
      <c r="U33" s="1">
        <v>1831.9244000000001</v>
      </c>
      <c r="V33" s="1">
        <v>0.17930222294704901</v>
      </c>
      <c r="W33" s="1">
        <v>0.53179181691073396</v>
      </c>
      <c r="X33" s="1">
        <v>5044.62724421649</v>
      </c>
      <c r="Y33" s="1">
        <v>4.4913363390563198E-2</v>
      </c>
      <c r="Z33" s="1">
        <v>560.50750507785904</v>
      </c>
      <c r="AA33" s="1">
        <v>46.050452434701498</v>
      </c>
      <c r="AB33" s="1">
        <v>0.1</v>
      </c>
      <c r="AC33" s="1">
        <v>0</v>
      </c>
      <c r="AD33" s="1" t="s">
        <v>27</v>
      </c>
      <c r="AE33" s="1" t="s">
        <v>28</v>
      </c>
      <c r="AF33" s="1">
        <v>1</v>
      </c>
      <c r="AG33" s="1" t="s">
        <v>26</v>
      </c>
      <c r="AH33" s="7">
        <v>45611</v>
      </c>
      <c r="AI33" s="8">
        <v>0.62975694444444441</v>
      </c>
    </row>
    <row r="34" spans="2:35">
      <c r="B34" s="123" t="s">
        <v>36</v>
      </c>
      <c r="C34" s="108"/>
      <c r="D34" s="9">
        <v>0.15346000000000001</v>
      </c>
      <c r="E34" s="9">
        <v>9.7519999999999996E-2</v>
      </c>
      <c r="F34" s="1">
        <v>0</v>
      </c>
      <c r="G34" s="1">
        <v>84</v>
      </c>
      <c r="H34" s="1">
        <v>255</v>
      </c>
      <c r="J34" s="1">
        <f t="shared" si="1"/>
        <v>0</v>
      </c>
      <c r="K34" s="1">
        <f t="shared" si="2"/>
        <v>25</v>
      </c>
      <c r="L34" s="1">
        <f t="shared" si="3"/>
        <v>77</v>
      </c>
      <c r="M34" s="1" t="str">
        <f t="shared" si="4"/>
        <v>{0,25,77},</v>
      </c>
      <c r="O34" s="1">
        <v>31</v>
      </c>
      <c r="P34" s="1">
        <v>425.91122000000001</v>
      </c>
      <c r="Q34" s="1">
        <v>542.90403000000003</v>
      </c>
      <c r="R34" s="1">
        <v>2271.1331</v>
      </c>
      <c r="S34" s="1">
        <v>0.13145617583687699</v>
      </c>
      <c r="T34" s="1">
        <v>0.167565643446137</v>
      </c>
      <c r="U34" s="1">
        <v>542.90403000000003</v>
      </c>
      <c r="V34" s="1">
        <v>0.11074947474515499</v>
      </c>
      <c r="W34" s="1">
        <v>0.31763487319948602</v>
      </c>
      <c r="X34" s="1" t="s">
        <v>26</v>
      </c>
      <c r="Y34" s="1" t="s">
        <v>26</v>
      </c>
      <c r="Z34" s="1">
        <v>480.12365114365701</v>
      </c>
      <c r="AA34" s="1">
        <v>83.225519862901507</v>
      </c>
      <c r="AB34" s="1">
        <v>0.09</v>
      </c>
      <c r="AC34" s="1">
        <v>0</v>
      </c>
      <c r="AD34" s="1" t="s">
        <v>27</v>
      </c>
      <c r="AE34" s="1" t="s">
        <v>28</v>
      </c>
      <c r="AF34" s="1">
        <v>1</v>
      </c>
      <c r="AG34" s="1" t="s">
        <v>26</v>
      </c>
      <c r="AH34" s="7">
        <v>45611</v>
      </c>
      <c r="AI34" s="8">
        <v>0.62979166666666664</v>
      </c>
    </row>
    <row r="35" spans="2:35">
      <c r="B35" s="123"/>
      <c r="C35" s="109"/>
      <c r="D35" s="9">
        <v>0.21</v>
      </c>
      <c r="E35" s="9">
        <v>0.71</v>
      </c>
      <c r="F35" s="1">
        <v>0</v>
      </c>
      <c r="G35" s="1">
        <v>220</v>
      </c>
      <c r="H35" s="1">
        <v>0</v>
      </c>
      <c r="J35" s="1">
        <f t="shared" si="1"/>
        <v>0</v>
      </c>
      <c r="K35" s="1">
        <f t="shared" si="2"/>
        <v>66</v>
      </c>
      <c r="L35" s="1">
        <f t="shared" si="3"/>
        <v>0</v>
      </c>
      <c r="M35" s="1" t="str">
        <f t="shared" si="4"/>
        <v>{0,66,0},</v>
      </c>
      <c r="O35" s="1">
        <v>32</v>
      </c>
      <c r="P35" s="1">
        <v>169.92010999999999</v>
      </c>
      <c r="Q35" s="1">
        <v>1112.0338999999999</v>
      </c>
      <c r="R35" s="1">
        <v>217.9402</v>
      </c>
      <c r="S35" s="1">
        <v>0.113288063162801</v>
      </c>
      <c r="T35" s="1">
        <v>0.74140822238389703</v>
      </c>
      <c r="U35" s="1">
        <v>1112.0338999999999</v>
      </c>
      <c r="V35" s="1">
        <v>3.8829454028322802E-2</v>
      </c>
      <c r="W35" s="1">
        <v>0.57176431733400801</v>
      </c>
      <c r="X35" s="1" t="s">
        <v>26</v>
      </c>
      <c r="Y35" s="1" t="s">
        <v>26</v>
      </c>
      <c r="Z35" s="1">
        <v>518.72796503458005</v>
      </c>
      <c r="AA35" s="1">
        <v>81.915332915693398</v>
      </c>
      <c r="AB35" s="1">
        <v>0.11</v>
      </c>
      <c r="AC35" s="1">
        <v>0</v>
      </c>
      <c r="AD35" s="1" t="s">
        <v>27</v>
      </c>
      <c r="AE35" s="1" t="s">
        <v>28</v>
      </c>
      <c r="AF35" s="1">
        <v>1</v>
      </c>
      <c r="AG35" s="1" t="s">
        <v>26</v>
      </c>
      <c r="AH35" s="7">
        <v>45611</v>
      </c>
      <c r="AI35" s="8">
        <v>0.62982638888888887</v>
      </c>
    </row>
    <row r="36" spans="2:35">
      <c r="B36" s="123"/>
      <c r="C36" s="110"/>
      <c r="D36" s="9">
        <v>0.47871000000000002</v>
      </c>
      <c r="E36" s="9">
        <v>0.47254000000000002</v>
      </c>
      <c r="F36" s="1">
        <v>255</v>
      </c>
      <c r="G36" s="1">
        <v>204</v>
      </c>
      <c r="H36" s="1">
        <v>0</v>
      </c>
      <c r="J36" s="1">
        <f t="shared" si="1"/>
        <v>77</v>
      </c>
      <c r="K36" s="1">
        <f t="shared" si="2"/>
        <v>61</v>
      </c>
      <c r="L36" s="1">
        <f t="shared" si="3"/>
        <v>0</v>
      </c>
      <c r="M36" s="1" t="str">
        <f t="shared" si="4"/>
        <v>{77,61,0},</v>
      </c>
      <c r="O36" s="1">
        <v>33</v>
      </c>
      <c r="P36" s="1">
        <v>1877.7901999999999</v>
      </c>
      <c r="Q36" s="1">
        <v>1809.5099</v>
      </c>
      <c r="R36" s="1">
        <v>200.16806</v>
      </c>
      <c r="S36" s="1">
        <v>0.48303680511688102</v>
      </c>
      <c r="T36" s="1">
        <v>0.46547259695112198</v>
      </c>
      <c r="U36" s="1">
        <v>1809.5099</v>
      </c>
      <c r="V36" s="1">
        <v>0.25357601985963502</v>
      </c>
      <c r="W36" s="1">
        <v>0.54979982122702797</v>
      </c>
      <c r="X36" s="1">
        <v>2788.7698676084701</v>
      </c>
      <c r="Y36" s="1">
        <v>1.6908314572216001E-2</v>
      </c>
      <c r="Z36" s="1">
        <v>579.60993134891805</v>
      </c>
      <c r="AA36" s="1">
        <v>84.789619907458899</v>
      </c>
      <c r="AB36" s="1">
        <v>0.1</v>
      </c>
      <c r="AC36" s="1">
        <v>0</v>
      </c>
      <c r="AD36" s="1" t="s">
        <v>27</v>
      </c>
      <c r="AE36" s="1" t="s">
        <v>28</v>
      </c>
      <c r="AF36" s="1">
        <v>1</v>
      </c>
      <c r="AG36" s="1" t="s">
        <v>26</v>
      </c>
      <c r="AH36" s="7">
        <v>45611</v>
      </c>
      <c r="AI36" s="8">
        <v>0.62986111111111109</v>
      </c>
    </row>
    <row r="37" spans="2:35">
      <c r="B37" s="123"/>
      <c r="C37" s="109"/>
      <c r="D37" s="9">
        <v>0.21</v>
      </c>
      <c r="E37" s="9">
        <v>0.71</v>
      </c>
      <c r="F37" s="1">
        <v>0</v>
      </c>
      <c r="G37" s="1">
        <v>220</v>
      </c>
      <c r="H37" s="1">
        <v>0</v>
      </c>
      <c r="J37" s="1">
        <f t="shared" si="1"/>
        <v>0</v>
      </c>
      <c r="K37" s="1">
        <f t="shared" si="2"/>
        <v>66</v>
      </c>
      <c r="L37" s="1">
        <f t="shared" si="3"/>
        <v>0</v>
      </c>
      <c r="M37" s="1" t="str">
        <f t="shared" si="4"/>
        <v>{0,66,0},</v>
      </c>
      <c r="O37" s="1">
        <v>34</v>
      </c>
      <c r="P37" s="1">
        <v>170.02466999999999</v>
      </c>
      <c r="Q37" s="1">
        <v>1111.5811000000001</v>
      </c>
      <c r="R37" s="1">
        <v>217.72129000000001</v>
      </c>
      <c r="S37" s="1">
        <v>0.113400654557652</v>
      </c>
      <c r="T37" s="1">
        <v>0.74138667249826096</v>
      </c>
      <c r="U37" s="1">
        <v>1111.5811000000001</v>
      </c>
      <c r="V37" s="1">
        <v>3.88696560017451E-2</v>
      </c>
      <c r="W37" s="1">
        <v>0.57177140054936204</v>
      </c>
      <c r="X37" s="1" t="s">
        <v>26</v>
      </c>
      <c r="Y37" s="1" t="s">
        <v>26</v>
      </c>
      <c r="Z37" s="1">
        <v>518.74178801995299</v>
      </c>
      <c r="AA37" s="1">
        <v>81.904540160135099</v>
      </c>
      <c r="AB37" s="1">
        <v>0.09</v>
      </c>
      <c r="AC37" s="1">
        <v>0</v>
      </c>
      <c r="AD37" s="1" t="s">
        <v>27</v>
      </c>
      <c r="AE37" s="1" t="s">
        <v>28</v>
      </c>
      <c r="AF37" s="1">
        <v>1</v>
      </c>
      <c r="AG37" s="1" t="s">
        <v>26</v>
      </c>
      <c r="AH37" s="7">
        <v>45611</v>
      </c>
      <c r="AI37" s="8">
        <v>0.62989583333333332</v>
      </c>
    </row>
    <row r="38" spans="2:35">
      <c r="B38" s="123"/>
      <c r="C38" s="111"/>
      <c r="D38" s="9">
        <v>0.64</v>
      </c>
      <c r="E38" s="9">
        <v>0.33</v>
      </c>
      <c r="F38" s="1">
        <v>255</v>
      </c>
      <c r="G38" s="1">
        <v>0</v>
      </c>
      <c r="H38" s="1">
        <v>0</v>
      </c>
      <c r="J38" s="1">
        <f t="shared" si="1"/>
        <v>77</v>
      </c>
      <c r="K38" s="1">
        <f t="shared" si="2"/>
        <v>0</v>
      </c>
      <c r="L38" s="1">
        <f t="shared" si="3"/>
        <v>0</v>
      </c>
      <c r="M38" s="1" t="str">
        <f t="shared" si="4"/>
        <v>{77,0,0},</v>
      </c>
      <c r="O38" s="1">
        <v>35</v>
      </c>
      <c r="P38" s="1">
        <v>1721.9838999999999</v>
      </c>
      <c r="Q38" s="1">
        <v>783.27769999999998</v>
      </c>
      <c r="R38" s="1">
        <v>-0.95030700000000001</v>
      </c>
      <c r="S38" s="1">
        <v>0.68760776857623696</v>
      </c>
      <c r="T38" s="1">
        <v>0.31277169982398001</v>
      </c>
      <c r="U38" s="1">
        <v>783.27769999999998</v>
      </c>
      <c r="V38" s="1">
        <v>0.51141839563028602</v>
      </c>
      <c r="W38" s="1">
        <v>0.52341424649830104</v>
      </c>
      <c r="X38" s="1" t="s">
        <v>26</v>
      </c>
      <c r="Y38" s="1" t="s">
        <v>26</v>
      </c>
      <c r="Z38" s="1">
        <v>617.904311242115</v>
      </c>
      <c r="AA38" s="1">
        <v>100.163081838926</v>
      </c>
      <c r="AB38" s="1">
        <v>0.11</v>
      </c>
      <c r="AC38" s="1">
        <v>0</v>
      </c>
      <c r="AD38" s="1" t="s">
        <v>27</v>
      </c>
      <c r="AE38" s="1" t="s">
        <v>28</v>
      </c>
      <c r="AF38" s="1">
        <v>1</v>
      </c>
      <c r="AG38" s="1" t="s">
        <v>26</v>
      </c>
      <c r="AH38" s="7">
        <v>45611</v>
      </c>
      <c r="AI38" s="8">
        <v>0.62993055555555555</v>
      </c>
    </row>
    <row r="39" spans="2:35">
      <c r="B39" s="123"/>
      <c r="C39" s="112"/>
      <c r="D39" s="9">
        <v>0.60116999999999998</v>
      </c>
      <c r="E39" s="9">
        <v>0.36431000000000002</v>
      </c>
      <c r="F39" s="1">
        <v>255</v>
      </c>
      <c r="G39" s="1">
        <v>90</v>
      </c>
      <c r="H39" s="1">
        <v>0</v>
      </c>
      <c r="J39" s="1">
        <f t="shared" si="1"/>
        <v>77</v>
      </c>
      <c r="K39" s="1">
        <f t="shared" si="2"/>
        <v>27</v>
      </c>
      <c r="L39" s="1">
        <f t="shared" si="3"/>
        <v>0</v>
      </c>
      <c r="M39" s="1" t="str">
        <f t="shared" si="4"/>
        <v>{77,27,0},</v>
      </c>
      <c r="O39" s="1">
        <v>36</v>
      </c>
      <c r="P39" s="1">
        <v>1791.2085999999999</v>
      </c>
      <c r="Q39" s="1">
        <v>1232.4571000000001</v>
      </c>
      <c r="R39" s="1">
        <v>86.866557999999998</v>
      </c>
      <c r="S39" s="1">
        <v>0.57585276455281198</v>
      </c>
      <c r="T39" s="1">
        <v>0.39622064578505301</v>
      </c>
      <c r="U39" s="1">
        <v>1232.4571000000001</v>
      </c>
      <c r="V39" s="1">
        <v>0.34884616302175597</v>
      </c>
      <c r="W39" s="1">
        <v>0.54006012669536196</v>
      </c>
      <c r="X39" s="1">
        <v>1569.57830841637</v>
      </c>
      <c r="Y39" s="1">
        <v>-4.5384423504193498E-4</v>
      </c>
      <c r="Z39" s="1">
        <v>593.98369537426402</v>
      </c>
      <c r="AA39" s="1">
        <v>91.781722829747295</v>
      </c>
      <c r="AB39" s="1">
        <v>0.13</v>
      </c>
      <c r="AC39" s="1">
        <v>0</v>
      </c>
      <c r="AD39" s="1" t="s">
        <v>27</v>
      </c>
      <c r="AE39" s="1" t="s">
        <v>28</v>
      </c>
      <c r="AF39" s="1">
        <v>1</v>
      </c>
      <c r="AG39" s="1" t="s">
        <v>26</v>
      </c>
      <c r="AH39" s="7">
        <v>45611</v>
      </c>
      <c r="AI39" s="8">
        <v>0.62996527777777778</v>
      </c>
    </row>
    <row r="40" spans="2:35">
      <c r="B40" s="123"/>
      <c r="C40" s="113"/>
      <c r="D40" s="9">
        <v>0.57308999999999999</v>
      </c>
      <c r="E40" s="9">
        <v>0.32979999999999998</v>
      </c>
      <c r="F40" s="1">
        <v>200</v>
      </c>
      <c r="G40" s="1">
        <v>60</v>
      </c>
      <c r="H40" s="1">
        <v>60</v>
      </c>
      <c r="J40" s="1">
        <f t="shared" si="1"/>
        <v>60</v>
      </c>
      <c r="K40" s="1">
        <f t="shared" si="2"/>
        <v>18</v>
      </c>
      <c r="L40" s="1">
        <f t="shared" si="3"/>
        <v>18</v>
      </c>
      <c r="M40" s="1" t="str">
        <f t="shared" si="4"/>
        <v>{60,18,18},</v>
      </c>
      <c r="O40" s="1">
        <v>37</v>
      </c>
      <c r="P40" s="1">
        <v>1464.2429</v>
      </c>
      <c r="Q40" s="1">
        <v>933.77764000000002</v>
      </c>
      <c r="R40" s="1">
        <v>543.09625000000005</v>
      </c>
      <c r="S40" s="1">
        <v>0.49785268812803601</v>
      </c>
      <c r="T40" s="1">
        <v>0.31749083993362898</v>
      </c>
      <c r="U40" s="1">
        <v>933.77764000000002</v>
      </c>
      <c r="V40" s="1">
        <v>0.34250902822240997</v>
      </c>
      <c r="W40" s="1">
        <v>0.49145627553835802</v>
      </c>
      <c r="X40" s="1">
        <v>1621.16372044578</v>
      </c>
      <c r="Y40" s="1">
        <v>-3.2895444264538998E-2</v>
      </c>
      <c r="Z40" s="1">
        <v>625.93754443243995</v>
      </c>
      <c r="AA40" s="1">
        <v>44.6142407443797</v>
      </c>
      <c r="AB40" s="1">
        <v>0.13</v>
      </c>
      <c r="AC40" s="1">
        <v>0</v>
      </c>
      <c r="AD40" s="1" t="s">
        <v>27</v>
      </c>
      <c r="AE40" s="1" t="s">
        <v>28</v>
      </c>
      <c r="AF40" s="1">
        <v>1</v>
      </c>
      <c r="AG40" s="1" t="s">
        <v>26</v>
      </c>
      <c r="AH40" s="7">
        <v>45611</v>
      </c>
      <c r="AI40" s="8">
        <v>0.63</v>
      </c>
    </row>
    <row r="41" spans="2:35">
      <c r="B41" s="123"/>
      <c r="C41" s="114"/>
      <c r="D41" s="9">
        <v>0.20277999999999999</v>
      </c>
      <c r="E41" s="9">
        <v>8.9080000000000006E-2</v>
      </c>
      <c r="F41" s="1">
        <v>80</v>
      </c>
      <c r="G41" s="1">
        <v>0</v>
      </c>
      <c r="H41" s="1">
        <v>180</v>
      </c>
      <c r="J41" s="1">
        <f t="shared" si="1"/>
        <v>24</v>
      </c>
      <c r="K41" s="1">
        <f t="shared" si="2"/>
        <v>0</v>
      </c>
      <c r="L41" s="1">
        <f t="shared" si="3"/>
        <v>54</v>
      </c>
      <c r="M41" s="1" t="str">
        <f t="shared" si="4"/>
        <v>{24,0,54},</v>
      </c>
      <c r="O41" s="1">
        <v>38</v>
      </c>
      <c r="P41" s="1">
        <v>783.70321999999999</v>
      </c>
      <c r="Q41" s="1">
        <v>330.27825000000001</v>
      </c>
      <c r="R41" s="1">
        <v>1525.7291</v>
      </c>
      <c r="S41" s="1">
        <v>0.29688982909971101</v>
      </c>
      <c r="T41" s="1">
        <v>0.125119114858111</v>
      </c>
      <c r="U41" s="1">
        <v>330.27825000000001</v>
      </c>
      <c r="V41" s="1">
        <v>0.30390628676131398</v>
      </c>
      <c r="W41" s="1">
        <v>0.288171180730801</v>
      </c>
      <c r="X41" s="1" t="s">
        <v>26</v>
      </c>
      <c r="Y41" s="1" t="s">
        <v>26</v>
      </c>
      <c r="Z41" s="1">
        <v>-561.33407268123403</v>
      </c>
      <c r="AA41" s="1">
        <v>75.1039646091603</v>
      </c>
      <c r="AB41" s="1">
        <v>0.14000000000000001</v>
      </c>
      <c r="AC41" s="1">
        <v>0</v>
      </c>
      <c r="AD41" s="1" t="s">
        <v>27</v>
      </c>
      <c r="AE41" s="1" t="s">
        <v>28</v>
      </c>
      <c r="AF41" s="1">
        <v>1</v>
      </c>
      <c r="AG41" s="1" t="s">
        <v>26</v>
      </c>
      <c r="AH41" s="7">
        <v>45611</v>
      </c>
      <c r="AI41" s="8">
        <v>0.63004629629629627</v>
      </c>
    </row>
    <row r="42" spans="2:35">
      <c r="B42" s="123"/>
      <c r="C42" s="115"/>
      <c r="D42" s="9">
        <v>0.15068999999999999</v>
      </c>
      <c r="E42" s="9">
        <v>6.0380000000000003E-2</v>
      </c>
      <c r="F42" s="1">
        <v>15</v>
      </c>
      <c r="G42" s="1">
        <v>0</v>
      </c>
      <c r="H42" s="1">
        <v>255</v>
      </c>
      <c r="J42" s="1">
        <f t="shared" si="1"/>
        <v>5</v>
      </c>
      <c r="K42" s="1">
        <f t="shared" si="2"/>
        <v>0</v>
      </c>
      <c r="L42" s="1">
        <f t="shared" si="3"/>
        <v>77</v>
      </c>
      <c r="M42" s="1" t="str">
        <f t="shared" si="4"/>
        <v>{5,0,77},</v>
      </c>
      <c r="O42" s="1">
        <v>39</v>
      </c>
      <c r="P42" s="1">
        <v>464.09296999999998</v>
      </c>
      <c r="Q42" s="1">
        <v>173.12383</v>
      </c>
      <c r="R42" s="1">
        <v>2190.6520999999998</v>
      </c>
      <c r="S42" s="1">
        <v>0.16411403300909699</v>
      </c>
      <c r="T42" s="1">
        <v>6.1220599724407299E-2</v>
      </c>
      <c r="U42" s="1">
        <v>173.12383</v>
      </c>
      <c r="V42" s="1">
        <v>0.19271149757380801</v>
      </c>
      <c r="W42" s="1">
        <v>0.161749149585869</v>
      </c>
      <c r="X42" s="1" t="s">
        <v>26</v>
      </c>
      <c r="Y42" s="1" t="s">
        <v>26</v>
      </c>
      <c r="Z42" s="1">
        <v>459.77766174750798</v>
      </c>
      <c r="AA42" s="1">
        <v>89.515995943410601</v>
      </c>
      <c r="AB42" s="1">
        <v>0.11</v>
      </c>
      <c r="AC42" s="1">
        <v>0</v>
      </c>
      <c r="AD42" s="1" t="s">
        <v>27</v>
      </c>
      <c r="AE42" s="1" t="s">
        <v>28</v>
      </c>
      <c r="AF42" s="1">
        <v>1</v>
      </c>
      <c r="AG42" s="1" t="s">
        <v>26</v>
      </c>
      <c r="AH42" s="7">
        <v>45611</v>
      </c>
      <c r="AI42" s="8">
        <v>0.63006944444444446</v>
      </c>
    </row>
    <row r="43" spans="2:35">
      <c r="B43" s="123"/>
      <c r="C43" s="108"/>
      <c r="D43" s="9">
        <v>0.15346000000000001</v>
      </c>
      <c r="E43" s="9">
        <v>9.7519999999999996E-2</v>
      </c>
      <c r="F43" s="1">
        <v>0</v>
      </c>
      <c r="G43" s="1">
        <v>84</v>
      </c>
      <c r="H43" s="1">
        <v>255</v>
      </c>
      <c r="J43" s="1">
        <f t="shared" si="1"/>
        <v>0</v>
      </c>
      <c r="K43" s="1">
        <f t="shared" si="2"/>
        <v>25</v>
      </c>
      <c r="L43" s="1">
        <f t="shared" si="3"/>
        <v>77</v>
      </c>
      <c r="M43" s="1" t="str">
        <f t="shared" si="4"/>
        <v>{0,25,77},</v>
      </c>
      <c r="O43" s="1">
        <v>40</v>
      </c>
      <c r="P43" s="1">
        <v>425.80784</v>
      </c>
      <c r="Q43" s="1">
        <v>542.23769000000004</v>
      </c>
      <c r="R43" s="1">
        <v>2271.0401999999999</v>
      </c>
      <c r="S43" s="1">
        <v>0.13145926829173499</v>
      </c>
      <c r="T43" s="1">
        <v>0.16740455029574</v>
      </c>
      <c r="U43" s="1">
        <v>542.23769000000004</v>
      </c>
      <c r="V43" s="1">
        <v>0.110797336025465</v>
      </c>
      <c r="W43" s="1">
        <v>0.31745917589341199</v>
      </c>
      <c r="X43" s="1" t="s">
        <v>26</v>
      </c>
      <c r="Y43" s="1" t="s">
        <v>26</v>
      </c>
      <c r="Z43" s="1">
        <v>480.11073592773403</v>
      </c>
      <c r="AA43" s="1">
        <v>83.243092300505396</v>
      </c>
      <c r="AB43" s="1">
        <v>0.13</v>
      </c>
      <c r="AC43" s="1">
        <v>0</v>
      </c>
      <c r="AD43" s="1" t="s">
        <v>27</v>
      </c>
      <c r="AE43" s="1" t="s">
        <v>28</v>
      </c>
      <c r="AF43" s="1">
        <v>1</v>
      </c>
      <c r="AG43" s="1" t="s">
        <v>26</v>
      </c>
      <c r="AH43" s="7">
        <v>45611</v>
      </c>
      <c r="AI43" s="8">
        <v>0.63010416666666669</v>
      </c>
    </row>
    <row r="44" spans="2:35">
      <c r="B44" s="123"/>
      <c r="C44" s="116"/>
      <c r="D44" s="9">
        <v>0.19545000000000001</v>
      </c>
      <c r="E44" s="9">
        <v>0.55235999999999996</v>
      </c>
      <c r="F44" s="1">
        <v>0</v>
      </c>
      <c r="G44" s="1">
        <v>250</v>
      </c>
      <c r="H44" s="1">
        <v>127</v>
      </c>
      <c r="J44" s="1">
        <f t="shared" si="1"/>
        <v>0</v>
      </c>
      <c r="K44" s="1">
        <f t="shared" si="2"/>
        <v>75</v>
      </c>
      <c r="L44" s="1">
        <f t="shared" si="3"/>
        <v>38</v>
      </c>
      <c r="M44" s="1" t="str">
        <f t="shared" si="4"/>
        <v>{0,75,38},</v>
      </c>
      <c r="O44" s="1">
        <v>41</v>
      </c>
      <c r="P44" s="1">
        <v>368.73520000000002</v>
      </c>
      <c r="Q44" s="1">
        <v>1324.7524000000001</v>
      </c>
      <c r="R44" s="1">
        <v>1308.7007000000001</v>
      </c>
      <c r="S44" s="1">
        <v>0.12282214276832699</v>
      </c>
      <c r="T44" s="1">
        <v>0.44126226193073897</v>
      </c>
      <c r="U44" s="1">
        <v>1324.7524000000001</v>
      </c>
      <c r="V44" s="1">
        <v>6.1033405386953399E-2</v>
      </c>
      <c r="W44" s="1">
        <v>0.49336715914215301</v>
      </c>
      <c r="X44" s="1" t="s">
        <v>26</v>
      </c>
      <c r="Y44" s="1" t="s">
        <v>26</v>
      </c>
      <c r="Z44" s="1">
        <v>498.39843657949302</v>
      </c>
      <c r="AA44" s="1">
        <v>65.538148804905703</v>
      </c>
      <c r="AB44" s="1">
        <v>0.14000000000000001</v>
      </c>
      <c r="AC44" s="1">
        <v>0</v>
      </c>
      <c r="AD44" s="1" t="s">
        <v>27</v>
      </c>
      <c r="AE44" s="1" t="s">
        <v>28</v>
      </c>
      <c r="AF44" s="1">
        <v>1</v>
      </c>
      <c r="AG44" s="1" t="s">
        <v>26</v>
      </c>
      <c r="AH44" s="7">
        <v>45611</v>
      </c>
      <c r="AI44" s="8">
        <v>0.63013888888888892</v>
      </c>
    </row>
    <row r="45" spans="2:35">
      <c r="B45" s="123"/>
      <c r="C45" s="109"/>
      <c r="D45" s="9">
        <v>0.21</v>
      </c>
      <c r="E45" s="9">
        <v>0.71</v>
      </c>
      <c r="F45" s="1">
        <v>0</v>
      </c>
      <c r="G45" s="1">
        <v>220</v>
      </c>
      <c r="H45" s="1">
        <v>0</v>
      </c>
      <c r="J45" s="1">
        <f t="shared" si="1"/>
        <v>0</v>
      </c>
      <c r="K45" s="1">
        <f t="shared" si="2"/>
        <v>66</v>
      </c>
      <c r="L45" s="1">
        <f t="shared" si="3"/>
        <v>0</v>
      </c>
      <c r="M45" s="1" t="str">
        <f t="shared" si="4"/>
        <v>{0,66,0},</v>
      </c>
      <c r="O45" s="1">
        <v>42</v>
      </c>
      <c r="P45" s="1">
        <v>169.58913000000001</v>
      </c>
      <c r="Q45" s="1">
        <v>1109.4127000000001</v>
      </c>
      <c r="R45" s="1">
        <v>217.33899</v>
      </c>
      <c r="S45" s="1">
        <v>0.113335897633268</v>
      </c>
      <c r="T45" s="1">
        <v>0.74141711912931696</v>
      </c>
      <c r="U45" s="1">
        <v>1109.4127000000001</v>
      </c>
      <c r="V45" s="1">
        <v>3.8845812359745401E-2</v>
      </c>
      <c r="W45" s="1">
        <v>0.57177063495087599</v>
      </c>
      <c r="X45" s="1" t="s">
        <v>26</v>
      </c>
      <c r="Y45" s="1" t="s">
        <v>26</v>
      </c>
      <c r="Z45" s="1">
        <v>518.73516946135101</v>
      </c>
      <c r="AA45" s="1">
        <v>81.913747890518295</v>
      </c>
      <c r="AB45" s="1">
        <v>0.13</v>
      </c>
      <c r="AC45" s="1">
        <v>0</v>
      </c>
      <c r="AD45" s="1" t="s">
        <v>27</v>
      </c>
      <c r="AE45" s="1" t="s">
        <v>28</v>
      </c>
      <c r="AF45" s="1">
        <v>1</v>
      </c>
      <c r="AG45" s="1" t="s">
        <v>26</v>
      </c>
      <c r="AH45" s="7">
        <v>45611</v>
      </c>
      <c r="AI45" s="8">
        <v>0.63017361111111114</v>
      </c>
    </row>
    <row r="46" spans="2:35">
      <c r="B46" s="123" t="s">
        <v>37</v>
      </c>
      <c r="C46" s="95"/>
      <c r="D46" s="9">
        <v>0.31273000000000001</v>
      </c>
      <c r="E46" s="9">
        <v>0.32901999999999998</v>
      </c>
      <c r="F46" s="1">
        <v>255</v>
      </c>
      <c r="G46" s="1">
        <v>255</v>
      </c>
      <c r="H46" s="1">
        <v>255</v>
      </c>
      <c r="J46" s="1">
        <f t="shared" si="1"/>
        <v>77</v>
      </c>
      <c r="K46" s="1">
        <f t="shared" si="2"/>
        <v>77</v>
      </c>
      <c r="L46" s="1">
        <f t="shared" si="3"/>
        <v>77</v>
      </c>
      <c r="M46" s="1" t="str">
        <f t="shared" si="4"/>
        <v>{77,77,77},</v>
      </c>
      <c r="O46" s="1">
        <v>43</v>
      </c>
      <c r="P46" s="1">
        <v>2277.7177999999999</v>
      </c>
      <c r="Q46" s="1">
        <v>2205.3431999999998</v>
      </c>
      <c r="R46" s="1">
        <v>2438.6165000000001</v>
      </c>
      <c r="S46" s="1">
        <v>0.32907020010683802</v>
      </c>
      <c r="T46" s="1">
        <v>0.31861397760875199</v>
      </c>
      <c r="U46" s="1">
        <v>2205.3431999999998</v>
      </c>
      <c r="V46" s="1">
        <v>0.21350077292192099</v>
      </c>
      <c r="W46" s="1">
        <v>0.46511274353465998</v>
      </c>
      <c r="X46" s="1">
        <v>5668.8058782375201</v>
      </c>
      <c r="Y46" s="1">
        <v>-1.04420557127658E-2</v>
      </c>
      <c r="Z46" s="1">
        <v>-564.86889864806903</v>
      </c>
      <c r="AA46" s="1">
        <v>5.0013282790634701</v>
      </c>
      <c r="AB46" s="1">
        <v>0.12</v>
      </c>
      <c r="AC46" s="1">
        <v>0</v>
      </c>
      <c r="AD46" s="1" t="s">
        <v>27</v>
      </c>
      <c r="AE46" s="1" t="s">
        <v>28</v>
      </c>
      <c r="AF46" s="1">
        <v>1</v>
      </c>
      <c r="AG46" s="1" t="s">
        <v>26</v>
      </c>
      <c r="AH46" s="7">
        <v>45611</v>
      </c>
      <c r="AI46" s="8">
        <v>0.63020833333333337</v>
      </c>
    </row>
    <row r="47" spans="2:35">
      <c r="B47" s="123"/>
      <c r="C47" s="117"/>
      <c r="D47" s="9">
        <v>0.18448000000000001</v>
      </c>
      <c r="E47" s="9">
        <v>0.36168</v>
      </c>
      <c r="F47" s="1">
        <v>45</v>
      </c>
      <c r="G47" s="1">
        <v>220</v>
      </c>
      <c r="H47" s="1">
        <v>200</v>
      </c>
      <c r="J47" s="1">
        <f t="shared" si="1"/>
        <v>14</v>
      </c>
      <c r="K47" s="1">
        <f t="shared" si="2"/>
        <v>66</v>
      </c>
      <c r="L47" s="1">
        <f t="shared" si="3"/>
        <v>60</v>
      </c>
      <c r="M47" s="1" t="str">
        <f t="shared" si="4"/>
        <v>{14,66,60},</v>
      </c>
      <c r="O47" s="1">
        <v>44</v>
      </c>
      <c r="P47" s="1">
        <v>756.60545999999999</v>
      </c>
      <c r="Q47" s="1">
        <v>1349.3223</v>
      </c>
      <c r="R47" s="1">
        <v>1918.8449000000001</v>
      </c>
      <c r="S47" s="1">
        <v>0.18798712968796599</v>
      </c>
      <c r="T47" s="1">
        <v>0.335254289865903</v>
      </c>
      <c r="U47" s="1">
        <v>1349.3223</v>
      </c>
      <c r="V47" s="1">
        <v>0.113124685327983</v>
      </c>
      <c r="W47" s="1">
        <v>0.45392711854794499</v>
      </c>
      <c r="X47" s="1">
        <v>18368.570133077599</v>
      </c>
      <c r="Y47" s="1">
        <v>7.5177453925824103E-2</v>
      </c>
      <c r="Z47" s="1">
        <v>491.88604624164202</v>
      </c>
      <c r="AA47" s="1">
        <v>49.002227400208199</v>
      </c>
      <c r="AB47" s="1">
        <v>0.14000000000000001</v>
      </c>
      <c r="AC47" s="1">
        <v>0</v>
      </c>
      <c r="AD47" s="1" t="s">
        <v>27</v>
      </c>
      <c r="AE47" s="1" t="s">
        <v>28</v>
      </c>
      <c r="AF47" s="1">
        <v>1</v>
      </c>
      <c r="AG47" s="1" t="s">
        <v>26</v>
      </c>
      <c r="AH47" s="7">
        <v>45611</v>
      </c>
      <c r="AI47" s="8">
        <v>0.6302430555555556</v>
      </c>
    </row>
    <row r="48" spans="2:35">
      <c r="B48" s="123"/>
      <c r="C48" s="118"/>
      <c r="D48" s="9">
        <v>0.60940000000000005</v>
      </c>
      <c r="E48" s="9">
        <v>0.35704000000000002</v>
      </c>
      <c r="F48" s="1">
        <v>255</v>
      </c>
      <c r="G48" s="1">
        <v>80</v>
      </c>
      <c r="H48" s="1">
        <v>0</v>
      </c>
      <c r="J48" s="1">
        <f t="shared" si="1"/>
        <v>77</v>
      </c>
      <c r="K48" s="1">
        <f t="shared" si="2"/>
        <v>24</v>
      </c>
      <c r="L48" s="1">
        <f t="shared" si="3"/>
        <v>0</v>
      </c>
      <c r="M48" s="1" t="str">
        <f t="shared" si="4"/>
        <v>{77,24,0},</v>
      </c>
      <c r="O48" s="1">
        <v>45</v>
      </c>
      <c r="P48" s="1">
        <v>1779.0088000000001</v>
      </c>
      <c r="Q48" s="1">
        <v>1180.3308999999999</v>
      </c>
      <c r="R48" s="1">
        <v>77.078479999999999</v>
      </c>
      <c r="S48" s="1">
        <v>0.58589057716681203</v>
      </c>
      <c r="T48" s="1">
        <v>0.38872475068634998</v>
      </c>
      <c r="U48" s="1">
        <v>1180.3308999999999</v>
      </c>
      <c r="V48" s="1">
        <v>0.36094142622511399</v>
      </c>
      <c r="W48" s="1">
        <v>0.53882151484750196</v>
      </c>
      <c r="X48" s="1" t="s">
        <v>26</v>
      </c>
      <c r="Y48" s="1" t="s">
        <v>26</v>
      </c>
      <c r="Z48" s="1">
        <v>595.65314356569797</v>
      </c>
      <c r="AA48" s="1">
        <v>92.540325036732398</v>
      </c>
      <c r="AB48" s="1">
        <v>0.14000000000000001</v>
      </c>
      <c r="AC48" s="1">
        <v>0</v>
      </c>
      <c r="AD48" s="1" t="s">
        <v>27</v>
      </c>
      <c r="AE48" s="1" t="s">
        <v>28</v>
      </c>
      <c r="AF48" s="1">
        <v>1</v>
      </c>
      <c r="AG48" s="1" t="s">
        <v>26</v>
      </c>
      <c r="AH48" s="7">
        <v>45611</v>
      </c>
      <c r="AI48" s="8">
        <v>0.63027777777777783</v>
      </c>
    </row>
    <row r="49" spans="2:35">
      <c r="B49" s="123"/>
      <c r="C49" s="118"/>
      <c r="D49" s="9">
        <v>0.60940000000000005</v>
      </c>
      <c r="E49" s="9">
        <v>0.35704000000000002</v>
      </c>
      <c r="F49" s="1">
        <v>255</v>
      </c>
      <c r="G49" s="1">
        <v>80</v>
      </c>
      <c r="H49" s="1">
        <v>0</v>
      </c>
      <c r="J49" s="1">
        <f t="shared" si="1"/>
        <v>77</v>
      </c>
      <c r="K49" s="1">
        <f t="shared" si="2"/>
        <v>24</v>
      </c>
      <c r="L49" s="1">
        <f t="shared" si="3"/>
        <v>0</v>
      </c>
      <c r="M49" s="1" t="str">
        <f t="shared" si="4"/>
        <v>{77,24,0},</v>
      </c>
      <c r="O49" s="1">
        <v>46</v>
      </c>
      <c r="P49" s="1">
        <v>1781.1302000000001</v>
      </c>
      <c r="Q49" s="1">
        <v>1181.2800999999999</v>
      </c>
      <c r="R49" s="1">
        <v>77.072783999999999</v>
      </c>
      <c r="S49" s="1">
        <v>0.58599773408049705</v>
      </c>
      <c r="T49" s="1">
        <v>0.38864506475404398</v>
      </c>
      <c r="U49" s="1">
        <v>1181.2800999999999</v>
      </c>
      <c r="V49" s="1">
        <v>0.36107253516445598</v>
      </c>
      <c r="W49" s="1">
        <v>0.538808196618207</v>
      </c>
      <c r="X49" s="1" t="s">
        <v>26</v>
      </c>
      <c r="Y49" s="1" t="s">
        <v>26</v>
      </c>
      <c r="Z49" s="1">
        <v>595.67102837919299</v>
      </c>
      <c r="AA49" s="1">
        <v>92.548506062253097</v>
      </c>
      <c r="AB49" s="1">
        <v>0.12</v>
      </c>
      <c r="AC49" s="1">
        <v>0</v>
      </c>
      <c r="AD49" s="1" t="s">
        <v>27</v>
      </c>
      <c r="AE49" s="1" t="s">
        <v>28</v>
      </c>
      <c r="AF49" s="1">
        <v>1</v>
      </c>
      <c r="AG49" s="1" t="s">
        <v>26</v>
      </c>
      <c r="AH49" s="7">
        <v>45611</v>
      </c>
      <c r="AI49" s="8">
        <v>0.63031250000000005</v>
      </c>
    </row>
    <row r="50" spans="2:35">
      <c r="B50" s="123"/>
      <c r="C50" s="119"/>
      <c r="D50" s="9">
        <v>0.16633999999999999</v>
      </c>
      <c r="E50" s="9">
        <v>0.23696</v>
      </c>
      <c r="F50" s="1">
        <v>0</v>
      </c>
      <c r="G50" s="1">
        <v>180</v>
      </c>
      <c r="H50" s="1">
        <v>240</v>
      </c>
      <c r="J50" s="1">
        <f t="shared" si="1"/>
        <v>0</v>
      </c>
      <c r="K50" s="1">
        <f t="shared" si="2"/>
        <v>54</v>
      </c>
      <c r="L50" s="1">
        <f t="shared" si="3"/>
        <v>72</v>
      </c>
      <c r="M50" s="1" t="str">
        <f t="shared" si="4"/>
        <v>{0,54,72},</v>
      </c>
      <c r="O50" s="1">
        <v>47</v>
      </c>
      <c r="P50" s="1">
        <v>477.58330999999998</v>
      </c>
      <c r="Q50" s="1">
        <v>1027.2236</v>
      </c>
      <c r="R50" s="1">
        <v>2224.5315999999998</v>
      </c>
      <c r="S50" s="1">
        <v>0.12806113167774599</v>
      </c>
      <c r="T50" s="1">
        <v>0.27544391511941402</v>
      </c>
      <c r="U50" s="1">
        <v>1027.2236</v>
      </c>
      <c r="V50" s="1">
        <v>8.4679648083357303E-2</v>
      </c>
      <c r="W50" s="1">
        <v>0.40980514821501801</v>
      </c>
      <c r="X50" s="1" t="s">
        <v>26</v>
      </c>
      <c r="Y50" s="1" t="s">
        <v>26</v>
      </c>
      <c r="Z50" s="1">
        <v>488.03059520060799</v>
      </c>
      <c r="AA50" s="1">
        <v>73.624707108862694</v>
      </c>
      <c r="AB50" s="1">
        <v>0.12</v>
      </c>
      <c r="AC50" s="1">
        <v>0</v>
      </c>
      <c r="AD50" s="1" t="s">
        <v>27</v>
      </c>
      <c r="AE50" s="1" t="s">
        <v>28</v>
      </c>
      <c r="AF50" s="1">
        <v>1</v>
      </c>
      <c r="AG50" s="1" t="s">
        <v>26</v>
      </c>
      <c r="AH50" s="7">
        <v>45611</v>
      </c>
      <c r="AI50" s="8">
        <v>0.63034722222222217</v>
      </c>
    </row>
    <row r="51" spans="2:35">
      <c r="B51" s="123"/>
      <c r="C51" s="120"/>
      <c r="D51" s="9">
        <v>0.22803000000000001</v>
      </c>
      <c r="E51" s="9">
        <v>0.10299</v>
      </c>
      <c r="F51" s="1">
        <v>90</v>
      </c>
      <c r="G51" s="1">
        <v>0</v>
      </c>
      <c r="H51" s="1">
        <v>165</v>
      </c>
      <c r="J51" s="1">
        <f t="shared" si="1"/>
        <v>27</v>
      </c>
      <c r="K51" s="1">
        <f t="shared" si="2"/>
        <v>0</v>
      </c>
      <c r="L51" s="1">
        <f t="shared" si="3"/>
        <v>50</v>
      </c>
      <c r="M51" s="1" t="str">
        <f t="shared" si="4"/>
        <v>{27,0,50},</v>
      </c>
      <c r="O51" s="1">
        <v>48</v>
      </c>
      <c r="P51" s="1">
        <v>833.50331000000006</v>
      </c>
      <c r="Q51" s="1">
        <v>354.99275</v>
      </c>
      <c r="R51" s="1">
        <v>1409.2688000000001</v>
      </c>
      <c r="S51" s="1">
        <v>0.32085402448626499</v>
      </c>
      <c r="T51" s="1">
        <v>0.13665314958490901</v>
      </c>
      <c r="U51" s="1">
        <v>354.99275</v>
      </c>
      <c r="V51" s="1">
        <v>0.32100411428973502</v>
      </c>
      <c r="W51" s="1">
        <v>0.307613415367615</v>
      </c>
      <c r="X51" s="1" t="s">
        <v>26</v>
      </c>
      <c r="Y51" s="1" t="s">
        <v>26</v>
      </c>
      <c r="Z51" s="1">
        <v>-557.188621915922</v>
      </c>
      <c r="AA51" s="1">
        <v>74.9509043929732</v>
      </c>
      <c r="AB51" s="1">
        <v>0.13</v>
      </c>
      <c r="AC51" s="1">
        <v>0</v>
      </c>
      <c r="AD51" s="1" t="s">
        <v>27</v>
      </c>
      <c r="AE51" s="1" t="s">
        <v>28</v>
      </c>
      <c r="AF51" s="1">
        <v>1</v>
      </c>
      <c r="AG51" s="1" t="s">
        <v>26</v>
      </c>
      <c r="AH51" s="7">
        <v>45611</v>
      </c>
      <c r="AI51" s="8">
        <v>0.6303819444444444</v>
      </c>
    </row>
    <row r="52" spans="2:35">
      <c r="B52" s="123"/>
      <c r="C52" s="121"/>
      <c r="D52" s="9">
        <v>0.25833</v>
      </c>
      <c r="E52" s="9">
        <v>0.30124000000000001</v>
      </c>
      <c r="F52" s="1">
        <v>183</v>
      </c>
      <c r="G52" s="1">
        <v>228</v>
      </c>
      <c r="H52" s="1">
        <v>252</v>
      </c>
      <c r="J52" s="1">
        <f t="shared" si="1"/>
        <v>55</v>
      </c>
      <c r="K52" s="1">
        <f t="shared" si="2"/>
        <v>68</v>
      </c>
      <c r="L52" s="1">
        <f t="shared" si="3"/>
        <v>76</v>
      </c>
      <c r="M52" s="1" t="str">
        <f t="shared" si="4"/>
        <v>{55,68,76},</v>
      </c>
      <c r="O52" s="1">
        <v>49</v>
      </c>
      <c r="P52" s="1">
        <v>1758.6303</v>
      </c>
      <c r="Q52" s="1">
        <v>1829.3795</v>
      </c>
      <c r="R52" s="1">
        <v>2378.7064999999998</v>
      </c>
      <c r="S52" s="1">
        <v>0.29474005660366298</v>
      </c>
      <c r="T52" s="1">
        <v>0.30659736579062802</v>
      </c>
      <c r="U52" s="1">
        <v>1829.3795</v>
      </c>
      <c r="V52" s="1">
        <v>0.193599437758874</v>
      </c>
      <c r="W52" s="1">
        <v>0.45312274896953703</v>
      </c>
      <c r="X52" s="1">
        <v>7992.01044072898</v>
      </c>
      <c r="Y52" s="1">
        <v>1.2088028910424999E-3</v>
      </c>
      <c r="Z52" s="1">
        <v>482.16717464810802</v>
      </c>
      <c r="AA52" s="1">
        <v>15.3498332246076</v>
      </c>
      <c r="AB52" s="1">
        <v>0.14000000000000001</v>
      </c>
      <c r="AC52" s="1">
        <v>0</v>
      </c>
      <c r="AD52" s="1" t="s">
        <v>27</v>
      </c>
      <c r="AE52" s="1" t="s">
        <v>28</v>
      </c>
      <c r="AF52" s="1">
        <v>1</v>
      </c>
      <c r="AG52" s="1" t="s">
        <v>26</v>
      </c>
      <c r="AH52" s="7">
        <v>45611</v>
      </c>
      <c r="AI52" s="8">
        <v>0.63041666666666663</v>
      </c>
    </row>
    <row r="53" spans="2:35">
      <c r="B53" s="123"/>
      <c r="C53" s="122"/>
      <c r="D53" s="9">
        <v>0.35955999999999999</v>
      </c>
      <c r="E53" s="9">
        <v>0.57782999999999995</v>
      </c>
      <c r="F53" s="1">
        <v>175</v>
      </c>
      <c r="G53" s="1">
        <v>235</v>
      </c>
      <c r="H53" s="1">
        <v>0</v>
      </c>
      <c r="J53" s="1">
        <f t="shared" si="1"/>
        <v>53</v>
      </c>
      <c r="K53" s="1">
        <f t="shared" si="2"/>
        <v>71</v>
      </c>
      <c r="L53" s="1">
        <f t="shared" si="3"/>
        <v>0</v>
      </c>
      <c r="M53" s="1" t="str">
        <f t="shared" si="4"/>
        <v>{53,71,0},</v>
      </c>
      <c r="O53" s="1">
        <v>50</v>
      </c>
      <c r="P53" s="1">
        <v>1364.8597</v>
      </c>
      <c r="Q53" s="1">
        <v>1733.4916000000001</v>
      </c>
      <c r="R53" s="1">
        <v>233.42456999999999</v>
      </c>
      <c r="S53" s="1">
        <v>0.40964931413588701</v>
      </c>
      <c r="T53" s="1">
        <v>0.52029058005033202</v>
      </c>
      <c r="U53" s="1">
        <v>1733.4916000000001</v>
      </c>
      <c r="V53" s="1">
        <v>0.19451099523197701</v>
      </c>
      <c r="W53" s="1">
        <v>0.55585357730916496</v>
      </c>
      <c r="X53" s="1">
        <v>4152.9937429976699</v>
      </c>
      <c r="Y53" s="1">
        <v>4.7220568619266198E-2</v>
      </c>
      <c r="Z53" s="1">
        <v>567.93869100327595</v>
      </c>
      <c r="AA53" s="1">
        <v>79.307368210570104</v>
      </c>
      <c r="AB53" s="1">
        <v>0.15</v>
      </c>
      <c r="AC53" s="1">
        <v>0</v>
      </c>
      <c r="AD53" s="1" t="s">
        <v>27</v>
      </c>
      <c r="AE53" s="1" t="s">
        <v>28</v>
      </c>
      <c r="AF53" s="1">
        <v>1</v>
      </c>
      <c r="AG53" s="1" t="s">
        <v>26</v>
      </c>
      <c r="AH53" s="7">
        <v>45611</v>
      </c>
      <c r="AI53" s="8">
        <v>0.63045138888888885</v>
      </c>
    </row>
    <row r="54" spans="2:35">
      <c r="B54" s="123"/>
      <c r="C54" s="120"/>
      <c r="D54" s="9">
        <v>0.22803000000000001</v>
      </c>
      <c r="E54" s="9">
        <v>0.10299</v>
      </c>
      <c r="F54" s="1">
        <v>90</v>
      </c>
      <c r="G54" s="1">
        <v>0</v>
      </c>
      <c r="H54" s="1">
        <v>165</v>
      </c>
      <c r="J54" s="1">
        <f t="shared" si="1"/>
        <v>27</v>
      </c>
      <c r="K54" s="1">
        <f t="shared" si="2"/>
        <v>0</v>
      </c>
      <c r="L54" s="1">
        <f t="shared" si="3"/>
        <v>50</v>
      </c>
      <c r="M54" s="1" t="str">
        <f t="shared" si="4"/>
        <v>{27,0,50},</v>
      </c>
      <c r="O54" s="1">
        <v>51</v>
      </c>
      <c r="P54" s="1">
        <v>829.57964000000004</v>
      </c>
      <c r="Q54" s="1">
        <v>353.30873000000003</v>
      </c>
      <c r="R54" s="1">
        <v>1404.4232</v>
      </c>
      <c r="S54" s="1">
        <v>0.32063383846731702</v>
      </c>
      <c r="T54" s="1">
        <v>0.136554381040394</v>
      </c>
      <c r="U54" s="1">
        <v>353.30873000000003</v>
      </c>
      <c r="V54" s="1">
        <v>0.320843598347758</v>
      </c>
      <c r="W54" s="1">
        <v>0.30744835973430101</v>
      </c>
      <c r="X54" s="1" t="s">
        <v>26</v>
      </c>
      <c r="Y54" s="1" t="s">
        <v>26</v>
      </c>
      <c r="Z54" s="1">
        <v>-557.23255278461102</v>
      </c>
      <c r="AA54" s="1">
        <v>74.949480545156504</v>
      </c>
      <c r="AB54" s="1">
        <v>0.16</v>
      </c>
      <c r="AC54" s="1">
        <v>0</v>
      </c>
      <c r="AD54" s="1" t="s">
        <v>27</v>
      </c>
      <c r="AE54" s="1" t="s">
        <v>28</v>
      </c>
      <c r="AF54" s="1">
        <v>1</v>
      </c>
      <c r="AG54" s="1" t="s">
        <v>26</v>
      </c>
      <c r="AH54" s="7">
        <v>45611</v>
      </c>
      <c r="AI54" s="8">
        <v>0.63048611111111108</v>
      </c>
    </row>
  </sheetData>
  <mergeCells count="9">
    <mergeCell ref="B34:B45"/>
    <mergeCell ref="B46:B54"/>
    <mergeCell ref="D2:E2"/>
    <mergeCell ref="F2:H2"/>
    <mergeCell ref="O2:AI2"/>
    <mergeCell ref="B4:B13"/>
    <mergeCell ref="B14:B23"/>
    <mergeCell ref="B24:B33"/>
    <mergeCell ref="J2:M2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4588-6DA4-4EA1-9C3D-908CC62CDC63}">
  <dimension ref="B2:AH67"/>
  <sheetViews>
    <sheetView zoomScale="70" zoomScaleNormal="70" workbookViewId="0"/>
  </sheetViews>
  <sheetFormatPr defaultRowHeight="16.899999999999999"/>
  <cols>
    <col min="1" max="1" width="2.5625" style="1" customWidth="1"/>
    <col min="2" max="2" width="5.5" style="1" bestFit="1" customWidth="1"/>
    <col min="3" max="4" width="6.0625" style="1" bestFit="1" customWidth="1"/>
    <col min="5" max="7" width="3.875" style="1" bestFit="1" customWidth="1"/>
    <col min="8" max="8" width="2.5625" style="1" customWidth="1"/>
    <col min="9" max="11" width="4.4375" style="1" bestFit="1" customWidth="1"/>
    <col min="12" max="12" width="12.3125" style="1" bestFit="1" customWidth="1"/>
    <col min="13" max="13" width="2.5625" style="1" customWidth="1"/>
    <col min="14" max="14" width="4.25" style="1" bestFit="1" customWidth="1"/>
    <col min="15" max="17" width="10.875" style="1" bestFit="1" customWidth="1"/>
    <col min="18" max="19" width="13.1875" style="1" bestFit="1" customWidth="1"/>
    <col min="20" max="20" width="10.875" style="1" bestFit="1" customWidth="1"/>
    <col min="21" max="24" width="13.1875" style="1" bestFit="1" customWidth="1"/>
    <col min="25" max="25" width="14.0625" style="1" bestFit="1" customWidth="1"/>
    <col min="26" max="26" width="13.1875" style="1" bestFit="1" customWidth="1"/>
    <col min="27" max="27" width="5.5" style="1" bestFit="1" customWidth="1"/>
    <col min="28" max="28" width="7.9375" style="1" bestFit="1" customWidth="1"/>
    <col min="29" max="29" width="10.6875" style="1" bestFit="1" customWidth="1"/>
    <col min="30" max="30" width="11.6875" style="1" bestFit="1" customWidth="1"/>
    <col min="31" max="31" width="15.625" style="1" bestFit="1" customWidth="1"/>
    <col min="32" max="32" width="15.5" style="1" bestFit="1" customWidth="1"/>
    <col min="33" max="33" width="11.5" style="1" bestFit="1" customWidth="1"/>
    <col min="34" max="34" width="7.5" style="1" bestFit="1" customWidth="1"/>
    <col min="35" max="16384" width="9" style="1"/>
  </cols>
  <sheetData>
    <row r="2" spans="2:34">
      <c r="B2" s="5"/>
      <c r="C2" s="123" t="s">
        <v>29</v>
      </c>
      <c r="D2" s="123"/>
      <c r="E2" s="123" t="s">
        <v>39</v>
      </c>
      <c r="F2" s="123"/>
      <c r="G2" s="123"/>
      <c r="I2" s="123" t="s">
        <v>30</v>
      </c>
      <c r="J2" s="123"/>
      <c r="K2" s="123"/>
      <c r="L2" s="123"/>
      <c r="N2" s="123" t="s">
        <v>31</v>
      </c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</row>
    <row r="3" spans="2:34">
      <c r="B3" s="5" t="s">
        <v>32</v>
      </c>
      <c r="C3" s="5" t="s">
        <v>0</v>
      </c>
      <c r="D3" s="5" t="s">
        <v>1</v>
      </c>
      <c r="E3" s="2" t="s">
        <v>2</v>
      </c>
      <c r="F3" s="3" t="s">
        <v>3</v>
      </c>
      <c r="G3" s="4" t="s">
        <v>4</v>
      </c>
      <c r="H3" s="74"/>
      <c r="I3" s="2" t="s">
        <v>2</v>
      </c>
      <c r="J3" s="3" t="s">
        <v>3</v>
      </c>
      <c r="K3" s="4" t="s">
        <v>4</v>
      </c>
      <c r="L3" s="75" t="s">
        <v>38</v>
      </c>
      <c r="M3" s="74"/>
      <c r="N3" s="5" t="s">
        <v>5</v>
      </c>
      <c r="O3" s="5" t="s">
        <v>6</v>
      </c>
      <c r="P3" s="5" t="s">
        <v>7</v>
      </c>
      <c r="Q3" s="5" t="s">
        <v>8</v>
      </c>
      <c r="R3" s="5" t="s">
        <v>9</v>
      </c>
      <c r="S3" s="5" t="s">
        <v>10</v>
      </c>
      <c r="T3" s="5" t="s">
        <v>11</v>
      </c>
      <c r="U3" s="5" t="s">
        <v>12</v>
      </c>
      <c r="V3" s="5" t="s">
        <v>13</v>
      </c>
      <c r="W3" s="5" t="s">
        <v>14</v>
      </c>
      <c r="X3" s="5" t="s">
        <v>15</v>
      </c>
      <c r="Y3" s="5" t="s">
        <v>16</v>
      </c>
      <c r="Z3" s="5" t="s">
        <v>17</v>
      </c>
      <c r="AA3" s="5" t="s">
        <v>18</v>
      </c>
      <c r="AB3" s="5" t="s">
        <v>19</v>
      </c>
      <c r="AC3" s="5" t="s">
        <v>20</v>
      </c>
      <c r="AD3" s="5" t="s">
        <v>21</v>
      </c>
      <c r="AE3" s="5" t="s">
        <v>22</v>
      </c>
      <c r="AF3" s="5" t="s">
        <v>23</v>
      </c>
      <c r="AG3" s="5" t="s">
        <v>24</v>
      </c>
      <c r="AH3" s="5" t="s">
        <v>25</v>
      </c>
    </row>
    <row r="4" spans="2:34">
      <c r="B4" s="10"/>
      <c r="C4" s="6">
        <v>0.18110999999999999</v>
      </c>
      <c r="D4" s="6">
        <v>7.7410000000000007E-2</v>
      </c>
      <c r="E4" s="76">
        <v>70</v>
      </c>
      <c r="F4" s="76">
        <v>1</v>
      </c>
      <c r="G4" s="76">
        <v>185</v>
      </c>
      <c r="H4" s="76"/>
      <c r="I4" s="1">
        <v>19</v>
      </c>
      <c r="J4" s="1">
        <v>0</v>
      </c>
      <c r="K4" s="1">
        <v>131</v>
      </c>
      <c r="L4" s="1" t="str">
        <f>_xlfn.CONCAT("{", I4, ",", J4, ",", K4, "}", ",")</f>
        <v>{19,0,131},</v>
      </c>
      <c r="N4" s="1">
        <v>1</v>
      </c>
      <c r="O4" s="1">
        <v>1011.4116</v>
      </c>
      <c r="P4" s="1">
        <v>396.11619000000002</v>
      </c>
      <c r="Q4" s="1">
        <v>3691.5266000000001</v>
      </c>
      <c r="R4" s="1">
        <v>0.198352777327406</v>
      </c>
      <c r="S4" s="1">
        <v>7.7684244901729704E-2</v>
      </c>
      <c r="T4" s="1">
        <v>396.11619000000002</v>
      </c>
      <c r="U4" s="1">
        <v>0.224412360638165</v>
      </c>
      <c r="V4" s="1">
        <v>0.19775339821198001</v>
      </c>
      <c r="W4" s="1" t="s">
        <v>26</v>
      </c>
      <c r="X4" s="1" t="s">
        <v>26</v>
      </c>
      <c r="Y4" s="1">
        <v>441.52846520892803</v>
      </c>
      <c r="Z4" s="1">
        <v>79.478936204226699</v>
      </c>
      <c r="AA4" s="1">
        <v>0.31</v>
      </c>
      <c r="AB4" s="1">
        <v>0</v>
      </c>
      <c r="AC4" s="1" t="s">
        <v>27</v>
      </c>
      <c r="AD4" s="1" t="s">
        <v>28</v>
      </c>
      <c r="AE4" s="1">
        <v>1</v>
      </c>
      <c r="AF4" s="1" t="s">
        <v>26</v>
      </c>
      <c r="AG4" s="7">
        <v>45611</v>
      </c>
      <c r="AH4" s="8">
        <v>0.39222222222222225</v>
      </c>
    </row>
    <row r="5" spans="2:34">
      <c r="B5" s="11"/>
      <c r="C5" s="9">
        <v>0.19464999999999999</v>
      </c>
      <c r="D5" s="9">
        <v>8.4599999999999995E-2</v>
      </c>
      <c r="E5" s="77">
        <v>80</v>
      </c>
      <c r="F5" s="77">
        <v>0</v>
      </c>
      <c r="G5" s="77">
        <v>175</v>
      </c>
      <c r="H5" s="77"/>
      <c r="I5" s="1">
        <v>26</v>
      </c>
      <c r="J5" s="1">
        <v>0</v>
      </c>
      <c r="K5" s="1">
        <v>119</v>
      </c>
      <c r="L5" s="1" t="str">
        <f t="shared" ref="L5:L67" si="0">_xlfn.CONCAT("{", I5, ",", J5, ",", K5, "}", ",")</f>
        <v>{26,0,119},</v>
      </c>
      <c r="N5" s="1">
        <v>2</v>
      </c>
      <c r="O5" s="1">
        <v>1103.3995</v>
      </c>
      <c r="P5" s="1">
        <v>444.04786000000001</v>
      </c>
      <c r="Q5" s="1">
        <v>3338.7226000000001</v>
      </c>
      <c r="R5" s="1">
        <v>0.22582094135751299</v>
      </c>
      <c r="S5" s="1">
        <v>9.0878512952914103E-2</v>
      </c>
      <c r="T5" s="1">
        <v>444.04786000000001</v>
      </c>
      <c r="U5" s="1">
        <v>0.24822987653763801</v>
      </c>
      <c r="V5" s="1">
        <v>0.22476752735102401</v>
      </c>
      <c r="W5" s="1" t="s">
        <v>26</v>
      </c>
      <c r="X5" s="1" t="s">
        <v>26</v>
      </c>
      <c r="Y5" s="1">
        <v>-568.75591699186396</v>
      </c>
      <c r="Z5" s="1">
        <v>75.5716064180465</v>
      </c>
      <c r="AA5" s="1">
        <v>0.35</v>
      </c>
      <c r="AB5" s="1">
        <v>0</v>
      </c>
      <c r="AC5" s="1" t="s">
        <v>27</v>
      </c>
      <c r="AD5" s="1" t="s">
        <v>28</v>
      </c>
      <c r="AE5" s="1">
        <v>1</v>
      </c>
      <c r="AF5" s="1" t="s">
        <v>26</v>
      </c>
      <c r="AG5" s="7">
        <v>45611</v>
      </c>
      <c r="AH5" s="8">
        <v>0.39225694444444442</v>
      </c>
    </row>
    <row r="6" spans="2:34">
      <c r="B6" s="12"/>
      <c r="C6" s="9">
        <v>0.21226999999999999</v>
      </c>
      <c r="D6" s="9">
        <v>9.4310000000000005E-2</v>
      </c>
      <c r="E6" s="77">
        <v>90</v>
      </c>
      <c r="F6" s="77">
        <v>0</v>
      </c>
      <c r="G6" s="77">
        <v>165</v>
      </c>
      <c r="H6" s="77"/>
      <c r="I6" s="1">
        <v>32</v>
      </c>
      <c r="J6" s="1">
        <v>0</v>
      </c>
      <c r="K6" s="1">
        <v>110</v>
      </c>
      <c r="L6" s="1" t="str">
        <f t="shared" si="0"/>
        <v>{32,0,110},</v>
      </c>
      <c r="N6" s="1">
        <v>3</v>
      </c>
      <c r="O6" s="1">
        <v>1189.7141999999999</v>
      </c>
      <c r="P6" s="1">
        <v>487.52744999999999</v>
      </c>
      <c r="Q6" s="1">
        <v>3086.0272</v>
      </c>
      <c r="R6" s="1">
        <v>0.24976843370913199</v>
      </c>
      <c r="S6" s="1">
        <v>0.102351445058576</v>
      </c>
      <c r="T6" s="1">
        <v>487.52744999999999</v>
      </c>
      <c r="U6" s="1">
        <v>0.26794297392729699</v>
      </c>
      <c r="V6" s="1">
        <v>0.24704798711693199</v>
      </c>
      <c r="W6" s="1" t="s">
        <v>26</v>
      </c>
      <c r="X6" s="1" t="s">
        <v>26</v>
      </c>
      <c r="Y6" s="1">
        <v>-566.79672464348096</v>
      </c>
      <c r="Z6" s="1">
        <v>75.439489095194006</v>
      </c>
      <c r="AA6" s="1">
        <v>0.36</v>
      </c>
      <c r="AB6" s="1">
        <v>0</v>
      </c>
      <c r="AC6" s="1" t="s">
        <v>27</v>
      </c>
      <c r="AD6" s="1" t="s">
        <v>28</v>
      </c>
      <c r="AE6" s="1">
        <v>1</v>
      </c>
      <c r="AF6" s="1" t="s">
        <v>26</v>
      </c>
      <c r="AG6" s="7">
        <v>45611</v>
      </c>
      <c r="AH6" s="8">
        <v>0.39229166666666665</v>
      </c>
    </row>
    <row r="7" spans="2:34">
      <c r="B7" s="13"/>
      <c r="C7" s="9">
        <v>0.23594999999999999</v>
      </c>
      <c r="D7" s="9">
        <v>0.10736</v>
      </c>
      <c r="E7" s="77">
        <v>101</v>
      </c>
      <c r="F7" s="77">
        <v>0</v>
      </c>
      <c r="G7" s="77">
        <v>155</v>
      </c>
      <c r="H7" s="77"/>
      <c r="I7" s="1">
        <v>39</v>
      </c>
      <c r="J7" s="1">
        <v>0</v>
      </c>
      <c r="K7" s="1">
        <v>99</v>
      </c>
      <c r="L7" s="1" t="str">
        <f t="shared" si="0"/>
        <v>{39,0,99},</v>
      </c>
      <c r="N7" s="1">
        <v>4</v>
      </c>
      <c r="O7" s="1">
        <v>1292.6047000000001</v>
      </c>
      <c r="P7" s="1">
        <v>539.38043000000005</v>
      </c>
      <c r="Q7" s="1">
        <v>2780.317</v>
      </c>
      <c r="R7" s="1">
        <v>0.280251523765638</v>
      </c>
      <c r="S7" s="1">
        <v>0.116943863345743</v>
      </c>
      <c r="T7" s="1">
        <v>539.38043000000005</v>
      </c>
      <c r="U7" s="1">
        <v>0.29171419132953902</v>
      </c>
      <c r="V7" s="1">
        <v>0.27388580855536498</v>
      </c>
      <c r="W7" s="1" t="s">
        <v>26</v>
      </c>
      <c r="X7" s="1" t="s">
        <v>26</v>
      </c>
      <c r="Y7" s="1">
        <v>-563.57499743355197</v>
      </c>
      <c r="Z7" s="1">
        <v>75.2758833015357</v>
      </c>
      <c r="AA7" s="1">
        <v>0.38</v>
      </c>
      <c r="AB7" s="1">
        <v>0</v>
      </c>
      <c r="AC7" s="1" t="s">
        <v>27</v>
      </c>
      <c r="AD7" s="1" t="s">
        <v>28</v>
      </c>
      <c r="AE7" s="1">
        <v>1</v>
      </c>
      <c r="AF7" s="1" t="s">
        <v>26</v>
      </c>
      <c r="AG7" s="7">
        <v>45611</v>
      </c>
      <c r="AH7" s="8">
        <v>0.39232638888888888</v>
      </c>
    </row>
    <row r="8" spans="2:34">
      <c r="B8" s="14"/>
      <c r="C8" s="9">
        <v>0.26329999999999998</v>
      </c>
      <c r="D8" s="9">
        <v>0.12243</v>
      </c>
      <c r="E8" s="77">
        <v>111</v>
      </c>
      <c r="F8" s="77">
        <v>0</v>
      </c>
      <c r="G8" s="77">
        <v>145</v>
      </c>
      <c r="H8" s="77"/>
      <c r="I8" s="1">
        <v>46</v>
      </c>
      <c r="J8" s="1">
        <v>0</v>
      </c>
      <c r="K8" s="1">
        <v>87</v>
      </c>
      <c r="L8" s="1" t="str">
        <f t="shared" si="0"/>
        <v>{46,0,87},</v>
      </c>
      <c r="N8" s="1">
        <v>5</v>
      </c>
      <c r="O8" s="1">
        <v>1385.7909999999999</v>
      </c>
      <c r="P8" s="1">
        <v>587.41660999999999</v>
      </c>
      <c r="Q8" s="1">
        <v>2438.5435000000002</v>
      </c>
      <c r="R8" s="1">
        <v>0.31411359468100197</v>
      </c>
      <c r="S8" s="1">
        <v>0.13314817526050299</v>
      </c>
      <c r="T8" s="1">
        <v>587.41660999999999</v>
      </c>
      <c r="U8" s="1">
        <v>0.31652305412367199</v>
      </c>
      <c r="V8" s="1">
        <v>0.30188139751260601</v>
      </c>
      <c r="W8" s="1" t="s">
        <v>26</v>
      </c>
      <c r="X8" s="1" t="s">
        <v>26</v>
      </c>
      <c r="Y8" s="1">
        <v>-558.48128980460103</v>
      </c>
      <c r="Z8" s="1">
        <v>75.096357833085406</v>
      </c>
      <c r="AA8" s="1">
        <v>0.43</v>
      </c>
      <c r="AB8" s="1">
        <v>0</v>
      </c>
      <c r="AC8" s="1" t="s">
        <v>27</v>
      </c>
      <c r="AD8" s="1" t="s">
        <v>28</v>
      </c>
      <c r="AE8" s="1">
        <v>1</v>
      </c>
      <c r="AF8" s="1" t="s">
        <v>26</v>
      </c>
      <c r="AG8" s="7">
        <v>45611</v>
      </c>
      <c r="AH8" s="8">
        <v>0.3923611111111111</v>
      </c>
    </row>
    <row r="9" spans="2:34">
      <c r="B9" s="15"/>
      <c r="C9" s="9">
        <v>0.29560999999999998</v>
      </c>
      <c r="D9" s="9">
        <v>0.14022999999999999</v>
      </c>
      <c r="E9" s="77">
        <v>121</v>
      </c>
      <c r="F9" s="77">
        <v>0</v>
      </c>
      <c r="G9" s="77">
        <v>135</v>
      </c>
      <c r="H9" s="77"/>
      <c r="I9" s="1">
        <v>52</v>
      </c>
      <c r="J9" s="1">
        <v>0</v>
      </c>
      <c r="K9" s="1">
        <v>75</v>
      </c>
      <c r="L9" s="1" t="str">
        <f t="shared" si="0"/>
        <v>{52,0,75},</v>
      </c>
      <c r="N9" s="1">
        <v>6</v>
      </c>
      <c r="O9" s="1">
        <v>1458.0940000000001</v>
      </c>
      <c r="P9" s="1">
        <v>625.97550999999999</v>
      </c>
      <c r="Q9" s="1">
        <v>2096.3431999999998</v>
      </c>
      <c r="R9" s="1">
        <v>0.34879187801531703</v>
      </c>
      <c r="S9" s="1">
        <v>0.149740122189993</v>
      </c>
      <c r="T9" s="1">
        <v>625.97550999999999</v>
      </c>
      <c r="U9" s="1">
        <v>0.34034305646379298</v>
      </c>
      <c r="V9" s="1">
        <v>0.32875414155464799</v>
      </c>
      <c r="W9" s="1" t="s">
        <v>26</v>
      </c>
      <c r="X9" s="1" t="s">
        <v>26</v>
      </c>
      <c r="Y9" s="1">
        <v>-550.22432969569695</v>
      </c>
      <c r="Z9" s="1">
        <v>74.913665102777898</v>
      </c>
      <c r="AA9" s="1">
        <v>0.46</v>
      </c>
      <c r="AB9" s="1">
        <v>0</v>
      </c>
      <c r="AC9" s="1" t="s">
        <v>27</v>
      </c>
      <c r="AD9" s="1" t="s">
        <v>28</v>
      </c>
      <c r="AE9" s="1">
        <v>1</v>
      </c>
      <c r="AF9" s="1" t="s">
        <v>26</v>
      </c>
      <c r="AG9" s="7">
        <v>45611</v>
      </c>
      <c r="AH9" s="8">
        <v>0.39239583333333333</v>
      </c>
    </row>
    <row r="10" spans="2:34">
      <c r="B10" s="16"/>
      <c r="C10" s="9">
        <v>0.63202999999999998</v>
      </c>
      <c r="D10" s="9">
        <v>0.33633000000000002</v>
      </c>
      <c r="E10" s="77">
        <v>131</v>
      </c>
      <c r="F10" s="77">
        <v>0</v>
      </c>
      <c r="G10" s="77">
        <v>125</v>
      </c>
      <c r="H10" s="77"/>
      <c r="I10" s="1">
        <v>59</v>
      </c>
      <c r="J10" s="1">
        <v>0</v>
      </c>
      <c r="K10" s="1">
        <v>63</v>
      </c>
      <c r="L10" s="1" t="str">
        <f t="shared" si="0"/>
        <v>{59,0,63},</v>
      </c>
      <c r="N10" s="1">
        <v>7</v>
      </c>
      <c r="O10" s="1">
        <v>1549.5326</v>
      </c>
      <c r="P10" s="1">
        <v>673.19327999999996</v>
      </c>
      <c r="Q10" s="1">
        <v>1752.9906000000001</v>
      </c>
      <c r="R10" s="1">
        <v>0.38974927105466001</v>
      </c>
      <c r="S10" s="1">
        <v>0.169326279523836</v>
      </c>
      <c r="T10" s="1">
        <v>673.19327999999996</v>
      </c>
      <c r="U10" s="1">
        <v>0.36661436380236401</v>
      </c>
      <c r="V10" s="1">
        <v>0.35836950680628499</v>
      </c>
      <c r="W10" s="1" t="s">
        <v>26</v>
      </c>
      <c r="X10" s="1" t="s">
        <v>26</v>
      </c>
      <c r="Y10" s="1">
        <v>-532.62979758362906</v>
      </c>
      <c r="Z10" s="1">
        <v>74.701839650902699</v>
      </c>
      <c r="AA10" s="1">
        <v>0.47</v>
      </c>
      <c r="AB10" s="1">
        <v>0</v>
      </c>
      <c r="AC10" s="1" t="s">
        <v>27</v>
      </c>
      <c r="AD10" s="1" t="s">
        <v>28</v>
      </c>
      <c r="AE10" s="1">
        <v>1</v>
      </c>
      <c r="AF10" s="1" t="s">
        <v>26</v>
      </c>
      <c r="AG10" s="7">
        <v>45611</v>
      </c>
      <c r="AH10" s="8">
        <v>0.39243055555555556</v>
      </c>
    </row>
    <row r="11" spans="2:34">
      <c r="B11" s="17"/>
      <c r="C11" s="9">
        <v>0.38002999999999998</v>
      </c>
      <c r="D11" s="9">
        <v>0.18675</v>
      </c>
      <c r="E11" s="77">
        <v>145</v>
      </c>
      <c r="F11" s="77">
        <v>0</v>
      </c>
      <c r="G11" s="77">
        <v>115</v>
      </c>
      <c r="H11" s="77"/>
      <c r="I11" s="1">
        <v>66</v>
      </c>
      <c r="J11" s="1">
        <v>0</v>
      </c>
      <c r="K11" s="1">
        <v>52</v>
      </c>
      <c r="L11" s="1" t="str">
        <f t="shared" si="0"/>
        <v>{66,0,52},</v>
      </c>
      <c r="N11" s="1">
        <v>8</v>
      </c>
      <c r="O11" s="1">
        <v>1648.9059</v>
      </c>
      <c r="P11" s="1">
        <v>723.45838000000003</v>
      </c>
      <c r="Q11" s="1">
        <v>1440.7575999999999</v>
      </c>
      <c r="R11" s="1">
        <v>0.43242937201891901</v>
      </c>
      <c r="S11" s="1">
        <v>0.18972862729475601</v>
      </c>
      <c r="T11" s="1">
        <v>723.45838000000003</v>
      </c>
      <c r="U11" s="1">
        <v>0.39205862640496503</v>
      </c>
      <c r="V11" s="1">
        <v>0.38703586549657698</v>
      </c>
      <c r="W11" s="1" t="s">
        <v>26</v>
      </c>
      <c r="X11" s="1" t="s">
        <v>26</v>
      </c>
      <c r="Y11" s="1">
        <v>-512.23099554265298</v>
      </c>
      <c r="Z11" s="1">
        <v>74.484097695447701</v>
      </c>
      <c r="AA11" s="1">
        <v>0.52</v>
      </c>
      <c r="AB11" s="1">
        <v>0</v>
      </c>
      <c r="AC11" s="1" t="s">
        <v>27</v>
      </c>
      <c r="AD11" s="1" t="s">
        <v>28</v>
      </c>
      <c r="AE11" s="1">
        <v>1</v>
      </c>
      <c r="AF11" s="1" t="s">
        <v>26</v>
      </c>
      <c r="AG11" s="7">
        <v>45611</v>
      </c>
      <c r="AH11" s="8">
        <v>0.39246527777777779</v>
      </c>
    </row>
    <row r="12" spans="2:34">
      <c r="B12" s="18"/>
      <c r="C12" s="9">
        <v>0.45021</v>
      </c>
      <c r="D12" s="9">
        <v>0.22542000000000001</v>
      </c>
      <c r="E12" s="77">
        <v>165</v>
      </c>
      <c r="F12" s="77">
        <v>0</v>
      </c>
      <c r="G12" s="77">
        <v>100</v>
      </c>
      <c r="H12" s="77"/>
      <c r="I12" s="1">
        <v>77</v>
      </c>
      <c r="J12" s="1">
        <v>0</v>
      </c>
      <c r="K12" s="1">
        <v>37</v>
      </c>
      <c r="L12" s="1" t="str">
        <f t="shared" si="0"/>
        <v>{77,0,37},</v>
      </c>
      <c r="N12" s="1">
        <v>9</v>
      </c>
      <c r="O12" s="1">
        <v>1814.4308000000001</v>
      </c>
      <c r="P12" s="1">
        <v>805.54134999999997</v>
      </c>
      <c r="Q12" s="1">
        <v>1017.1731</v>
      </c>
      <c r="R12" s="1">
        <v>0.49886124289372302</v>
      </c>
      <c r="S12" s="1">
        <v>0.22147626631078299</v>
      </c>
      <c r="T12" s="1">
        <v>805.54134999999997</v>
      </c>
      <c r="U12" s="1">
        <v>0.42820774532923001</v>
      </c>
      <c r="V12" s="1">
        <v>0.42774453113294197</v>
      </c>
      <c r="W12" s="1" t="s">
        <v>26</v>
      </c>
      <c r="X12" s="1" t="s">
        <v>26</v>
      </c>
      <c r="Y12" s="1">
        <v>-500.63560547805798</v>
      </c>
      <c r="Z12" s="1">
        <v>74.148618910893902</v>
      </c>
      <c r="AA12" s="1">
        <v>0.55000000000000004</v>
      </c>
      <c r="AB12" s="1">
        <v>0</v>
      </c>
      <c r="AC12" s="1" t="s">
        <v>27</v>
      </c>
      <c r="AD12" s="1" t="s">
        <v>28</v>
      </c>
      <c r="AE12" s="1">
        <v>1</v>
      </c>
      <c r="AF12" s="1" t="s">
        <v>26</v>
      </c>
      <c r="AG12" s="7">
        <v>45611</v>
      </c>
      <c r="AH12" s="8">
        <v>0.39250000000000002</v>
      </c>
    </row>
    <row r="13" spans="2:34">
      <c r="B13" s="19"/>
      <c r="C13" s="9">
        <v>0.51304000000000005</v>
      </c>
      <c r="D13" s="9">
        <v>0.26003999999999999</v>
      </c>
      <c r="E13" s="77">
        <v>195</v>
      </c>
      <c r="F13" s="77">
        <v>0</v>
      </c>
      <c r="G13" s="77">
        <v>90</v>
      </c>
      <c r="H13" s="77"/>
      <c r="I13" s="1">
        <v>92</v>
      </c>
      <c r="J13" s="1">
        <v>0</v>
      </c>
      <c r="K13" s="1">
        <v>28</v>
      </c>
      <c r="L13" s="1" t="str">
        <f t="shared" si="0"/>
        <v>{92,0,28},</v>
      </c>
      <c r="N13" s="1">
        <v>10</v>
      </c>
      <c r="O13" s="1">
        <v>2090.3789999999999</v>
      </c>
      <c r="P13" s="1">
        <v>934.76086999999995</v>
      </c>
      <c r="Q13" s="1">
        <v>757.43052999999998</v>
      </c>
      <c r="R13" s="1">
        <v>0.55263452598264895</v>
      </c>
      <c r="S13" s="1">
        <v>0.24712319167939301</v>
      </c>
      <c r="T13" s="1">
        <v>934.76086999999995</v>
      </c>
      <c r="U13" s="1">
        <v>0.45482364874619302</v>
      </c>
      <c r="V13" s="1">
        <v>0.45761583741358602</v>
      </c>
      <c r="W13" s="1" t="s">
        <v>26</v>
      </c>
      <c r="X13" s="1" t="s">
        <v>26</v>
      </c>
      <c r="Y13" s="1">
        <v>-496.79711525006599</v>
      </c>
      <c r="Z13" s="1">
        <v>73.897171480276597</v>
      </c>
      <c r="AA13" s="1">
        <v>0.56000000000000005</v>
      </c>
      <c r="AB13" s="1">
        <v>0</v>
      </c>
      <c r="AC13" s="1" t="s">
        <v>27</v>
      </c>
      <c r="AD13" s="1" t="s">
        <v>28</v>
      </c>
      <c r="AE13" s="1">
        <v>1</v>
      </c>
      <c r="AF13" s="1" t="s">
        <v>26</v>
      </c>
      <c r="AG13" s="7">
        <v>45611</v>
      </c>
      <c r="AH13" s="8">
        <v>0.39253472222222224</v>
      </c>
    </row>
    <row r="14" spans="2:34">
      <c r="B14" s="20"/>
      <c r="C14" s="9">
        <v>0.57250999999999996</v>
      </c>
      <c r="D14" s="9">
        <v>0.29281000000000001</v>
      </c>
      <c r="E14" s="77">
        <v>220</v>
      </c>
      <c r="F14" s="77">
        <v>0</v>
      </c>
      <c r="G14" s="77">
        <v>70</v>
      </c>
      <c r="H14" s="77"/>
      <c r="I14" s="1">
        <v>103</v>
      </c>
      <c r="J14" s="1">
        <v>0</v>
      </c>
      <c r="K14" s="1">
        <v>16</v>
      </c>
      <c r="L14" s="1" t="str">
        <f t="shared" si="0"/>
        <v>{103,0,16},</v>
      </c>
      <c r="N14" s="1">
        <v>11</v>
      </c>
      <c r="O14" s="1">
        <v>2267.7395999999999</v>
      </c>
      <c r="P14" s="1">
        <v>1020.5557</v>
      </c>
      <c r="Q14" s="1">
        <v>422.56454000000002</v>
      </c>
      <c r="R14" s="1">
        <v>0.61110893371817598</v>
      </c>
      <c r="S14" s="1">
        <v>0.27501865982628998</v>
      </c>
      <c r="T14" s="1">
        <v>1020.5557</v>
      </c>
      <c r="U14" s="1">
        <v>0.481377081983205</v>
      </c>
      <c r="V14" s="1">
        <v>0.48742910383162502</v>
      </c>
      <c r="W14" s="1" t="s">
        <v>26</v>
      </c>
      <c r="X14" s="1" t="s">
        <v>26</v>
      </c>
      <c r="Y14" s="1">
        <v>-494.408839325619</v>
      </c>
      <c r="Z14" s="1">
        <v>73.62124292659</v>
      </c>
      <c r="AA14" s="1">
        <v>0.6</v>
      </c>
      <c r="AB14" s="1">
        <v>0</v>
      </c>
      <c r="AC14" s="1" t="s">
        <v>27</v>
      </c>
      <c r="AD14" s="1" t="s">
        <v>28</v>
      </c>
      <c r="AE14" s="1">
        <v>1</v>
      </c>
      <c r="AF14" s="1" t="s">
        <v>26</v>
      </c>
      <c r="AG14" s="7">
        <v>45611</v>
      </c>
      <c r="AH14" s="8">
        <v>0.39256944444444447</v>
      </c>
    </row>
    <row r="15" spans="2:34">
      <c r="B15" s="21"/>
      <c r="C15" s="9">
        <v>0.60570999999999997</v>
      </c>
      <c r="D15" s="9">
        <v>0.31111</v>
      </c>
      <c r="E15" s="77">
        <v>230</v>
      </c>
      <c r="F15" s="77">
        <v>0</v>
      </c>
      <c r="G15" s="77">
        <v>50</v>
      </c>
      <c r="H15" s="77"/>
      <c r="I15" s="1">
        <v>106</v>
      </c>
      <c r="J15" s="1">
        <v>0</v>
      </c>
      <c r="K15" s="1">
        <v>11</v>
      </c>
      <c r="L15" s="1" t="str">
        <f t="shared" si="0"/>
        <v>{106,0,11},</v>
      </c>
      <c r="N15" s="1">
        <v>12</v>
      </c>
      <c r="O15" s="1">
        <v>2301.1487000000002</v>
      </c>
      <c r="P15" s="1">
        <v>1037.9883</v>
      </c>
      <c r="Q15" s="1">
        <v>279.10489999999999</v>
      </c>
      <c r="R15" s="1">
        <v>0.635985310987637</v>
      </c>
      <c r="S15" s="1">
        <v>0.28687642470781199</v>
      </c>
      <c r="T15" s="1">
        <v>1037.9883</v>
      </c>
      <c r="U15" s="1">
        <v>0.49200626210162202</v>
      </c>
      <c r="V15" s="1">
        <v>0.499345250080313</v>
      </c>
      <c r="W15" s="1" t="s">
        <v>26</v>
      </c>
      <c r="X15" s="1" t="s">
        <v>26</v>
      </c>
      <c r="Y15" s="1">
        <v>652.29883842142306</v>
      </c>
      <c r="Z15" s="1">
        <v>76.858520708634799</v>
      </c>
      <c r="AA15" s="1">
        <v>0.62</v>
      </c>
      <c r="AB15" s="1">
        <v>0</v>
      </c>
      <c r="AC15" s="1" t="s">
        <v>27</v>
      </c>
      <c r="AD15" s="1" t="s">
        <v>28</v>
      </c>
      <c r="AE15" s="1">
        <v>1</v>
      </c>
      <c r="AF15" s="1" t="s">
        <v>26</v>
      </c>
      <c r="AG15" s="7">
        <v>45611</v>
      </c>
      <c r="AH15" s="8">
        <v>0.39260416666666664</v>
      </c>
    </row>
    <row r="16" spans="2:34">
      <c r="B16" s="22"/>
      <c r="C16" s="9">
        <v>0.62673999999999996</v>
      </c>
      <c r="D16" s="9">
        <v>0.32268999999999998</v>
      </c>
      <c r="E16" s="77">
        <v>240</v>
      </c>
      <c r="F16" s="77">
        <v>0</v>
      </c>
      <c r="G16" s="77">
        <v>30</v>
      </c>
      <c r="H16" s="77"/>
      <c r="I16" s="1">
        <v>110</v>
      </c>
      <c r="J16" s="1">
        <v>0</v>
      </c>
      <c r="K16" s="1">
        <v>8</v>
      </c>
      <c r="L16" s="1" t="str">
        <f t="shared" si="0"/>
        <v>{110,0,8},</v>
      </c>
      <c r="N16" s="1">
        <v>13</v>
      </c>
      <c r="O16" s="1">
        <v>2369.8778000000002</v>
      </c>
      <c r="P16" s="1">
        <v>1070.4971</v>
      </c>
      <c r="Q16" s="1">
        <v>190.32755</v>
      </c>
      <c r="R16" s="1">
        <v>0.65273258622446495</v>
      </c>
      <c r="S16" s="1">
        <v>0.29484572606603998</v>
      </c>
      <c r="T16" s="1">
        <v>1070.4971</v>
      </c>
      <c r="U16" s="1">
        <v>0.49896584128732502</v>
      </c>
      <c r="V16" s="1">
        <v>0.50712249539557197</v>
      </c>
      <c r="W16" s="1" t="s">
        <v>26</v>
      </c>
      <c r="X16" s="1" t="s">
        <v>26</v>
      </c>
      <c r="Y16" s="1">
        <v>633.47993365001105</v>
      </c>
      <c r="Z16" s="1">
        <v>84.284277076175997</v>
      </c>
      <c r="AA16" s="1">
        <v>0.65</v>
      </c>
      <c r="AB16" s="1">
        <v>0</v>
      </c>
      <c r="AC16" s="1" t="s">
        <v>27</v>
      </c>
      <c r="AD16" s="1" t="s">
        <v>28</v>
      </c>
      <c r="AE16" s="1">
        <v>1</v>
      </c>
      <c r="AF16" s="1" t="s">
        <v>26</v>
      </c>
      <c r="AG16" s="7">
        <v>45611</v>
      </c>
      <c r="AH16" s="8">
        <v>0.39263888888888887</v>
      </c>
    </row>
    <row r="17" spans="2:34">
      <c r="B17" s="23"/>
      <c r="C17" s="9">
        <v>0.63526000000000005</v>
      </c>
      <c r="D17" s="9">
        <v>0.32739000000000001</v>
      </c>
      <c r="E17" s="77">
        <v>245</v>
      </c>
      <c r="F17" s="77">
        <v>0</v>
      </c>
      <c r="G17" s="77">
        <v>15</v>
      </c>
      <c r="H17" s="77"/>
      <c r="I17" s="1">
        <v>113</v>
      </c>
      <c r="J17" s="1">
        <v>0</v>
      </c>
      <c r="K17" s="1">
        <v>5</v>
      </c>
      <c r="L17" s="1" t="str">
        <f t="shared" si="0"/>
        <v>{113,0,5},</v>
      </c>
      <c r="N17" s="1">
        <v>14</v>
      </c>
      <c r="O17" s="1">
        <v>2418.2698999999998</v>
      </c>
      <c r="P17" s="1">
        <v>1093.7342000000001</v>
      </c>
      <c r="Q17" s="1">
        <v>108.45829000000001</v>
      </c>
      <c r="R17" s="1">
        <v>0.66794504113050601</v>
      </c>
      <c r="S17" s="1">
        <v>0.30209793175064598</v>
      </c>
      <c r="T17" s="1">
        <v>1093.7342000000001</v>
      </c>
      <c r="U17" s="1">
        <v>0.50513067733011496</v>
      </c>
      <c r="V17" s="1">
        <v>0.51403570331272797</v>
      </c>
      <c r="W17" s="1" t="s">
        <v>26</v>
      </c>
      <c r="X17" s="1" t="s">
        <v>26</v>
      </c>
      <c r="Y17" s="1">
        <v>625.17686932498202</v>
      </c>
      <c r="Z17" s="1">
        <v>91.037859415940702</v>
      </c>
      <c r="AA17" s="1">
        <v>0.65</v>
      </c>
      <c r="AB17" s="1">
        <v>0</v>
      </c>
      <c r="AC17" s="1" t="s">
        <v>27</v>
      </c>
      <c r="AD17" s="1" t="s">
        <v>28</v>
      </c>
      <c r="AE17" s="1">
        <v>1</v>
      </c>
      <c r="AF17" s="1" t="s">
        <v>26</v>
      </c>
      <c r="AG17" s="7">
        <v>45611</v>
      </c>
      <c r="AH17" s="8">
        <v>0.3926736111111111</v>
      </c>
    </row>
    <row r="18" spans="2:34">
      <c r="B18" s="24"/>
      <c r="C18" s="9">
        <v>0.63861999999999997</v>
      </c>
      <c r="D18" s="9">
        <v>0.32923999999999998</v>
      </c>
      <c r="E18" s="77">
        <v>255</v>
      </c>
      <c r="F18" s="77">
        <v>0</v>
      </c>
      <c r="G18" s="77">
        <v>5</v>
      </c>
      <c r="H18" s="77"/>
      <c r="I18" s="1">
        <v>122</v>
      </c>
      <c r="J18" s="1">
        <v>0</v>
      </c>
      <c r="K18" s="1">
        <v>3</v>
      </c>
      <c r="L18" s="1" t="str">
        <f t="shared" si="0"/>
        <v>{122,0,3},</v>
      </c>
      <c r="N18" s="1">
        <v>15</v>
      </c>
      <c r="O18" s="1">
        <v>2599.3380999999999</v>
      </c>
      <c r="P18" s="1">
        <v>1176.5451</v>
      </c>
      <c r="Q18" s="1">
        <v>46.917046999999997</v>
      </c>
      <c r="R18" s="1">
        <v>0.67995655855674597</v>
      </c>
      <c r="S18" s="1">
        <v>0.30777048864201401</v>
      </c>
      <c r="T18" s="1">
        <v>1176.5451</v>
      </c>
      <c r="U18" s="1">
        <v>0.50996747502124895</v>
      </c>
      <c r="V18" s="1">
        <v>0.51936275672070198</v>
      </c>
      <c r="W18" s="1" t="s">
        <v>26</v>
      </c>
      <c r="X18" s="1" t="s">
        <v>26</v>
      </c>
      <c r="Y18" s="1">
        <v>620.77876185320702</v>
      </c>
      <c r="Z18" s="1">
        <v>96.360520985863801</v>
      </c>
      <c r="AA18" s="1">
        <v>0.67</v>
      </c>
      <c r="AB18" s="1">
        <v>0</v>
      </c>
      <c r="AC18" s="1" t="s">
        <v>27</v>
      </c>
      <c r="AD18" s="1" t="s">
        <v>28</v>
      </c>
      <c r="AE18" s="1">
        <v>1</v>
      </c>
      <c r="AF18" s="1" t="s">
        <v>26</v>
      </c>
      <c r="AG18" s="7">
        <v>45611</v>
      </c>
      <c r="AH18" s="8">
        <v>0.39270833333333333</v>
      </c>
    </row>
    <row r="19" spans="2:34">
      <c r="B19" s="25"/>
      <c r="C19" s="9">
        <v>0.6381</v>
      </c>
      <c r="D19" s="9">
        <v>0.33151000000000003</v>
      </c>
      <c r="E19" s="77">
        <v>255</v>
      </c>
      <c r="F19" s="77">
        <v>10</v>
      </c>
      <c r="G19" s="77">
        <v>0</v>
      </c>
      <c r="H19" s="77"/>
      <c r="I19" s="1">
        <v>122</v>
      </c>
      <c r="J19" s="1">
        <v>3</v>
      </c>
      <c r="K19" s="1">
        <v>0</v>
      </c>
      <c r="L19" s="1" t="str">
        <f t="shared" si="0"/>
        <v>{122,3,0},</v>
      </c>
      <c r="N19" s="1">
        <v>16</v>
      </c>
      <c r="O19" s="1">
        <v>2596.8006</v>
      </c>
      <c r="P19" s="1">
        <v>1214.5900999999999</v>
      </c>
      <c r="Q19" s="1">
        <v>6.1906477999999998</v>
      </c>
      <c r="R19" s="1">
        <v>0.68022141859439</v>
      </c>
      <c r="S19" s="1">
        <v>0.31815696624249901</v>
      </c>
      <c r="T19" s="1">
        <v>1214.5900999999999</v>
      </c>
      <c r="U19" s="1">
        <v>0.49856439953618198</v>
      </c>
      <c r="V19" s="1">
        <v>0.52468049096663605</v>
      </c>
      <c r="W19" s="1" t="s">
        <v>26</v>
      </c>
      <c r="X19" s="1" t="s">
        <v>26</v>
      </c>
      <c r="Y19" s="1">
        <v>615.66471052462805</v>
      </c>
      <c r="Z19" s="1">
        <v>99.564633801278603</v>
      </c>
      <c r="AA19" s="1">
        <v>0.7</v>
      </c>
      <c r="AB19" s="1">
        <v>0</v>
      </c>
      <c r="AC19" s="1" t="s">
        <v>27</v>
      </c>
      <c r="AD19" s="1" t="s">
        <v>28</v>
      </c>
      <c r="AE19" s="1">
        <v>1</v>
      </c>
      <c r="AF19" s="1" t="s">
        <v>26</v>
      </c>
      <c r="AG19" s="7">
        <v>45611</v>
      </c>
      <c r="AH19" s="8">
        <v>0.39274305555555555</v>
      </c>
    </row>
    <row r="20" spans="2:34">
      <c r="B20" s="26"/>
      <c r="C20" s="9">
        <v>0.63566</v>
      </c>
      <c r="D20" s="9">
        <v>0.33345000000000002</v>
      </c>
      <c r="E20" s="77">
        <v>255</v>
      </c>
      <c r="F20" s="77">
        <v>20</v>
      </c>
      <c r="G20" s="77">
        <v>0</v>
      </c>
      <c r="H20" s="77"/>
      <c r="I20" s="1">
        <v>121</v>
      </c>
      <c r="J20" s="1">
        <v>6</v>
      </c>
      <c r="K20" s="1">
        <v>0</v>
      </c>
      <c r="L20" s="1" t="str">
        <f t="shared" si="0"/>
        <v>{121,6,0},</v>
      </c>
      <c r="N20" s="1">
        <v>17</v>
      </c>
      <c r="O20" s="1">
        <v>2580.4029999999998</v>
      </c>
      <c r="P20" s="1">
        <v>1252.4992</v>
      </c>
      <c r="Q20" s="1">
        <v>15.511424999999999</v>
      </c>
      <c r="R20" s="1">
        <v>0.67051082639278403</v>
      </c>
      <c r="S20" s="1">
        <v>0.32545857125739702</v>
      </c>
      <c r="T20" s="1">
        <v>1252.4992</v>
      </c>
      <c r="U20" s="1">
        <v>0.481993416468189</v>
      </c>
      <c r="V20" s="1">
        <v>0.526397167107722</v>
      </c>
      <c r="W20" s="1" t="s">
        <v>26</v>
      </c>
      <c r="X20" s="1" t="s">
        <v>26</v>
      </c>
      <c r="Y20" s="1">
        <v>612.90555285555297</v>
      </c>
      <c r="Z20" s="1">
        <v>98.846022508120996</v>
      </c>
      <c r="AA20" s="1">
        <v>0.72</v>
      </c>
      <c r="AB20" s="1">
        <v>0</v>
      </c>
      <c r="AC20" s="1" t="s">
        <v>27</v>
      </c>
      <c r="AD20" s="1" t="s">
        <v>28</v>
      </c>
      <c r="AE20" s="1">
        <v>1</v>
      </c>
      <c r="AF20" s="1" t="s">
        <v>26</v>
      </c>
      <c r="AG20" s="7">
        <v>45611</v>
      </c>
      <c r="AH20" s="8">
        <v>0.39277777777777778</v>
      </c>
    </row>
    <row r="21" spans="2:34">
      <c r="B21" s="27"/>
      <c r="C21" s="9">
        <v>0.63202999999999998</v>
      </c>
      <c r="D21" s="9">
        <v>0.33633000000000002</v>
      </c>
      <c r="E21" s="77">
        <v>255</v>
      </c>
      <c r="F21" s="77">
        <v>30</v>
      </c>
      <c r="G21" s="77">
        <v>0</v>
      </c>
      <c r="H21" s="77"/>
      <c r="I21" s="1">
        <v>121</v>
      </c>
      <c r="J21" s="1">
        <v>10</v>
      </c>
      <c r="K21" s="1">
        <v>0</v>
      </c>
      <c r="L21" s="1" t="str">
        <f t="shared" si="0"/>
        <v>{121,10,0},</v>
      </c>
      <c r="N21" s="1">
        <v>18</v>
      </c>
      <c r="O21" s="1">
        <v>2588.7957999999999</v>
      </c>
      <c r="P21" s="1">
        <v>1318.0436999999999</v>
      </c>
      <c r="Q21" s="1">
        <v>28.208829000000001</v>
      </c>
      <c r="R21" s="1">
        <v>0.65788157693551896</v>
      </c>
      <c r="S21" s="1">
        <v>0.33494981250584799</v>
      </c>
      <c r="T21" s="1">
        <v>1318.0436999999999</v>
      </c>
      <c r="U21" s="1">
        <v>0.461377085673705</v>
      </c>
      <c r="V21" s="1">
        <v>0.52853110796429803</v>
      </c>
      <c r="W21" s="1" t="s">
        <v>26</v>
      </c>
      <c r="X21" s="1" t="s">
        <v>26</v>
      </c>
      <c r="Y21" s="1">
        <v>609.69880060554397</v>
      </c>
      <c r="Z21" s="1">
        <v>97.917966564262699</v>
      </c>
      <c r="AA21" s="1">
        <v>0.76</v>
      </c>
      <c r="AB21" s="1">
        <v>0</v>
      </c>
      <c r="AC21" s="1" t="s">
        <v>27</v>
      </c>
      <c r="AD21" s="1" t="s">
        <v>28</v>
      </c>
      <c r="AE21" s="1">
        <v>1</v>
      </c>
      <c r="AF21" s="1" t="s">
        <v>26</v>
      </c>
      <c r="AG21" s="7">
        <v>45611</v>
      </c>
      <c r="AH21" s="8">
        <v>0.39281250000000001</v>
      </c>
    </row>
    <row r="22" spans="2:34">
      <c r="B22" s="28"/>
      <c r="C22" s="9">
        <v>0.62716000000000005</v>
      </c>
      <c r="D22" s="9">
        <v>0.3402</v>
      </c>
      <c r="E22" s="77">
        <v>255</v>
      </c>
      <c r="F22" s="77">
        <v>40</v>
      </c>
      <c r="G22" s="77">
        <v>0</v>
      </c>
      <c r="H22" s="77"/>
      <c r="I22" s="1">
        <v>132</v>
      </c>
      <c r="J22" s="1">
        <v>14</v>
      </c>
      <c r="K22" s="1">
        <v>0</v>
      </c>
      <c r="L22" s="1" t="str">
        <f t="shared" si="0"/>
        <v>{132,14,0},</v>
      </c>
      <c r="N22" s="1">
        <v>19</v>
      </c>
      <c r="O22" s="1">
        <v>2828.7565</v>
      </c>
      <c r="P22" s="1">
        <v>1488.8869999999999</v>
      </c>
      <c r="Q22" s="1">
        <v>40.930731999999999</v>
      </c>
      <c r="R22" s="1">
        <v>0.64900959566816396</v>
      </c>
      <c r="S22" s="1">
        <v>0.34159955085055399</v>
      </c>
      <c r="T22" s="1">
        <v>1488.8869999999999</v>
      </c>
      <c r="U22" s="1">
        <v>0.44750213452055698</v>
      </c>
      <c r="V22" s="1">
        <v>0.52996086752599403</v>
      </c>
      <c r="W22" s="1" t="s">
        <v>26</v>
      </c>
      <c r="X22" s="1" t="s">
        <v>26</v>
      </c>
      <c r="Y22" s="1">
        <v>607.63347270639304</v>
      </c>
      <c r="Z22" s="1">
        <v>97.268068898747799</v>
      </c>
      <c r="AA22" s="1">
        <v>0.76</v>
      </c>
      <c r="AB22" s="1">
        <v>0</v>
      </c>
      <c r="AC22" s="1" t="s">
        <v>27</v>
      </c>
      <c r="AD22" s="1" t="s">
        <v>28</v>
      </c>
      <c r="AE22" s="1">
        <v>1</v>
      </c>
      <c r="AF22" s="1" t="s">
        <v>26</v>
      </c>
      <c r="AG22" s="7">
        <v>45611</v>
      </c>
      <c r="AH22" s="8">
        <v>0.39285879629629628</v>
      </c>
    </row>
    <row r="23" spans="2:34">
      <c r="B23" s="29"/>
      <c r="C23" s="9">
        <v>0.62105999999999995</v>
      </c>
      <c r="D23" s="9">
        <v>0.34504000000000001</v>
      </c>
      <c r="E23" s="77">
        <v>255</v>
      </c>
      <c r="F23" s="77">
        <v>50</v>
      </c>
      <c r="G23" s="77">
        <v>0</v>
      </c>
      <c r="H23" s="77"/>
      <c r="I23" s="1">
        <v>135</v>
      </c>
      <c r="J23" s="1">
        <v>15</v>
      </c>
      <c r="K23" s="1">
        <v>0</v>
      </c>
      <c r="L23" s="1" t="str">
        <f t="shared" si="0"/>
        <v>{135,15,0},</v>
      </c>
      <c r="N23" s="1">
        <v>20</v>
      </c>
      <c r="O23" s="1">
        <v>2892.8645000000001</v>
      </c>
      <c r="P23" s="1">
        <v>1532.8161</v>
      </c>
      <c r="Q23" s="1">
        <v>43.970205999999997</v>
      </c>
      <c r="R23" s="1">
        <v>0.64722382699710201</v>
      </c>
      <c r="S23" s="1">
        <v>0.34293866937935502</v>
      </c>
      <c r="T23" s="1">
        <v>1532.8161</v>
      </c>
      <c r="U23" s="1">
        <v>0.44476498477516602</v>
      </c>
      <c r="V23" s="1">
        <v>0.53024315210897899</v>
      </c>
      <c r="W23" s="1" t="s">
        <v>26</v>
      </c>
      <c r="X23" s="1" t="s">
        <v>26</v>
      </c>
      <c r="Y23" s="1">
        <v>607.23175120686096</v>
      </c>
      <c r="Z23" s="1">
        <v>97.1376868938641</v>
      </c>
      <c r="AA23" s="1">
        <v>0.79</v>
      </c>
      <c r="AB23" s="1">
        <v>0</v>
      </c>
      <c r="AC23" s="1" t="s">
        <v>27</v>
      </c>
      <c r="AD23" s="1" t="s">
        <v>28</v>
      </c>
      <c r="AE23" s="1">
        <v>1</v>
      </c>
      <c r="AF23" s="1" t="s">
        <v>26</v>
      </c>
      <c r="AG23" s="7">
        <v>45611</v>
      </c>
      <c r="AH23" s="8">
        <v>0.39288194444444446</v>
      </c>
    </row>
    <row r="24" spans="2:34">
      <c r="B24" s="30"/>
      <c r="C24" s="9">
        <v>0.61377999999999999</v>
      </c>
      <c r="D24" s="9">
        <v>0.35082000000000002</v>
      </c>
      <c r="E24" s="77">
        <v>255</v>
      </c>
      <c r="F24" s="77">
        <v>60</v>
      </c>
      <c r="G24" s="77">
        <v>0</v>
      </c>
      <c r="H24" s="77"/>
      <c r="I24" s="1">
        <v>138</v>
      </c>
      <c r="J24" s="1">
        <v>19</v>
      </c>
      <c r="K24" s="1">
        <v>0</v>
      </c>
      <c r="L24" s="1" t="str">
        <f t="shared" si="0"/>
        <v>{138,19,0},</v>
      </c>
      <c r="N24" s="1">
        <v>21</v>
      </c>
      <c r="O24" s="1">
        <v>2960.4713999999999</v>
      </c>
      <c r="P24" s="1">
        <v>1624.6958</v>
      </c>
      <c r="Q24" s="1">
        <v>56.561920999999998</v>
      </c>
      <c r="R24" s="1">
        <v>0.63779495158524102</v>
      </c>
      <c r="S24" s="1">
        <v>0.350019520236455</v>
      </c>
      <c r="T24" s="1">
        <v>1624.6958</v>
      </c>
      <c r="U24" s="1">
        <v>0.43060471820395702</v>
      </c>
      <c r="V24" s="1">
        <v>0.53170713742880404</v>
      </c>
      <c r="W24" s="1" t="s">
        <v>26</v>
      </c>
      <c r="X24" s="1" t="s">
        <v>26</v>
      </c>
      <c r="Y24" s="1">
        <v>605.20393018482901</v>
      </c>
      <c r="Z24" s="1">
        <v>96.4503261101042</v>
      </c>
      <c r="AA24" s="1">
        <v>0.81</v>
      </c>
      <c r="AB24" s="1">
        <v>0</v>
      </c>
      <c r="AC24" s="1" t="s">
        <v>27</v>
      </c>
      <c r="AD24" s="1" t="s">
        <v>28</v>
      </c>
      <c r="AE24" s="1">
        <v>1</v>
      </c>
      <c r="AF24" s="1" t="s">
        <v>26</v>
      </c>
      <c r="AG24" s="7">
        <v>45611</v>
      </c>
      <c r="AH24" s="8">
        <v>0.39291666666666669</v>
      </c>
    </row>
    <row r="25" spans="2:34">
      <c r="B25" s="31"/>
      <c r="C25" s="9">
        <v>0.60541</v>
      </c>
      <c r="D25" s="9">
        <v>0.35747000000000001</v>
      </c>
      <c r="E25" s="77">
        <v>255</v>
      </c>
      <c r="F25" s="77">
        <v>70</v>
      </c>
      <c r="G25" s="77">
        <v>0</v>
      </c>
      <c r="H25" s="77"/>
      <c r="I25" s="1">
        <v>140</v>
      </c>
      <c r="J25" s="1">
        <v>23</v>
      </c>
      <c r="K25" s="1">
        <v>0</v>
      </c>
      <c r="L25" s="1" t="str">
        <f t="shared" si="0"/>
        <v>{140,23,0},</v>
      </c>
      <c r="N25" s="1">
        <v>22</v>
      </c>
      <c r="O25" s="1">
        <v>3008.6505999999999</v>
      </c>
      <c r="P25" s="1">
        <v>1708.3788999999999</v>
      </c>
      <c r="Q25" s="1">
        <v>69.262955000000005</v>
      </c>
      <c r="R25" s="1">
        <v>0.62859731792131002</v>
      </c>
      <c r="S25" s="1">
        <v>0.35693157408618897</v>
      </c>
      <c r="T25" s="1">
        <v>1708.3788999999999</v>
      </c>
      <c r="U25" s="1">
        <v>0.41725785631675</v>
      </c>
      <c r="V25" s="1">
        <v>0.53308870913067297</v>
      </c>
      <c r="W25" s="1" t="s">
        <v>26</v>
      </c>
      <c r="X25" s="1" t="s">
        <v>26</v>
      </c>
      <c r="Y25" s="1">
        <v>603.35810237864598</v>
      </c>
      <c r="Z25" s="1">
        <v>95.776142253134395</v>
      </c>
      <c r="AA25" s="1">
        <v>0.83</v>
      </c>
      <c r="AB25" s="1">
        <v>0</v>
      </c>
      <c r="AC25" s="1" t="s">
        <v>27</v>
      </c>
      <c r="AD25" s="1" t="s">
        <v>28</v>
      </c>
      <c r="AE25" s="1">
        <v>1</v>
      </c>
      <c r="AF25" s="1" t="s">
        <v>26</v>
      </c>
      <c r="AG25" s="7">
        <v>45611</v>
      </c>
      <c r="AH25" s="8">
        <v>0.39295138888888886</v>
      </c>
    </row>
    <row r="26" spans="2:34">
      <c r="B26" s="32"/>
      <c r="C26" s="9">
        <v>0.59606999999999999</v>
      </c>
      <c r="D26" s="9">
        <v>0.36487999999999998</v>
      </c>
      <c r="E26" s="77">
        <v>255</v>
      </c>
      <c r="F26" s="77">
        <v>80</v>
      </c>
      <c r="G26" s="77">
        <v>0</v>
      </c>
      <c r="H26" s="77"/>
      <c r="I26" s="1">
        <v>142</v>
      </c>
      <c r="J26" s="1">
        <v>28</v>
      </c>
      <c r="K26" s="1">
        <v>0</v>
      </c>
      <c r="L26" s="1" t="str">
        <f t="shared" si="0"/>
        <v>{142,28,0},</v>
      </c>
      <c r="N26" s="1">
        <v>23</v>
      </c>
      <c r="O26" s="1">
        <v>3068.2518</v>
      </c>
      <c r="P26" s="1">
        <v>1813.3862999999999</v>
      </c>
      <c r="Q26" s="1">
        <v>85.284280999999993</v>
      </c>
      <c r="R26" s="1">
        <v>0.61773701391771396</v>
      </c>
      <c r="S26" s="1">
        <v>0.36509253837683397</v>
      </c>
      <c r="T26" s="1">
        <v>1813.3862999999999</v>
      </c>
      <c r="U26" s="1">
        <v>0.40206544639196501</v>
      </c>
      <c r="V26" s="1">
        <v>0.53466111791372195</v>
      </c>
      <c r="W26" s="1" t="s">
        <v>26</v>
      </c>
      <c r="X26" s="1" t="s">
        <v>26</v>
      </c>
      <c r="Y26" s="1">
        <v>601.29013064199296</v>
      </c>
      <c r="Z26" s="1">
        <v>94.976455430789898</v>
      </c>
      <c r="AA26" s="1">
        <v>0.84</v>
      </c>
      <c r="AB26" s="1">
        <v>0</v>
      </c>
      <c r="AC26" s="1" t="s">
        <v>27</v>
      </c>
      <c r="AD26" s="1" t="s">
        <v>28</v>
      </c>
      <c r="AE26" s="1">
        <v>1</v>
      </c>
      <c r="AF26" s="1" t="s">
        <v>26</v>
      </c>
      <c r="AG26" s="7">
        <v>45611</v>
      </c>
      <c r="AH26" s="8">
        <v>0.39299768518518519</v>
      </c>
    </row>
    <row r="27" spans="2:34">
      <c r="B27" s="33"/>
      <c r="C27" s="9">
        <v>0.58592999999999995</v>
      </c>
      <c r="D27" s="9">
        <v>0.37293999999999999</v>
      </c>
      <c r="E27" s="77">
        <v>255</v>
      </c>
      <c r="F27" s="77">
        <v>90</v>
      </c>
      <c r="G27" s="77">
        <v>0</v>
      </c>
      <c r="H27" s="77"/>
      <c r="I27" s="1">
        <v>143</v>
      </c>
      <c r="J27" s="1">
        <v>33</v>
      </c>
      <c r="K27" s="1">
        <v>0</v>
      </c>
      <c r="L27" s="1" t="str">
        <f t="shared" si="0"/>
        <v>{143,33,0},</v>
      </c>
      <c r="N27" s="1">
        <v>24</v>
      </c>
      <c r="O27" s="1">
        <v>3098.4234000000001</v>
      </c>
      <c r="P27" s="1">
        <v>1904.1005</v>
      </c>
      <c r="Q27" s="1">
        <v>101.10509999999999</v>
      </c>
      <c r="R27" s="1">
        <v>0.60710200525939495</v>
      </c>
      <c r="S27" s="1">
        <v>0.37308756181140901</v>
      </c>
      <c r="T27" s="1">
        <v>1904.1005</v>
      </c>
      <c r="U27" s="1">
        <v>0.38774827570548798</v>
      </c>
      <c r="V27" s="1">
        <v>0.53614405723283498</v>
      </c>
      <c r="W27" s="1" t="s">
        <v>26</v>
      </c>
      <c r="X27" s="1" t="s">
        <v>26</v>
      </c>
      <c r="Y27" s="1">
        <v>599.33423455135403</v>
      </c>
      <c r="Z27" s="1">
        <v>94.194320446850995</v>
      </c>
      <c r="AA27" s="1">
        <v>0.84</v>
      </c>
      <c r="AB27" s="1">
        <v>0</v>
      </c>
      <c r="AC27" s="1" t="s">
        <v>27</v>
      </c>
      <c r="AD27" s="1" t="s">
        <v>28</v>
      </c>
      <c r="AE27" s="1">
        <v>1</v>
      </c>
      <c r="AF27" s="1" t="s">
        <v>26</v>
      </c>
      <c r="AG27" s="7">
        <v>45611</v>
      </c>
      <c r="AH27" s="8">
        <v>0.39302083333333332</v>
      </c>
    </row>
    <row r="28" spans="2:34">
      <c r="B28" s="34"/>
      <c r="C28" s="9">
        <v>0.57515000000000005</v>
      </c>
      <c r="D28" s="9">
        <v>0.38150000000000001</v>
      </c>
      <c r="E28" s="77">
        <v>255</v>
      </c>
      <c r="F28" s="77">
        <v>100</v>
      </c>
      <c r="G28" s="77">
        <v>0</v>
      </c>
      <c r="H28" s="77"/>
      <c r="I28" s="1">
        <v>144</v>
      </c>
      <c r="J28" s="1">
        <v>38</v>
      </c>
      <c r="K28" s="1">
        <v>0</v>
      </c>
      <c r="L28" s="1" t="str">
        <f t="shared" si="0"/>
        <v>{144,38,0},</v>
      </c>
      <c r="N28" s="1">
        <v>25</v>
      </c>
      <c r="O28" s="1">
        <v>3128.6685000000002</v>
      </c>
      <c r="P28" s="1">
        <v>1994.7908</v>
      </c>
      <c r="Q28" s="1">
        <v>116.88763</v>
      </c>
      <c r="R28" s="1">
        <v>0.597034612744618</v>
      </c>
      <c r="S28" s="1">
        <v>0.38066006442821498</v>
      </c>
      <c r="T28" s="1">
        <v>1994.7908</v>
      </c>
      <c r="U28" s="1">
        <v>0.37467745100828598</v>
      </c>
      <c r="V28" s="1">
        <v>0.53749927406411202</v>
      </c>
      <c r="W28" s="1" t="s">
        <v>26</v>
      </c>
      <c r="X28" s="1" t="s">
        <v>26</v>
      </c>
      <c r="Y28" s="1">
        <v>597.52886321294295</v>
      </c>
      <c r="Z28" s="1">
        <v>93.4557745299565</v>
      </c>
      <c r="AA28" s="1">
        <v>0.88</v>
      </c>
      <c r="AB28" s="1">
        <v>0</v>
      </c>
      <c r="AC28" s="1" t="s">
        <v>27</v>
      </c>
      <c r="AD28" s="1" t="s">
        <v>28</v>
      </c>
      <c r="AE28" s="1">
        <v>1</v>
      </c>
      <c r="AF28" s="1" t="s">
        <v>26</v>
      </c>
      <c r="AG28" s="7">
        <v>45611</v>
      </c>
      <c r="AH28" s="8">
        <v>0.39305555555555555</v>
      </c>
    </row>
    <row r="29" spans="2:34">
      <c r="B29" s="35"/>
      <c r="C29" s="9">
        <v>0.56120000000000003</v>
      </c>
      <c r="D29" s="9">
        <v>0.39256999999999997</v>
      </c>
      <c r="E29" s="77">
        <v>250</v>
      </c>
      <c r="F29" s="77">
        <v>110</v>
      </c>
      <c r="G29" s="77">
        <v>0</v>
      </c>
      <c r="H29" s="77"/>
      <c r="I29" s="1">
        <v>141</v>
      </c>
      <c r="J29" s="1">
        <v>44</v>
      </c>
      <c r="K29" s="1">
        <v>0</v>
      </c>
      <c r="L29" s="1" t="str">
        <f t="shared" si="0"/>
        <v>{141,44,0},</v>
      </c>
      <c r="N29" s="1">
        <v>26</v>
      </c>
      <c r="O29" s="1">
        <v>3080.0587999999998</v>
      </c>
      <c r="P29" s="1">
        <v>2065.1100999999999</v>
      </c>
      <c r="Q29" s="1">
        <v>135.82748000000001</v>
      </c>
      <c r="R29" s="1">
        <v>0.58323440850379804</v>
      </c>
      <c r="S29" s="1">
        <v>0.39104554356842802</v>
      </c>
      <c r="T29" s="1">
        <v>2065.1100999999999</v>
      </c>
      <c r="U29" s="1">
        <v>0.35747929141833101</v>
      </c>
      <c r="V29" s="1">
        <v>0.53928409233937002</v>
      </c>
      <c r="W29" s="1" t="s">
        <v>26</v>
      </c>
      <c r="X29" s="1" t="s">
        <v>26</v>
      </c>
      <c r="Y29" s="1">
        <v>595.14566010548003</v>
      </c>
      <c r="Z29" s="1">
        <v>92.441629332724801</v>
      </c>
      <c r="AA29" s="1">
        <v>0.89</v>
      </c>
      <c r="AB29" s="1">
        <v>0</v>
      </c>
      <c r="AC29" s="1" t="s">
        <v>27</v>
      </c>
      <c r="AD29" s="1" t="s">
        <v>28</v>
      </c>
      <c r="AE29" s="1">
        <v>1</v>
      </c>
      <c r="AF29" s="1" t="s">
        <v>26</v>
      </c>
      <c r="AG29" s="7">
        <v>45611</v>
      </c>
      <c r="AH29" s="8">
        <v>0.39309027777777777</v>
      </c>
    </row>
    <row r="30" spans="2:34">
      <c r="B30" s="36"/>
      <c r="C30" s="9">
        <v>0.54308999999999996</v>
      </c>
      <c r="D30" s="9">
        <v>0.40695999999999999</v>
      </c>
      <c r="E30" s="77">
        <v>240</v>
      </c>
      <c r="F30" s="77">
        <v>120</v>
      </c>
      <c r="G30" s="77">
        <v>0</v>
      </c>
      <c r="H30" s="77"/>
      <c r="I30" s="1">
        <v>134</v>
      </c>
      <c r="J30" s="1">
        <v>52</v>
      </c>
      <c r="K30" s="1">
        <v>0</v>
      </c>
      <c r="L30" s="1" t="str">
        <f t="shared" si="0"/>
        <v>{134,52,0},</v>
      </c>
      <c r="N30" s="1">
        <v>27</v>
      </c>
      <c r="O30" s="1">
        <v>2951.6956</v>
      </c>
      <c r="P30" s="1">
        <v>2129.8636999999999</v>
      </c>
      <c r="Q30" s="1">
        <v>161.07183000000001</v>
      </c>
      <c r="R30" s="1">
        <v>0.56301798215584198</v>
      </c>
      <c r="S30" s="1">
        <v>0.406258545983188</v>
      </c>
      <c r="T30" s="1">
        <v>2129.8636999999999</v>
      </c>
      <c r="U30" s="1">
        <v>0.33368642899433298</v>
      </c>
      <c r="V30" s="1">
        <v>0.54175297671945899</v>
      </c>
      <c r="W30" s="1">
        <v>1698.44586542051</v>
      </c>
      <c r="X30" s="1">
        <v>6.9760694824669604E-4</v>
      </c>
      <c r="Y30" s="1">
        <v>591.86777159155895</v>
      </c>
      <c r="Z30" s="1">
        <v>90.9446433381557</v>
      </c>
      <c r="AA30" s="1">
        <v>0.87</v>
      </c>
      <c r="AB30" s="1">
        <v>0</v>
      </c>
      <c r="AC30" s="1" t="s">
        <v>27</v>
      </c>
      <c r="AD30" s="1" t="s">
        <v>28</v>
      </c>
      <c r="AE30" s="1">
        <v>1</v>
      </c>
      <c r="AF30" s="1" t="s">
        <v>26</v>
      </c>
      <c r="AG30" s="7">
        <v>45611</v>
      </c>
      <c r="AH30" s="8">
        <v>0.3931365740740741</v>
      </c>
    </row>
    <row r="31" spans="2:34">
      <c r="B31" s="37"/>
      <c r="C31" s="9">
        <v>0.56120000000000003</v>
      </c>
      <c r="D31" s="9">
        <v>0.39256999999999997</v>
      </c>
      <c r="E31" s="77">
        <v>230</v>
      </c>
      <c r="F31" s="77">
        <v>130</v>
      </c>
      <c r="G31" s="77">
        <v>0</v>
      </c>
      <c r="H31" s="77"/>
      <c r="I31" s="1">
        <v>126</v>
      </c>
      <c r="J31" s="1">
        <v>59</v>
      </c>
      <c r="K31" s="1">
        <v>0</v>
      </c>
      <c r="L31" s="1" t="str">
        <f t="shared" si="0"/>
        <v>{126,59,0},</v>
      </c>
      <c r="N31" s="1">
        <v>28</v>
      </c>
      <c r="O31" s="1">
        <v>2801.7646</v>
      </c>
      <c r="P31" s="1">
        <v>2170.8227000000002</v>
      </c>
      <c r="Q31" s="1">
        <v>183.40897000000001</v>
      </c>
      <c r="R31" s="1">
        <v>0.54339926820777196</v>
      </c>
      <c r="S31" s="1">
        <v>0.421028756873015</v>
      </c>
      <c r="T31" s="1">
        <v>2170.8227000000002</v>
      </c>
      <c r="U31" s="1">
        <v>0.312049752084474</v>
      </c>
      <c r="V31" s="1">
        <v>0.54400021402486298</v>
      </c>
      <c r="W31" s="1">
        <v>1915.43898800696</v>
      </c>
      <c r="X31" s="1">
        <v>3.0509524670839202E-3</v>
      </c>
      <c r="Y31" s="1">
        <v>588.79844516712501</v>
      </c>
      <c r="Z31" s="1">
        <v>89.502292473961901</v>
      </c>
      <c r="AA31" s="1">
        <v>0.9</v>
      </c>
      <c r="AB31" s="1">
        <v>0</v>
      </c>
      <c r="AC31" s="1" t="s">
        <v>27</v>
      </c>
      <c r="AD31" s="1" t="s">
        <v>28</v>
      </c>
      <c r="AE31" s="1">
        <v>1</v>
      </c>
      <c r="AF31" s="1" t="s">
        <v>26</v>
      </c>
      <c r="AG31" s="7">
        <v>45611</v>
      </c>
      <c r="AH31" s="8">
        <v>0.39317129629629627</v>
      </c>
    </row>
    <row r="32" spans="2:34">
      <c r="B32" s="38"/>
      <c r="C32" s="9">
        <v>0.49839</v>
      </c>
      <c r="D32" s="9">
        <v>0.44245000000000001</v>
      </c>
      <c r="E32" s="77">
        <v>215</v>
      </c>
      <c r="F32" s="77">
        <v>140</v>
      </c>
      <c r="G32" s="77">
        <v>0</v>
      </c>
      <c r="H32" s="77"/>
      <c r="I32" s="1">
        <v>115</v>
      </c>
      <c r="J32" s="1">
        <v>67</v>
      </c>
      <c r="K32" s="1">
        <v>0</v>
      </c>
      <c r="L32" s="1" t="str">
        <f t="shared" si="0"/>
        <v>{115,67,0},</v>
      </c>
      <c r="N32" s="1">
        <v>29</v>
      </c>
      <c r="O32" s="1">
        <v>2590.2231999999999</v>
      </c>
      <c r="P32" s="1">
        <v>2198.1905999999999</v>
      </c>
      <c r="Q32" s="1">
        <v>208.73817</v>
      </c>
      <c r="R32" s="1">
        <v>0.51833988951110499</v>
      </c>
      <c r="S32" s="1">
        <v>0.43988868323330199</v>
      </c>
      <c r="T32" s="1">
        <v>2198.1905999999999</v>
      </c>
      <c r="U32" s="1">
        <v>0.28629715805272998</v>
      </c>
      <c r="V32" s="1">
        <v>0.54667311052036205</v>
      </c>
      <c r="W32" s="1">
        <v>2240.0614645097198</v>
      </c>
      <c r="X32" s="1">
        <v>7.5711070022295296E-3</v>
      </c>
      <c r="Y32" s="1">
        <v>584.93147263433195</v>
      </c>
      <c r="Z32" s="1">
        <v>87.674159010658897</v>
      </c>
      <c r="AA32" s="1">
        <v>0.91</v>
      </c>
      <c r="AB32" s="1">
        <v>0</v>
      </c>
      <c r="AC32" s="1" t="s">
        <v>27</v>
      </c>
      <c r="AD32" s="1" t="s">
        <v>28</v>
      </c>
      <c r="AE32" s="1">
        <v>1</v>
      </c>
      <c r="AF32" s="1" t="s">
        <v>26</v>
      </c>
      <c r="AG32" s="7">
        <v>45611</v>
      </c>
      <c r="AH32" s="8">
        <v>0.39319444444444446</v>
      </c>
    </row>
    <row r="33" spans="2:34">
      <c r="B33" s="39"/>
      <c r="C33" s="9">
        <v>0.48131000000000002</v>
      </c>
      <c r="D33" s="9">
        <v>0.45601999999999998</v>
      </c>
      <c r="E33" s="77">
        <v>210</v>
      </c>
      <c r="F33" s="77">
        <v>150</v>
      </c>
      <c r="G33" s="77">
        <v>0</v>
      </c>
      <c r="H33" s="77"/>
      <c r="I33" s="1">
        <v>110</v>
      </c>
      <c r="J33" s="1">
        <v>75</v>
      </c>
      <c r="K33" s="1">
        <v>0</v>
      </c>
      <c r="L33" s="1" t="str">
        <f t="shared" si="0"/>
        <v>{110,75,0},</v>
      </c>
      <c r="N33" s="1">
        <v>30</v>
      </c>
      <c r="O33" s="1">
        <v>2500.3189000000002</v>
      </c>
      <c r="P33" s="1">
        <v>2278.8247999999999</v>
      </c>
      <c r="Q33" s="1">
        <v>233.61156</v>
      </c>
      <c r="R33" s="1">
        <v>0.49879133736124198</v>
      </c>
      <c r="S33" s="1">
        <v>0.45460523839737599</v>
      </c>
      <c r="T33" s="1">
        <v>2278.8247999999999</v>
      </c>
      <c r="U33" s="1">
        <v>0.26753163177714401</v>
      </c>
      <c r="V33" s="1">
        <v>0.54862196333275903</v>
      </c>
      <c r="W33" s="1">
        <v>2533.8682202003401</v>
      </c>
      <c r="X33" s="1">
        <v>1.2430940421102101E-2</v>
      </c>
      <c r="Y33" s="1">
        <v>581.93586978946996</v>
      </c>
      <c r="Z33" s="1">
        <v>86.245071303146105</v>
      </c>
      <c r="AA33" s="1">
        <v>0.93</v>
      </c>
      <c r="AB33" s="1">
        <v>0</v>
      </c>
      <c r="AC33" s="1" t="s">
        <v>27</v>
      </c>
      <c r="AD33" s="1" t="s">
        <v>28</v>
      </c>
      <c r="AE33" s="1">
        <v>1</v>
      </c>
      <c r="AF33" s="1" t="s">
        <v>26</v>
      </c>
      <c r="AG33" s="7">
        <v>45611</v>
      </c>
      <c r="AH33" s="8">
        <v>0.39322916666666669</v>
      </c>
    </row>
    <row r="34" spans="2:34">
      <c r="B34" s="40"/>
      <c r="C34" s="9">
        <v>0.46465000000000001</v>
      </c>
      <c r="D34" s="9">
        <v>0.46925</v>
      </c>
      <c r="E34" s="77">
        <v>205</v>
      </c>
      <c r="F34" s="77">
        <v>160</v>
      </c>
      <c r="G34" s="77">
        <v>0</v>
      </c>
      <c r="H34" s="77"/>
      <c r="I34" s="1">
        <v>105</v>
      </c>
      <c r="J34" s="1">
        <v>82</v>
      </c>
      <c r="K34" s="1">
        <v>0</v>
      </c>
      <c r="L34" s="1" t="str">
        <f t="shared" si="0"/>
        <v>{105,82,0},</v>
      </c>
      <c r="N34" s="1">
        <v>31</v>
      </c>
      <c r="O34" s="1">
        <v>2420.3506000000002</v>
      </c>
      <c r="P34" s="1">
        <v>2353.2204000000002</v>
      </c>
      <c r="Q34" s="1">
        <v>256.28541999999999</v>
      </c>
      <c r="R34" s="1">
        <v>0.48119675750108198</v>
      </c>
      <c r="S34" s="1">
        <v>0.46785041231852897</v>
      </c>
      <c r="T34" s="1">
        <v>2353.2204000000002</v>
      </c>
      <c r="U34" s="1">
        <v>0.25154658434844901</v>
      </c>
      <c r="V34" s="1">
        <v>0.55028194929195495</v>
      </c>
      <c r="W34" s="1">
        <v>2827.0478754333099</v>
      </c>
      <c r="X34" s="1">
        <v>1.7836646541154199E-2</v>
      </c>
      <c r="Y34" s="1">
        <v>579.23235345692899</v>
      </c>
      <c r="Z34" s="1">
        <v>84.953397952657895</v>
      </c>
      <c r="AA34" s="1">
        <v>0.94</v>
      </c>
      <c r="AB34" s="1">
        <v>0</v>
      </c>
      <c r="AC34" s="1" t="s">
        <v>27</v>
      </c>
      <c r="AD34" s="1" t="s">
        <v>28</v>
      </c>
      <c r="AE34" s="1">
        <v>1</v>
      </c>
      <c r="AF34" s="1" t="s">
        <v>26</v>
      </c>
      <c r="AG34" s="7">
        <v>45611</v>
      </c>
      <c r="AH34" s="8">
        <v>0.39327546296296295</v>
      </c>
    </row>
    <row r="35" spans="2:34">
      <c r="B35" s="41"/>
      <c r="C35" s="9">
        <v>0.43314999999999998</v>
      </c>
      <c r="D35" s="9">
        <v>0.49425999999999998</v>
      </c>
      <c r="E35" s="77">
        <v>200</v>
      </c>
      <c r="F35" s="77">
        <v>185</v>
      </c>
      <c r="G35" s="77">
        <v>0</v>
      </c>
      <c r="H35" s="77"/>
      <c r="I35" s="1">
        <v>95</v>
      </c>
      <c r="J35" s="1">
        <v>99</v>
      </c>
      <c r="K35" s="1">
        <v>0</v>
      </c>
      <c r="L35" s="1" t="str">
        <f t="shared" si="0"/>
        <v>{95,99,0},</v>
      </c>
      <c r="N35" s="1">
        <v>32</v>
      </c>
      <c r="O35" s="1">
        <v>2251.422</v>
      </c>
      <c r="P35" s="1">
        <v>2539.8424</v>
      </c>
      <c r="Q35" s="1">
        <v>310.1816</v>
      </c>
      <c r="R35" s="1">
        <v>0.44133016403584402</v>
      </c>
      <c r="S35" s="1">
        <v>0.497867153744252</v>
      </c>
      <c r="T35" s="1">
        <v>2539.8424</v>
      </c>
      <c r="U35" s="1">
        <v>0.21816314569771</v>
      </c>
      <c r="V35" s="1">
        <v>0.55375003753669805</v>
      </c>
      <c r="W35" s="1">
        <v>3558.5293458318001</v>
      </c>
      <c r="X35" s="1">
        <v>3.3266996694969603E-2</v>
      </c>
      <c r="Y35" s="1">
        <v>573.00128724673596</v>
      </c>
      <c r="Z35" s="1">
        <v>82.025837854177098</v>
      </c>
      <c r="AA35" s="1">
        <v>0.97</v>
      </c>
      <c r="AB35" s="1">
        <v>0</v>
      </c>
      <c r="AC35" s="1" t="s">
        <v>27</v>
      </c>
      <c r="AD35" s="1" t="s">
        <v>28</v>
      </c>
      <c r="AE35" s="1">
        <v>1</v>
      </c>
      <c r="AF35" s="1" t="s">
        <v>26</v>
      </c>
      <c r="AG35" s="7">
        <v>45611</v>
      </c>
      <c r="AH35" s="8">
        <v>0.39329861111111108</v>
      </c>
    </row>
    <row r="36" spans="2:34">
      <c r="B36" s="42"/>
      <c r="C36" s="9">
        <v>0.41496</v>
      </c>
      <c r="D36" s="9">
        <v>0.50870000000000004</v>
      </c>
      <c r="E36" s="77">
        <v>195</v>
      </c>
      <c r="F36" s="77">
        <v>200</v>
      </c>
      <c r="G36" s="77">
        <v>0</v>
      </c>
      <c r="H36" s="77"/>
      <c r="I36" s="1">
        <v>89</v>
      </c>
      <c r="J36" s="1">
        <v>108</v>
      </c>
      <c r="K36" s="1">
        <v>0</v>
      </c>
      <c r="L36" s="1" t="str">
        <f t="shared" si="0"/>
        <v>{89,108,0},</v>
      </c>
      <c r="N36" s="1">
        <v>33</v>
      </c>
      <c r="O36" s="1">
        <v>2148.3721</v>
      </c>
      <c r="P36" s="1">
        <v>2629.9674</v>
      </c>
      <c r="Q36" s="1">
        <v>338.19767999999999</v>
      </c>
      <c r="R36" s="1">
        <v>0.41988790942392801</v>
      </c>
      <c r="S36" s="1">
        <v>0.51401315137125603</v>
      </c>
      <c r="T36" s="1">
        <v>2629.9674</v>
      </c>
      <c r="U36" s="1">
        <v>0.20166601846292101</v>
      </c>
      <c r="V36" s="1">
        <v>0.55546423827226099</v>
      </c>
      <c r="W36" s="1">
        <v>3965.34510313589</v>
      </c>
      <c r="X36" s="1">
        <v>4.2881121126017802E-2</v>
      </c>
      <c r="Y36" s="1">
        <v>569.54537615093295</v>
      </c>
      <c r="Z36" s="1">
        <v>80.472718383850605</v>
      </c>
      <c r="AA36" s="1">
        <v>1</v>
      </c>
      <c r="AB36" s="1">
        <v>0</v>
      </c>
      <c r="AC36" s="1" t="s">
        <v>27</v>
      </c>
      <c r="AD36" s="1" t="s">
        <v>28</v>
      </c>
      <c r="AE36" s="1">
        <v>1</v>
      </c>
      <c r="AF36" s="1" t="s">
        <v>26</v>
      </c>
      <c r="AG36" s="7">
        <v>45611</v>
      </c>
      <c r="AH36" s="8">
        <v>0.39333333333333331</v>
      </c>
    </row>
    <row r="37" spans="2:34">
      <c r="B37" s="43"/>
      <c r="C37" s="9">
        <v>0.39118999999999998</v>
      </c>
      <c r="D37" s="9">
        <v>0.52758000000000005</v>
      </c>
      <c r="E37" s="77">
        <v>185</v>
      </c>
      <c r="F37" s="77">
        <v>220</v>
      </c>
      <c r="G37" s="77">
        <v>0</v>
      </c>
      <c r="H37" s="77"/>
      <c r="I37" s="1">
        <v>79</v>
      </c>
      <c r="J37" s="1">
        <v>122</v>
      </c>
      <c r="K37" s="1">
        <v>0</v>
      </c>
      <c r="L37" s="1" t="str">
        <f t="shared" si="0"/>
        <v>{79,122,0},</v>
      </c>
      <c r="N37" s="1">
        <v>34</v>
      </c>
      <c r="O37" s="1">
        <v>1974.1349</v>
      </c>
      <c r="P37" s="1">
        <v>2768.9025999999999</v>
      </c>
      <c r="Q37" s="1">
        <v>382.76830000000001</v>
      </c>
      <c r="R37" s="1">
        <v>0.38513649892861701</v>
      </c>
      <c r="S37" s="1">
        <v>0.54018874456773203</v>
      </c>
      <c r="T37" s="1">
        <v>2768.9025999999999</v>
      </c>
      <c r="U37" s="1">
        <v>0.17683051211050799</v>
      </c>
      <c r="V37" s="1">
        <v>0.55804674020491996</v>
      </c>
      <c r="W37" s="1">
        <v>4612.1388573023596</v>
      </c>
      <c r="X37" s="1">
        <v>5.94192389055858E-2</v>
      </c>
      <c r="Y37" s="1">
        <v>563.72974476423997</v>
      </c>
      <c r="Z37" s="1">
        <v>78.023371713985</v>
      </c>
      <c r="AA37" s="1">
        <v>0.99</v>
      </c>
      <c r="AB37" s="1">
        <v>0</v>
      </c>
      <c r="AC37" s="1" t="s">
        <v>27</v>
      </c>
      <c r="AD37" s="1" t="s">
        <v>28</v>
      </c>
      <c r="AE37" s="1">
        <v>1</v>
      </c>
      <c r="AF37" s="1" t="s">
        <v>26</v>
      </c>
      <c r="AG37" s="7">
        <v>45611</v>
      </c>
      <c r="AH37" s="8">
        <v>0.39336805555555554</v>
      </c>
    </row>
    <row r="38" spans="2:34">
      <c r="B38" s="44"/>
      <c r="C38" s="9">
        <v>0.37417</v>
      </c>
      <c r="D38" s="9">
        <v>0.54110000000000003</v>
      </c>
      <c r="E38" s="77">
        <v>175</v>
      </c>
      <c r="F38" s="77">
        <v>235</v>
      </c>
      <c r="G38" s="77">
        <v>0</v>
      </c>
      <c r="H38" s="77"/>
      <c r="I38" s="1">
        <v>71</v>
      </c>
      <c r="J38" s="1">
        <v>130</v>
      </c>
      <c r="K38" s="1">
        <v>0</v>
      </c>
      <c r="L38" s="1" t="str">
        <f t="shared" si="0"/>
        <v>{71,130,0},</v>
      </c>
      <c r="N38" s="1">
        <v>35</v>
      </c>
      <c r="O38" s="1">
        <v>1825.0572999999999</v>
      </c>
      <c r="P38" s="1">
        <v>2822.5545000000002</v>
      </c>
      <c r="Q38" s="1">
        <v>407.5428</v>
      </c>
      <c r="R38" s="1">
        <v>0.36102897822353403</v>
      </c>
      <c r="S38" s="1">
        <v>0.55835176633371397</v>
      </c>
      <c r="T38" s="1">
        <v>2822.5545000000002</v>
      </c>
      <c r="U38" s="1">
        <v>0.160847589240905</v>
      </c>
      <c r="V38" s="1">
        <v>0.55970979396573095</v>
      </c>
      <c r="W38" s="1">
        <v>5043.1856633850302</v>
      </c>
      <c r="X38" s="1">
        <v>7.1123643077366294E-2</v>
      </c>
      <c r="Y38" s="1">
        <v>559.50250807341604</v>
      </c>
      <c r="Z38" s="1">
        <v>76.399356955689001</v>
      </c>
      <c r="AA38" s="1">
        <v>1</v>
      </c>
      <c r="AB38" s="1">
        <v>0</v>
      </c>
      <c r="AC38" s="1" t="s">
        <v>27</v>
      </c>
      <c r="AD38" s="1" t="s">
        <v>28</v>
      </c>
      <c r="AE38" s="1">
        <v>1</v>
      </c>
      <c r="AF38" s="1" t="s">
        <v>26</v>
      </c>
      <c r="AG38" s="7">
        <v>45611</v>
      </c>
      <c r="AH38" s="8">
        <v>0.39340277777777777</v>
      </c>
    </row>
    <row r="39" spans="2:34">
      <c r="B39" s="45"/>
      <c r="C39" s="6">
        <v>0.36137000000000002</v>
      </c>
      <c r="D39" s="9">
        <v>0.54945999999999995</v>
      </c>
      <c r="E39" s="77">
        <v>165</v>
      </c>
      <c r="F39" s="77">
        <v>245</v>
      </c>
      <c r="G39" s="77">
        <v>10</v>
      </c>
      <c r="H39" s="77"/>
      <c r="I39" s="1">
        <v>64</v>
      </c>
      <c r="J39" s="1">
        <v>135</v>
      </c>
      <c r="K39" s="1">
        <v>0</v>
      </c>
      <c r="L39" s="1" t="str">
        <f t="shared" si="0"/>
        <v>{64,135,0},</v>
      </c>
      <c r="N39" s="1">
        <v>36</v>
      </c>
      <c r="O39" s="1">
        <v>1690.1021000000001</v>
      </c>
      <c r="P39" s="1">
        <v>2837.2226000000001</v>
      </c>
      <c r="Q39" s="1">
        <v>423.04615000000001</v>
      </c>
      <c r="R39" s="1">
        <v>0.341409189576171</v>
      </c>
      <c r="S39" s="1">
        <v>0.57313334414127803</v>
      </c>
      <c r="T39" s="1">
        <v>2837.2226000000001</v>
      </c>
      <c r="U39" s="1">
        <v>0.14852302048648799</v>
      </c>
      <c r="V39" s="1">
        <v>0.56099211892298395</v>
      </c>
      <c r="W39" s="1">
        <v>5381.5510269423903</v>
      </c>
      <c r="X39" s="1">
        <v>8.0600751873490403E-2</v>
      </c>
      <c r="Y39" s="1">
        <v>555.93824246657198</v>
      </c>
      <c r="Z39" s="1">
        <v>75.146972063907896</v>
      </c>
      <c r="AA39" s="1">
        <v>0.99</v>
      </c>
      <c r="AB39" s="1">
        <v>0</v>
      </c>
      <c r="AC39" s="1" t="s">
        <v>27</v>
      </c>
      <c r="AD39" s="1" t="s">
        <v>28</v>
      </c>
      <c r="AE39" s="1">
        <v>1</v>
      </c>
      <c r="AF39" s="1" t="s">
        <v>26</v>
      </c>
      <c r="AG39" s="7">
        <v>45611</v>
      </c>
      <c r="AH39" s="8">
        <v>0.3934375</v>
      </c>
    </row>
    <row r="40" spans="2:34">
      <c r="B40" s="46"/>
      <c r="C40" s="9">
        <v>0.35192000000000001</v>
      </c>
      <c r="D40" s="9">
        <v>0.55469000000000002</v>
      </c>
      <c r="E40" s="77">
        <v>155</v>
      </c>
      <c r="F40" s="77">
        <v>250</v>
      </c>
      <c r="G40" s="77">
        <v>20</v>
      </c>
      <c r="H40" s="77"/>
      <c r="I40" s="1">
        <v>57</v>
      </c>
      <c r="J40" s="1">
        <v>138</v>
      </c>
      <c r="K40" s="1">
        <v>1</v>
      </c>
      <c r="L40" s="1" t="str">
        <f t="shared" si="0"/>
        <v>{57,138,1},</v>
      </c>
      <c r="N40" s="1">
        <v>37</v>
      </c>
      <c r="O40" s="1">
        <v>1552.2706000000001</v>
      </c>
      <c r="P40" s="1">
        <v>2824.1851000000001</v>
      </c>
      <c r="Q40" s="1">
        <v>437.37580000000003</v>
      </c>
      <c r="R40" s="1">
        <v>0.32246051819636801</v>
      </c>
      <c r="S40" s="1">
        <v>0.586681336893491</v>
      </c>
      <c r="T40" s="1">
        <v>2824.1851000000001</v>
      </c>
      <c r="U40" s="1">
        <v>0.137286542187153</v>
      </c>
      <c r="V40" s="1">
        <v>0.561999863599704</v>
      </c>
      <c r="W40" s="1">
        <v>5698.3417809099701</v>
      </c>
      <c r="X40" s="1">
        <v>8.9460257730367407E-2</v>
      </c>
      <c r="Y40" s="1">
        <v>552.37128055244</v>
      </c>
      <c r="Z40" s="1">
        <v>73.816750926493697</v>
      </c>
      <c r="AA40" s="1">
        <v>1.01</v>
      </c>
      <c r="AB40" s="1">
        <v>0</v>
      </c>
      <c r="AC40" s="1" t="s">
        <v>27</v>
      </c>
      <c r="AD40" s="1" t="s">
        <v>28</v>
      </c>
      <c r="AE40" s="1">
        <v>1</v>
      </c>
      <c r="AF40" s="1" t="s">
        <v>26</v>
      </c>
      <c r="AG40" s="7">
        <v>45611</v>
      </c>
      <c r="AH40" s="8">
        <v>0.39347222222222222</v>
      </c>
    </row>
    <row r="41" spans="2:34">
      <c r="B41" s="47"/>
      <c r="C41" s="9">
        <v>0.34157999999999999</v>
      </c>
      <c r="D41" s="9">
        <v>0.55496000000000001</v>
      </c>
      <c r="E41" s="77">
        <v>145</v>
      </c>
      <c r="F41" s="77">
        <v>255</v>
      </c>
      <c r="G41" s="77">
        <v>40</v>
      </c>
      <c r="H41" s="77"/>
      <c r="I41" s="1">
        <v>52</v>
      </c>
      <c r="J41" s="1">
        <v>141</v>
      </c>
      <c r="K41" s="1">
        <v>4</v>
      </c>
      <c r="L41" s="1" t="str">
        <f t="shared" si="0"/>
        <v>{52,141,4},</v>
      </c>
      <c r="N41" s="1">
        <v>38</v>
      </c>
      <c r="O41" s="1">
        <v>1465.5519999999999</v>
      </c>
      <c r="P41" s="1">
        <v>2828.4780000000001</v>
      </c>
      <c r="Q41" s="1">
        <v>524.41765999999996</v>
      </c>
      <c r="R41" s="1">
        <v>0.30415438817903401</v>
      </c>
      <c r="S41" s="1">
        <v>0.58701021565107103</v>
      </c>
      <c r="T41" s="1">
        <v>2828.4780000000001</v>
      </c>
      <c r="U41" s="1">
        <v>0.12893615506054201</v>
      </c>
      <c r="V41" s="1">
        <v>0.55989785792997904</v>
      </c>
      <c r="W41" s="1">
        <v>6011.1938364949301</v>
      </c>
      <c r="X41" s="1">
        <v>9.5013021230818895E-2</v>
      </c>
      <c r="Y41" s="1">
        <v>548.50250016334599</v>
      </c>
      <c r="Z41" s="1">
        <v>68.803430187765599</v>
      </c>
      <c r="AA41" s="1">
        <v>1.04</v>
      </c>
      <c r="AB41" s="1">
        <v>0</v>
      </c>
      <c r="AC41" s="1" t="s">
        <v>27</v>
      </c>
      <c r="AD41" s="1" t="s">
        <v>28</v>
      </c>
      <c r="AE41" s="1">
        <v>1</v>
      </c>
      <c r="AF41" s="1" t="s">
        <v>26</v>
      </c>
      <c r="AG41" s="7">
        <v>45611</v>
      </c>
      <c r="AH41" s="8">
        <v>0.39350694444444445</v>
      </c>
    </row>
    <row r="42" spans="2:34">
      <c r="B42" s="48"/>
      <c r="C42" s="9">
        <v>0.33204</v>
      </c>
      <c r="D42" s="9">
        <v>0.54901</v>
      </c>
      <c r="E42" s="77">
        <v>135</v>
      </c>
      <c r="F42" s="77">
        <v>255</v>
      </c>
      <c r="G42" s="77">
        <v>60</v>
      </c>
      <c r="H42" s="77"/>
      <c r="I42" s="1">
        <v>47</v>
      </c>
      <c r="J42" s="1">
        <v>140</v>
      </c>
      <c r="K42" s="1">
        <v>9</v>
      </c>
      <c r="L42" s="1" t="str">
        <f t="shared" si="0"/>
        <v>{47,140,9},</v>
      </c>
      <c r="N42" s="1">
        <v>39</v>
      </c>
      <c r="O42" s="1">
        <v>1382.2638999999999</v>
      </c>
      <c r="P42" s="1">
        <v>2775.3483000000001</v>
      </c>
      <c r="Q42" s="1">
        <v>657.93006000000003</v>
      </c>
      <c r="R42" s="1">
        <v>0.287042211524482</v>
      </c>
      <c r="S42" s="1">
        <v>0.57633141817760702</v>
      </c>
      <c r="T42" s="1">
        <v>2775.3483000000001</v>
      </c>
      <c r="U42" s="1">
        <v>0.122905378584885</v>
      </c>
      <c r="V42" s="1">
        <v>0.55523896371158799</v>
      </c>
      <c r="W42" s="1">
        <v>6338.5820866272998</v>
      </c>
      <c r="X42" s="1">
        <v>9.7889049487800098E-2</v>
      </c>
      <c r="Y42" s="1">
        <v>543.84804803452403</v>
      </c>
      <c r="Z42" s="1">
        <v>61.0416170989891</v>
      </c>
      <c r="AA42" s="1">
        <v>1.02</v>
      </c>
      <c r="AB42" s="1">
        <v>0</v>
      </c>
      <c r="AC42" s="1" t="s">
        <v>27</v>
      </c>
      <c r="AD42" s="1" t="s">
        <v>28</v>
      </c>
      <c r="AE42" s="1">
        <v>1</v>
      </c>
      <c r="AF42" s="1" t="s">
        <v>26</v>
      </c>
      <c r="AG42" s="7">
        <v>45611</v>
      </c>
      <c r="AH42" s="8">
        <v>0.39354166666666668</v>
      </c>
    </row>
    <row r="43" spans="2:34">
      <c r="B43" s="49"/>
      <c r="C43" s="9">
        <v>0.32227</v>
      </c>
      <c r="D43" s="9">
        <v>0.53583000000000003</v>
      </c>
      <c r="E43" s="77">
        <v>125</v>
      </c>
      <c r="F43" s="77">
        <v>250</v>
      </c>
      <c r="G43" s="77">
        <v>80</v>
      </c>
      <c r="H43" s="77"/>
      <c r="I43" s="1">
        <v>44</v>
      </c>
      <c r="J43" s="1">
        <v>137</v>
      </c>
      <c r="K43" s="1">
        <v>16</v>
      </c>
      <c r="L43" s="1" t="str">
        <f t="shared" si="0"/>
        <v>{44,137,16},</v>
      </c>
      <c r="N43" s="1">
        <v>40</v>
      </c>
      <c r="O43" s="1">
        <v>1344.7792999999999</v>
      </c>
      <c r="P43" s="1">
        <v>2708.2478999999998</v>
      </c>
      <c r="Q43" s="1">
        <v>852.79911000000004</v>
      </c>
      <c r="R43" s="1">
        <v>0.27411881608177002</v>
      </c>
      <c r="S43" s="1">
        <v>0.55204724522748105</v>
      </c>
      <c r="T43" s="1">
        <v>2708.2478999999998</v>
      </c>
      <c r="U43" s="1">
        <v>0.120806024859699</v>
      </c>
      <c r="V43" s="1">
        <v>0.54740468718596702</v>
      </c>
      <c r="W43" s="1">
        <v>6660.2218892369101</v>
      </c>
      <c r="X43" s="1">
        <v>9.6516683426691702E-2</v>
      </c>
      <c r="Y43" s="1">
        <v>538.21684829892399</v>
      </c>
      <c r="Z43" s="1">
        <v>50.741303023792199</v>
      </c>
      <c r="AA43" s="1">
        <v>1.05</v>
      </c>
      <c r="AB43" s="1">
        <v>0</v>
      </c>
      <c r="AC43" s="1" t="s">
        <v>27</v>
      </c>
      <c r="AD43" s="1" t="s">
        <v>28</v>
      </c>
      <c r="AE43" s="1">
        <v>1</v>
      </c>
      <c r="AF43" s="1" t="s">
        <v>26</v>
      </c>
      <c r="AG43" s="7">
        <v>45611</v>
      </c>
      <c r="AH43" s="8">
        <v>0.39357638888888891</v>
      </c>
    </row>
    <row r="44" spans="2:34">
      <c r="B44" s="50"/>
      <c r="C44" s="9">
        <v>0.31078</v>
      </c>
      <c r="D44" s="9">
        <v>0.51671</v>
      </c>
      <c r="E44" s="77">
        <v>115</v>
      </c>
      <c r="F44" s="77">
        <v>245</v>
      </c>
      <c r="G44" s="77">
        <v>100</v>
      </c>
      <c r="H44" s="77"/>
      <c r="I44" s="1">
        <v>39</v>
      </c>
      <c r="J44" s="1">
        <v>135</v>
      </c>
      <c r="K44" s="1">
        <v>25</v>
      </c>
      <c r="L44" s="1" t="str">
        <f t="shared" si="0"/>
        <v>{39,135,25},</v>
      </c>
      <c r="N44" s="1">
        <v>41</v>
      </c>
      <c r="O44" s="1">
        <v>1274.6971000000001</v>
      </c>
      <c r="P44" s="1">
        <v>2641.2667999999999</v>
      </c>
      <c r="Q44" s="1">
        <v>1097.5091</v>
      </c>
      <c r="R44" s="1">
        <v>0.25425430634612001</v>
      </c>
      <c r="S44" s="1">
        <v>0.52683375376709896</v>
      </c>
      <c r="T44" s="1">
        <v>2641.2667999999999</v>
      </c>
      <c r="U44" s="1">
        <v>0.115393162426742</v>
      </c>
      <c r="V44" s="1">
        <v>0.53798215273708005</v>
      </c>
      <c r="W44" s="1">
        <v>7216.8888509372</v>
      </c>
      <c r="X44" s="1">
        <v>9.7483798147800602E-2</v>
      </c>
      <c r="Y44" s="1">
        <v>527.66846069528799</v>
      </c>
      <c r="Z44" s="1">
        <v>40.078305004681297</v>
      </c>
      <c r="AA44" s="1">
        <v>1.05</v>
      </c>
      <c r="AB44" s="1">
        <v>0</v>
      </c>
      <c r="AC44" s="1" t="s">
        <v>27</v>
      </c>
      <c r="AD44" s="1" t="s">
        <v>28</v>
      </c>
      <c r="AE44" s="1">
        <v>1</v>
      </c>
      <c r="AF44" s="1" t="s">
        <v>26</v>
      </c>
      <c r="AG44" s="7">
        <v>45611</v>
      </c>
      <c r="AH44" s="8">
        <v>0.39361111111111113</v>
      </c>
    </row>
    <row r="45" spans="2:34">
      <c r="B45" s="51"/>
      <c r="C45" s="9">
        <v>0.29782999999999998</v>
      </c>
      <c r="D45" s="9">
        <v>0.49186999999999997</v>
      </c>
      <c r="E45" s="77">
        <v>105</v>
      </c>
      <c r="F45" s="77">
        <v>240</v>
      </c>
      <c r="G45" s="77">
        <v>120</v>
      </c>
      <c r="H45" s="77"/>
      <c r="I45" s="1">
        <v>36</v>
      </c>
      <c r="J45" s="1">
        <v>131</v>
      </c>
      <c r="K45" s="1">
        <v>36</v>
      </c>
      <c r="L45" s="1" t="str">
        <f t="shared" si="0"/>
        <v>{36,131,36},</v>
      </c>
      <c r="N45" s="1">
        <v>42</v>
      </c>
      <c r="O45" s="1">
        <v>1250.0458000000001</v>
      </c>
      <c r="P45" s="1">
        <v>2562.1610000000001</v>
      </c>
      <c r="Q45" s="1">
        <v>1395.5286000000001</v>
      </c>
      <c r="R45" s="1">
        <v>0.24003635054115799</v>
      </c>
      <c r="S45" s="1">
        <v>0.49199139418642501</v>
      </c>
      <c r="T45" s="1">
        <v>2562.1610000000001</v>
      </c>
      <c r="U45" s="1">
        <v>0.11397975537494399</v>
      </c>
      <c r="V45" s="1">
        <v>0.52564281166757798</v>
      </c>
      <c r="W45" s="1">
        <v>7842.5574449820597</v>
      </c>
      <c r="X45" s="1">
        <v>9.4349691487455797E-2</v>
      </c>
      <c r="Y45" s="1">
        <v>516.21376901411202</v>
      </c>
      <c r="Z45" s="1">
        <v>32.559343811306697</v>
      </c>
      <c r="AA45" s="1">
        <v>1.05</v>
      </c>
      <c r="AB45" s="1">
        <v>0</v>
      </c>
      <c r="AC45" s="1" t="s">
        <v>27</v>
      </c>
      <c r="AD45" s="1" t="s">
        <v>28</v>
      </c>
      <c r="AE45" s="1">
        <v>1</v>
      </c>
      <c r="AF45" s="1" t="s">
        <v>26</v>
      </c>
      <c r="AG45" s="7">
        <v>45611</v>
      </c>
      <c r="AH45" s="8">
        <v>0.39364583333333331</v>
      </c>
    </row>
    <row r="46" spans="2:34">
      <c r="B46" s="52"/>
      <c r="C46" s="9">
        <v>0.28387000000000001</v>
      </c>
      <c r="D46" s="9">
        <v>0.46206999999999998</v>
      </c>
      <c r="E46" s="77">
        <v>95</v>
      </c>
      <c r="F46" s="77">
        <v>235</v>
      </c>
      <c r="G46" s="77">
        <v>140</v>
      </c>
      <c r="H46" s="77"/>
      <c r="I46" s="1">
        <v>34</v>
      </c>
      <c r="J46" s="1">
        <v>127</v>
      </c>
      <c r="K46" s="1">
        <v>48</v>
      </c>
      <c r="L46" s="1" t="str">
        <f t="shared" si="0"/>
        <v>{34,127,48},</v>
      </c>
      <c r="N46" s="1">
        <v>43</v>
      </c>
      <c r="O46" s="1">
        <v>1255.6208999999999</v>
      </c>
      <c r="P46" s="1">
        <v>2495.1725999999999</v>
      </c>
      <c r="Q46" s="1">
        <v>1724.7621999999999</v>
      </c>
      <c r="R46" s="1">
        <v>0.22931387585008001</v>
      </c>
      <c r="S46" s="1">
        <v>0.45569303586848697</v>
      </c>
      <c r="T46" s="1">
        <v>2495.1725999999999</v>
      </c>
      <c r="U46" s="1">
        <v>0.11451824661264</v>
      </c>
      <c r="V46" s="1">
        <v>0.51203454807321203</v>
      </c>
      <c r="W46" s="1">
        <v>8603.5603371151792</v>
      </c>
      <c r="X46" s="1">
        <v>8.9394796992884898E-2</v>
      </c>
      <c r="Y46" s="1">
        <v>508.03388353398202</v>
      </c>
      <c r="Z46" s="1">
        <v>31.980563134268699</v>
      </c>
      <c r="AA46" s="1">
        <v>1.08</v>
      </c>
      <c r="AB46" s="1">
        <v>0</v>
      </c>
      <c r="AC46" s="1" t="s">
        <v>27</v>
      </c>
      <c r="AD46" s="1" t="s">
        <v>28</v>
      </c>
      <c r="AE46" s="1">
        <v>1</v>
      </c>
      <c r="AF46" s="1" t="s">
        <v>26</v>
      </c>
      <c r="AG46" s="7">
        <v>45611</v>
      </c>
      <c r="AH46" s="8">
        <v>0.39368055555555553</v>
      </c>
    </row>
    <row r="47" spans="2:34">
      <c r="B47" s="53"/>
      <c r="C47" s="9">
        <v>0.26945000000000002</v>
      </c>
      <c r="D47" s="9">
        <v>0.42860999999999999</v>
      </c>
      <c r="E47" s="77">
        <v>85</v>
      </c>
      <c r="F47" s="77">
        <v>230</v>
      </c>
      <c r="G47" s="77">
        <v>160</v>
      </c>
      <c r="H47" s="77"/>
      <c r="I47" s="1">
        <v>31</v>
      </c>
      <c r="J47" s="1">
        <v>126</v>
      </c>
      <c r="K47" s="1">
        <v>61</v>
      </c>
      <c r="L47" s="1" t="str">
        <f t="shared" si="0"/>
        <v>{31,126,61},</v>
      </c>
      <c r="N47" s="1">
        <v>44</v>
      </c>
      <c r="O47" s="1">
        <v>1249.8581999999999</v>
      </c>
      <c r="P47" s="1">
        <v>2472.8171000000002</v>
      </c>
      <c r="Q47" s="1">
        <v>2089.0893999999998</v>
      </c>
      <c r="R47" s="1">
        <v>0.215056573092163</v>
      </c>
      <c r="S47" s="1">
        <v>0.42548472411486299</v>
      </c>
      <c r="T47" s="1">
        <v>2472.8171000000002</v>
      </c>
      <c r="U47" s="1">
        <v>0.112071328384146</v>
      </c>
      <c r="V47" s="1">
        <v>0.49889400958290298</v>
      </c>
      <c r="W47" s="1">
        <v>9754.6760595521791</v>
      </c>
      <c r="X47" s="1">
        <v>8.7549341790386107E-2</v>
      </c>
      <c r="Y47" s="1">
        <v>502.09694373908798</v>
      </c>
      <c r="Z47" s="1">
        <v>36.000532613246897</v>
      </c>
      <c r="AA47" s="1">
        <v>1.07</v>
      </c>
      <c r="AB47" s="1">
        <v>0</v>
      </c>
      <c r="AC47" s="1" t="s">
        <v>27</v>
      </c>
      <c r="AD47" s="1" t="s">
        <v>28</v>
      </c>
      <c r="AE47" s="1">
        <v>1</v>
      </c>
      <c r="AF47" s="1" t="s">
        <v>26</v>
      </c>
      <c r="AG47" s="7">
        <v>45611</v>
      </c>
      <c r="AH47" s="8">
        <v>0.39371527777777776</v>
      </c>
    </row>
    <row r="48" spans="2:34">
      <c r="B48" s="54"/>
      <c r="C48" s="9">
        <v>0.25219999999999998</v>
      </c>
      <c r="D48" s="9">
        <v>0.39354</v>
      </c>
      <c r="E48" s="77">
        <v>65</v>
      </c>
      <c r="F48" s="77">
        <v>225</v>
      </c>
      <c r="G48" s="77">
        <v>180</v>
      </c>
      <c r="H48" s="77"/>
      <c r="I48" s="1">
        <v>22</v>
      </c>
      <c r="J48" s="1">
        <v>118</v>
      </c>
      <c r="K48" s="1">
        <v>78</v>
      </c>
      <c r="L48" s="1" t="str">
        <f t="shared" si="0"/>
        <v>{22,118,78},</v>
      </c>
      <c r="N48" s="1">
        <v>45</v>
      </c>
      <c r="O48" s="1">
        <v>1116.0934999999999</v>
      </c>
      <c r="P48" s="1">
        <v>2281.8773999999999</v>
      </c>
      <c r="Q48" s="1">
        <v>2539.1484999999998</v>
      </c>
      <c r="R48" s="1">
        <v>0.18798569218601199</v>
      </c>
      <c r="S48" s="1">
        <v>0.38434083033600402</v>
      </c>
      <c r="T48" s="1">
        <v>2281.8773999999999</v>
      </c>
      <c r="U48" s="1">
        <v>0.103915208197069</v>
      </c>
      <c r="V48" s="1">
        <v>0.47802802496176799</v>
      </c>
      <c r="W48" s="1">
        <v>13085.989142808899</v>
      </c>
      <c r="X48" s="1">
        <v>8.9374905218445502E-2</v>
      </c>
      <c r="Y48" s="1">
        <v>496.24148737045499</v>
      </c>
      <c r="Z48" s="1">
        <v>46.224796298389599</v>
      </c>
      <c r="AA48" s="1">
        <v>1.07</v>
      </c>
      <c r="AB48" s="1">
        <v>0</v>
      </c>
      <c r="AC48" s="1" t="s">
        <v>27</v>
      </c>
      <c r="AD48" s="1" t="s">
        <v>28</v>
      </c>
      <c r="AE48" s="1">
        <v>1</v>
      </c>
      <c r="AF48" s="1" t="s">
        <v>26</v>
      </c>
      <c r="AG48" s="7">
        <v>45611</v>
      </c>
      <c r="AH48" s="8">
        <v>0.39374999999999999</v>
      </c>
    </row>
    <row r="49" spans="2:34">
      <c r="B49" s="55"/>
      <c r="C49" s="9">
        <v>0.23707</v>
      </c>
      <c r="D49" s="9">
        <v>0.35731000000000002</v>
      </c>
      <c r="E49" s="77">
        <v>45</v>
      </c>
      <c r="F49" s="77">
        <v>220</v>
      </c>
      <c r="G49" s="77">
        <v>200</v>
      </c>
      <c r="H49" s="77"/>
      <c r="I49" s="1">
        <v>18</v>
      </c>
      <c r="J49" s="1">
        <v>113</v>
      </c>
      <c r="K49" s="1">
        <v>94</v>
      </c>
      <c r="L49" s="1" t="str">
        <f t="shared" si="0"/>
        <v>{18,113,94},</v>
      </c>
      <c r="N49" s="1">
        <v>46</v>
      </c>
      <c r="O49" s="1">
        <v>1090.0220999999999</v>
      </c>
      <c r="P49" s="1">
        <v>2183.5063</v>
      </c>
      <c r="Q49" s="1">
        <v>2972.8094999999998</v>
      </c>
      <c r="R49" s="1">
        <v>0.17450578522176999</v>
      </c>
      <c r="S49" s="1">
        <v>0.349565831204873</v>
      </c>
      <c r="T49" s="1">
        <v>2183.5063</v>
      </c>
      <c r="U49" s="1">
        <v>0.101964028002674</v>
      </c>
      <c r="V49" s="1">
        <v>0.45956680090590202</v>
      </c>
      <c r="W49" s="1">
        <v>18379.0852646317</v>
      </c>
      <c r="X49" s="1">
        <v>8.6954379734949197E-2</v>
      </c>
      <c r="Y49" s="1">
        <v>493.02388215172198</v>
      </c>
      <c r="Z49" s="1">
        <v>52.648331232842303</v>
      </c>
      <c r="AA49" s="1">
        <v>1.0900000000000001</v>
      </c>
      <c r="AB49" s="1">
        <v>0</v>
      </c>
      <c r="AC49" s="1" t="s">
        <v>27</v>
      </c>
      <c r="AD49" s="1" t="s">
        <v>28</v>
      </c>
      <c r="AE49" s="1">
        <v>1</v>
      </c>
      <c r="AF49" s="1" t="s">
        <v>26</v>
      </c>
      <c r="AG49" s="7">
        <v>45611</v>
      </c>
      <c r="AH49" s="8">
        <v>0.39378472222222222</v>
      </c>
    </row>
    <row r="50" spans="2:34">
      <c r="B50" s="56"/>
      <c r="C50" s="9">
        <v>0.22702</v>
      </c>
      <c r="D50" s="9">
        <v>0.32877000000000001</v>
      </c>
      <c r="E50" s="77">
        <v>31</v>
      </c>
      <c r="F50" s="77">
        <v>210</v>
      </c>
      <c r="G50" s="77">
        <v>210</v>
      </c>
      <c r="H50" s="77"/>
      <c r="I50" s="1">
        <v>13</v>
      </c>
      <c r="J50" s="1">
        <v>105</v>
      </c>
      <c r="K50" s="1">
        <v>104</v>
      </c>
      <c r="L50" s="1" t="str">
        <f t="shared" si="0"/>
        <v>{13,105,104},</v>
      </c>
      <c r="N50" s="1">
        <v>47</v>
      </c>
      <c r="O50" s="1">
        <v>1012.4897999999999</v>
      </c>
      <c r="P50" s="1">
        <v>2022.8710000000001</v>
      </c>
      <c r="Q50" s="1">
        <v>3239.7262999999998</v>
      </c>
      <c r="R50" s="1">
        <v>0.16135071655021299</v>
      </c>
      <c r="S50" s="1">
        <v>0.32236540589213503</v>
      </c>
      <c r="T50" s="1">
        <v>2022.8710000000001</v>
      </c>
      <c r="U50" s="1">
        <v>9.8599767671774294E-2</v>
      </c>
      <c r="V50" s="1">
        <v>0.44323693326829799</v>
      </c>
      <c r="W50" s="1">
        <v>32476.838085849398</v>
      </c>
      <c r="X50" s="1">
        <v>8.6919733053326301E-2</v>
      </c>
      <c r="Y50" s="1">
        <v>490.89745782487199</v>
      </c>
      <c r="Z50" s="1">
        <v>58.878631987173698</v>
      </c>
      <c r="AA50" s="1">
        <v>1.0900000000000001</v>
      </c>
      <c r="AB50" s="1">
        <v>0</v>
      </c>
      <c r="AC50" s="1" t="s">
        <v>27</v>
      </c>
      <c r="AD50" s="1" t="s">
        <v>28</v>
      </c>
      <c r="AE50" s="1">
        <v>1</v>
      </c>
      <c r="AF50" s="1" t="s">
        <v>26</v>
      </c>
      <c r="AG50" s="7">
        <v>45611</v>
      </c>
      <c r="AH50" s="8">
        <v>0.39381944444444444</v>
      </c>
    </row>
    <row r="51" spans="2:34">
      <c r="B51" s="57"/>
      <c r="C51" s="9">
        <v>0.21748999999999999</v>
      </c>
      <c r="D51" s="9">
        <v>0.3</v>
      </c>
      <c r="E51" s="77">
        <v>15</v>
      </c>
      <c r="F51" s="77">
        <v>200</v>
      </c>
      <c r="G51" s="77">
        <v>220</v>
      </c>
      <c r="H51" s="77"/>
      <c r="I51" s="1">
        <v>7</v>
      </c>
      <c r="J51" s="1">
        <v>95</v>
      </c>
      <c r="K51" s="1">
        <v>113</v>
      </c>
      <c r="L51" s="1" t="str">
        <f t="shared" si="0"/>
        <v>{7,95,113},</v>
      </c>
      <c r="N51" s="1">
        <v>48</v>
      </c>
      <c r="O51" s="1">
        <v>899.92577000000006</v>
      </c>
      <c r="P51" s="1">
        <v>1813.7366999999999</v>
      </c>
      <c r="Q51" s="1">
        <v>3460.4703</v>
      </c>
      <c r="R51" s="1">
        <v>0.145757437282969</v>
      </c>
      <c r="S51" s="1">
        <v>0.293763799316548</v>
      </c>
      <c r="T51" s="1">
        <v>1813.7366999999999</v>
      </c>
      <c r="U51" s="1">
        <v>9.3529422096127204E-2</v>
      </c>
      <c r="V51" s="1">
        <v>0.424129344709684</v>
      </c>
      <c r="W51" s="1" t="s">
        <v>26</v>
      </c>
      <c r="X51" s="1" t="s">
        <v>26</v>
      </c>
      <c r="Y51" s="1">
        <v>488.97933127991098</v>
      </c>
      <c r="Z51" s="1">
        <v>66.233012227633594</v>
      </c>
      <c r="AA51" s="1">
        <v>1.1100000000000001</v>
      </c>
      <c r="AB51" s="1">
        <v>0</v>
      </c>
      <c r="AC51" s="1" t="s">
        <v>27</v>
      </c>
      <c r="AD51" s="1" t="s">
        <v>28</v>
      </c>
      <c r="AE51" s="1">
        <v>1</v>
      </c>
      <c r="AF51" s="1" t="s">
        <v>26</v>
      </c>
      <c r="AG51" s="7">
        <v>45611</v>
      </c>
      <c r="AH51" s="8">
        <v>0.39385416666666667</v>
      </c>
    </row>
    <row r="52" spans="2:34">
      <c r="B52" s="58"/>
      <c r="C52" s="9">
        <v>0.20907000000000001</v>
      </c>
      <c r="D52" s="9">
        <v>0.27172000000000002</v>
      </c>
      <c r="E52" s="77">
        <v>5</v>
      </c>
      <c r="F52" s="77">
        <v>190</v>
      </c>
      <c r="G52" s="77">
        <v>230</v>
      </c>
      <c r="H52" s="77"/>
      <c r="I52" s="1">
        <v>2</v>
      </c>
      <c r="J52" s="1">
        <v>88</v>
      </c>
      <c r="K52" s="1">
        <v>124</v>
      </c>
      <c r="L52" s="1" t="str">
        <f t="shared" si="0"/>
        <v>{2,88,124},</v>
      </c>
      <c r="N52" s="1">
        <v>49</v>
      </c>
      <c r="O52" s="1">
        <v>826.82509000000005</v>
      </c>
      <c r="P52" s="1">
        <v>1667.9277999999999</v>
      </c>
      <c r="Q52" s="1">
        <v>3751.7917000000002</v>
      </c>
      <c r="R52" s="1">
        <v>0.13236519456271101</v>
      </c>
      <c r="S52" s="1">
        <v>0.26701607200085598</v>
      </c>
      <c r="T52" s="1">
        <v>1667.9277999999999</v>
      </c>
      <c r="U52" s="1">
        <v>8.9142877910194804E-2</v>
      </c>
      <c r="V52" s="1">
        <v>0.40460641988554602</v>
      </c>
      <c r="W52" s="1" t="s">
        <v>26</v>
      </c>
      <c r="X52" s="1" t="s">
        <v>26</v>
      </c>
      <c r="Y52" s="1">
        <v>487.374660659195</v>
      </c>
      <c r="Z52" s="1">
        <v>72.876698083993404</v>
      </c>
      <c r="AA52" s="1">
        <v>1.0900000000000001</v>
      </c>
      <c r="AB52" s="1">
        <v>0</v>
      </c>
      <c r="AC52" s="1" t="s">
        <v>27</v>
      </c>
      <c r="AD52" s="1" t="s">
        <v>28</v>
      </c>
      <c r="AE52" s="1">
        <v>1</v>
      </c>
      <c r="AF52" s="1" t="s">
        <v>26</v>
      </c>
      <c r="AG52" s="7">
        <v>45611</v>
      </c>
      <c r="AH52" s="8">
        <v>0.3938888888888889</v>
      </c>
    </row>
    <row r="53" spans="2:34">
      <c r="B53" s="59"/>
      <c r="C53" s="9">
        <v>0.20125000000000001</v>
      </c>
      <c r="D53" s="9">
        <v>0.2445</v>
      </c>
      <c r="E53" s="77">
        <v>0</v>
      </c>
      <c r="F53" s="77">
        <v>180</v>
      </c>
      <c r="G53" s="77">
        <v>240</v>
      </c>
      <c r="H53" s="77"/>
      <c r="I53" s="1">
        <v>0</v>
      </c>
      <c r="J53" s="1">
        <v>81</v>
      </c>
      <c r="K53" s="1">
        <v>138</v>
      </c>
      <c r="L53" s="1" t="str">
        <f t="shared" si="0"/>
        <v>{0,81,138},</v>
      </c>
      <c r="N53" s="1">
        <v>50</v>
      </c>
      <c r="O53" s="1">
        <v>841.41277000000002</v>
      </c>
      <c r="P53" s="1">
        <v>1556.7507000000001</v>
      </c>
      <c r="Q53" s="1">
        <v>4117.6732000000002</v>
      </c>
      <c r="R53" s="1">
        <v>0.12913349622067799</v>
      </c>
      <c r="S53" s="1">
        <v>0.23891800529125301</v>
      </c>
      <c r="T53" s="1">
        <v>1556.7507000000001</v>
      </c>
      <c r="U53" s="1">
        <v>9.2094329473305203E-2</v>
      </c>
      <c r="V53" s="1">
        <v>0.38337640361174502</v>
      </c>
      <c r="W53" s="1" t="s">
        <v>26</v>
      </c>
      <c r="X53" s="1" t="s">
        <v>26</v>
      </c>
      <c r="Y53" s="1">
        <v>485.53958119233602</v>
      </c>
      <c r="Z53" s="1">
        <v>76.427404624009</v>
      </c>
      <c r="AA53" s="1">
        <v>1.1100000000000001</v>
      </c>
      <c r="AB53" s="1">
        <v>0</v>
      </c>
      <c r="AC53" s="1" t="s">
        <v>27</v>
      </c>
      <c r="AD53" s="1" t="s">
        <v>28</v>
      </c>
      <c r="AE53" s="1">
        <v>1</v>
      </c>
      <c r="AF53" s="1" t="s">
        <v>26</v>
      </c>
      <c r="AG53" s="7">
        <v>45611</v>
      </c>
      <c r="AH53" s="8">
        <v>0.39392361111111113</v>
      </c>
    </row>
    <row r="54" spans="2:34">
      <c r="B54" s="60"/>
      <c r="C54" s="9">
        <v>0.19209000000000001</v>
      </c>
      <c r="D54" s="9">
        <v>0.21151</v>
      </c>
      <c r="E54" s="77">
        <v>0</v>
      </c>
      <c r="F54" s="77">
        <v>165</v>
      </c>
      <c r="G54" s="77">
        <v>250</v>
      </c>
      <c r="H54" s="77"/>
      <c r="I54" s="1">
        <v>0</v>
      </c>
      <c r="J54" s="1">
        <v>71</v>
      </c>
      <c r="K54" s="1">
        <v>159</v>
      </c>
      <c r="L54" s="1" t="str">
        <f t="shared" si="0"/>
        <v>{0,71,159},</v>
      </c>
      <c r="N54" s="1">
        <v>51</v>
      </c>
      <c r="O54" s="1">
        <v>914.19428000000005</v>
      </c>
      <c r="P54" s="1">
        <v>1427.3362</v>
      </c>
      <c r="Q54" s="1">
        <v>4682.3307999999997</v>
      </c>
      <c r="R54" s="1">
        <v>0.13015551468863901</v>
      </c>
      <c r="S54" s="1">
        <v>0.20321247005037699</v>
      </c>
      <c r="T54" s="1">
        <v>1427.3362</v>
      </c>
      <c r="U54" s="1">
        <v>0.100540376340666</v>
      </c>
      <c r="V54" s="1">
        <v>0.353191957297607</v>
      </c>
      <c r="W54" s="1" t="s">
        <v>26</v>
      </c>
      <c r="X54" s="1" t="s">
        <v>26</v>
      </c>
      <c r="Y54" s="1">
        <v>482.96711326513099</v>
      </c>
      <c r="Z54" s="1">
        <v>79.656021027589304</v>
      </c>
      <c r="AA54" s="1">
        <v>1.1000000000000001</v>
      </c>
      <c r="AB54" s="1">
        <v>0</v>
      </c>
      <c r="AC54" s="1" t="s">
        <v>27</v>
      </c>
      <c r="AD54" s="1" t="s">
        <v>28</v>
      </c>
      <c r="AE54" s="1">
        <v>1</v>
      </c>
      <c r="AF54" s="1" t="s">
        <v>26</v>
      </c>
      <c r="AG54" s="7">
        <v>45611</v>
      </c>
      <c r="AH54" s="8">
        <v>0.39395833333333335</v>
      </c>
    </row>
    <row r="55" spans="2:34">
      <c r="B55" s="61"/>
      <c r="C55" s="9">
        <v>0.18481</v>
      </c>
      <c r="D55" s="9">
        <v>0.18532000000000001</v>
      </c>
      <c r="E55" s="77">
        <v>0</v>
      </c>
      <c r="F55" s="77">
        <v>150</v>
      </c>
      <c r="G55" s="77">
        <v>255</v>
      </c>
      <c r="H55" s="77"/>
      <c r="I55" s="1">
        <v>0</v>
      </c>
      <c r="J55" s="1">
        <v>63</v>
      </c>
      <c r="K55" s="1">
        <v>168</v>
      </c>
      <c r="L55" s="1" t="str">
        <f t="shared" si="0"/>
        <v>{0,63,168},</v>
      </c>
      <c r="N55" s="1">
        <v>52</v>
      </c>
      <c r="O55" s="1">
        <v>937.11193000000003</v>
      </c>
      <c r="P55" s="1">
        <v>1312.1521</v>
      </c>
      <c r="Q55" s="1">
        <v>4918.9745000000003</v>
      </c>
      <c r="R55" s="1">
        <v>0.130731130957496</v>
      </c>
      <c r="S55" s="1">
        <v>0.18305084219902501</v>
      </c>
      <c r="T55" s="1">
        <v>1312.1521</v>
      </c>
      <c r="U55" s="1">
        <v>0.10595924181189199</v>
      </c>
      <c r="V55" s="1">
        <v>0.33382132242221502</v>
      </c>
      <c r="W55" s="1" t="s">
        <v>26</v>
      </c>
      <c r="X55" s="1" t="s">
        <v>26</v>
      </c>
      <c r="Y55" s="1">
        <v>481.39893492050101</v>
      </c>
      <c r="Z55" s="1">
        <v>81.687600125101</v>
      </c>
      <c r="AA55" s="1">
        <v>1.1000000000000001</v>
      </c>
      <c r="AB55" s="1">
        <v>0</v>
      </c>
      <c r="AC55" s="1" t="s">
        <v>27</v>
      </c>
      <c r="AD55" s="1" t="s">
        <v>28</v>
      </c>
      <c r="AE55" s="1">
        <v>1</v>
      </c>
      <c r="AF55" s="1" t="s">
        <v>26</v>
      </c>
      <c r="AG55" s="7">
        <v>45611</v>
      </c>
      <c r="AH55" s="8">
        <v>0.39399305555555558</v>
      </c>
    </row>
    <row r="56" spans="2:34">
      <c r="B56" s="62"/>
      <c r="C56" s="9">
        <v>0.17716999999999999</v>
      </c>
      <c r="D56" s="9">
        <v>0.15781000000000001</v>
      </c>
      <c r="E56" s="77">
        <v>0</v>
      </c>
      <c r="F56" s="77">
        <v>130</v>
      </c>
      <c r="G56" s="77">
        <v>255</v>
      </c>
      <c r="H56" s="77"/>
      <c r="I56" s="1">
        <v>0</v>
      </c>
      <c r="J56" s="1">
        <v>51</v>
      </c>
      <c r="K56" s="1">
        <v>178</v>
      </c>
      <c r="L56" s="1" t="str">
        <f t="shared" si="0"/>
        <v>{0,51,178},</v>
      </c>
      <c r="N56" s="1">
        <v>53</v>
      </c>
      <c r="O56" s="1">
        <v>950.93407000000002</v>
      </c>
      <c r="P56" s="1">
        <v>1125.9782</v>
      </c>
      <c r="Q56" s="1">
        <v>5153.4953999999998</v>
      </c>
      <c r="R56" s="1">
        <v>0.13151873495951899</v>
      </c>
      <c r="S56" s="1">
        <v>0.155728176250953</v>
      </c>
      <c r="T56" s="1">
        <v>1125.9782</v>
      </c>
      <c r="U56" s="1">
        <v>0.114222564681583</v>
      </c>
      <c r="V56" s="1">
        <v>0.30430844170300098</v>
      </c>
      <c r="W56" s="1" t="s">
        <v>26</v>
      </c>
      <c r="X56" s="1" t="s">
        <v>26</v>
      </c>
      <c r="Y56" s="1">
        <v>479.13243274032999</v>
      </c>
      <c r="Z56" s="1">
        <v>84.594775096137496</v>
      </c>
      <c r="AA56" s="1">
        <v>1.1299999999999999</v>
      </c>
      <c r="AB56" s="1">
        <v>0</v>
      </c>
      <c r="AC56" s="1" t="s">
        <v>27</v>
      </c>
      <c r="AD56" s="1" t="s">
        <v>28</v>
      </c>
      <c r="AE56" s="1">
        <v>1</v>
      </c>
      <c r="AF56" s="1" t="s">
        <v>26</v>
      </c>
      <c r="AG56" s="7">
        <v>45611</v>
      </c>
      <c r="AH56" s="8">
        <v>0.39402777777777775</v>
      </c>
    </row>
    <row r="57" spans="2:34">
      <c r="B57" s="63"/>
      <c r="C57" s="9">
        <v>0.17007</v>
      </c>
      <c r="D57" s="9">
        <v>0.13227</v>
      </c>
      <c r="E57" s="77">
        <v>0</v>
      </c>
      <c r="F57" s="77">
        <v>110</v>
      </c>
      <c r="G57" s="77">
        <v>255</v>
      </c>
      <c r="H57" s="77"/>
      <c r="I57" s="1">
        <v>0</v>
      </c>
      <c r="J57" s="1">
        <v>40</v>
      </c>
      <c r="K57" s="1">
        <v>191</v>
      </c>
      <c r="L57" s="1" t="str">
        <f t="shared" si="0"/>
        <v>{0,40,191},</v>
      </c>
      <c r="N57" s="1">
        <v>54</v>
      </c>
      <c r="O57" s="1">
        <v>985.74873000000002</v>
      </c>
      <c r="P57" s="1">
        <v>967.65239999999994</v>
      </c>
      <c r="Q57" s="1">
        <v>5498.8312999999998</v>
      </c>
      <c r="R57" s="1">
        <v>0.13227562871385101</v>
      </c>
      <c r="S57" s="1">
        <v>0.12984731878525199</v>
      </c>
      <c r="T57" s="1">
        <v>967.65239999999994</v>
      </c>
      <c r="U57" s="1">
        <v>0.123230033813299</v>
      </c>
      <c r="V57" s="1">
        <v>0.27217751062780499</v>
      </c>
      <c r="W57" s="1" t="s">
        <v>26</v>
      </c>
      <c r="X57" s="1" t="s">
        <v>26</v>
      </c>
      <c r="Y57" s="1">
        <v>476.75672296544298</v>
      </c>
      <c r="Z57" s="1">
        <v>87.5242370360357</v>
      </c>
      <c r="AA57" s="1">
        <v>1.1100000000000001</v>
      </c>
      <c r="AB57" s="1">
        <v>0</v>
      </c>
      <c r="AC57" s="1" t="s">
        <v>27</v>
      </c>
      <c r="AD57" s="1" t="s">
        <v>28</v>
      </c>
      <c r="AE57" s="1">
        <v>1</v>
      </c>
      <c r="AF57" s="1" t="s">
        <v>26</v>
      </c>
      <c r="AG57" s="7">
        <v>45611</v>
      </c>
      <c r="AH57" s="8">
        <v>0.39406249999999998</v>
      </c>
    </row>
    <row r="58" spans="2:34">
      <c r="B58" s="64"/>
      <c r="C58" s="9">
        <v>0.1638</v>
      </c>
      <c r="D58" s="9">
        <v>0.10967</v>
      </c>
      <c r="E58" s="77">
        <v>0</v>
      </c>
      <c r="F58" s="77">
        <v>90</v>
      </c>
      <c r="G58" s="77">
        <v>255</v>
      </c>
      <c r="H58" s="77"/>
      <c r="I58" s="1">
        <v>0</v>
      </c>
      <c r="J58" s="1">
        <v>29</v>
      </c>
      <c r="K58" s="1">
        <v>199</v>
      </c>
      <c r="L58" s="1" t="str">
        <f t="shared" si="0"/>
        <v>{0,29,199},</v>
      </c>
      <c r="N58" s="1">
        <v>55</v>
      </c>
      <c r="O58" s="1">
        <v>993.52453000000003</v>
      </c>
      <c r="P58" s="1">
        <v>796.97688000000005</v>
      </c>
      <c r="Q58" s="1">
        <v>5682.1355000000003</v>
      </c>
      <c r="R58" s="1">
        <v>0.13295501199455401</v>
      </c>
      <c r="S58" s="1">
        <v>0.10665269697949201</v>
      </c>
      <c r="T58" s="1">
        <v>796.97688000000005</v>
      </c>
      <c r="U58" s="1">
        <v>0.13249385587499399</v>
      </c>
      <c r="V58" s="1">
        <v>0.23913623422810801</v>
      </c>
      <c r="W58" s="1" t="s">
        <v>26</v>
      </c>
      <c r="X58" s="1" t="s">
        <v>26</v>
      </c>
      <c r="Y58" s="1">
        <v>474.37041747868</v>
      </c>
      <c r="Z58" s="1">
        <v>90.365239124870897</v>
      </c>
      <c r="AA58" s="1">
        <v>1.1100000000000001</v>
      </c>
      <c r="AB58" s="1">
        <v>0</v>
      </c>
      <c r="AC58" s="1" t="s">
        <v>27</v>
      </c>
      <c r="AD58" s="1" t="s">
        <v>28</v>
      </c>
      <c r="AE58" s="1">
        <v>1</v>
      </c>
      <c r="AF58" s="1" t="s">
        <v>26</v>
      </c>
      <c r="AG58" s="7">
        <v>45611</v>
      </c>
      <c r="AH58" s="8">
        <v>0.39409722222222221</v>
      </c>
    </row>
    <row r="59" spans="2:34">
      <c r="B59" s="65"/>
      <c r="C59" s="9">
        <v>0.15858</v>
      </c>
      <c r="D59" s="9">
        <v>9.0899999999999995E-2</v>
      </c>
      <c r="E59" s="77">
        <v>0</v>
      </c>
      <c r="F59" s="77">
        <v>70</v>
      </c>
      <c r="G59" s="77">
        <v>255</v>
      </c>
      <c r="H59" s="77"/>
      <c r="I59" s="1">
        <v>0</v>
      </c>
      <c r="J59" s="1">
        <v>18</v>
      </c>
      <c r="K59" s="1">
        <v>199</v>
      </c>
      <c r="L59" s="1" t="str">
        <f t="shared" si="0"/>
        <v>{0,18,199},</v>
      </c>
      <c r="N59" s="1">
        <v>56</v>
      </c>
      <c r="O59" s="1">
        <v>966.952</v>
      </c>
      <c r="P59" s="1">
        <v>616.40142000000003</v>
      </c>
      <c r="Q59" s="1">
        <v>5654.5165999999999</v>
      </c>
      <c r="R59" s="1">
        <v>0.133596209565532</v>
      </c>
      <c r="S59" s="1">
        <v>8.5163372414361199E-2</v>
      </c>
      <c r="T59" s="1">
        <v>616.40142000000003</v>
      </c>
      <c r="U59" s="1">
        <v>0.14232166439274899</v>
      </c>
      <c r="V59" s="1">
        <v>0.20413254335688</v>
      </c>
      <c r="W59" s="1" t="s">
        <v>26</v>
      </c>
      <c r="X59" s="1" t="s">
        <v>26</v>
      </c>
      <c r="Y59" s="1">
        <v>471.86397915525498</v>
      </c>
      <c r="Z59" s="1">
        <v>93.222762586604802</v>
      </c>
      <c r="AA59" s="1">
        <v>1.1299999999999999</v>
      </c>
      <c r="AB59" s="1">
        <v>0</v>
      </c>
      <c r="AC59" s="1" t="s">
        <v>27</v>
      </c>
      <c r="AD59" s="1" t="s">
        <v>28</v>
      </c>
      <c r="AE59" s="1">
        <v>1</v>
      </c>
      <c r="AF59" s="1" t="s">
        <v>26</v>
      </c>
      <c r="AG59" s="7">
        <v>45611</v>
      </c>
      <c r="AH59" s="8">
        <v>0.39413194444444444</v>
      </c>
    </row>
    <row r="60" spans="2:34">
      <c r="B60" s="66"/>
      <c r="C60" s="9">
        <v>0.15568000000000001</v>
      </c>
      <c r="D60" s="9">
        <v>7.7740000000000004E-2</v>
      </c>
      <c r="E60" s="77">
        <v>11</v>
      </c>
      <c r="F60" s="77">
        <v>50</v>
      </c>
      <c r="G60" s="77">
        <v>250</v>
      </c>
      <c r="H60" s="77"/>
      <c r="I60" s="1">
        <v>3</v>
      </c>
      <c r="J60" s="1">
        <v>10</v>
      </c>
      <c r="K60" s="1">
        <v>188</v>
      </c>
      <c r="L60" s="1" t="str">
        <f t="shared" si="0"/>
        <v>{3,10,188},</v>
      </c>
      <c r="N60" s="1">
        <v>57</v>
      </c>
      <c r="O60" s="1">
        <v>947.17394999999999</v>
      </c>
      <c r="P60" s="1">
        <v>488.25407999999999</v>
      </c>
      <c r="Q60" s="1">
        <v>5308.8491999999997</v>
      </c>
      <c r="R60" s="1">
        <v>0.140441135157785</v>
      </c>
      <c r="S60" s="1">
        <v>7.2395315813552394E-2</v>
      </c>
      <c r="T60" s="1">
        <v>488.25407999999999</v>
      </c>
      <c r="U60" s="1">
        <v>0.15657364075682501</v>
      </c>
      <c r="V60" s="1">
        <v>0.181600610500259</v>
      </c>
      <c r="W60" s="1" t="s">
        <v>26</v>
      </c>
      <c r="X60" s="1" t="s">
        <v>26</v>
      </c>
      <c r="Y60" s="1">
        <v>469.04193836705798</v>
      </c>
      <c r="Z60" s="1">
        <v>93.284482108108605</v>
      </c>
      <c r="AA60" s="1">
        <v>1.1200000000000001</v>
      </c>
      <c r="AB60" s="1">
        <v>0</v>
      </c>
      <c r="AC60" s="1" t="s">
        <v>27</v>
      </c>
      <c r="AD60" s="1" t="s">
        <v>28</v>
      </c>
      <c r="AE60" s="1">
        <v>1</v>
      </c>
      <c r="AF60" s="1" t="s">
        <v>26</v>
      </c>
      <c r="AG60" s="7">
        <v>45611</v>
      </c>
      <c r="AH60" s="8">
        <v>0.39416666666666667</v>
      </c>
    </row>
    <row r="61" spans="2:34">
      <c r="B61" s="67"/>
      <c r="C61" s="9">
        <v>0.15636</v>
      </c>
      <c r="D61" s="9">
        <v>7.4219999999999994E-2</v>
      </c>
      <c r="E61" s="77">
        <v>25</v>
      </c>
      <c r="F61" s="77">
        <v>40</v>
      </c>
      <c r="G61" s="77">
        <v>240</v>
      </c>
      <c r="H61" s="77"/>
      <c r="I61" s="1">
        <v>5</v>
      </c>
      <c r="J61" s="1">
        <v>7</v>
      </c>
      <c r="K61" s="1">
        <v>169</v>
      </c>
      <c r="L61" s="1" t="str">
        <f t="shared" si="0"/>
        <v>{5,7,169},</v>
      </c>
      <c r="N61" s="1">
        <v>58</v>
      </c>
      <c r="O61" s="1">
        <v>895.30661999999995</v>
      </c>
      <c r="P61" s="1">
        <v>426.30734999999999</v>
      </c>
      <c r="Q61" s="1">
        <v>4771.8343000000004</v>
      </c>
      <c r="R61" s="1">
        <v>0.146929387159629</v>
      </c>
      <c r="S61" s="1">
        <v>6.9961593355743701E-2</v>
      </c>
      <c r="T61" s="1">
        <v>426.30734999999999</v>
      </c>
      <c r="U61" s="1">
        <v>0.16575593152661999</v>
      </c>
      <c r="V61" s="1">
        <v>0.177583504085744</v>
      </c>
      <c r="W61" s="1" t="s">
        <v>26</v>
      </c>
      <c r="X61" s="1" t="s">
        <v>26</v>
      </c>
      <c r="Y61" s="1">
        <v>467.30812956363599</v>
      </c>
      <c r="Z61" s="1">
        <v>91.974599133066803</v>
      </c>
      <c r="AA61" s="1">
        <v>1.1100000000000001</v>
      </c>
      <c r="AB61" s="1">
        <v>0</v>
      </c>
      <c r="AC61" s="1" t="s">
        <v>27</v>
      </c>
      <c r="AD61" s="1" t="s">
        <v>28</v>
      </c>
      <c r="AE61" s="1">
        <v>1</v>
      </c>
      <c r="AF61" s="1" t="s">
        <v>26</v>
      </c>
      <c r="AG61" s="7">
        <v>45611</v>
      </c>
      <c r="AH61" s="8">
        <v>0.39420138888888889</v>
      </c>
    </row>
    <row r="62" spans="2:34">
      <c r="B62" s="68"/>
      <c r="C62" s="9">
        <v>0.15744</v>
      </c>
      <c r="D62" s="9">
        <v>7.0999999999999994E-2</v>
      </c>
      <c r="E62" s="77">
        <v>35</v>
      </c>
      <c r="F62" s="77">
        <v>30</v>
      </c>
      <c r="G62" s="77">
        <v>235</v>
      </c>
      <c r="H62" s="77"/>
      <c r="I62" s="1">
        <v>8</v>
      </c>
      <c r="J62" s="1">
        <v>5</v>
      </c>
      <c r="K62" s="1">
        <v>185</v>
      </c>
      <c r="L62" s="1" t="str">
        <f t="shared" si="0"/>
        <v>{8,5,185},</v>
      </c>
      <c r="N62" s="1">
        <v>59</v>
      </c>
      <c r="O62" s="1">
        <v>1030.1999000000001</v>
      </c>
      <c r="P62" s="1">
        <v>449.72608000000002</v>
      </c>
      <c r="Q62" s="1">
        <v>5222.4219999999996</v>
      </c>
      <c r="R62" s="1">
        <v>0.15370731317952299</v>
      </c>
      <c r="S62" s="1">
        <v>6.7099780754743807E-2</v>
      </c>
      <c r="T62" s="1">
        <v>449.72608000000002</v>
      </c>
      <c r="U62" s="1">
        <v>0.17577685578146099</v>
      </c>
      <c r="V62" s="1">
        <v>0.17265166856158201</v>
      </c>
      <c r="W62" s="1" t="s">
        <v>26</v>
      </c>
      <c r="X62" s="1" t="s">
        <v>26</v>
      </c>
      <c r="Y62" s="1">
        <v>465.04122662540601</v>
      </c>
      <c r="Z62" s="1">
        <v>90.760041060434801</v>
      </c>
      <c r="AA62" s="1">
        <v>1.1299999999999999</v>
      </c>
      <c r="AB62" s="1">
        <v>0</v>
      </c>
      <c r="AC62" s="1" t="s">
        <v>27</v>
      </c>
      <c r="AD62" s="1" t="s">
        <v>28</v>
      </c>
      <c r="AE62" s="1">
        <v>1</v>
      </c>
      <c r="AF62" s="1" t="s">
        <v>26</v>
      </c>
      <c r="AG62" s="7">
        <v>45611</v>
      </c>
      <c r="AH62" s="8">
        <v>0.39423611111111112</v>
      </c>
    </row>
    <row r="63" spans="2:34">
      <c r="B63" s="69"/>
      <c r="C63" s="9">
        <v>0.16023999999999999</v>
      </c>
      <c r="D63" s="9">
        <v>6.9739999999999996E-2</v>
      </c>
      <c r="E63" s="77">
        <v>45</v>
      </c>
      <c r="F63" s="77">
        <v>20</v>
      </c>
      <c r="G63" s="77">
        <v>225</v>
      </c>
      <c r="H63" s="77"/>
      <c r="I63" s="1">
        <v>11</v>
      </c>
      <c r="J63" s="1">
        <v>4</v>
      </c>
      <c r="K63" s="1">
        <v>169</v>
      </c>
      <c r="L63" s="1" t="str">
        <f t="shared" si="0"/>
        <v>{11,4,169},</v>
      </c>
      <c r="N63" s="1">
        <v>60</v>
      </c>
      <c r="O63" s="1">
        <v>1017.2096</v>
      </c>
      <c r="P63" s="1">
        <v>436.24461000000002</v>
      </c>
      <c r="Q63" s="1">
        <v>4762.9877999999999</v>
      </c>
      <c r="R63" s="1">
        <v>0.16363212242045799</v>
      </c>
      <c r="S63" s="1">
        <v>7.0175931714353795E-2</v>
      </c>
      <c r="T63" s="1">
        <v>436.24461000000002</v>
      </c>
      <c r="U63" s="1">
        <v>0.18621820569994399</v>
      </c>
      <c r="V63" s="1">
        <v>0.17969015350529699</v>
      </c>
      <c r="W63" s="1" t="s">
        <v>26</v>
      </c>
      <c r="X63" s="1" t="s">
        <v>26</v>
      </c>
      <c r="Y63" s="1">
        <v>462.33760029729098</v>
      </c>
      <c r="Z63" s="1">
        <v>87.880753508224203</v>
      </c>
      <c r="AA63" s="1">
        <v>1.1100000000000001</v>
      </c>
      <c r="AB63" s="1">
        <v>0</v>
      </c>
      <c r="AC63" s="1" t="s">
        <v>27</v>
      </c>
      <c r="AD63" s="1" t="s">
        <v>28</v>
      </c>
      <c r="AE63" s="1">
        <v>1</v>
      </c>
      <c r="AF63" s="1" t="s">
        <v>26</v>
      </c>
      <c r="AG63" s="7">
        <v>45611</v>
      </c>
      <c r="AH63" s="8">
        <v>0.39427083333333335</v>
      </c>
    </row>
    <row r="64" spans="2:34">
      <c r="B64" s="70"/>
      <c r="C64" s="9">
        <v>0.16305</v>
      </c>
      <c r="D64" s="9">
        <v>6.9159999999999999E-2</v>
      </c>
      <c r="E64" s="77">
        <v>51</v>
      </c>
      <c r="F64" s="77">
        <v>10</v>
      </c>
      <c r="G64" s="77">
        <v>215</v>
      </c>
      <c r="H64" s="77"/>
      <c r="I64" s="1">
        <v>12</v>
      </c>
      <c r="J64" s="1">
        <v>3</v>
      </c>
      <c r="K64" s="1">
        <v>157</v>
      </c>
      <c r="L64" s="1" t="str">
        <f t="shared" si="0"/>
        <v>{12,3,157},</v>
      </c>
      <c r="N64" s="1">
        <v>61</v>
      </c>
      <c r="O64" s="1">
        <v>981.26643999999999</v>
      </c>
      <c r="P64" s="1">
        <v>410.35681</v>
      </c>
      <c r="Q64" s="1">
        <v>4421.2813999999998</v>
      </c>
      <c r="R64" s="1">
        <v>0.16880828072760501</v>
      </c>
      <c r="S64" s="1">
        <v>7.0594106510933397E-2</v>
      </c>
      <c r="T64" s="1">
        <v>410.35681</v>
      </c>
      <c r="U64" s="1">
        <v>0.192400819550231</v>
      </c>
      <c r="V64" s="1">
        <v>0.181035662181662</v>
      </c>
      <c r="W64" s="1" t="s">
        <v>26</v>
      </c>
      <c r="X64" s="1" t="s">
        <v>26</v>
      </c>
      <c r="Y64" s="1">
        <v>460.28955504596303</v>
      </c>
      <c r="Z64" s="1">
        <v>86.6724984375399</v>
      </c>
      <c r="AA64" s="1">
        <v>1.1299999999999999</v>
      </c>
      <c r="AB64" s="1">
        <v>0</v>
      </c>
      <c r="AC64" s="1" t="s">
        <v>27</v>
      </c>
      <c r="AD64" s="1" t="s">
        <v>28</v>
      </c>
      <c r="AE64" s="1">
        <v>1</v>
      </c>
      <c r="AF64" s="1" t="s">
        <v>26</v>
      </c>
      <c r="AG64" s="7">
        <v>45611</v>
      </c>
      <c r="AH64" s="8">
        <v>0.39430555555555558</v>
      </c>
    </row>
    <row r="65" spans="2:34">
      <c r="B65" s="71"/>
      <c r="C65" s="9">
        <v>0.16621</v>
      </c>
      <c r="D65" s="9">
        <v>7.0019999999999999E-2</v>
      </c>
      <c r="E65" s="77">
        <v>55</v>
      </c>
      <c r="F65" s="77">
        <v>5</v>
      </c>
      <c r="G65" s="77">
        <v>205</v>
      </c>
      <c r="H65" s="77"/>
      <c r="I65" s="1">
        <v>13</v>
      </c>
      <c r="J65" s="1">
        <v>2</v>
      </c>
      <c r="K65" s="1">
        <v>144</v>
      </c>
      <c r="L65" s="1" t="str">
        <f t="shared" si="0"/>
        <v>{13,2,144},</v>
      </c>
      <c r="N65" s="1">
        <v>62</v>
      </c>
      <c r="O65" s="1">
        <v>938.36072000000001</v>
      </c>
      <c r="P65" s="1">
        <v>380.14445000000001</v>
      </c>
      <c r="Q65" s="1">
        <v>4049.9965999999999</v>
      </c>
      <c r="R65" s="1">
        <v>0.17479005506595899</v>
      </c>
      <c r="S65" s="1">
        <v>7.0810156406076796E-2</v>
      </c>
      <c r="T65" s="1">
        <v>380.14445000000001</v>
      </c>
      <c r="U65" s="1">
        <v>0.19975197202221601</v>
      </c>
      <c r="V65" s="1">
        <v>0.18207588438569899</v>
      </c>
      <c r="W65" s="1" t="s">
        <v>26</v>
      </c>
      <c r="X65" s="1" t="s">
        <v>26</v>
      </c>
      <c r="Y65" s="1">
        <v>457.47285028245</v>
      </c>
      <c r="Z65" s="1">
        <v>85.393030843927306</v>
      </c>
      <c r="AA65" s="1">
        <v>1.1299999999999999</v>
      </c>
      <c r="AB65" s="1">
        <v>0</v>
      </c>
      <c r="AC65" s="1" t="s">
        <v>27</v>
      </c>
      <c r="AD65" s="1" t="s">
        <v>28</v>
      </c>
      <c r="AE65" s="1">
        <v>1</v>
      </c>
      <c r="AF65" s="1" t="s">
        <v>26</v>
      </c>
      <c r="AG65" s="7">
        <v>45611</v>
      </c>
      <c r="AH65" s="8">
        <v>0.39435185185185184</v>
      </c>
    </row>
    <row r="66" spans="2:34">
      <c r="B66" s="72"/>
      <c r="C66" s="9">
        <v>0.16888</v>
      </c>
      <c r="D66" s="9">
        <v>7.1050000000000002E-2</v>
      </c>
      <c r="E66" s="77">
        <v>60</v>
      </c>
      <c r="F66" s="77">
        <v>3</v>
      </c>
      <c r="G66" s="77">
        <v>195</v>
      </c>
      <c r="H66" s="77"/>
      <c r="I66" s="1">
        <v>15</v>
      </c>
      <c r="J66" s="1">
        <v>1</v>
      </c>
      <c r="K66" s="1">
        <v>136</v>
      </c>
      <c r="L66" s="1" t="str">
        <f t="shared" si="0"/>
        <v>{15,1,136},</v>
      </c>
      <c r="N66" s="1">
        <v>63</v>
      </c>
      <c r="O66" s="1">
        <v>943.70630000000006</v>
      </c>
      <c r="P66" s="1">
        <v>371.28942999999998</v>
      </c>
      <c r="Q66" s="1">
        <v>3824.5120999999999</v>
      </c>
      <c r="R66" s="1">
        <v>0.183618029432986</v>
      </c>
      <c r="S66" s="1">
        <v>7.2242215068286E-2</v>
      </c>
      <c r="T66" s="1">
        <v>371.28942999999998</v>
      </c>
      <c r="U66" s="1">
        <v>0.20986893283941799</v>
      </c>
      <c r="V66" s="1">
        <v>0.18578318488440301</v>
      </c>
      <c r="W66" s="1" t="s">
        <v>26</v>
      </c>
      <c r="X66" s="1" t="s">
        <v>26</v>
      </c>
      <c r="Y66" s="1">
        <v>452.65768299748697</v>
      </c>
      <c r="Z66" s="1">
        <v>83.383443802981802</v>
      </c>
      <c r="AA66" s="1">
        <v>1.1499999999999999</v>
      </c>
      <c r="AB66" s="1">
        <v>0</v>
      </c>
      <c r="AC66" s="1" t="s">
        <v>27</v>
      </c>
      <c r="AD66" s="1" t="s">
        <v>28</v>
      </c>
      <c r="AE66" s="1">
        <v>1</v>
      </c>
      <c r="AF66" s="1" t="s">
        <v>26</v>
      </c>
      <c r="AG66" s="7">
        <v>45611</v>
      </c>
      <c r="AH66" s="8">
        <v>0.39438657407407407</v>
      </c>
    </row>
    <row r="67" spans="2:34">
      <c r="B67" s="73"/>
      <c r="C67" s="9">
        <v>0.17568</v>
      </c>
      <c r="D67" s="9">
        <v>7.4660000000000004E-2</v>
      </c>
      <c r="E67" s="77">
        <v>65</v>
      </c>
      <c r="F67" s="77">
        <v>2</v>
      </c>
      <c r="G67" s="77">
        <v>190</v>
      </c>
      <c r="H67" s="77"/>
      <c r="I67" s="1">
        <v>17</v>
      </c>
      <c r="J67" s="1">
        <v>0</v>
      </c>
      <c r="K67" s="1">
        <v>129</v>
      </c>
      <c r="L67" s="1" t="str">
        <f t="shared" si="0"/>
        <v>{17,0,129},</v>
      </c>
      <c r="N67" s="1">
        <v>64</v>
      </c>
      <c r="O67" s="1">
        <v>952.42471</v>
      </c>
      <c r="P67" s="1">
        <v>371.51760000000002</v>
      </c>
      <c r="Q67" s="1">
        <v>3624.8218000000002</v>
      </c>
      <c r="R67" s="1">
        <v>0.192457083997079</v>
      </c>
      <c r="S67" s="1">
        <v>7.5072804389538797E-2</v>
      </c>
      <c r="T67" s="1">
        <v>371.51760000000002</v>
      </c>
      <c r="U67" s="1">
        <v>0.21895256169549199</v>
      </c>
      <c r="V67" s="1">
        <v>0.19216809592084499</v>
      </c>
      <c r="W67" s="1" t="s">
        <v>26</v>
      </c>
      <c r="X67" s="1" t="s">
        <v>26</v>
      </c>
      <c r="Y67" s="1">
        <v>446.720029097718</v>
      </c>
      <c r="Z67" s="1">
        <v>81.135281744263096</v>
      </c>
      <c r="AA67" s="1">
        <v>1.1299999999999999</v>
      </c>
      <c r="AB67" s="1">
        <v>0</v>
      </c>
      <c r="AC67" s="1" t="s">
        <v>27</v>
      </c>
      <c r="AD67" s="1" t="s">
        <v>28</v>
      </c>
      <c r="AE67" s="1">
        <v>1</v>
      </c>
      <c r="AF67" s="1" t="s">
        <v>26</v>
      </c>
      <c r="AG67" s="7">
        <v>45611</v>
      </c>
      <c r="AH67" s="8">
        <v>0.3944097222222222</v>
      </c>
    </row>
  </sheetData>
  <mergeCells count="4">
    <mergeCell ref="C2:D2"/>
    <mergeCell ref="N2:AH2"/>
    <mergeCell ref="E2:G2"/>
    <mergeCell ref="I2:L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전문가색상 54색</vt:lpstr>
      <vt:lpstr>커스텀컬러 64색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2024-11-15T08:59:21Z</dcterms:modified>
</cp:coreProperties>
</file>