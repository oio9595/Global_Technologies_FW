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SAL_JIG\SAL_JIG_ES0\측정자료\color_debug\"/>
    </mc:Choice>
  </mc:AlternateContent>
  <xr:revisionPtr revIDLastSave="0" documentId="13_ncr:1_{FED34C18-7BBF-4B61-A21C-1141E6D31216}" xr6:coauthVersionLast="47" xr6:coauthVersionMax="47" xr10:uidLastSave="{00000000-0000-0000-0000-000000000000}"/>
  <bookViews>
    <workbookView xWindow="43080" yWindow="4095" windowWidth="29040" windowHeight="15720" xr2:uid="{967D24EE-733A-49D0-9973-3E27CA05F4C5}"/>
  </bookViews>
  <sheets>
    <sheet name="ColorMeasurement_2411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1" i="1" l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B7" i="1"/>
</calcChain>
</file>

<file path=xl/sharedStrings.xml><?xml version="1.0" encoding="utf-8"?>
<sst xmlns="http://schemas.openxmlformats.org/spreadsheetml/2006/main" count="114" uniqueCount="30">
  <si>
    <t>No.</t>
  </si>
  <si>
    <t>X</t>
  </si>
  <si>
    <t>Y</t>
  </si>
  <si>
    <t>Z</t>
  </si>
  <si>
    <t>x</t>
  </si>
  <si>
    <t>y</t>
  </si>
  <si>
    <t>Lv [cd/m²]</t>
  </si>
  <si>
    <t>u'</t>
  </si>
  <si>
    <t>v'</t>
  </si>
  <si>
    <t>Tcp</t>
  </si>
  <si>
    <t>duv</t>
  </si>
  <si>
    <t>λd/λc</t>
  </si>
  <si>
    <t>Pe</t>
  </si>
  <si>
    <t>Δt</t>
  </si>
  <si>
    <t>ErrCode</t>
  </si>
  <si>
    <t>Sync Mode</t>
  </si>
  <si>
    <t>Meas Speed</t>
  </si>
  <si>
    <t>Averaging Times</t>
  </si>
  <si>
    <t>Integration Time</t>
  </si>
  <si>
    <t>Date</t>
  </si>
  <si>
    <t>Time</t>
  </si>
  <si>
    <t>----</t>
  </si>
  <si>
    <t>UNIV</t>
  </si>
  <si>
    <t>FAST</t>
  </si>
  <si>
    <t>R</t>
    <phoneticPr fontId="18" type="noConversion"/>
  </si>
  <si>
    <t>G</t>
    <phoneticPr fontId="18" type="noConversion"/>
  </si>
  <si>
    <t>B</t>
    <phoneticPr fontId="18" type="noConversion"/>
  </si>
  <si>
    <t>R_AVG</t>
    <phoneticPr fontId="18" type="noConversion"/>
  </si>
  <si>
    <t>G_AVG</t>
    <phoneticPr fontId="18" type="noConversion"/>
  </si>
  <si>
    <t>B_AVG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</si>
</sst>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14" fontId="0" fillId="0" borderId="0" xfId="0" applyNumberFormat="1">
      <alignment vertical="center"/>
    </xf>
    <xf numFmtId="21" fontId="0" fillId="0" borderId="0" xfId="0" applyNumberFormat="1">
      <alignment vertical="center"/>
    </xf>
    <xf numFmtId="0" fontId="17" fillId="33" borderId="0" xfId="0" applyFont="1" applyFill="1" applyAlignment="1">
      <alignment horizontal="center" vertical="center"/>
    </xf>
    <xf numFmtId="0" fontId="19" fillId="33" borderId="0" xfId="0" applyFont="1" applyFill="1" applyAlignment="1">
      <alignment horizontal="center" vertical="center"/>
    </xf>
    <xf numFmtId="0" fontId="19" fillId="35" borderId="0" xfId="0" applyFont="1" applyFill="1" applyAlignment="1">
      <alignment horizontal="center" vertical="center"/>
    </xf>
    <xf numFmtId="0" fontId="19" fillId="34" borderId="0" xfId="0" applyFont="1" applyFill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colors>
    <mruColors>
      <color rgb="FF00FF00"/>
      <color rgb="FFFF00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0BC66-CB83-4D86-8F25-12B460194DC9}">
  <dimension ref="A1:U21"/>
  <sheetViews>
    <sheetView tabSelected="1" workbookViewId="0"/>
  </sheetViews>
  <sheetFormatPr defaultRowHeight="16.899999999999999" x14ac:dyDescent="0.6"/>
  <sheetData>
    <row r="1" spans="1:21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6">
      <c r="A2" s="3" t="s">
        <v>24</v>
      </c>
      <c r="B2">
        <v>5371.1239999999998</v>
      </c>
      <c r="C2">
        <v>2456.8213999999998</v>
      </c>
      <c r="D2">
        <v>-2.8164799999999999</v>
      </c>
      <c r="E2">
        <v>0.68639431438274601</v>
      </c>
      <c r="F2">
        <v>0.31396561323362798</v>
      </c>
      <c r="G2">
        <v>2456.8213999999998</v>
      </c>
      <c r="H2">
        <v>0.50893043372382196</v>
      </c>
      <c r="I2">
        <v>0.52378052648550399</v>
      </c>
      <c r="J2" t="s">
        <v>21</v>
      </c>
      <c r="K2" t="s">
        <v>21</v>
      </c>
      <c r="L2">
        <v>617.38226551058199</v>
      </c>
      <c r="M2">
        <v>100.15768877647901</v>
      </c>
      <c r="N2">
        <v>0.47</v>
      </c>
      <c r="O2">
        <v>0</v>
      </c>
      <c r="P2" t="s">
        <v>22</v>
      </c>
      <c r="Q2" t="s">
        <v>23</v>
      </c>
      <c r="R2">
        <v>1</v>
      </c>
      <c r="S2" t="s">
        <v>21</v>
      </c>
      <c r="T2" s="1">
        <v>45601</v>
      </c>
      <c r="U2" s="2">
        <v>0.72574074074074069</v>
      </c>
    </row>
    <row r="3" spans="1:21" x14ac:dyDescent="0.6">
      <c r="A3" s="4" t="s">
        <v>24</v>
      </c>
      <c r="B3">
        <v>5352.6653999999999</v>
      </c>
      <c r="C3">
        <v>2447.4594000000002</v>
      </c>
      <c r="D3">
        <v>-2.8112620000000001</v>
      </c>
      <c r="E3">
        <v>0.68647558853622204</v>
      </c>
      <c r="F3">
        <v>0.31388495384626702</v>
      </c>
      <c r="G3">
        <v>2447.4594000000002</v>
      </c>
      <c r="H3">
        <v>0.50909737439448699</v>
      </c>
      <c r="I3">
        <v>0.52375571571753599</v>
      </c>
      <c r="J3" t="s">
        <v>21</v>
      </c>
      <c r="K3" t="s">
        <v>21</v>
      </c>
      <c r="L3">
        <v>617.41767121666896</v>
      </c>
      <c r="M3">
        <v>100.15784138827</v>
      </c>
      <c r="N3">
        <v>0.51</v>
      </c>
      <c r="O3">
        <v>0</v>
      </c>
      <c r="P3" t="s">
        <v>22</v>
      </c>
      <c r="Q3" t="s">
        <v>23</v>
      </c>
      <c r="R3">
        <v>1</v>
      </c>
      <c r="S3" t="s">
        <v>21</v>
      </c>
      <c r="T3" s="1">
        <v>45601</v>
      </c>
      <c r="U3" s="2">
        <v>0.72576388888888888</v>
      </c>
    </row>
    <row r="4" spans="1:21" x14ac:dyDescent="0.6">
      <c r="A4" s="4" t="s">
        <v>24</v>
      </c>
      <c r="B4">
        <v>5352.7390999999998</v>
      </c>
      <c r="C4">
        <v>2447.2559000000001</v>
      </c>
      <c r="D4">
        <v>-2.8289409999999999</v>
      </c>
      <c r="E4">
        <v>0.68649802498710599</v>
      </c>
      <c r="F4">
        <v>0.31386479157709102</v>
      </c>
      <c r="G4">
        <v>2447.2559000000001</v>
      </c>
      <c r="H4">
        <v>0.50914108819107895</v>
      </c>
      <c r="I4">
        <v>0.52374992403759901</v>
      </c>
      <c r="J4" t="s">
        <v>21</v>
      </c>
      <c r="K4" t="s">
        <v>21</v>
      </c>
      <c r="L4">
        <v>617.42646452537497</v>
      </c>
      <c r="M4">
        <v>100.158516053894</v>
      </c>
      <c r="N4">
        <v>0.5</v>
      </c>
      <c r="O4">
        <v>0</v>
      </c>
      <c r="P4" t="s">
        <v>22</v>
      </c>
      <c r="Q4" t="s">
        <v>23</v>
      </c>
      <c r="R4">
        <v>1</v>
      </c>
      <c r="S4" t="s">
        <v>21</v>
      </c>
      <c r="T4" s="1">
        <v>45601</v>
      </c>
      <c r="U4" s="2">
        <v>0.72577546296296291</v>
      </c>
    </row>
    <row r="5" spans="1:21" x14ac:dyDescent="0.6">
      <c r="A5" s="4" t="s">
        <v>24</v>
      </c>
      <c r="B5">
        <v>5349.8014999999996</v>
      </c>
      <c r="C5">
        <v>2445.6747999999998</v>
      </c>
      <c r="D5">
        <v>-2.8078669999999999</v>
      </c>
      <c r="E5">
        <v>0.68651727530776596</v>
      </c>
      <c r="F5">
        <v>0.31384304632328203</v>
      </c>
      <c r="G5">
        <v>2445.6747999999998</v>
      </c>
      <c r="H5">
        <v>0.509183635359298</v>
      </c>
      <c r="I5">
        <v>0.52374271597439703</v>
      </c>
      <c r="J5" t="s">
        <v>21</v>
      </c>
      <c r="K5" t="s">
        <v>21</v>
      </c>
      <c r="L5">
        <v>617.43607374792703</v>
      </c>
      <c r="M5">
        <v>100.157758538528</v>
      </c>
      <c r="N5">
        <v>0.53</v>
      </c>
      <c r="O5">
        <v>0</v>
      </c>
      <c r="P5" t="s">
        <v>22</v>
      </c>
      <c r="Q5" t="s">
        <v>23</v>
      </c>
      <c r="R5">
        <v>1</v>
      </c>
      <c r="S5" t="s">
        <v>21</v>
      </c>
      <c r="T5" s="1">
        <v>45601</v>
      </c>
      <c r="U5" s="2">
        <v>0.7257986111111111</v>
      </c>
    </row>
    <row r="6" spans="1:21" x14ac:dyDescent="0.6">
      <c r="A6" s="4" t="s">
        <v>24</v>
      </c>
      <c r="B6">
        <v>5347.9349000000002</v>
      </c>
      <c r="C6">
        <v>2444.6840999999999</v>
      </c>
      <c r="D6">
        <v>-2.8188439999999999</v>
      </c>
      <c r="E6">
        <v>0.68653043632715205</v>
      </c>
      <c r="F6">
        <v>0.31383142712807699</v>
      </c>
      <c r="G6">
        <v>2444.6840999999999</v>
      </c>
      <c r="H6">
        <v>0.50920904693091595</v>
      </c>
      <c r="I6">
        <v>0.52373942255137995</v>
      </c>
      <c r="J6" t="s">
        <v>21</v>
      </c>
      <c r="K6" t="s">
        <v>21</v>
      </c>
      <c r="L6">
        <v>617.44113406878</v>
      </c>
      <c r="M6">
        <v>100.158216752188</v>
      </c>
      <c r="N6">
        <v>0.53</v>
      </c>
      <c r="O6">
        <v>0</v>
      </c>
      <c r="P6" t="s">
        <v>22</v>
      </c>
      <c r="Q6" t="s">
        <v>23</v>
      </c>
      <c r="R6">
        <v>1</v>
      </c>
      <c r="S6" t="s">
        <v>21</v>
      </c>
      <c r="T6" s="1">
        <v>45601</v>
      </c>
      <c r="U6" s="2">
        <v>0.7257986111111111</v>
      </c>
    </row>
    <row r="7" spans="1:21" x14ac:dyDescent="0.6">
      <c r="A7" s="4" t="s">
        <v>27</v>
      </c>
      <c r="B7">
        <f>AVERAGE(B2:B6)</f>
        <v>5354.8529800000006</v>
      </c>
      <c r="C7">
        <f t="shared" ref="C7:U7" si="0">AVERAGE(C2:C6)</f>
        <v>2448.3791200000005</v>
      </c>
      <c r="D7">
        <f t="shared" si="0"/>
        <v>-2.8166788</v>
      </c>
      <c r="E7">
        <f t="shared" si="0"/>
        <v>0.68648312790819843</v>
      </c>
      <c r="F7">
        <f t="shared" si="0"/>
        <v>0.31387796642166899</v>
      </c>
      <c r="G7">
        <f t="shared" si="0"/>
        <v>2448.3791200000005</v>
      </c>
      <c r="H7">
        <f t="shared" si="0"/>
        <v>0.50911231571992033</v>
      </c>
      <c r="I7">
        <f t="shared" si="0"/>
        <v>0.52375366095328313</v>
      </c>
      <c r="J7" t="e">
        <f t="shared" si="0"/>
        <v>#DIV/0!</v>
      </c>
      <c r="K7" t="e">
        <f t="shared" si="0"/>
        <v>#DIV/0!</v>
      </c>
      <c r="L7">
        <f t="shared" si="0"/>
        <v>617.42072181386663</v>
      </c>
      <c r="M7">
        <f t="shared" si="0"/>
        <v>100.1580043018718</v>
      </c>
      <c r="N7">
        <f t="shared" si="0"/>
        <v>0.50800000000000001</v>
      </c>
      <c r="O7">
        <f t="shared" si="0"/>
        <v>0</v>
      </c>
      <c r="P7" t="e">
        <f t="shared" si="0"/>
        <v>#DIV/0!</v>
      </c>
      <c r="Q7" t="e">
        <f t="shared" si="0"/>
        <v>#DIV/0!</v>
      </c>
      <c r="R7">
        <f t="shared" si="0"/>
        <v>1</v>
      </c>
      <c r="S7" t="e">
        <f t="shared" si="0"/>
        <v>#DIV/0!</v>
      </c>
      <c r="T7">
        <f t="shared" si="0"/>
        <v>45601</v>
      </c>
      <c r="U7">
        <f t="shared" si="0"/>
        <v>0.72577546296296302</v>
      </c>
    </row>
    <row r="9" spans="1:21" x14ac:dyDescent="0.6">
      <c r="A9" s="5" t="s">
        <v>25</v>
      </c>
      <c r="B9">
        <v>669.36152000000004</v>
      </c>
      <c r="C9">
        <v>4378.2565000000004</v>
      </c>
      <c r="D9">
        <v>878.76094000000001</v>
      </c>
      <c r="E9">
        <v>0.112946121825459</v>
      </c>
      <c r="F9">
        <v>0.73877430544873601</v>
      </c>
      <c r="G9">
        <v>4378.2565000000004</v>
      </c>
      <c r="H9">
        <v>3.8815102990471702E-2</v>
      </c>
      <c r="I9">
        <v>0.57124672056731696</v>
      </c>
      <c r="J9" t="s">
        <v>21</v>
      </c>
      <c r="K9" t="s">
        <v>21</v>
      </c>
      <c r="L9">
        <v>518.485627687229</v>
      </c>
      <c r="M9">
        <v>81.499476301819996</v>
      </c>
      <c r="N9">
        <v>0.59</v>
      </c>
      <c r="O9">
        <v>0</v>
      </c>
      <c r="P9" t="s">
        <v>22</v>
      </c>
      <c r="Q9" t="s">
        <v>23</v>
      </c>
      <c r="R9">
        <v>1</v>
      </c>
      <c r="S9" t="s">
        <v>21</v>
      </c>
      <c r="T9" s="1">
        <v>45601</v>
      </c>
      <c r="U9" s="2">
        <v>0.72586805555555556</v>
      </c>
    </row>
    <row r="10" spans="1:21" x14ac:dyDescent="0.6">
      <c r="A10" s="5" t="s">
        <v>25</v>
      </c>
      <c r="B10">
        <v>668.62683000000004</v>
      </c>
      <c r="C10">
        <v>4373.5730000000003</v>
      </c>
      <c r="D10">
        <v>877.79202999999995</v>
      </c>
      <c r="E10">
        <v>0.11294387658161401</v>
      </c>
      <c r="F10">
        <v>0.73878023879580101</v>
      </c>
      <c r="G10">
        <v>4373.5730000000003</v>
      </c>
      <c r="H10">
        <v>3.88140789824526E-2</v>
      </c>
      <c r="I10">
        <v>0.57124759363818001</v>
      </c>
      <c r="J10" t="s">
        <v>21</v>
      </c>
      <c r="K10" t="s">
        <v>21</v>
      </c>
      <c r="L10">
        <v>518.48576220367704</v>
      </c>
      <c r="M10">
        <v>81.500606225718698</v>
      </c>
      <c r="N10">
        <v>0.62</v>
      </c>
      <c r="O10">
        <v>0</v>
      </c>
      <c r="P10" t="s">
        <v>22</v>
      </c>
      <c r="Q10" t="s">
        <v>23</v>
      </c>
      <c r="R10">
        <v>1</v>
      </c>
      <c r="S10" t="s">
        <v>21</v>
      </c>
      <c r="T10" s="1">
        <v>45601</v>
      </c>
      <c r="U10" s="2">
        <v>0.7258796296296296</v>
      </c>
    </row>
    <row r="11" spans="1:21" x14ac:dyDescent="0.6">
      <c r="A11" s="5" t="s">
        <v>25</v>
      </c>
      <c r="B11">
        <v>668.18389000000002</v>
      </c>
      <c r="C11">
        <v>4370.5137999999997</v>
      </c>
      <c r="D11">
        <v>877.06322999999998</v>
      </c>
      <c r="E11">
        <v>0.112949779248347</v>
      </c>
      <c r="F11">
        <v>0.73879148584659204</v>
      </c>
      <c r="G11">
        <v>4370.5137999999997</v>
      </c>
      <c r="H11">
        <v>3.8815696766213402E-2</v>
      </c>
      <c r="I11">
        <v>0.57125024570712102</v>
      </c>
      <c r="J11" t="s">
        <v>21</v>
      </c>
      <c r="K11" t="s">
        <v>21</v>
      </c>
      <c r="L11">
        <v>518.48741160068903</v>
      </c>
      <c r="M11">
        <v>81.502097436265998</v>
      </c>
      <c r="N11">
        <v>0.62</v>
      </c>
      <c r="O11">
        <v>0</v>
      </c>
      <c r="P11" t="s">
        <v>22</v>
      </c>
      <c r="Q11" t="s">
        <v>23</v>
      </c>
      <c r="R11">
        <v>1</v>
      </c>
      <c r="S11" t="s">
        <v>21</v>
      </c>
      <c r="T11" s="1">
        <v>45601</v>
      </c>
      <c r="U11" s="2">
        <v>0.72589120370370375</v>
      </c>
    </row>
    <row r="12" spans="1:21" x14ac:dyDescent="0.6">
      <c r="A12" s="5" t="s">
        <v>25</v>
      </c>
      <c r="B12">
        <v>668.44520999999997</v>
      </c>
      <c r="C12">
        <v>4372.473</v>
      </c>
      <c r="D12">
        <v>877.66243999999995</v>
      </c>
      <c r="E12">
        <v>0.112940120195878</v>
      </c>
      <c r="F12">
        <v>0.73877053614197197</v>
      </c>
      <c r="G12">
        <v>4372.473</v>
      </c>
      <c r="H12">
        <v>3.8813151273056401E-2</v>
      </c>
      <c r="I12">
        <v>0.57124543680894702</v>
      </c>
      <c r="J12" t="s">
        <v>21</v>
      </c>
      <c r="K12" t="s">
        <v>21</v>
      </c>
      <c r="L12">
        <v>518.48452260833596</v>
      </c>
      <c r="M12">
        <v>81.499234230644703</v>
      </c>
      <c r="N12">
        <v>0.65</v>
      </c>
      <c r="O12">
        <v>0</v>
      </c>
      <c r="P12" t="s">
        <v>22</v>
      </c>
      <c r="Q12" t="s">
        <v>23</v>
      </c>
      <c r="R12">
        <v>1</v>
      </c>
      <c r="S12" t="s">
        <v>21</v>
      </c>
      <c r="T12" s="1">
        <v>45601</v>
      </c>
      <c r="U12" s="2">
        <v>0.72589120370370375</v>
      </c>
    </row>
    <row r="13" spans="1:21" x14ac:dyDescent="0.6">
      <c r="A13" s="5" t="s">
        <v>25</v>
      </c>
      <c r="B13">
        <v>668.08204999999998</v>
      </c>
      <c r="C13">
        <v>4369.7371999999996</v>
      </c>
      <c r="D13">
        <v>876.91206</v>
      </c>
      <c r="E13">
        <v>0.11295222301484401</v>
      </c>
      <c r="F13">
        <v>0.73878879208124204</v>
      </c>
      <c r="G13">
        <v>4369.7371999999996</v>
      </c>
      <c r="H13">
        <v>3.88166606774362E-2</v>
      </c>
      <c r="I13">
        <v>0.57124998915841596</v>
      </c>
      <c r="J13" t="s">
        <v>21</v>
      </c>
      <c r="K13" t="s">
        <v>21</v>
      </c>
      <c r="L13">
        <v>518.48754606600505</v>
      </c>
      <c r="M13">
        <v>81.501493216035797</v>
      </c>
      <c r="N13">
        <v>0.62</v>
      </c>
      <c r="O13">
        <v>0</v>
      </c>
      <c r="P13" t="s">
        <v>22</v>
      </c>
      <c r="Q13" t="s">
        <v>23</v>
      </c>
      <c r="R13">
        <v>1</v>
      </c>
      <c r="S13" t="s">
        <v>21</v>
      </c>
      <c r="T13" s="1">
        <v>45601</v>
      </c>
      <c r="U13" s="2">
        <v>0.72590277777777779</v>
      </c>
    </row>
    <row r="14" spans="1:21" x14ac:dyDescent="0.6">
      <c r="A14" s="5" t="s">
        <v>28</v>
      </c>
      <c r="B14">
        <f>AVERAGE(B9:B13)</f>
        <v>668.53989999999999</v>
      </c>
      <c r="C14">
        <f t="shared" ref="C14" si="1">AVERAGE(C9:C13)</f>
        <v>4372.9106999999995</v>
      </c>
      <c r="D14">
        <f t="shared" ref="D14" si="2">AVERAGE(D9:D13)</f>
        <v>877.63814000000002</v>
      </c>
      <c r="E14">
        <f t="shared" ref="E14" si="3">AVERAGE(E9:E13)</f>
        <v>0.11294642417322839</v>
      </c>
      <c r="F14">
        <f t="shared" ref="F14" si="4">AVERAGE(F9:F13)</f>
        <v>0.73878107166286866</v>
      </c>
      <c r="G14">
        <f t="shared" ref="G14" si="5">AVERAGE(G9:G13)</f>
        <v>4372.9106999999995</v>
      </c>
      <c r="H14">
        <f t="shared" ref="H14" si="6">AVERAGE(H9:H13)</f>
        <v>3.881493813792606E-2</v>
      </c>
      <c r="I14">
        <f t="shared" ref="I14" si="7">AVERAGE(I9:I13)</f>
        <v>0.57124799717599617</v>
      </c>
      <c r="J14" t="e">
        <f t="shared" ref="J14" si="8">AVERAGE(J9:J13)</f>
        <v>#DIV/0!</v>
      </c>
      <c r="K14" t="e">
        <f t="shared" ref="K14" si="9">AVERAGE(K9:K13)</f>
        <v>#DIV/0!</v>
      </c>
      <c r="L14">
        <f t="shared" ref="L14" si="10">AVERAGE(L9:L13)</f>
        <v>518.48617403318724</v>
      </c>
      <c r="M14">
        <f t="shared" ref="M14" si="11">AVERAGE(M9:M13)</f>
        <v>81.500581482097033</v>
      </c>
      <c r="N14">
        <f t="shared" ref="N14" si="12">AVERAGE(N9:N13)</f>
        <v>0.62</v>
      </c>
      <c r="O14">
        <f t="shared" ref="O14" si="13">AVERAGE(O9:O13)</f>
        <v>0</v>
      </c>
      <c r="P14" t="e">
        <f t="shared" ref="P14" si="14">AVERAGE(P9:P13)</f>
        <v>#DIV/0!</v>
      </c>
      <c r="Q14" t="e">
        <f t="shared" ref="Q14" si="15">AVERAGE(Q9:Q13)</f>
        <v>#DIV/0!</v>
      </c>
      <c r="R14">
        <f t="shared" ref="R14" si="16">AVERAGE(R9:R13)</f>
        <v>1</v>
      </c>
      <c r="S14" t="e">
        <f t="shared" ref="S14" si="17">AVERAGE(S9:S13)</f>
        <v>#DIV/0!</v>
      </c>
      <c r="T14">
        <f t="shared" ref="T14" si="18">AVERAGE(T9:T13)</f>
        <v>45601</v>
      </c>
      <c r="U14">
        <f t="shared" ref="U14" si="19">AVERAGE(U9:U13)</f>
        <v>0.72588657407407398</v>
      </c>
    </row>
    <row r="16" spans="1:21" x14ac:dyDescent="0.6">
      <c r="A16" s="6" t="s">
        <v>26</v>
      </c>
      <c r="B16">
        <v>1213.3811000000001</v>
      </c>
      <c r="C16">
        <v>435.42271</v>
      </c>
      <c r="D16">
        <v>7349.8748999999998</v>
      </c>
      <c r="E16">
        <v>0.13483991807059401</v>
      </c>
      <c r="F16">
        <v>4.8387404866019501E-2</v>
      </c>
      <c r="G16">
        <v>435.42271</v>
      </c>
      <c r="H16">
        <v>0.16290085127878301</v>
      </c>
      <c r="I16">
        <v>0.13152845613097799</v>
      </c>
      <c r="J16" t="s">
        <v>21</v>
      </c>
      <c r="K16" t="s">
        <v>21</v>
      </c>
      <c r="L16">
        <v>466.60427368330301</v>
      </c>
      <c r="M16">
        <v>98.694817066550797</v>
      </c>
      <c r="N16">
        <v>0.69</v>
      </c>
      <c r="O16">
        <v>0</v>
      </c>
      <c r="P16" t="s">
        <v>22</v>
      </c>
      <c r="Q16" t="s">
        <v>23</v>
      </c>
      <c r="R16">
        <v>1</v>
      </c>
      <c r="S16" t="s">
        <v>21</v>
      </c>
      <c r="T16" s="1">
        <v>45601</v>
      </c>
      <c r="U16" s="2">
        <v>0.72594907407407405</v>
      </c>
    </row>
    <row r="17" spans="1:21" x14ac:dyDescent="0.6">
      <c r="A17" s="6" t="s">
        <v>26</v>
      </c>
      <c r="B17">
        <v>1215.4018000000001</v>
      </c>
      <c r="C17">
        <v>436.01161999999999</v>
      </c>
      <c r="D17">
        <v>7362.0653000000002</v>
      </c>
      <c r="E17">
        <v>0.13484269922368</v>
      </c>
      <c r="F17">
        <v>4.8373289996517597E-2</v>
      </c>
      <c r="G17">
        <v>436.01161999999999</v>
      </c>
      <c r="H17">
        <v>0.162912818984074</v>
      </c>
      <c r="I17">
        <v>0.13149703643603999</v>
      </c>
      <c r="J17" t="s">
        <v>21</v>
      </c>
      <c r="K17" t="s">
        <v>21</v>
      </c>
      <c r="L17">
        <v>466.601337603643</v>
      </c>
      <c r="M17">
        <v>98.696513228566602</v>
      </c>
      <c r="N17">
        <v>0.71</v>
      </c>
      <c r="O17">
        <v>0</v>
      </c>
      <c r="P17" t="s">
        <v>22</v>
      </c>
      <c r="Q17" t="s">
        <v>23</v>
      </c>
      <c r="R17">
        <v>1</v>
      </c>
      <c r="S17" t="s">
        <v>21</v>
      </c>
      <c r="T17" s="1">
        <v>45601</v>
      </c>
      <c r="U17" s="2">
        <v>0.7259606481481482</v>
      </c>
    </row>
    <row r="18" spans="1:21" x14ac:dyDescent="0.6">
      <c r="A18" s="6" t="s">
        <v>26</v>
      </c>
      <c r="B18">
        <v>1216.6568</v>
      </c>
      <c r="C18">
        <v>436.36433</v>
      </c>
      <c r="D18">
        <v>7369.7466999999997</v>
      </c>
      <c r="E18">
        <v>0.13484296869024101</v>
      </c>
      <c r="F18">
        <v>4.83625798891913E-2</v>
      </c>
      <c r="G18">
        <v>436.36433</v>
      </c>
      <c r="H18">
        <v>0.16291949541631001</v>
      </c>
      <c r="I18">
        <v>0.13147304731940099</v>
      </c>
      <c r="J18" t="s">
        <v>21</v>
      </c>
      <c r="K18" t="s">
        <v>21</v>
      </c>
      <c r="L18">
        <v>466.599538368043</v>
      </c>
      <c r="M18">
        <v>98.698266189033106</v>
      </c>
      <c r="N18">
        <v>0.7</v>
      </c>
      <c r="O18">
        <v>0</v>
      </c>
      <c r="P18" t="s">
        <v>22</v>
      </c>
      <c r="Q18" t="s">
        <v>23</v>
      </c>
      <c r="R18">
        <v>1</v>
      </c>
      <c r="S18" t="s">
        <v>21</v>
      </c>
      <c r="T18" s="1">
        <v>45601</v>
      </c>
      <c r="U18" s="2">
        <v>0.72597222222222224</v>
      </c>
    </row>
    <row r="19" spans="1:21" x14ac:dyDescent="0.6">
      <c r="A19" s="6" t="s">
        <v>26</v>
      </c>
      <c r="B19">
        <v>1213.9663</v>
      </c>
      <c r="C19">
        <v>435.32517000000001</v>
      </c>
      <c r="D19">
        <v>7353.5299000000005</v>
      </c>
      <c r="E19">
        <v>0.134842873151442</v>
      </c>
      <c r="F19">
        <v>4.8354304957180301E-2</v>
      </c>
      <c r="G19">
        <v>435.32517000000001</v>
      </c>
      <c r="H19">
        <v>0.16292425728721799</v>
      </c>
      <c r="I19">
        <v>0.131454487246915</v>
      </c>
      <c r="J19" t="s">
        <v>21</v>
      </c>
      <c r="K19" t="s">
        <v>21</v>
      </c>
      <c r="L19">
        <v>466.59821899000099</v>
      </c>
      <c r="M19">
        <v>98.699697456732395</v>
      </c>
      <c r="N19">
        <v>0.7</v>
      </c>
      <c r="O19">
        <v>0</v>
      </c>
      <c r="P19" t="s">
        <v>22</v>
      </c>
      <c r="Q19" t="s">
        <v>23</v>
      </c>
      <c r="R19">
        <v>1</v>
      </c>
      <c r="S19" t="s">
        <v>21</v>
      </c>
      <c r="T19" s="1">
        <v>45601</v>
      </c>
      <c r="U19" s="2">
        <v>0.72597222222222224</v>
      </c>
    </row>
    <row r="20" spans="1:21" x14ac:dyDescent="0.6">
      <c r="A20" s="6" t="s">
        <v>26</v>
      </c>
      <c r="B20">
        <v>1216.9573</v>
      </c>
      <c r="C20">
        <v>436.34858000000003</v>
      </c>
      <c r="D20">
        <v>7371.7228999999998</v>
      </c>
      <c r="E20">
        <v>0.13484248412557401</v>
      </c>
      <c r="F20">
        <v>4.8348718950013102E-2</v>
      </c>
      <c r="G20">
        <v>436.34858000000003</v>
      </c>
      <c r="H20">
        <v>0.16292704788888199</v>
      </c>
      <c r="I20">
        <v>0.13144193183876501</v>
      </c>
      <c r="J20" t="s">
        <v>21</v>
      </c>
      <c r="K20" t="s">
        <v>21</v>
      </c>
      <c r="L20">
        <v>466.59740391209698</v>
      </c>
      <c r="M20">
        <v>98.700745781112303</v>
      </c>
      <c r="N20">
        <v>0.69</v>
      </c>
      <c r="O20">
        <v>0</v>
      </c>
      <c r="P20" t="s">
        <v>22</v>
      </c>
      <c r="Q20" t="s">
        <v>23</v>
      </c>
      <c r="R20">
        <v>1</v>
      </c>
      <c r="S20" t="s">
        <v>21</v>
      </c>
      <c r="T20" s="1">
        <v>45601</v>
      </c>
      <c r="U20" s="2">
        <v>0.72598379629629628</v>
      </c>
    </row>
    <row r="21" spans="1:21" x14ac:dyDescent="0.6">
      <c r="A21" s="6" t="s">
        <v>29</v>
      </c>
      <c r="B21">
        <f>AVERAGE(B16:B20)</f>
        <v>1215.2726600000001</v>
      </c>
      <c r="C21">
        <f t="shared" ref="C21" si="20">AVERAGE(C16:C20)</f>
        <v>435.89448199999998</v>
      </c>
      <c r="D21">
        <f t="shared" ref="D21" si="21">AVERAGE(D16:D20)</f>
        <v>7361.3879400000005</v>
      </c>
      <c r="E21">
        <f t="shared" ref="E21" si="22">AVERAGE(E16:E20)</f>
        <v>0.13484218865230621</v>
      </c>
      <c r="F21">
        <f t="shared" ref="F21" si="23">AVERAGE(F16:F20)</f>
        <v>4.8365259731784363E-2</v>
      </c>
      <c r="G21">
        <f t="shared" ref="G21" si="24">AVERAGE(G16:G20)</f>
        <v>435.89448199999998</v>
      </c>
      <c r="H21">
        <f t="shared" ref="H21" si="25">AVERAGE(H16:H20)</f>
        <v>0.1629168941710534</v>
      </c>
      <c r="I21">
        <f t="shared" ref="I21" si="26">AVERAGE(I16:I20)</f>
        <v>0.13147899179441982</v>
      </c>
      <c r="J21" t="e">
        <f t="shared" ref="J21" si="27">AVERAGE(J16:J20)</f>
        <v>#DIV/0!</v>
      </c>
      <c r="K21" t="e">
        <f t="shared" ref="K21" si="28">AVERAGE(K16:K20)</f>
        <v>#DIV/0!</v>
      </c>
      <c r="L21">
        <f t="shared" ref="L21" si="29">AVERAGE(L16:L20)</f>
        <v>466.60015451141737</v>
      </c>
      <c r="M21">
        <f t="shared" ref="M21" si="30">AVERAGE(M16:M20)</f>
        <v>98.698007944399038</v>
      </c>
      <c r="N21">
        <f t="shared" ref="N21" si="31">AVERAGE(N16:N20)</f>
        <v>0.69799999999999995</v>
      </c>
      <c r="O21">
        <f t="shared" ref="O21" si="32">AVERAGE(O16:O20)</f>
        <v>0</v>
      </c>
      <c r="P21" t="e">
        <f t="shared" ref="P21" si="33">AVERAGE(P16:P20)</f>
        <v>#DIV/0!</v>
      </c>
      <c r="Q21" t="e">
        <f t="shared" ref="Q21" si="34">AVERAGE(Q16:Q20)</f>
        <v>#DIV/0!</v>
      </c>
      <c r="R21">
        <f t="shared" ref="R21" si="35">AVERAGE(R16:R20)</f>
        <v>1</v>
      </c>
      <c r="S21" t="e">
        <f t="shared" ref="S21" si="36">AVERAGE(S16:S20)</f>
        <v>#DIV/0!</v>
      </c>
      <c r="T21">
        <f t="shared" ref="T21" si="37">AVERAGE(T16:T20)</f>
        <v>45601</v>
      </c>
      <c r="U21">
        <f t="shared" ref="U21" si="38">AVERAGE(U16:U20)</f>
        <v>0.72596759259259269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ColorMeasurement_241105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jylee</dc:creator>
  <cp:lastModifiedBy>이 준영</cp:lastModifiedBy>
  <dcterms:created xsi:type="dcterms:W3CDTF">2024-11-05T08:26:51Z</dcterms:created>
  <dcterms:modified xsi:type="dcterms:W3CDTF">2024-11-05T08:29:08Z</dcterms:modified>
</cp:coreProperties>
</file>