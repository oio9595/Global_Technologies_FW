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45692630-5839-4DF6-92D4-B4874BE3596E}" xr6:coauthVersionLast="47" xr6:coauthVersionMax="47" xr10:uidLastSave="{00000000-0000-0000-0000-000000000000}"/>
  <bookViews>
    <workbookView xWindow="1100" yWindow="1100" windowWidth="35170" windowHeight="17950" xr2:uid="{021C6137-4F99-4E78-8D1D-72ABAFEB1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D20" i="1"/>
  <c r="E20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3" i="1"/>
  <c r="O20" i="1"/>
  <c r="G20" i="1"/>
  <c r="H20" i="1"/>
  <c r="I20" i="1"/>
  <c r="J20" i="1"/>
  <c r="K20" i="1"/>
  <c r="L20" i="1"/>
  <c r="M20" i="1"/>
  <c r="N20" i="1"/>
  <c r="F20" i="1"/>
</calcChain>
</file>

<file path=xl/sharedStrings.xml><?xml version="1.0" encoding="utf-8"?>
<sst xmlns="http://schemas.openxmlformats.org/spreadsheetml/2006/main" count="23" uniqueCount="23">
  <si>
    <t>DUT1</t>
  </si>
  <si>
    <t>DUT2</t>
  </si>
  <si>
    <t>DUT3</t>
  </si>
  <si>
    <t>DUT4</t>
  </si>
  <si>
    <t>DUT5</t>
  </si>
  <si>
    <t>DUT6</t>
  </si>
  <si>
    <t>DUT7</t>
  </si>
  <si>
    <t>DUT8</t>
  </si>
  <si>
    <t>DUT9</t>
  </si>
  <si>
    <t>DUT10</t>
  </si>
  <si>
    <t>DUT11</t>
  </si>
  <si>
    <t>DUT12</t>
  </si>
  <si>
    <t>DUT13</t>
  </si>
  <si>
    <t>DUT14</t>
  </si>
  <si>
    <t>DUT15</t>
  </si>
  <si>
    <t>DUT16</t>
  </si>
  <si>
    <t>ADC OFFSET</t>
    <phoneticPr fontId="1" type="noConversion"/>
  </si>
  <si>
    <t>TEMP</t>
    <phoneticPr fontId="1" type="noConversion"/>
  </si>
  <si>
    <t>average</t>
    <phoneticPr fontId="1" type="noConversion"/>
  </si>
  <si>
    <t>Temp</t>
    <phoneticPr fontId="3" type="noConversion"/>
  </si>
  <si>
    <t>Meas
(Average:16sample)</t>
    <phoneticPr fontId="3" type="noConversion"/>
  </si>
  <si>
    <t>ADC(Temp)
Ideal</t>
    <phoneticPr fontId="3" type="noConversion"/>
  </si>
  <si>
    <t>접촉불량으로 average 값으로 대체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</si>
</sst>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>
      <alignment vertical="center"/>
    </xf>
    <xf numFmtId="1" fontId="0" fillId="0" borderId="12" xfId="0" applyNumberForma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TEMP VS ADC DOUT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Sheet1!$B$3:$O$3</c:f>
              <c:numCache>
                <c:formatCode>General</c:formatCode>
                <c:ptCount val="14"/>
                <c:pt idx="0">
                  <c:v>240</c:v>
                </c:pt>
                <c:pt idx="1">
                  <c:v>281</c:v>
                </c:pt>
                <c:pt idx="2">
                  <c:v>320</c:v>
                </c:pt>
                <c:pt idx="3">
                  <c:v>361</c:v>
                </c:pt>
                <c:pt idx="4">
                  <c:v>511</c:v>
                </c:pt>
                <c:pt idx="5">
                  <c:v>551</c:v>
                </c:pt>
                <c:pt idx="6">
                  <c:v>589</c:v>
                </c:pt>
                <c:pt idx="7">
                  <c:v>630</c:v>
                </c:pt>
                <c:pt idx="8">
                  <c:v>672</c:v>
                </c:pt>
                <c:pt idx="9">
                  <c:v>712</c:v>
                </c:pt>
                <c:pt idx="10">
                  <c:v>753</c:v>
                </c:pt>
                <c:pt idx="11">
                  <c:v>792</c:v>
                </c:pt>
                <c:pt idx="12">
                  <c:v>834</c:v>
                </c:pt>
                <c:pt idx="13">
                  <c:v>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B-455C-9B14-DAC8D0A64F1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Sheet1!$B$4:$O$4</c:f>
              <c:numCache>
                <c:formatCode>General</c:formatCode>
                <c:ptCount val="14"/>
                <c:pt idx="0">
                  <c:v>224</c:v>
                </c:pt>
                <c:pt idx="1">
                  <c:v>271</c:v>
                </c:pt>
                <c:pt idx="2">
                  <c:v>313</c:v>
                </c:pt>
                <c:pt idx="3">
                  <c:v>357</c:v>
                </c:pt>
                <c:pt idx="4">
                  <c:v>513</c:v>
                </c:pt>
                <c:pt idx="5">
                  <c:v>552</c:v>
                </c:pt>
                <c:pt idx="6">
                  <c:v>591</c:v>
                </c:pt>
                <c:pt idx="7">
                  <c:v>632</c:v>
                </c:pt>
                <c:pt idx="8">
                  <c:v>673</c:v>
                </c:pt>
                <c:pt idx="9">
                  <c:v>714</c:v>
                </c:pt>
                <c:pt idx="10">
                  <c:v>755</c:v>
                </c:pt>
                <c:pt idx="11">
                  <c:v>795</c:v>
                </c:pt>
                <c:pt idx="12">
                  <c:v>838</c:v>
                </c:pt>
                <c:pt idx="13">
                  <c:v>871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B-455C-9B14-DAC8D0A64F1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Sheet1!$B$5:$O$5</c:f>
              <c:numCache>
                <c:formatCode>General</c:formatCode>
                <c:ptCount val="14"/>
                <c:pt idx="0">
                  <c:v>216</c:v>
                </c:pt>
                <c:pt idx="1">
                  <c:v>265</c:v>
                </c:pt>
                <c:pt idx="2">
                  <c:v>309</c:v>
                </c:pt>
                <c:pt idx="3">
                  <c:v>353</c:v>
                </c:pt>
                <c:pt idx="4">
                  <c:v>511</c:v>
                </c:pt>
                <c:pt idx="5">
                  <c:v>553</c:v>
                </c:pt>
                <c:pt idx="6">
                  <c:v>592</c:v>
                </c:pt>
                <c:pt idx="7">
                  <c:v>634</c:v>
                </c:pt>
                <c:pt idx="8">
                  <c:v>675</c:v>
                </c:pt>
                <c:pt idx="9">
                  <c:v>715</c:v>
                </c:pt>
                <c:pt idx="10">
                  <c:v>757</c:v>
                </c:pt>
                <c:pt idx="11">
                  <c:v>798</c:v>
                </c:pt>
                <c:pt idx="12">
                  <c:v>841</c:v>
                </c:pt>
                <c:pt idx="13">
                  <c:v>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BB-455C-9B14-DAC8D0A64F1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Sheet1!$B$6:$O$6</c:f>
              <c:numCache>
                <c:formatCode>General</c:formatCode>
                <c:ptCount val="14"/>
                <c:pt idx="0">
                  <c:v>223</c:v>
                </c:pt>
                <c:pt idx="1">
                  <c:v>269</c:v>
                </c:pt>
                <c:pt idx="2">
                  <c:v>312</c:v>
                </c:pt>
                <c:pt idx="3">
                  <c:v>356</c:v>
                </c:pt>
                <c:pt idx="4">
                  <c:v>513</c:v>
                </c:pt>
                <c:pt idx="5">
                  <c:v>554</c:v>
                </c:pt>
                <c:pt idx="6">
                  <c:v>593</c:v>
                </c:pt>
                <c:pt idx="7">
                  <c:v>634</c:v>
                </c:pt>
                <c:pt idx="8">
                  <c:v>676</c:v>
                </c:pt>
                <c:pt idx="9">
                  <c:v>718</c:v>
                </c:pt>
                <c:pt idx="10">
                  <c:v>759</c:v>
                </c:pt>
                <c:pt idx="11">
                  <c:v>799</c:v>
                </c:pt>
                <c:pt idx="12">
                  <c:v>842</c:v>
                </c:pt>
                <c:pt idx="13">
                  <c:v>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BB-455C-9B14-DAC8D0A64F1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Sheet1!$B$7:$O$7</c:f>
              <c:numCache>
                <c:formatCode>General</c:formatCode>
                <c:ptCount val="14"/>
                <c:pt idx="0">
                  <c:v>228</c:v>
                </c:pt>
                <c:pt idx="1">
                  <c:v>271</c:v>
                </c:pt>
                <c:pt idx="2">
                  <c:v>316</c:v>
                </c:pt>
                <c:pt idx="3">
                  <c:v>359</c:v>
                </c:pt>
                <c:pt idx="4">
                  <c:v>514</c:v>
                </c:pt>
                <c:pt idx="5">
                  <c:v>553</c:v>
                </c:pt>
                <c:pt idx="6">
                  <c:v>591</c:v>
                </c:pt>
                <c:pt idx="7">
                  <c:v>632</c:v>
                </c:pt>
                <c:pt idx="8">
                  <c:v>673</c:v>
                </c:pt>
                <c:pt idx="9">
                  <c:v>713</c:v>
                </c:pt>
                <c:pt idx="10">
                  <c:v>754</c:v>
                </c:pt>
                <c:pt idx="11">
                  <c:v>796</c:v>
                </c:pt>
                <c:pt idx="12">
                  <c:v>839</c:v>
                </c:pt>
                <c:pt idx="13">
                  <c:v>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BB-455C-9B14-DAC8D0A64F1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Sheet1!$B$8:$O$8</c:f>
              <c:numCache>
                <c:formatCode>General</c:formatCode>
                <c:ptCount val="14"/>
                <c:pt idx="0">
                  <c:v>222</c:v>
                </c:pt>
                <c:pt idx="1">
                  <c:v>269</c:v>
                </c:pt>
                <c:pt idx="2">
                  <c:v>312</c:v>
                </c:pt>
                <c:pt idx="3">
                  <c:v>356</c:v>
                </c:pt>
                <c:pt idx="4">
                  <c:v>512</c:v>
                </c:pt>
                <c:pt idx="5">
                  <c:v>554</c:v>
                </c:pt>
                <c:pt idx="6">
                  <c:v>593</c:v>
                </c:pt>
                <c:pt idx="7">
                  <c:v>635</c:v>
                </c:pt>
                <c:pt idx="8">
                  <c:v>676</c:v>
                </c:pt>
                <c:pt idx="9">
                  <c:v>717</c:v>
                </c:pt>
                <c:pt idx="10">
                  <c:v>760</c:v>
                </c:pt>
                <c:pt idx="11">
                  <c:v>800</c:v>
                </c:pt>
                <c:pt idx="12">
                  <c:v>842</c:v>
                </c:pt>
                <c:pt idx="13">
                  <c:v>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BB-455C-9B14-DAC8D0A64F1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Sheet1!$B$9:$O$9</c:f>
              <c:numCache>
                <c:formatCode>General</c:formatCode>
                <c:ptCount val="14"/>
                <c:pt idx="0">
                  <c:v>228</c:v>
                </c:pt>
                <c:pt idx="1">
                  <c:v>274</c:v>
                </c:pt>
                <c:pt idx="2">
                  <c:v>315</c:v>
                </c:pt>
                <c:pt idx="3">
                  <c:v>358</c:v>
                </c:pt>
                <c:pt idx="4">
                  <c:v>512</c:v>
                </c:pt>
                <c:pt idx="5">
                  <c:v>552</c:v>
                </c:pt>
                <c:pt idx="6">
                  <c:v>590</c:v>
                </c:pt>
                <c:pt idx="7">
                  <c:v>631</c:v>
                </c:pt>
                <c:pt idx="8">
                  <c:v>672</c:v>
                </c:pt>
                <c:pt idx="9">
                  <c:v>713</c:v>
                </c:pt>
                <c:pt idx="10">
                  <c:v>755</c:v>
                </c:pt>
                <c:pt idx="11">
                  <c:v>795</c:v>
                </c:pt>
                <c:pt idx="12">
                  <c:v>838</c:v>
                </c:pt>
                <c:pt idx="13">
                  <c:v>870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BB-455C-9B14-DAC8D0A64F1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Sheet1!$B$10:$O$10</c:f>
              <c:numCache>
                <c:formatCode>General</c:formatCode>
                <c:ptCount val="14"/>
                <c:pt idx="0">
                  <c:v>217</c:v>
                </c:pt>
                <c:pt idx="1">
                  <c:v>265</c:v>
                </c:pt>
                <c:pt idx="2">
                  <c:v>308</c:v>
                </c:pt>
                <c:pt idx="3">
                  <c:v>352</c:v>
                </c:pt>
                <c:pt idx="4">
                  <c:v>512</c:v>
                </c:pt>
                <c:pt idx="5">
                  <c:v>552</c:v>
                </c:pt>
                <c:pt idx="6">
                  <c:v>592</c:v>
                </c:pt>
                <c:pt idx="7">
                  <c:v>635</c:v>
                </c:pt>
                <c:pt idx="8">
                  <c:v>677</c:v>
                </c:pt>
                <c:pt idx="9">
                  <c:v>719</c:v>
                </c:pt>
                <c:pt idx="10">
                  <c:v>762</c:v>
                </c:pt>
                <c:pt idx="11">
                  <c:v>802</c:v>
                </c:pt>
                <c:pt idx="12">
                  <c:v>848</c:v>
                </c:pt>
                <c:pt idx="13">
                  <c:v>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BB-455C-9B14-DAC8D0A64F1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Sheet1!$B$11:$O$11</c:f>
              <c:numCache>
                <c:formatCode>General</c:formatCode>
                <c:ptCount val="14"/>
                <c:pt idx="0">
                  <c:v>206</c:v>
                </c:pt>
                <c:pt idx="1">
                  <c:v>255</c:v>
                </c:pt>
                <c:pt idx="2">
                  <c:v>302</c:v>
                </c:pt>
                <c:pt idx="3">
                  <c:v>348</c:v>
                </c:pt>
                <c:pt idx="4">
                  <c:v>512</c:v>
                </c:pt>
                <c:pt idx="5">
                  <c:v>554</c:v>
                </c:pt>
                <c:pt idx="6">
                  <c:v>595</c:v>
                </c:pt>
                <c:pt idx="7">
                  <c:v>637</c:v>
                </c:pt>
                <c:pt idx="8">
                  <c:v>679</c:v>
                </c:pt>
                <c:pt idx="9">
                  <c:v>720</c:v>
                </c:pt>
                <c:pt idx="10">
                  <c:v>763</c:v>
                </c:pt>
                <c:pt idx="11">
                  <c:v>804</c:v>
                </c:pt>
                <c:pt idx="12">
                  <c:v>848</c:v>
                </c:pt>
                <c:pt idx="13">
                  <c:v>880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BB-455C-9B14-DAC8D0A64F1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Sheet1!$B$12:$O$12</c:f>
              <c:numCache>
                <c:formatCode>General</c:formatCode>
                <c:ptCount val="14"/>
                <c:pt idx="0">
                  <c:v>232</c:v>
                </c:pt>
                <c:pt idx="1">
                  <c:v>276</c:v>
                </c:pt>
                <c:pt idx="2">
                  <c:v>318</c:v>
                </c:pt>
                <c:pt idx="3">
                  <c:v>360</c:v>
                </c:pt>
                <c:pt idx="4">
                  <c:v>512</c:v>
                </c:pt>
                <c:pt idx="5">
                  <c:v>550</c:v>
                </c:pt>
                <c:pt idx="6">
                  <c:v>589</c:v>
                </c:pt>
                <c:pt idx="7">
                  <c:v>628</c:v>
                </c:pt>
                <c:pt idx="8">
                  <c:v>669</c:v>
                </c:pt>
                <c:pt idx="9">
                  <c:v>710</c:v>
                </c:pt>
                <c:pt idx="10">
                  <c:v>751</c:v>
                </c:pt>
                <c:pt idx="11">
                  <c:v>789</c:v>
                </c:pt>
                <c:pt idx="12">
                  <c:v>832</c:v>
                </c:pt>
                <c:pt idx="13">
                  <c:v>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BB-455C-9B14-DAC8D0A64F1D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Sheet1!$B$13:$O$13</c:f>
              <c:numCache>
                <c:formatCode>General</c:formatCode>
                <c:ptCount val="14"/>
                <c:pt idx="0">
                  <c:v>232</c:v>
                </c:pt>
                <c:pt idx="1">
                  <c:v>278</c:v>
                </c:pt>
                <c:pt idx="2">
                  <c:v>317</c:v>
                </c:pt>
                <c:pt idx="3">
                  <c:v>362</c:v>
                </c:pt>
                <c:pt idx="4">
                  <c:v>513</c:v>
                </c:pt>
                <c:pt idx="5">
                  <c:v>553</c:v>
                </c:pt>
                <c:pt idx="6">
                  <c:v>590</c:v>
                </c:pt>
                <c:pt idx="7">
                  <c:v>631</c:v>
                </c:pt>
                <c:pt idx="8">
                  <c:v>673</c:v>
                </c:pt>
                <c:pt idx="9">
                  <c:v>714</c:v>
                </c:pt>
                <c:pt idx="10">
                  <c:v>756</c:v>
                </c:pt>
                <c:pt idx="11">
                  <c:v>796</c:v>
                </c:pt>
                <c:pt idx="12">
                  <c:v>840</c:v>
                </c:pt>
                <c:pt idx="13">
                  <c:v>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BB-455C-9B14-DAC8D0A64F1D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Sheet1!$B$14:$O$14</c:f>
              <c:numCache>
                <c:formatCode>General</c:formatCode>
                <c:ptCount val="14"/>
                <c:pt idx="0">
                  <c:v>222</c:v>
                </c:pt>
                <c:pt idx="1">
                  <c:v>270</c:v>
                </c:pt>
                <c:pt idx="2">
                  <c:v>312</c:v>
                </c:pt>
                <c:pt idx="3">
                  <c:v>356</c:v>
                </c:pt>
                <c:pt idx="4">
                  <c:v>512</c:v>
                </c:pt>
                <c:pt idx="5">
                  <c:v>552</c:v>
                </c:pt>
                <c:pt idx="6">
                  <c:v>591</c:v>
                </c:pt>
                <c:pt idx="7">
                  <c:v>633</c:v>
                </c:pt>
                <c:pt idx="8">
                  <c:v>674</c:v>
                </c:pt>
                <c:pt idx="9">
                  <c:v>715</c:v>
                </c:pt>
                <c:pt idx="10">
                  <c:v>756</c:v>
                </c:pt>
                <c:pt idx="11">
                  <c:v>797</c:v>
                </c:pt>
                <c:pt idx="12">
                  <c:v>840</c:v>
                </c:pt>
                <c:pt idx="13">
                  <c:v>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BB-455C-9B14-DAC8D0A64F1D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Sheet1!$B$15:$O$15</c:f>
              <c:numCache>
                <c:formatCode>General</c:formatCode>
                <c:ptCount val="14"/>
                <c:pt idx="0">
                  <c:v>215</c:v>
                </c:pt>
                <c:pt idx="1">
                  <c:v>264</c:v>
                </c:pt>
                <c:pt idx="2">
                  <c:v>311</c:v>
                </c:pt>
                <c:pt idx="3">
                  <c:v>355</c:v>
                </c:pt>
                <c:pt idx="4">
                  <c:v>512</c:v>
                </c:pt>
                <c:pt idx="5">
                  <c:v>553</c:v>
                </c:pt>
                <c:pt idx="6">
                  <c:v>592</c:v>
                </c:pt>
                <c:pt idx="7">
                  <c:v>633</c:v>
                </c:pt>
                <c:pt idx="8">
                  <c:v>676</c:v>
                </c:pt>
                <c:pt idx="9">
                  <c:v>718</c:v>
                </c:pt>
                <c:pt idx="10">
                  <c:v>759</c:v>
                </c:pt>
                <c:pt idx="11">
                  <c:v>801</c:v>
                </c:pt>
                <c:pt idx="12">
                  <c:v>844</c:v>
                </c:pt>
                <c:pt idx="13">
                  <c:v>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BB-455C-9B14-DAC8D0A64F1D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Sheet1!$B$16:$O$16</c:f>
              <c:numCache>
                <c:formatCode>General</c:formatCode>
                <c:ptCount val="14"/>
                <c:pt idx="0">
                  <c:v>228</c:v>
                </c:pt>
                <c:pt idx="1">
                  <c:v>275</c:v>
                </c:pt>
                <c:pt idx="2">
                  <c:v>317</c:v>
                </c:pt>
                <c:pt idx="3">
                  <c:v>359</c:v>
                </c:pt>
                <c:pt idx="4">
                  <c:v>512</c:v>
                </c:pt>
                <c:pt idx="5">
                  <c:v>551</c:v>
                </c:pt>
                <c:pt idx="6">
                  <c:v>589</c:v>
                </c:pt>
                <c:pt idx="7">
                  <c:v>629</c:v>
                </c:pt>
                <c:pt idx="8">
                  <c:v>670</c:v>
                </c:pt>
                <c:pt idx="9">
                  <c:v>710</c:v>
                </c:pt>
                <c:pt idx="10">
                  <c:v>751</c:v>
                </c:pt>
                <c:pt idx="11">
                  <c:v>790</c:v>
                </c:pt>
                <c:pt idx="12">
                  <c:v>834</c:v>
                </c:pt>
                <c:pt idx="13">
                  <c:v>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BB-455C-9B14-DAC8D0A64F1D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Sheet1!$B$17:$O$17</c:f>
              <c:numCache>
                <c:formatCode>General</c:formatCode>
                <c:ptCount val="14"/>
                <c:pt idx="0">
                  <c:v>237</c:v>
                </c:pt>
                <c:pt idx="1">
                  <c:v>282</c:v>
                </c:pt>
                <c:pt idx="2">
                  <c:v>322</c:v>
                </c:pt>
                <c:pt idx="3">
                  <c:v>363</c:v>
                </c:pt>
                <c:pt idx="4">
                  <c:v>512</c:v>
                </c:pt>
                <c:pt idx="5">
                  <c:v>550</c:v>
                </c:pt>
                <c:pt idx="6">
                  <c:v>588</c:v>
                </c:pt>
                <c:pt idx="7">
                  <c:v>629</c:v>
                </c:pt>
                <c:pt idx="8">
                  <c:v>669</c:v>
                </c:pt>
                <c:pt idx="9">
                  <c:v>710</c:v>
                </c:pt>
                <c:pt idx="10">
                  <c:v>751</c:v>
                </c:pt>
                <c:pt idx="11">
                  <c:v>791</c:v>
                </c:pt>
                <c:pt idx="12">
                  <c:v>834</c:v>
                </c:pt>
                <c:pt idx="13">
                  <c:v>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8BB-455C-9B14-DAC8D0A64F1D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Sheet1!$B$2:$O$2</c:f>
              <c:numCache>
                <c:formatCode>General</c:formatCode>
                <c:ptCount val="14"/>
                <c:pt idx="0">
                  <c:v>-40</c:v>
                </c:pt>
                <c:pt idx="1">
                  <c:v>-29</c:v>
                </c:pt>
                <c:pt idx="2">
                  <c:v>-18</c:v>
                </c:pt>
                <c:pt idx="3">
                  <c:v>-8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90</c:v>
                </c:pt>
                <c:pt idx="11">
                  <c:v>100</c:v>
                </c:pt>
                <c:pt idx="12">
                  <c:v>110</c:v>
                </c:pt>
                <c:pt idx="13">
                  <c:v>120</c:v>
                </c:pt>
              </c:numCache>
            </c:numRef>
          </c:xVal>
          <c:yVal>
            <c:numRef>
              <c:f>Sheet1!$B$18:$O$18</c:f>
              <c:numCache>
                <c:formatCode>General</c:formatCode>
                <c:ptCount val="14"/>
                <c:pt idx="0">
                  <c:v>214</c:v>
                </c:pt>
                <c:pt idx="1">
                  <c:v>265</c:v>
                </c:pt>
                <c:pt idx="2">
                  <c:v>308</c:v>
                </c:pt>
                <c:pt idx="3">
                  <c:v>353</c:v>
                </c:pt>
                <c:pt idx="4">
                  <c:v>510</c:v>
                </c:pt>
                <c:pt idx="5">
                  <c:v>552</c:v>
                </c:pt>
                <c:pt idx="6">
                  <c:v>592</c:v>
                </c:pt>
                <c:pt idx="7">
                  <c:v>634</c:v>
                </c:pt>
                <c:pt idx="8">
                  <c:v>676</c:v>
                </c:pt>
                <c:pt idx="9">
                  <c:v>717</c:v>
                </c:pt>
                <c:pt idx="10">
                  <c:v>760</c:v>
                </c:pt>
                <c:pt idx="11">
                  <c:v>799</c:v>
                </c:pt>
                <c:pt idx="12">
                  <c:v>843</c:v>
                </c:pt>
                <c:pt idx="13">
                  <c:v>876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8BB-455C-9B14-DAC8D0A64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70528"/>
        <c:axId val="669768608"/>
      </c:scatterChart>
      <c:valAx>
        <c:axId val="66977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768608"/>
        <c:crosses val="autoZero"/>
        <c:crossBetween val="midCat"/>
      </c:valAx>
      <c:valAx>
        <c:axId val="6697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7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20</xdr:row>
      <xdr:rowOff>130312</xdr:rowOff>
    </xdr:from>
    <xdr:to>
      <xdr:col>16</xdr:col>
      <xdr:colOff>342900</xdr:colOff>
      <xdr:row>36</xdr:row>
      <xdr:rowOff>69850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1AC2A9F-35C0-072B-C6B0-64BC30D94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20</xdr:col>
      <xdr:colOff>251238</xdr:colOff>
      <xdr:row>1</xdr:row>
      <xdr:rowOff>61015</xdr:rowOff>
    </xdr:from>
    <xdr:ext cx="6289262" cy="12250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3E069C4-6115-4B2E-A01C-089359A4941A}"/>
                </a:ext>
              </a:extLst>
            </xdr:cNvPr>
            <xdr:cNvSpPr txBox="1"/>
          </xdr:nvSpPr>
          <xdr:spPr>
            <a:xfrm>
              <a:off x="10944638" y="283265"/>
              <a:ext cx="6289262" cy="1225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ko-KR" sz="1600" b="1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Eqation</a:t>
              </a:r>
              <a:endParaRPr lang="ko-KR" altLang="ko-KR" sz="1600">
                <a:effectLst/>
              </a:endParaRPr>
            </a:p>
            <a:p>
              <a14:m>
                <m:oMath xmlns:m="http://schemas.openxmlformats.org/officeDocument/2006/math">
                  <m:r>
                    <a:rPr lang="en-US" altLang="ko-KR" sz="1600" b="0" i="1">
                      <a:latin typeface="Cambria Math" panose="02040503050406030204" pitchFamily="18" charset="0"/>
                    </a:rPr>
                    <m:t>𝐼𝑑𝑒𝑎𝑙</m:t>
                  </m:r>
                  <m:r>
                    <a:rPr lang="en-US" altLang="ko-KR" sz="1600" b="0" i="1">
                      <a:latin typeface="Cambria Math" panose="02040503050406030204" pitchFamily="18" charset="0"/>
                    </a:rPr>
                    <m:t> </m:t>
                  </m:r>
                  <m:r>
                    <a:rPr lang="en-US" altLang="ko-KR" sz="1600" b="0" i="1">
                      <a:latin typeface="Cambria Math" panose="02040503050406030204" pitchFamily="18" charset="0"/>
                    </a:rPr>
                    <m:t>𝑣𝑎𝑙𝑢𝑒</m:t>
                  </m:r>
                  <m:r>
                    <a:rPr lang="en-US" altLang="ko-KR" sz="1600" b="0" i="1">
                      <a:latin typeface="Cambria Math" panose="02040503050406030204" pitchFamily="18" charset="0"/>
                    </a:rPr>
                    <m:t>= </m:t>
                  </m:r>
                  <m:r>
                    <a:rPr lang="en-US" altLang="ko-KR" sz="1600" b="0" i="1">
                      <a:latin typeface="Cambria Math" panose="02040503050406030204" pitchFamily="18" charset="0"/>
                    </a:rPr>
                    <m:t>𝑑𝑜𝑢𝑡</m:t>
                  </m:r>
                  <m:d>
                    <m:dPr>
                      <m:ctrlPr>
                        <a:rPr lang="en-US" altLang="ko-KR" sz="1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30°</m:t>
                      </m:r>
                      <m:r>
                        <a:rPr lang="ko-KR" altLang="en-US" sz="1600" i="1">
                          <a:latin typeface="Cambria Math" panose="02040503050406030204" pitchFamily="18" charset="0"/>
                        </a:rPr>
                        <m:t>∆</m:t>
                      </m:r>
                    </m:e>
                  </m:d>
                  <m:r>
                    <a:rPr lang="en-US" altLang="ko-KR" sz="16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US" altLang="ko-KR" sz="1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𝑇𝑒𝑚𝑝</m:t>
                      </m:r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𝑇𝑒𝑚𝑝</m:t>
                      </m:r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𝑟𝑜𝑜𝑚</m:t>
                      </m:r>
                      <m:r>
                        <a:rPr lang="en-US" altLang="ko-KR" sz="16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d>
                  <m:r>
                    <a:rPr lang="en-US" altLang="ko-KR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altLang="ko-KR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𝑑𝑜𝑢𝑡</m:t>
                  </m:r>
                  <m:r>
                    <a:rPr lang="en-US" altLang="ko-KR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/∆</m:t>
                  </m:r>
                </m:oMath>
              </a14:m>
              <a:r>
                <a:rPr lang="en-US" altLang="ko-KR" sz="1600">
                  <a:latin typeface="Cambria" panose="02040503050406030204" pitchFamily="18" charset="0"/>
                  <a:ea typeface="Cambria" panose="02040503050406030204" pitchFamily="18" charset="0"/>
                </a:rPr>
                <a:t>Temp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 b="1">
                  <a:latin typeface="Cambria" panose="02040503050406030204" pitchFamily="18" charset="0"/>
                  <a:ea typeface="Cambria" panose="02040503050406030204" pitchFamily="18" charset="0"/>
                </a:rPr>
                <a:t>= 512 + (Temp - 30) * </a:t>
              </a:r>
              <a14:m>
                <m:oMath xmlns:m="http://schemas.openxmlformats.org/officeDocument/2006/math">
                  <m:r>
                    <a:rPr lang="en-US" altLang="ko-KR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𝑑𝑜𝑢𝑡</m:t>
                  </m:r>
                  <m:r>
                    <a:rPr lang="en-US" altLang="ko-KR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/∆</m:t>
                  </m:r>
                </m:oMath>
              </a14:m>
              <a:r>
                <a:rPr lang="en-US" altLang="ko-K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Temp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 b="1">
                  <a:solidFill>
                    <a:srgbClr val="FF0000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Calibri" panose="020F0502020204030204" pitchFamily="34" charset="0"/>
                </a:rPr>
                <a:t>= 512 + (Temp - 30) * </a:t>
              </a:r>
              <a14:m>
                <m:oMath xmlns:m="http://schemas.openxmlformats.org/officeDocument/2006/math">
                  <m:r>
                    <a:rPr lang="en-US" altLang="ko-KR" sz="1600" b="0" i="1">
                      <a:solidFill>
                        <a:srgbClr val="FF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4.05</m:t>
                  </m:r>
                </m:oMath>
              </a14:m>
              <a:endParaRPr lang="en-US" altLang="ko-KR" sz="1600" b="0">
                <a:solidFill>
                  <a:srgbClr val="FF0000"/>
                </a:solidFill>
                <a:effectLst/>
                <a:latin typeface="Cambria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>
                  <a:solidFill>
                    <a:srgbClr val="FF0000"/>
                  </a:solidFill>
                  <a:effectLst/>
                  <a:latin typeface="Cambria" panose="02040503050406030204" pitchFamily="18" charset="0"/>
                  <a:cs typeface="Calibri" panose="020F0502020204030204" pitchFamily="34" charset="0"/>
                </a:rPr>
                <a:t>  </a:t>
              </a:r>
              <a:endParaRPr lang="en-US" altLang="ko-KR" sz="1600" baseline="0">
                <a:solidFill>
                  <a:srgbClr val="FF0000"/>
                </a:solidFill>
                <a:effectLst/>
                <a:latin typeface="Cambria" panose="02040503050406030204" pitchFamily="18" charset="0"/>
                <a:cs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3E069C4-6115-4B2E-A01C-089359A4941A}"/>
                </a:ext>
              </a:extLst>
            </xdr:cNvPr>
            <xdr:cNvSpPr txBox="1"/>
          </xdr:nvSpPr>
          <xdr:spPr>
            <a:xfrm>
              <a:off x="10944638" y="283265"/>
              <a:ext cx="6289262" cy="12250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ko-KR" sz="1600" b="1" i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Eqation</a:t>
              </a:r>
              <a:endParaRPr lang="ko-KR" altLang="ko-KR" sz="1600">
                <a:effectLst/>
              </a:endParaRPr>
            </a:p>
            <a:p>
              <a:r>
                <a:rPr lang="en-US" altLang="ko-KR" sz="1600" b="0" i="0">
                  <a:latin typeface="Cambria Math" panose="02040503050406030204" pitchFamily="18" charset="0"/>
                </a:rPr>
                <a:t>𝐼𝑑𝑒𝑎𝑙 𝑣𝑎𝑙𝑢𝑒= 𝑑𝑜𝑢𝑡(30°</a:t>
              </a:r>
              <a:r>
                <a:rPr lang="ko-KR" altLang="en-US" sz="1600" i="0">
                  <a:latin typeface="Cambria Math" panose="02040503050406030204" pitchFamily="18" charset="0"/>
                </a:rPr>
                <a:t>∆)</a:t>
              </a:r>
              <a:r>
                <a:rPr lang="en-US" altLang="ko-KR" sz="1600" b="0" i="0">
                  <a:latin typeface="Cambria Math" panose="02040503050406030204" pitchFamily="18" charset="0"/>
                </a:rPr>
                <a:t>+(𝑇𝑒𝑚𝑝−𝑇𝑒𝑚𝑝(𝑟𝑜𝑜𝑚))∗</a:t>
              </a:r>
              <a:r>
                <a:rPr lang="en-US" altLang="ko-KR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𝑑𝑜𝑢𝑡/∆</a:t>
              </a:r>
              <a:r>
                <a:rPr lang="en-US" altLang="ko-KR" sz="1600">
                  <a:latin typeface="Cambria" panose="02040503050406030204" pitchFamily="18" charset="0"/>
                  <a:ea typeface="Cambria" panose="02040503050406030204" pitchFamily="18" charset="0"/>
                </a:rPr>
                <a:t>Temp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 b="1">
                  <a:latin typeface="Cambria" panose="02040503050406030204" pitchFamily="18" charset="0"/>
                  <a:ea typeface="Cambria" panose="02040503050406030204" pitchFamily="18" charset="0"/>
                </a:rPr>
                <a:t>= 512 + (Temp - 30) * </a:t>
              </a:r>
              <a:r>
                <a:rPr lang="en-US" altLang="ko-KR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𝑑𝑜𝑢𝑡/∆</a:t>
              </a:r>
              <a:r>
                <a:rPr lang="en-US" altLang="ko-KR" sz="16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Temp</a:t>
              </a: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 b="1">
                  <a:solidFill>
                    <a:srgbClr val="FF0000"/>
                  </a:solidFill>
                  <a:effectLst/>
                  <a:latin typeface="Cambria" panose="02040503050406030204" pitchFamily="18" charset="0"/>
                  <a:ea typeface="Cambria" panose="02040503050406030204" pitchFamily="18" charset="0"/>
                  <a:cs typeface="Calibri" panose="020F0502020204030204" pitchFamily="34" charset="0"/>
                </a:rPr>
                <a:t>= 512 + (Temp - 30) * </a:t>
              </a:r>
              <a:r>
                <a:rPr lang="en-US" altLang="ko-KR" sz="1600" b="0" i="0">
                  <a:solidFill>
                    <a:srgbClr val="FF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4.05</a:t>
              </a:r>
              <a:endParaRPr lang="en-US" altLang="ko-KR" sz="1600" b="0">
                <a:solidFill>
                  <a:srgbClr val="FF0000"/>
                </a:solidFill>
                <a:effectLst/>
                <a:latin typeface="Cambria" panose="02040503050406030204" pitchFamily="18" charset="0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altLang="ko-KR" sz="1600">
                  <a:solidFill>
                    <a:srgbClr val="FF0000"/>
                  </a:solidFill>
                  <a:effectLst/>
                  <a:latin typeface="Cambria" panose="02040503050406030204" pitchFamily="18" charset="0"/>
                  <a:cs typeface="Calibri" panose="020F0502020204030204" pitchFamily="34" charset="0"/>
                </a:rPr>
                <a:t>  </a:t>
              </a:r>
              <a:endParaRPr lang="en-US" altLang="ko-KR" sz="1600" baseline="0">
                <a:solidFill>
                  <a:srgbClr val="FF0000"/>
                </a:solidFill>
                <a:effectLst/>
                <a:latin typeface="Cambria" panose="02040503050406030204" pitchFamily="18" charset="0"/>
                <a:cs typeface="Calibri" panose="020F0502020204030204" pitchFamily="34" charset="0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DC01-C5D9-41CF-8052-EAF704D9A242}">
  <dimension ref="A1:T39"/>
  <sheetViews>
    <sheetView tabSelected="1" zoomScaleNormal="100" workbookViewId="0">
      <selection activeCell="X25" sqref="X25"/>
    </sheetView>
  </sheetViews>
  <sheetFormatPr defaultRowHeight="17" x14ac:dyDescent="0.45"/>
  <cols>
    <col min="1" max="1" width="12.5" bestFit="1" customWidth="1"/>
    <col min="2" max="16" width="6.83203125" customWidth="1"/>
    <col min="18" max="18" width="6.25" bestFit="1" customWidth="1"/>
    <col min="19" max="19" width="11.4140625" bestFit="1" customWidth="1"/>
    <col min="20" max="20" width="22.6640625" bestFit="1" customWidth="1"/>
  </cols>
  <sheetData>
    <row r="1" spans="1:20" ht="17.5" thickBot="1" x14ac:dyDescent="0.5">
      <c r="A1" s="17" t="s">
        <v>22</v>
      </c>
      <c r="B1" s="18"/>
      <c r="C1" s="18"/>
      <c r="D1" s="18"/>
      <c r="E1" s="19"/>
      <c r="F1" s="16" t="s">
        <v>17</v>
      </c>
      <c r="G1" s="16"/>
      <c r="H1" s="16"/>
      <c r="I1" s="16"/>
      <c r="J1" s="16"/>
      <c r="K1" s="16"/>
      <c r="L1" s="16"/>
      <c r="M1" s="16"/>
      <c r="N1" s="16"/>
      <c r="O1" s="9"/>
      <c r="P1" s="9"/>
    </row>
    <row r="2" spans="1:20" ht="34.5" thickBot="1" x14ac:dyDescent="0.5">
      <c r="A2" s="9"/>
      <c r="B2" s="9">
        <v>-40</v>
      </c>
      <c r="C2" s="9">
        <v>-29</v>
      </c>
      <c r="D2" s="9">
        <v>-18</v>
      </c>
      <c r="E2" s="9">
        <v>-8</v>
      </c>
      <c r="F2" s="9">
        <v>30</v>
      </c>
      <c r="G2" s="9">
        <v>40</v>
      </c>
      <c r="H2" s="9">
        <v>50</v>
      </c>
      <c r="I2" s="9">
        <v>60</v>
      </c>
      <c r="J2" s="9">
        <v>70</v>
      </c>
      <c r="K2" s="9">
        <v>80</v>
      </c>
      <c r="L2" s="9">
        <v>90</v>
      </c>
      <c r="M2" s="9">
        <v>100</v>
      </c>
      <c r="N2" s="9">
        <v>110</v>
      </c>
      <c r="O2" s="10">
        <v>120</v>
      </c>
      <c r="P2" s="9"/>
      <c r="R2" s="1" t="s">
        <v>19</v>
      </c>
      <c r="S2" s="14" t="s">
        <v>21</v>
      </c>
      <c r="T2" s="13" t="s">
        <v>20</v>
      </c>
    </row>
    <row r="3" spans="1:20" x14ac:dyDescent="0.45">
      <c r="A3" s="16" t="s">
        <v>16</v>
      </c>
      <c r="B3" s="10">
        <v>240</v>
      </c>
      <c r="C3" s="10">
        <v>281</v>
      </c>
      <c r="D3" s="10">
        <v>320</v>
      </c>
      <c r="E3" s="10">
        <v>361</v>
      </c>
      <c r="F3" s="9">
        <v>511</v>
      </c>
      <c r="G3" s="9">
        <v>551</v>
      </c>
      <c r="H3" s="9">
        <v>589</v>
      </c>
      <c r="I3" s="9">
        <v>630</v>
      </c>
      <c r="J3" s="9">
        <v>672</v>
      </c>
      <c r="K3" s="9">
        <v>712</v>
      </c>
      <c r="L3" s="9">
        <v>753</v>
      </c>
      <c r="M3" s="9">
        <v>792</v>
      </c>
      <c r="N3" s="9">
        <v>834</v>
      </c>
      <c r="O3" s="10">
        <v>868</v>
      </c>
      <c r="P3" s="9" t="s">
        <v>0</v>
      </c>
      <c r="R3" s="2">
        <v>-40</v>
      </c>
      <c r="S3" s="3">
        <f>512+(R3-30)*4.05</f>
        <v>228.5</v>
      </c>
      <c r="T3" s="4">
        <v>224</v>
      </c>
    </row>
    <row r="4" spans="1:20" x14ac:dyDescent="0.45">
      <c r="A4" s="16"/>
      <c r="B4" s="15">
        <v>224</v>
      </c>
      <c r="C4" s="15">
        <v>271</v>
      </c>
      <c r="D4" s="15">
        <v>313</v>
      </c>
      <c r="E4" s="15">
        <v>357</v>
      </c>
      <c r="F4" s="9">
        <v>513</v>
      </c>
      <c r="G4" s="9">
        <v>552</v>
      </c>
      <c r="H4" s="9">
        <v>591</v>
      </c>
      <c r="I4" s="9">
        <v>632</v>
      </c>
      <c r="J4" s="9">
        <v>673</v>
      </c>
      <c r="K4" s="9">
        <v>714</v>
      </c>
      <c r="L4" s="9">
        <v>755</v>
      </c>
      <c r="M4" s="9">
        <v>795</v>
      </c>
      <c r="N4" s="9">
        <v>838</v>
      </c>
      <c r="O4" s="10">
        <v>871</v>
      </c>
      <c r="P4" s="9" t="s">
        <v>1</v>
      </c>
      <c r="R4" s="5">
        <v>-35</v>
      </c>
      <c r="S4" s="3">
        <f t="shared" ref="S4:S39" si="0">512+(R4-30)*4.05</f>
        <v>248.75</v>
      </c>
      <c r="T4" s="6"/>
    </row>
    <row r="5" spans="1:20" x14ac:dyDescent="0.45">
      <c r="A5" s="16"/>
      <c r="B5" s="10">
        <v>216</v>
      </c>
      <c r="C5" s="10">
        <v>265</v>
      </c>
      <c r="D5" s="10">
        <v>309</v>
      </c>
      <c r="E5" s="10">
        <v>353</v>
      </c>
      <c r="F5" s="9">
        <v>511</v>
      </c>
      <c r="G5" s="9">
        <v>553</v>
      </c>
      <c r="H5" s="9">
        <v>592</v>
      </c>
      <c r="I5" s="9">
        <v>634</v>
      </c>
      <c r="J5" s="9">
        <v>675</v>
      </c>
      <c r="K5" s="9">
        <v>715</v>
      </c>
      <c r="L5" s="9">
        <v>757</v>
      </c>
      <c r="M5" s="9">
        <v>798</v>
      </c>
      <c r="N5" s="9">
        <v>841</v>
      </c>
      <c r="O5" s="10">
        <v>873</v>
      </c>
      <c r="P5" s="9" t="s">
        <v>2</v>
      </c>
      <c r="R5" s="5">
        <v>-29</v>
      </c>
      <c r="S5" s="3">
        <f t="shared" si="0"/>
        <v>273.05</v>
      </c>
      <c r="T5" s="6">
        <v>271</v>
      </c>
    </row>
    <row r="6" spans="1:20" x14ac:dyDescent="0.45">
      <c r="A6" s="16"/>
      <c r="B6" s="10">
        <v>223</v>
      </c>
      <c r="C6" s="10">
        <v>269</v>
      </c>
      <c r="D6" s="10">
        <v>312</v>
      </c>
      <c r="E6" s="10">
        <v>356</v>
      </c>
      <c r="F6" s="9">
        <v>513</v>
      </c>
      <c r="G6" s="9">
        <v>554</v>
      </c>
      <c r="H6" s="9">
        <v>593</v>
      </c>
      <c r="I6" s="9">
        <v>634</v>
      </c>
      <c r="J6" s="9">
        <v>676</v>
      </c>
      <c r="K6" s="9">
        <v>718</v>
      </c>
      <c r="L6" s="9">
        <v>759</v>
      </c>
      <c r="M6" s="9">
        <v>799</v>
      </c>
      <c r="N6" s="9">
        <v>842</v>
      </c>
      <c r="O6" s="10">
        <v>875</v>
      </c>
      <c r="P6" s="9" t="s">
        <v>3</v>
      </c>
      <c r="R6" s="5">
        <v>-25</v>
      </c>
      <c r="S6" s="3">
        <f t="shared" si="0"/>
        <v>289.25</v>
      </c>
      <c r="T6" s="6"/>
    </row>
    <row r="7" spans="1:20" x14ac:dyDescent="0.45">
      <c r="A7" s="16"/>
      <c r="B7" s="10">
        <v>228</v>
      </c>
      <c r="C7" s="15">
        <v>271</v>
      </c>
      <c r="D7" s="10">
        <v>316</v>
      </c>
      <c r="E7" s="10">
        <v>359</v>
      </c>
      <c r="F7" s="9">
        <v>514</v>
      </c>
      <c r="G7" s="9">
        <v>553</v>
      </c>
      <c r="H7" s="9">
        <v>591</v>
      </c>
      <c r="I7" s="9">
        <v>632</v>
      </c>
      <c r="J7" s="9">
        <v>673</v>
      </c>
      <c r="K7" s="9">
        <v>713</v>
      </c>
      <c r="L7" s="9">
        <v>754</v>
      </c>
      <c r="M7" s="9">
        <v>796</v>
      </c>
      <c r="N7" s="9">
        <v>839</v>
      </c>
      <c r="O7" s="10">
        <v>872</v>
      </c>
      <c r="P7" s="9" t="s">
        <v>4</v>
      </c>
      <c r="R7" s="5">
        <v>-18</v>
      </c>
      <c r="S7" s="3">
        <f t="shared" si="0"/>
        <v>317.60000000000002</v>
      </c>
      <c r="T7" s="6">
        <v>313</v>
      </c>
    </row>
    <row r="8" spans="1:20" x14ac:dyDescent="0.45">
      <c r="A8" s="16"/>
      <c r="B8" s="10">
        <v>222</v>
      </c>
      <c r="C8" s="10">
        <v>269</v>
      </c>
      <c r="D8" s="10">
        <v>312</v>
      </c>
      <c r="E8" s="10">
        <v>356</v>
      </c>
      <c r="F8" s="9">
        <v>512</v>
      </c>
      <c r="G8" s="9">
        <v>554</v>
      </c>
      <c r="H8" s="9">
        <v>593</v>
      </c>
      <c r="I8" s="9">
        <v>635</v>
      </c>
      <c r="J8" s="9">
        <v>676</v>
      </c>
      <c r="K8" s="9">
        <v>717</v>
      </c>
      <c r="L8" s="9">
        <v>760</v>
      </c>
      <c r="M8" s="9">
        <v>800</v>
      </c>
      <c r="N8" s="9">
        <v>842</v>
      </c>
      <c r="O8" s="10">
        <v>874</v>
      </c>
      <c r="P8" s="9" t="s">
        <v>5</v>
      </c>
      <c r="R8" s="5">
        <v>-15</v>
      </c>
      <c r="S8" s="3">
        <f t="shared" si="0"/>
        <v>329.75</v>
      </c>
      <c r="T8" s="6"/>
    </row>
    <row r="9" spans="1:20" x14ac:dyDescent="0.45">
      <c r="A9" s="16"/>
      <c r="B9" s="10">
        <v>228</v>
      </c>
      <c r="C9" s="10">
        <v>274</v>
      </c>
      <c r="D9" s="10">
        <v>315</v>
      </c>
      <c r="E9" s="10">
        <v>358</v>
      </c>
      <c r="F9" s="9">
        <v>512</v>
      </c>
      <c r="G9" s="9">
        <v>552</v>
      </c>
      <c r="H9" s="9">
        <v>590</v>
      </c>
      <c r="I9" s="9">
        <v>631</v>
      </c>
      <c r="J9" s="9">
        <v>672</v>
      </c>
      <c r="K9" s="9">
        <v>713</v>
      </c>
      <c r="L9" s="9">
        <v>755</v>
      </c>
      <c r="M9" s="9">
        <v>795</v>
      </c>
      <c r="N9" s="9">
        <v>838</v>
      </c>
      <c r="O9" s="10">
        <v>870</v>
      </c>
      <c r="P9" s="9" t="s">
        <v>6</v>
      </c>
      <c r="R9" s="5">
        <v>-8</v>
      </c>
      <c r="S9" s="3">
        <f t="shared" si="0"/>
        <v>358.1</v>
      </c>
      <c r="T9" s="6">
        <v>357</v>
      </c>
    </row>
    <row r="10" spans="1:20" x14ac:dyDescent="0.45">
      <c r="A10" s="16"/>
      <c r="B10" s="10">
        <v>217</v>
      </c>
      <c r="C10" s="10">
        <v>265</v>
      </c>
      <c r="D10" s="10">
        <v>308</v>
      </c>
      <c r="E10" s="10">
        <v>352</v>
      </c>
      <c r="F10" s="9">
        <v>512</v>
      </c>
      <c r="G10" s="9">
        <v>552</v>
      </c>
      <c r="H10" s="9">
        <v>592</v>
      </c>
      <c r="I10" s="9">
        <v>635</v>
      </c>
      <c r="J10" s="9">
        <v>677</v>
      </c>
      <c r="K10" s="9">
        <v>719</v>
      </c>
      <c r="L10" s="9">
        <v>762</v>
      </c>
      <c r="M10" s="9">
        <v>802</v>
      </c>
      <c r="N10" s="9">
        <v>848</v>
      </c>
      <c r="O10" s="10">
        <v>881</v>
      </c>
      <c r="P10" s="9" t="s">
        <v>7</v>
      </c>
      <c r="R10" s="5">
        <v>-5</v>
      </c>
      <c r="S10" s="3">
        <f t="shared" si="0"/>
        <v>370.25</v>
      </c>
      <c r="T10" s="6"/>
    </row>
    <row r="11" spans="1:20" x14ac:dyDescent="0.45">
      <c r="A11" s="16"/>
      <c r="B11" s="10">
        <v>206</v>
      </c>
      <c r="C11" s="10">
        <v>255</v>
      </c>
      <c r="D11" s="10">
        <v>302</v>
      </c>
      <c r="E11" s="10">
        <v>348</v>
      </c>
      <c r="F11" s="9">
        <v>512</v>
      </c>
      <c r="G11" s="9">
        <v>554</v>
      </c>
      <c r="H11" s="9">
        <v>595</v>
      </c>
      <c r="I11" s="9">
        <v>637</v>
      </c>
      <c r="J11" s="9">
        <v>679</v>
      </c>
      <c r="K11" s="9">
        <v>720</v>
      </c>
      <c r="L11" s="9">
        <v>763</v>
      </c>
      <c r="M11" s="9">
        <v>804</v>
      </c>
      <c r="N11" s="9">
        <v>848</v>
      </c>
      <c r="O11" s="10">
        <v>880</v>
      </c>
      <c r="P11" s="9" t="s">
        <v>8</v>
      </c>
      <c r="R11" s="5">
        <v>0</v>
      </c>
      <c r="S11" s="3">
        <f t="shared" si="0"/>
        <v>390.5</v>
      </c>
      <c r="T11" s="6"/>
    </row>
    <row r="12" spans="1:20" x14ac:dyDescent="0.45">
      <c r="A12" s="16"/>
      <c r="B12" s="10">
        <v>232</v>
      </c>
      <c r="C12" s="10">
        <v>276</v>
      </c>
      <c r="D12" s="10">
        <v>318</v>
      </c>
      <c r="E12" s="10">
        <v>360</v>
      </c>
      <c r="F12" s="9">
        <v>512</v>
      </c>
      <c r="G12" s="9">
        <v>550</v>
      </c>
      <c r="H12" s="9">
        <v>589</v>
      </c>
      <c r="I12" s="9">
        <v>628</v>
      </c>
      <c r="J12" s="9">
        <v>669</v>
      </c>
      <c r="K12" s="9">
        <v>710</v>
      </c>
      <c r="L12" s="9">
        <v>751</v>
      </c>
      <c r="M12" s="9">
        <v>789</v>
      </c>
      <c r="N12" s="9">
        <v>832</v>
      </c>
      <c r="O12" s="10">
        <v>864</v>
      </c>
      <c r="P12" s="9" t="s">
        <v>9</v>
      </c>
      <c r="R12" s="5">
        <v>5</v>
      </c>
      <c r="S12" s="3">
        <f t="shared" si="0"/>
        <v>410.75</v>
      </c>
      <c r="T12" s="6"/>
    </row>
    <row r="13" spans="1:20" x14ac:dyDescent="0.45">
      <c r="A13" s="16"/>
      <c r="B13" s="10">
        <v>232</v>
      </c>
      <c r="C13" s="10">
        <v>278</v>
      </c>
      <c r="D13" s="10">
        <v>317</v>
      </c>
      <c r="E13" s="10">
        <v>362</v>
      </c>
      <c r="F13" s="9">
        <v>513</v>
      </c>
      <c r="G13" s="9">
        <v>553</v>
      </c>
      <c r="H13" s="9">
        <v>590</v>
      </c>
      <c r="I13" s="9">
        <v>631</v>
      </c>
      <c r="J13" s="9">
        <v>673</v>
      </c>
      <c r="K13" s="9">
        <v>714</v>
      </c>
      <c r="L13" s="9">
        <v>756</v>
      </c>
      <c r="M13" s="9">
        <v>796</v>
      </c>
      <c r="N13" s="9">
        <v>840</v>
      </c>
      <c r="O13" s="10">
        <v>872</v>
      </c>
      <c r="P13" s="9" t="s">
        <v>10</v>
      </c>
      <c r="R13" s="5">
        <v>10</v>
      </c>
      <c r="S13" s="3">
        <f t="shared" si="0"/>
        <v>431</v>
      </c>
      <c r="T13" s="6"/>
    </row>
    <row r="14" spans="1:20" x14ac:dyDescent="0.45">
      <c r="A14" s="16"/>
      <c r="B14" s="10">
        <v>222</v>
      </c>
      <c r="C14" s="10">
        <v>270</v>
      </c>
      <c r="D14" s="10">
        <v>312</v>
      </c>
      <c r="E14" s="10">
        <v>356</v>
      </c>
      <c r="F14" s="9">
        <v>512</v>
      </c>
      <c r="G14" s="9">
        <v>552</v>
      </c>
      <c r="H14" s="9">
        <v>591</v>
      </c>
      <c r="I14" s="9">
        <v>633</v>
      </c>
      <c r="J14" s="9">
        <v>674</v>
      </c>
      <c r="K14" s="9">
        <v>715</v>
      </c>
      <c r="L14" s="9">
        <v>756</v>
      </c>
      <c r="M14" s="9">
        <v>797</v>
      </c>
      <c r="N14" s="9">
        <v>840</v>
      </c>
      <c r="O14" s="10">
        <v>872</v>
      </c>
      <c r="P14" s="9" t="s">
        <v>11</v>
      </c>
      <c r="R14" s="5">
        <v>15</v>
      </c>
      <c r="S14" s="3">
        <f t="shared" si="0"/>
        <v>451.25</v>
      </c>
      <c r="T14" s="6"/>
    </row>
    <row r="15" spans="1:20" x14ac:dyDescent="0.45">
      <c r="A15" s="16"/>
      <c r="B15" s="10">
        <v>215</v>
      </c>
      <c r="C15" s="10">
        <v>264</v>
      </c>
      <c r="D15" s="10">
        <v>311</v>
      </c>
      <c r="E15" s="10">
        <v>355</v>
      </c>
      <c r="F15" s="9">
        <v>512</v>
      </c>
      <c r="G15" s="9">
        <v>553</v>
      </c>
      <c r="H15" s="9">
        <v>592</v>
      </c>
      <c r="I15" s="9">
        <v>633</v>
      </c>
      <c r="J15" s="9">
        <v>676</v>
      </c>
      <c r="K15" s="9">
        <v>718</v>
      </c>
      <c r="L15" s="9">
        <v>759</v>
      </c>
      <c r="M15" s="9">
        <v>801</v>
      </c>
      <c r="N15" s="9">
        <v>844</v>
      </c>
      <c r="O15" s="10">
        <v>876</v>
      </c>
      <c r="P15" s="9" t="s">
        <v>12</v>
      </c>
      <c r="R15" s="5">
        <v>20</v>
      </c>
      <c r="S15" s="3">
        <f t="shared" si="0"/>
        <v>471.5</v>
      </c>
      <c r="T15" s="6"/>
    </row>
    <row r="16" spans="1:20" x14ac:dyDescent="0.45">
      <c r="A16" s="16"/>
      <c r="B16" s="10">
        <v>228</v>
      </c>
      <c r="C16" s="10">
        <v>275</v>
      </c>
      <c r="D16" s="10">
        <v>317</v>
      </c>
      <c r="E16" s="10">
        <v>359</v>
      </c>
      <c r="F16" s="9">
        <v>512</v>
      </c>
      <c r="G16" s="9">
        <v>551</v>
      </c>
      <c r="H16" s="9">
        <v>589</v>
      </c>
      <c r="I16" s="9">
        <v>629</v>
      </c>
      <c r="J16" s="9">
        <v>670</v>
      </c>
      <c r="K16" s="9">
        <v>710</v>
      </c>
      <c r="L16" s="9">
        <v>751</v>
      </c>
      <c r="M16" s="9">
        <v>790</v>
      </c>
      <c r="N16" s="9">
        <v>834</v>
      </c>
      <c r="O16" s="10">
        <v>866</v>
      </c>
      <c r="P16" s="9" t="s">
        <v>13</v>
      </c>
      <c r="R16" s="5">
        <v>25</v>
      </c>
      <c r="S16" s="3">
        <f t="shared" si="0"/>
        <v>491.75</v>
      </c>
      <c r="T16" s="6"/>
    </row>
    <row r="17" spans="1:20" x14ac:dyDescent="0.45">
      <c r="A17" s="16"/>
      <c r="B17" s="10">
        <v>237</v>
      </c>
      <c r="C17" s="10">
        <v>282</v>
      </c>
      <c r="D17" s="10">
        <v>322</v>
      </c>
      <c r="E17" s="10">
        <v>363</v>
      </c>
      <c r="F17" s="9">
        <v>512</v>
      </c>
      <c r="G17" s="9">
        <v>550</v>
      </c>
      <c r="H17" s="9">
        <v>588</v>
      </c>
      <c r="I17" s="9">
        <v>629</v>
      </c>
      <c r="J17" s="9">
        <v>669</v>
      </c>
      <c r="K17" s="9">
        <v>710</v>
      </c>
      <c r="L17" s="9">
        <v>751</v>
      </c>
      <c r="M17" s="9">
        <v>791</v>
      </c>
      <c r="N17" s="9">
        <v>834</v>
      </c>
      <c r="O17" s="10">
        <v>866</v>
      </c>
      <c r="P17" s="9" t="s">
        <v>14</v>
      </c>
      <c r="R17" s="5">
        <v>30</v>
      </c>
      <c r="S17" s="3">
        <f t="shared" si="0"/>
        <v>512</v>
      </c>
      <c r="T17" s="6">
        <v>512</v>
      </c>
    </row>
    <row r="18" spans="1:20" x14ac:dyDescent="0.45">
      <c r="A18" s="16"/>
      <c r="B18" s="10">
        <v>214</v>
      </c>
      <c r="C18" s="10">
        <v>265</v>
      </c>
      <c r="D18" s="10">
        <v>308</v>
      </c>
      <c r="E18" s="10">
        <v>353</v>
      </c>
      <c r="F18" s="9">
        <v>510</v>
      </c>
      <c r="G18" s="9">
        <v>552</v>
      </c>
      <c r="H18" s="9">
        <v>592</v>
      </c>
      <c r="I18" s="9">
        <v>634</v>
      </c>
      <c r="J18" s="9">
        <v>676</v>
      </c>
      <c r="K18" s="9">
        <v>717</v>
      </c>
      <c r="L18" s="9">
        <v>760</v>
      </c>
      <c r="M18" s="9">
        <v>799</v>
      </c>
      <c r="N18" s="9">
        <v>843</v>
      </c>
      <c r="O18" s="10">
        <v>876</v>
      </c>
      <c r="P18" s="9" t="s">
        <v>15</v>
      </c>
      <c r="R18" s="5">
        <v>35</v>
      </c>
      <c r="S18" s="3">
        <f t="shared" si="0"/>
        <v>532.25</v>
      </c>
      <c r="T18" s="6"/>
    </row>
    <row r="19" spans="1:20" x14ac:dyDescent="0.4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R19" s="5">
        <v>40</v>
      </c>
      <c r="S19" s="3">
        <f t="shared" si="0"/>
        <v>552.5</v>
      </c>
      <c r="T19" s="6">
        <v>552</v>
      </c>
    </row>
    <row r="20" spans="1:20" x14ac:dyDescent="0.45">
      <c r="A20" s="9" t="s">
        <v>18</v>
      </c>
      <c r="B20" s="11">
        <f t="shared" ref="B20:E20" si="1">AVERAGE(B3:B18)</f>
        <v>224</v>
      </c>
      <c r="C20" s="11">
        <f t="shared" si="1"/>
        <v>270.625</v>
      </c>
      <c r="D20" s="11">
        <f t="shared" si="1"/>
        <v>313.25</v>
      </c>
      <c r="E20" s="11">
        <f t="shared" si="1"/>
        <v>356.75</v>
      </c>
      <c r="F20" s="11">
        <f>AVERAGE(F3:F18)</f>
        <v>512.0625</v>
      </c>
      <c r="G20" s="11">
        <f t="shared" ref="G20:O20" si="2">AVERAGE(G3:G18)</f>
        <v>552.25</v>
      </c>
      <c r="H20" s="11">
        <f t="shared" si="2"/>
        <v>591.0625</v>
      </c>
      <c r="I20" s="11">
        <f t="shared" si="2"/>
        <v>632.3125</v>
      </c>
      <c r="J20" s="11">
        <f t="shared" si="2"/>
        <v>673.75</v>
      </c>
      <c r="K20" s="11">
        <f t="shared" si="2"/>
        <v>714.6875</v>
      </c>
      <c r="L20" s="11">
        <f t="shared" si="2"/>
        <v>756.375</v>
      </c>
      <c r="M20" s="11">
        <f t="shared" si="2"/>
        <v>796.5</v>
      </c>
      <c r="N20" s="11">
        <f t="shared" si="2"/>
        <v>839.8125</v>
      </c>
      <c r="O20" s="11">
        <f t="shared" si="2"/>
        <v>872.25</v>
      </c>
      <c r="P20" s="9"/>
      <c r="R20" s="5">
        <v>45</v>
      </c>
      <c r="S20" s="3">
        <f t="shared" si="0"/>
        <v>572.75</v>
      </c>
      <c r="T20" s="6"/>
    </row>
    <row r="21" spans="1:20" x14ac:dyDescent="0.45">
      <c r="R21" s="5">
        <v>50</v>
      </c>
      <c r="S21" s="3">
        <f t="shared" si="0"/>
        <v>593</v>
      </c>
      <c r="T21" s="6">
        <v>591</v>
      </c>
    </row>
    <row r="22" spans="1:20" x14ac:dyDescent="0.45">
      <c r="R22" s="5">
        <v>55</v>
      </c>
      <c r="S22" s="3">
        <f t="shared" si="0"/>
        <v>613.25</v>
      </c>
      <c r="T22" s="6"/>
    </row>
    <row r="23" spans="1:20" x14ac:dyDescent="0.45">
      <c r="R23" s="5">
        <v>60</v>
      </c>
      <c r="S23" s="3">
        <f t="shared" si="0"/>
        <v>633.5</v>
      </c>
      <c r="T23" s="6">
        <v>632</v>
      </c>
    </row>
    <row r="24" spans="1:20" x14ac:dyDescent="0.45">
      <c r="R24" s="5">
        <v>65</v>
      </c>
      <c r="S24" s="3">
        <f t="shared" si="0"/>
        <v>653.75</v>
      </c>
      <c r="T24" s="6"/>
    </row>
    <row r="25" spans="1:20" x14ac:dyDescent="0.45">
      <c r="R25" s="5">
        <v>70</v>
      </c>
      <c r="S25" s="3">
        <f t="shared" si="0"/>
        <v>674</v>
      </c>
      <c r="T25" s="6">
        <v>674</v>
      </c>
    </row>
    <row r="26" spans="1:20" x14ac:dyDescent="0.45">
      <c r="R26" s="5">
        <v>75</v>
      </c>
      <c r="S26" s="3">
        <f t="shared" si="0"/>
        <v>694.25</v>
      </c>
      <c r="T26" s="6"/>
    </row>
    <row r="27" spans="1:20" x14ac:dyDescent="0.45">
      <c r="R27" s="5">
        <v>80</v>
      </c>
      <c r="S27" s="3">
        <f t="shared" si="0"/>
        <v>714.5</v>
      </c>
      <c r="T27" s="6">
        <v>715</v>
      </c>
    </row>
    <row r="28" spans="1:20" x14ac:dyDescent="0.45">
      <c r="R28" s="5">
        <v>85</v>
      </c>
      <c r="S28" s="3">
        <f t="shared" si="0"/>
        <v>734.75</v>
      </c>
      <c r="T28" s="6"/>
    </row>
    <row r="29" spans="1:20" x14ac:dyDescent="0.45">
      <c r="R29" s="5">
        <v>90</v>
      </c>
      <c r="S29" s="3">
        <f t="shared" si="0"/>
        <v>755</v>
      </c>
      <c r="T29" s="6">
        <v>756</v>
      </c>
    </row>
    <row r="30" spans="1:20" x14ac:dyDescent="0.45">
      <c r="R30" s="5">
        <v>95</v>
      </c>
      <c r="S30" s="3">
        <f t="shared" si="0"/>
        <v>775.25</v>
      </c>
      <c r="T30" s="6"/>
    </row>
    <row r="31" spans="1:20" x14ac:dyDescent="0.45">
      <c r="R31" s="5">
        <v>100</v>
      </c>
      <c r="S31" s="3">
        <f t="shared" si="0"/>
        <v>795.5</v>
      </c>
      <c r="T31" s="6">
        <v>797</v>
      </c>
    </row>
    <row r="32" spans="1:20" x14ac:dyDescent="0.45">
      <c r="R32" s="5">
        <v>105</v>
      </c>
      <c r="S32" s="3">
        <f t="shared" si="0"/>
        <v>815.75</v>
      </c>
      <c r="T32" s="6"/>
    </row>
    <row r="33" spans="18:20" x14ac:dyDescent="0.45">
      <c r="R33" s="5">
        <v>110</v>
      </c>
      <c r="S33" s="3">
        <f t="shared" si="0"/>
        <v>836</v>
      </c>
      <c r="T33" s="6">
        <v>840</v>
      </c>
    </row>
    <row r="34" spans="18:20" x14ac:dyDescent="0.45">
      <c r="R34" s="5">
        <v>115</v>
      </c>
      <c r="S34" s="3">
        <f t="shared" si="0"/>
        <v>856.25</v>
      </c>
      <c r="T34" s="6"/>
    </row>
    <row r="35" spans="18:20" x14ac:dyDescent="0.45">
      <c r="R35" s="5">
        <v>120</v>
      </c>
      <c r="S35" s="3">
        <f t="shared" si="0"/>
        <v>876.5</v>
      </c>
      <c r="T35" s="6">
        <v>872</v>
      </c>
    </row>
    <row r="36" spans="18:20" x14ac:dyDescent="0.45">
      <c r="R36" s="5">
        <v>125</v>
      </c>
      <c r="S36" s="3">
        <f t="shared" si="0"/>
        <v>896.75</v>
      </c>
      <c r="T36" s="6"/>
    </row>
    <row r="37" spans="18:20" x14ac:dyDescent="0.45">
      <c r="R37" s="5">
        <v>130</v>
      </c>
      <c r="S37" s="3">
        <f t="shared" si="0"/>
        <v>917</v>
      </c>
      <c r="T37" s="6"/>
    </row>
    <row r="38" spans="18:20" x14ac:dyDescent="0.45">
      <c r="R38" s="5">
        <v>135</v>
      </c>
      <c r="S38" s="3">
        <f t="shared" si="0"/>
        <v>937.25</v>
      </c>
      <c r="T38" s="6"/>
    </row>
    <row r="39" spans="18:20" ht="17.5" thickBot="1" x14ac:dyDescent="0.5">
      <c r="R39" s="7">
        <v>140</v>
      </c>
      <c r="S39" s="12">
        <f t="shared" si="0"/>
        <v>957.5</v>
      </c>
      <c r="T39" s="8"/>
    </row>
  </sheetData>
  <mergeCells count="3">
    <mergeCell ref="F1:N1"/>
    <mergeCell ref="A3:A18"/>
    <mergeCell ref="A1:E1"/>
  </mergeCells>
  <phoneticPr fontId="1" type="noConversion"/>
  <pageMargins left="0.7" right="0.7" top="0.75" bottom="0.75" header="0.3" footer="0.3"/>
  <ignoredErrors>
    <ignoredError sqref="D20:O20 B20:C20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 대성</dc:creator>
  <cp:lastModifiedBy>김 영훈</cp:lastModifiedBy>
  <dcterms:created xsi:type="dcterms:W3CDTF">2025-04-30T08:26:32Z</dcterms:created>
  <dcterms:modified xsi:type="dcterms:W3CDTF">2025-05-02T10:06:46Z</dcterms:modified>
</cp:coreProperties>
</file>