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working\01_Project\Jig\SAL_JIG\SAL_JIG_ES0\Docs\"/>
    </mc:Choice>
  </mc:AlternateContent>
  <xr:revisionPtr revIDLastSave="0" documentId="13_ncr:1_{255164E7-A4C3-49F3-AD91-FF368D94A796}" xr6:coauthVersionLast="47" xr6:coauthVersionMax="47" xr10:uidLastSave="{00000000-0000-0000-0000-000000000000}"/>
  <bookViews>
    <workbookView xWindow="1920" yWindow="2287" windowWidth="15915" windowHeight="9180" xr2:uid="{00000000-000D-0000-FFFF-FFFF00000000}"/>
  </bookViews>
  <sheets>
    <sheet name="Test_Pla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2" l="1"/>
  <c r="H5" i="12"/>
  <c r="H4" i="12"/>
  <c r="B34" i="12"/>
  <c r="B33" i="12"/>
  <c r="C2" i="12" l="1"/>
  <c r="C5" i="12" l="1"/>
  <c r="E6" i="12" l="1"/>
  <c r="G6" i="12" s="1"/>
  <c r="H7" i="12" l="1"/>
  <c r="H6" i="12"/>
  <c r="E4" i="12" l="1"/>
  <c r="G3" i="12"/>
  <c r="E5" i="12" l="1"/>
  <c r="G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tc={C8EAC843-FE16-4AEF-9084-B7D82EA00A12}</author>
    <author>tc={8220575C-1D14-4E64-A358-8A8525EA9622}</author>
    <author>tc={8016E8DB-1A3E-4404-8D91-B981406EBD66}</author>
  </authors>
  <commentList>
    <comment ref="C3" authorId="0" shapeId="0" xr:uid="{C8EAC843-FE16-4AEF-9084-B7D82EA00A1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Bit left shift - 6</t>
      </text>
    </comment>
    <comment ref="C4" authorId="1" shapeId="0" xr:uid="{8220575C-1D14-4E64-A358-8A8525EA962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Bit left shift - 6</t>
      </text>
    </comment>
    <comment ref="C6" authorId="2" shapeId="0" xr:uid="{8016E8DB-1A3E-4404-8D91-B981406EBD6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Bit left shift - 6</t>
      </text>
    </comment>
  </commentList>
</comments>
</file>

<file path=xl/sharedStrings.xml><?xml version="1.0" encoding="utf-8"?>
<sst xmlns="http://schemas.openxmlformats.org/spreadsheetml/2006/main" count="39" uniqueCount="23">
  <si>
    <t>Bit</t>
    <phoneticPr fontId="1" type="noConversion"/>
  </si>
  <si>
    <t>mA</t>
    <phoneticPr fontId="1" type="noConversion"/>
  </si>
  <si>
    <t>TEST PIN</t>
    <phoneticPr fontId="1" type="noConversion"/>
  </si>
  <si>
    <t>SET REG</t>
    <phoneticPr fontId="1" type="noConversion"/>
  </si>
  <si>
    <t>TRIM REG</t>
    <phoneticPr fontId="1" type="noConversion"/>
  </si>
  <si>
    <t>TARGET</t>
    <phoneticPr fontId="1" type="noConversion"/>
  </si>
  <si>
    <t>Max current</t>
    <phoneticPr fontId="1" type="noConversion"/>
  </si>
  <si>
    <t>Offset P2</t>
    <phoneticPr fontId="1" type="noConversion"/>
  </si>
  <si>
    <t>Offset P1_1</t>
    <phoneticPr fontId="1" type="noConversion"/>
  </si>
  <si>
    <t>Offset P1_2</t>
    <phoneticPr fontId="1" type="noConversion"/>
  </si>
  <si>
    <t>Offset P1_AVG</t>
    <phoneticPr fontId="1" type="noConversion"/>
  </si>
  <si>
    <t>E6</t>
    <phoneticPr fontId="1" type="noConversion"/>
  </si>
  <si>
    <t>(E3+E4)/2</t>
    <phoneticPr fontId="1" type="noConversion"/>
  </si>
  <si>
    <t>R / G / B</t>
    <phoneticPr fontId="1" type="noConversion"/>
  </si>
  <si>
    <t>ITRIM_R[7:0] / ITRIM_G[7:0] / ITRIM_B[7:0]</t>
    <phoneticPr fontId="1" type="noConversion"/>
  </si>
  <si>
    <t>ROUT / GOUT / BOUT</t>
    <phoneticPr fontId="1" type="noConversion"/>
  </si>
  <si>
    <t>(Unsigned), Default : 8'd 128</t>
    <phoneticPr fontId="1" type="noConversion"/>
  </si>
  <si>
    <t>R_CURR_MAX_LVL[3:0] = max target [R]
G_CURR_MAX_LVL[3:0] = max target [R]
B_CURR_MAX_LVL[3:0] = max target [R]
LD_DATA = C3 / C4</t>
    <phoneticPr fontId="1" type="noConversion"/>
  </si>
  <si>
    <t>R_CURR_MAX_LVL[3:0] = max target [R]
G_CURR_MAX_LVL[3:0] = max target [R]
B_CURR_MAX_LVL[3:0] = max target [R]
LD_DATA = C6</t>
    <phoneticPr fontId="1" type="noConversion"/>
  </si>
  <si>
    <t>GAIN_R[7:0] / GAIN_G[7:0] / GAIN_B[7:0]</t>
    <phoneticPr fontId="1" type="noConversion"/>
  </si>
  <si>
    <t>step = 120uA @20mA (simulation)</t>
    <phoneticPr fontId="1" type="noConversion"/>
  </si>
  <si>
    <r>
      <t xml:space="preserve">1. DIN </t>
    </r>
    <r>
      <rPr>
        <b/>
        <sz val="9"/>
        <color rgb="FF000000"/>
        <rFont val="Arial Unicode MS"/>
        <family val="2"/>
        <charset val="129"/>
      </rPr>
      <t>을</t>
    </r>
    <r>
      <rPr>
        <b/>
        <sz val="9"/>
        <color rgb="FF000000"/>
        <rFont val="Calibri"/>
        <family val="2"/>
      </rPr>
      <t xml:space="preserve"> C3,C4 </t>
    </r>
    <r>
      <rPr>
        <b/>
        <sz val="9"/>
        <color rgb="FF000000"/>
        <rFont val="Arial Unicode MS"/>
        <family val="2"/>
        <charset val="129"/>
      </rPr>
      <t>각각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설정하고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두번측정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후</t>
    </r>
    <r>
      <rPr>
        <b/>
        <sz val="9"/>
        <color rgb="FF000000"/>
        <rFont val="Calibri"/>
        <family val="2"/>
      </rPr>
      <t>, IOUT</t>
    </r>
    <r>
      <rPr>
        <b/>
        <sz val="9"/>
        <color rgb="FF000000"/>
        <rFont val="Arial Unicode MS"/>
        <family val="2"/>
        <charset val="129"/>
      </rPr>
      <t>이</t>
    </r>
    <r>
      <rPr>
        <b/>
        <sz val="9"/>
        <color rgb="FF000000"/>
        <rFont val="Calibri"/>
        <family val="2"/>
      </rPr>
      <t xml:space="preserve"> (E3+E4)/2 </t>
    </r>
    <r>
      <rPr>
        <b/>
        <sz val="9"/>
        <color rgb="FF000000"/>
        <rFont val="Arial Unicode MS"/>
        <family val="2"/>
        <charset val="129"/>
      </rPr>
      <t>가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Arial Unicode MS"/>
        <family val="2"/>
        <charset val="129"/>
      </rPr>
      <t>을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진행한다</t>
    </r>
    <r>
      <rPr>
        <b/>
        <sz val="9"/>
        <color rgb="FF000000"/>
        <rFont val="Calibri"/>
        <family val="2"/>
      </rPr>
      <t>.</t>
    </r>
    <phoneticPr fontId="1" type="noConversion"/>
  </si>
  <si>
    <r>
      <t xml:space="preserve">2. DIN 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C6 </t>
    </r>
    <r>
      <rPr>
        <b/>
        <sz val="9"/>
        <rFont val="Arial Unicode MS"/>
        <family val="2"/>
        <charset val="129"/>
      </rPr>
      <t>값으로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설정하고</t>
    </r>
    <r>
      <rPr>
        <b/>
        <sz val="9"/>
        <rFont val="Calibri"/>
        <family val="2"/>
      </rPr>
      <t>, IOUT</t>
    </r>
    <r>
      <rPr>
        <b/>
        <sz val="9"/>
        <rFont val="Arial Unicode MS"/>
        <family val="2"/>
        <charset val="129"/>
      </rPr>
      <t>이</t>
    </r>
    <r>
      <rPr>
        <b/>
        <sz val="9"/>
        <rFont val="Calibri"/>
        <family val="2"/>
      </rPr>
      <t xml:space="preserve"> E6 </t>
    </r>
    <r>
      <rPr>
        <b/>
        <sz val="9"/>
        <rFont val="Arial Unicode MS"/>
        <family val="2"/>
        <charset val="129"/>
      </rPr>
      <t>가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되도록</t>
    </r>
    <r>
      <rPr>
        <b/>
        <sz val="9"/>
        <rFont val="Calibri"/>
        <family val="2"/>
      </rPr>
      <t xml:space="preserve"> TRIM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진행한다</t>
    </r>
    <r>
      <rPr>
        <b/>
        <sz val="9"/>
        <rFont val="Calibri"/>
        <family val="2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</si>
</sst>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rgb="FF000000"/>
      <name val="Arial Unicode MS"/>
      <family val="2"/>
      <charset val="129"/>
    </font>
    <font>
      <b/>
      <sz val="9"/>
      <name val="Arial Unicode MS"/>
      <family val="2"/>
      <charset val="129"/>
    </font>
    <font>
      <sz val="11"/>
      <color indexed="8"/>
      <name val="맑은 고딕"/>
      <family val="2"/>
      <scheme val="minor"/>
    </font>
    <font>
      <sz val="11"/>
      <color theme="1"/>
      <name val="Cambria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1"/>
      <color theme="1"/>
      <name val="Arial Unicode MS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E6F0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5" fillId="0" borderId="0">
      <alignment vertical="center"/>
    </xf>
  </cellStyleXfs>
  <cellXfs count="37">
    <xf numFmtId="0" fontId="0" fillId="0" borderId="0" xfId="0"/>
    <xf numFmtId="0" fontId="6" fillId="0" borderId="0" xfId="0" applyFont="1" applyAlignment="1">
      <alignment wrapText="1"/>
    </xf>
    <xf numFmtId="0" fontId="7" fillId="0" borderId="3" xfId="0" applyFont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0" xfId="0" applyFont="1"/>
    <xf numFmtId="0" fontId="7" fillId="0" borderId="6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76" fontId="7" fillId="3" borderId="1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176" fontId="7" fillId="3" borderId="9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2" fontId="8" fillId="0" borderId="0" xfId="0" applyNumberFormat="1" applyFont="1"/>
    <xf numFmtId="0" fontId="13" fillId="0" borderId="0" xfId="0" applyFont="1"/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2" xr:uid="{9F4744C2-D004-4D65-AFD9-E324AE97E296}"/>
    <cellStyle name="표준 3" xfId="1" xr:uid="{13F5CB06-83C7-47F7-B37F-FD00C68A5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273050</xdr:colOff>
      <xdr:row>3</xdr:row>
      <xdr:rowOff>146050</xdr:rowOff>
    </xdr:from>
    <xdr:to>
      <xdr:col>14</xdr:col>
      <xdr:colOff>50800</xdr:colOff>
      <xdr:row>4</xdr:row>
      <xdr:rowOff>266700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1039ED-5DE3-41A0-B81D-80C3F11EB298}"/>
            </a:ext>
          </a:extLst>
        </xdr:cNvPr>
        <xdr:cNvSpPr txBox="1"/>
      </xdr:nvSpPr>
      <xdr:spPr>
        <a:xfrm>
          <a:off x="12103100" y="825500"/>
          <a:ext cx="1454150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&lt;&lt;&lt;     R/G/B </a:t>
          </a:r>
          <a:r>
            <a:rPr lang="ko-KR" altLang="en-US" sz="900">
              <a:latin typeface="+mn-lt"/>
              <a:cs typeface="Arial" panose="020B0604020202020204" pitchFamily="34" charset="0"/>
            </a:rPr>
            <a:t>각각 진행</a:t>
          </a:r>
        </a:p>
      </xdr:txBody>
    </xdr:sp>
    <xdr:clientData/>
  </xdr:twoCellAnchor>
  <xdr:twoCellAnchor editAs="oneCell">
    <xdr:from>
      <xdr:col>1</xdr:col>
      <xdr:colOff>25401</xdr:colOff>
      <xdr:row>8</xdr:row>
      <xdr:rowOff>25400</xdr:rowOff>
    </xdr:from>
    <xdr:to>
      <xdr:col>2</xdr:col>
      <xdr:colOff>893763</xdr:colOff>
      <xdr:row>18</xdr:row>
      <xdr:rowOff>199266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6D3DA82-D8D8-2A1D-6536-677D407A0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1" y="1898650"/>
          <a:ext cx="1993900" cy="2734504"/>
        </a:xfrm>
        <a:prstGeom prst="rect">
          <a:avLst/>
        </a:prstGeom>
      </xdr:spPr>
    </xdr:pic>
    <xdr:clientData/>
  </xdr:twoCellAnchor>
  <xdr:twoCellAnchor>
    <xdr:from>
      <xdr:col>0</xdr:col>
      <xdr:colOff>407988</xdr:colOff>
      <xdr:row>16</xdr:row>
      <xdr:rowOff>115887</xdr:rowOff>
    </xdr:from>
    <xdr:to>
      <xdr:col>2</xdr:col>
      <xdr:colOff>858838</xdr:colOff>
      <xdr:row>17</xdr:row>
      <xdr:rowOff>103188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C3D98867-FB5A-9A14-A517-03A5BB4BB761}"/>
            </a:ext>
          </a:extLst>
        </xdr:cNvPr>
        <xdr:cNvSpPr/>
      </xdr:nvSpPr>
      <xdr:spPr>
        <a:xfrm>
          <a:off x="407988" y="4349750"/>
          <a:ext cx="2022475" cy="201613"/>
        </a:xfrm>
        <a:prstGeom prst="rect">
          <a:avLst/>
        </a:prstGeom>
        <a:noFill/>
        <a:ln>
          <a:solidFill>
            <a:srgbClr val="C0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12</xdr:col>
      <xdr:colOff>298450</xdr:colOff>
      <xdr:row>7</xdr:row>
      <xdr:rowOff>133350</xdr:rowOff>
    </xdr:from>
    <xdr:to>
      <xdr:col>14</xdr:col>
      <xdr:colOff>76200</xdr:colOff>
      <xdr:row>9</xdr:row>
      <xdr:rowOff>31750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FD7D915-8662-4BD0-82A5-4311F1CDBA71}"/>
            </a:ext>
          </a:extLst>
        </xdr:cNvPr>
        <xdr:cNvSpPr txBox="1"/>
      </xdr:nvSpPr>
      <xdr:spPr>
        <a:xfrm>
          <a:off x="12128500" y="1784350"/>
          <a:ext cx="1454150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&lt;&lt;&lt;     R/G/B </a:t>
          </a:r>
          <a:r>
            <a:rPr lang="ko-KR" altLang="en-US" sz="900">
              <a:latin typeface="+mn-lt"/>
              <a:cs typeface="Arial" panose="020B0604020202020204" pitchFamily="34" charset="0"/>
            </a:rPr>
            <a:t>각각 진행</a:t>
          </a:r>
        </a:p>
      </xdr:txBody>
    </xdr:sp>
    <xdr:clientData/>
  </xdr:twoCellAnchor>
  <xdr:twoCellAnchor editAs="oneCell">
    <xdr:from>
      <xdr:col>3</xdr:col>
      <xdr:colOff>425450</xdr:colOff>
      <xdr:row>13</xdr:row>
      <xdr:rowOff>57152</xdr:rowOff>
    </xdr:from>
    <xdr:to>
      <xdr:col>11</xdr:col>
      <xdr:colOff>1457898</xdr:colOff>
      <xdr:row>30</xdr:row>
      <xdr:rowOff>76200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B8B485E-9CD4-122C-29D7-84BC3687D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1950" y="3111502"/>
          <a:ext cx="9144573" cy="37083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 준영" id="{A86A500B-75D3-4B67-B679-D6FF9F1B359D}" userId="S::jy.lee@solutionkorea.onmicrosoft.com::12b76314-354e-4dfd-8d1b-a7478f8747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4-10-16T02:12:36.12" personId="{A86A500B-75D3-4B67-B679-D6FF9F1B359D}" id="{C8EAC843-FE16-4AEF-9084-B7D82EA00A12}">
    <text>Bit left shift - 6</text>
  </threadedComment>
  <threadedComment ref="C4" dT="2024-10-16T02:12:40.14" personId="{A86A500B-75D3-4B67-B679-D6FF9F1B359D}" id="{8220575C-1D14-4E64-A358-8A8525EA9622}">
    <text>Bit left shift - 6</text>
  </threadedComment>
  <threadedComment ref="C6" dT="2024-10-16T02:12:48.41" personId="{A86A500B-75D3-4B67-B679-D6FF9F1B359D}" id="{8016E8DB-1A3E-4404-8D91-B981406EBD66}">
    <text>Bit left shift - 6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3C8C-4E16-4F58-992A-7EEE2E9B921A}">
  <dimension ref="B1:L34"/>
  <sheetViews>
    <sheetView tabSelected="1" zoomScaleNormal="100" workbookViewId="0"/>
  </sheetViews>
  <sheetFormatPr defaultRowHeight="16.899999999999999"/>
  <cols>
    <col min="1" max="1" width="5.8125" customWidth="1"/>
    <col min="2" max="2" width="14.8125" customWidth="1"/>
    <col min="3" max="3" width="11.8125" customWidth="1"/>
    <col min="4" max="4" width="12.9375" customWidth="1"/>
    <col min="5" max="5" width="12.0625" customWidth="1"/>
    <col min="7" max="7" width="11.4375" bestFit="1" customWidth="1"/>
    <col min="8" max="9" width="11.4375" customWidth="1"/>
    <col min="10" max="10" width="9.8125" customWidth="1"/>
    <col min="11" max="11" width="28.9375" customWidth="1"/>
    <col min="12" max="12" width="41.75" customWidth="1"/>
    <col min="14" max="14" width="13.3125" customWidth="1"/>
    <col min="15" max="15" width="37.25" customWidth="1"/>
  </cols>
  <sheetData>
    <row r="1" spans="2:12" ht="17.25" thickBot="1">
      <c r="K1" s="1"/>
    </row>
    <row r="2" spans="2:12" ht="19.05" customHeight="1" thickBot="1">
      <c r="B2" s="2" t="s">
        <v>6</v>
      </c>
      <c r="C2" s="3">
        <f>2^6-1</f>
        <v>63</v>
      </c>
      <c r="D2" s="4" t="s">
        <v>0</v>
      </c>
      <c r="E2" s="3">
        <v>20</v>
      </c>
      <c r="F2" s="5" t="s">
        <v>1</v>
      </c>
      <c r="G2" s="6"/>
      <c r="H2" s="6"/>
      <c r="I2" s="6"/>
      <c r="J2" s="31" t="s">
        <v>21</v>
      </c>
      <c r="K2" s="32"/>
      <c r="L2" s="33"/>
    </row>
    <row r="3" spans="2:12">
      <c r="B3" s="7" t="s">
        <v>8</v>
      </c>
      <c r="C3" s="8">
        <v>1</v>
      </c>
      <c r="D3" s="9" t="s">
        <v>0</v>
      </c>
      <c r="E3" s="10">
        <f>E2*(C3/C2)</f>
        <v>0.31746031746031744</v>
      </c>
      <c r="F3" s="11" t="s">
        <v>1</v>
      </c>
      <c r="G3" s="29">
        <f>E3*200</f>
        <v>63.492063492063487</v>
      </c>
      <c r="H3" s="29"/>
      <c r="I3" s="29"/>
      <c r="J3" s="12" t="s">
        <v>2</v>
      </c>
      <c r="K3" s="13" t="s">
        <v>15</v>
      </c>
      <c r="L3" s="14" t="s">
        <v>13</v>
      </c>
    </row>
    <row r="4" spans="2:12">
      <c r="B4" s="7" t="s">
        <v>9</v>
      </c>
      <c r="C4" s="8">
        <v>3</v>
      </c>
      <c r="D4" s="9" t="s">
        <v>0</v>
      </c>
      <c r="E4" s="10">
        <f>E3*(C4/C3)</f>
        <v>0.95238095238095233</v>
      </c>
      <c r="F4" s="11" t="s">
        <v>1</v>
      </c>
      <c r="G4" s="29">
        <f>E4*200</f>
        <v>190.47619047619045</v>
      </c>
      <c r="H4" s="29">
        <f>G4*0.99</f>
        <v>188.57142857142856</v>
      </c>
      <c r="I4" s="29"/>
      <c r="J4" s="26" t="s">
        <v>5</v>
      </c>
      <c r="K4" s="27" t="s">
        <v>12</v>
      </c>
      <c r="L4" s="16" t="s">
        <v>20</v>
      </c>
    </row>
    <row r="5" spans="2:12" ht="46.5">
      <c r="B5" s="7" t="s">
        <v>10</v>
      </c>
      <c r="C5" s="17">
        <f>(C3+C4)/2</f>
        <v>2</v>
      </c>
      <c r="D5" s="9" t="s">
        <v>0</v>
      </c>
      <c r="E5" s="10">
        <f>E4*(C5/C4)</f>
        <v>0.63492063492063489</v>
      </c>
      <c r="F5" s="11" t="s">
        <v>1</v>
      </c>
      <c r="G5" s="29"/>
      <c r="H5" s="29">
        <f>G4*1.01</f>
        <v>192.38095238095235</v>
      </c>
      <c r="I5" s="29"/>
      <c r="J5" s="15" t="s">
        <v>3</v>
      </c>
      <c r="K5" s="28" t="s">
        <v>17</v>
      </c>
      <c r="L5" s="16"/>
    </row>
    <row r="6" spans="2:12" ht="17.25" thickBot="1">
      <c r="B6" s="18" t="s">
        <v>7</v>
      </c>
      <c r="C6" s="19">
        <v>12</v>
      </c>
      <c r="D6" s="20" t="s">
        <v>0</v>
      </c>
      <c r="E6" s="21">
        <f>E2*(C6/C2)</f>
        <v>3.8095238095238093</v>
      </c>
      <c r="F6" s="22" t="s">
        <v>1</v>
      </c>
      <c r="G6" s="29">
        <f>E6*200</f>
        <v>761.90476190476181</v>
      </c>
      <c r="H6" s="29">
        <f>G6*0.99</f>
        <v>754.28571428571422</v>
      </c>
      <c r="I6" s="29"/>
      <c r="J6" s="23" t="s">
        <v>4</v>
      </c>
      <c r="K6" s="24" t="s">
        <v>14</v>
      </c>
      <c r="L6" s="25" t="s">
        <v>16</v>
      </c>
    </row>
    <row r="7" spans="2:12" ht="17.25" thickBot="1">
      <c r="B7" s="6"/>
      <c r="C7" s="30"/>
      <c r="D7" s="6"/>
      <c r="E7" s="6"/>
      <c r="F7" s="6"/>
      <c r="G7" s="6"/>
      <c r="H7" s="29">
        <f>G6*1.01</f>
        <v>769.5238095238094</v>
      </c>
      <c r="I7" s="6"/>
      <c r="J7" s="6"/>
      <c r="K7" s="6"/>
      <c r="L7" s="6"/>
    </row>
    <row r="8" spans="2:12" ht="17.55" customHeight="1" thickBot="1">
      <c r="B8" s="6"/>
      <c r="C8" s="6"/>
      <c r="D8" s="6"/>
      <c r="E8" s="6"/>
      <c r="F8" s="6"/>
      <c r="G8" s="6"/>
      <c r="H8" s="6"/>
      <c r="I8" s="6"/>
      <c r="J8" s="34" t="s">
        <v>22</v>
      </c>
      <c r="K8" s="35"/>
      <c r="L8" s="36"/>
    </row>
    <row r="9" spans="2:12">
      <c r="B9" s="6"/>
      <c r="C9" s="6"/>
      <c r="D9" s="6"/>
      <c r="E9" s="6"/>
      <c r="F9" s="6"/>
      <c r="G9" s="6"/>
      <c r="H9" s="6"/>
      <c r="I9" s="6"/>
      <c r="J9" s="12" t="s">
        <v>2</v>
      </c>
      <c r="K9" s="13" t="s">
        <v>15</v>
      </c>
      <c r="L9" s="14" t="s">
        <v>13</v>
      </c>
    </row>
    <row r="10" spans="2:12">
      <c r="B10" s="6"/>
      <c r="C10" s="6"/>
      <c r="D10" s="6"/>
      <c r="E10" s="6"/>
      <c r="F10" s="6"/>
      <c r="G10" s="6"/>
      <c r="H10" s="6"/>
      <c r="I10" s="6"/>
      <c r="J10" s="26" t="s">
        <v>5</v>
      </c>
      <c r="K10" s="27" t="s">
        <v>11</v>
      </c>
      <c r="L10" s="16" t="s">
        <v>20</v>
      </c>
    </row>
    <row r="11" spans="2:12" ht="46.5">
      <c r="B11" s="6"/>
      <c r="C11" s="6"/>
      <c r="D11" s="6"/>
      <c r="E11" s="6"/>
      <c r="F11" s="6"/>
      <c r="G11" s="6"/>
      <c r="H11" s="6"/>
      <c r="I11" s="6"/>
      <c r="J11" s="15" t="s">
        <v>3</v>
      </c>
      <c r="K11" s="28" t="s">
        <v>18</v>
      </c>
      <c r="L11" s="16"/>
    </row>
    <row r="12" spans="2:12" ht="17.25" thickBot="1">
      <c r="B12" s="6"/>
      <c r="C12" s="6"/>
      <c r="D12" s="6"/>
      <c r="E12" s="6"/>
      <c r="F12" s="6"/>
      <c r="G12" s="6"/>
      <c r="H12" s="6"/>
      <c r="I12" s="6"/>
      <c r="J12" s="23" t="s">
        <v>4</v>
      </c>
      <c r="K12" s="24" t="s">
        <v>19</v>
      </c>
      <c r="L12" s="25" t="s">
        <v>16</v>
      </c>
    </row>
    <row r="13" spans="2:12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2:12" ht="17.55" customHeight="1">
      <c r="B14" s="6"/>
      <c r="C14" s="6"/>
      <c r="D14" s="6"/>
      <c r="E14" s="6"/>
      <c r="F14" s="6"/>
      <c r="G14" s="6"/>
      <c r="H14" s="6"/>
      <c r="I14" s="6"/>
    </row>
    <row r="15" spans="2:12">
      <c r="B15" s="6"/>
      <c r="C15" s="6"/>
      <c r="D15" s="6"/>
      <c r="E15" s="6"/>
      <c r="F15" s="6"/>
      <c r="G15" s="6"/>
      <c r="H15" s="6"/>
      <c r="I15" s="6"/>
    </row>
    <row r="16" spans="2:12">
      <c r="B16" s="6"/>
      <c r="C16" s="6"/>
      <c r="D16" s="6"/>
      <c r="E16" s="6"/>
      <c r="F16" s="6"/>
      <c r="G16" s="6"/>
      <c r="H16" s="6"/>
      <c r="I16" s="6"/>
    </row>
    <row r="17" spans="2:12">
      <c r="B17" s="6"/>
      <c r="C17" s="6"/>
      <c r="D17" s="6"/>
      <c r="E17" s="6"/>
      <c r="F17" s="6"/>
      <c r="G17" s="6"/>
      <c r="H17" s="6"/>
      <c r="I17" s="6"/>
    </row>
    <row r="18" spans="2:12">
      <c r="B18" s="6"/>
      <c r="C18" s="6"/>
      <c r="D18" s="6"/>
      <c r="E18" s="6"/>
      <c r="F18" s="6"/>
      <c r="G18" s="6"/>
      <c r="H18" s="6"/>
      <c r="I18" s="6"/>
    </row>
    <row r="19" spans="2:12">
      <c r="B19" s="6"/>
      <c r="C19" s="6"/>
      <c r="D19" s="6"/>
      <c r="E19" s="6"/>
      <c r="F19" s="6"/>
      <c r="G19" s="6"/>
      <c r="H19" s="6"/>
      <c r="I19" s="6"/>
    </row>
    <row r="20" spans="2:12" ht="17.55" customHeight="1">
      <c r="B20" s="6"/>
      <c r="C20" s="6"/>
      <c r="D20" s="6"/>
      <c r="E20" s="6"/>
      <c r="F20" s="6"/>
      <c r="G20" s="6"/>
      <c r="H20" s="6"/>
      <c r="I20" s="6"/>
    </row>
    <row r="21" spans="2:12">
      <c r="B21" s="6"/>
      <c r="C21" s="6"/>
      <c r="D21" s="6"/>
      <c r="E21" s="6"/>
      <c r="F21" s="6"/>
      <c r="G21" s="6"/>
      <c r="H21" s="6"/>
      <c r="I21" s="6"/>
    </row>
    <row r="22" spans="2:12">
      <c r="B22" s="6"/>
      <c r="C22" s="6"/>
      <c r="D22" s="6"/>
      <c r="E22" s="6"/>
      <c r="F22" s="6"/>
      <c r="G22" s="6"/>
      <c r="H22" s="6"/>
      <c r="I22" s="6"/>
    </row>
    <row r="23" spans="2:12">
      <c r="B23" s="6"/>
      <c r="C23" s="6"/>
      <c r="D23" s="6"/>
      <c r="E23" s="6"/>
      <c r="F23" s="6"/>
      <c r="G23" s="6"/>
      <c r="H23" s="6"/>
      <c r="I23" s="6"/>
    </row>
    <row r="24" spans="2:12">
      <c r="B24" s="6"/>
      <c r="C24" s="6"/>
      <c r="D24" s="6"/>
      <c r="E24" s="6"/>
      <c r="F24" s="6"/>
      <c r="G24" s="6"/>
      <c r="H24" s="6"/>
      <c r="I24" s="6"/>
    </row>
    <row r="25" spans="2:12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2:1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2:12" ht="17.55" customHeight="1">
      <c r="B27" s="6"/>
      <c r="C27" s="6"/>
      <c r="D27" s="6"/>
      <c r="E27" s="6"/>
      <c r="F27" s="6"/>
    </row>
    <row r="28" spans="2:12" ht="17" customHeight="1">
      <c r="B28" s="6"/>
      <c r="C28" s="6"/>
      <c r="D28" s="6"/>
      <c r="E28" s="6"/>
      <c r="F28" s="6"/>
    </row>
    <row r="29" spans="2:12">
      <c r="B29" s="6"/>
      <c r="C29" s="6"/>
      <c r="D29" s="6"/>
      <c r="E29" s="6"/>
      <c r="F29" s="6"/>
    </row>
    <row r="30" spans="2:12">
      <c r="B30" s="6"/>
      <c r="C30" s="6"/>
      <c r="D30" s="6"/>
      <c r="E30" s="6"/>
      <c r="F30" s="6"/>
    </row>
    <row r="31" spans="2:12">
      <c r="B31" s="6"/>
      <c r="C31" s="6"/>
      <c r="D31" s="6"/>
      <c r="E31" s="6"/>
      <c r="F31" s="6"/>
    </row>
    <row r="32" spans="2:12" ht="17" customHeight="1">
      <c r="B32" s="6"/>
      <c r="C32" s="6"/>
      <c r="D32" s="6"/>
      <c r="E32" s="6"/>
    </row>
    <row r="33" spans="2:5">
      <c r="B33" s="6">
        <f>_xlfn.BITLSHIFT(2, 6)</f>
        <v>128</v>
      </c>
      <c r="C33" s="6"/>
      <c r="D33" s="6"/>
      <c r="E33" s="6"/>
    </row>
    <row r="34" spans="2:5">
      <c r="B34" s="6">
        <f>_xlfn.BITLSHIFT(4, 6)</f>
        <v>256</v>
      </c>
    </row>
  </sheetData>
  <mergeCells count="2">
    <mergeCell ref="J2:L2"/>
    <mergeCell ref="J8:L8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2024-11-01T08:46:57Z</dcterms:modified>
</cp:coreProperties>
</file>