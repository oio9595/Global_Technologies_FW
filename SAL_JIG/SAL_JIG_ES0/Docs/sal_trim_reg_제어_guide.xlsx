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Docs\"/>
    </mc:Choice>
  </mc:AlternateContent>
  <xr:revisionPtr revIDLastSave="0" documentId="13_ncr:1_{5990B9FE-2A85-419A-878E-F55F7EDF88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sc_ctl" sheetId="1" r:id="rId1"/>
    <sheet name="adc_offs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3" l="1"/>
  <c r="K22" i="3"/>
  <c r="K21" i="3"/>
  <c r="K20" i="3"/>
  <c r="K17" i="3"/>
  <c r="K16" i="3"/>
  <c r="K15" i="3"/>
  <c r="K14" i="3"/>
  <c r="K13" i="3"/>
  <c r="K12" i="3"/>
  <c r="K11" i="3"/>
  <c r="K8" i="3"/>
  <c r="K7" i="3"/>
  <c r="K6" i="3"/>
  <c r="K5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6" i="3"/>
  <c r="T15" i="1" l="1"/>
  <c r="T16" i="1"/>
  <c r="T17" i="1"/>
  <c r="T18" i="1"/>
  <c r="T19" i="1"/>
  <c r="T20" i="1"/>
  <c r="T21" i="1"/>
  <c r="T22" i="1"/>
  <c r="T23" i="1"/>
  <c r="T7" i="1"/>
  <c r="T8" i="1"/>
  <c r="T9" i="1"/>
  <c r="T10" i="1"/>
  <c r="T11" i="1"/>
  <c r="T12" i="1"/>
  <c r="T13" i="1"/>
  <c r="T14" i="1"/>
  <c r="T6" i="1"/>
  <c r="Q23" i="1"/>
  <c r="Q15" i="1"/>
  <c r="Q16" i="1"/>
  <c r="Q17" i="1"/>
  <c r="Q18" i="1"/>
  <c r="Q19" i="1"/>
  <c r="Q20" i="1"/>
  <c r="Q21" i="1"/>
  <c r="Q22" i="1"/>
  <c r="Q6" i="1"/>
  <c r="Q7" i="1"/>
  <c r="Q8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<sst xmlns="http://schemas.openxmlformats.org/spreadsheetml/2006/main" count="52" uniqueCount="33">
  <si>
    <t>F/W 내 변수</t>
    <phoneticPr fontId="1" type="noConversion"/>
  </si>
  <si>
    <t>SAL Register</t>
    <phoneticPr fontId="1" type="noConversion"/>
  </si>
  <si>
    <t>OSC_CTL [7:0]</t>
    <phoneticPr fontId="1" type="noConversion"/>
  </si>
  <si>
    <t>0xE7번지</t>
    <phoneticPr fontId="1" type="noConversion"/>
  </si>
  <si>
    <t>BIT7</t>
    <phoneticPr fontId="1" type="noConversion"/>
  </si>
  <si>
    <t>BIT6</t>
    <phoneticPr fontId="1" type="noConversion"/>
  </si>
  <si>
    <t>BIT5</t>
  </si>
  <si>
    <t>BIT4</t>
  </si>
  <si>
    <t>BIT3</t>
  </si>
  <si>
    <t>BIT2</t>
  </si>
  <si>
    <t>BIT1</t>
  </si>
  <si>
    <t>BIT0</t>
  </si>
  <si>
    <t>DEC</t>
    <phoneticPr fontId="1" type="noConversion"/>
  </si>
  <si>
    <t>if (value &lt; 128)
value ^= 127</t>
    <phoneticPr fontId="1" type="noConversion"/>
  </si>
  <si>
    <t>XOR</t>
    <phoneticPr fontId="1" type="noConversion"/>
  </si>
  <si>
    <t>ADC_OFFSET[8:0]</t>
    <phoneticPr fontId="1" type="noConversion"/>
  </si>
  <si>
    <t>[8] signed bit</t>
    <phoneticPr fontId="1" type="noConversion"/>
  </si>
  <si>
    <t>[7]</t>
    <phoneticPr fontId="1" type="noConversion"/>
  </si>
  <si>
    <t>[6]</t>
    <phoneticPr fontId="1" type="noConversion"/>
  </si>
  <si>
    <t>[5]</t>
    <phoneticPr fontId="1" type="noConversion"/>
  </si>
  <si>
    <t>[4]</t>
    <phoneticPr fontId="1" type="noConversion"/>
  </si>
  <si>
    <t>[3]</t>
    <phoneticPr fontId="1" type="noConversion"/>
  </si>
  <si>
    <t>[2]</t>
    <phoneticPr fontId="1" type="noConversion"/>
  </si>
  <si>
    <t>[1]</t>
    <phoneticPr fontId="1" type="noConversion"/>
  </si>
  <si>
    <t>[0]</t>
    <phoneticPr fontId="1" type="noConversion"/>
  </si>
  <si>
    <t>decimal</t>
    <phoneticPr fontId="1" type="noConversion"/>
  </si>
  <si>
    <t>~~~</t>
    <phoneticPr fontId="1" type="noConversion"/>
  </si>
  <si>
    <t>BIT8</t>
  </si>
  <si>
    <t>ADC_OFFSET [8:0]</t>
    <phoneticPr fontId="1" type="noConversion"/>
  </si>
  <si>
    <t>0xEA번지</t>
    <phoneticPr fontId="1" type="noConversion"/>
  </si>
  <si>
    <t>if (value &lt; 256)
value ^= 255</t>
    <phoneticPr fontId="1" type="noConversion"/>
  </si>
  <si>
    <t>해당 변수가 증가하면 주파수가 증가하는 방향으로 진행</t>
    <phoneticPr fontId="1" type="noConversion"/>
  </si>
  <si>
    <t>해당 변수가 증가하면 측정되는 adc 값은 감소하는 방향으로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</si>
</sst>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152399</xdr:colOff>
      <xdr:row>11</xdr:row>
      <xdr:rowOff>142874</xdr:rowOff>
    </xdr:from>
    <xdr:to>
      <xdr:col>21</xdr:col>
      <xdr:colOff>638174</xdr:colOff>
      <xdr:row>15</xdr:row>
      <xdr:rowOff>9524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71239D87-1114-0809-3182-DF753C045494}"/>
            </a:ext>
          </a:extLst>
        </xdr:cNvPr>
        <xdr:cNvSpPr/>
      </xdr:nvSpPr>
      <xdr:spPr>
        <a:xfrm flipH="1">
          <a:off x="9748837" y="2162174"/>
          <a:ext cx="1571625" cy="542925"/>
        </a:xfrm>
        <a:prstGeom prst="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kern="1200"/>
            <a:t>F/W </a:t>
          </a:r>
          <a:r>
            <a:rPr lang="ko-KR" altLang="en-US" sz="1050" kern="1200"/>
            <a:t>내부 변수 </a:t>
          </a:r>
          <a:r>
            <a:rPr lang="en-US" altLang="ko-KR" sz="1050" kern="1200"/>
            <a:t>default</a:t>
          </a:r>
          <a:r>
            <a:rPr lang="en-US" altLang="ko-KR" sz="1050" kern="1200" baseline="0"/>
            <a:t> </a:t>
          </a:r>
          <a:r>
            <a:rPr lang="ko-KR" altLang="en-US" sz="1050" kern="1200" baseline="0"/>
            <a:t>값</a:t>
          </a:r>
          <a:endParaRPr lang="ko-KR" altLang="en-US" sz="1050" kern="120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6</xdr:col>
      <xdr:colOff>547551</xdr:colOff>
      <xdr:row>19</xdr:row>
      <xdr:rowOff>95250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D12792-F02B-4606-91C9-2954D75A4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184150"/>
          <a:ext cx="3976551" cy="3632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134471</xdr:colOff>
      <xdr:row>12</xdr:row>
      <xdr:rowOff>5604</xdr:rowOff>
    </xdr:from>
    <xdr:to>
      <xdr:col>26</xdr:col>
      <xdr:colOff>619125</xdr:colOff>
      <xdr:row>14</xdr:row>
      <xdr:rowOff>178735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2A7FDF5B-A447-4AFC-BB17-D74F519A4809}"/>
            </a:ext>
          </a:extLst>
        </xdr:cNvPr>
        <xdr:cNvSpPr/>
      </xdr:nvSpPr>
      <xdr:spPr>
        <a:xfrm flipH="1">
          <a:off x="12225618" y="2403663"/>
          <a:ext cx="1571625" cy="542925"/>
        </a:xfrm>
        <a:prstGeom prst="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kern="1200"/>
            <a:t>F/W </a:t>
          </a:r>
          <a:r>
            <a:rPr lang="ko-KR" altLang="en-US" sz="1050" kern="1200"/>
            <a:t>내부 변수 </a:t>
          </a:r>
          <a:r>
            <a:rPr lang="en-US" altLang="ko-KR" sz="1050" kern="1200"/>
            <a:t>default</a:t>
          </a:r>
          <a:r>
            <a:rPr lang="en-US" altLang="ko-KR" sz="1050" kern="1200" baseline="0"/>
            <a:t> </a:t>
          </a:r>
          <a:r>
            <a:rPr lang="ko-KR" altLang="en-US" sz="1050" kern="1200" baseline="0"/>
            <a:t>값</a:t>
          </a:r>
          <a:endParaRPr lang="ko-KR" altLang="en-US" sz="105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U24"/>
  <sheetViews>
    <sheetView tabSelected="1" workbookViewId="0"/>
  </sheetViews>
  <sheetFormatPr defaultColWidth="9" defaultRowHeight="14.5" x14ac:dyDescent="0.4"/>
  <cols>
    <col min="1" max="1" width="2.58203125" style="3" customWidth="1"/>
    <col min="2" max="8" width="9" style="3"/>
    <col min="9" max="16" width="4.08203125" style="3" customWidth="1"/>
    <col min="17" max="17" width="4.58203125" style="3" customWidth="1"/>
    <col min="18" max="18" width="2.58203125" style="3" customWidth="1"/>
    <col min="19" max="19" width="9.33203125" style="2" bestFit="1" customWidth="1"/>
    <col min="20" max="20" width="11.4140625" style="3" bestFit="1" customWidth="1"/>
    <col min="21" max="21" width="14.25" style="3" bestFit="1" customWidth="1"/>
    <col min="22" max="16384" width="9" style="3"/>
  </cols>
  <sheetData>
    <row r="2" spans="9:21" x14ac:dyDescent="0.4">
      <c r="I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 t="s">
        <v>0</v>
      </c>
      <c r="T2" s="2" t="s">
        <v>14</v>
      </c>
      <c r="U2" s="3" t="s">
        <v>31</v>
      </c>
    </row>
    <row r="3" spans="9:21" ht="29" x14ac:dyDescent="0.4">
      <c r="I3" s="1" t="s">
        <v>2</v>
      </c>
      <c r="L3" s="1" t="s">
        <v>3</v>
      </c>
      <c r="M3" s="2"/>
      <c r="N3" s="2"/>
      <c r="O3" s="2"/>
      <c r="P3" s="2"/>
      <c r="Q3" s="2"/>
      <c r="R3" s="2"/>
      <c r="T3" s="4" t="s">
        <v>13</v>
      </c>
    </row>
    <row r="4" spans="9:21" ht="15" thickBot="1" x14ac:dyDescent="0.45"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9:21" ht="15.5" thickTop="1" thickBot="1" x14ac:dyDescent="0.45">
      <c r="I5" s="5" t="s">
        <v>4</v>
      </c>
      <c r="J5" s="6" t="s">
        <v>5</v>
      </c>
      <c r="K5" s="6" t="s">
        <v>6</v>
      </c>
      <c r="L5" s="6" t="s">
        <v>7</v>
      </c>
      <c r="M5" s="6" t="s">
        <v>8</v>
      </c>
      <c r="N5" s="6" t="s">
        <v>9</v>
      </c>
      <c r="O5" s="6" t="s">
        <v>10</v>
      </c>
      <c r="P5" s="6" t="s">
        <v>11</v>
      </c>
      <c r="Q5" s="7" t="s">
        <v>12</v>
      </c>
      <c r="R5" s="2"/>
      <c r="S5" s="5" t="s">
        <v>0</v>
      </c>
      <c r="T5" s="7" t="s">
        <v>14</v>
      </c>
    </row>
    <row r="6" spans="9:21" ht="15" thickTop="1" x14ac:dyDescent="0.4">
      <c r="I6" s="8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10">
        <f t="shared" ref="Q6:Q23" si="0">BIN2DEC(_xlfn.CONCAT(I6, J6, K6, L6, M6, N6, O6, P6))</f>
        <v>255</v>
      </c>
      <c r="R6" s="2"/>
      <c r="S6" s="8">
        <v>255</v>
      </c>
      <c r="T6" s="10">
        <f>IF(S6&lt;128,_xlfn.BITXOR(S6,127),S6)</f>
        <v>255</v>
      </c>
    </row>
    <row r="7" spans="9:21" x14ac:dyDescent="0.4">
      <c r="I7" s="11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</v>
      </c>
      <c r="P7" s="12">
        <v>0</v>
      </c>
      <c r="Q7" s="13">
        <f t="shared" si="0"/>
        <v>254</v>
      </c>
      <c r="R7" s="2"/>
      <c r="S7" s="11">
        <v>254</v>
      </c>
      <c r="T7" s="13">
        <f t="shared" ref="T7:T23" si="1">IF(S7&lt;128,_xlfn.BITXOR(S7,127),S7)</f>
        <v>254</v>
      </c>
    </row>
    <row r="8" spans="9:21" x14ac:dyDescent="0.4">
      <c r="I8" s="11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0</v>
      </c>
      <c r="P8" s="12">
        <v>1</v>
      </c>
      <c r="Q8" s="13">
        <f t="shared" si="0"/>
        <v>253</v>
      </c>
      <c r="R8" s="2"/>
      <c r="S8" s="11">
        <v>253</v>
      </c>
      <c r="T8" s="13">
        <f t="shared" si="1"/>
        <v>253</v>
      </c>
    </row>
    <row r="9" spans="9:21" x14ac:dyDescent="0.4">
      <c r="I9" s="11">
        <v>1</v>
      </c>
      <c r="J9" s="12">
        <v>1</v>
      </c>
      <c r="K9" s="12">
        <v>1</v>
      </c>
      <c r="L9" s="12">
        <v>1</v>
      </c>
      <c r="M9" s="12">
        <v>1</v>
      </c>
      <c r="N9" s="12">
        <v>1</v>
      </c>
      <c r="O9" s="12">
        <v>0</v>
      </c>
      <c r="P9" s="12">
        <v>0</v>
      </c>
      <c r="Q9" s="13">
        <f t="shared" si="0"/>
        <v>252</v>
      </c>
      <c r="R9" s="2"/>
      <c r="S9" s="11">
        <v>252</v>
      </c>
      <c r="T9" s="13">
        <f t="shared" si="1"/>
        <v>252</v>
      </c>
    </row>
    <row r="10" spans="9:21" x14ac:dyDescent="0.4">
      <c r="I10" s="11">
        <v>1</v>
      </c>
      <c r="J10" s="12">
        <v>0</v>
      </c>
      <c r="K10" s="12">
        <v>0</v>
      </c>
      <c r="L10" s="12">
        <v>0</v>
      </c>
      <c r="M10" s="12">
        <v>0</v>
      </c>
      <c r="N10" s="12">
        <v>1</v>
      </c>
      <c r="O10" s="12">
        <v>0</v>
      </c>
      <c r="P10" s="12">
        <v>0</v>
      </c>
      <c r="Q10" s="13">
        <f t="shared" si="0"/>
        <v>132</v>
      </c>
      <c r="R10" s="2"/>
      <c r="S10" s="11">
        <v>132</v>
      </c>
      <c r="T10" s="13">
        <f t="shared" si="1"/>
        <v>132</v>
      </c>
    </row>
    <row r="11" spans="9:21" x14ac:dyDescent="0.4">
      <c r="I11" s="11">
        <v>1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1</v>
      </c>
      <c r="Q11" s="13">
        <f t="shared" si="0"/>
        <v>131</v>
      </c>
      <c r="R11" s="2"/>
      <c r="S11" s="11">
        <v>131</v>
      </c>
      <c r="T11" s="13">
        <f t="shared" si="1"/>
        <v>131</v>
      </c>
    </row>
    <row r="12" spans="9:21" x14ac:dyDescent="0.4">
      <c r="I12" s="11">
        <v>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3">
        <f t="shared" si="0"/>
        <v>130</v>
      </c>
      <c r="R12" s="2"/>
      <c r="S12" s="11">
        <v>130</v>
      </c>
      <c r="T12" s="13">
        <f t="shared" si="1"/>
        <v>130</v>
      </c>
    </row>
    <row r="13" spans="9:21" x14ac:dyDescent="0.4">
      <c r="I13" s="11">
        <v>1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</v>
      </c>
      <c r="Q13" s="13">
        <f t="shared" si="0"/>
        <v>129</v>
      </c>
      <c r="R13" s="2"/>
      <c r="S13" s="11">
        <v>129</v>
      </c>
      <c r="T13" s="13">
        <f t="shared" si="1"/>
        <v>129</v>
      </c>
    </row>
    <row r="14" spans="9:21" ht="15" thickBot="1" x14ac:dyDescent="0.45">
      <c r="I14" s="14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6">
        <f t="shared" si="0"/>
        <v>128</v>
      </c>
      <c r="R14" s="2"/>
      <c r="S14" s="14">
        <v>128</v>
      </c>
      <c r="T14" s="16">
        <f t="shared" si="1"/>
        <v>128</v>
      </c>
    </row>
    <row r="15" spans="9:21" ht="15" thickTop="1" x14ac:dyDescent="0.4">
      <c r="I15" s="17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9">
        <f t="shared" si="0"/>
        <v>0</v>
      </c>
      <c r="R15" s="2"/>
      <c r="S15" s="17">
        <v>127</v>
      </c>
      <c r="T15" s="19">
        <f>IF(S15&lt;128,_xlfn.BITXOR(S15,127),S15)</f>
        <v>0</v>
      </c>
    </row>
    <row r="16" spans="9:21" x14ac:dyDescent="0.4">
      <c r="I16" s="20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1</v>
      </c>
      <c r="Q16" s="22">
        <f t="shared" si="0"/>
        <v>1</v>
      </c>
      <c r="R16" s="2"/>
      <c r="S16" s="20">
        <v>126</v>
      </c>
      <c r="T16" s="22">
        <f t="shared" si="1"/>
        <v>1</v>
      </c>
    </row>
    <row r="17" spans="9:20" x14ac:dyDescent="0.4">
      <c r="I17" s="20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1</v>
      </c>
      <c r="P17" s="21">
        <v>0</v>
      </c>
      <c r="Q17" s="22">
        <f t="shared" si="0"/>
        <v>2</v>
      </c>
      <c r="R17" s="2"/>
      <c r="S17" s="20">
        <v>125</v>
      </c>
      <c r="T17" s="22">
        <f t="shared" si="1"/>
        <v>2</v>
      </c>
    </row>
    <row r="18" spans="9:20" x14ac:dyDescent="0.4">
      <c r="I18" s="20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1</v>
      </c>
      <c r="P18" s="21">
        <v>1</v>
      </c>
      <c r="Q18" s="22">
        <f t="shared" si="0"/>
        <v>3</v>
      </c>
      <c r="R18" s="2"/>
      <c r="S18" s="20">
        <v>124</v>
      </c>
      <c r="T18" s="22">
        <f t="shared" si="1"/>
        <v>3</v>
      </c>
    </row>
    <row r="19" spans="9:20" x14ac:dyDescent="0.4">
      <c r="I19" s="20">
        <v>0</v>
      </c>
      <c r="J19" s="21">
        <v>0</v>
      </c>
      <c r="K19" s="21">
        <v>0</v>
      </c>
      <c r="L19" s="21">
        <v>0</v>
      </c>
      <c r="M19" s="21">
        <v>0</v>
      </c>
      <c r="N19" s="21">
        <v>1</v>
      </c>
      <c r="O19" s="21">
        <v>0</v>
      </c>
      <c r="P19" s="21">
        <v>0</v>
      </c>
      <c r="Q19" s="22">
        <f t="shared" si="0"/>
        <v>4</v>
      </c>
      <c r="R19" s="2"/>
      <c r="S19" s="20">
        <v>123</v>
      </c>
      <c r="T19" s="22">
        <f t="shared" si="1"/>
        <v>4</v>
      </c>
    </row>
    <row r="20" spans="9:20" x14ac:dyDescent="0.4">
      <c r="I20" s="20">
        <v>0</v>
      </c>
      <c r="J20" s="21">
        <v>1</v>
      </c>
      <c r="K20" s="21">
        <v>1</v>
      </c>
      <c r="L20" s="21">
        <v>1</v>
      </c>
      <c r="M20" s="21">
        <v>1</v>
      </c>
      <c r="N20" s="21">
        <v>0</v>
      </c>
      <c r="O20" s="21">
        <v>0</v>
      </c>
      <c r="P20" s="21">
        <v>0</v>
      </c>
      <c r="Q20" s="22">
        <f t="shared" si="0"/>
        <v>120</v>
      </c>
      <c r="R20" s="2"/>
      <c r="S20" s="20">
        <v>3</v>
      </c>
      <c r="T20" s="22">
        <f t="shared" si="1"/>
        <v>124</v>
      </c>
    </row>
    <row r="21" spans="9:20" x14ac:dyDescent="0.4">
      <c r="I21" s="20">
        <v>0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0</v>
      </c>
      <c r="P21" s="21">
        <v>1</v>
      </c>
      <c r="Q21" s="22">
        <f t="shared" si="0"/>
        <v>125</v>
      </c>
      <c r="R21" s="2"/>
      <c r="S21" s="20">
        <v>2</v>
      </c>
      <c r="T21" s="22">
        <f t="shared" si="1"/>
        <v>125</v>
      </c>
    </row>
    <row r="22" spans="9:20" x14ac:dyDescent="0.4">
      <c r="I22" s="20">
        <v>0</v>
      </c>
      <c r="J22" s="21">
        <v>1</v>
      </c>
      <c r="K22" s="21">
        <v>1</v>
      </c>
      <c r="L22" s="21">
        <v>1</v>
      </c>
      <c r="M22" s="21">
        <v>1</v>
      </c>
      <c r="N22" s="21">
        <v>1</v>
      </c>
      <c r="O22" s="21">
        <v>1</v>
      </c>
      <c r="P22" s="21">
        <v>0</v>
      </c>
      <c r="Q22" s="22">
        <f t="shared" si="0"/>
        <v>126</v>
      </c>
      <c r="R22" s="2"/>
      <c r="S22" s="20">
        <v>1</v>
      </c>
      <c r="T22" s="22">
        <f t="shared" si="1"/>
        <v>126</v>
      </c>
    </row>
    <row r="23" spans="9:20" ht="15" thickBot="1" x14ac:dyDescent="0.45">
      <c r="I23" s="23">
        <v>0</v>
      </c>
      <c r="J23" s="24">
        <v>1</v>
      </c>
      <c r="K23" s="24">
        <v>1</v>
      </c>
      <c r="L23" s="24">
        <v>1</v>
      </c>
      <c r="M23" s="24">
        <v>1</v>
      </c>
      <c r="N23" s="24">
        <v>1</v>
      </c>
      <c r="O23" s="24">
        <v>1</v>
      </c>
      <c r="P23" s="24">
        <v>1</v>
      </c>
      <c r="Q23" s="25">
        <f t="shared" si="0"/>
        <v>127</v>
      </c>
      <c r="R23" s="2"/>
      <c r="S23" s="23">
        <v>0</v>
      </c>
      <c r="T23" s="25">
        <f t="shared" si="1"/>
        <v>127</v>
      </c>
    </row>
    <row r="24" spans="9:20" ht="15" thickTop="1" x14ac:dyDescent="0.4"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184-9CE7-4D8C-A864-40A9A582BFA7}">
  <dimension ref="B2:Z24"/>
  <sheetViews>
    <sheetView zoomScale="85" zoomScaleNormal="85" workbookViewId="0">
      <selection activeCell="AA8" sqref="AA8"/>
    </sheetView>
  </sheetViews>
  <sheetFormatPr defaultColWidth="9" defaultRowHeight="14.5" x14ac:dyDescent="0.4"/>
  <cols>
    <col min="1" max="1" width="2.58203125" style="3" customWidth="1"/>
    <col min="2" max="11" width="9" style="3"/>
    <col min="12" max="12" width="2.58203125" style="3" customWidth="1"/>
    <col min="13" max="22" width="4.08203125" style="3" customWidth="1"/>
    <col min="23" max="23" width="2.58203125" style="3" customWidth="1"/>
    <col min="24" max="24" width="9.33203125" style="2" bestFit="1" customWidth="1"/>
    <col min="25" max="25" width="11.4140625" style="3" bestFit="1" customWidth="1"/>
    <col min="26" max="26" width="14.25" style="3" bestFit="1" customWidth="1"/>
    <col min="27" max="16384" width="9" style="3"/>
  </cols>
  <sheetData>
    <row r="2" spans="2:26" ht="17.5" thickBot="1" x14ac:dyDescent="0.5">
      <c r="B2"/>
      <c r="C2"/>
      <c r="D2"/>
      <c r="E2"/>
      <c r="F2"/>
      <c r="G2"/>
      <c r="H2"/>
      <c r="I2"/>
      <c r="J2"/>
      <c r="K2"/>
      <c r="L2" s="37"/>
      <c r="M2" s="1" t="s">
        <v>1</v>
      </c>
      <c r="N2" s="2"/>
      <c r="O2" s="2"/>
      <c r="P2" s="2"/>
      <c r="S2" s="2"/>
      <c r="T2" s="2"/>
      <c r="U2" s="2"/>
      <c r="V2" s="2"/>
      <c r="W2" s="2"/>
      <c r="X2" s="2" t="s">
        <v>0</v>
      </c>
      <c r="Y2" s="2" t="s">
        <v>14</v>
      </c>
      <c r="Z2" s="3" t="s">
        <v>32</v>
      </c>
    </row>
    <row r="3" spans="2:26" ht="29" x14ac:dyDescent="0.4">
      <c r="B3" s="42" t="s">
        <v>15</v>
      </c>
      <c r="C3" s="43"/>
      <c r="D3" s="43"/>
      <c r="E3" s="43"/>
      <c r="F3" s="43"/>
      <c r="G3" s="43"/>
      <c r="H3" s="43"/>
      <c r="I3" s="43"/>
      <c r="J3" s="43"/>
      <c r="K3" s="28"/>
      <c r="L3" s="38"/>
      <c r="M3" s="1" t="s">
        <v>28</v>
      </c>
      <c r="Q3" s="1" t="s">
        <v>29</v>
      </c>
      <c r="S3" s="2"/>
      <c r="T3" s="2"/>
      <c r="U3" s="2"/>
      <c r="V3" s="2"/>
      <c r="W3" s="2"/>
      <c r="Y3" s="4" t="s">
        <v>30</v>
      </c>
    </row>
    <row r="4" spans="2:26" ht="15.5" thickBot="1" x14ac:dyDescent="0.45">
      <c r="B4" s="29" t="s">
        <v>16</v>
      </c>
      <c r="C4" s="30" t="s">
        <v>17</v>
      </c>
      <c r="D4" s="30" t="s">
        <v>18</v>
      </c>
      <c r="E4" s="30" t="s">
        <v>19</v>
      </c>
      <c r="F4" s="30" t="s">
        <v>20</v>
      </c>
      <c r="G4" s="30" t="s">
        <v>21</v>
      </c>
      <c r="H4" s="30" t="s">
        <v>22</v>
      </c>
      <c r="I4" s="30" t="s">
        <v>23</v>
      </c>
      <c r="J4" s="30" t="s">
        <v>24</v>
      </c>
      <c r="K4" s="31" t="s">
        <v>25</v>
      </c>
      <c r="L4" s="37"/>
      <c r="O4" s="2"/>
      <c r="P4" s="2"/>
      <c r="Q4" s="2"/>
      <c r="R4" s="2"/>
      <c r="S4" s="2"/>
      <c r="T4" s="2"/>
      <c r="U4" s="2"/>
      <c r="V4" s="2"/>
      <c r="W4" s="2"/>
      <c r="Y4" s="2"/>
    </row>
    <row r="5" spans="2:26" ht="16" thickTop="1" thickBot="1" x14ac:dyDescent="0.45">
      <c r="B5" s="26">
        <v>1</v>
      </c>
      <c r="C5" s="27">
        <v>1</v>
      </c>
      <c r="D5" s="27">
        <v>1</v>
      </c>
      <c r="E5" s="27">
        <v>1</v>
      </c>
      <c r="F5" s="27">
        <v>1</v>
      </c>
      <c r="G5" s="27">
        <v>1</v>
      </c>
      <c r="H5" s="27">
        <v>1</v>
      </c>
      <c r="I5" s="27">
        <v>1</v>
      </c>
      <c r="J5" s="27">
        <v>1</v>
      </c>
      <c r="K5" s="32">
        <f>IF(B5=0,BIN2DEC(_xlfn.CONCAT(C5,D5,E5,F5,G5,H5,I5,J5)), -1*BIN2DEC(_xlfn.CONCAT(C5,D5,E5,F5,G5,H5,I5,J5)))</f>
        <v>-255</v>
      </c>
      <c r="L5" s="37"/>
      <c r="M5" s="5" t="s">
        <v>27</v>
      </c>
      <c r="N5" s="6" t="s">
        <v>4</v>
      </c>
      <c r="O5" s="6" t="s">
        <v>5</v>
      </c>
      <c r="P5" s="6" t="s">
        <v>6</v>
      </c>
      <c r="Q5" s="6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7" t="s">
        <v>12</v>
      </c>
      <c r="W5" s="2"/>
      <c r="X5" s="5" t="s">
        <v>0</v>
      </c>
      <c r="Y5" s="7" t="s">
        <v>14</v>
      </c>
    </row>
    <row r="6" spans="2:26" ht="16" thickTop="1" thickBot="1" x14ac:dyDescent="0.45">
      <c r="B6" s="33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0</v>
      </c>
      <c r="K6" s="32">
        <f t="shared" ref="K6:K23" si="0">IF(B6=0,BIN2DEC(_xlfn.CONCAT(C6,D6,E6,F6,G6,H6,I6,J6)), -1*BIN2DEC(_xlfn.CONCAT(C6,D6,E6,F6,G6,H6,I6,J6)))</f>
        <v>-254</v>
      </c>
      <c r="L6" s="39"/>
      <c r="M6" s="8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10">
        <f>BIN2DEC(_xlfn.CONCAT(M6,N6,O6,P6,Q6,R6,S6,T6,U6))</f>
        <v>511</v>
      </c>
      <c r="W6" s="2"/>
      <c r="X6" s="8">
        <v>511</v>
      </c>
      <c r="Y6" s="10">
        <f>IF(X6&lt;256,_xlfn.BITXOR(X6,255),X6)</f>
        <v>511</v>
      </c>
    </row>
    <row r="7" spans="2:26" ht="15.5" thickBot="1" x14ac:dyDescent="0.45">
      <c r="B7" s="33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1</v>
      </c>
      <c r="K7" s="32">
        <f t="shared" si="0"/>
        <v>-253</v>
      </c>
      <c r="L7" s="40"/>
      <c r="M7" s="11">
        <v>1</v>
      </c>
      <c r="N7" s="12">
        <v>1</v>
      </c>
      <c r="O7" s="12">
        <v>1</v>
      </c>
      <c r="P7" s="12">
        <v>1</v>
      </c>
      <c r="Q7" s="12">
        <v>1</v>
      </c>
      <c r="R7" s="12">
        <v>1</v>
      </c>
      <c r="S7" s="12">
        <v>1</v>
      </c>
      <c r="T7" s="12">
        <v>1</v>
      </c>
      <c r="U7" s="12">
        <v>0</v>
      </c>
      <c r="V7" s="13">
        <f t="shared" ref="V7:V23" si="1">BIN2DEC(_xlfn.CONCAT(M7,N7,O7,P7,Q7,R7,S7,T7,U7))</f>
        <v>510</v>
      </c>
      <c r="W7" s="2"/>
      <c r="X7" s="11">
        <v>510</v>
      </c>
      <c r="Y7" s="13">
        <f t="shared" ref="Y7:Y23" si="2">IF(X7&lt;256,_xlfn.BITXOR(X7,255),X7)</f>
        <v>510</v>
      </c>
    </row>
    <row r="8" spans="2:26" ht="15.5" thickBot="1" x14ac:dyDescent="0.45">
      <c r="B8" s="33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0</v>
      </c>
      <c r="J8" s="34">
        <v>0</v>
      </c>
      <c r="K8" s="32">
        <f t="shared" si="0"/>
        <v>-252</v>
      </c>
      <c r="L8" s="40"/>
      <c r="M8" s="11">
        <v>1</v>
      </c>
      <c r="N8" s="12">
        <v>1</v>
      </c>
      <c r="O8" s="12">
        <v>1</v>
      </c>
      <c r="P8" s="12">
        <v>1</v>
      </c>
      <c r="Q8" s="12">
        <v>1</v>
      </c>
      <c r="R8" s="12">
        <v>1</v>
      </c>
      <c r="S8" s="12">
        <v>1</v>
      </c>
      <c r="T8" s="12">
        <v>0</v>
      </c>
      <c r="U8" s="12">
        <v>1</v>
      </c>
      <c r="V8" s="13">
        <f t="shared" si="1"/>
        <v>509</v>
      </c>
      <c r="W8" s="2"/>
      <c r="X8" s="11">
        <v>509</v>
      </c>
      <c r="Y8" s="13">
        <f t="shared" si="2"/>
        <v>509</v>
      </c>
    </row>
    <row r="9" spans="2:26" ht="15.5" thickBot="1" x14ac:dyDescent="0.45">
      <c r="B9" s="33"/>
      <c r="C9" s="34"/>
      <c r="D9" s="34"/>
      <c r="E9" s="34"/>
      <c r="F9" s="34" t="s">
        <v>26</v>
      </c>
      <c r="G9" s="34"/>
      <c r="H9" s="34"/>
      <c r="I9" s="34"/>
      <c r="J9" s="34"/>
      <c r="K9" s="32"/>
      <c r="L9" s="40"/>
      <c r="M9" s="11">
        <v>1</v>
      </c>
      <c r="N9" s="12">
        <v>1</v>
      </c>
      <c r="O9" s="12">
        <v>1</v>
      </c>
      <c r="P9" s="12">
        <v>1</v>
      </c>
      <c r="Q9" s="12">
        <v>1</v>
      </c>
      <c r="R9" s="12">
        <v>1</v>
      </c>
      <c r="S9" s="12">
        <v>1</v>
      </c>
      <c r="T9" s="12">
        <v>0</v>
      </c>
      <c r="U9" s="12">
        <v>0</v>
      </c>
      <c r="V9" s="13">
        <f t="shared" si="1"/>
        <v>508</v>
      </c>
      <c r="W9" s="2"/>
      <c r="X9" s="11">
        <v>508</v>
      </c>
      <c r="Y9" s="13">
        <f t="shared" si="2"/>
        <v>508</v>
      </c>
    </row>
    <row r="10" spans="2:26" ht="15.5" thickBot="1" x14ac:dyDescent="0.45">
      <c r="B10" s="33"/>
      <c r="C10" s="34"/>
      <c r="D10" s="34"/>
      <c r="E10" s="34"/>
      <c r="F10" s="34" t="s">
        <v>26</v>
      </c>
      <c r="G10" s="34"/>
      <c r="H10" s="34"/>
      <c r="I10" s="34"/>
      <c r="J10" s="34"/>
      <c r="K10" s="32"/>
      <c r="L10" s="40"/>
      <c r="M10" s="11">
        <v>1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1</v>
      </c>
      <c r="T10" s="12">
        <v>0</v>
      </c>
      <c r="U10" s="12">
        <v>0</v>
      </c>
      <c r="V10" s="13">
        <f t="shared" si="1"/>
        <v>260</v>
      </c>
      <c r="W10" s="2"/>
      <c r="X10" s="11">
        <v>260</v>
      </c>
      <c r="Y10" s="13">
        <f t="shared" si="2"/>
        <v>260</v>
      </c>
    </row>
    <row r="11" spans="2:26" ht="15.5" thickBot="1" x14ac:dyDescent="0.45">
      <c r="B11" s="33">
        <v>1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1</v>
      </c>
      <c r="J11" s="34">
        <v>0</v>
      </c>
      <c r="K11" s="32">
        <f t="shared" si="0"/>
        <v>-2</v>
      </c>
      <c r="L11" s="40"/>
      <c r="M11" s="11">
        <v>1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1</v>
      </c>
      <c r="V11" s="13">
        <f t="shared" si="1"/>
        <v>259</v>
      </c>
      <c r="W11" s="2"/>
      <c r="X11" s="11">
        <v>259</v>
      </c>
      <c r="Y11" s="13">
        <f t="shared" si="2"/>
        <v>259</v>
      </c>
    </row>
    <row r="12" spans="2:26" ht="15.5" thickBot="1" x14ac:dyDescent="0.45">
      <c r="B12" s="33">
        <v>1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1</v>
      </c>
      <c r="K12" s="32">
        <f t="shared" si="0"/>
        <v>-1</v>
      </c>
      <c r="L12" s="40"/>
      <c r="M12" s="11">
        <v>1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3">
        <f t="shared" si="1"/>
        <v>258</v>
      </c>
      <c r="W12" s="2"/>
      <c r="X12" s="11">
        <v>258</v>
      </c>
      <c r="Y12" s="13">
        <f t="shared" si="2"/>
        <v>258</v>
      </c>
    </row>
    <row r="13" spans="2:26" ht="15.5" thickBot="1" x14ac:dyDescent="0.45">
      <c r="B13" s="33">
        <v>1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2">
        <f t="shared" si="0"/>
        <v>0</v>
      </c>
      <c r="L13" s="40"/>
      <c r="M13" s="11">
        <v>1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1</v>
      </c>
      <c r="V13" s="13">
        <f t="shared" si="1"/>
        <v>257</v>
      </c>
      <c r="W13" s="2"/>
      <c r="X13" s="11">
        <v>257</v>
      </c>
      <c r="Y13" s="13">
        <f t="shared" si="2"/>
        <v>257</v>
      </c>
    </row>
    <row r="14" spans="2:26" ht="15.5" thickBot="1" x14ac:dyDescent="0.45">
      <c r="B14" s="33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2">
        <f t="shared" si="0"/>
        <v>0</v>
      </c>
      <c r="L14" s="41"/>
      <c r="M14" s="14">
        <v>1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6">
        <f t="shared" si="1"/>
        <v>256</v>
      </c>
      <c r="W14" s="2"/>
      <c r="X14" s="14">
        <v>256</v>
      </c>
      <c r="Y14" s="16">
        <f t="shared" si="2"/>
        <v>256</v>
      </c>
    </row>
    <row r="15" spans="2:26" ht="16" thickTop="1" thickBot="1" x14ac:dyDescent="0.45">
      <c r="B15" s="33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1</v>
      </c>
      <c r="K15" s="32">
        <f t="shared" si="0"/>
        <v>1</v>
      </c>
      <c r="L15" s="39"/>
      <c r="M15" s="17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9">
        <f t="shared" si="1"/>
        <v>0</v>
      </c>
      <c r="W15" s="2"/>
      <c r="X15" s="17">
        <v>255</v>
      </c>
      <c r="Y15" s="19">
        <f t="shared" si="2"/>
        <v>0</v>
      </c>
    </row>
    <row r="16" spans="2:26" ht="15.5" thickBot="1" x14ac:dyDescent="0.45">
      <c r="B16" s="33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1</v>
      </c>
      <c r="J16" s="34">
        <v>0</v>
      </c>
      <c r="K16" s="32">
        <f t="shared" si="0"/>
        <v>2</v>
      </c>
      <c r="L16" s="40"/>
      <c r="M16" s="20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1</v>
      </c>
      <c r="V16" s="22">
        <f t="shared" si="1"/>
        <v>1</v>
      </c>
      <c r="W16" s="2"/>
      <c r="X16" s="20">
        <v>254</v>
      </c>
      <c r="Y16" s="22">
        <f t="shared" si="2"/>
        <v>1</v>
      </c>
    </row>
    <row r="17" spans="2:25" ht="15.5" thickBot="1" x14ac:dyDescent="0.45">
      <c r="B17" s="33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1</v>
      </c>
      <c r="J17" s="34">
        <v>1</v>
      </c>
      <c r="K17" s="32">
        <f t="shared" si="0"/>
        <v>3</v>
      </c>
      <c r="L17" s="40"/>
      <c r="M17" s="20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1</v>
      </c>
      <c r="U17" s="21">
        <v>0</v>
      </c>
      <c r="V17" s="22">
        <f t="shared" si="1"/>
        <v>2</v>
      </c>
      <c r="W17" s="2"/>
      <c r="X17" s="20">
        <v>253</v>
      </c>
      <c r="Y17" s="22">
        <f t="shared" si="2"/>
        <v>2</v>
      </c>
    </row>
    <row r="18" spans="2:25" ht="15.5" thickBot="1" x14ac:dyDescent="0.45">
      <c r="B18" s="33"/>
      <c r="C18" s="34"/>
      <c r="D18" s="34"/>
      <c r="E18" s="34"/>
      <c r="F18" s="34" t="s">
        <v>26</v>
      </c>
      <c r="G18" s="34"/>
      <c r="H18" s="34"/>
      <c r="I18" s="34"/>
      <c r="J18" s="34"/>
      <c r="K18" s="32"/>
      <c r="L18" s="40"/>
      <c r="M18" s="20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1</v>
      </c>
      <c r="U18" s="21">
        <v>1</v>
      </c>
      <c r="V18" s="22">
        <f t="shared" si="1"/>
        <v>3</v>
      </c>
      <c r="W18" s="2"/>
      <c r="X18" s="20">
        <v>252</v>
      </c>
      <c r="Y18" s="22">
        <f t="shared" si="2"/>
        <v>3</v>
      </c>
    </row>
    <row r="19" spans="2:25" ht="15.5" thickBot="1" x14ac:dyDescent="0.45">
      <c r="B19" s="33"/>
      <c r="C19" s="34"/>
      <c r="D19" s="34"/>
      <c r="E19" s="34"/>
      <c r="F19" s="34" t="s">
        <v>26</v>
      </c>
      <c r="G19" s="34"/>
      <c r="H19" s="34"/>
      <c r="I19" s="34"/>
      <c r="J19" s="34"/>
      <c r="K19" s="32"/>
      <c r="L19" s="40"/>
      <c r="M19" s="20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1</v>
      </c>
      <c r="T19" s="21">
        <v>0</v>
      </c>
      <c r="U19" s="21">
        <v>0</v>
      </c>
      <c r="V19" s="22">
        <f t="shared" si="1"/>
        <v>4</v>
      </c>
      <c r="W19" s="2"/>
      <c r="X19" s="20">
        <v>251</v>
      </c>
      <c r="Y19" s="22">
        <f t="shared" si="2"/>
        <v>4</v>
      </c>
    </row>
    <row r="20" spans="2:25" ht="15.5" thickBot="1" x14ac:dyDescent="0.45">
      <c r="B20" s="33">
        <v>0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0</v>
      </c>
      <c r="J20" s="34">
        <v>0</v>
      </c>
      <c r="K20" s="32">
        <f t="shared" si="0"/>
        <v>252</v>
      </c>
      <c r="L20" s="40"/>
      <c r="M20" s="20">
        <v>0</v>
      </c>
      <c r="N20" s="21">
        <v>1</v>
      </c>
      <c r="O20" s="21">
        <v>1</v>
      </c>
      <c r="P20" s="21">
        <v>1</v>
      </c>
      <c r="Q20" s="21">
        <v>1</v>
      </c>
      <c r="R20" s="21">
        <v>1</v>
      </c>
      <c r="S20" s="21">
        <v>0</v>
      </c>
      <c r="T20" s="21">
        <v>0</v>
      </c>
      <c r="U20" s="21">
        <v>0</v>
      </c>
      <c r="V20" s="22">
        <f t="shared" si="1"/>
        <v>248</v>
      </c>
      <c r="W20" s="2"/>
      <c r="X20" s="20">
        <v>3</v>
      </c>
      <c r="Y20" s="22">
        <f t="shared" si="2"/>
        <v>252</v>
      </c>
    </row>
    <row r="21" spans="2:25" ht="15.5" thickBot="1" x14ac:dyDescent="0.45">
      <c r="B21" s="33">
        <v>0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0</v>
      </c>
      <c r="J21" s="34">
        <v>1</v>
      </c>
      <c r="K21" s="32">
        <f t="shared" si="0"/>
        <v>253</v>
      </c>
      <c r="L21" s="40"/>
      <c r="M21" s="20">
        <v>0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0</v>
      </c>
      <c r="U21" s="21">
        <v>1</v>
      </c>
      <c r="V21" s="22">
        <f t="shared" si="1"/>
        <v>253</v>
      </c>
      <c r="W21" s="2"/>
      <c r="X21" s="20">
        <v>2</v>
      </c>
      <c r="Y21" s="22">
        <f t="shared" si="2"/>
        <v>253</v>
      </c>
    </row>
    <row r="22" spans="2:25" ht="15.5" thickBot="1" x14ac:dyDescent="0.45">
      <c r="B22" s="33">
        <v>0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0</v>
      </c>
      <c r="K22" s="32">
        <f t="shared" si="0"/>
        <v>254</v>
      </c>
      <c r="L22" s="41"/>
      <c r="M22" s="20">
        <v>0</v>
      </c>
      <c r="N22" s="21">
        <v>1</v>
      </c>
      <c r="O22" s="21">
        <v>1</v>
      </c>
      <c r="P22" s="21">
        <v>1</v>
      </c>
      <c r="Q22" s="21">
        <v>1</v>
      </c>
      <c r="R22" s="21">
        <v>1</v>
      </c>
      <c r="S22" s="21">
        <v>1</v>
      </c>
      <c r="T22" s="21">
        <v>1</v>
      </c>
      <c r="U22" s="21">
        <v>0</v>
      </c>
      <c r="V22" s="22">
        <f t="shared" si="1"/>
        <v>254</v>
      </c>
      <c r="W22" s="2"/>
      <c r="X22" s="20">
        <v>1</v>
      </c>
      <c r="Y22" s="22">
        <f t="shared" si="2"/>
        <v>254</v>
      </c>
    </row>
    <row r="23" spans="2:25" ht="15.5" thickBot="1" x14ac:dyDescent="0.45">
      <c r="B23" s="35">
        <v>0</v>
      </c>
      <c r="C23" s="36">
        <v>1</v>
      </c>
      <c r="D23" s="36">
        <v>1</v>
      </c>
      <c r="E23" s="36">
        <v>1</v>
      </c>
      <c r="F23" s="36">
        <v>1</v>
      </c>
      <c r="G23" s="36">
        <v>1</v>
      </c>
      <c r="H23" s="36">
        <v>1</v>
      </c>
      <c r="I23" s="36">
        <v>1</v>
      </c>
      <c r="J23" s="36">
        <v>1</v>
      </c>
      <c r="K23" s="32">
        <f t="shared" si="0"/>
        <v>255</v>
      </c>
      <c r="M23" s="23">
        <v>0</v>
      </c>
      <c r="N23" s="24">
        <v>1</v>
      </c>
      <c r="O23" s="24">
        <v>1</v>
      </c>
      <c r="P23" s="24">
        <v>1</v>
      </c>
      <c r="Q23" s="24">
        <v>1</v>
      </c>
      <c r="R23" s="24">
        <v>1</v>
      </c>
      <c r="S23" s="24">
        <v>1</v>
      </c>
      <c r="T23" s="24">
        <v>1</v>
      </c>
      <c r="U23" s="24">
        <v>1</v>
      </c>
      <c r="V23" s="25">
        <f t="shared" si="1"/>
        <v>255</v>
      </c>
      <c r="W23" s="2"/>
      <c r="X23" s="23">
        <v>0</v>
      </c>
      <c r="Y23" s="25">
        <f t="shared" si="2"/>
        <v>255</v>
      </c>
    </row>
    <row r="24" spans="2:25" x14ac:dyDescent="0.4">
      <c r="O24" s="2"/>
      <c r="P24" s="2"/>
      <c r="Q24" s="2"/>
      <c r="R24" s="2"/>
      <c r="S24" s="2"/>
      <c r="T24" s="2"/>
      <c r="U24" s="2"/>
      <c r="V24" s="2"/>
      <c r="W24" s="2"/>
      <c r="Y24" s="2"/>
    </row>
  </sheetData>
  <mergeCells count="1">
    <mergeCell ref="B3:J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osc_ctl</vt:lpstr>
      <vt:lpstr>adc_offset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2024-12-04T08:54:26Z</dcterms:modified>
</cp:coreProperties>
</file>