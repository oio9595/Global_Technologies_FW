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Work\시스템반도체팀\1.과제\7.Ambient LED\색좌표계\"/>
    </mc:Choice>
  </mc:AlternateContent>
  <xr:revisionPtr revIDLastSave="0" documentId="13_ncr:101_{CF28014F-0DB2-4391-AF95-2813A982B8F9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현대" sheetId="12" r:id="rId1"/>
    <sheet name="기아" sheetId="10" r:id="rId2"/>
    <sheet name="제네시스" sheetId="11" r:id="rId3"/>
    <sheet name="듀얼칼라 추천 현대,기아,제네시스" sheetId="15" r:id="rId4"/>
    <sheet name="드라이브모드 연동 칼라" sheetId="17" r:id="rId5"/>
    <sheet name="커스텀 64칼라 현대,기아,제네시스 (22년 12월)" sheetId="14" r:id="rId6"/>
    <sheet name="Sheet1" sheetId="13" r:id="rId7"/>
  </sheets>
  <definedNames>
    <definedName name="_xlnm.Print_Area" localSheetId="1">기아!$A$1:$V$15</definedName>
    <definedName name="_xlnm.Print_Area" localSheetId="3">'듀얼칼라 추천 현대,기아,제네시스'!$A$1:$S$22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17" l="1"/>
  <c r="Y10" i="17"/>
  <c r="X11" i="17"/>
  <c r="Y11" i="17"/>
  <c r="X12" i="17"/>
  <c r="Y12" i="17"/>
  <c r="X13" i="17"/>
  <c r="Y13" i="17"/>
  <c r="X14" i="17"/>
  <c r="Y14" i="17"/>
  <c r="X15" i="17"/>
  <c r="Y15" i="17"/>
  <c r="X16" i="17"/>
  <c r="Y16" i="17"/>
  <c r="X17" i="17"/>
  <c r="Y17" i="17"/>
  <c r="X18" i="17"/>
  <c r="Y18" i="17"/>
  <c r="Y9" i="17"/>
  <c r="X9" i="17"/>
  <c r="V10" i="17"/>
  <c r="W10" i="17"/>
  <c r="V11" i="17"/>
  <c r="W11" i="17"/>
  <c r="V12" i="17"/>
  <c r="W12" i="17"/>
  <c r="V13" i="17"/>
  <c r="W13" i="17"/>
  <c r="V14" i="17"/>
  <c r="W14" i="17"/>
  <c r="V15" i="17"/>
  <c r="W15" i="17"/>
  <c r="V16" i="17"/>
  <c r="W16" i="17"/>
  <c r="V17" i="17"/>
  <c r="W17" i="17"/>
  <c r="V18" i="17"/>
  <c r="W18" i="17"/>
  <c r="W9" i="17"/>
  <c r="V9" i="17"/>
  <c r="M22" i="15" l="1"/>
  <c r="L22" i="15"/>
  <c r="M21" i="15"/>
  <c r="L21" i="15"/>
  <c r="M19" i="15"/>
  <c r="L19" i="15"/>
  <c r="M18" i="15"/>
  <c r="L18" i="15"/>
  <c r="M16" i="15"/>
  <c r="L16" i="15"/>
  <c r="M15" i="15"/>
  <c r="L15" i="15"/>
  <c r="M13" i="15"/>
  <c r="L13" i="15"/>
  <c r="M12" i="15"/>
  <c r="L12" i="15"/>
  <c r="M10" i="15"/>
  <c r="L10" i="15"/>
  <c r="M9" i="15"/>
  <c r="L9" i="15"/>
  <c r="M7" i="15"/>
  <c r="M6" i="15"/>
  <c r="L7" i="15"/>
  <c r="L6" i="15"/>
  <c r="L70" i="14" l="1"/>
  <c r="L69" i="14"/>
  <c r="L68" i="14"/>
  <c r="L67" i="14"/>
  <c r="L66" i="14"/>
  <c r="L65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2" i="14"/>
  <c r="L21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D13" i="13" l="1"/>
  <c r="D10" i="13"/>
  <c r="D9" i="13"/>
  <c r="M16" i="11" l="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임우현</author>
  </authors>
  <commentList>
    <comment ref="B6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기아전문가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칼라변경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화이트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계열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칼라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MV, DL3 PE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임우현</author>
  </authors>
  <commentList>
    <comment ref="B6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기아전문가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칼라변경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화이트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계열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칼라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MV, DL3 PE</t>
        </r>
      </text>
    </comment>
  </commentList>
</comments>
</file>

<file path=xl/sharedStrings.xml><?xml version="1.0" encoding="utf-8"?>
<sst xmlns="http://schemas.openxmlformats.org/spreadsheetml/2006/main" count="551" uniqueCount="293">
  <si>
    <t>■ 컬러셋 테이블</t>
    <phoneticPr fontId="11" type="noConversion"/>
  </si>
  <si>
    <t xml:space="preserve"> 구분</t>
    <phoneticPr fontId="11" type="noConversion"/>
  </si>
  <si>
    <t xml:space="preserve"> 표1) 색 좌표</t>
    <phoneticPr fontId="11" type="noConversion"/>
  </si>
  <si>
    <t>No.</t>
    <phoneticPr fontId="11" type="noConversion"/>
  </si>
  <si>
    <t>RGB 컬러셋</t>
  </si>
  <si>
    <t>RGB HEX (송출 신호)</t>
    <phoneticPr fontId="11" type="noConversion"/>
  </si>
  <si>
    <t>CIE 1931 색좌표계 좌표</t>
    <phoneticPr fontId="11" type="noConversion"/>
  </si>
  <si>
    <t>Red</t>
  </si>
  <si>
    <t>Green</t>
  </si>
  <si>
    <t>Blue</t>
  </si>
  <si>
    <t>X 좌표 HEX</t>
  </si>
  <si>
    <t>Y 좌표 HEX</t>
  </si>
  <si>
    <t>초기값</t>
    <phoneticPr fontId="11" type="noConversion"/>
  </si>
  <si>
    <t>공장별로 다름 (공장별로 맞출것)</t>
    <phoneticPr fontId="11" type="noConversion"/>
  </si>
  <si>
    <t>전문가 추천 칼라</t>
    <phoneticPr fontId="11" type="noConversion"/>
  </si>
  <si>
    <t>E1</t>
  </si>
  <si>
    <t>0x41</t>
  </si>
  <si>
    <t>0x35</t>
  </si>
  <si>
    <t>폴라 화이트</t>
    <phoneticPr fontId="11" type="noConversion"/>
  </si>
  <si>
    <t>E2</t>
  </si>
  <si>
    <t>0x49</t>
  </si>
  <si>
    <t>0x3A</t>
  </si>
  <si>
    <t>문 화이트</t>
    <phoneticPr fontId="11" type="noConversion"/>
  </si>
  <si>
    <t>E3</t>
  </si>
  <si>
    <t>0x8C</t>
  </si>
  <si>
    <t>0x64</t>
  </si>
  <si>
    <t>프리지아 엘로우</t>
    <phoneticPr fontId="11" type="noConversion"/>
  </si>
  <si>
    <t>E4</t>
  </si>
  <si>
    <t>0xAF</t>
  </si>
  <si>
    <t>0x3F</t>
  </si>
  <si>
    <t>썬 라이즈 레드</t>
    <phoneticPr fontId="11" type="noConversion"/>
  </si>
  <si>
    <t>E5</t>
  </si>
  <si>
    <t>0x0F</t>
  </si>
  <si>
    <t>오로라 피플</t>
    <phoneticPr fontId="11" type="noConversion"/>
  </si>
  <si>
    <t>E6</t>
  </si>
  <si>
    <t>0x32</t>
  </si>
  <si>
    <t>라이트닝 바이올렛</t>
    <phoneticPr fontId="11" type="noConversion"/>
  </si>
  <si>
    <t>E7</t>
    <phoneticPr fontId="11" type="noConversion"/>
  </si>
  <si>
    <t>0x28</t>
  </si>
  <si>
    <t>0x12</t>
  </si>
  <si>
    <t>오션 블루</t>
    <phoneticPr fontId="11" type="noConversion"/>
  </si>
  <si>
    <t>E8</t>
    <phoneticPr fontId="11" type="noConversion"/>
  </si>
  <si>
    <t>0x19</t>
  </si>
  <si>
    <t>0x23</t>
  </si>
  <si>
    <t>제이드 그린</t>
    <phoneticPr fontId="11" type="noConversion"/>
  </si>
  <si>
    <t>E9</t>
    <phoneticPr fontId="11" type="noConversion"/>
  </si>
  <si>
    <t>0x21</t>
  </si>
  <si>
    <t>0x96</t>
  </si>
  <si>
    <t>오키드 그린</t>
    <phoneticPr fontId="11" type="noConversion"/>
  </si>
  <si>
    <t>E10</t>
    <phoneticPr fontId="11" type="noConversion"/>
  </si>
  <si>
    <t>0x30</t>
  </si>
  <si>
    <t>아이스 블루</t>
    <phoneticPr fontId="11" type="noConversion"/>
  </si>
  <si>
    <t>■ 컬러셋 테이블</t>
    <phoneticPr fontId="3" type="noConversion"/>
  </si>
  <si>
    <t>구분</t>
    <phoneticPr fontId="3" type="noConversion"/>
  </si>
  <si>
    <t>No.</t>
    <phoneticPr fontId="3" type="noConversion"/>
  </si>
  <si>
    <t>RGB 컬러셋</t>
    <phoneticPr fontId="3" type="noConversion"/>
  </si>
  <si>
    <t>RGB HEX (송출신호)</t>
    <phoneticPr fontId="7" type="noConversion"/>
  </si>
  <si>
    <t>CIE 1931 색좌표계 좌표</t>
    <phoneticPr fontId="3" type="noConversion"/>
  </si>
  <si>
    <t>Red</t>
    <phoneticPr fontId="3" type="noConversion"/>
  </si>
  <si>
    <t>Green</t>
    <phoneticPr fontId="3" type="noConversion"/>
  </si>
  <si>
    <t>Blue</t>
    <phoneticPr fontId="3" type="noConversion"/>
  </si>
  <si>
    <t>X 좌표 Scale</t>
    <phoneticPr fontId="3" type="noConversion"/>
  </si>
  <si>
    <t>Y 좌표 Scale</t>
    <phoneticPr fontId="3" type="noConversion"/>
  </si>
  <si>
    <t>X 좌표 HEX</t>
    <phoneticPr fontId="3" type="noConversion"/>
  </si>
  <si>
    <t>Y 좌표 HEX</t>
    <phoneticPr fontId="3" type="noConversion"/>
  </si>
  <si>
    <t>초기값</t>
    <phoneticPr fontId="3" type="noConversion"/>
  </si>
  <si>
    <t>공장별로 다름 (공장별로 맞출것)</t>
    <phoneticPr fontId="7" type="noConversion"/>
  </si>
  <si>
    <t>전문가 추천 칼라</t>
    <phoneticPr fontId="3" type="noConversion"/>
  </si>
  <si>
    <t>2F</t>
  </si>
  <si>
    <t>Blue Flight</t>
    <phoneticPr fontId="6" type="noConversion"/>
  </si>
  <si>
    <t>6F</t>
  </si>
  <si>
    <t>Peaceful Forest</t>
    <phoneticPr fontId="6" type="noConversion"/>
  </si>
  <si>
    <t>1A</t>
  </si>
  <si>
    <t>Dream Purple</t>
    <phoneticPr fontId="6" type="noConversion"/>
  </si>
  <si>
    <t>Aurora Violet</t>
    <phoneticPr fontId="6" type="noConversion"/>
  </si>
  <si>
    <t>Orange Delight</t>
    <phoneticPr fontId="6" type="noConversion"/>
  </si>
  <si>
    <t>6E</t>
  </si>
  <si>
    <t>Golden Insight</t>
    <phoneticPr fontId="6" type="noConversion"/>
  </si>
  <si>
    <t>E7</t>
  </si>
  <si>
    <t>Refreshing Sea</t>
  </si>
  <si>
    <t>E8</t>
    <phoneticPr fontId="7" type="noConversion"/>
  </si>
  <si>
    <t>5C</t>
    <phoneticPr fontId="7" type="noConversion"/>
  </si>
  <si>
    <t>Polar White</t>
    <phoneticPr fontId="7" type="noConversion"/>
  </si>
  <si>
    <t>E9</t>
    <phoneticPr fontId="7" type="noConversion"/>
  </si>
  <si>
    <t>A0</t>
    <phoneticPr fontId="7" type="noConversion"/>
  </si>
  <si>
    <t>Live Red</t>
    <phoneticPr fontId="7" type="noConversion"/>
  </si>
  <si>
    <t>E10</t>
    <phoneticPr fontId="3" type="noConversion"/>
  </si>
  <si>
    <t>Urban Sky</t>
    <phoneticPr fontId="6" type="noConversion"/>
  </si>
  <si>
    <t>구분</t>
    <phoneticPr fontId="11" type="noConversion"/>
  </si>
  <si>
    <t>RGB(DEC)</t>
    <phoneticPr fontId="11" type="noConversion"/>
  </si>
  <si>
    <t>RGB(HEX)</t>
    <phoneticPr fontId="11" type="noConversion"/>
  </si>
  <si>
    <t>Red</t>
    <phoneticPr fontId="11" type="noConversion"/>
  </si>
  <si>
    <t>Green</t>
    <phoneticPr fontId="11" type="noConversion"/>
  </si>
  <si>
    <t>Blue</t>
    <phoneticPr fontId="11" type="noConversion"/>
  </si>
  <si>
    <t>X 좌표 Scale</t>
    <phoneticPr fontId="11" type="noConversion"/>
  </si>
  <si>
    <t>Y 좌표 Scale</t>
    <phoneticPr fontId="11" type="noConversion"/>
  </si>
  <si>
    <t>X 좌표 HEX</t>
    <phoneticPr fontId="11" type="noConversion"/>
  </si>
  <si>
    <t>Y 좌표 HEX</t>
    <phoneticPr fontId="11" type="noConversion"/>
  </si>
  <si>
    <t>아쿠아마린화이트</t>
    <phoneticPr fontId="3" type="noConversion"/>
  </si>
  <si>
    <t>펄 화이트</t>
    <phoneticPr fontId="3" type="noConversion"/>
  </si>
  <si>
    <t>토파즈 옐로우</t>
    <phoneticPr fontId="3" type="noConversion"/>
  </si>
  <si>
    <t>사드 브라운</t>
    <phoneticPr fontId="3" type="noConversion"/>
  </si>
  <si>
    <t>가넷 레드</t>
    <phoneticPr fontId="3" type="noConversion"/>
  </si>
  <si>
    <t>에미시스트 퍼플</t>
    <phoneticPr fontId="3" type="noConversion"/>
  </si>
  <si>
    <t>사파이어 바이올렛</t>
    <phoneticPr fontId="3" type="noConversion"/>
  </si>
  <si>
    <t>지르콘 블루</t>
    <phoneticPr fontId="3" type="noConversion"/>
  </si>
  <si>
    <t>에머랄드블루그린</t>
    <phoneticPr fontId="3" type="noConversion"/>
  </si>
  <si>
    <t>페리도트 그린</t>
    <phoneticPr fontId="3" type="noConversion"/>
  </si>
  <si>
    <t>RGB HEX (송출 신호)</t>
    <phoneticPr fontId="7" type="noConversion"/>
  </si>
  <si>
    <t>듀얼칼라
전문가 추천 칼라</t>
    <phoneticPr fontId="3" type="noConversion"/>
  </si>
  <si>
    <t>세이프 드라이빙</t>
    <phoneticPr fontId="7" type="noConversion"/>
  </si>
  <si>
    <t>Blue</t>
    <phoneticPr fontId="7" type="noConversion"/>
  </si>
  <si>
    <t>Green</t>
    <phoneticPr fontId="7" type="noConversion"/>
  </si>
  <si>
    <t>힐링포레스트</t>
    <phoneticPr fontId="7" type="noConversion"/>
  </si>
  <si>
    <t>Yellow</t>
    <phoneticPr fontId="7" type="noConversion"/>
  </si>
  <si>
    <t>원더풀 데이</t>
    <phoneticPr fontId="7" type="noConversion"/>
  </si>
  <si>
    <t>Red</t>
    <phoneticPr fontId="7" type="noConversion"/>
  </si>
  <si>
    <t>Gold</t>
    <phoneticPr fontId="7" type="noConversion"/>
  </si>
  <si>
    <t>마인드 케어</t>
    <phoneticPr fontId="7" type="noConversion"/>
  </si>
  <si>
    <t>Pink</t>
    <phoneticPr fontId="7" type="noConversion"/>
  </si>
  <si>
    <t>Violet</t>
    <phoneticPr fontId="7" type="noConversion"/>
  </si>
  <si>
    <t>메디테이션</t>
    <phoneticPr fontId="7" type="noConversion"/>
  </si>
  <si>
    <t>Royal Blue</t>
    <phoneticPr fontId="7" type="noConversion"/>
  </si>
  <si>
    <t>크리에이터</t>
    <phoneticPr fontId="7" type="noConversion"/>
  </si>
  <si>
    <t>Turquoise</t>
    <phoneticPr fontId="7" type="noConversion"/>
  </si>
  <si>
    <t>드라이브모드 연동 칼라</t>
    <phoneticPr fontId="11" type="noConversion"/>
  </si>
  <si>
    <t>모드</t>
    <phoneticPr fontId="7" type="noConversion"/>
  </si>
  <si>
    <t>무드조명</t>
    <phoneticPr fontId="7" type="noConversion"/>
  </si>
  <si>
    <t>클러스터</t>
    <phoneticPr fontId="7" type="noConversion"/>
  </si>
  <si>
    <t>칼라명</t>
    <phoneticPr fontId="7" type="noConversion"/>
  </si>
  <si>
    <t>색상</t>
    <phoneticPr fontId="7" type="noConversion"/>
  </si>
  <si>
    <t>RGB 컬러셋</t>
    <phoneticPr fontId="7" type="noConversion"/>
  </si>
  <si>
    <t>현대/제네시스</t>
    <phoneticPr fontId="7" type="noConversion"/>
  </si>
  <si>
    <t>기아</t>
    <phoneticPr fontId="7" type="noConversion"/>
  </si>
  <si>
    <t>드라이브모드</t>
    <phoneticPr fontId="11" type="noConversion"/>
  </si>
  <si>
    <t>0x0:Off</t>
  </si>
  <si>
    <t>0x1:Normal/Comfort (기아)</t>
    <phoneticPr fontId="7" type="noConversion"/>
  </si>
  <si>
    <t>폴라화이트 (기아)</t>
    <phoneticPr fontId="7" type="noConversion"/>
  </si>
  <si>
    <t>폴라화이트 (기아)</t>
  </si>
  <si>
    <t>0x2:Eco</t>
  </si>
  <si>
    <t>2E</t>
    <phoneticPr fontId="7" type="noConversion"/>
  </si>
  <si>
    <t>5A</t>
    <phoneticPr fontId="7" type="noConversion"/>
  </si>
  <si>
    <t>46번</t>
    <phoneticPr fontId="7" type="noConversion"/>
  </si>
  <si>
    <t>0x3:Sport</t>
  </si>
  <si>
    <t>23번</t>
    <phoneticPr fontId="7" type="noConversion"/>
  </si>
  <si>
    <t>0x4:Sport+</t>
  </si>
  <si>
    <t>0x5:Smart</t>
  </si>
  <si>
    <t>2A</t>
    <phoneticPr fontId="7" type="noConversion"/>
  </si>
  <si>
    <t>3B</t>
    <phoneticPr fontId="7" type="noConversion"/>
  </si>
  <si>
    <t>50번</t>
    <phoneticPr fontId="7" type="noConversion"/>
  </si>
  <si>
    <t>0x6:Custom(Custom#1_N)</t>
  </si>
  <si>
    <t>1A</t>
    <phoneticPr fontId="7" type="noConversion"/>
  </si>
  <si>
    <t>3번</t>
    <phoneticPr fontId="7" type="noConversion"/>
  </si>
  <si>
    <t>0x7:N-mode (현대)</t>
    <phoneticPr fontId="7" type="noConversion"/>
  </si>
  <si>
    <t>아이스블루 (현대)</t>
    <phoneticPr fontId="7" type="noConversion"/>
  </si>
  <si>
    <t>0x7:GT mode (기아)</t>
    <phoneticPr fontId="7" type="noConversion"/>
  </si>
  <si>
    <t>5A</t>
  </si>
  <si>
    <t>90</t>
  </si>
  <si>
    <t>35번</t>
    <phoneticPr fontId="7" type="noConversion"/>
  </si>
  <si>
    <t>0x8:RESERVED</t>
  </si>
  <si>
    <t>0x9:Custom#2_N</t>
  </si>
  <si>
    <t>0xA~0xE:RESERVED</t>
  </si>
  <si>
    <t>0xF:Invalid</t>
  </si>
  <si>
    <t>X scale</t>
    <phoneticPr fontId="7" type="noConversion"/>
  </si>
  <si>
    <t>Y scale</t>
    <phoneticPr fontId="7" type="noConversion"/>
  </si>
  <si>
    <t>X hex</t>
    <phoneticPr fontId="7" type="noConversion"/>
  </si>
  <si>
    <t>Y hex</t>
    <phoneticPr fontId="7" type="noConversion"/>
  </si>
  <si>
    <t>사용자 설정 칼라</t>
    <phoneticPr fontId="11" type="noConversion"/>
  </si>
  <si>
    <t>2F</t>
    <phoneticPr fontId="7" type="noConversion"/>
  </si>
  <si>
    <t>33</t>
  </si>
  <si>
    <t>17</t>
  </si>
  <si>
    <t>39</t>
  </si>
  <si>
    <t>40</t>
  </si>
  <si>
    <t>1E</t>
  </si>
  <si>
    <t>48</t>
  </si>
  <si>
    <t>22</t>
  </si>
  <si>
    <t>52</t>
  </si>
  <si>
    <t>27</t>
  </si>
  <si>
    <t>5C</t>
  </si>
  <si>
    <t>2D</t>
  </si>
  <si>
    <t>68</t>
  </si>
  <si>
    <t>34</t>
  </si>
  <si>
    <t>79</t>
  </si>
  <si>
    <t>3D</t>
  </si>
  <si>
    <t>87</t>
  </si>
  <si>
    <t>45</t>
  </si>
  <si>
    <t>94</t>
  </si>
  <si>
    <t>4C</t>
  </si>
  <si>
    <t>9A</t>
  </si>
  <si>
    <t>4F</t>
  </si>
  <si>
    <t>9E</t>
  </si>
  <si>
    <t>A0</t>
  </si>
  <si>
    <t>53</t>
  </si>
  <si>
    <t>9F</t>
  </si>
  <si>
    <t>54</t>
  </si>
  <si>
    <t>9D</t>
  </si>
  <si>
    <t>55</t>
  </si>
  <si>
    <t>9C</t>
  </si>
  <si>
    <t>56</t>
  </si>
  <si>
    <t>58</t>
  </si>
  <si>
    <t>98</t>
  </si>
  <si>
    <t>59</t>
  </si>
  <si>
    <t>96</t>
  </si>
  <si>
    <t>5B</t>
  </si>
  <si>
    <t>5D</t>
  </si>
  <si>
    <t>91</t>
  </si>
  <si>
    <t>60</t>
  </si>
  <si>
    <t>8D</t>
  </si>
  <si>
    <t>63</t>
  </si>
  <si>
    <t>89</t>
  </si>
  <si>
    <t>67</t>
  </si>
  <si>
    <t>82</t>
  </si>
  <si>
    <t>6D</t>
  </si>
  <si>
    <t>7E</t>
  </si>
  <si>
    <t>71</t>
  </si>
  <si>
    <t>75</t>
  </si>
  <si>
    <t>7D</t>
  </si>
  <si>
    <t>69</t>
  </si>
  <si>
    <t>83</t>
  </si>
  <si>
    <t>61</t>
  </si>
  <si>
    <t>8A</t>
  </si>
  <si>
    <t>95</t>
  </si>
  <si>
    <t>51</t>
  </si>
  <si>
    <t>99</t>
  </si>
  <si>
    <t>41</t>
  </si>
  <si>
    <t>85</t>
  </si>
  <si>
    <t>3A</t>
  </si>
  <si>
    <t>7B</t>
  </si>
  <si>
    <t>36</t>
  </si>
  <si>
    <t>70</t>
  </si>
  <si>
    <t>31</t>
  </si>
  <si>
    <t>65</t>
  </si>
  <si>
    <t>2E</t>
  </si>
  <si>
    <t>2C</t>
    <phoneticPr fontId="7" type="noConversion"/>
  </si>
  <si>
    <t>2B</t>
  </si>
  <si>
    <t>4A</t>
  </si>
  <si>
    <t>2A</t>
  </si>
  <si>
    <t>42</t>
  </si>
  <si>
    <t>3B</t>
  </si>
  <si>
    <t>29</t>
  </si>
  <si>
    <t>28</t>
  </si>
  <si>
    <t>2C</t>
  </si>
  <si>
    <t>25</t>
  </si>
  <si>
    <t>1F</t>
  </si>
  <si>
    <t>26</t>
  </si>
  <si>
    <t>15</t>
  </si>
  <si>
    <t>12</t>
  </si>
  <si>
    <t>11</t>
  </si>
  <si>
    <t>13</t>
  </si>
  <si>
    <t>A</t>
    <phoneticPr fontId="7" type="noConversion"/>
  </si>
  <si>
    <t>B</t>
    <phoneticPr fontId="7" type="noConversion"/>
  </si>
  <si>
    <t>C</t>
    <phoneticPr fontId="7" type="noConversion"/>
  </si>
  <si>
    <t>D</t>
    <phoneticPr fontId="7" type="noConversion"/>
  </si>
  <si>
    <t>E</t>
    <phoneticPr fontId="7" type="noConversion"/>
  </si>
  <si>
    <t>F</t>
    <phoneticPr fontId="7" type="noConversion"/>
  </si>
  <si>
    <t>밝기 230mcd 기준</t>
    <phoneticPr fontId="11" type="noConversion"/>
  </si>
  <si>
    <t>밝기 500mcd 기준</t>
    <phoneticPr fontId="11" type="noConversion"/>
  </si>
  <si>
    <t>R</t>
    <phoneticPr fontId="11" type="noConversion"/>
  </si>
  <si>
    <t>G</t>
    <phoneticPr fontId="11" type="noConversion"/>
  </si>
  <si>
    <t>G</t>
    <phoneticPr fontId="11" type="noConversion"/>
  </si>
  <si>
    <t>B</t>
    <phoneticPr fontId="11" type="noConversion"/>
  </si>
  <si>
    <t>G</t>
    <phoneticPr fontId="11" type="noConversion"/>
  </si>
  <si>
    <t>밝기 230mcd 기준</t>
    <phoneticPr fontId="11" type="noConversion"/>
  </si>
  <si>
    <t>밝기 500mcd 기준</t>
    <phoneticPr fontId="11" type="noConversion"/>
  </si>
  <si>
    <t>R</t>
    <phoneticPr fontId="11" type="noConversion"/>
  </si>
  <si>
    <t>G</t>
    <phoneticPr fontId="11" type="noConversion"/>
  </si>
  <si>
    <t>B</t>
    <phoneticPr fontId="11" type="noConversion"/>
  </si>
  <si>
    <t>B</t>
    <phoneticPr fontId="11" type="noConversion"/>
  </si>
  <si>
    <t>밝기 230mcd 기준</t>
    <phoneticPr fontId="11" type="noConversion"/>
  </si>
  <si>
    <t>R</t>
    <phoneticPr fontId="11" type="noConversion"/>
  </si>
  <si>
    <t>B</t>
    <phoneticPr fontId="11" type="noConversion"/>
  </si>
  <si>
    <t>-</t>
    <phoneticPr fontId="7" type="noConversion"/>
  </si>
  <si>
    <t>-</t>
    <phoneticPr fontId="7" type="noConversion"/>
  </si>
  <si>
    <t>밝기 230mcd 기준</t>
    <phoneticPr fontId="11" type="noConversion"/>
  </si>
  <si>
    <t>R</t>
    <phoneticPr fontId="11" type="noConversion"/>
  </si>
  <si>
    <t>G</t>
    <phoneticPr fontId="11" type="noConversion"/>
  </si>
  <si>
    <t>B</t>
    <phoneticPr fontId="11" type="noConversion"/>
  </si>
  <si>
    <t>-</t>
    <phoneticPr fontId="7" type="noConversion"/>
  </si>
  <si>
    <t>-</t>
    <phoneticPr fontId="7" type="noConversion"/>
  </si>
  <si>
    <t>밝기 500mcd 기준</t>
    <phoneticPr fontId="7" type="noConversion"/>
  </si>
  <si>
    <t>밝기250mcd 기준</t>
    <phoneticPr fontId="7" type="noConversion"/>
  </si>
  <si>
    <t>X</t>
    <phoneticPr fontId="7" type="noConversion"/>
  </si>
  <si>
    <t>Y</t>
    <phoneticPr fontId="7" type="noConversion"/>
  </si>
  <si>
    <t>R</t>
    <phoneticPr fontId="11" type="noConversion"/>
  </si>
  <si>
    <t>-</t>
  </si>
  <si>
    <t>Y</t>
    <phoneticPr fontId="7" type="noConversion"/>
  </si>
  <si>
    <t>-</t>
    <phoneticPr fontId="7" type="noConversion"/>
  </si>
  <si>
    <t>-</t>
    <phoneticPr fontId="7" type="noConversion"/>
  </si>
  <si>
    <t>CIE 1931</t>
    <phoneticPr fontId="7" type="noConversion"/>
  </si>
  <si>
    <t>x250</t>
    <phoneticPr fontId="7" type="noConversion"/>
  </si>
  <si>
    <t>CIE
측정결과?</t>
    <phoneticPr fontId="7" type="noConversion"/>
  </si>
  <si>
    <t>에버라이트 측정값?</t>
    <phoneticPr fontId="7" type="noConversion"/>
  </si>
  <si>
    <t>ccNc나 bdc에서 오는 신호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</si>
</sst>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);[Red]\(0.000\)"/>
    <numFmt numFmtId="177" formatCode="0.00_ "/>
    <numFmt numFmtId="178" formatCode="0_ "/>
    <numFmt numFmtId="179" formatCode="0.0000"/>
  </numFmts>
  <fonts count="3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현대하모니 L"/>
      <family val="1"/>
      <charset val="129"/>
    </font>
    <font>
      <sz val="11"/>
      <color theme="1"/>
      <name val="현대하모니 L"/>
      <family val="1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sz val="10"/>
      <name val="맑은 고딕"/>
      <family val="2"/>
      <charset val="129"/>
      <scheme val="major"/>
    </font>
    <font>
      <sz val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Arial Unicode MS"/>
      <family val="2"/>
      <charset val="136"/>
    </font>
    <font>
      <sz val="10"/>
      <color rgb="FF000000"/>
      <name val="Arial Unicode MS"/>
      <family val="2"/>
      <charset val="136"/>
    </font>
    <font>
      <b/>
      <i/>
      <sz val="10"/>
      <color theme="1"/>
      <name val="맑은 고딕"/>
      <family val="3"/>
      <charset val="129"/>
      <scheme val="minor"/>
    </font>
  </fonts>
  <fills count="1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54FF"/>
        <bgColor indexed="64"/>
      </patternFill>
    </fill>
    <fill>
      <patternFill patternType="solid">
        <fgColor rgb="FF00D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C83C3C"/>
        <bgColor indexed="64"/>
      </patternFill>
    </fill>
    <fill>
      <patternFill patternType="solid">
        <fgColor rgb="FF0F00FF"/>
        <bgColor indexed="64"/>
      </patternFill>
    </fill>
    <fill>
      <patternFill patternType="solid">
        <fgColor rgb="FF00FA7F"/>
        <bgColor indexed="64"/>
      </patternFill>
    </fill>
    <fill>
      <patternFill patternType="solid">
        <fgColor rgb="FFE5F2FA"/>
        <bgColor indexed="64"/>
      </patternFill>
    </fill>
    <fill>
      <patternFill patternType="solid">
        <fgColor rgb="FFF4E9DF"/>
        <bgColor indexed="64"/>
      </patternFill>
    </fill>
    <fill>
      <patternFill patternType="solid">
        <fgColor rgb="FFFEA811"/>
        <bgColor indexed="64"/>
      </patternFill>
    </fill>
    <fill>
      <patternFill patternType="solid">
        <fgColor rgb="FFE93E3E"/>
        <bgColor indexed="64"/>
      </patternFill>
    </fill>
    <fill>
      <patternFill patternType="solid">
        <fgColor rgb="FFBB0FEC"/>
        <bgColor indexed="64"/>
      </patternFill>
    </fill>
    <fill>
      <patternFill patternType="solid">
        <fgColor rgb="FF8A25FC"/>
        <bgColor indexed="64"/>
      </patternFill>
    </fill>
    <fill>
      <patternFill patternType="solid">
        <fgColor rgb="FF188EFD"/>
        <bgColor indexed="64"/>
      </patternFill>
    </fill>
    <fill>
      <patternFill patternType="solid">
        <fgColor rgb="FF03C7C0"/>
        <bgColor indexed="64"/>
      </patternFill>
    </fill>
    <fill>
      <patternFill patternType="solid">
        <fgColor rgb="FFB7E4FC"/>
        <bgColor indexed="64"/>
      </patternFill>
    </fill>
    <fill>
      <patternFill patternType="solid">
        <fgColor rgb="FF6400FF"/>
        <bgColor indexed="64"/>
      </patternFill>
    </fill>
    <fill>
      <patternFill patternType="solid">
        <fgColor rgb="FF4F8AC3"/>
        <bgColor indexed="64"/>
      </patternFill>
    </fill>
    <fill>
      <patternFill patternType="solid">
        <fgColor rgb="FF7F9A7A"/>
        <bgColor indexed="64"/>
      </patternFill>
    </fill>
    <fill>
      <patternFill patternType="solid">
        <fgColor rgb="FF6B5A95"/>
        <bgColor indexed="64"/>
      </patternFill>
    </fill>
    <fill>
      <patternFill patternType="solid">
        <fgColor rgb="FFA7627F"/>
        <bgColor indexed="64"/>
      </patternFill>
    </fill>
    <fill>
      <patternFill patternType="solid">
        <fgColor rgb="FFD07057"/>
        <bgColor indexed="64"/>
      </patternFill>
    </fill>
    <fill>
      <patternFill patternType="solid">
        <fgColor rgb="FFD9AE5F"/>
        <bgColor indexed="64"/>
      </patternFill>
    </fill>
    <fill>
      <patternFill patternType="solid">
        <fgColor rgb="FF329A9E"/>
        <bgColor indexed="64"/>
      </patternFill>
    </fill>
    <fill>
      <patternFill patternType="solid">
        <fgColor rgb="FFDFC8FF"/>
        <bgColor indexed="64"/>
      </patternFill>
    </fill>
    <fill>
      <patternFill patternType="solid">
        <fgColor rgb="FFFF8C59"/>
        <bgColor indexed="64"/>
      </patternFill>
    </fill>
    <fill>
      <patternFill patternType="solid">
        <fgColor rgb="FFFF5900"/>
        <bgColor indexed="64"/>
      </patternFill>
    </fill>
    <fill>
      <patternFill patternType="solid">
        <fgColor rgb="FFFF281E"/>
        <bgColor indexed="64"/>
      </patternFill>
    </fill>
    <fill>
      <patternFill patternType="solid">
        <fgColor rgb="FFFF000A"/>
        <bgColor indexed="64"/>
      </patternFill>
    </fill>
    <fill>
      <patternFill patternType="solid">
        <fgColor rgb="FFAE00FF"/>
        <bgColor indexed="64"/>
      </patternFill>
    </fill>
    <fill>
      <patternFill patternType="solid">
        <fgColor rgb="FF4B52FF"/>
        <bgColor indexed="64"/>
      </patternFill>
    </fill>
    <fill>
      <patternFill patternType="solid">
        <fgColor rgb="FF00E3CF"/>
        <bgColor indexed="64"/>
      </patternFill>
    </fill>
    <fill>
      <patternFill patternType="solid">
        <fgColor rgb="FFA7FF3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0004"/>
        <bgColor indexed="64"/>
      </patternFill>
    </fill>
    <fill>
      <patternFill patternType="solid">
        <fgColor rgb="FFC8DBFF"/>
        <bgColor indexed="64"/>
      </patternFill>
    </fill>
    <fill>
      <patternFill patternType="solid">
        <fgColor rgb="FF4601B9"/>
        <bgColor indexed="64"/>
      </patternFill>
    </fill>
    <fill>
      <patternFill patternType="solid">
        <fgColor rgb="FF5000AF"/>
        <bgColor indexed="64"/>
      </patternFill>
    </fill>
    <fill>
      <patternFill patternType="solid">
        <fgColor rgb="FF5A00A5"/>
        <bgColor indexed="64"/>
      </patternFill>
    </fill>
    <fill>
      <patternFill patternType="solid">
        <fgColor rgb="FF65009B"/>
        <bgColor indexed="64"/>
      </patternFill>
    </fill>
    <fill>
      <patternFill patternType="solid">
        <fgColor rgb="FF6F0091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83007D"/>
        <bgColor indexed="64"/>
      </patternFill>
    </fill>
    <fill>
      <patternFill patternType="solid">
        <fgColor rgb="FF910073"/>
        <bgColor indexed="64"/>
      </patternFill>
    </fill>
    <fill>
      <patternFill patternType="solid">
        <fgColor rgb="FFA50064"/>
        <bgColor indexed="64"/>
      </patternFill>
    </fill>
    <fill>
      <patternFill patternType="solid">
        <fgColor rgb="FFC3005A"/>
        <bgColor indexed="64"/>
      </patternFill>
    </fill>
    <fill>
      <patternFill patternType="solid">
        <fgColor rgb="FFDC0046"/>
        <bgColor indexed="64"/>
      </patternFill>
    </fill>
    <fill>
      <patternFill patternType="solid">
        <fgColor rgb="FFE60032"/>
        <bgColor indexed="64"/>
      </patternFill>
    </fill>
    <fill>
      <patternFill patternType="solid">
        <fgColor rgb="FFF0001E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FF0005"/>
        <bgColor indexed="64"/>
      </patternFill>
    </fill>
    <fill>
      <patternFill patternType="solid">
        <fgColor rgb="FFFF0A00"/>
        <bgColor indexed="64"/>
      </patternFill>
    </fill>
    <fill>
      <patternFill patternType="solid">
        <fgColor rgb="FFFF1400"/>
        <bgColor indexed="64"/>
      </patternFill>
    </fill>
    <fill>
      <patternFill patternType="solid">
        <fgColor rgb="FFFF1E00"/>
        <bgColor indexed="64"/>
      </patternFill>
    </fill>
    <fill>
      <patternFill patternType="solid">
        <fgColor rgb="FFFF28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50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A6E00"/>
        <bgColor indexed="64"/>
      </patternFill>
    </fill>
    <fill>
      <patternFill patternType="solid">
        <fgColor rgb="FFF07800"/>
        <bgColor indexed="64"/>
      </patternFill>
    </fill>
    <fill>
      <patternFill patternType="solid">
        <fgColor rgb="FFE68200"/>
        <bgColor indexed="64"/>
      </patternFill>
    </fill>
    <fill>
      <patternFill patternType="solid">
        <fgColor rgb="FFD78C00"/>
        <bgColor indexed="64"/>
      </patternFill>
    </fill>
    <fill>
      <patternFill patternType="solid">
        <fgColor rgb="FFD29600"/>
        <bgColor indexed="64"/>
      </patternFill>
    </fill>
    <fill>
      <patternFill patternType="solid">
        <fgColor rgb="FFCDA000"/>
        <bgColor indexed="64"/>
      </patternFill>
    </fill>
    <fill>
      <patternFill patternType="solid">
        <fgColor rgb="FFC8B900"/>
        <bgColor indexed="64"/>
      </patternFill>
    </fill>
    <fill>
      <patternFill patternType="solid">
        <fgColor rgb="FFC3C800"/>
        <bgColor indexed="64"/>
      </patternFill>
    </fill>
    <fill>
      <patternFill patternType="solid">
        <fgColor rgb="FFB9DC00"/>
        <bgColor indexed="64"/>
      </patternFill>
    </fill>
    <fill>
      <patternFill patternType="solid">
        <fgColor rgb="FFAFEB00"/>
        <bgColor indexed="64"/>
      </patternFill>
    </fill>
    <fill>
      <patternFill patternType="solid">
        <fgColor rgb="FFA5F50A"/>
        <bgColor indexed="64"/>
      </patternFill>
    </fill>
    <fill>
      <patternFill patternType="solid">
        <fgColor rgb="FF9BFA14"/>
        <bgColor indexed="64"/>
      </patternFill>
    </fill>
    <fill>
      <patternFill patternType="solid">
        <fgColor rgb="FF91FF28"/>
        <bgColor indexed="64"/>
      </patternFill>
    </fill>
    <fill>
      <patternFill patternType="solid">
        <fgColor rgb="FF87FF3C"/>
        <bgColor indexed="64"/>
      </patternFill>
    </fill>
    <fill>
      <patternFill patternType="solid">
        <fgColor rgb="FF7DFA50"/>
        <bgColor indexed="64"/>
      </patternFill>
    </fill>
    <fill>
      <patternFill patternType="solid">
        <fgColor rgb="FF73F564"/>
        <bgColor indexed="64"/>
      </patternFill>
    </fill>
    <fill>
      <patternFill patternType="solid">
        <fgColor rgb="FF69F078"/>
        <bgColor indexed="64"/>
      </patternFill>
    </fill>
    <fill>
      <patternFill patternType="solid">
        <fgColor rgb="FF5FEB8C"/>
        <bgColor indexed="64"/>
      </patternFill>
    </fill>
    <fill>
      <patternFill patternType="solid">
        <fgColor rgb="FF55E6A0"/>
        <bgColor indexed="64"/>
      </patternFill>
    </fill>
    <fill>
      <patternFill patternType="solid">
        <fgColor rgb="FF41E1B4"/>
        <bgColor indexed="64"/>
      </patternFill>
    </fill>
    <fill>
      <patternFill patternType="solid">
        <fgColor rgb="FF2DDCC8"/>
        <bgColor indexed="64"/>
      </patternFill>
    </fill>
    <fill>
      <patternFill patternType="solid">
        <fgColor rgb="FF1FD2D2"/>
        <bgColor indexed="64"/>
      </patternFill>
    </fill>
    <fill>
      <patternFill patternType="solid">
        <fgColor rgb="FF0FC8DC"/>
        <bgColor indexed="64"/>
      </patternFill>
    </fill>
    <fill>
      <patternFill patternType="solid">
        <fgColor rgb="FF05BEE6"/>
        <bgColor indexed="64"/>
      </patternFill>
    </fill>
    <fill>
      <patternFill patternType="solid">
        <fgColor rgb="FF00B4F0"/>
        <bgColor indexed="64"/>
      </patternFill>
    </fill>
    <fill>
      <patternFill patternType="solid">
        <fgColor rgb="FF00A5FA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EFF"/>
        <bgColor indexed="64"/>
      </patternFill>
    </fill>
    <fill>
      <patternFill patternType="solid">
        <fgColor rgb="FF005AFF"/>
        <bgColor indexed="64"/>
      </patternFill>
    </fill>
    <fill>
      <patternFill patternType="solid">
        <fgColor rgb="FF0046FF"/>
        <bgColor indexed="64"/>
      </patternFill>
    </fill>
    <fill>
      <patternFill patternType="solid">
        <fgColor rgb="FF0B32FA"/>
        <bgColor indexed="64"/>
      </patternFill>
    </fill>
    <fill>
      <patternFill patternType="solid">
        <fgColor rgb="FF1928F0"/>
        <bgColor indexed="64"/>
      </patternFill>
    </fill>
    <fill>
      <patternFill patternType="solid">
        <fgColor rgb="FF231EEB"/>
        <bgColor indexed="64"/>
      </patternFill>
    </fill>
    <fill>
      <patternFill patternType="solid">
        <fgColor rgb="FF2D14E1"/>
        <bgColor indexed="64"/>
      </patternFill>
    </fill>
    <fill>
      <patternFill patternType="solid">
        <fgColor rgb="FF330AD7"/>
        <bgColor indexed="64"/>
      </patternFill>
    </fill>
    <fill>
      <patternFill patternType="solid">
        <fgColor rgb="FF3705CD"/>
        <bgColor indexed="64"/>
      </patternFill>
    </fill>
    <fill>
      <patternFill patternType="solid">
        <fgColor rgb="FF3C03C3"/>
        <bgColor indexed="64"/>
      </patternFill>
    </fill>
    <fill>
      <patternFill patternType="solid">
        <fgColor rgb="FF4102BE"/>
        <bgColor indexed="64"/>
      </patternFill>
    </fill>
    <fill>
      <patternFill patternType="solid">
        <fgColor rgb="FF503CB4"/>
        <bgColor indexed="64"/>
      </patternFill>
    </fill>
    <fill>
      <patternFill patternType="solid">
        <fgColor rgb="FF7ED71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AABED"/>
        <bgColor indexed="64"/>
      </patternFill>
    </fill>
    <fill>
      <patternFill patternType="solid">
        <fgColor rgb="FF4AFFCA"/>
        <bgColor indexed="64"/>
      </patternFill>
    </fill>
    <fill>
      <patternFill patternType="solid">
        <fgColor rgb="FFF94C3B"/>
        <bgColor indexed="64"/>
      </patternFill>
    </fill>
    <fill>
      <patternFill patternType="solid">
        <fgColor rgb="FF7350C3"/>
        <bgColor indexed="64"/>
      </patternFill>
    </fill>
    <fill>
      <patternFill patternType="solid">
        <fgColor rgb="FFAACAE6"/>
        <bgColor indexed="64"/>
      </patternFill>
    </fill>
    <fill>
      <patternFill patternType="solid">
        <fgColor rgb="FFB4E1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33">
    <xf numFmtId="0" fontId="0" fillId="0" borderId="0" xfId="0">
      <alignment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76" fontId="8" fillId="0" borderId="8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76" fontId="8" fillId="0" borderId="27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76" fontId="8" fillId="0" borderId="28" xfId="0" applyNumberFormat="1" applyFont="1" applyBorder="1" applyAlignment="1">
      <alignment horizontal="center" vertical="center" wrapText="1"/>
    </xf>
    <xf numFmtId="176" fontId="8" fillId="0" borderId="10" xfId="0" applyNumberFormat="1" applyFont="1" applyBorder="1" applyAlignment="1">
      <alignment horizontal="center" vertical="center" wrapText="1"/>
    </xf>
    <xf numFmtId="0" fontId="2" fillId="0" borderId="0" xfId="1">
      <alignment vertical="center"/>
    </xf>
    <xf numFmtId="176" fontId="2" fillId="0" borderId="0" xfId="1" applyNumberFormat="1">
      <alignment vertical="center"/>
    </xf>
    <xf numFmtId="0" fontId="12" fillId="0" borderId="0" xfId="1" applyFont="1">
      <alignment vertical="center"/>
    </xf>
    <xf numFmtId="176" fontId="12" fillId="0" borderId="0" xfId="1" applyNumberFormat="1" applyFont="1">
      <alignment vertical="center"/>
    </xf>
    <xf numFmtId="0" fontId="12" fillId="0" borderId="0" xfId="1" applyFont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176" fontId="12" fillId="2" borderId="3" xfId="1" applyNumberFormat="1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0" fontId="2" fillId="0" borderId="0" xfId="1" quotePrefix="1">
      <alignment vertical="center"/>
    </xf>
    <xf numFmtId="177" fontId="10" fillId="4" borderId="3" xfId="1" applyNumberFormat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177" fontId="10" fillId="4" borderId="15" xfId="1" applyNumberFormat="1" applyFont="1" applyFill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6" fillId="0" borderId="0" xfId="1" applyFont="1">
      <alignment vertical="center"/>
    </xf>
    <xf numFmtId="0" fontId="17" fillId="7" borderId="18" xfId="1" applyFont="1" applyFill="1" applyBorder="1" applyAlignment="1">
      <alignment horizontal="center" vertical="center"/>
    </xf>
    <xf numFmtId="0" fontId="16" fillId="7" borderId="18" xfId="1" applyFont="1" applyFill="1" applyBorder="1" applyAlignment="1">
      <alignment horizontal="center" vertical="center"/>
    </xf>
    <xf numFmtId="0" fontId="17" fillId="7" borderId="18" xfId="1" applyFont="1" applyFill="1" applyBorder="1" applyAlignment="1">
      <alignment horizontal="center" vertical="center" shrinkToFit="1"/>
    </xf>
    <xf numFmtId="0" fontId="18" fillId="0" borderId="3" xfId="1" applyFont="1" applyBorder="1" applyAlignment="1">
      <alignment horizontal="center" vertical="center"/>
    </xf>
    <xf numFmtId="0" fontId="16" fillId="2" borderId="23" xfId="1" applyFont="1" applyFill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7" fillId="7" borderId="19" xfId="1" applyFont="1" applyFill="1" applyBorder="1" applyAlignment="1">
      <alignment horizontal="center" vertical="center" shrinkToFit="1"/>
    </xf>
    <xf numFmtId="0" fontId="18" fillId="0" borderId="18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8" fillId="0" borderId="8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9" fillId="0" borderId="0" xfId="0" applyFont="1">
      <alignment vertical="center"/>
    </xf>
    <xf numFmtId="17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6" fontId="9" fillId="2" borderId="5" xfId="0" applyNumberFormat="1" applyFont="1" applyFill="1" applyBorder="1" applyAlignment="1">
      <alignment horizontal="center" vertical="center"/>
    </xf>
    <xf numFmtId="176" fontId="9" fillId="2" borderId="6" xfId="0" applyNumberFormat="1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quotePrefix="1">
      <alignment vertical="center"/>
    </xf>
    <xf numFmtId="0" fontId="10" fillId="0" borderId="10" xfId="1" applyFont="1" applyBorder="1" applyAlignment="1">
      <alignment horizontal="center" vertical="center" wrapText="1"/>
    </xf>
    <xf numFmtId="0" fontId="14" fillId="0" borderId="32" xfId="1" applyFont="1" applyBorder="1" applyAlignment="1">
      <alignment horizontal="center" vertical="center" wrapText="1"/>
    </xf>
    <xf numFmtId="176" fontId="12" fillId="2" borderId="27" xfId="1" applyNumberFormat="1" applyFont="1" applyFill="1" applyBorder="1" applyAlignment="1">
      <alignment horizontal="center" vertical="center"/>
    </xf>
    <xf numFmtId="177" fontId="10" fillId="4" borderId="27" xfId="1" applyNumberFormat="1" applyFont="1" applyFill="1" applyBorder="1" applyAlignment="1">
      <alignment horizontal="center" vertical="center"/>
    </xf>
    <xf numFmtId="177" fontId="10" fillId="4" borderId="26" xfId="1" applyNumberFormat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0" fillId="0" borderId="58" xfId="1" applyFont="1" applyBorder="1" applyAlignment="1">
      <alignment horizontal="center" vertical="center" wrapText="1"/>
    </xf>
    <xf numFmtId="177" fontId="10" fillId="4" borderId="29" xfId="1" applyNumberFormat="1" applyFont="1" applyFill="1" applyBorder="1" applyAlignment="1">
      <alignment horizontal="center" vertical="center"/>
    </xf>
    <xf numFmtId="177" fontId="10" fillId="4" borderId="18" xfId="1" applyNumberFormat="1" applyFont="1" applyFill="1" applyBorder="1" applyAlignment="1">
      <alignment horizontal="center" vertical="center"/>
    </xf>
    <xf numFmtId="0" fontId="15" fillId="0" borderId="18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176" fontId="8" fillId="0" borderId="26" xfId="0" applyNumberFormat="1" applyFont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 wrapText="1"/>
    </xf>
    <xf numFmtId="0" fontId="0" fillId="26" borderId="0" xfId="0" applyFill="1">
      <alignment vertical="center"/>
    </xf>
    <xf numFmtId="0" fontId="0" fillId="27" borderId="0" xfId="0" applyFill="1">
      <alignment vertical="center"/>
    </xf>
    <xf numFmtId="0" fontId="0" fillId="28" borderId="0" xfId="0" applyFill="1">
      <alignment vertical="center"/>
    </xf>
    <xf numFmtId="0" fontId="0" fillId="29" borderId="0" xfId="0" applyFill="1">
      <alignment vertical="center"/>
    </xf>
    <xf numFmtId="0" fontId="0" fillId="30" borderId="0" xfId="0" applyFill="1">
      <alignment vertical="center"/>
    </xf>
    <xf numFmtId="0" fontId="0" fillId="31" borderId="0" xfId="0" applyFill="1">
      <alignment vertical="center"/>
    </xf>
    <xf numFmtId="0" fontId="0" fillId="32" borderId="0" xfId="0" applyFill="1">
      <alignment vertical="center"/>
    </xf>
    <xf numFmtId="176" fontId="8" fillId="0" borderId="61" xfId="0" applyNumberFormat="1" applyFont="1" applyBorder="1" applyAlignment="1">
      <alignment horizontal="center" vertical="center"/>
    </xf>
    <xf numFmtId="176" fontId="8" fillId="0" borderId="12" xfId="0" applyNumberFormat="1" applyFont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0" fillId="42" borderId="0" xfId="0" applyFill="1">
      <alignment vertical="center"/>
    </xf>
    <xf numFmtId="0" fontId="0" fillId="43" borderId="0" xfId="0" applyFill="1">
      <alignment vertical="center"/>
    </xf>
    <xf numFmtId="0" fontId="0" fillId="44" borderId="0" xfId="0" applyFill="1">
      <alignment vertical="center"/>
    </xf>
    <xf numFmtId="0" fontId="16" fillId="7" borderId="0" xfId="1" applyFont="1" applyFill="1" applyAlignment="1">
      <alignment horizontal="center" vertical="center"/>
    </xf>
    <xf numFmtId="0" fontId="17" fillId="7" borderId="0" xfId="1" applyFont="1" applyFill="1" applyAlignment="1">
      <alignment horizontal="center" vertical="center"/>
    </xf>
    <xf numFmtId="0" fontId="17" fillId="7" borderId="0" xfId="1" applyFont="1" applyFill="1" applyAlignment="1">
      <alignment horizontal="center" vertical="center" shrinkToFit="1"/>
    </xf>
    <xf numFmtId="0" fontId="19" fillId="0" borderId="0" xfId="1" applyFont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18" fillId="5" borderId="0" xfId="1" applyFont="1" applyFill="1" applyAlignment="1">
      <alignment horizontal="center" vertical="center"/>
    </xf>
    <xf numFmtId="0" fontId="18" fillId="0" borderId="51" xfId="1" applyFont="1" applyBorder="1" applyAlignment="1">
      <alignment horizontal="center" vertical="center"/>
    </xf>
    <xf numFmtId="0" fontId="16" fillId="45" borderId="51" xfId="1" applyFont="1" applyFill="1" applyBorder="1">
      <alignment vertical="center"/>
    </xf>
    <xf numFmtId="0" fontId="16" fillId="46" borderId="0" xfId="1" applyFont="1" applyFill="1">
      <alignment vertical="center"/>
    </xf>
    <xf numFmtId="0" fontId="16" fillId="47" borderId="0" xfId="1" applyFont="1" applyFill="1">
      <alignment vertical="center"/>
    </xf>
    <xf numFmtId="0" fontId="16" fillId="48" borderId="0" xfId="1" applyFont="1" applyFill="1">
      <alignment vertical="center"/>
    </xf>
    <xf numFmtId="0" fontId="16" fillId="49" borderId="0" xfId="1" applyFont="1" applyFill="1">
      <alignment vertical="center"/>
    </xf>
    <xf numFmtId="0" fontId="16" fillId="50" borderId="0" xfId="1" applyFont="1" applyFill="1">
      <alignment vertical="center"/>
    </xf>
    <xf numFmtId="0" fontId="16" fillId="51" borderId="0" xfId="1" applyFont="1" applyFill="1">
      <alignment vertical="center"/>
    </xf>
    <xf numFmtId="0" fontId="16" fillId="52" borderId="0" xfId="1" applyFont="1" applyFill="1">
      <alignment vertical="center"/>
    </xf>
    <xf numFmtId="0" fontId="16" fillId="53" borderId="0" xfId="1" applyFont="1" applyFill="1">
      <alignment vertical="center"/>
    </xf>
    <xf numFmtId="0" fontId="16" fillId="54" borderId="0" xfId="1" applyFont="1" applyFill="1">
      <alignment vertical="center"/>
    </xf>
    <xf numFmtId="0" fontId="16" fillId="55" borderId="0" xfId="1" applyFont="1" applyFill="1">
      <alignment vertical="center"/>
    </xf>
    <xf numFmtId="0" fontId="16" fillId="56" borderId="0" xfId="1" applyFont="1" applyFill="1">
      <alignment vertical="center"/>
    </xf>
    <xf numFmtId="0" fontId="16" fillId="57" borderId="0" xfId="1" applyFont="1" applyFill="1">
      <alignment vertical="center"/>
    </xf>
    <xf numFmtId="0" fontId="16" fillId="58" borderId="0" xfId="1" applyFont="1" applyFill="1">
      <alignment vertical="center"/>
    </xf>
    <xf numFmtId="0" fontId="16" fillId="59" borderId="0" xfId="1" applyFont="1" applyFill="1">
      <alignment vertical="center"/>
    </xf>
    <xf numFmtId="0" fontId="16" fillId="60" borderId="0" xfId="1" applyFont="1" applyFill="1">
      <alignment vertical="center"/>
    </xf>
    <xf numFmtId="0" fontId="16" fillId="61" borderId="0" xfId="1" applyFont="1" applyFill="1">
      <alignment vertical="center"/>
    </xf>
    <xf numFmtId="0" fontId="16" fillId="62" borderId="0" xfId="1" applyFont="1" applyFill="1">
      <alignment vertical="center"/>
    </xf>
    <xf numFmtId="0" fontId="16" fillId="63" borderId="0" xfId="1" applyFont="1" applyFill="1">
      <alignment vertical="center"/>
    </xf>
    <xf numFmtId="0" fontId="16" fillId="64" borderId="0" xfId="1" applyFont="1" applyFill="1">
      <alignment vertical="center"/>
    </xf>
    <xf numFmtId="0" fontId="16" fillId="65" borderId="0" xfId="1" applyFont="1" applyFill="1">
      <alignment vertical="center"/>
    </xf>
    <xf numFmtId="0" fontId="16" fillId="66" borderId="0" xfId="1" applyFont="1" applyFill="1">
      <alignment vertical="center"/>
    </xf>
    <xf numFmtId="0" fontId="16" fillId="67" borderId="0" xfId="1" applyFont="1" applyFill="1">
      <alignment vertical="center"/>
    </xf>
    <xf numFmtId="0" fontId="16" fillId="12" borderId="0" xfId="1" applyFont="1" applyFill="1">
      <alignment vertical="center"/>
    </xf>
    <xf numFmtId="0" fontId="16" fillId="68" borderId="0" xfId="1" applyFont="1" applyFill="1">
      <alignment vertical="center"/>
    </xf>
    <xf numFmtId="0" fontId="23" fillId="69" borderId="0" xfId="1" applyFont="1" applyFill="1">
      <alignment vertical="center"/>
    </xf>
    <xf numFmtId="0" fontId="16" fillId="70" borderId="0" xfId="1" applyFont="1" applyFill="1">
      <alignment vertical="center"/>
    </xf>
    <xf numFmtId="0" fontId="16" fillId="71" borderId="0" xfId="1" applyFont="1" applyFill="1">
      <alignment vertical="center"/>
    </xf>
    <xf numFmtId="0" fontId="16" fillId="72" borderId="0" xfId="1" applyFont="1" applyFill="1">
      <alignment vertical="center"/>
    </xf>
    <xf numFmtId="0" fontId="16" fillId="73" borderId="0" xfId="1" applyFont="1" applyFill="1">
      <alignment vertical="center"/>
    </xf>
    <xf numFmtId="0" fontId="16" fillId="74" borderId="0" xfId="1" applyFont="1" applyFill="1">
      <alignment vertical="center"/>
    </xf>
    <xf numFmtId="0" fontId="16" fillId="75" borderId="0" xfId="1" applyFont="1" applyFill="1">
      <alignment vertical="center"/>
    </xf>
    <xf numFmtId="0" fontId="16" fillId="76" borderId="0" xfId="1" applyFont="1" applyFill="1">
      <alignment vertical="center"/>
    </xf>
    <xf numFmtId="0" fontId="16" fillId="77" borderId="0" xfId="1" applyFont="1" applyFill="1">
      <alignment vertical="center"/>
    </xf>
    <xf numFmtId="0" fontId="16" fillId="78" borderId="0" xfId="1" applyFont="1" applyFill="1">
      <alignment vertical="center"/>
    </xf>
    <xf numFmtId="0" fontId="16" fillId="79" borderId="0" xfId="1" applyFont="1" applyFill="1">
      <alignment vertical="center"/>
    </xf>
    <xf numFmtId="0" fontId="16" fillId="80" borderId="0" xfId="1" applyFont="1" applyFill="1">
      <alignment vertical="center"/>
    </xf>
    <xf numFmtId="0" fontId="16" fillId="81" borderId="0" xfId="1" applyFont="1" applyFill="1">
      <alignment vertical="center"/>
    </xf>
    <xf numFmtId="0" fontId="16" fillId="82" borderId="0" xfId="1" applyFont="1" applyFill="1">
      <alignment vertical="center"/>
    </xf>
    <xf numFmtId="0" fontId="16" fillId="83" borderId="0" xfId="1" applyFont="1" applyFill="1">
      <alignment vertical="center"/>
    </xf>
    <xf numFmtId="0" fontId="16" fillId="84" borderId="0" xfId="1" applyFont="1" applyFill="1">
      <alignment vertical="center"/>
    </xf>
    <xf numFmtId="0" fontId="16" fillId="85" borderId="0" xfId="1" applyFont="1" applyFill="1">
      <alignment vertical="center"/>
    </xf>
    <xf numFmtId="0" fontId="16" fillId="86" borderId="0" xfId="1" applyFont="1" applyFill="1">
      <alignment vertical="center"/>
    </xf>
    <xf numFmtId="0" fontId="16" fillId="87" borderId="0" xfId="1" applyFont="1" applyFill="1">
      <alignment vertical="center"/>
    </xf>
    <xf numFmtId="0" fontId="16" fillId="88" borderId="0" xfId="1" applyFont="1" applyFill="1">
      <alignment vertical="center"/>
    </xf>
    <xf numFmtId="0" fontId="16" fillId="89" borderId="0" xfId="1" applyFont="1" applyFill="1">
      <alignment vertical="center"/>
    </xf>
    <xf numFmtId="0" fontId="16" fillId="90" borderId="0" xfId="1" applyFont="1" applyFill="1">
      <alignment vertical="center"/>
    </xf>
    <xf numFmtId="0" fontId="16" fillId="91" borderId="0" xfId="1" applyFont="1" applyFill="1">
      <alignment vertical="center"/>
    </xf>
    <xf numFmtId="0" fontId="16" fillId="92" borderId="0" xfId="1" applyFont="1" applyFill="1">
      <alignment vertical="center"/>
    </xf>
    <xf numFmtId="0" fontId="16" fillId="93" borderId="0" xfId="1" applyFont="1" applyFill="1">
      <alignment vertical="center"/>
    </xf>
    <xf numFmtId="0" fontId="16" fillId="94" borderId="0" xfId="1" applyFont="1" applyFill="1">
      <alignment vertical="center"/>
    </xf>
    <xf numFmtId="0" fontId="22" fillId="95" borderId="0" xfId="1" applyFont="1" applyFill="1">
      <alignment vertical="center"/>
    </xf>
    <xf numFmtId="0" fontId="22" fillId="96" borderId="0" xfId="1" applyFont="1" applyFill="1">
      <alignment vertical="center"/>
    </xf>
    <xf numFmtId="0" fontId="16" fillId="97" borderId="0" xfId="1" applyFont="1" applyFill="1">
      <alignment vertical="center"/>
    </xf>
    <xf numFmtId="0" fontId="16" fillId="98" borderId="0" xfId="1" applyFont="1" applyFill="1">
      <alignment vertical="center"/>
    </xf>
    <xf numFmtId="0" fontId="22" fillId="99" borderId="0" xfId="1" applyFont="1" applyFill="1">
      <alignment vertical="center"/>
    </xf>
    <xf numFmtId="0" fontId="16" fillId="100" borderId="0" xfId="1" applyFont="1" applyFill="1">
      <alignment vertical="center"/>
    </xf>
    <xf numFmtId="0" fontId="16" fillId="101" borderId="0" xfId="1" applyFont="1" applyFill="1">
      <alignment vertical="center"/>
    </xf>
    <xf numFmtId="0" fontId="16" fillId="102" borderId="0" xfId="1" applyFont="1" applyFill="1">
      <alignment vertical="center"/>
    </xf>
    <xf numFmtId="0" fontId="16" fillId="103" borderId="0" xfId="1" applyFont="1" applyFill="1">
      <alignment vertical="center"/>
    </xf>
    <xf numFmtId="0" fontId="16" fillId="104" borderId="0" xfId="1" applyFont="1" applyFill="1">
      <alignment vertical="center"/>
    </xf>
    <xf numFmtId="0" fontId="16" fillId="105" borderId="0" xfId="1" applyFont="1" applyFill="1">
      <alignment vertical="center"/>
    </xf>
    <xf numFmtId="0" fontId="16" fillId="106" borderId="0" xfId="1" applyFont="1" applyFill="1">
      <alignment vertical="center"/>
    </xf>
    <xf numFmtId="0" fontId="16" fillId="2" borderId="24" xfId="1" applyFont="1" applyFill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31" xfId="1" applyFont="1" applyBorder="1" applyAlignment="1">
      <alignment horizontal="center" vertical="center"/>
    </xf>
    <xf numFmtId="0" fontId="16" fillId="107" borderId="31" xfId="1" applyFont="1" applyFill="1" applyBorder="1">
      <alignment vertical="center"/>
    </xf>
    <xf numFmtId="0" fontId="8" fillId="0" borderId="9" xfId="0" applyFont="1" applyBorder="1" applyAlignment="1">
      <alignment horizontal="center" vertical="center" wrapText="1"/>
    </xf>
    <xf numFmtId="176" fontId="8" fillId="0" borderId="66" xfId="0" applyNumberFormat="1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76" fontId="8" fillId="0" borderId="29" xfId="0" applyNumberFormat="1" applyFont="1" applyBorder="1" applyAlignment="1">
      <alignment horizontal="center" vertical="center"/>
    </xf>
    <xf numFmtId="176" fontId="8" fillId="0" borderId="18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0" fontId="8" fillId="9" borderId="53" xfId="0" applyFont="1" applyFill="1" applyBorder="1" applyAlignment="1">
      <alignment horizontal="center" vertical="center" wrapText="1"/>
    </xf>
    <xf numFmtId="0" fontId="8" fillId="10" borderId="23" xfId="0" applyFont="1" applyFill="1" applyBorder="1" applyAlignment="1">
      <alignment horizontal="center" vertical="center" wrapText="1"/>
    </xf>
    <xf numFmtId="0" fontId="8" fillId="9" borderId="23" xfId="0" applyFont="1" applyFill="1" applyBorder="1" applyAlignment="1">
      <alignment horizontal="center" vertical="center" wrapText="1"/>
    </xf>
    <xf numFmtId="0" fontId="8" fillId="11" borderId="23" xfId="0" applyFont="1" applyFill="1" applyBorder="1" applyAlignment="1">
      <alignment horizontal="center" vertical="center" wrapText="1"/>
    </xf>
    <xf numFmtId="0" fontId="8" fillId="12" borderId="23" xfId="0" applyFont="1" applyFill="1" applyBorder="1" applyAlignment="1">
      <alignment horizontal="center" vertical="center" wrapText="1"/>
    </xf>
    <xf numFmtId="0" fontId="8" fillId="13" borderId="23" xfId="0" applyFont="1" applyFill="1" applyBorder="1" applyAlignment="1">
      <alignment horizontal="center" vertical="center" wrapText="1"/>
    </xf>
    <xf numFmtId="0" fontId="8" fillId="108" borderId="57" xfId="0" applyFont="1" applyFill="1" applyBorder="1" applyAlignment="1">
      <alignment horizontal="center" vertical="center" wrapText="1"/>
    </xf>
    <xf numFmtId="0" fontId="8" fillId="14" borderId="57" xfId="0" applyFont="1" applyFill="1" applyBorder="1" applyAlignment="1">
      <alignment horizontal="center" vertical="center" wrapText="1"/>
    </xf>
    <xf numFmtId="0" fontId="8" fillId="8" borderId="57" xfId="0" applyFont="1" applyFill="1" applyBorder="1" applyAlignment="1">
      <alignment horizontal="center" vertical="center" wrapText="1"/>
    </xf>
    <xf numFmtId="0" fontId="8" fillId="15" borderId="57" xfId="0" applyFont="1" applyFill="1" applyBorder="1" applyAlignment="1">
      <alignment horizontal="center" vertical="center" wrapText="1"/>
    </xf>
    <xf numFmtId="0" fontId="8" fillId="9" borderId="24" xfId="0" applyFont="1" applyFill="1" applyBorder="1" applyAlignment="1">
      <alignment horizontal="center" vertical="center" wrapText="1"/>
    </xf>
    <xf numFmtId="177" fontId="10" fillId="0" borderId="27" xfId="1" applyNumberFormat="1" applyFont="1" applyBorder="1" applyAlignment="1">
      <alignment horizontal="center" vertical="center"/>
    </xf>
    <xf numFmtId="177" fontId="10" fillId="0" borderId="3" xfId="1" applyNumberFormat="1" applyFont="1" applyBorder="1" applyAlignment="1">
      <alignment horizontal="center" vertical="center"/>
    </xf>
    <xf numFmtId="0" fontId="14" fillId="33" borderId="16" xfId="1" applyFont="1" applyFill="1" applyBorder="1" applyAlignment="1">
      <alignment horizontal="center" vertical="center"/>
    </xf>
    <xf numFmtId="0" fontId="14" fillId="34" borderId="4" xfId="1" applyFont="1" applyFill="1" applyBorder="1" applyAlignment="1">
      <alignment horizontal="center" vertical="center"/>
    </xf>
    <xf numFmtId="0" fontId="14" fillId="35" borderId="4" xfId="1" applyFont="1" applyFill="1" applyBorder="1" applyAlignment="1">
      <alignment horizontal="center" vertical="center"/>
    </xf>
    <xf numFmtId="0" fontId="14" fillId="36" borderId="4" xfId="1" applyFont="1" applyFill="1" applyBorder="1" applyAlignment="1">
      <alignment horizontal="center" vertical="center"/>
    </xf>
    <xf numFmtId="0" fontId="14" fillId="37" borderId="4" xfId="1" applyFont="1" applyFill="1" applyBorder="1" applyAlignment="1">
      <alignment horizontal="center" vertical="center"/>
    </xf>
    <xf numFmtId="0" fontId="14" fillId="38" borderId="4" xfId="1" applyFont="1" applyFill="1" applyBorder="1" applyAlignment="1">
      <alignment horizontal="center" vertical="center"/>
    </xf>
    <xf numFmtId="0" fontId="14" fillId="25" borderId="4" xfId="1" applyFont="1" applyFill="1" applyBorder="1" applyAlignment="1">
      <alignment horizontal="center" vertical="center"/>
    </xf>
    <xf numFmtId="0" fontId="14" fillId="39" borderId="4" xfId="1" applyFont="1" applyFill="1" applyBorder="1" applyAlignment="1">
      <alignment horizontal="center" vertical="center"/>
    </xf>
    <xf numFmtId="0" fontId="14" fillId="40" borderId="4" xfId="1" applyFont="1" applyFill="1" applyBorder="1" applyAlignment="1">
      <alignment horizontal="center" vertical="center"/>
    </xf>
    <xf numFmtId="0" fontId="14" fillId="41" borderId="19" xfId="1" applyFont="1" applyFill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 wrapText="1"/>
    </xf>
    <xf numFmtId="0" fontId="16" fillId="0" borderId="37" xfId="1" applyFont="1" applyBorder="1">
      <alignment vertical="center"/>
    </xf>
    <xf numFmtId="0" fontId="20" fillId="0" borderId="57" xfId="1" applyFont="1" applyBorder="1" applyAlignment="1">
      <alignment horizontal="center" vertical="center" wrapText="1"/>
    </xf>
    <xf numFmtId="0" fontId="20" fillId="0" borderId="23" xfId="1" applyFont="1" applyBorder="1" applyAlignment="1">
      <alignment horizontal="center" vertical="center" wrapText="1"/>
    </xf>
    <xf numFmtId="0" fontId="20" fillId="0" borderId="24" xfId="1" applyFont="1" applyBorder="1" applyAlignment="1">
      <alignment horizontal="center" vertical="center" wrapText="1"/>
    </xf>
    <xf numFmtId="0" fontId="20" fillId="16" borderId="57" xfId="1" applyFont="1" applyFill="1" applyBorder="1" applyAlignment="1">
      <alignment horizontal="center" vertical="center" wrapText="1"/>
    </xf>
    <xf numFmtId="0" fontId="20" fillId="17" borderId="23" xfId="1" applyFont="1" applyFill="1" applyBorder="1" applyAlignment="1">
      <alignment horizontal="center" vertical="center" wrapText="1"/>
    </xf>
    <xf numFmtId="0" fontId="20" fillId="18" borderId="23" xfId="1" applyFont="1" applyFill="1" applyBorder="1" applyAlignment="1">
      <alignment horizontal="center" vertical="center" wrapText="1"/>
    </xf>
    <xf numFmtId="0" fontId="20" fillId="19" borderId="23" xfId="1" applyFont="1" applyFill="1" applyBorder="1" applyAlignment="1">
      <alignment horizontal="center" vertical="center" wrapText="1"/>
    </xf>
    <xf numFmtId="0" fontId="20" fillId="20" borderId="23" xfId="1" applyFont="1" applyFill="1" applyBorder="1" applyAlignment="1">
      <alignment horizontal="center" vertical="center" wrapText="1"/>
    </xf>
    <xf numFmtId="0" fontId="20" fillId="21" borderId="23" xfId="1" applyFont="1" applyFill="1" applyBorder="1" applyAlignment="1">
      <alignment horizontal="center" vertical="center" wrapText="1"/>
    </xf>
    <xf numFmtId="0" fontId="20" fillId="22" borderId="23" xfId="1" applyFont="1" applyFill="1" applyBorder="1" applyAlignment="1">
      <alignment horizontal="center" vertical="center" wrapText="1"/>
    </xf>
    <xf numFmtId="0" fontId="20" fillId="23" borderId="23" xfId="1" applyFont="1" applyFill="1" applyBorder="1" applyAlignment="1">
      <alignment horizontal="center" vertical="center" wrapText="1"/>
    </xf>
    <xf numFmtId="0" fontId="20" fillId="109" borderId="23" xfId="1" applyFont="1" applyFill="1" applyBorder="1" applyAlignment="1">
      <alignment horizontal="center" vertical="center" wrapText="1"/>
    </xf>
    <xf numFmtId="0" fontId="20" fillId="24" borderId="24" xfId="1" applyFont="1" applyFill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12" fillId="0" borderId="0" xfId="2" applyFont="1">
      <alignment vertical="center"/>
    </xf>
    <xf numFmtId="0" fontId="16" fillId="0" borderId="0" xfId="2" applyFont="1">
      <alignment vertical="center"/>
    </xf>
    <xf numFmtId="0" fontId="16" fillId="7" borderId="2" xfId="2" applyFont="1" applyFill="1" applyBorder="1" applyAlignment="1">
      <alignment horizontal="center" vertical="center"/>
    </xf>
    <xf numFmtId="0" fontId="17" fillId="7" borderId="18" xfId="2" applyFont="1" applyFill="1" applyBorder="1" applyAlignment="1">
      <alignment horizontal="center" vertical="center"/>
    </xf>
    <xf numFmtId="0" fontId="16" fillId="7" borderId="18" xfId="2" applyFont="1" applyFill="1" applyBorder="1" applyAlignment="1">
      <alignment horizontal="center" vertical="center"/>
    </xf>
    <xf numFmtId="0" fontId="17" fillId="7" borderId="18" xfId="2" applyFont="1" applyFill="1" applyBorder="1" applyAlignment="1">
      <alignment horizontal="center" vertical="center" shrinkToFit="1"/>
    </xf>
    <xf numFmtId="0" fontId="16" fillId="0" borderId="55" xfId="2" applyFont="1" applyBorder="1" applyAlignment="1">
      <alignment horizontal="center" vertical="center"/>
    </xf>
    <xf numFmtId="0" fontId="16" fillId="0" borderId="55" xfId="2" applyFont="1" applyBorder="1">
      <alignment vertical="center"/>
    </xf>
    <xf numFmtId="0" fontId="16" fillId="0" borderId="56" xfId="2" applyFont="1" applyBorder="1">
      <alignment vertical="center"/>
    </xf>
    <xf numFmtId="0" fontId="0" fillId="0" borderId="30" xfId="2" applyFont="1" applyBorder="1" applyAlignment="1">
      <alignment horizontal="center" vertical="center" wrapText="1"/>
    </xf>
    <xf numFmtId="0" fontId="18" fillId="110" borderId="15" xfId="2" applyFont="1" applyFill="1" applyBorder="1" applyAlignment="1">
      <alignment horizontal="center" vertical="center" wrapText="1"/>
    </xf>
    <xf numFmtId="0" fontId="18" fillId="110" borderId="15" xfId="2" applyFont="1" applyFill="1" applyBorder="1" applyAlignment="1">
      <alignment horizontal="center" vertical="center"/>
    </xf>
    <xf numFmtId="0" fontId="20" fillId="110" borderId="15" xfId="2" applyFont="1" applyFill="1" applyBorder="1" applyAlignment="1">
      <alignment horizontal="center" vertical="center" wrapText="1"/>
    </xf>
    <xf numFmtId="0" fontId="18" fillId="110" borderId="16" xfId="2" applyFont="1" applyFill="1" applyBorder="1" applyAlignment="1">
      <alignment horizontal="center" vertical="center" wrapText="1"/>
    </xf>
    <xf numFmtId="0" fontId="0" fillId="0" borderId="2" xfId="2" applyFont="1" applyBorder="1" applyAlignment="1">
      <alignment horizontal="center" vertical="center" wrapText="1"/>
    </xf>
    <xf numFmtId="0" fontId="18" fillId="0" borderId="3" xfId="2" applyFont="1" applyBorder="1" applyAlignment="1">
      <alignment horizontal="center" vertical="center" wrapText="1"/>
    </xf>
    <xf numFmtId="0" fontId="18" fillId="0" borderId="3" xfId="2" applyFont="1" applyBorder="1" applyAlignment="1">
      <alignment horizontal="center" vertical="center"/>
    </xf>
    <xf numFmtId="0" fontId="0" fillId="42" borderId="3" xfId="0" applyFill="1" applyBorder="1">
      <alignment vertical="center"/>
    </xf>
    <xf numFmtId="0" fontId="16" fillId="111" borderId="4" xfId="2" applyFont="1" applyFill="1" applyBorder="1">
      <alignment vertical="center"/>
    </xf>
    <xf numFmtId="0" fontId="20" fillId="0" borderId="3" xfId="2" applyFont="1" applyBorder="1" applyAlignment="1">
      <alignment horizontal="center" vertical="center" wrapText="1"/>
    </xf>
    <xf numFmtId="0" fontId="16" fillId="89" borderId="0" xfId="2" applyFont="1" applyFill="1">
      <alignment vertical="center"/>
    </xf>
    <xf numFmtId="0" fontId="16" fillId="112" borderId="4" xfId="2" applyFont="1" applyFill="1" applyBorder="1">
      <alignment vertical="center"/>
    </xf>
    <xf numFmtId="0" fontId="16" fillId="67" borderId="3" xfId="2" applyFont="1" applyFill="1" applyBorder="1">
      <alignment vertical="center"/>
    </xf>
    <xf numFmtId="0" fontId="18" fillId="0" borderId="3" xfId="2" quotePrefix="1" applyFont="1" applyBorder="1" applyAlignment="1">
      <alignment horizontal="center" vertical="center" wrapText="1"/>
    </xf>
    <xf numFmtId="0" fontId="16" fillId="113" borderId="4" xfId="2" applyFont="1" applyFill="1" applyBorder="1">
      <alignment vertical="center"/>
    </xf>
    <xf numFmtId="0" fontId="16" fillId="93" borderId="3" xfId="2" applyFont="1" applyFill="1" applyBorder="1">
      <alignment vertical="center"/>
    </xf>
    <xf numFmtId="0" fontId="16" fillId="47" borderId="3" xfId="2" applyFont="1" applyFill="1" applyBorder="1">
      <alignment vertical="center"/>
    </xf>
    <xf numFmtId="0" fontId="16" fillId="114" borderId="4" xfId="2" applyFont="1" applyFill="1" applyBorder="1">
      <alignment vertical="center"/>
    </xf>
    <xf numFmtId="0" fontId="25" fillId="0" borderId="2" xfId="2" applyFont="1" applyBorder="1" applyAlignment="1">
      <alignment horizontal="center" vertical="center" wrapText="1"/>
    </xf>
    <xf numFmtId="0" fontId="20" fillId="24" borderId="3" xfId="2" applyFont="1" applyFill="1" applyBorder="1" applyAlignment="1">
      <alignment horizontal="center" vertical="center" wrapText="1"/>
    </xf>
    <xf numFmtId="0" fontId="24" fillId="0" borderId="3" xfId="2" quotePrefix="1" applyFont="1" applyBorder="1" applyAlignment="1">
      <alignment horizontal="center" vertical="center" wrapText="1"/>
    </xf>
    <xf numFmtId="0" fontId="16" fillId="115" borderId="4" xfId="2" applyFont="1" applyFill="1" applyBorder="1">
      <alignment vertical="center"/>
    </xf>
    <xf numFmtId="0" fontId="16" fillId="78" borderId="0" xfId="2" applyFont="1" applyFill="1">
      <alignment vertical="center"/>
    </xf>
    <xf numFmtId="0" fontId="16" fillId="116" borderId="4" xfId="2" applyFont="1" applyFill="1" applyBorder="1">
      <alignment vertical="center"/>
    </xf>
    <xf numFmtId="0" fontId="18" fillId="110" borderId="3" xfId="2" quotePrefix="1" applyFont="1" applyFill="1" applyBorder="1" applyAlignment="1">
      <alignment horizontal="center" vertical="center" wrapText="1"/>
    </xf>
    <xf numFmtId="0" fontId="18" fillId="110" borderId="3" xfId="2" applyFont="1" applyFill="1" applyBorder="1" applyAlignment="1">
      <alignment horizontal="center" vertical="center"/>
    </xf>
    <xf numFmtId="0" fontId="20" fillId="110" borderId="3" xfId="2" applyFont="1" applyFill="1" applyBorder="1" applyAlignment="1">
      <alignment horizontal="center" vertical="center" wrapText="1"/>
    </xf>
    <xf numFmtId="0" fontId="18" fillId="110" borderId="4" xfId="2" quotePrefix="1" applyFont="1" applyFill="1" applyBorder="1" applyAlignment="1">
      <alignment horizontal="center" vertical="center" wrapText="1"/>
    </xf>
    <xf numFmtId="0" fontId="0" fillId="0" borderId="17" xfId="2" applyFont="1" applyBorder="1" applyAlignment="1">
      <alignment horizontal="center" vertical="center" wrapText="1"/>
    </xf>
    <xf numFmtId="0" fontId="18" fillId="110" borderId="18" xfId="2" quotePrefix="1" applyFont="1" applyFill="1" applyBorder="1" applyAlignment="1">
      <alignment horizontal="center" vertical="center" wrapText="1"/>
    </xf>
    <xf numFmtId="0" fontId="18" fillId="110" borderId="18" xfId="2" applyFont="1" applyFill="1" applyBorder="1" applyAlignment="1">
      <alignment horizontal="center" vertical="center"/>
    </xf>
    <xf numFmtId="0" fontId="20" fillId="110" borderId="18" xfId="2" applyFont="1" applyFill="1" applyBorder="1" applyAlignment="1">
      <alignment horizontal="center" vertical="center" wrapText="1"/>
    </xf>
    <xf numFmtId="0" fontId="18" fillId="110" borderId="19" xfId="2" quotePrefix="1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center" wrapText="1"/>
    </xf>
    <xf numFmtId="0" fontId="19" fillId="0" borderId="3" xfId="2" applyFont="1" applyBorder="1" applyAlignment="1">
      <alignment horizontal="center" vertical="center" wrapText="1"/>
    </xf>
    <xf numFmtId="0" fontId="19" fillId="0" borderId="3" xfId="2" applyFont="1" applyBorder="1" applyAlignment="1">
      <alignment horizontal="center" vertical="center"/>
    </xf>
    <xf numFmtId="0" fontId="26" fillId="0" borderId="3" xfId="2" applyFont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21" fillId="5" borderId="15" xfId="1" applyFont="1" applyFill="1" applyBorder="1" applyAlignment="1">
      <alignment horizontal="center" vertical="center" wrapText="1"/>
    </xf>
    <xf numFmtId="0" fontId="18" fillId="5" borderId="3" xfId="1" applyFont="1" applyFill="1" applyBorder="1" applyAlignment="1">
      <alignment horizontal="center" vertical="center" wrapText="1"/>
    </xf>
    <xf numFmtId="0" fontId="18" fillId="5" borderId="18" xfId="1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10" fillId="5" borderId="30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3" xfId="1" applyFont="1" applyFill="1" applyBorder="1" applyAlignment="1">
      <alignment horizontal="center" vertical="center"/>
    </xf>
    <xf numFmtId="0" fontId="10" fillId="5" borderId="17" xfId="1" applyFont="1" applyFill="1" applyBorder="1" applyAlignment="1">
      <alignment horizontal="center" vertical="center"/>
    </xf>
    <xf numFmtId="0" fontId="10" fillId="5" borderId="18" xfId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58" xfId="0" applyFont="1" applyFill="1" applyBorder="1" applyAlignment="1">
      <alignment horizontal="center" vertical="center" wrapText="1"/>
    </xf>
    <xf numFmtId="0" fontId="19" fillId="5" borderId="3" xfId="2" applyFont="1" applyFill="1" applyBorder="1" applyAlignment="1">
      <alignment horizontal="center" vertical="center" wrapText="1"/>
    </xf>
    <xf numFmtId="0" fontId="18" fillId="5" borderId="3" xfId="2" applyFont="1" applyFill="1" applyBorder="1" applyAlignment="1">
      <alignment horizontal="center" vertical="center" wrapText="1"/>
    </xf>
    <xf numFmtId="0" fontId="21" fillId="0" borderId="15" xfId="1" applyFont="1" applyFill="1" applyBorder="1" applyAlignment="1">
      <alignment horizontal="center" vertical="center" wrapText="1"/>
    </xf>
    <xf numFmtId="0" fontId="21" fillId="0" borderId="16" xfId="1" applyFont="1" applyFill="1" applyBorder="1" applyAlignment="1">
      <alignment horizontal="center" vertical="center" wrapText="1"/>
    </xf>
    <xf numFmtId="0" fontId="18" fillId="0" borderId="3" xfId="1" applyFont="1" applyFill="1" applyBorder="1" applyAlignment="1">
      <alignment horizontal="center" vertical="center" wrapText="1"/>
    </xf>
    <xf numFmtId="0" fontId="18" fillId="0" borderId="4" xfId="1" applyFont="1" applyFill="1" applyBorder="1" applyAlignment="1">
      <alignment horizontal="center" vertical="center" wrapText="1"/>
    </xf>
    <xf numFmtId="0" fontId="18" fillId="0" borderId="18" xfId="1" applyFont="1" applyFill="1" applyBorder="1" applyAlignment="1">
      <alignment horizontal="center" vertical="center" wrapText="1"/>
    </xf>
    <xf numFmtId="0" fontId="18" fillId="0" borderId="19" xfId="1" applyFont="1" applyFill="1" applyBorder="1" applyAlignment="1">
      <alignment horizontal="center" vertical="center" wrapText="1"/>
    </xf>
    <xf numFmtId="0" fontId="8" fillId="0" borderId="44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0" fontId="8" fillId="0" borderId="45" xfId="0" applyFont="1" applyFill="1" applyBorder="1" applyAlignment="1">
      <alignment horizontal="center" vertical="center" wrapText="1"/>
    </xf>
    <xf numFmtId="0" fontId="10" fillId="0" borderId="15" xfId="1" applyFont="1" applyFill="1" applyBorder="1" applyAlignment="1">
      <alignment horizontal="center" vertical="center"/>
    </xf>
    <xf numFmtId="0" fontId="10" fillId="0" borderId="16" xfId="1" applyFont="1" applyFill="1" applyBorder="1" applyAlignment="1">
      <alignment horizontal="center" vertical="center"/>
    </xf>
    <xf numFmtId="0" fontId="10" fillId="0" borderId="3" xfId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11" fontId="10" fillId="0" borderId="3" xfId="1" quotePrefix="1" applyNumberFormat="1" applyFont="1" applyFill="1" applyBorder="1" applyAlignment="1">
      <alignment horizontal="center" vertical="center"/>
    </xf>
    <xf numFmtId="0" fontId="10" fillId="0" borderId="18" xfId="1" applyFont="1" applyFill="1" applyBorder="1" applyAlignment="1">
      <alignment horizontal="center" vertical="center"/>
    </xf>
    <xf numFmtId="0" fontId="10" fillId="0" borderId="19" xfId="1" applyFont="1" applyFill="1" applyBorder="1" applyAlignment="1">
      <alignment horizontal="center" vertical="center"/>
    </xf>
    <xf numFmtId="0" fontId="17" fillId="11" borderId="18" xfId="2" applyFont="1" applyFill="1" applyBorder="1" applyAlignment="1">
      <alignment horizontal="center" vertical="center" shrinkToFit="1"/>
    </xf>
    <xf numFmtId="0" fontId="17" fillId="118" borderId="18" xfId="2" applyFont="1" applyFill="1" applyBorder="1" applyAlignment="1">
      <alignment horizontal="center" vertical="center" shrinkToFit="1"/>
    </xf>
    <xf numFmtId="0" fontId="17" fillId="119" borderId="18" xfId="2" applyFont="1" applyFill="1" applyBorder="1" applyAlignment="1">
      <alignment horizontal="center" vertical="center" shrinkToFit="1"/>
    </xf>
    <xf numFmtId="0" fontId="17" fillId="119" borderId="19" xfId="2" applyFont="1" applyFill="1" applyBorder="1" applyAlignment="1">
      <alignment horizontal="center" vertical="center" shrinkToFit="1"/>
    </xf>
    <xf numFmtId="0" fontId="19" fillId="0" borderId="75" xfId="2" applyFont="1" applyFill="1" applyBorder="1" applyAlignment="1">
      <alignment horizontal="center" vertical="center" wrapText="1"/>
    </xf>
    <xf numFmtId="178" fontId="19" fillId="0" borderId="50" xfId="2" applyNumberFormat="1" applyFont="1" applyFill="1" applyBorder="1" applyAlignment="1">
      <alignment horizontal="center" vertical="center"/>
    </xf>
    <xf numFmtId="178" fontId="18" fillId="0" borderId="39" xfId="2" applyNumberFormat="1" applyFont="1" applyBorder="1" applyAlignment="1">
      <alignment horizontal="center" vertical="center"/>
    </xf>
    <xf numFmtId="178" fontId="19" fillId="0" borderId="39" xfId="2" applyNumberFormat="1" applyFont="1" applyBorder="1" applyAlignment="1">
      <alignment horizontal="center" vertical="center"/>
    </xf>
    <xf numFmtId="178" fontId="18" fillId="0" borderId="40" xfId="2" applyNumberFormat="1" applyFont="1" applyBorder="1" applyAlignment="1">
      <alignment horizontal="center" vertical="center"/>
    </xf>
    <xf numFmtId="0" fontId="8" fillId="4" borderId="50" xfId="0" applyFont="1" applyFill="1" applyBorder="1" applyAlignment="1">
      <alignment horizontal="center" vertical="center" wrapText="1"/>
    </xf>
    <xf numFmtId="0" fontId="19" fillId="0" borderId="37" xfId="2" applyFont="1" applyFill="1" applyBorder="1" applyAlignment="1">
      <alignment horizontal="center" vertical="center" wrapText="1"/>
    </xf>
    <xf numFmtId="0" fontId="19" fillId="0" borderId="54" xfId="2" applyFont="1" applyFill="1" applyBorder="1" applyAlignment="1">
      <alignment horizontal="center" vertical="center" wrapText="1"/>
    </xf>
    <xf numFmtId="178" fontId="19" fillId="0" borderId="57" xfId="2" applyNumberFormat="1" applyFont="1" applyFill="1" applyBorder="1" applyAlignment="1">
      <alignment horizontal="center" vertical="center"/>
    </xf>
    <xf numFmtId="178" fontId="18" fillId="0" borderId="23" xfId="2" applyNumberFormat="1" applyFont="1" applyBorder="1" applyAlignment="1">
      <alignment horizontal="center" vertical="center"/>
    </xf>
    <xf numFmtId="178" fontId="18" fillId="0" borderId="24" xfId="2" applyNumberFormat="1" applyFont="1" applyBorder="1" applyAlignment="1">
      <alignment horizontal="center" vertical="center"/>
    </xf>
    <xf numFmtId="178" fontId="19" fillId="0" borderId="39" xfId="2" quotePrefix="1" applyNumberFormat="1" applyFont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 wrapText="1"/>
    </xf>
    <xf numFmtId="0" fontId="8" fillId="0" borderId="48" xfId="0" quotePrefix="1" applyFont="1" applyFill="1" applyBorder="1" applyAlignment="1">
      <alignment horizontal="center" vertical="center" wrapText="1"/>
    </xf>
    <xf numFmtId="0" fontId="8" fillId="0" borderId="48" xfId="0" applyFont="1" applyFill="1" applyBorder="1" applyAlignment="1">
      <alignment horizontal="center" vertical="center" wrapText="1"/>
    </xf>
    <xf numFmtId="0" fontId="8" fillId="4" borderId="39" xfId="0" quotePrefix="1" applyFont="1" applyFill="1" applyBorder="1" applyAlignment="1">
      <alignment horizontal="center" vertical="center" wrapText="1"/>
    </xf>
    <xf numFmtId="0" fontId="8" fillId="0" borderId="39" xfId="0" applyFont="1" applyFill="1" applyBorder="1" applyAlignment="1">
      <alignment horizontal="center" vertical="center" wrapText="1"/>
    </xf>
    <xf numFmtId="0" fontId="8" fillId="4" borderId="50" xfId="0" quotePrefix="1" applyFont="1" applyFill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0" fontId="8" fillId="0" borderId="40" xfId="0" quotePrefix="1" applyFont="1" applyFill="1" applyBorder="1" applyAlignment="1">
      <alignment horizontal="center" vertical="center" wrapText="1"/>
    </xf>
    <xf numFmtId="179" fontId="19" fillId="0" borderId="7" xfId="2" applyNumberFormat="1" applyFont="1" applyBorder="1" applyAlignment="1">
      <alignment horizontal="center" vertical="center"/>
    </xf>
    <xf numFmtId="179" fontId="19" fillId="0" borderId="21" xfId="2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179" fontId="18" fillId="0" borderId="2" xfId="2" applyNumberFormat="1" applyFont="1" applyBorder="1" applyAlignment="1">
      <alignment horizontal="center" vertical="center"/>
    </xf>
    <xf numFmtId="179" fontId="18" fillId="0" borderId="10" xfId="2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3" xfId="2" applyNumberFormat="1" applyFont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179" fontId="18" fillId="0" borderId="7" xfId="2" applyNumberFormat="1" applyFont="1" applyBorder="1" applyAlignment="1">
      <alignment horizontal="center" vertical="center"/>
    </xf>
    <xf numFmtId="179" fontId="18" fillId="0" borderId="21" xfId="2" applyNumberFormat="1" applyFont="1" applyBorder="1" applyAlignment="1">
      <alignment horizontal="center" vertical="center"/>
    </xf>
    <xf numFmtId="179" fontId="18" fillId="0" borderId="3" xfId="2" applyNumberFormat="1" applyFont="1" applyBorder="1" applyAlignment="1">
      <alignment horizontal="center" vertical="center"/>
    </xf>
    <xf numFmtId="179" fontId="19" fillId="0" borderId="2" xfId="2" applyNumberFormat="1" applyFont="1" applyBorder="1" applyAlignment="1">
      <alignment horizontal="center" vertical="center"/>
    </xf>
    <xf numFmtId="0" fontId="27" fillId="0" borderId="3" xfId="2" quotePrefix="1" applyNumberFormat="1" applyFont="1" applyBorder="1" applyAlignment="1">
      <alignment horizontal="center" vertical="center"/>
    </xf>
    <xf numFmtId="0" fontId="27" fillId="0" borderId="3" xfId="2" quotePrefix="1" applyFont="1" applyBorder="1" applyAlignment="1">
      <alignment horizontal="center" vertical="center"/>
    </xf>
    <xf numFmtId="0" fontId="27" fillId="0" borderId="3" xfId="0" quotePrefix="1" applyFont="1" applyBorder="1" applyAlignment="1">
      <alignment horizontal="center" vertical="center" wrapText="1"/>
    </xf>
    <xf numFmtId="0" fontId="27" fillId="0" borderId="4" xfId="0" quotePrefix="1" applyFont="1" applyBorder="1" applyAlignment="1">
      <alignment horizontal="center" vertical="center" wrapText="1"/>
    </xf>
    <xf numFmtId="179" fontId="18" fillId="0" borderId="17" xfId="2" applyNumberFormat="1" applyFont="1" applyBorder="1" applyAlignment="1">
      <alignment horizontal="center" vertical="center"/>
    </xf>
    <xf numFmtId="179" fontId="18" fillId="0" borderId="58" xfId="2" applyNumberFormat="1" applyFont="1" applyBorder="1" applyAlignment="1">
      <alignment horizontal="center" vertical="center"/>
    </xf>
    <xf numFmtId="0" fontId="27" fillId="0" borderId="18" xfId="2" applyNumberFormat="1" applyFont="1" applyBorder="1" applyAlignment="1">
      <alignment horizontal="center" vertical="center"/>
    </xf>
    <xf numFmtId="0" fontId="27" fillId="0" borderId="18" xfId="2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9" fillId="0" borderId="3" xfId="1" applyFont="1" applyFill="1" applyBorder="1" applyAlignment="1">
      <alignment horizontal="center" vertical="center" wrapText="1"/>
    </xf>
    <xf numFmtId="0" fontId="16" fillId="0" borderId="7" xfId="2" applyFont="1" applyBorder="1">
      <alignment vertical="center"/>
    </xf>
    <xf numFmtId="0" fontId="16" fillId="0" borderId="8" xfId="2" applyFont="1" applyBorder="1">
      <alignment vertical="center"/>
    </xf>
    <xf numFmtId="0" fontId="16" fillId="0" borderId="9" xfId="2" applyFont="1" applyBorder="1">
      <alignment vertical="center"/>
    </xf>
    <xf numFmtId="0" fontId="17" fillId="7" borderId="17" xfId="2" applyFont="1" applyFill="1" applyBorder="1" applyAlignment="1">
      <alignment horizontal="center" vertical="center" shrinkToFit="1"/>
    </xf>
    <xf numFmtId="0" fontId="16" fillId="121" borderId="3" xfId="2" applyFont="1" applyFill="1" applyBorder="1">
      <alignment vertical="center"/>
    </xf>
    <xf numFmtId="0" fontId="16" fillId="121" borderId="4" xfId="2" applyFont="1" applyFill="1" applyBorder="1">
      <alignment vertical="center"/>
    </xf>
    <xf numFmtId="0" fontId="16" fillId="121" borderId="2" xfId="2" applyFont="1" applyFill="1" applyBorder="1">
      <alignment vertical="center"/>
    </xf>
    <xf numFmtId="0" fontId="16" fillId="121" borderId="17" xfId="2" applyFont="1" applyFill="1" applyBorder="1">
      <alignment vertical="center"/>
    </xf>
    <xf numFmtId="0" fontId="16" fillId="121" borderId="18" xfId="2" applyFont="1" applyFill="1" applyBorder="1">
      <alignment vertical="center"/>
    </xf>
    <xf numFmtId="0" fontId="16" fillId="121" borderId="19" xfId="2" applyFont="1" applyFill="1" applyBorder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6" fillId="121" borderId="3" xfId="2" applyFont="1" applyFill="1" applyBorder="1" applyAlignment="1">
      <alignment horizontal="center" vertical="center"/>
    </xf>
    <xf numFmtId="0" fontId="16" fillId="121" borderId="4" xfId="2" applyFont="1" applyFill="1" applyBorder="1" applyAlignment="1">
      <alignment horizontal="center" vertical="center"/>
    </xf>
    <xf numFmtId="179" fontId="28" fillId="0" borderId="2" xfId="2" applyNumberFormat="1" applyFont="1" applyBorder="1" applyAlignment="1">
      <alignment horizontal="center" vertical="center"/>
    </xf>
    <xf numFmtId="179" fontId="28" fillId="0" borderId="3" xfId="2" applyNumberFormat="1" applyFont="1" applyBorder="1" applyAlignment="1">
      <alignment horizontal="center" vertical="center"/>
    </xf>
    <xf numFmtId="179" fontId="29" fillId="0" borderId="2" xfId="0" applyNumberFormat="1" applyFont="1" applyBorder="1" applyAlignment="1">
      <alignment horizontal="center" vertical="center"/>
    </xf>
    <xf numFmtId="179" fontId="28" fillId="0" borderId="2" xfId="0" applyNumberFormat="1" applyFont="1" applyBorder="1" applyAlignment="1">
      <alignment horizontal="center" vertical="center"/>
    </xf>
    <xf numFmtId="179" fontId="28" fillId="0" borderId="2" xfId="2" applyNumberFormat="1" applyFont="1" applyBorder="1" applyAlignment="1">
      <alignment horizontal="center" vertical="center" wrapText="1"/>
    </xf>
    <xf numFmtId="179" fontId="28" fillId="121" borderId="2" xfId="2" applyNumberFormat="1" applyFont="1" applyFill="1" applyBorder="1" applyAlignment="1">
      <alignment horizontal="center" vertical="center"/>
    </xf>
    <xf numFmtId="179" fontId="28" fillId="121" borderId="3" xfId="2" applyNumberFormat="1" applyFont="1" applyFill="1" applyBorder="1" applyAlignment="1">
      <alignment horizontal="center" vertical="center"/>
    </xf>
    <xf numFmtId="0" fontId="0" fillId="0" borderId="3" xfId="0" quotePrefix="1" applyFill="1" applyBorder="1" applyAlignment="1">
      <alignment horizontal="center" vertical="center" wrapText="1"/>
    </xf>
    <xf numFmtId="0" fontId="0" fillId="0" borderId="4" xfId="0" quotePrefix="1" applyFill="1" applyBorder="1" applyAlignment="1">
      <alignment horizontal="center" vertical="center" wrapText="1"/>
    </xf>
    <xf numFmtId="179" fontId="16" fillId="0" borderId="0" xfId="2" applyNumberFormat="1" applyFont="1">
      <alignment vertical="center"/>
    </xf>
    <xf numFmtId="0" fontId="16" fillId="117" borderId="64" xfId="2" applyFont="1" applyFill="1" applyBorder="1" applyAlignment="1">
      <alignment horizontal="center" vertical="center"/>
    </xf>
    <xf numFmtId="0" fontId="16" fillId="117" borderId="65" xfId="2" applyFont="1" applyFill="1" applyBorder="1" applyAlignment="1">
      <alignment horizontal="center" vertical="center"/>
    </xf>
    <xf numFmtId="0" fontId="16" fillId="117" borderId="74" xfId="2" applyFont="1" applyFill="1" applyBorder="1" applyAlignment="1">
      <alignment horizontal="center" vertical="center"/>
    </xf>
    <xf numFmtId="0" fontId="16" fillId="117" borderId="21" xfId="2" applyFont="1" applyFill="1" applyBorder="1" applyAlignment="1">
      <alignment horizontal="center" vertical="center"/>
    </xf>
    <xf numFmtId="0" fontId="16" fillId="117" borderId="47" xfId="2" applyFont="1" applyFill="1" applyBorder="1" applyAlignment="1">
      <alignment horizontal="center" vertical="center"/>
    </xf>
    <xf numFmtId="0" fontId="16" fillId="117" borderId="66" xfId="2" applyFont="1" applyFill="1" applyBorder="1" applyAlignment="1">
      <alignment horizontal="center" vertical="center"/>
    </xf>
    <xf numFmtId="0" fontId="16" fillId="117" borderId="54" xfId="2" applyFont="1" applyFill="1" applyBorder="1" applyAlignment="1">
      <alignment horizontal="center" vertical="center"/>
    </xf>
    <xf numFmtId="0" fontId="16" fillId="117" borderId="48" xfId="2" applyFont="1" applyFill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21" fillId="0" borderId="64" xfId="1" applyFont="1" applyBorder="1" applyAlignment="1">
      <alignment horizontal="center" vertical="center" wrapText="1"/>
    </xf>
    <xf numFmtId="0" fontId="19" fillId="0" borderId="65" xfId="1" applyFont="1" applyBorder="1" applyAlignment="1">
      <alignment horizontal="center" vertical="center" wrapText="1"/>
    </xf>
    <xf numFmtId="0" fontId="19" fillId="0" borderId="54" xfId="1" applyFont="1" applyBorder="1" applyAlignment="1">
      <alignment horizontal="center" vertical="center" wrapText="1"/>
    </xf>
    <xf numFmtId="0" fontId="17" fillId="7" borderId="10" xfId="1" applyFont="1" applyFill="1" applyBorder="1" applyAlignment="1">
      <alignment horizontal="center" vertical="center"/>
    </xf>
    <xf numFmtId="0" fontId="17" fillId="7" borderId="28" xfId="1" applyFont="1" applyFill="1" applyBorder="1" applyAlignment="1">
      <alignment horizontal="center" vertical="center"/>
    </xf>
    <xf numFmtId="0" fontId="17" fillId="7" borderId="27" xfId="1" applyFont="1" applyFill="1" applyBorder="1" applyAlignment="1">
      <alignment horizontal="center" vertical="center"/>
    </xf>
    <xf numFmtId="0" fontId="16" fillId="7" borderId="37" xfId="1" applyFont="1" applyFill="1" applyBorder="1" applyAlignment="1">
      <alignment horizontal="center" vertical="center"/>
    </xf>
    <xf numFmtId="0" fontId="16" fillId="7" borderId="35" xfId="1" applyFont="1" applyFill="1" applyBorder="1" applyAlignment="1">
      <alignment horizontal="center" vertical="center"/>
    </xf>
    <xf numFmtId="0" fontId="16" fillId="7" borderId="36" xfId="1" applyFont="1" applyFill="1" applyBorder="1" applyAlignment="1">
      <alignment horizontal="center" vertical="center"/>
    </xf>
    <xf numFmtId="0" fontId="12" fillId="6" borderId="62" xfId="1" applyFont="1" applyFill="1" applyBorder="1" applyAlignment="1">
      <alignment horizontal="center" vertical="center" wrapText="1"/>
    </xf>
    <xf numFmtId="0" fontId="12" fillId="6" borderId="63" xfId="1" applyFont="1" applyFill="1" applyBorder="1" applyAlignment="1">
      <alignment horizontal="center" vertical="center" wrapText="1"/>
    </xf>
    <xf numFmtId="0" fontId="16" fillId="7" borderId="30" xfId="1" applyFont="1" applyFill="1" applyBorder="1" applyAlignment="1">
      <alignment horizontal="center" vertical="center"/>
    </xf>
    <xf numFmtId="0" fontId="16" fillId="7" borderId="15" xfId="1" applyFont="1" applyFill="1" applyBorder="1" applyAlignment="1">
      <alignment horizontal="center" vertical="center"/>
    </xf>
    <xf numFmtId="0" fontId="16" fillId="7" borderId="1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17" xfId="1" applyFont="1" applyFill="1" applyBorder="1" applyAlignment="1">
      <alignment horizontal="center" vertical="center"/>
    </xf>
    <xf numFmtId="0" fontId="17" fillId="7" borderId="3" xfId="1" applyFont="1" applyFill="1" applyBorder="1" applyAlignment="1">
      <alignment horizontal="center" vertical="center"/>
    </xf>
    <xf numFmtId="0" fontId="17" fillId="7" borderId="4" xfId="1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59" xfId="0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12" fillId="6" borderId="2" xfId="1" applyFont="1" applyFill="1" applyBorder="1" applyAlignment="1">
      <alignment horizontal="center" vertical="center" wrapText="1"/>
    </xf>
    <xf numFmtId="0" fontId="12" fillId="6" borderId="10" xfId="1" applyFont="1" applyFill="1" applyBorder="1" applyAlignment="1">
      <alignment horizontal="center" vertical="center" wrapText="1"/>
    </xf>
    <xf numFmtId="0" fontId="10" fillId="0" borderId="30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32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6" xfId="1" applyFont="1" applyFill="1" applyBorder="1" applyAlignment="1">
      <alignment horizontal="center" vertical="center"/>
    </xf>
    <xf numFmtId="0" fontId="12" fillId="2" borderId="26" xfId="1" applyFont="1" applyFill="1" applyBorder="1" applyAlignment="1">
      <alignment horizontal="center" vertical="center"/>
    </xf>
    <xf numFmtId="0" fontId="12" fillId="6" borderId="42" xfId="1" applyFont="1" applyFill="1" applyBorder="1" applyAlignment="1">
      <alignment horizontal="center" vertical="center"/>
    </xf>
    <xf numFmtId="0" fontId="12" fillId="6" borderId="28" xfId="1" applyFont="1" applyFill="1" applyBorder="1" applyAlignment="1">
      <alignment horizontal="center" vertical="center"/>
    </xf>
    <xf numFmtId="0" fontId="12" fillId="6" borderId="39" xfId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3" borderId="68" xfId="0" applyFont="1" applyFill="1" applyBorder="1" applyAlignment="1">
      <alignment horizontal="center" vertical="center"/>
    </xf>
    <xf numFmtId="0" fontId="8" fillId="0" borderId="6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12" fillId="6" borderId="52" xfId="2" applyFont="1" applyFill="1" applyBorder="1" applyAlignment="1">
      <alignment horizontal="center" vertical="center" wrapText="1"/>
    </xf>
    <xf numFmtId="0" fontId="12" fillId="6" borderId="72" xfId="2" applyFont="1" applyFill="1" applyBorder="1" applyAlignment="1">
      <alignment horizontal="center" vertical="center" wrapText="1"/>
    </xf>
    <xf numFmtId="0" fontId="21" fillId="0" borderId="73" xfId="2" applyFont="1" applyBorder="1" applyAlignment="1">
      <alignment horizontal="center" vertical="center" wrapText="1"/>
    </xf>
    <xf numFmtId="0" fontId="19" fillId="0" borderId="55" xfId="2" applyFont="1" applyBorder="1" applyAlignment="1">
      <alignment horizontal="center" vertical="center" wrapText="1"/>
    </xf>
    <xf numFmtId="0" fontId="19" fillId="0" borderId="56" xfId="2" applyFont="1" applyBorder="1" applyAlignment="1">
      <alignment horizontal="center" vertical="center" wrapText="1"/>
    </xf>
    <xf numFmtId="0" fontId="0" fillId="0" borderId="41" xfId="2" applyFont="1" applyBorder="1" applyAlignment="1">
      <alignment horizontal="center" vertical="center"/>
    </xf>
    <xf numFmtId="0" fontId="0" fillId="0" borderId="42" xfId="2" applyFont="1" applyBorder="1" applyAlignment="1">
      <alignment horizontal="center" vertical="center"/>
    </xf>
    <xf numFmtId="0" fontId="0" fillId="0" borderId="49" xfId="2" applyFont="1" applyBorder="1" applyAlignment="1">
      <alignment horizontal="center" vertical="center"/>
    </xf>
    <xf numFmtId="0" fontId="0" fillId="0" borderId="43" xfId="2" applyFont="1" applyBorder="1" applyAlignment="1">
      <alignment horizontal="center" vertical="center"/>
    </xf>
    <xf numFmtId="0" fontId="16" fillId="7" borderId="69" xfId="2" applyFont="1" applyFill="1" applyBorder="1" applyAlignment="1">
      <alignment horizontal="center" vertical="center"/>
    </xf>
    <xf numFmtId="0" fontId="16" fillId="7" borderId="70" xfId="2" applyFont="1" applyFill="1" applyBorder="1" applyAlignment="1">
      <alignment horizontal="center" vertical="center"/>
    </xf>
    <xf numFmtId="0" fontId="16" fillId="7" borderId="71" xfId="2" applyFont="1" applyFill="1" applyBorder="1" applyAlignment="1">
      <alignment horizontal="center" vertical="center"/>
    </xf>
    <xf numFmtId="0" fontId="16" fillId="7" borderId="3" xfId="2" applyFont="1" applyFill="1" applyBorder="1" applyAlignment="1">
      <alignment horizontal="center" vertical="center"/>
    </xf>
    <xf numFmtId="0" fontId="16" fillId="7" borderId="41" xfId="2" applyFont="1" applyFill="1" applyBorder="1" applyAlignment="1">
      <alignment horizontal="center" vertical="center"/>
    </xf>
    <xf numFmtId="0" fontId="16" fillId="7" borderId="44" xfId="2" applyFont="1" applyFill="1" applyBorder="1" applyAlignment="1">
      <alignment horizontal="center" vertical="center"/>
    </xf>
    <xf numFmtId="0" fontId="16" fillId="7" borderId="38" xfId="2" applyFont="1" applyFill="1" applyBorder="1" applyAlignment="1">
      <alignment horizontal="center" vertical="center"/>
    </xf>
    <xf numFmtId="0" fontId="16" fillId="7" borderId="10" xfId="2" applyFont="1" applyFill="1" applyBorder="1" applyAlignment="1">
      <alignment horizontal="center" vertical="center"/>
    </xf>
    <xf numFmtId="0" fontId="16" fillId="7" borderId="28" xfId="2" applyFont="1" applyFill="1" applyBorder="1" applyAlignment="1">
      <alignment horizontal="center" vertical="center"/>
    </xf>
    <xf numFmtId="0" fontId="16" fillId="7" borderId="39" xfId="2" applyFont="1" applyFill="1" applyBorder="1" applyAlignment="1">
      <alignment horizontal="center" vertical="center"/>
    </xf>
    <xf numFmtId="0" fontId="16" fillId="7" borderId="2" xfId="2" applyFont="1" applyFill="1" applyBorder="1" applyAlignment="1">
      <alignment horizontal="center" vertical="center"/>
    </xf>
    <xf numFmtId="0" fontId="16" fillId="7" borderId="17" xfId="2" applyFont="1" applyFill="1" applyBorder="1" applyAlignment="1">
      <alignment horizontal="center" vertical="center"/>
    </xf>
    <xf numFmtId="0" fontId="17" fillId="7" borderId="3" xfId="2" applyFont="1" applyFill="1" applyBorder="1" applyAlignment="1">
      <alignment horizontal="center" vertical="center"/>
    </xf>
    <xf numFmtId="0" fontId="16" fillId="7" borderId="27" xfId="2" applyFont="1" applyFill="1" applyBorder="1" applyAlignment="1">
      <alignment horizontal="center" vertical="center"/>
    </xf>
    <xf numFmtId="0" fontId="16" fillId="7" borderId="13" xfId="2" applyFont="1" applyFill="1" applyBorder="1" applyAlignment="1">
      <alignment horizontal="center" vertical="center"/>
    </xf>
    <xf numFmtId="0" fontId="16" fillId="7" borderId="77" xfId="2" applyFont="1" applyFill="1" applyBorder="1" applyAlignment="1">
      <alignment horizontal="center" vertical="center"/>
    </xf>
    <xf numFmtId="0" fontId="16" fillId="7" borderId="12" xfId="2" applyFont="1" applyFill="1" applyBorder="1" applyAlignment="1">
      <alignment horizontal="center" vertical="center"/>
    </xf>
    <xf numFmtId="0" fontId="16" fillId="7" borderId="78" xfId="2" applyFont="1" applyFill="1" applyBorder="1" applyAlignment="1">
      <alignment horizontal="center" vertical="center"/>
    </xf>
    <xf numFmtId="0" fontId="17" fillId="7" borderId="69" xfId="2" applyFont="1" applyFill="1" applyBorder="1" applyAlignment="1">
      <alignment horizontal="center" vertical="center" wrapText="1"/>
    </xf>
    <xf numFmtId="0" fontId="17" fillId="7" borderId="74" xfId="2" applyFont="1" applyFill="1" applyBorder="1" applyAlignment="1">
      <alignment horizontal="center" vertical="center"/>
    </xf>
    <xf numFmtId="0" fontId="17" fillId="7" borderId="70" xfId="2" applyFont="1" applyFill="1" applyBorder="1" applyAlignment="1">
      <alignment horizontal="center" vertical="center"/>
    </xf>
    <xf numFmtId="0" fontId="17" fillId="7" borderId="76" xfId="2" applyFont="1" applyFill="1" applyBorder="1" applyAlignment="1">
      <alignment horizontal="center" vertical="center"/>
    </xf>
    <xf numFmtId="0" fontId="17" fillId="7" borderId="46" xfId="2" applyFont="1" applyFill="1" applyBorder="1" applyAlignment="1">
      <alignment horizontal="center" vertical="center"/>
    </xf>
    <xf numFmtId="0" fontId="17" fillId="7" borderId="66" xfId="2" applyFont="1" applyFill="1" applyBorder="1" applyAlignment="1">
      <alignment horizontal="center" vertical="center"/>
    </xf>
    <xf numFmtId="0" fontId="17" fillId="117" borderId="64" xfId="2" applyFont="1" applyFill="1" applyBorder="1" applyAlignment="1">
      <alignment horizontal="center" vertical="center" shrinkToFit="1"/>
    </xf>
    <xf numFmtId="0" fontId="17" fillId="117" borderId="65" xfId="2" applyFont="1" applyFill="1" applyBorder="1" applyAlignment="1">
      <alignment horizontal="center" vertical="center" shrinkToFit="1"/>
    </xf>
    <xf numFmtId="0" fontId="17" fillId="117" borderId="54" xfId="2" applyFont="1" applyFill="1" applyBorder="1" applyAlignment="1">
      <alignment horizontal="center" vertical="center" shrinkToFit="1"/>
    </xf>
    <xf numFmtId="0" fontId="17" fillId="117" borderId="21" xfId="2" applyFont="1" applyFill="1" applyBorder="1" applyAlignment="1">
      <alignment horizontal="center" vertical="center" shrinkToFit="1"/>
    </xf>
    <xf numFmtId="0" fontId="17" fillId="117" borderId="47" xfId="2" applyFont="1" applyFill="1" applyBorder="1" applyAlignment="1">
      <alignment horizontal="center" vertical="center" shrinkToFit="1"/>
    </xf>
    <xf numFmtId="0" fontId="17" fillId="117" borderId="48" xfId="2" applyFont="1" applyFill="1" applyBorder="1" applyAlignment="1">
      <alignment horizontal="center" vertical="center" shrinkToFit="1"/>
    </xf>
    <xf numFmtId="0" fontId="17" fillId="11" borderId="3" xfId="2" applyFont="1" applyFill="1" applyBorder="1" applyAlignment="1">
      <alignment horizontal="center" vertical="center" shrinkToFit="1"/>
    </xf>
    <xf numFmtId="0" fontId="17" fillId="11" borderId="18" xfId="2" applyFont="1" applyFill="1" applyBorder="1" applyAlignment="1">
      <alignment horizontal="center" vertical="center" shrinkToFit="1"/>
    </xf>
    <xf numFmtId="0" fontId="17" fillId="118" borderId="3" xfId="2" applyFont="1" applyFill="1" applyBorder="1" applyAlignment="1">
      <alignment horizontal="center" vertical="center" shrinkToFit="1"/>
    </xf>
    <xf numFmtId="0" fontId="17" fillId="118" borderId="18" xfId="2" applyFont="1" applyFill="1" applyBorder="1" applyAlignment="1">
      <alignment horizontal="center" vertical="center" shrinkToFit="1"/>
    </xf>
    <xf numFmtId="0" fontId="17" fillId="119" borderId="4" xfId="2" applyFont="1" applyFill="1" applyBorder="1" applyAlignment="1">
      <alignment horizontal="center" vertical="center" shrinkToFit="1"/>
    </xf>
    <xf numFmtId="0" fontId="17" fillId="119" borderId="19" xfId="2" applyFont="1" applyFill="1" applyBorder="1" applyAlignment="1">
      <alignment horizontal="center" vertical="center" shrinkToFit="1"/>
    </xf>
    <xf numFmtId="0" fontId="10" fillId="0" borderId="53" xfId="1" applyFont="1" applyBorder="1" applyAlignment="1">
      <alignment horizontal="center" vertical="center"/>
    </xf>
    <xf numFmtId="0" fontId="30" fillId="0" borderId="31" xfId="1" applyFont="1" applyBorder="1" applyAlignment="1">
      <alignment horizontal="center" vertical="center"/>
    </xf>
    <xf numFmtId="0" fontId="17" fillId="120" borderId="69" xfId="2" applyFont="1" applyFill="1" applyBorder="1" applyAlignment="1">
      <alignment horizontal="center" vertical="center"/>
    </xf>
    <xf numFmtId="0" fontId="17" fillId="120" borderId="74" xfId="2" applyFont="1" applyFill="1" applyBorder="1" applyAlignment="1">
      <alignment horizontal="center" vertical="center"/>
    </xf>
    <xf numFmtId="0" fontId="17" fillId="120" borderId="46" xfId="2" applyFont="1" applyFill="1" applyBorder="1" applyAlignment="1">
      <alignment horizontal="center" vertical="center"/>
    </xf>
    <xf numFmtId="0" fontId="17" fillId="120" borderId="66" xfId="2" applyFont="1" applyFill="1" applyBorder="1" applyAlignment="1">
      <alignment horizontal="center" vertical="center"/>
    </xf>
    <xf numFmtId="0" fontId="17" fillId="117" borderId="74" xfId="2" applyFont="1" applyFill="1" applyBorder="1" applyAlignment="1">
      <alignment horizontal="center" vertical="center" shrinkToFit="1"/>
    </xf>
    <xf numFmtId="0" fontId="17" fillId="117" borderId="66" xfId="2" applyFont="1" applyFill="1" applyBorder="1" applyAlignment="1">
      <alignment horizontal="center" vertical="center" shrinkToFit="1"/>
    </xf>
    <xf numFmtId="0" fontId="17" fillId="120" borderId="2" xfId="2" applyFont="1" applyFill="1" applyBorder="1" applyAlignment="1">
      <alignment horizontal="center" vertical="center" shrinkToFit="1"/>
    </xf>
    <xf numFmtId="0" fontId="17" fillId="120" borderId="3" xfId="2" applyFont="1" applyFill="1" applyBorder="1" applyAlignment="1">
      <alignment horizontal="center" vertical="center" shrinkToFit="1"/>
    </xf>
    <xf numFmtId="0" fontId="17" fillId="119" borderId="3" xfId="2" applyFont="1" applyFill="1" applyBorder="1" applyAlignment="1">
      <alignment horizontal="center" vertical="center" shrinkToFit="1"/>
    </xf>
  </cellXfs>
  <cellStyles count="3">
    <cellStyle name="표준" xfId="0" builtinId="0"/>
    <cellStyle name="표준 2" xfId="1" xr:uid="{00000000-0005-0000-0000-000001000000}"/>
    <cellStyle name="표준 2 2" xfId="2" xr:uid="{00000000-0005-0000-0000-000002000000}"/>
  </cellStyles>
  <dxfs count="0"/>
  <tableStyles count="0" defaultTableStyle="TableStyleMedium2" defaultPivotStyle="PivotStyleLight16"/>
  <colors>
    <mruColors>
      <color rgb="FFB7E4FC"/>
      <color rgb="FF7ED715"/>
      <color rgb="FF03C7C0"/>
      <color rgb="FF188EFD"/>
      <color rgb="FF8A25FC"/>
      <color rgb="FFBB0FEC"/>
      <color rgb="FFE93E3E"/>
      <color rgb="FFFEA811"/>
      <color rgb="FFF4E9DF"/>
      <color rgb="FFE5F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커스텀 64컬러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79-4A72-926B-5E9E5205851C}"/>
              </c:ext>
            </c:extLst>
          </c:dPt>
          <c:xVal>
            <c:numRef>
              <c:f>'커스텀 64칼라 현대,기아,제네시스 (22년 12월)'!$I$7:$I$70</c:f>
              <c:numCache>
                <c:formatCode>General</c:formatCode>
                <c:ptCount val="64"/>
                <c:pt idx="0">
                  <c:v>0.4</c:v>
                </c:pt>
                <c:pt idx="1">
                  <c:v>0.20577000000000001</c:v>
                </c:pt>
                <c:pt idx="2">
                  <c:v>0.22803000000000001</c:v>
                </c:pt>
                <c:pt idx="3">
                  <c:v>0.25719999999999998</c:v>
                </c:pt>
                <c:pt idx="4">
                  <c:v>0.28977999999999998</c:v>
                </c:pt>
                <c:pt idx="5">
                  <c:v>0.32682</c:v>
                </c:pt>
                <c:pt idx="6">
                  <c:v>0.36721999999999999</c:v>
                </c:pt>
                <c:pt idx="7">
                  <c:v>0.41686000000000001</c:v>
                </c:pt>
                <c:pt idx="8">
                  <c:v>0.48497000000000001</c:v>
                </c:pt>
                <c:pt idx="9">
                  <c:v>0.54068000000000005</c:v>
                </c:pt>
                <c:pt idx="10">
                  <c:v>0.59057000000000004</c:v>
                </c:pt>
                <c:pt idx="11">
                  <c:v>0.61731000000000003</c:v>
                </c:pt>
                <c:pt idx="12">
                  <c:v>0.63305999999999996</c:v>
                </c:pt>
                <c:pt idx="13">
                  <c:v>0.63854</c:v>
                </c:pt>
                <c:pt idx="14">
                  <c:v>0.63988</c:v>
                </c:pt>
                <c:pt idx="15">
                  <c:v>0.63966000000000001</c:v>
                </c:pt>
                <c:pt idx="16">
                  <c:v>0.63844000000000001</c:v>
                </c:pt>
                <c:pt idx="17">
                  <c:v>0.63622000000000001</c:v>
                </c:pt>
                <c:pt idx="18">
                  <c:v>0.63293999999999995</c:v>
                </c:pt>
                <c:pt idx="19">
                  <c:v>0.62858999999999998</c:v>
                </c:pt>
                <c:pt idx="20">
                  <c:v>0.62319000000000002</c:v>
                </c:pt>
                <c:pt idx="21">
                  <c:v>0.61677000000000004</c:v>
                </c:pt>
                <c:pt idx="22">
                  <c:v>0.60940000000000005</c:v>
                </c:pt>
                <c:pt idx="23">
                  <c:v>0.60116999999999998</c:v>
                </c:pt>
                <c:pt idx="24">
                  <c:v>0.59218000000000004</c:v>
                </c:pt>
                <c:pt idx="25">
                  <c:v>0.58030999999999999</c:v>
                </c:pt>
                <c:pt idx="26">
                  <c:v>0.56433999999999995</c:v>
                </c:pt>
                <c:pt idx="27">
                  <c:v>0.54603999999999997</c:v>
                </c:pt>
                <c:pt idx="28">
                  <c:v>0.52120999999999995</c:v>
                </c:pt>
                <c:pt idx="29">
                  <c:v>0.50295000000000001</c:v>
                </c:pt>
                <c:pt idx="30">
                  <c:v>0.48414000000000001</c:v>
                </c:pt>
                <c:pt idx="31">
                  <c:v>0.44547999999999999</c:v>
                </c:pt>
                <c:pt idx="32">
                  <c:v>0.42113</c:v>
                </c:pt>
                <c:pt idx="33">
                  <c:v>0.38657000000000002</c:v>
                </c:pt>
                <c:pt idx="34">
                  <c:v>0.35955999999999999</c:v>
                </c:pt>
                <c:pt idx="35">
                  <c:v>0.33861999999999998</c:v>
                </c:pt>
                <c:pt idx="36">
                  <c:v>0.32229000000000002</c:v>
                </c:pt>
                <c:pt idx="37">
                  <c:v>0.30497999999999997</c:v>
                </c:pt>
                <c:pt idx="38">
                  <c:v>0.28992000000000001</c:v>
                </c:pt>
                <c:pt idx="39">
                  <c:v>0.27617999999999998</c:v>
                </c:pt>
                <c:pt idx="40">
                  <c:v>0.26121</c:v>
                </c:pt>
                <c:pt idx="41">
                  <c:v>0.2457</c:v>
                </c:pt>
                <c:pt idx="42">
                  <c:v>0.23043</c:v>
                </c:pt>
                <c:pt idx="43">
                  <c:v>0.21614</c:v>
                </c:pt>
                <c:pt idx="44">
                  <c:v>0.19782</c:v>
                </c:pt>
                <c:pt idx="45">
                  <c:v>0.18448000000000001</c:v>
                </c:pt>
                <c:pt idx="46">
                  <c:v>0.1777</c:v>
                </c:pt>
                <c:pt idx="47">
                  <c:v>0.17238999999999999</c:v>
                </c:pt>
                <c:pt idx="48">
                  <c:v>0.16903000000000001</c:v>
                </c:pt>
                <c:pt idx="49">
                  <c:v>0.16633999999999999</c:v>
                </c:pt>
                <c:pt idx="50">
                  <c:v>0.16320999999999999</c:v>
                </c:pt>
                <c:pt idx="51">
                  <c:v>0.16078999999999999</c:v>
                </c:pt>
                <c:pt idx="52">
                  <c:v>0.15828</c:v>
                </c:pt>
                <c:pt idx="53">
                  <c:v>0.15598999999999999</c:v>
                </c:pt>
                <c:pt idx="54">
                  <c:v>0.15398999999999999</c:v>
                </c:pt>
                <c:pt idx="55">
                  <c:v>0.15236</c:v>
                </c:pt>
                <c:pt idx="56">
                  <c:v>0.15156</c:v>
                </c:pt>
                <c:pt idx="57">
                  <c:v>0.1532</c:v>
                </c:pt>
                <c:pt idx="58">
                  <c:v>0.15569</c:v>
                </c:pt>
                <c:pt idx="59">
                  <c:v>0.16017999999999999</c:v>
                </c:pt>
                <c:pt idx="60">
                  <c:v>0.16447000000000001</c:v>
                </c:pt>
                <c:pt idx="61">
                  <c:v>0.16875999999999999</c:v>
                </c:pt>
                <c:pt idx="62">
                  <c:v>0.17501</c:v>
                </c:pt>
                <c:pt idx="63">
                  <c:v>0.18115000000000001</c:v>
                </c:pt>
              </c:numCache>
            </c:numRef>
          </c:xVal>
          <c:yVal>
            <c:numRef>
              <c:f>'커스텀 64칼라 현대,기아,제네시스 (22년 12월)'!$J$7:$J$70</c:f>
              <c:numCache>
                <c:formatCode>General</c:formatCode>
                <c:ptCount val="64"/>
                <c:pt idx="0">
                  <c:v>0.52</c:v>
                </c:pt>
                <c:pt idx="1">
                  <c:v>9.0730000000000005E-2</c:v>
                </c:pt>
                <c:pt idx="2">
                  <c:v>0.10299</c:v>
                </c:pt>
                <c:pt idx="3">
                  <c:v>0.11907</c:v>
                </c:pt>
                <c:pt idx="4">
                  <c:v>0.13702</c:v>
                </c:pt>
                <c:pt idx="5">
                  <c:v>0.15742999999999999</c:v>
                </c:pt>
                <c:pt idx="6">
                  <c:v>0.17968999999999999</c:v>
                </c:pt>
                <c:pt idx="7">
                  <c:v>0.20704</c:v>
                </c:pt>
                <c:pt idx="8">
                  <c:v>0.24457999999999999</c:v>
                </c:pt>
                <c:pt idx="9">
                  <c:v>0.27527000000000001</c:v>
                </c:pt>
                <c:pt idx="10">
                  <c:v>0.30275999999999997</c:v>
                </c:pt>
                <c:pt idx="11">
                  <c:v>0.3175</c:v>
                </c:pt>
                <c:pt idx="12">
                  <c:v>0.32617000000000002</c:v>
                </c:pt>
                <c:pt idx="13">
                  <c:v>0.32918999999999998</c:v>
                </c:pt>
                <c:pt idx="14">
                  <c:v>0.32993</c:v>
                </c:pt>
                <c:pt idx="15">
                  <c:v>0.33029999999999998</c:v>
                </c:pt>
                <c:pt idx="16">
                  <c:v>0.33138000000000001</c:v>
                </c:pt>
                <c:pt idx="17">
                  <c:v>0.33334000000000003</c:v>
                </c:pt>
                <c:pt idx="18">
                  <c:v>0.33622999999999997</c:v>
                </c:pt>
                <c:pt idx="19">
                  <c:v>0.34007999999999999</c:v>
                </c:pt>
                <c:pt idx="20">
                  <c:v>0.34486</c:v>
                </c:pt>
                <c:pt idx="21">
                  <c:v>0.35053000000000001</c:v>
                </c:pt>
                <c:pt idx="22">
                  <c:v>0.35704000000000002</c:v>
                </c:pt>
                <c:pt idx="23">
                  <c:v>0.36431000000000002</c:v>
                </c:pt>
                <c:pt idx="24">
                  <c:v>0.37225999999999998</c:v>
                </c:pt>
                <c:pt idx="25">
                  <c:v>0.38274999999999998</c:v>
                </c:pt>
                <c:pt idx="26">
                  <c:v>0.39685999999999999</c:v>
                </c:pt>
                <c:pt idx="27">
                  <c:v>0.41303000000000001</c:v>
                </c:pt>
                <c:pt idx="28">
                  <c:v>0.43497999999999998</c:v>
                </c:pt>
                <c:pt idx="29">
                  <c:v>0.45111000000000001</c:v>
                </c:pt>
                <c:pt idx="30">
                  <c:v>0.46772999999999998</c:v>
                </c:pt>
                <c:pt idx="31">
                  <c:v>0.50190000000000001</c:v>
                </c:pt>
                <c:pt idx="32">
                  <c:v>0.52342</c:v>
                </c:pt>
                <c:pt idx="33">
                  <c:v>0.55396000000000001</c:v>
                </c:pt>
                <c:pt idx="34">
                  <c:v>0.57782999999999995</c:v>
                </c:pt>
                <c:pt idx="35">
                  <c:v>0.59572000000000003</c:v>
                </c:pt>
                <c:pt idx="36">
                  <c:v>0.60792999999999997</c:v>
                </c:pt>
                <c:pt idx="37">
                  <c:v>0.61319000000000001</c:v>
                </c:pt>
                <c:pt idx="38">
                  <c:v>0.60777000000000003</c:v>
                </c:pt>
                <c:pt idx="39">
                  <c:v>0.59062999999999999</c:v>
                </c:pt>
                <c:pt idx="40">
                  <c:v>0.56474999999999997</c:v>
                </c:pt>
                <c:pt idx="41">
                  <c:v>0.53107000000000004</c:v>
                </c:pt>
                <c:pt idx="42">
                  <c:v>0.49143999999999999</c:v>
                </c:pt>
                <c:pt idx="43">
                  <c:v>0.44829000000000002</c:v>
                </c:pt>
                <c:pt idx="44">
                  <c:v>0.40506999999999999</c:v>
                </c:pt>
                <c:pt idx="45">
                  <c:v>0.36168</c:v>
                </c:pt>
                <c:pt idx="46">
                  <c:v>0.32862000000000002</c:v>
                </c:pt>
                <c:pt idx="47">
                  <c:v>0.29631999999999997</c:v>
                </c:pt>
                <c:pt idx="48">
                  <c:v>0.26562000000000002</c:v>
                </c:pt>
                <c:pt idx="49">
                  <c:v>0.23696</c:v>
                </c:pt>
                <c:pt idx="50">
                  <c:v>0.20315</c:v>
                </c:pt>
                <c:pt idx="51">
                  <c:v>0.17688999999999999</c:v>
                </c:pt>
                <c:pt idx="52">
                  <c:v>0.14968000000000001</c:v>
                </c:pt>
                <c:pt idx="53">
                  <c:v>0.12486</c:v>
                </c:pt>
                <c:pt idx="54">
                  <c:v>0.10326</c:v>
                </c:pt>
                <c:pt idx="55">
                  <c:v>8.5610000000000006E-2</c:v>
                </c:pt>
                <c:pt idx="56">
                  <c:v>7.3209999999999997E-2</c:v>
                </c:pt>
                <c:pt idx="57">
                  <c:v>7.0050000000000001E-2</c:v>
                </c:pt>
                <c:pt idx="58">
                  <c:v>6.7750000000000005E-2</c:v>
                </c:pt>
                <c:pt idx="59">
                  <c:v>6.7680000000000004E-2</c:v>
                </c:pt>
                <c:pt idx="60">
                  <c:v>6.8470000000000003E-2</c:v>
                </c:pt>
                <c:pt idx="61">
                  <c:v>7.0449999999999999E-2</c:v>
                </c:pt>
                <c:pt idx="62">
                  <c:v>7.3819999999999997E-2</c:v>
                </c:pt>
                <c:pt idx="63">
                  <c:v>7.7179999999999999E-2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79-4A72-926B-5E9E5205851C}"/>
            </c:ext>
          </c:extLst>
        </c:ser>
        <c:ser>
          <c:idx val="1"/>
          <c:order val="1"/>
          <c:tx>
            <c:v>에버라이트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'커스텀 64칼라 현대,기아,제네시스 (22년 12월)'!$M$7:$M$70</c:f>
              <c:numCache>
                <c:formatCode>0.0000</c:formatCode>
                <c:ptCount val="64"/>
                <c:pt idx="0">
                  <c:v>0.18110999999999999</c:v>
                </c:pt>
                <c:pt idx="1">
                  <c:v>0.19464999999999999</c:v>
                </c:pt>
                <c:pt idx="2">
                  <c:v>0.21226999999999999</c:v>
                </c:pt>
                <c:pt idx="3">
                  <c:v>0.23594999999999999</c:v>
                </c:pt>
                <c:pt idx="4">
                  <c:v>0.26329999999999998</c:v>
                </c:pt>
                <c:pt idx="5">
                  <c:v>0.29560999999999998</c:v>
                </c:pt>
                <c:pt idx="6">
                  <c:v>0.63202999999999998</c:v>
                </c:pt>
                <c:pt idx="7">
                  <c:v>0.38002999999999998</c:v>
                </c:pt>
                <c:pt idx="8">
                  <c:v>0.45021</c:v>
                </c:pt>
                <c:pt idx="9">
                  <c:v>0.51304000000000005</c:v>
                </c:pt>
                <c:pt idx="10">
                  <c:v>0.57250999999999996</c:v>
                </c:pt>
                <c:pt idx="11">
                  <c:v>0.60570999999999997</c:v>
                </c:pt>
                <c:pt idx="12">
                  <c:v>0.62673999999999996</c:v>
                </c:pt>
                <c:pt idx="13">
                  <c:v>0.63526000000000005</c:v>
                </c:pt>
                <c:pt idx="14">
                  <c:v>0.63861999999999997</c:v>
                </c:pt>
                <c:pt idx="15">
                  <c:v>0.6381</c:v>
                </c:pt>
                <c:pt idx="16">
                  <c:v>0.63566</c:v>
                </c:pt>
                <c:pt idx="17">
                  <c:v>0.63202999999999998</c:v>
                </c:pt>
                <c:pt idx="18">
                  <c:v>0.62716000000000005</c:v>
                </c:pt>
                <c:pt idx="19">
                  <c:v>0.62105999999999995</c:v>
                </c:pt>
                <c:pt idx="20">
                  <c:v>0.61377999999999999</c:v>
                </c:pt>
                <c:pt idx="21">
                  <c:v>0.60541</c:v>
                </c:pt>
                <c:pt idx="22">
                  <c:v>0.59606999999999999</c:v>
                </c:pt>
                <c:pt idx="23">
                  <c:v>0.58592999999999995</c:v>
                </c:pt>
                <c:pt idx="24">
                  <c:v>0.57515000000000005</c:v>
                </c:pt>
                <c:pt idx="25">
                  <c:v>0.56120000000000003</c:v>
                </c:pt>
                <c:pt idx="26">
                  <c:v>0.54308999999999996</c:v>
                </c:pt>
                <c:pt idx="27">
                  <c:v>0.56120000000000003</c:v>
                </c:pt>
                <c:pt idx="28">
                  <c:v>0.49839</c:v>
                </c:pt>
                <c:pt idx="29">
                  <c:v>0.48131000000000002</c:v>
                </c:pt>
                <c:pt idx="30">
                  <c:v>0.46465000000000001</c:v>
                </c:pt>
                <c:pt idx="31">
                  <c:v>0.43314999999999998</c:v>
                </c:pt>
                <c:pt idx="32">
                  <c:v>0.41496</c:v>
                </c:pt>
                <c:pt idx="33">
                  <c:v>0.39118999999999998</c:v>
                </c:pt>
                <c:pt idx="34">
                  <c:v>0.37417</c:v>
                </c:pt>
                <c:pt idx="35">
                  <c:v>0.36137000000000002</c:v>
                </c:pt>
                <c:pt idx="36">
                  <c:v>0.35192000000000001</c:v>
                </c:pt>
                <c:pt idx="37">
                  <c:v>0.34157999999999999</c:v>
                </c:pt>
                <c:pt idx="38">
                  <c:v>0.33204</c:v>
                </c:pt>
                <c:pt idx="39">
                  <c:v>0.32227</c:v>
                </c:pt>
                <c:pt idx="40">
                  <c:v>0.31078</c:v>
                </c:pt>
                <c:pt idx="41">
                  <c:v>0.29782999999999998</c:v>
                </c:pt>
                <c:pt idx="42">
                  <c:v>0.28387000000000001</c:v>
                </c:pt>
                <c:pt idx="43">
                  <c:v>0.26945000000000002</c:v>
                </c:pt>
                <c:pt idx="44">
                  <c:v>0.25219999999999998</c:v>
                </c:pt>
                <c:pt idx="45">
                  <c:v>0.23707</c:v>
                </c:pt>
                <c:pt idx="46">
                  <c:v>0.22702</c:v>
                </c:pt>
                <c:pt idx="47">
                  <c:v>0.21748999999999999</c:v>
                </c:pt>
                <c:pt idx="48">
                  <c:v>0.20907000000000001</c:v>
                </c:pt>
                <c:pt idx="49">
                  <c:v>0.20125000000000001</c:v>
                </c:pt>
                <c:pt idx="50">
                  <c:v>0.19209000000000001</c:v>
                </c:pt>
                <c:pt idx="51">
                  <c:v>0.18481</c:v>
                </c:pt>
                <c:pt idx="52">
                  <c:v>0.17716999999999999</c:v>
                </c:pt>
                <c:pt idx="53">
                  <c:v>0.17007</c:v>
                </c:pt>
                <c:pt idx="54">
                  <c:v>0.1638</c:v>
                </c:pt>
                <c:pt idx="55">
                  <c:v>0.15858</c:v>
                </c:pt>
                <c:pt idx="56">
                  <c:v>0.15568000000000001</c:v>
                </c:pt>
                <c:pt idx="57">
                  <c:v>0.15636</c:v>
                </c:pt>
                <c:pt idx="58">
                  <c:v>0.15744</c:v>
                </c:pt>
                <c:pt idx="59">
                  <c:v>0.16023999999999999</c:v>
                </c:pt>
                <c:pt idx="60">
                  <c:v>0.16305</c:v>
                </c:pt>
                <c:pt idx="61">
                  <c:v>0.16621</c:v>
                </c:pt>
                <c:pt idx="62">
                  <c:v>0.16888</c:v>
                </c:pt>
                <c:pt idx="63">
                  <c:v>0.17568</c:v>
                </c:pt>
              </c:numCache>
            </c:numRef>
          </c:xVal>
          <c:yVal>
            <c:numRef>
              <c:f>'커스텀 64칼라 현대,기아,제네시스 (22년 12월)'!$N$7:$N$70</c:f>
              <c:numCache>
                <c:formatCode>0.0000</c:formatCode>
                <c:ptCount val="64"/>
                <c:pt idx="0">
                  <c:v>7.7410000000000007E-2</c:v>
                </c:pt>
                <c:pt idx="1">
                  <c:v>8.4599999999999995E-2</c:v>
                </c:pt>
                <c:pt idx="2">
                  <c:v>9.4310000000000005E-2</c:v>
                </c:pt>
                <c:pt idx="3">
                  <c:v>0.10736</c:v>
                </c:pt>
                <c:pt idx="4">
                  <c:v>0.12243</c:v>
                </c:pt>
                <c:pt idx="5">
                  <c:v>0.14022999999999999</c:v>
                </c:pt>
                <c:pt idx="6">
                  <c:v>0.33633000000000002</c:v>
                </c:pt>
                <c:pt idx="7">
                  <c:v>0.18675</c:v>
                </c:pt>
                <c:pt idx="8">
                  <c:v>0.22542000000000001</c:v>
                </c:pt>
                <c:pt idx="9">
                  <c:v>0.26003999999999999</c:v>
                </c:pt>
                <c:pt idx="10">
                  <c:v>0.29281000000000001</c:v>
                </c:pt>
                <c:pt idx="11">
                  <c:v>0.31111</c:v>
                </c:pt>
                <c:pt idx="12">
                  <c:v>0.32268999999999998</c:v>
                </c:pt>
                <c:pt idx="13">
                  <c:v>0.32739000000000001</c:v>
                </c:pt>
                <c:pt idx="14">
                  <c:v>0.32923999999999998</c:v>
                </c:pt>
                <c:pt idx="15">
                  <c:v>0.33151000000000003</c:v>
                </c:pt>
                <c:pt idx="16">
                  <c:v>0.33345000000000002</c:v>
                </c:pt>
                <c:pt idx="17">
                  <c:v>0.33633000000000002</c:v>
                </c:pt>
                <c:pt idx="18">
                  <c:v>0.3402</c:v>
                </c:pt>
                <c:pt idx="19">
                  <c:v>0.34504000000000001</c:v>
                </c:pt>
                <c:pt idx="20">
                  <c:v>0.35082000000000002</c:v>
                </c:pt>
                <c:pt idx="21">
                  <c:v>0.35747000000000001</c:v>
                </c:pt>
                <c:pt idx="22">
                  <c:v>0.36487999999999998</c:v>
                </c:pt>
                <c:pt idx="23">
                  <c:v>0.37293999999999999</c:v>
                </c:pt>
                <c:pt idx="24">
                  <c:v>0.38150000000000001</c:v>
                </c:pt>
                <c:pt idx="25">
                  <c:v>0.39256999999999997</c:v>
                </c:pt>
                <c:pt idx="26">
                  <c:v>0.40695999999999999</c:v>
                </c:pt>
                <c:pt idx="27">
                  <c:v>0.39256999999999997</c:v>
                </c:pt>
                <c:pt idx="28">
                  <c:v>0.44245000000000001</c:v>
                </c:pt>
                <c:pt idx="29">
                  <c:v>0.45601999999999998</c:v>
                </c:pt>
                <c:pt idx="30">
                  <c:v>0.46925</c:v>
                </c:pt>
                <c:pt idx="31">
                  <c:v>0.49425999999999998</c:v>
                </c:pt>
                <c:pt idx="32">
                  <c:v>0.50870000000000004</c:v>
                </c:pt>
                <c:pt idx="33">
                  <c:v>0.52758000000000005</c:v>
                </c:pt>
                <c:pt idx="34">
                  <c:v>0.54110000000000003</c:v>
                </c:pt>
                <c:pt idx="35">
                  <c:v>0.54945999999999995</c:v>
                </c:pt>
                <c:pt idx="36">
                  <c:v>0.55469000000000002</c:v>
                </c:pt>
                <c:pt idx="37">
                  <c:v>0.55496000000000001</c:v>
                </c:pt>
                <c:pt idx="38">
                  <c:v>0.54901</c:v>
                </c:pt>
                <c:pt idx="39">
                  <c:v>0.53583000000000003</c:v>
                </c:pt>
                <c:pt idx="40">
                  <c:v>0.51671</c:v>
                </c:pt>
                <c:pt idx="41">
                  <c:v>0.49186999999999997</c:v>
                </c:pt>
                <c:pt idx="42">
                  <c:v>0.46206999999999998</c:v>
                </c:pt>
                <c:pt idx="43">
                  <c:v>0.42860999999999999</c:v>
                </c:pt>
                <c:pt idx="44">
                  <c:v>0.39354</c:v>
                </c:pt>
                <c:pt idx="45">
                  <c:v>0.35731000000000002</c:v>
                </c:pt>
                <c:pt idx="46">
                  <c:v>0.32877000000000001</c:v>
                </c:pt>
                <c:pt idx="47">
                  <c:v>0.3</c:v>
                </c:pt>
                <c:pt idx="48">
                  <c:v>0.27172000000000002</c:v>
                </c:pt>
                <c:pt idx="49">
                  <c:v>0.2445</c:v>
                </c:pt>
                <c:pt idx="50">
                  <c:v>0.21151</c:v>
                </c:pt>
                <c:pt idx="51">
                  <c:v>0.18532000000000001</c:v>
                </c:pt>
                <c:pt idx="52">
                  <c:v>0.15781000000000001</c:v>
                </c:pt>
                <c:pt idx="53">
                  <c:v>0.13227</c:v>
                </c:pt>
                <c:pt idx="54">
                  <c:v>0.10967</c:v>
                </c:pt>
                <c:pt idx="55">
                  <c:v>9.0899999999999995E-2</c:v>
                </c:pt>
                <c:pt idx="56">
                  <c:v>7.7740000000000004E-2</c:v>
                </c:pt>
                <c:pt idx="57">
                  <c:v>7.4219999999999994E-2</c:v>
                </c:pt>
                <c:pt idx="58">
                  <c:v>7.0999999999999994E-2</c:v>
                </c:pt>
                <c:pt idx="59">
                  <c:v>6.9739999999999996E-2</c:v>
                </c:pt>
                <c:pt idx="60">
                  <c:v>6.9159999999999999E-2</c:v>
                </c:pt>
                <c:pt idx="61">
                  <c:v>7.0019999999999999E-2</c:v>
                </c:pt>
                <c:pt idx="62">
                  <c:v>7.1050000000000002E-2</c:v>
                </c:pt>
                <c:pt idx="63">
                  <c:v>7.4660000000000004E-2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79-4A72-926B-5E9E5205851C}"/>
            </c:ext>
          </c:extLst>
        </c:ser>
        <c:ser>
          <c:idx val="2"/>
          <c:order val="2"/>
          <c:tx>
            <c:v>구현안됨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('커스텀 64칼라 현대,기아,제네시스 (22년 12월)'!$M$7:$M$12,'커스텀 64칼라 현대,기아,제네시스 (22년 12월)'!$M$63:$M$70)</c:f>
              <c:numCache>
                <c:formatCode>0.0000</c:formatCode>
                <c:ptCount val="14"/>
                <c:pt idx="0">
                  <c:v>0.18110999999999999</c:v>
                </c:pt>
                <c:pt idx="1">
                  <c:v>0.19464999999999999</c:v>
                </c:pt>
                <c:pt idx="2">
                  <c:v>0.21226999999999999</c:v>
                </c:pt>
                <c:pt idx="3">
                  <c:v>0.23594999999999999</c:v>
                </c:pt>
                <c:pt idx="4">
                  <c:v>0.26329999999999998</c:v>
                </c:pt>
                <c:pt idx="5">
                  <c:v>0.29560999999999998</c:v>
                </c:pt>
                <c:pt idx="6">
                  <c:v>0.15568000000000001</c:v>
                </c:pt>
                <c:pt idx="7">
                  <c:v>0.15636</c:v>
                </c:pt>
                <c:pt idx="8">
                  <c:v>0.15744</c:v>
                </c:pt>
                <c:pt idx="9">
                  <c:v>0.16023999999999999</c:v>
                </c:pt>
                <c:pt idx="10">
                  <c:v>0.16305</c:v>
                </c:pt>
                <c:pt idx="11">
                  <c:v>0.16621</c:v>
                </c:pt>
                <c:pt idx="12">
                  <c:v>0.16888</c:v>
                </c:pt>
                <c:pt idx="13">
                  <c:v>0.17568</c:v>
                </c:pt>
              </c:numCache>
            </c:numRef>
          </c:xVal>
          <c:yVal>
            <c:numRef>
              <c:f>('커스텀 64칼라 현대,기아,제네시스 (22년 12월)'!$N$7:$N$12,'커스텀 64칼라 현대,기아,제네시스 (22년 12월)'!$N$63:$N$70)</c:f>
              <c:numCache>
                <c:formatCode>0.0000</c:formatCode>
                <c:ptCount val="14"/>
                <c:pt idx="0">
                  <c:v>7.7410000000000007E-2</c:v>
                </c:pt>
                <c:pt idx="1">
                  <c:v>8.4599999999999995E-2</c:v>
                </c:pt>
                <c:pt idx="2">
                  <c:v>9.4310000000000005E-2</c:v>
                </c:pt>
                <c:pt idx="3">
                  <c:v>0.10736</c:v>
                </c:pt>
                <c:pt idx="4">
                  <c:v>0.12243</c:v>
                </c:pt>
                <c:pt idx="5">
                  <c:v>0.14022999999999999</c:v>
                </c:pt>
                <c:pt idx="6">
                  <c:v>7.7740000000000004E-2</c:v>
                </c:pt>
                <c:pt idx="7">
                  <c:v>7.4219999999999994E-2</c:v>
                </c:pt>
                <c:pt idx="8">
                  <c:v>7.0999999999999994E-2</c:v>
                </c:pt>
                <c:pt idx="9">
                  <c:v>6.9739999999999996E-2</c:v>
                </c:pt>
                <c:pt idx="10">
                  <c:v>6.9159999999999999E-2</c:v>
                </c:pt>
                <c:pt idx="11">
                  <c:v>7.0019999999999999E-2</c:v>
                </c:pt>
                <c:pt idx="12">
                  <c:v>7.1050000000000002E-2</c:v>
                </c:pt>
                <c:pt idx="13">
                  <c:v>7.4660000000000004E-2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79-4A72-926B-5E9E52058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174912"/>
        <c:axId val="1815167840"/>
      </c:scatterChart>
      <c:valAx>
        <c:axId val="1815174912"/>
        <c:scaling>
          <c:orientation val="minMax"/>
          <c:max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5167840"/>
        <c:crosses val="autoZero"/>
        <c:crossBetween val="midCat"/>
      </c:valAx>
      <c:valAx>
        <c:axId val="181516784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517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280146</xdr:colOff>
      <xdr:row>7</xdr:row>
      <xdr:rowOff>0</xdr:rowOff>
    </xdr:from>
    <xdr:to>
      <xdr:col>30</xdr:col>
      <xdr:colOff>254373</xdr:colOff>
      <xdr:row>42</xdr:row>
      <xdr:rowOff>152512</xdr:rowOff>
    </xdr:to>
    <xdr:pic>
      <xdr:nvPicPr>
        <xdr:cNvPr id="3" name="Picture 2" descr="31cie">
          <a:extLst>
            <a:ext uri="{FF2B5EF4-FFF2-40B4-BE49-F238E27FC236}">
              <a16:creationId xmlns:a16="http://schemas.microsoft.com/office/drawing/2014/main" id="{4167DF6A-D4CC-447C-91A0-126B1E0E3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45000"/>
        </a:blip>
        <a:srcRect/>
        <a:stretch>
          <a:fillRect/>
        </a:stretch>
      </xdr:blipFill>
      <xdr:spPr bwMode="auto">
        <a:xfrm>
          <a:off x="16986168" y="1416326"/>
          <a:ext cx="6161335" cy="6240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</xdr:col>
      <xdr:colOff>546158</xdr:colOff>
      <xdr:row>7</xdr:row>
      <xdr:rowOff>24848</xdr:rowOff>
    </xdr:from>
    <xdr:to>
      <xdr:col>30</xdr:col>
      <xdr:colOff>215347</xdr:colOff>
      <xdr:row>41</xdr:row>
      <xdr:rowOff>91105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68ACB0D-E900-079C-2797-0A44D5D65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495300</xdr:colOff>
      <xdr:row>16</xdr:row>
      <xdr:rowOff>123825</xdr:rowOff>
    </xdr:from>
    <xdr:to>
      <xdr:col>24</xdr:col>
      <xdr:colOff>619125</xdr:colOff>
      <xdr:row>37</xdr:row>
      <xdr:rowOff>161925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75F07ADB-EB42-968C-4E5F-639F841FB73A}"/>
            </a:ext>
          </a:extLst>
        </xdr:cNvPr>
        <xdr:cNvCxnSpPr/>
      </xdr:nvCxnSpPr>
      <xdr:spPr>
        <a:xfrm flipH="1">
          <a:off x="18573750" y="3095625"/>
          <a:ext cx="809625" cy="3638550"/>
        </a:xfrm>
        <a:prstGeom prst="line">
          <a:avLst/>
        </a:prstGeom>
        <a:ln w="38100">
          <a:solidFill>
            <a:schemeClr val="bg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647700</xdr:colOff>
      <xdr:row>16</xdr:row>
      <xdr:rowOff>123825</xdr:rowOff>
    </xdr:from>
    <xdr:to>
      <xdr:col>28</xdr:col>
      <xdr:colOff>347870</xdr:colOff>
      <xdr:row>28</xdr:row>
      <xdr:rowOff>8282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AEED5B7B-5B70-B877-6547-2939B7760225}"/>
            </a:ext>
          </a:extLst>
        </xdr:cNvPr>
        <xdr:cNvCxnSpPr/>
      </xdr:nvCxnSpPr>
      <xdr:spPr>
        <a:xfrm>
          <a:off x="19411950" y="3095625"/>
          <a:ext cx="2443370" cy="1941857"/>
        </a:xfrm>
        <a:prstGeom prst="line">
          <a:avLst/>
        </a:prstGeom>
        <a:ln w="38100">
          <a:solidFill>
            <a:schemeClr val="bg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533400</xdr:colOff>
      <xdr:row>28</xdr:row>
      <xdr:rowOff>49695</xdr:rowOff>
    </xdr:from>
    <xdr:to>
      <xdr:col>28</xdr:col>
      <xdr:colOff>372718</xdr:colOff>
      <xdr:row>37</xdr:row>
      <xdr:rowOff>114300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ABC83F1C-5AA0-2DDB-423C-464D12EAE789}"/>
            </a:ext>
          </a:extLst>
        </xdr:cNvPr>
        <xdr:cNvCxnSpPr/>
      </xdr:nvCxnSpPr>
      <xdr:spPr>
        <a:xfrm flipV="1">
          <a:off x="18611850" y="5078895"/>
          <a:ext cx="3268318" cy="1607655"/>
        </a:xfrm>
        <a:prstGeom prst="line">
          <a:avLst/>
        </a:prstGeom>
        <a:ln w="38100">
          <a:solidFill>
            <a:schemeClr val="bg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0</xdr:colOff>
      <xdr:row>45</xdr:row>
      <xdr:rowOff>0</xdr:rowOff>
    </xdr:from>
    <xdr:to>
      <xdr:col>31</xdr:col>
      <xdr:colOff>203367</xdr:colOff>
      <xdr:row>61</xdr:row>
      <xdr:rowOff>75428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C4EB759-5A77-6785-D3FF-3B92A9728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93478" y="8025848"/>
          <a:ext cx="6390476" cy="2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B2:S17"/>
  <sheetViews>
    <sheetView zoomScale="85" zoomScaleNormal="85" workbookViewId="0">
      <selection activeCell="G29" sqref="G29"/>
    </sheetView>
  </sheetViews>
  <sheetFormatPr defaultColWidth="9" defaultRowHeight="13.5"/>
  <cols>
    <col min="1" max="1" width="9" style="31"/>
    <col min="2" max="2" width="16.75" style="31" bestFit="1" customWidth="1"/>
    <col min="3" max="3" width="13.375" style="31" customWidth="1"/>
    <col min="4" max="9" width="9" style="31" customWidth="1"/>
    <col min="10" max="11" width="21.625" style="31" customWidth="1"/>
    <col min="12" max="17" width="10" style="31" customWidth="1"/>
    <col min="18" max="18" width="26.5" style="31" customWidth="1"/>
    <col min="19" max="19" width="25.875" style="31" customWidth="1"/>
    <col min="20" max="16384" width="9" style="31"/>
  </cols>
  <sheetData>
    <row r="2" spans="2:19" ht="17.25" thickBot="1">
      <c r="B2" s="20" t="s">
        <v>0</v>
      </c>
    </row>
    <row r="3" spans="2:19" ht="17.25" customHeight="1">
      <c r="B3" s="426" t="s">
        <v>1</v>
      </c>
      <c r="C3" s="431" t="s">
        <v>2</v>
      </c>
      <c r="D3" s="432"/>
      <c r="E3" s="432"/>
      <c r="F3" s="432"/>
      <c r="G3" s="432"/>
      <c r="H3" s="432"/>
      <c r="I3" s="432"/>
      <c r="J3" s="432"/>
      <c r="K3" s="433"/>
      <c r="L3" s="410" t="s">
        <v>255</v>
      </c>
      <c r="M3" s="411"/>
      <c r="N3" s="412"/>
      <c r="O3" s="410" t="s">
        <v>256</v>
      </c>
      <c r="P3" s="411"/>
      <c r="Q3" s="416"/>
    </row>
    <row r="4" spans="2:19" ht="16.5" customHeight="1">
      <c r="B4" s="427"/>
      <c r="C4" s="434" t="s">
        <v>3</v>
      </c>
      <c r="D4" s="423" t="s">
        <v>4</v>
      </c>
      <c r="E4" s="424"/>
      <c r="F4" s="425"/>
      <c r="G4" s="423" t="s">
        <v>5</v>
      </c>
      <c r="H4" s="424"/>
      <c r="I4" s="425"/>
      <c r="J4" s="436" t="s">
        <v>6</v>
      </c>
      <c r="K4" s="437"/>
      <c r="L4" s="413"/>
      <c r="M4" s="414"/>
      <c r="N4" s="415"/>
      <c r="O4" s="413"/>
      <c r="P4" s="414"/>
      <c r="Q4" s="417"/>
    </row>
    <row r="5" spans="2:19" ht="17.25" customHeight="1" thickBot="1">
      <c r="B5" s="428"/>
      <c r="C5" s="435"/>
      <c r="D5" s="32" t="s">
        <v>7</v>
      </c>
      <c r="E5" s="33" t="s">
        <v>8</v>
      </c>
      <c r="F5" s="33" t="s">
        <v>9</v>
      </c>
      <c r="G5" s="32" t="s">
        <v>7</v>
      </c>
      <c r="H5" s="33" t="s">
        <v>8</v>
      </c>
      <c r="I5" s="33" t="s">
        <v>9</v>
      </c>
      <c r="J5" s="34" t="s">
        <v>10</v>
      </c>
      <c r="K5" s="38" t="s">
        <v>11</v>
      </c>
      <c r="L5" s="334" t="s">
        <v>257</v>
      </c>
      <c r="M5" s="335" t="s">
        <v>259</v>
      </c>
      <c r="N5" s="336" t="s">
        <v>260</v>
      </c>
      <c r="O5" s="334" t="s">
        <v>257</v>
      </c>
      <c r="P5" s="335" t="s">
        <v>261</v>
      </c>
      <c r="Q5" s="337" t="s">
        <v>260</v>
      </c>
    </row>
    <row r="6" spans="2:19" ht="17.25" customHeight="1" thickBot="1">
      <c r="B6" s="429" t="s">
        <v>12</v>
      </c>
      <c r="C6" s="430"/>
      <c r="D6" s="420" t="s">
        <v>13</v>
      </c>
      <c r="E6" s="421"/>
      <c r="F6" s="421"/>
      <c r="G6" s="421"/>
      <c r="H6" s="421"/>
      <c r="I6" s="421"/>
      <c r="J6" s="421"/>
      <c r="K6" s="422"/>
      <c r="L6" s="338"/>
      <c r="M6" s="338"/>
      <c r="N6" s="338"/>
      <c r="O6" s="338"/>
      <c r="P6" s="338"/>
      <c r="Q6" s="338"/>
      <c r="R6" s="225"/>
      <c r="S6" s="225"/>
    </row>
    <row r="7" spans="2:19" ht="16.5">
      <c r="B7" s="418" t="s">
        <v>14</v>
      </c>
      <c r="C7" s="41" t="s">
        <v>15</v>
      </c>
      <c r="D7" s="293">
        <v>229</v>
      </c>
      <c r="E7" s="293">
        <v>242</v>
      </c>
      <c r="F7" s="293">
        <v>250</v>
      </c>
      <c r="G7" s="317"/>
      <c r="H7" s="317"/>
      <c r="I7" s="318"/>
      <c r="J7" s="222" t="s">
        <v>16</v>
      </c>
      <c r="K7" s="223" t="s">
        <v>17</v>
      </c>
      <c r="L7" s="339">
        <v>39</v>
      </c>
      <c r="M7" s="339">
        <v>39</v>
      </c>
      <c r="N7" s="339">
        <v>42</v>
      </c>
      <c r="O7" s="339">
        <v>85</v>
      </c>
      <c r="P7" s="339">
        <v>85</v>
      </c>
      <c r="Q7" s="339">
        <v>91</v>
      </c>
      <c r="R7" s="226" t="s">
        <v>18</v>
      </c>
      <c r="S7" s="229"/>
    </row>
    <row r="8" spans="2:19" ht="16.5">
      <c r="B8" s="418"/>
      <c r="C8" s="42" t="s">
        <v>19</v>
      </c>
      <c r="D8" s="294">
        <v>244</v>
      </c>
      <c r="E8" s="294">
        <v>233</v>
      </c>
      <c r="F8" s="294">
        <v>223</v>
      </c>
      <c r="G8" s="319"/>
      <c r="H8" s="319"/>
      <c r="I8" s="320"/>
      <c r="J8" s="35" t="s">
        <v>20</v>
      </c>
      <c r="K8" s="40" t="s">
        <v>21</v>
      </c>
      <c r="L8" s="340">
        <v>42</v>
      </c>
      <c r="M8" s="340">
        <v>38</v>
      </c>
      <c r="N8" s="340">
        <v>38</v>
      </c>
      <c r="O8" s="340">
        <v>92</v>
      </c>
      <c r="P8" s="340">
        <v>83</v>
      </c>
      <c r="Q8" s="340">
        <v>82</v>
      </c>
      <c r="R8" s="227" t="s">
        <v>22</v>
      </c>
      <c r="S8" s="230"/>
    </row>
    <row r="9" spans="2:19" ht="16.5">
      <c r="B9" s="418"/>
      <c r="C9" s="42" t="s">
        <v>23</v>
      </c>
      <c r="D9" s="294">
        <v>254</v>
      </c>
      <c r="E9" s="294">
        <v>168</v>
      </c>
      <c r="F9" s="294">
        <v>17</v>
      </c>
      <c r="G9" s="319"/>
      <c r="H9" s="319"/>
      <c r="I9" s="320"/>
      <c r="J9" s="35" t="s">
        <v>24</v>
      </c>
      <c r="K9" s="40" t="s">
        <v>25</v>
      </c>
      <c r="L9" s="340">
        <v>57</v>
      </c>
      <c r="M9" s="340">
        <v>37</v>
      </c>
      <c r="N9" s="340">
        <v>4</v>
      </c>
      <c r="O9" s="340">
        <v>124</v>
      </c>
      <c r="P9" s="340">
        <v>79</v>
      </c>
      <c r="Q9" s="340">
        <v>9</v>
      </c>
      <c r="R9" s="227" t="s">
        <v>26</v>
      </c>
      <c r="S9" s="231"/>
    </row>
    <row r="10" spans="2:19" ht="16.5">
      <c r="B10" s="418"/>
      <c r="C10" s="292" t="s">
        <v>27</v>
      </c>
      <c r="D10" s="294">
        <v>233</v>
      </c>
      <c r="E10" s="294">
        <v>62</v>
      </c>
      <c r="F10" s="294">
        <v>62</v>
      </c>
      <c r="G10" s="319"/>
      <c r="H10" s="319"/>
      <c r="I10" s="320"/>
      <c r="J10" s="35" t="s">
        <v>28</v>
      </c>
      <c r="K10" s="40" t="s">
        <v>29</v>
      </c>
      <c r="L10" s="340">
        <v>85</v>
      </c>
      <c r="M10" s="340">
        <v>21</v>
      </c>
      <c r="N10" s="340">
        <v>23</v>
      </c>
      <c r="O10" s="340">
        <v>184</v>
      </c>
      <c r="P10" s="340">
        <v>46</v>
      </c>
      <c r="Q10" s="340">
        <v>49</v>
      </c>
      <c r="R10" s="227" t="s">
        <v>30</v>
      </c>
      <c r="S10" s="232"/>
    </row>
    <row r="11" spans="2:19" ht="16.5">
      <c r="B11" s="418"/>
      <c r="C11" s="42" t="s">
        <v>31</v>
      </c>
      <c r="D11" s="294">
        <v>187</v>
      </c>
      <c r="E11" s="294">
        <v>15</v>
      </c>
      <c r="F11" s="294">
        <v>236</v>
      </c>
      <c r="G11" s="319"/>
      <c r="H11" s="319"/>
      <c r="I11" s="320"/>
      <c r="J11" s="35" t="s">
        <v>29</v>
      </c>
      <c r="K11" s="40" t="s">
        <v>32</v>
      </c>
      <c r="L11" s="340">
        <v>94</v>
      </c>
      <c r="M11" s="340">
        <v>3</v>
      </c>
      <c r="N11" s="340">
        <v>117</v>
      </c>
      <c r="O11" s="341">
        <v>204</v>
      </c>
      <c r="P11" s="341">
        <v>7</v>
      </c>
      <c r="Q11" s="341">
        <v>253</v>
      </c>
      <c r="R11" s="227" t="s">
        <v>33</v>
      </c>
      <c r="S11" s="233"/>
    </row>
    <row r="12" spans="2:19" ht="16.5">
      <c r="B12" s="418"/>
      <c r="C12" s="42" t="s">
        <v>34</v>
      </c>
      <c r="D12" s="294">
        <v>138</v>
      </c>
      <c r="E12" s="294">
        <v>37</v>
      </c>
      <c r="F12" s="294">
        <v>252</v>
      </c>
      <c r="G12" s="319"/>
      <c r="H12" s="319"/>
      <c r="I12" s="320"/>
      <c r="J12" s="35" t="s">
        <v>35</v>
      </c>
      <c r="K12" s="40" t="s">
        <v>32</v>
      </c>
      <c r="L12" s="340">
        <v>69</v>
      </c>
      <c r="M12" s="340">
        <v>14</v>
      </c>
      <c r="N12" s="340">
        <v>122</v>
      </c>
      <c r="O12" s="340">
        <v>149</v>
      </c>
      <c r="P12" s="340">
        <v>30</v>
      </c>
      <c r="Q12" s="340">
        <v>255</v>
      </c>
      <c r="R12" s="227" t="s">
        <v>36</v>
      </c>
      <c r="S12" s="234"/>
    </row>
    <row r="13" spans="2:19" ht="16.5">
      <c r="B13" s="418"/>
      <c r="C13" s="42" t="s">
        <v>37</v>
      </c>
      <c r="D13" s="294">
        <v>24</v>
      </c>
      <c r="E13" s="294">
        <v>142</v>
      </c>
      <c r="F13" s="294">
        <v>253</v>
      </c>
      <c r="G13" s="319"/>
      <c r="H13" s="319"/>
      <c r="I13" s="320"/>
      <c r="J13" s="35" t="s">
        <v>38</v>
      </c>
      <c r="K13" s="40" t="s">
        <v>39</v>
      </c>
      <c r="L13" s="340">
        <v>10</v>
      </c>
      <c r="M13" s="340">
        <v>45</v>
      </c>
      <c r="N13" s="340">
        <v>87</v>
      </c>
      <c r="O13" s="340">
        <v>21</v>
      </c>
      <c r="P13" s="340">
        <v>99</v>
      </c>
      <c r="Q13" s="340">
        <v>189</v>
      </c>
      <c r="R13" s="227" t="s">
        <v>40</v>
      </c>
      <c r="S13" s="235"/>
    </row>
    <row r="14" spans="2:19" ht="16.5">
      <c r="B14" s="418"/>
      <c r="C14" s="42" t="s">
        <v>41</v>
      </c>
      <c r="D14" s="294">
        <v>3</v>
      </c>
      <c r="E14" s="294">
        <v>199</v>
      </c>
      <c r="F14" s="294">
        <v>192</v>
      </c>
      <c r="G14" s="319"/>
      <c r="H14" s="319"/>
      <c r="I14" s="320"/>
      <c r="J14" s="35" t="s">
        <v>42</v>
      </c>
      <c r="K14" s="40" t="s">
        <v>43</v>
      </c>
      <c r="L14" s="340">
        <v>2</v>
      </c>
      <c r="M14" s="340">
        <v>54</v>
      </c>
      <c r="N14" s="340">
        <v>54</v>
      </c>
      <c r="O14" s="340">
        <v>4</v>
      </c>
      <c r="P14" s="340">
        <v>117</v>
      </c>
      <c r="Q14" s="340">
        <v>118</v>
      </c>
      <c r="R14" s="227" t="s">
        <v>44</v>
      </c>
      <c r="S14" s="236"/>
    </row>
    <row r="15" spans="2:19" ht="16.5">
      <c r="B15" s="418"/>
      <c r="C15" s="42" t="s">
        <v>45</v>
      </c>
      <c r="D15" s="294">
        <v>126</v>
      </c>
      <c r="E15" s="294">
        <v>215</v>
      </c>
      <c r="F15" s="294">
        <v>21</v>
      </c>
      <c r="G15" s="319"/>
      <c r="H15" s="319"/>
      <c r="I15" s="320"/>
      <c r="J15" s="35" t="s">
        <v>46</v>
      </c>
      <c r="K15" s="40" t="s">
        <v>47</v>
      </c>
      <c r="L15" s="340">
        <v>29</v>
      </c>
      <c r="M15" s="340">
        <v>49</v>
      </c>
      <c r="N15" s="340">
        <v>5</v>
      </c>
      <c r="O15" s="340">
        <v>63</v>
      </c>
      <c r="P15" s="340">
        <v>106</v>
      </c>
      <c r="Q15" s="340">
        <v>11</v>
      </c>
      <c r="R15" s="227" t="s">
        <v>48</v>
      </c>
      <c r="S15" s="237"/>
    </row>
    <row r="16" spans="2:19" ht="17.25" thickBot="1">
      <c r="B16" s="419"/>
      <c r="C16" s="224" t="s">
        <v>49</v>
      </c>
      <c r="D16" s="295">
        <v>183</v>
      </c>
      <c r="E16" s="295">
        <v>228</v>
      </c>
      <c r="F16" s="295">
        <v>252</v>
      </c>
      <c r="G16" s="321"/>
      <c r="H16" s="321"/>
      <c r="I16" s="322"/>
      <c r="J16" s="39" t="s">
        <v>50</v>
      </c>
      <c r="K16" s="173" t="s">
        <v>38</v>
      </c>
      <c r="L16" s="342">
        <v>33</v>
      </c>
      <c r="M16" s="342">
        <v>41</v>
      </c>
      <c r="N16" s="342">
        <v>47</v>
      </c>
      <c r="O16" s="342">
        <v>73</v>
      </c>
      <c r="P16" s="342">
        <v>88</v>
      </c>
      <c r="Q16" s="342">
        <v>102</v>
      </c>
      <c r="R16" s="228" t="s">
        <v>51</v>
      </c>
      <c r="S16" s="238"/>
    </row>
    <row r="17" spans="2:18" ht="16.5">
      <c r="B17" s="76"/>
      <c r="C17" s="77"/>
      <c r="D17" s="78"/>
      <c r="E17" s="78"/>
      <c r="F17" s="78"/>
      <c r="G17" s="78"/>
      <c r="H17" s="78"/>
      <c r="I17" s="78"/>
      <c r="J17" s="79"/>
      <c r="K17" s="79"/>
      <c r="L17" s="79"/>
      <c r="M17" s="79"/>
      <c r="N17" s="79"/>
      <c r="O17" s="79"/>
      <c r="P17" s="79"/>
      <c r="Q17" s="79"/>
      <c r="R17" s="80"/>
    </row>
  </sheetData>
  <mergeCells count="11">
    <mergeCell ref="L3:N4"/>
    <mergeCell ref="O3:Q4"/>
    <mergeCell ref="B7:B16"/>
    <mergeCell ref="D6:K6"/>
    <mergeCell ref="G4:I4"/>
    <mergeCell ref="B3:B5"/>
    <mergeCell ref="B6:C6"/>
    <mergeCell ref="C3:K3"/>
    <mergeCell ref="C4:C5"/>
    <mergeCell ref="D4:F4"/>
    <mergeCell ref="J4:K4"/>
  </mergeCells>
  <phoneticPr fontId="11" type="noConversion"/>
  <pageMargins left="0.7" right="0.7" top="0.75" bottom="0.75" header="0.3" footer="0.3"/>
  <pageSetup paperSize="9" orientation="portrait" horizontalDpi="300" verticalDpi="300" r:id="rId1"/>
  <headerFooter>
    <oddHeader>&amp;C&amp;G</oddHeader>
    <oddFooter>&amp;C&amp;"맑은 고딕"&amp;11&amp;K000000&amp;"맑은 고딕"&amp;11&amp;K000000&amp;"맑은 고딕"&amp;11&amp;K000000&amp;"맑은 고딕"&amp;11&amp;K000000&amp;"맑은 고딕"&amp;11&amp;K000000&amp;"맑은 고딕"&amp;11&amp;K000000_x000D_&amp;1#&amp;"맑은 고딕"&amp;6&amp;K737373 장두진( JANG DOO JIN ) 전원구동반도체팀 / 1628615@mobis.com / 본 문서는 현대모비스의 대외비 정보자산이므로 무단 전재 및 복제할 수 없으며, 위반 시 당사 사규 및 관련 법규에 의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60660"/>
  </sheetPr>
  <dimension ref="A2:W28"/>
  <sheetViews>
    <sheetView zoomScale="85" zoomScaleNormal="85" zoomScaleSheetLayoutView="115" workbookViewId="0">
      <selection activeCell="O22" sqref="O22"/>
    </sheetView>
  </sheetViews>
  <sheetFormatPr defaultColWidth="9" defaultRowHeight="16.5"/>
  <cols>
    <col min="1" max="1" width="4.75" customWidth="1"/>
    <col min="2" max="2" width="16.75" bestFit="1" customWidth="1"/>
    <col min="10" max="11" width="12.5" style="45" customWidth="1"/>
    <col min="12" max="19" width="12.5" customWidth="1"/>
    <col min="20" max="20" width="20.125" customWidth="1"/>
    <col min="21" max="21" width="12.25" customWidth="1"/>
    <col min="22" max="22" width="2.75" customWidth="1"/>
    <col min="24" max="24" width="10.75" customWidth="1"/>
  </cols>
  <sheetData>
    <row r="2" spans="2:23" ht="17.25" thickBot="1">
      <c r="B2" s="46" t="s">
        <v>52</v>
      </c>
      <c r="C2" s="46"/>
      <c r="D2" s="46"/>
      <c r="E2" s="46"/>
      <c r="F2" s="46"/>
      <c r="G2" s="46"/>
      <c r="H2" s="46"/>
      <c r="I2" s="46"/>
      <c r="J2" s="47"/>
      <c r="K2" s="47"/>
      <c r="L2" s="46"/>
      <c r="M2" s="46"/>
      <c r="N2" s="46"/>
      <c r="O2" s="46"/>
      <c r="P2" s="46"/>
      <c r="Q2" s="46"/>
      <c r="R2" s="46"/>
      <c r="S2" s="46"/>
      <c r="T2" s="46"/>
    </row>
    <row r="3" spans="2:23" ht="16.5" customHeight="1">
      <c r="B3" s="443" t="s">
        <v>53</v>
      </c>
      <c r="C3" s="443" t="s">
        <v>54</v>
      </c>
      <c r="D3" s="445" t="s">
        <v>55</v>
      </c>
      <c r="E3" s="445"/>
      <c r="F3" s="446"/>
      <c r="G3" s="446" t="s">
        <v>56</v>
      </c>
      <c r="H3" s="451"/>
      <c r="I3" s="452"/>
      <c r="J3" s="443" t="s">
        <v>57</v>
      </c>
      <c r="K3" s="445"/>
      <c r="L3" s="445"/>
      <c r="M3" s="447"/>
      <c r="N3" s="410" t="s">
        <v>262</v>
      </c>
      <c r="O3" s="411"/>
      <c r="P3" s="412"/>
      <c r="Q3" s="410" t="s">
        <v>263</v>
      </c>
      <c r="R3" s="411"/>
      <c r="S3" s="416"/>
      <c r="T3" s="48"/>
    </row>
    <row r="4" spans="2:23" ht="17.25" thickBot="1">
      <c r="B4" s="444"/>
      <c r="C4" s="444"/>
      <c r="D4" s="49" t="s">
        <v>58</v>
      </c>
      <c r="E4" s="49" t="s">
        <v>59</v>
      </c>
      <c r="F4" s="50" t="s">
        <v>60</v>
      </c>
      <c r="G4" s="50" t="s">
        <v>7</v>
      </c>
      <c r="H4" s="50" t="s">
        <v>8</v>
      </c>
      <c r="I4" s="53" t="s">
        <v>9</v>
      </c>
      <c r="J4" s="51" t="s">
        <v>61</v>
      </c>
      <c r="K4" s="52" t="s">
        <v>62</v>
      </c>
      <c r="L4" s="49" t="s">
        <v>63</v>
      </c>
      <c r="M4" s="53" t="s">
        <v>64</v>
      </c>
      <c r="N4" s="413"/>
      <c r="O4" s="414"/>
      <c r="P4" s="415"/>
      <c r="Q4" s="413"/>
      <c r="R4" s="414"/>
      <c r="S4" s="417"/>
      <c r="T4" s="48"/>
    </row>
    <row r="5" spans="2:23" ht="18" thickTop="1" thickBot="1">
      <c r="B5" s="438" t="s">
        <v>65</v>
      </c>
      <c r="C5" s="439"/>
      <c r="D5" s="448" t="s">
        <v>66</v>
      </c>
      <c r="E5" s="449"/>
      <c r="F5" s="449"/>
      <c r="G5" s="449"/>
      <c r="H5" s="449"/>
      <c r="I5" s="449"/>
      <c r="J5" s="449"/>
      <c r="K5" s="449"/>
      <c r="L5" s="449"/>
      <c r="M5" s="450"/>
      <c r="N5" s="334" t="s">
        <v>264</v>
      </c>
      <c r="O5" s="335" t="s">
        <v>265</v>
      </c>
      <c r="P5" s="336" t="s">
        <v>266</v>
      </c>
      <c r="Q5" s="334" t="s">
        <v>264</v>
      </c>
      <c r="R5" s="335" t="s">
        <v>259</v>
      </c>
      <c r="S5" s="337" t="s">
        <v>267</v>
      </c>
      <c r="T5" s="54"/>
      <c r="W5" s="55"/>
    </row>
    <row r="6" spans="2:23">
      <c r="B6" s="440" t="s">
        <v>67</v>
      </c>
      <c r="C6" s="70" t="s">
        <v>15</v>
      </c>
      <c r="D6" s="296">
        <v>79</v>
      </c>
      <c r="E6" s="296">
        <v>138</v>
      </c>
      <c r="F6" s="297">
        <v>195</v>
      </c>
      <c r="G6" s="323"/>
      <c r="H6" s="323"/>
      <c r="I6" s="323"/>
      <c r="J6" s="74">
        <v>0.188</v>
      </c>
      <c r="K6" s="74">
        <v>0.20399999999999999</v>
      </c>
      <c r="L6" s="71" t="s">
        <v>68</v>
      </c>
      <c r="M6" s="72">
        <v>33</v>
      </c>
      <c r="N6" s="344">
        <v>19</v>
      </c>
      <c r="O6" s="345">
        <v>37</v>
      </c>
      <c r="P6" s="345">
        <v>113</v>
      </c>
      <c r="Q6" s="345">
        <v>41</v>
      </c>
      <c r="R6" s="345">
        <v>81</v>
      </c>
      <c r="S6" s="345">
        <v>245</v>
      </c>
      <c r="T6" s="75" t="s">
        <v>69</v>
      </c>
      <c r="U6" s="81"/>
    </row>
    <row r="7" spans="2:23">
      <c r="B7" s="441"/>
      <c r="C7" s="9" t="s">
        <v>19</v>
      </c>
      <c r="D7" s="298">
        <v>127</v>
      </c>
      <c r="E7" s="298">
        <v>154</v>
      </c>
      <c r="F7" s="299">
        <v>122</v>
      </c>
      <c r="G7" s="324"/>
      <c r="H7" s="324"/>
      <c r="I7" s="324"/>
      <c r="J7" s="13">
        <v>0.32800000000000001</v>
      </c>
      <c r="K7" s="13">
        <v>0.44400000000000001</v>
      </c>
      <c r="L7" s="10">
        <v>52</v>
      </c>
      <c r="M7" s="11" t="s">
        <v>70</v>
      </c>
      <c r="N7" s="346">
        <v>30</v>
      </c>
      <c r="O7" s="339">
        <v>47</v>
      </c>
      <c r="P7" s="339">
        <v>17</v>
      </c>
      <c r="Q7" s="339">
        <v>65</v>
      </c>
      <c r="R7" s="339">
        <v>102</v>
      </c>
      <c r="S7" s="339">
        <v>37</v>
      </c>
      <c r="T7" s="14" t="s">
        <v>71</v>
      </c>
      <c r="U7" s="82"/>
    </row>
    <row r="8" spans="2:23">
      <c r="B8" s="441"/>
      <c r="C8" s="9" t="s">
        <v>23</v>
      </c>
      <c r="D8" s="298">
        <v>107</v>
      </c>
      <c r="E8" s="298">
        <v>90</v>
      </c>
      <c r="F8" s="299">
        <v>149</v>
      </c>
      <c r="G8" s="324"/>
      <c r="H8" s="324"/>
      <c r="I8" s="324"/>
      <c r="J8" s="13">
        <v>0.192</v>
      </c>
      <c r="K8" s="13">
        <v>0.104</v>
      </c>
      <c r="L8" s="10">
        <v>30</v>
      </c>
      <c r="M8" s="11" t="s">
        <v>72</v>
      </c>
      <c r="N8" s="347">
        <v>48</v>
      </c>
      <c r="O8" s="340">
        <v>2</v>
      </c>
      <c r="P8" s="340">
        <v>255</v>
      </c>
      <c r="Q8" s="340">
        <v>103</v>
      </c>
      <c r="R8" s="340">
        <v>5</v>
      </c>
      <c r="S8" s="340">
        <v>255</v>
      </c>
      <c r="T8" s="14" t="s">
        <v>73</v>
      </c>
      <c r="U8" s="83"/>
    </row>
    <row r="9" spans="2:23">
      <c r="B9" s="441"/>
      <c r="C9" s="94" t="s">
        <v>27</v>
      </c>
      <c r="D9" s="298">
        <v>167</v>
      </c>
      <c r="E9" s="300">
        <v>98</v>
      </c>
      <c r="F9" s="299">
        <v>127</v>
      </c>
      <c r="G9" s="324"/>
      <c r="H9" s="324"/>
      <c r="I9" s="324"/>
      <c r="J9" s="6">
        <v>0.40799999999999997</v>
      </c>
      <c r="K9" s="17">
        <v>0.28399999999999997</v>
      </c>
      <c r="L9" s="5">
        <v>66</v>
      </c>
      <c r="M9" s="15">
        <v>47</v>
      </c>
      <c r="N9" s="347">
        <v>74</v>
      </c>
      <c r="O9" s="340">
        <v>24</v>
      </c>
      <c r="P9" s="340">
        <v>40</v>
      </c>
      <c r="Q9" s="340">
        <v>160</v>
      </c>
      <c r="R9" s="340">
        <v>51</v>
      </c>
      <c r="S9" s="340">
        <v>88</v>
      </c>
      <c r="T9" s="14" t="s">
        <v>74</v>
      </c>
      <c r="U9" s="84"/>
    </row>
    <row r="10" spans="2:23">
      <c r="B10" s="441"/>
      <c r="C10" s="4" t="s">
        <v>31</v>
      </c>
      <c r="D10" s="298">
        <v>208</v>
      </c>
      <c r="E10" s="298">
        <v>112</v>
      </c>
      <c r="F10" s="299">
        <v>87</v>
      </c>
      <c r="G10" s="324"/>
      <c r="H10" s="324"/>
      <c r="I10" s="324"/>
      <c r="J10" s="13">
        <v>0.54400000000000004</v>
      </c>
      <c r="K10" s="13">
        <v>0.41</v>
      </c>
      <c r="L10" s="5">
        <v>88</v>
      </c>
      <c r="M10" s="15">
        <v>67</v>
      </c>
      <c r="N10" s="347">
        <v>75</v>
      </c>
      <c r="O10" s="340">
        <v>29</v>
      </c>
      <c r="P10" s="340">
        <v>3</v>
      </c>
      <c r="Q10" s="340">
        <v>163</v>
      </c>
      <c r="R10" s="340">
        <v>62</v>
      </c>
      <c r="S10" s="340">
        <v>6</v>
      </c>
      <c r="T10" s="14" t="s">
        <v>75</v>
      </c>
      <c r="U10" s="85"/>
    </row>
    <row r="11" spans="2:23">
      <c r="B11" s="441"/>
      <c r="C11" s="9" t="s">
        <v>34</v>
      </c>
      <c r="D11" s="298">
        <v>217</v>
      </c>
      <c r="E11" s="298">
        <v>174</v>
      </c>
      <c r="F11" s="299">
        <v>95</v>
      </c>
      <c r="G11" s="324"/>
      <c r="H11" s="324"/>
      <c r="I11" s="324"/>
      <c r="J11" s="13">
        <v>0.44</v>
      </c>
      <c r="K11" s="13">
        <v>0.44</v>
      </c>
      <c r="L11" s="10" t="s">
        <v>76</v>
      </c>
      <c r="M11" s="11" t="s">
        <v>76</v>
      </c>
      <c r="N11" s="347">
        <v>51</v>
      </c>
      <c r="O11" s="340">
        <v>39</v>
      </c>
      <c r="P11" s="340">
        <v>8</v>
      </c>
      <c r="Q11" s="341">
        <v>110</v>
      </c>
      <c r="R11" s="341">
        <v>84</v>
      </c>
      <c r="S11" s="341">
        <v>18</v>
      </c>
      <c r="T11" s="14" t="s">
        <v>77</v>
      </c>
      <c r="U11" s="86"/>
    </row>
    <row r="12" spans="2:23">
      <c r="B12" s="441"/>
      <c r="C12" s="92" t="s">
        <v>78</v>
      </c>
      <c r="D12" s="301">
        <v>50</v>
      </c>
      <c r="E12" s="301">
        <v>154</v>
      </c>
      <c r="F12" s="302">
        <v>158</v>
      </c>
      <c r="G12" s="325"/>
      <c r="H12" s="325"/>
      <c r="I12" s="325"/>
      <c r="J12" s="89">
        <v>0.21199999999999999</v>
      </c>
      <c r="K12" s="89">
        <v>0.34399999999999997</v>
      </c>
      <c r="L12" s="90">
        <v>35</v>
      </c>
      <c r="M12" s="91">
        <v>56</v>
      </c>
      <c r="N12" s="347">
        <v>14</v>
      </c>
      <c r="O12" s="340">
        <v>49</v>
      </c>
      <c r="P12" s="340">
        <v>47</v>
      </c>
      <c r="Q12" s="340">
        <v>30</v>
      </c>
      <c r="R12" s="340">
        <v>108</v>
      </c>
      <c r="S12" s="340">
        <v>102</v>
      </c>
      <c r="T12" s="93" t="s">
        <v>79</v>
      </c>
      <c r="U12" s="87"/>
    </row>
    <row r="13" spans="2:23">
      <c r="B13" s="441"/>
      <c r="C13" s="7" t="s">
        <v>80</v>
      </c>
      <c r="D13" s="301">
        <v>255</v>
      </c>
      <c r="E13" s="301">
        <v>255</v>
      </c>
      <c r="F13" s="302">
        <v>255</v>
      </c>
      <c r="G13" s="325"/>
      <c r="H13" s="325"/>
      <c r="I13" s="325"/>
      <c r="J13" s="89">
        <v>0.33200000000000002</v>
      </c>
      <c r="K13" s="89">
        <v>0.36799999999999999</v>
      </c>
      <c r="L13" s="8">
        <v>53</v>
      </c>
      <c r="M13" s="179" t="s">
        <v>81</v>
      </c>
      <c r="N13" s="347">
        <v>39</v>
      </c>
      <c r="O13" s="340">
        <v>41</v>
      </c>
      <c r="P13" s="340">
        <v>29</v>
      </c>
      <c r="Q13" s="340">
        <v>84</v>
      </c>
      <c r="R13" s="340">
        <v>89</v>
      </c>
      <c r="S13" s="340">
        <v>63</v>
      </c>
      <c r="T13" s="93" t="s">
        <v>82</v>
      </c>
      <c r="U13" s="95"/>
    </row>
    <row r="14" spans="2:23">
      <c r="B14" s="441"/>
      <c r="C14" s="7" t="s">
        <v>83</v>
      </c>
      <c r="D14" s="301">
        <v>234</v>
      </c>
      <c r="E14" s="301">
        <v>0</v>
      </c>
      <c r="F14" s="302">
        <v>4</v>
      </c>
      <c r="G14" s="325"/>
      <c r="H14" s="325"/>
      <c r="I14" s="325"/>
      <c r="J14" s="89">
        <v>0.64</v>
      </c>
      <c r="K14" s="89">
        <v>0.32800000000000001</v>
      </c>
      <c r="L14" s="8" t="s">
        <v>84</v>
      </c>
      <c r="M14" s="179">
        <v>52</v>
      </c>
      <c r="N14" s="347">
        <v>119</v>
      </c>
      <c r="O14" s="340">
        <v>9</v>
      </c>
      <c r="P14" s="340">
        <v>3</v>
      </c>
      <c r="Q14" s="340">
        <v>255</v>
      </c>
      <c r="R14" s="340">
        <v>19</v>
      </c>
      <c r="S14" s="340">
        <v>7</v>
      </c>
      <c r="T14" s="93" t="s">
        <v>85</v>
      </c>
      <c r="U14" s="96"/>
    </row>
    <row r="15" spans="2:23" ht="17.25" thickBot="1">
      <c r="B15" s="442"/>
      <c r="C15" s="180" t="s">
        <v>86</v>
      </c>
      <c r="D15" s="303">
        <v>200</v>
      </c>
      <c r="E15" s="303">
        <v>219</v>
      </c>
      <c r="F15" s="304">
        <v>255</v>
      </c>
      <c r="G15" s="326"/>
      <c r="H15" s="326"/>
      <c r="I15" s="326"/>
      <c r="J15" s="184">
        <v>0.29199999999999998</v>
      </c>
      <c r="K15" s="184">
        <v>0.32800000000000001</v>
      </c>
      <c r="L15" s="181">
        <v>49</v>
      </c>
      <c r="M15" s="182">
        <v>52</v>
      </c>
      <c r="N15" s="348">
        <v>34</v>
      </c>
      <c r="O15" s="342">
        <v>41</v>
      </c>
      <c r="P15" s="342">
        <v>42</v>
      </c>
      <c r="Q15" s="342">
        <v>75</v>
      </c>
      <c r="R15" s="342">
        <v>89</v>
      </c>
      <c r="S15" s="342">
        <v>92</v>
      </c>
      <c r="T15" s="185" t="s">
        <v>87</v>
      </c>
      <c r="U15" s="97"/>
    </row>
    <row r="28" spans="1:1">
      <c r="A28" s="45"/>
    </row>
  </sheetData>
  <mergeCells count="10">
    <mergeCell ref="N3:P4"/>
    <mergeCell ref="Q3:S4"/>
    <mergeCell ref="J3:M3"/>
    <mergeCell ref="D5:M5"/>
    <mergeCell ref="G3:I3"/>
    <mergeCell ref="B5:C5"/>
    <mergeCell ref="B6:B15"/>
    <mergeCell ref="B3:B4"/>
    <mergeCell ref="C3:C4"/>
    <mergeCell ref="D3:F3"/>
  </mergeCells>
  <phoneticPr fontId="7" type="noConversion"/>
  <pageMargins left="0.7" right="0.7" top="0.75" bottom="0.75" header="0.3" footer="0.3"/>
  <pageSetup paperSize="8" scale="47" orientation="portrait" horizontalDpi="300" verticalDpi="300" r:id="rId1"/>
  <headerFooter>
    <oddHeader>&amp;C&amp;G</oddHeader>
    <oddFooter xml:space="preserve">&amp;C&amp;"맑은 고딕"&amp;11&amp;K000000&amp;"맑은 고딕"&amp;11&amp;K000000&amp;"맑은 고딕"&amp;11&amp;K000000&amp;"맑은 고딕"&amp;11&amp;K000000&amp;"맑은 고딕"&amp;11&amp;K000000_x000D_&amp;1#&amp;"맑은 고딕"&amp;6&amp;K737373 장두진( JANG DOO JIN ) 전원구동반도체팀 / 1628615@mobis.com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B3:V16"/>
  <sheetViews>
    <sheetView zoomScale="85" zoomScaleNormal="85" workbookViewId="0">
      <selection activeCell="H30" sqref="H30"/>
    </sheetView>
  </sheetViews>
  <sheetFormatPr defaultColWidth="9" defaultRowHeight="16.5"/>
  <cols>
    <col min="1" max="1" width="2.25" style="18" customWidth="1"/>
    <col min="2" max="2" width="17.875" style="18" customWidth="1"/>
    <col min="3" max="3" width="13.375" style="18" customWidth="1"/>
    <col min="4" max="9" width="9" style="18"/>
    <col min="10" max="11" width="12.5" style="19" customWidth="1"/>
    <col min="12" max="19" width="12.5" style="18" customWidth="1"/>
    <col min="20" max="20" width="22.875" style="18" customWidth="1"/>
    <col min="21" max="21" width="29.375" style="18" customWidth="1"/>
    <col min="22" max="16384" width="9" style="18"/>
  </cols>
  <sheetData>
    <row r="3" spans="2:22" ht="17.25" thickBot="1">
      <c r="B3" s="20" t="s">
        <v>0</v>
      </c>
      <c r="C3" s="20"/>
      <c r="D3" s="20"/>
      <c r="E3" s="20"/>
      <c r="F3" s="20"/>
      <c r="G3" s="20"/>
      <c r="H3" s="20"/>
      <c r="I3" s="20"/>
      <c r="J3" s="21"/>
      <c r="K3" s="21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2:22" ht="16.5" customHeight="1">
      <c r="B4" s="458" t="s">
        <v>88</v>
      </c>
      <c r="C4" s="460" t="s">
        <v>3</v>
      </c>
      <c r="D4" s="458" t="s">
        <v>89</v>
      </c>
      <c r="E4" s="462"/>
      <c r="F4" s="462"/>
      <c r="G4" s="462" t="s">
        <v>90</v>
      </c>
      <c r="H4" s="462"/>
      <c r="I4" s="463"/>
      <c r="J4" s="464" t="s">
        <v>6</v>
      </c>
      <c r="K4" s="462"/>
      <c r="L4" s="462"/>
      <c r="M4" s="463"/>
      <c r="N4" s="410" t="s">
        <v>268</v>
      </c>
      <c r="O4" s="411"/>
      <c r="P4" s="412"/>
      <c r="Q4" s="410" t="s">
        <v>256</v>
      </c>
      <c r="R4" s="411"/>
      <c r="S4" s="416"/>
      <c r="T4" s="22"/>
      <c r="U4" s="22"/>
    </row>
    <row r="5" spans="2:22">
      <c r="B5" s="459"/>
      <c r="C5" s="461"/>
      <c r="D5" s="61" t="s">
        <v>91</v>
      </c>
      <c r="E5" s="23" t="s">
        <v>92</v>
      </c>
      <c r="F5" s="23" t="s">
        <v>93</v>
      </c>
      <c r="G5" s="23" t="s">
        <v>91</v>
      </c>
      <c r="H5" s="23" t="s">
        <v>92</v>
      </c>
      <c r="I5" s="62" t="s">
        <v>93</v>
      </c>
      <c r="J5" s="58" t="s">
        <v>94</v>
      </c>
      <c r="K5" s="24" t="s">
        <v>95</v>
      </c>
      <c r="L5" s="23" t="s">
        <v>96</v>
      </c>
      <c r="M5" s="62" t="s">
        <v>97</v>
      </c>
      <c r="N5" s="413"/>
      <c r="O5" s="414"/>
      <c r="P5" s="415"/>
      <c r="Q5" s="413"/>
      <c r="R5" s="414"/>
      <c r="S5" s="417"/>
      <c r="T5" s="22"/>
      <c r="U5" s="22"/>
    </row>
    <row r="6" spans="2:22" ht="17.25" thickBot="1">
      <c r="B6" s="453" t="s">
        <v>12</v>
      </c>
      <c r="C6" s="454"/>
      <c r="D6" s="465" t="s">
        <v>66</v>
      </c>
      <c r="E6" s="466"/>
      <c r="F6" s="466"/>
      <c r="G6" s="466"/>
      <c r="H6" s="466"/>
      <c r="I6" s="466"/>
      <c r="J6" s="466"/>
      <c r="K6" s="466"/>
      <c r="L6" s="466"/>
      <c r="M6" s="467"/>
      <c r="N6" s="334" t="s">
        <v>269</v>
      </c>
      <c r="O6" s="335" t="s">
        <v>258</v>
      </c>
      <c r="P6" s="336" t="s">
        <v>270</v>
      </c>
      <c r="Q6" s="334" t="s">
        <v>269</v>
      </c>
      <c r="R6" s="335" t="s">
        <v>261</v>
      </c>
      <c r="S6" s="337" t="s">
        <v>260</v>
      </c>
      <c r="T6" s="25"/>
      <c r="U6" s="25"/>
      <c r="V6" s="26"/>
    </row>
    <row r="7" spans="2:22">
      <c r="B7" s="455" t="s">
        <v>14</v>
      </c>
      <c r="C7" s="57" t="s">
        <v>15</v>
      </c>
      <c r="D7" s="305">
        <v>223</v>
      </c>
      <c r="E7" s="306">
        <v>200</v>
      </c>
      <c r="F7" s="306">
        <v>255</v>
      </c>
      <c r="G7" s="327"/>
      <c r="H7" s="327"/>
      <c r="I7" s="328"/>
      <c r="J7" s="60">
        <v>0.21</v>
      </c>
      <c r="K7" s="29">
        <v>0.23</v>
      </c>
      <c r="L7" s="30" t="str">
        <f t="shared" ref="L7:M7" si="0">DEC2HEX(ROUND(J7*250,0))</f>
        <v>35</v>
      </c>
      <c r="M7" s="30" t="str">
        <f t="shared" si="0"/>
        <v>3A</v>
      </c>
      <c r="N7" s="344">
        <v>24</v>
      </c>
      <c r="O7" s="345">
        <v>38</v>
      </c>
      <c r="P7" s="345">
        <v>92</v>
      </c>
      <c r="Q7" s="345">
        <v>52</v>
      </c>
      <c r="R7" s="345">
        <v>83</v>
      </c>
      <c r="S7" s="345">
        <v>199</v>
      </c>
      <c r="T7" s="63" t="s">
        <v>98</v>
      </c>
      <c r="U7" s="212"/>
    </row>
    <row r="8" spans="2:22">
      <c r="B8" s="456"/>
      <c r="C8" s="56" t="s">
        <v>19</v>
      </c>
      <c r="D8" s="307">
        <v>255</v>
      </c>
      <c r="E8" s="308">
        <v>140</v>
      </c>
      <c r="F8" s="308">
        <v>89</v>
      </c>
      <c r="G8" s="329"/>
      <c r="H8" s="329"/>
      <c r="I8" s="330"/>
      <c r="J8" s="59">
        <v>0.3</v>
      </c>
      <c r="K8" s="27">
        <v>0.27</v>
      </c>
      <c r="L8" s="28" t="str">
        <f t="shared" ref="L8:M16" si="1">DEC2HEX(ROUND(J8*250,0))</f>
        <v>4B</v>
      </c>
      <c r="M8" s="28" t="str">
        <f t="shared" si="1"/>
        <v>44</v>
      </c>
      <c r="N8" s="346">
        <v>46</v>
      </c>
      <c r="O8" s="339">
        <v>33</v>
      </c>
      <c r="P8" s="339">
        <v>59</v>
      </c>
      <c r="Q8" s="339">
        <v>99</v>
      </c>
      <c r="R8" s="339">
        <v>72</v>
      </c>
      <c r="S8" s="339">
        <v>129</v>
      </c>
      <c r="T8" s="64" t="s">
        <v>99</v>
      </c>
      <c r="U8" s="213"/>
    </row>
    <row r="9" spans="2:22">
      <c r="B9" s="456"/>
      <c r="C9" s="56" t="s">
        <v>23</v>
      </c>
      <c r="D9" s="307">
        <v>255</v>
      </c>
      <c r="E9" s="308">
        <v>89</v>
      </c>
      <c r="F9" s="308">
        <v>0</v>
      </c>
      <c r="G9" s="329"/>
      <c r="H9" s="329"/>
      <c r="I9" s="330"/>
      <c r="J9" s="59">
        <v>0.52</v>
      </c>
      <c r="K9" s="27">
        <v>0.41</v>
      </c>
      <c r="L9" s="28" t="str">
        <f t="shared" si="1"/>
        <v>82</v>
      </c>
      <c r="M9" s="28" t="str">
        <f t="shared" si="1"/>
        <v>67</v>
      </c>
      <c r="N9" s="347">
        <v>70</v>
      </c>
      <c r="O9" s="340">
        <v>30</v>
      </c>
      <c r="P9" s="340">
        <v>5</v>
      </c>
      <c r="Q9" s="340">
        <v>153</v>
      </c>
      <c r="R9" s="340">
        <v>66</v>
      </c>
      <c r="S9" s="340">
        <v>11</v>
      </c>
      <c r="T9" s="64" t="s">
        <v>100</v>
      </c>
      <c r="U9" s="214"/>
    </row>
    <row r="10" spans="2:22">
      <c r="B10" s="456"/>
      <c r="C10" s="56" t="s">
        <v>27</v>
      </c>
      <c r="D10" s="307">
        <v>255</v>
      </c>
      <c r="E10" s="308">
        <v>40</v>
      </c>
      <c r="F10" s="308">
        <v>30</v>
      </c>
      <c r="G10" s="329"/>
      <c r="H10" s="329"/>
      <c r="I10" s="330"/>
      <c r="J10" s="210">
        <v>0.6</v>
      </c>
      <c r="K10" s="211">
        <v>0.35</v>
      </c>
      <c r="L10" s="28" t="str">
        <f t="shared" si="1"/>
        <v>96</v>
      </c>
      <c r="M10" s="28" t="str">
        <f t="shared" si="1"/>
        <v>58</v>
      </c>
      <c r="N10" s="347">
        <v>102</v>
      </c>
      <c r="O10" s="340">
        <v>16</v>
      </c>
      <c r="P10" s="340">
        <v>5</v>
      </c>
      <c r="Q10" s="340">
        <v>222</v>
      </c>
      <c r="R10" s="340">
        <v>35</v>
      </c>
      <c r="S10" s="340">
        <v>10</v>
      </c>
      <c r="T10" s="64" t="s">
        <v>101</v>
      </c>
      <c r="U10" s="215"/>
    </row>
    <row r="11" spans="2:22">
      <c r="B11" s="456"/>
      <c r="C11" s="56" t="s">
        <v>31</v>
      </c>
      <c r="D11" s="307">
        <v>255</v>
      </c>
      <c r="E11" s="308">
        <v>0</v>
      </c>
      <c r="F11" s="308">
        <v>10</v>
      </c>
      <c r="G11" s="329"/>
      <c r="H11" s="329"/>
      <c r="I11" s="330"/>
      <c r="J11" s="59">
        <v>0.68</v>
      </c>
      <c r="K11" s="27">
        <v>0.31</v>
      </c>
      <c r="L11" s="28" t="str">
        <f t="shared" si="1"/>
        <v>AA</v>
      </c>
      <c r="M11" s="28" t="str">
        <f t="shared" si="1"/>
        <v>4E</v>
      </c>
      <c r="N11" s="347">
        <v>137</v>
      </c>
      <c r="O11" s="340">
        <v>1</v>
      </c>
      <c r="P11" s="340">
        <v>1</v>
      </c>
      <c r="Q11" s="340">
        <v>255</v>
      </c>
      <c r="R11" s="340">
        <v>2</v>
      </c>
      <c r="S11" s="340">
        <v>2</v>
      </c>
      <c r="T11" s="64" t="s">
        <v>102</v>
      </c>
      <c r="U11" s="216"/>
    </row>
    <row r="12" spans="2:22">
      <c r="B12" s="456"/>
      <c r="C12" s="56" t="s">
        <v>34</v>
      </c>
      <c r="D12" s="307">
        <v>174</v>
      </c>
      <c r="E12" s="308">
        <v>0</v>
      </c>
      <c r="F12" s="308">
        <v>255</v>
      </c>
      <c r="G12" s="329"/>
      <c r="H12" s="329"/>
      <c r="I12" s="330"/>
      <c r="J12" s="59">
        <v>0.24</v>
      </c>
      <c r="K12" s="27">
        <v>0.12</v>
      </c>
      <c r="L12" s="28" t="str">
        <f t="shared" si="1"/>
        <v>3C</v>
      </c>
      <c r="M12" s="28" t="str">
        <f t="shared" si="1"/>
        <v>1E</v>
      </c>
      <c r="N12" s="347">
        <v>72</v>
      </c>
      <c r="O12" s="340">
        <v>0</v>
      </c>
      <c r="P12" s="340">
        <v>205</v>
      </c>
      <c r="Q12" s="349" t="s">
        <v>271</v>
      </c>
      <c r="R12" s="349" t="s">
        <v>271</v>
      </c>
      <c r="S12" s="349" t="s">
        <v>271</v>
      </c>
      <c r="T12" s="64" t="s">
        <v>103</v>
      </c>
      <c r="U12" s="217"/>
    </row>
    <row r="13" spans="2:22">
      <c r="B13" s="456"/>
      <c r="C13" s="56" t="s">
        <v>37</v>
      </c>
      <c r="D13" s="307">
        <v>100</v>
      </c>
      <c r="E13" s="308">
        <v>0</v>
      </c>
      <c r="F13" s="308">
        <v>255</v>
      </c>
      <c r="G13" s="329"/>
      <c r="H13" s="329"/>
      <c r="I13" s="330"/>
      <c r="J13" s="59">
        <v>0.21</v>
      </c>
      <c r="K13" s="27">
        <v>0.11</v>
      </c>
      <c r="L13" s="28" t="str">
        <f t="shared" si="1"/>
        <v>35</v>
      </c>
      <c r="M13" s="28" t="str">
        <f t="shared" si="1"/>
        <v>1C</v>
      </c>
      <c r="N13" s="347">
        <v>58</v>
      </c>
      <c r="O13" s="340">
        <v>1</v>
      </c>
      <c r="P13" s="340">
        <v>238</v>
      </c>
      <c r="Q13" s="340">
        <v>125</v>
      </c>
      <c r="R13" s="340">
        <v>3</v>
      </c>
      <c r="S13" s="340">
        <v>255</v>
      </c>
      <c r="T13" s="64" t="s">
        <v>104</v>
      </c>
      <c r="U13" s="218"/>
    </row>
    <row r="14" spans="2:22">
      <c r="B14" s="456"/>
      <c r="C14" s="56" t="s">
        <v>41</v>
      </c>
      <c r="D14" s="307">
        <v>75</v>
      </c>
      <c r="E14" s="308">
        <v>82</v>
      </c>
      <c r="F14" s="308">
        <v>255</v>
      </c>
      <c r="G14" s="329"/>
      <c r="H14" s="329"/>
      <c r="I14" s="330"/>
      <c r="J14" s="59">
        <v>0.18</v>
      </c>
      <c r="K14" s="27">
        <v>0.14000000000000001</v>
      </c>
      <c r="L14" s="28" t="str">
        <f t="shared" si="1"/>
        <v>2D</v>
      </c>
      <c r="M14" s="28" t="str">
        <f t="shared" si="1"/>
        <v>23</v>
      </c>
      <c r="N14" s="347">
        <v>27</v>
      </c>
      <c r="O14" s="340">
        <v>23</v>
      </c>
      <c r="P14" s="340">
        <v>186</v>
      </c>
      <c r="Q14" s="340">
        <v>58</v>
      </c>
      <c r="R14" s="340">
        <v>50</v>
      </c>
      <c r="S14" s="340">
        <v>255</v>
      </c>
      <c r="T14" s="64" t="s">
        <v>105</v>
      </c>
      <c r="U14" s="219"/>
    </row>
    <row r="15" spans="2:22">
      <c r="B15" s="456"/>
      <c r="C15" s="56" t="s">
        <v>45</v>
      </c>
      <c r="D15" s="307">
        <v>0</v>
      </c>
      <c r="E15" s="308">
        <v>227</v>
      </c>
      <c r="F15" s="308">
        <v>207</v>
      </c>
      <c r="G15" s="329"/>
      <c r="H15" s="331"/>
      <c r="I15" s="330"/>
      <c r="J15" s="59">
        <v>0.18</v>
      </c>
      <c r="K15" s="27">
        <v>0.31</v>
      </c>
      <c r="L15" s="28" t="str">
        <f t="shared" si="1"/>
        <v>2D</v>
      </c>
      <c r="M15" s="28" t="str">
        <f t="shared" si="1"/>
        <v>4E</v>
      </c>
      <c r="N15" s="347">
        <v>8</v>
      </c>
      <c r="O15" s="340">
        <v>50</v>
      </c>
      <c r="P15" s="340">
        <v>60</v>
      </c>
      <c r="Q15" s="340">
        <v>17</v>
      </c>
      <c r="R15" s="340">
        <v>109</v>
      </c>
      <c r="S15" s="340">
        <v>131</v>
      </c>
      <c r="T15" s="64" t="s">
        <v>106</v>
      </c>
      <c r="U15" s="220"/>
    </row>
    <row r="16" spans="2:22" ht="17.25" thickBot="1">
      <c r="B16" s="457"/>
      <c r="C16" s="65" t="s">
        <v>49</v>
      </c>
      <c r="D16" s="309">
        <v>167</v>
      </c>
      <c r="E16" s="310">
        <v>255</v>
      </c>
      <c r="F16" s="310">
        <v>55</v>
      </c>
      <c r="G16" s="332"/>
      <c r="H16" s="332"/>
      <c r="I16" s="333"/>
      <c r="J16" s="66">
        <v>0.35</v>
      </c>
      <c r="K16" s="67">
        <v>0.59</v>
      </c>
      <c r="L16" s="68" t="str">
        <f t="shared" si="1"/>
        <v>58</v>
      </c>
      <c r="M16" s="68" t="str">
        <f t="shared" si="1"/>
        <v>94</v>
      </c>
      <c r="N16" s="348">
        <v>24</v>
      </c>
      <c r="O16" s="342">
        <v>52</v>
      </c>
      <c r="P16" s="342">
        <v>1</v>
      </c>
      <c r="Q16" s="342">
        <v>52</v>
      </c>
      <c r="R16" s="342">
        <v>113</v>
      </c>
      <c r="S16" s="342">
        <v>2</v>
      </c>
      <c r="T16" s="69" t="s">
        <v>107</v>
      </c>
      <c r="U16" s="221"/>
    </row>
  </sheetData>
  <mergeCells count="10">
    <mergeCell ref="N4:P5"/>
    <mergeCell ref="Q4:S5"/>
    <mergeCell ref="G4:I4"/>
    <mergeCell ref="J4:M4"/>
    <mergeCell ref="D6:M6"/>
    <mergeCell ref="B6:C6"/>
    <mergeCell ref="B7:B16"/>
    <mergeCell ref="B4:B5"/>
    <mergeCell ref="C4:C5"/>
    <mergeCell ref="D4:F4"/>
  </mergeCells>
  <phoneticPr fontId="7" type="noConversion"/>
  <pageMargins left="0.7" right="0.7" top="0.75" bottom="0.75" header="0.3" footer="0.3"/>
  <pageSetup paperSize="9" orientation="portrait" horizontalDpi="300" verticalDpi="300" r:id="rId1"/>
  <headerFooter>
    <oddHeader>&amp;C&amp;G</oddHeader>
    <oddFooter xml:space="preserve">&amp;C&amp;"맑은 고딕"&amp;11&amp;K000000&amp;"맑은 고딕"&amp;11&amp;K000000&amp;"맑은 고딕"&amp;11&amp;K000000&amp;"맑은 고딕"&amp;11&amp;K000000&amp;"맑은 고딕"&amp;11&amp;K000000_x000D_&amp;1#&amp;"맑은 고딕"&amp;6&amp;K737373 장두진( JANG DOO JIN ) 전원구동반도체팀 / 1628615@mobis.com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2:T22"/>
  <sheetViews>
    <sheetView zoomScale="85" zoomScaleNormal="85" zoomScaleSheetLayoutView="115" workbookViewId="0">
      <selection activeCell="H34" sqref="H34"/>
    </sheetView>
  </sheetViews>
  <sheetFormatPr defaultColWidth="9" defaultRowHeight="16.5"/>
  <cols>
    <col min="1" max="1" width="4.75" customWidth="1"/>
    <col min="2" max="2" width="16.75" bestFit="1" customWidth="1"/>
    <col min="3" max="3" width="27.125" customWidth="1"/>
    <col min="10" max="11" width="12.5" style="45" customWidth="1"/>
    <col min="12" max="16" width="12.5" customWidth="1"/>
    <col min="17" max="17" width="20.125" customWidth="1"/>
    <col min="18" max="18" width="21.125" customWidth="1"/>
    <col min="19" max="19" width="2.75" customWidth="1"/>
    <col min="21" max="21" width="10.75" customWidth="1"/>
  </cols>
  <sheetData>
    <row r="2" spans="2:20" ht="17.25" thickBot="1">
      <c r="B2" s="46" t="s">
        <v>52</v>
      </c>
      <c r="C2" s="46"/>
      <c r="D2" s="46"/>
      <c r="E2" s="46"/>
      <c r="F2" s="46"/>
      <c r="G2" s="46"/>
      <c r="H2" s="46"/>
      <c r="I2" s="46"/>
      <c r="J2" s="47"/>
      <c r="K2" s="47"/>
      <c r="L2" s="46"/>
      <c r="M2" s="46"/>
      <c r="N2" s="46"/>
      <c r="O2" s="46"/>
      <c r="P2" s="46"/>
      <c r="Q2" s="46"/>
    </row>
    <row r="3" spans="2:20" ht="16.5" customHeight="1">
      <c r="B3" s="443" t="s">
        <v>53</v>
      </c>
      <c r="C3" s="443" t="s">
        <v>54</v>
      </c>
      <c r="D3" s="445" t="s">
        <v>55</v>
      </c>
      <c r="E3" s="445"/>
      <c r="F3" s="445"/>
      <c r="G3" s="446" t="s">
        <v>108</v>
      </c>
      <c r="H3" s="451"/>
      <c r="I3" s="452"/>
      <c r="J3" s="443" t="s">
        <v>57</v>
      </c>
      <c r="K3" s="445"/>
      <c r="L3" s="445"/>
      <c r="M3" s="447"/>
      <c r="N3" s="410" t="s">
        <v>273</v>
      </c>
      <c r="O3" s="411"/>
      <c r="P3" s="412"/>
      <c r="Q3" s="48"/>
    </row>
    <row r="4" spans="2:20" ht="17.25" thickBot="1">
      <c r="B4" s="444"/>
      <c r="C4" s="444"/>
      <c r="D4" s="49" t="s">
        <v>58</v>
      </c>
      <c r="E4" s="49" t="s">
        <v>59</v>
      </c>
      <c r="F4" s="49" t="s">
        <v>60</v>
      </c>
      <c r="G4" s="49" t="s">
        <v>58</v>
      </c>
      <c r="H4" s="49" t="s">
        <v>59</v>
      </c>
      <c r="I4" s="49" t="s">
        <v>60</v>
      </c>
      <c r="J4" s="51" t="s">
        <v>61</v>
      </c>
      <c r="K4" s="52" t="s">
        <v>62</v>
      </c>
      <c r="L4" s="49" t="s">
        <v>63</v>
      </c>
      <c r="M4" s="53" t="s">
        <v>64</v>
      </c>
      <c r="N4" s="413"/>
      <c r="O4" s="414"/>
      <c r="P4" s="415"/>
      <c r="Q4" s="48"/>
    </row>
    <row r="5" spans="2:20" ht="18" thickTop="1" thickBot="1">
      <c r="B5" s="438" t="s">
        <v>65</v>
      </c>
      <c r="C5" s="439"/>
      <c r="D5" s="448" t="s">
        <v>66</v>
      </c>
      <c r="E5" s="449"/>
      <c r="F5" s="449"/>
      <c r="G5" s="472"/>
      <c r="H5" s="472"/>
      <c r="I5" s="472"/>
      <c r="J5" s="449"/>
      <c r="K5" s="449"/>
      <c r="L5" s="449"/>
      <c r="M5" s="450"/>
      <c r="N5" s="334" t="s">
        <v>274</v>
      </c>
      <c r="O5" s="335" t="s">
        <v>275</v>
      </c>
      <c r="P5" s="336" t="s">
        <v>276</v>
      </c>
      <c r="Q5" s="54"/>
      <c r="T5" s="55"/>
    </row>
    <row r="6" spans="2:20">
      <c r="B6" s="470" t="s">
        <v>109</v>
      </c>
      <c r="C6" s="473" t="s">
        <v>110</v>
      </c>
      <c r="D6" s="296">
        <v>0</v>
      </c>
      <c r="E6" s="296">
        <v>84</v>
      </c>
      <c r="F6" s="296">
        <v>255</v>
      </c>
      <c r="G6" s="191"/>
      <c r="H6" s="186"/>
      <c r="I6" s="102"/>
      <c r="J6" s="73">
        <v>0.14000000000000001</v>
      </c>
      <c r="K6" s="74">
        <v>0.14000000000000001</v>
      </c>
      <c r="L6" s="71" t="str">
        <f>DEC2HEX(ROUND(J6*250,0))</f>
        <v>23</v>
      </c>
      <c r="M6" s="72" t="str">
        <f>DEC2HEX(ROUND(K6*250,0))</f>
        <v>23</v>
      </c>
      <c r="N6" s="350">
        <v>4</v>
      </c>
      <c r="O6" s="350">
        <v>32</v>
      </c>
      <c r="P6" s="350">
        <v>196</v>
      </c>
      <c r="Q6" s="75" t="s">
        <v>111</v>
      </c>
      <c r="R6" s="198"/>
    </row>
    <row r="7" spans="2:20">
      <c r="B7" s="471"/>
      <c r="C7" s="474"/>
      <c r="D7" s="311">
        <v>0</v>
      </c>
      <c r="E7" s="311">
        <v>220</v>
      </c>
      <c r="F7" s="312">
        <v>0</v>
      </c>
      <c r="G7" s="192"/>
      <c r="H7" s="187"/>
      <c r="I7" s="193"/>
      <c r="J7" s="177">
        <v>0.14000000000000001</v>
      </c>
      <c r="K7" s="3">
        <v>0.71</v>
      </c>
      <c r="L7" s="2" t="str">
        <f>DEC2HEX(ROUND(J7*250,0))</f>
        <v>23</v>
      </c>
      <c r="M7" s="176" t="str">
        <f>DEC2HEX(ROUND(K7*250,0))</f>
        <v>B2</v>
      </c>
      <c r="N7" s="351" t="s">
        <v>277</v>
      </c>
      <c r="O7" s="351" t="s">
        <v>277</v>
      </c>
      <c r="P7" s="351" t="s">
        <v>277</v>
      </c>
      <c r="Q7" s="178" t="s">
        <v>112</v>
      </c>
      <c r="R7" s="199"/>
    </row>
    <row r="8" spans="2:20" ht="5.0999999999999996" customHeight="1">
      <c r="B8" s="471"/>
      <c r="C8" s="1"/>
      <c r="D8" s="311"/>
      <c r="E8" s="311"/>
      <c r="F8" s="312"/>
      <c r="G8" s="192"/>
      <c r="H8" s="187"/>
      <c r="I8" s="193"/>
      <c r="J8" s="177"/>
      <c r="K8" s="3"/>
      <c r="L8" s="2"/>
      <c r="M8" s="176"/>
      <c r="N8" s="352"/>
      <c r="O8" s="352"/>
      <c r="P8" s="352"/>
      <c r="Q8" s="178"/>
      <c r="R8" s="178"/>
    </row>
    <row r="9" spans="2:20">
      <c r="B9" s="441"/>
      <c r="C9" s="475" t="s">
        <v>113</v>
      </c>
      <c r="D9" s="298">
        <v>255</v>
      </c>
      <c r="E9" s="298">
        <v>204</v>
      </c>
      <c r="F9" s="300">
        <v>0</v>
      </c>
      <c r="G9" s="192"/>
      <c r="H9" s="187"/>
      <c r="I9" s="193"/>
      <c r="J9" s="12">
        <v>0.46</v>
      </c>
      <c r="K9" s="13">
        <v>0.5</v>
      </c>
      <c r="L9" s="10" t="str">
        <f>DEC2HEX(ROUND(J9*250,0))</f>
        <v>73</v>
      </c>
      <c r="M9" s="11" t="str">
        <f>DEC2HEX(ROUND(K9*250,0))</f>
        <v>7D</v>
      </c>
      <c r="N9" s="106">
        <v>47</v>
      </c>
      <c r="O9" s="106">
        <v>42</v>
      </c>
      <c r="P9" s="106">
        <v>1</v>
      </c>
      <c r="Q9" s="14" t="s">
        <v>114</v>
      </c>
      <c r="R9" s="200"/>
    </row>
    <row r="10" spans="2:20">
      <c r="B10" s="441"/>
      <c r="C10" s="476"/>
      <c r="D10" s="298">
        <v>0</v>
      </c>
      <c r="E10" s="298">
        <v>220</v>
      </c>
      <c r="F10" s="300">
        <v>0</v>
      </c>
      <c r="G10" s="192"/>
      <c r="H10" s="187"/>
      <c r="I10" s="193"/>
      <c r="J10" s="12">
        <v>0.14000000000000001</v>
      </c>
      <c r="K10" s="13">
        <v>0.71</v>
      </c>
      <c r="L10" s="10" t="str">
        <f>DEC2HEX(ROUND(J10*250,0))</f>
        <v>23</v>
      </c>
      <c r="M10" s="11" t="str">
        <f>DEC2HEX(ROUND(K10*250,0))</f>
        <v>B2</v>
      </c>
      <c r="N10" s="353" t="s">
        <v>278</v>
      </c>
      <c r="O10" s="353" t="s">
        <v>277</v>
      </c>
      <c r="P10" s="353" t="s">
        <v>277</v>
      </c>
      <c r="Q10" s="14" t="s">
        <v>112</v>
      </c>
      <c r="R10" s="201"/>
    </row>
    <row r="11" spans="2:20" ht="5.0999999999999996" customHeight="1">
      <c r="B11" s="441"/>
      <c r="C11" s="9"/>
      <c r="D11" s="298"/>
      <c r="E11" s="298"/>
      <c r="F11" s="300"/>
      <c r="G11" s="104"/>
      <c r="H11" s="105"/>
      <c r="I11" s="106"/>
      <c r="J11" s="12"/>
      <c r="K11" s="13"/>
      <c r="L11" s="10"/>
      <c r="M11" s="11"/>
      <c r="N11" s="106"/>
      <c r="O11" s="353"/>
      <c r="P11" s="106"/>
      <c r="Q11" s="14"/>
      <c r="R11" s="14"/>
    </row>
    <row r="12" spans="2:20">
      <c r="B12" s="441"/>
      <c r="C12" s="468" t="s">
        <v>115</v>
      </c>
      <c r="D12" s="298">
        <v>255</v>
      </c>
      <c r="E12" s="300">
        <v>0</v>
      </c>
      <c r="F12" s="300">
        <v>0</v>
      </c>
      <c r="G12" s="192"/>
      <c r="H12" s="187"/>
      <c r="I12" s="193"/>
      <c r="J12" s="16">
        <v>0.69</v>
      </c>
      <c r="K12" s="17">
        <v>0.31</v>
      </c>
      <c r="L12" s="10" t="str">
        <f>DEC2HEX(ROUND(J12*250,0))</f>
        <v>AD</v>
      </c>
      <c r="M12" s="11" t="str">
        <f>DEC2HEX(ROUND(K12*250,0))</f>
        <v>4E</v>
      </c>
      <c r="N12" s="106">
        <v>139</v>
      </c>
      <c r="O12" s="106">
        <v>0</v>
      </c>
      <c r="P12" s="106">
        <v>0</v>
      </c>
      <c r="Q12" s="14" t="s">
        <v>116</v>
      </c>
      <c r="R12" s="202"/>
    </row>
    <row r="13" spans="2:20">
      <c r="B13" s="441"/>
      <c r="C13" s="474"/>
      <c r="D13" s="298">
        <v>255</v>
      </c>
      <c r="E13" s="300">
        <v>90</v>
      </c>
      <c r="F13" s="300">
        <v>0</v>
      </c>
      <c r="G13" s="192"/>
      <c r="H13" s="187"/>
      <c r="I13" s="193"/>
      <c r="J13" s="16">
        <v>0.54</v>
      </c>
      <c r="K13" s="17">
        <v>0.42</v>
      </c>
      <c r="L13" s="10" t="str">
        <f>DEC2HEX(ROUND(J13*250,0))</f>
        <v>87</v>
      </c>
      <c r="M13" s="11" t="str">
        <f>DEC2HEX(ROUND(K13*250,0))</f>
        <v>69</v>
      </c>
      <c r="N13" s="106">
        <v>72</v>
      </c>
      <c r="O13" s="106">
        <v>30</v>
      </c>
      <c r="P13" s="106">
        <v>2</v>
      </c>
      <c r="Q13" s="14" t="s">
        <v>117</v>
      </c>
      <c r="R13" s="203"/>
    </row>
    <row r="14" spans="2:20" ht="5.0999999999999996" customHeight="1">
      <c r="B14" s="441"/>
      <c r="C14" s="4"/>
      <c r="D14" s="298"/>
      <c r="E14" s="298"/>
      <c r="F14" s="300"/>
      <c r="G14" s="94"/>
      <c r="H14" s="188"/>
      <c r="I14" s="103"/>
      <c r="J14" s="12"/>
      <c r="K14" s="13"/>
      <c r="L14" s="5"/>
      <c r="M14" s="15"/>
      <c r="N14" s="354"/>
      <c r="O14" s="354"/>
      <c r="P14" s="354"/>
      <c r="Q14" s="14"/>
      <c r="R14" s="14"/>
    </row>
    <row r="15" spans="2:20">
      <c r="B15" s="441"/>
      <c r="C15" s="475" t="s">
        <v>118</v>
      </c>
      <c r="D15" s="298">
        <v>200</v>
      </c>
      <c r="E15" s="298">
        <v>60</v>
      </c>
      <c r="F15" s="300">
        <v>60</v>
      </c>
      <c r="G15" s="192"/>
      <c r="H15" s="187"/>
      <c r="I15" s="193"/>
      <c r="J15" s="12">
        <v>0.4</v>
      </c>
      <c r="K15" s="13">
        <v>0.26</v>
      </c>
      <c r="L15" s="10" t="str">
        <f>DEC2HEX(ROUND(J15*250,0))</f>
        <v>64</v>
      </c>
      <c r="M15" s="11" t="str">
        <f>DEC2HEX(ROUND(K15*250,0))</f>
        <v>41</v>
      </c>
      <c r="N15" s="106">
        <v>79</v>
      </c>
      <c r="O15" s="106">
        <v>20</v>
      </c>
      <c r="P15" s="106">
        <v>49</v>
      </c>
      <c r="Q15" s="14" t="s">
        <v>119</v>
      </c>
      <c r="R15" s="204"/>
    </row>
    <row r="16" spans="2:20">
      <c r="B16" s="441"/>
      <c r="C16" s="476"/>
      <c r="D16" s="301">
        <v>80</v>
      </c>
      <c r="E16" s="301">
        <v>0</v>
      </c>
      <c r="F16" s="313">
        <v>180</v>
      </c>
      <c r="G16" s="192"/>
      <c r="H16" s="187"/>
      <c r="I16" s="193"/>
      <c r="J16" s="88">
        <v>0.21</v>
      </c>
      <c r="K16" s="89">
        <v>0.08</v>
      </c>
      <c r="L16" s="10" t="str">
        <f>DEC2HEX(ROUND(J16*250,0))</f>
        <v>35</v>
      </c>
      <c r="M16" s="11" t="str">
        <f>DEC2HEX(ROUND(K16*250,0))</f>
        <v>14</v>
      </c>
      <c r="N16" s="355" t="s">
        <v>277</v>
      </c>
      <c r="O16" s="355" t="s">
        <v>277</v>
      </c>
      <c r="P16" s="355" t="s">
        <v>277</v>
      </c>
      <c r="Q16" s="93" t="s">
        <v>120</v>
      </c>
      <c r="R16" s="205"/>
    </row>
    <row r="17" spans="2:18" ht="5.0999999999999996" customHeight="1">
      <c r="B17" s="441"/>
      <c r="C17" s="7"/>
      <c r="D17" s="301"/>
      <c r="E17" s="301"/>
      <c r="F17" s="313"/>
      <c r="G17" s="94"/>
      <c r="H17" s="188"/>
      <c r="I17" s="103"/>
      <c r="J17" s="88"/>
      <c r="K17" s="89"/>
      <c r="L17" s="8"/>
      <c r="M17" s="179"/>
      <c r="N17" s="356"/>
      <c r="O17" s="356"/>
      <c r="P17" s="356"/>
      <c r="Q17" s="93"/>
      <c r="R17" s="93"/>
    </row>
    <row r="18" spans="2:18">
      <c r="B18" s="441"/>
      <c r="C18" s="468" t="s">
        <v>121</v>
      </c>
      <c r="D18" s="301">
        <v>15</v>
      </c>
      <c r="E18" s="301">
        <v>0</v>
      </c>
      <c r="F18" s="313">
        <v>255</v>
      </c>
      <c r="G18" s="192"/>
      <c r="H18" s="187"/>
      <c r="I18" s="193"/>
      <c r="J18" s="88">
        <v>0.15</v>
      </c>
      <c r="K18" s="89">
        <v>7.0000000000000007E-2</v>
      </c>
      <c r="L18" s="10" t="str">
        <f>DEC2HEX(ROUND(J18*250,0))</f>
        <v>26</v>
      </c>
      <c r="M18" s="11" t="str">
        <f>DEC2HEX(ROUND(K18*250,0))</f>
        <v>12</v>
      </c>
      <c r="N18" s="355" t="s">
        <v>277</v>
      </c>
      <c r="O18" s="355" t="s">
        <v>277</v>
      </c>
      <c r="P18" s="355" t="s">
        <v>277</v>
      </c>
      <c r="Q18" s="93" t="s">
        <v>122</v>
      </c>
      <c r="R18" s="206"/>
    </row>
    <row r="19" spans="2:18">
      <c r="B19" s="441"/>
      <c r="C19" s="474"/>
      <c r="D19" s="301">
        <v>0</v>
      </c>
      <c r="E19" s="301">
        <v>84</v>
      </c>
      <c r="F19" s="313">
        <v>255</v>
      </c>
      <c r="G19" s="192"/>
      <c r="H19" s="187"/>
      <c r="I19" s="193"/>
      <c r="J19" s="88">
        <v>0.14000000000000001</v>
      </c>
      <c r="K19" s="89">
        <v>0.12</v>
      </c>
      <c r="L19" s="10" t="str">
        <f>DEC2HEX(ROUND(J19*250,0))</f>
        <v>23</v>
      </c>
      <c r="M19" s="11" t="str">
        <f>DEC2HEX(ROUND(K19*250,0))</f>
        <v>1E</v>
      </c>
      <c r="N19" s="343">
        <v>6</v>
      </c>
      <c r="O19" s="343">
        <v>25</v>
      </c>
      <c r="P19" s="343">
        <v>236</v>
      </c>
      <c r="Q19" s="93" t="s">
        <v>111</v>
      </c>
      <c r="R19" s="207"/>
    </row>
    <row r="20" spans="2:18" ht="5.0999999999999996" customHeight="1">
      <c r="B20" s="441"/>
      <c r="C20" s="7"/>
      <c r="D20" s="301"/>
      <c r="E20" s="301"/>
      <c r="F20" s="313"/>
      <c r="G20" s="194"/>
      <c r="H20" s="189"/>
      <c r="I20" s="195"/>
      <c r="J20" s="88"/>
      <c r="K20" s="89"/>
      <c r="L20" s="8"/>
      <c r="M20" s="179"/>
      <c r="N20" s="356"/>
      <c r="O20" s="356"/>
      <c r="P20" s="356"/>
      <c r="Q20" s="93"/>
      <c r="R20" s="93"/>
    </row>
    <row r="21" spans="2:18">
      <c r="B21" s="441"/>
      <c r="C21" s="468" t="s">
        <v>123</v>
      </c>
      <c r="D21" s="301">
        <v>0</v>
      </c>
      <c r="E21" s="301">
        <v>250</v>
      </c>
      <c r="F21" s="313">
        <v>127</v>
      </c>
      <c r="G21" s="94"/>
      <c r="H21" s="188"/>
      <c r="I21" s="103"/>
      <c r="J21" s="88">
        <v>0.15</v>
      </c>
      <c r="K21" s="89">
        <v>0.35</v>
      </c>
      <c r="L21" s="10" t="str">
        <f>DEC2HEX(ROUND(J21*250,0))</f>
        <v>26</v>
      </c>
      <c r="M21" s="11" t="str">
        <f>DEC2HEX(ROUND(K21*250,0))</f>
        <v>58</v>
      </c>
      <c r="N21" s="355" t="s">
        <v>277</v>
      </c>
      <c r="O21" s="355" t="s">
        <v>277</v>
      </c>
      <c r="P21" s="355" t="s">
        <v>277</v>
      </c>
      <c r="Q21" s="93" t="s">
        <v>124</v>
      </c>
      <c r="R21" s="208"/>
    </row>
    <row r="22" spans="2:18" ht="17.25" thickBot="1">
      <c r="B22" s="442"/>
      <c r="C22" s="469"/>
      <c r="D22" s="303">
        <v>0</v>
      </c>
      <c r="E22" s="303">
        <v>220</v>
      </c>
      <c r="F22" s="314">
        <v>0</v>
      </c>
      <c r="G22" s="196"/>
      <c r="H22" s="190"/>
      <c r="I22" s="197"/>
      <c r="J22" s="183">
        <v>0.14000000000000001</v>
      </c>
      <c r="K22" s="184">
        <v>0.71</v>
      </c>
      <c r="L22" s="181" t="str">
        <f>DEC2HEX(ROUND(J22*250,0))</f>
        <v>23</v>
      </c>
      <c r="M22" s="182" t="str">
        <f>DEC2HEX(ROUND(K22*250,0))</f>
        <v>B2</v>
      </c>
      <c r="N22" s="357" t="s">
        <v>278</v>
      </c>
      <c r="O22" s="357" t="s">
        <v>277</v>
      </c>
      <c r="P22" s="357" t="s">
        <v>278</v>
      </c>
      <c r="Q22" s="185" t="s">
        <v>112</v>
      </c>
      <c r="R22" s="209"/>
    </row>
  </sheetData>
  <mergeCells count="15">
    <mergeCell ref="N3:P4"/>
    <mergeCell ref="C21:C22"/>
    <mergeCell ref="B6:B22"/>
    <mergeCell ref="B5:C5"/>
    <mergeCell ref="D5:M5"/>
    <mergeCell ref="B3:B4"/>
    <mergeCell ref="C3:C4"/>
    <mergeCell ref="D3:F3"/>
    <mergeCell ref="J3:M3"/>
    <mergeCell ref="G3:I3"/>
    <mergeCell ref="C6:C7"/>
    <mergeCell ref="C9:C10"/>
    <mergeCell ref="C12:C13"/>
    <mergeCell ref="C15:C16"/>
    <mergeCell ref="C18:C19"/>
  </mergeCells>
  <phoneticPr fontId="7" type="noConversion"/>
  <pageMargins left="0.7" right="0.7" top="0.75" bottom="0.75" header="0.3" footer="0.3"/>
  <pageSetup paperSize="8" scale="47" orientation="portrait" horizontalDpi="300" verticalDpi="300" r:id="rId1"/>
  <headerFooter>
    <oddHeader>&amp;C&amp;G</oddHeader>
    <oddFooter xml:space="preserve">&amp;C&amp;"맑은 고딕"&amp;11&amp;K000000&amp;"맑은 고딕"&amp;11&amp;K000000&amp;"맑은 고딕"&amp;11&amp;K000000&amp;"맑은 고딕"&amp;11&amp;K000000&amp;"맑은 고딕"&amp;11&amp;K000000_x000D_&amp;1#&amp;"맑은 고딕"&amp;6&amp;K737373 장두진( JANG DOO JIN ) 전원구동반도체팀 / 1628615@mobis.com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2:Y21"/>
  <sheetViews>
    <sheetView topLeftCell="D1" zoomScale="115" zoomScaleNormal="115" workbookViewId="0">
      <selection activeCell="Y20" sqref="Y20"/>
    </sheetView>
  </sheetViews>
  <sheetFormatPr defaultColWidth="9" defaultRowHeight="13.5"/>
  <cols>
    <col min="1" max="1" width="9" style="242"/>
    <col min="2" max="2" width="16.75" style="242" bestFit="1" customWidth="1"/>
    <col min="3" max="3" width="24.25" style="242" bestFit="1" customWidth="1"/>
    <col min="4" max="6" width="14.75" style="242" customWidth="1"/>
    <col min="7" max="8" width="15.75" style="242" customWidth="1"/>
    <col min="9" max="10" width="18.625" style="242" customWidth="1"/>
    <col min="11" max="11" width="21.25" style="242" customWidth="1"/>
    <col min="12" max="16384" width="9" style="242"/>
  </cols>
  <sheetData>
    <row r="2" spans="2:25" ht="17.25" thickBot="1">
      <c r="B2" s="241" t="s">
        <v>0</v>
      </c>
    </row>
    <row r="3" spans="2:25" ht="17.25" customHeight="1">
      <c r="B3" s="486" t="s">
        <v>1</v>
      </c>
      <c r="C3" s="490" t="s">
        <v>125</v>
      </c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2"/>
      <c r="P3" s="504" t="s">
        <v>290</v>
      </c>
      <c r="Q3" s="505"/>
      <c r="R3" s="510" t="s">
        <v>280</v>
      </c>
      <c r="S3" s="511"/>
      <c r="T3" s="512"/>
    </row>
    <row r="4" spans="2:25" ht="17.25" customHeight="1">
      <c r="B4" s="487"/>
      <c r="C4" s="243" t="s">
        <v>126</v>
      </c>
      <c r="D4" s="489" t="s">
        <v>127</v>
      </c>
      <c r="E4" s="489"/>
      <c r="F4" s="489"/>
      <c r="G4" s="489"/>
      <c r="H4" s="489"/>
      <c r="I4" s="489"/>
      <c r="J4" s="489"/>
      <c r="K4" s="489"/>
      <c r="L4" s="493" t="s">
        <v>128</v>
      </c>
      <c r="M4" s="494"/>
      <c r="N4" s="494"/>
      <c r="O4" s="495"/>
      <c r="P4" s="506"/>
      <c r="Q4" s="507"/>
      <c r="R4" s="513"/>
      <c r="S4" s="514"/>
      <c r="T4" s="515"/>
    </row>
    <row r="5" spans="2:25" ht="16.5" customHeight="1">
      <c r="B5" s="487"/>
      <c r="C5" s="496" t="s">
        <v>3</v>
      </c>
      <c r="D5" s="498" t="s">
        <v>4</v>
      </c>
      <c r="E5" s="498"/>
      <c r="F5" s="498"/>
      <c r="G5" s="498" t="s">
        <v>6</v>
      </c>
      <c r="H5" s="498"/>
      <c r="I5" s="493" t="s">
        <v>129</v>
      </c>
      <c r="J5" s="499"/>
      <c r="K5" s="502" t="s">
        <v>130</v>
      </c>
      <c r="L5" s="498" t="s">
        <v>131</v>
      </c>
      <c r="M5" s="498"/>
      <c r="N5" s="498"/>
      <c r="O5" s="500" t="s">
        <v>130</v>
      </c>
      <c r="P5" s="508"/>
      <c r="Q5" s="509"/>
      <c r="R5" s="516" t="s">
        <v>283</v>
      </c>
      <c r="S5" s="518" t="s">
        <v>261</v>
      </c>
      <c r="T5" s="520" t="s">
        <v>260</v>
      </c>
    </row>
    <row r="6" spans="2:25" ht="17.25" customHeight="1" thickBot="1">
      <c r="B6" s="488"/>
      <c r="C6" s="497"/>
      <c r="D6" s="244" t="s">
        <v>7</v>
      </c>
      <c r="E6" s="245" t="s">
        <v>8</v>
      </c>
      <c r="F6" s="245" t="s">
        <v>9</v>
      </c>
      <c r="G6" s="246" t="s">
        <v>10</v>
      </c>
      <c r="H6" s="246" t="s">
        <v>11</v>
      </c>
      <c r="I6" s="245" t="s">
        <v>132</v>
      </c>
      <c r="J6" s="245" t="s">
        <v>133</v>
      </c>
      <c r="K6" s="503"/>
      <c r="L6" s="244" t="s">
        <v>116</v>
      </c>
      <c r="M6" s="245" t="s">
        <v>8</v>
      </c>
      <c r="N6" s="245" t="s">
        <v>9</v>
      </c>
      <c r="O6" s="501"/>
      <c r="P6" s="389" t="s">
        <v>281</v>
      </c>
      <c r="Q6" s="246" t="s">
        <v>285</v>
      </c>
      <c r="R6" s="517"/>
      <c r="S6" s="519"/>
      <c r="T6" s="521"/>
    </row>
    <row r="7" spans="2:25" ht="17.25" customHeight="1" thickBot="1">
      <c r="B7" s="477" t="s">
        <v>12</v>
      </c>
      <c r="C7" s="478"/>
      <c r="D7" s="479" t="s">
        <v>13</v>
      </c>
      <c r="E7" s="480"/>
      <c r="F7" s="480"/>
      <c r="G7" s="480"/>
      <c r="H7" s="481"/>
      <c r="I7" s="247"/>
      <c r="J7" s="247"/>
      <c r="K7" s="248"/>
      <c r="L7" s="248"/>
      <c r="M7" s="248"/>
      <c r="N7" s="248"/>
      <c r="O7" s="249"/>
      <c r="P7" s="386"/>
      <c r="Q7" s="387"/>
      <c r="R7" s="387"/>
      <c r="S7" s="387"/>
      <c r="T7" s="388"/>
    </row>
    <row r="8" spans="2:25" ht="16.5">
      <c r="B8" s="482" t="s">
        <v>134</v>
      </c>
      <c r="C8" s="250" t="s">
        <v>135</v>
      </c>
      <c r="D8" s="251"/>
      <c r="E8" s="251"/>
      <c r="F8" s="251"/>
      <c r="G8" s="252"/>
      <c r="H8" s="252"/>
      <c r="I8" s="252"/>
      <c r="J8" s="253"/>
      <c r="K8" s="253"/>
      <c r="L8" s="251"/>
      <c r="M8" s="251"/>
      <c r="N8" s="251"/>
      <c r="O8" s="254"/>
      <c r="P8" s="392"/>
      <c r="Q8" s="390"/>
      <c r="R8" s="390"/>
      <c r="S8" s="390"/>
      <c r="T8" s="391"/>
    </row>
    <row r="9" spans="2:25" ht="16.5">
      <c r="B9" s="483"/>
      <c r="C9" s="255" t="s">
        <v>136</v>
      </c>
      <c r="D9" s="315">
        <v>255</v>
      </c>
      <c r="E9" s="315">
        <v>255</v>
      </c>
      <c r="F9" s="315">
        <v>255</v>
      </c>
      <c r="G9" s="290">
        <v>53</v>
      </c>
      <c r="H9" s="290" t="s">
        <v>81</v>
      </c>
      <c r="I9" s="290" t="s">
        <v>137</v>
      </c>
      <c r="J9" s="291" t="s">
        <v>138</v>
      </c>
      <c r="K9" s="258"/>
      <c r="L9" s="256">
        <v>106</v>
      </c>
      <c r="M9" s="256">
        <v>171</v>
      </c>
      <c r="N9" s="256">
        <v>237</v>
      </c>
      <c r="O9" s="259"/>
      <c r="P9" s="400">
        <v>0.31273000000000001</v>
      </c>
      <c r="Q9" s="401">
        <v>0.32901999999999998</v>
      </c>
      <c r="R9" s="396">
        <v>39</v>
      </c>
      <c r="S9" s="396">
        <v>39</v>
      </c>
      <c r="T9" s="397">
        <v>40</v>
      </c>
      <c r="V9" s="409">
        <f>HEX2DEC(G9)</f>
        <v>83</v>
      </c>
      <c r="W9" s="409">
        <f>HEX2DEC(H9)</f>
        <v>92</v>
      </c>
      <c r="X9" s="242">
        <f>V9/P9</f>
        <v>265.40466216864388</v>
      </c>
      <c r="Y9" s="242">
        <f>W9/Q9</f>
        <v>279.6182602881284</v>
      </c>
    </row>
    <row r="10" spans="2:25" ht="16.5">
      <c r="B10" s="483"/>
      <c r="C10" s="255" t="s">
        <v>139</v>
      </c>
      <c r="D10" s="315">
        <v>45</v>
      </c>
      <c r="E10" s="315">
        <v>220</v>
      </c>
      <c r="F10" s="315">
        <v>200</v>
      </c>
      <c r="G10" s="290" t="s">
        <v>140</v>
      </c>
      <c r="H10" s="290" t="s">
        <v>141</v>
      </c>
      <c r="I10" s="290" t="s">
        <v>142</v>
      </c>
      <c r="J10" s="291" t="s">
        <v>142</v>
      </c>
      <c r="K10" s="261"/>
      <c r="L10" s="256">
        <v>74</v>
      </c>
      <c r="M10" s="256">
        <v>255</v>
      </c>
      <c r="N10" s="256">
        <v>202</v>
      </c>
      <c r="O10" s="262"/>
      <c r="P10" s="400">
        <v>0.22967000000000001</v>
      </c>
      <c r="Q10" s="401">
        <v>0.32878000000000002</v>
      </c>
      <c r="R10" s="396">
        <v>19</v>
      </c>
      <c r="S10" s="396">
        <v>47</v>
      </c>
      <c r="T10" s="397">
        <v>49</v>
      </c>
      <c r="V10" s="409">
        <f t="shared" ref="V10:V18" si="0">HEX2DEC(G10)</f>
        <v>46</v>
      </c>
      <c r="W10" s="409">
        <f t="shared" ref="W10:W18" si="1">HEX2DEC(H10)</f>
        <v>90</v>
      </c>
      <c r="X10" s="242">
        <f t="shared" ref="X10:X18" si="2">V10/P10</f>
        <v>200.28736883354378</v>
      </c>
      <c r="Y10" s="242">
        <f t="shared" ref="Y10:Y18" si="3">W10/Q10</f>
        <v>273.73927854492365</v>
      </c>
    </row>
    <row r="11" spans="2:25" ht="16.5">
      <c r="B11" s="483"/>
      <c r="C11" s="255" t="s">
        <v>143</v>
      </c>
      <c r="D11" s="315">
        <v>255</v>
      </c>
      <c r="E11" s="315">
        <v>80</v>
      </c>
      <c r="F11" s="315">
        <v>0</v>
      </c>
      <c r="G11" s="290">
        <v>98</v>
      </c>
      <c r="H11" s="290">
        <v>59</v>
      </c>
      <c r="I11" s="290" t="s">
        <v>144</v>
      </c>
      <c r="J11" s="291" t="s">
        <v>144</v>
      </c>
      <c r="K11" s="263"/>
      <c r="L11" s="264">
        <v>249</v>
      </c>
      <c r="M11" s="264">
        <v>76</v>
      </c>
      <c r="N11" s="264">
        <v>59</v>
      </c>
      <c r="O11" s="265"/>
      <c r="P11" s="402">
        <v>0.59606999999999999</v>
      </c>
      <c r="Q11" s="401">
        <v>0.36487999999999998</v>
      </c>
      <c r="R11" s="396">
        <v>97</v>
      </c>
      <c r="S11" s="396">
        <v>19</v>
      </c>
      <c r="T11" s="397">
        <v>3</v>
      </c>
      <c r="V11" s="409">
        <f t="shared" si="0"/>
        <v>152</v>
      </c>
      <c r="W11" s="409">
        <f t="shared" si="1"/>
        <v>89</v>
      </c>
      <c r="X11" s="242">
        <f t="shared" si="2"/>
        <v>255.00360695891422</v>
      </c>
      <c r="Y11" s="242">
        <f t="shared" si="3"/>
        <v>243.91580793685597</v>
      </c>
    </row>
    <row r="12" spans="2:25" ht="16.5">
      <c r="B12" s="483"/>
      <c r="C12" s="255" t="s">
        <v>145</v>
      </c>
      <c r="D12" s="315">
        <v>255</v>
      </c>
      <c r="E12" s="315">
        <v>80</v>
      </c>
      <c r="F12" s="315">
        <v>0</v>
      </c>
      <c r="G12" s="290">
        <v>98</v>
      </c>
      <c r="H12" s="290">
        <v>59</v>
      </c>
      <c r="I12" s="290" t="s">
        <v>144</v>
      </c>
      <c r="J12" s="291" t="s">
        <v>144</v>
      </c>
      <c r="K12" s="263"/>
      <c r="L12" s="264">
        <v>249</v>
      </c>
      <c r="M12" s="264">
        <v>76</v>
      </c>
      <c r="N12" s="264">
        <v>59</v>
      </c>
      <c r="O12" s="265"/>
      <c r="P12" s="403">
        <v>0.59606999999999999</v>
      </c>
      <c r="Q12" s="401">
        <v>0.36487999999999998</v>
      </c>
      <c r="R12" s="396">
        <v>97</v>
      </c>
      <c r="S12" s="396">
        <v>19</v>
      </c>
      <c r="T12" s="397">
        <v>3</v>
      </c>
      <c r="V12" s="409">
        <f t="shared" si="0"/>
        <v>152</v>
      </c>
      <c r="W12" s="409">
        <f t="shared" si="1"/>
        <v>89</v>
      </c>
      <c r="X12" s="242">
        <f t="shared" si="2"/>
        <v>255.00360695891422</v>
      </c>
      <c r="Y12" s="242">
        <f t="shared" si="3"/>
        <v>243.91580793685597</v>
      </c>
    </row>
    <row r="13" spans="2:25" ht="16.5">
      <c r="B13" s="483"/>
      <c r="C13" s="255" t="s">
        <v>146</v>
      </c>
      <c r="D13" s="315">
        <v>0</v>
      </c>
      <c r="E13" s="315">
        <v>180</v>
      </c>
      <c r="F13" s="315">
        <v>240</v>
      </c>
      <c r="G13" s="290" t="s">
        <v>147</v>
      </c>
      <c r="H13" s="290" t="s">
        <v>148</v>
      </c>
      <c r="I13" s="290" t="s">
        <v>149</v>
      </c>
      <c r="J13" s="291" t="s">
        <v>149</v>
      </c>
      <c r="K13" s="266"/>
      <c r="L13" s="256">
        <v>106</v>
      </c>
      <c r="M13" s="256">
        <v>171</v>
      </c>
      <c r="N13" s="256">
        <v>237</v>
      </c>
      <c r="O13" s="259"/>
      <c r="P13" s="403">
        <v>0.20125000000000001</v>
      </c>
      <c r="Q13" s="401">
        <v>0.2445</v>
      </c>
      <c r="R13" s="396">
        <v>19</v>
      </c>
      <c r="S13" s="396">
        <v>41</v>
      </c>
      <c r="T13" s="397">
        <v>85</v>
      </c>
      <c r="V13" s="409">
        <f t="shared" si="0"/>
        <v>42</v>
      </c>
      <c r="W13" s="409">
        <f t="shared" si="1"/>
        <v>59</v>
      </c>
      <c r="X13" s="242">
        <f t="shared" si="2"/>
        <v>208.69565217391303</v>
      </c>
      <c r="Y13" s="242">
        <f t="shared" si="3"/>
        <v>241.30879345603273</v>
      </c>
    </row>
    <row r="14" spans="2:25" ht="16.5">
      <c r="B14" s="483"/>
      <c r="C14" s="255" t="s">
        <v>150</v>
      </c>
      <c r="D14" s="315">
        <v>90</v>
      </c>
      <c r="E14" s="315">
        <v>0</v>
      </c>
      <c r="F14" s="315">
        <v>165</v>
      </c>
      <c r="G14" s="290">
        <v>39</v>
      </c>
      <c r="H14" s="290" t="s">
        <v>151</v>
      </c>
      <c r="I14" s="290" t="s">
        <v>152</v>
      </c>
      <c r="J14" s="291" t="s">
        <v>152</v>
      </c>
      <c r="K14" s="267"/>
      <c r="L14" s="264">
        <v>115</v>
      </c>
      <c r="M14" s="264">
        <v>80</v>
      </c>
      <c r="N14" s="264">
        <v>195</v>
      </c>
      <c r="O14" s="268"/>
      <c r="P14" s="400">
        <v>0.21226999999999999</v>
      </c>
      <c r="Q14" s="401">
        <v>9.4310000000000005E-2</v>
      </c>
      <c r="R14" s="407" t="s">
        <v>286</v>
      </c>
      <c r="S14" s="407" t="s">
        <v>287</v>
      </c>
      <c r="T14" s="408" t="s">
        <v>287</v>
      </c>
      <c r="V14" s="409">
        <f t="shared" si="0"/>
        <v>57</v>
      </c>
      <c r="W14" s="409">
        <f t="shared" si="1"/>
        <v>26</v>
      </c>
      <c r="X14" s="242">
        <f t="shared" si="2"/>
        <v>268.52593395204224</v>
      </c>
      <c r="Y14" s="242">
        <f t="shared" si="3"/>
        <v>275.68656558159262</v>
      </c>
    </row>
    <row r="15" spans="2:25" ht="16.5">
      <c r="B15" s="484"/>
      <c r="C15" s="269" t="s">
        <v>153</v>
      </c>
      <c r="D15" s="315">
        <v>183</v>
      </c>
      <c r="E15" s="315">
        <v>228</v>
      </c>
      <c r="F15" s="315">
        <v>252</v>
      </c>
      <c r="G15" s="290">
        <v>30</v>
      </c>
      <c r="H15" s="290">
        <v>28</v>
      </c>
      <c r="I15" s="289" t="s">
        <v>154</v>
      </c>
      <c r="J15" s="291"/>
      <c r="K15" s="270"/>
      <c r="L15" s="271">
        <v>170</v>
      </c>
      <c r="M15" s="271">
        <v>202</v>
      </c>
      <c r="N15" s="271">
        <v>230</v>
      </c>
      <c r="O15" s="272"/>
      <c r="P15" s="400">
        <v>0.27143</v>
      </c>
      <c r="Q15" s="401">
        <v>0.29504999999999998</v>
      </c>
      <c r="R15" s="396">
        <v>33</v>
      </c>
      <c r="S15" s="396">
        <v>40</v>
      </c>
      <c r="T15" s="397">
        <v>54</v>
      </c>
      <c r="V15" s="409">
        <f t="shared" si="0"/>
        <v>48</v>
      </c>
      <c r="W15" s="409">
        <f t="shared" si="1"/>
        <v>40</v>
      </c>
      <c r="X15" s="242">
        <f t="shared" si="2"/>
        <v>176.8411745201341</v>
      </c>
      <c r="Y15" s="242">
        <f t="shared" si="3"/>
        <v>135.57024233180817</v>
      </c>
    </row>
    <row r="16" spans="2:25" ht="16.5">
      <c r="B16" s="484"/>
      <c r="C16" s="269" t="s">
        <v>155</v>
      </c>
      <c r="D16" s="315">
        <v>175</v>
      </c>
      <c r="E16" s="315">
        <v>235</v>
      </c>
      <c r="F16" s="315">
        <v>0</v>
      </c>
      <c r="G16" s="37" t="s">
        <v>156</v>
      </c>
      <c r="H16" s="223" t="s">
        <v>157</v>
      </c>
      <c r="I16" s="290"/>
      <c r="J16" s="291" t="s">
        <v>158</v>
      </c>
      <c r="K16" s="273"/>
      <c r="L16" s="271">
        <v>180</v>
      </c>
      <c r="M16" s="271">
        <v>255</v>
      </c>
      <c r="N16" s="271">
        <v>0</v>
      </c>
      <c r="O16" s="274"/>
      <c r="P16" s="404">
        <v>0.37417</v>
      </c>
      <c r="Q16" s="401">
        <v>0.54110000000000003</v>
      </c>
      <c r="R16" s="396">
        <v>30</v>
      </c>
      <c r="S16" s="396">
        <v>49</v>
      </c>
      <c r="T16" s="397">
        <v>3</v>
      </c>
      <c r="V16" s="409">
        <f t="shared" si="0"/>
        <v>90</v>
      </c>
      <c r="W16" s="409">
        <f t="shared" si="1"/>
        <v>144</v>
      </c>
      <c r="X16" s="242">
        <f t="shared" si="2"/>
        <v>240.53237833070528</v>
      </c>
      <c r="Y16" s="242">
        <f t="shared" si="3"/>
        <v>266.12456107928296</v>
      </c>
    </row>
    <row r="17" spans="2:25" ht="16.5">
      <c r="B17" s="484"/>
      <c r="C17" s="255" t="s">
        <v>159</v>
      </c>
      <c r="D17" s="275"/>
      <c r="E17" s="275"/>
      <c r="F17" s="275"/>
      <c r="G17" s="276"/>
      <c r="H17" s="276"/>
      <c r="I17" s="276"/>
      <c r="J17" s="277"/>
      <c r="K17" s="277"/>
      <c r="L17" s="275"/>
      <c r="M17" s="275"/>
      <c r="N17" s="275"/>
      <c r="O17" s="278"/>
      <c r="P17" s="405"/>
      <c r="Q17" s="406"/>
      <c r="R17" s="398"/>
      <c r="S17" s="398"/>
      <c r="T17" s="399"/>
      <c r="V17" s="409">
        <f t="shared" si="0"/>
        <v>0</v>
      </c>
      <c r="W17" s="409">
        <f t="shared" si="1"/>
        <v>0</v>
      </c>
      <c r="X17" s="242" t="e">
        <f t="shared" si="2"/>
        <v>#DIV/0!</v>
      </c>
      <c r="Y17" s="242" t="e">
        <f t="shared" si="3"/>
        <v>#DIV/0!</v>
      </c>
    </row>
    <row r="18" spans="2:25" ht="16.5">
      <c r="B18" s="484"/>
      <c r="C18" s="255" t="s">
        <v>160</v>
      </c>
      <c r="D18" s="316">
        <v>90</v>
      </c>
      <c r="E18" s="316">
        <v>0</v>
      </c>
      <c r="F18" s="316">
        <v>165</v>
      </c>
      <c r="G18" s="257">
        <v>39</v>
      </c>
      <c r="H18" s="257" t="s">
        <v>151</v>
      </c>
      <c r="I18" s="257" t="s">
        <v>152</v>
      </c>
      <c r="J18" s="260" t="s">
        <v>152</v>
      </c>
      <c r="K18" s="267"/>
      <c r="L18" s="264">
        <v>115</v>
      </c>
      <c r="M18" s="264">
        <v>80</v>
      </c>
      <c r="N18" s="264">
        <v>195</v>
      </c>
      <c r="O18" s="268"/>
      <c r="P18" s="400">
        <v>0.22939000000000001</v>
      </c>
      <c r="Q18" s="401">
        <v>0.15443999999999999</v>
      </c>
      <c r="R18" s="396">
        <v>49</v>
      </c>
      <c r="S18" s="396">
        <v>18</v>
      </c>
      <c r="T18" s="397">
        <v>152</v>
      </c>
      <c r="V18" s="409">
        <f t="shared" si="0"/>
        <v>57</v>
      </c>
      <c r="W18" s="409">
        <f t="shared" si="1"/>
        <v>26</v>
      </c>
      <c r="X18" s="242">
        <f t="shared" si="2"/>
        <v>248.48511269017828</v>
      </c>
      <c r="Y18" s="242">
        <f t="shared" si="3"/>
        <v>168.35016835016836</v>
      </c>
    </row>
    <row r="19" spans="2:25" ht="16.5">
      <c r="B19" s="484"/>
      <c r="C19" s="255" t="s">
        <v>161</v>
      </c>
      <c r="D19" s="275"/>
      <c r="E19" s="275"/>
      <c r="F19" s="275"/>
      <c r="G19" s="276"/>
      <c r="H19" s="276"/>
      <c r="I19" s="276"/>
      <c r="J19" s="277"/>
      <c r="K19" s="277"/>
      <c r="L19" s="275"/>
      <c r="M19" s="275"/>
      <c r="N19" s="275"/>
      <c r="O19" s="278"/>
      <c r="P19" s="392"/>
      <c r="Q19" s="390"/>
      <c r="R19" s="390"/>
      <c r="S19" s="390"/>
      <c r="T19" s="391"/>
    </row>
    <row r="20" spans="2:25" ht="17.25" thickBot="1">
      <c r="B20" s="485"/>
      <c r="C20" s="279" t="s">
        <v>162</v>
      </c>
      <c r="D20" s="280"/>
      <c r="E20" s="280"/>
      <c r="F20" s="280"/>
      <c r="G20" s="281"/>
      <c r="H20" s="281"/>
      <c r="I20" s="281"/>
      <c r="J20" s="282"/>
      <c r="K20" s="282"/>
      <c r="L20" s="280"/>
      <c r="M20" s="280"/>
      <c r="N20" s="280"/>
      <c r="O20" s="283"/>
      <c r="P20" s="393"/>
      <c r="Q20" s="394"/>
      <c r="R20" s="394"/>
      <c r="S20" s="394"/>
      <c r="T20" s="395"/>
    </row>
    <row r="21" spans="2:25" ht="16.5">
      <c r="B21" s="284"/>
      <c r="C21" s="285"/>
      <c r="D21" s="286"/>
      <c r="E21" s="286"/>
      <c r="F21" s="286"/>
      <c r="G21" s="287"/>
      <c r="H21" s="287"/>
      <c r="I21" s="287"/>
      <c r="J21" s="288"/>
      <c r="K21" s="288"/>
    </row>
  </sheetData>
  <mergeCells count="19">
    <mergeCell ref="P3:Q5"/>
    <mergeCell ref="R3:T4"/>
    <mergeCell ref="R5:R6"/>
    <mergeCell ref="S5:S6"/>
    <mergeCell ref="T5:T6"/>
    <mergeCell ref="B7:C7"/>
    <mergeCell ref="D7:H7"/>
    <mergeCell ref="B8:B20"/>
    <mergeCell ref="B3:B6"/>
    <mergeCell ref="D4:K4"/>
    <mergeCell ref="C3:O3"/>
    <mergeCell ref="L4:O4"/>
    <mergeCell ref="C5:C6"/>
    <mergeCell ref="D5:F5"/>
    <mergeCell ref="G5:H5"/>
    <mergeCell ref="I5:J5"/>
    <mergeCell ref="L5:N5"/>
    <mergeCell ref="O5:O6"/>
    <mergeCell ref="K5:K6"/>
  </mergeCells>
  <phoneticPr fontId="7" type="noConversion"/>
  <pageMargins left="0.7" right="0.7" top="0.75" bottom="0.75" header="0.3" footer="0.3"/>
  <pageSetup paperSize="9" orientation="portrait" horizontalDpi="300" verticalDpi="300" r:id="rId1"/>
  <headerFooter>
    <oddHeader>&amp;C&amp;G</oddHeader>
    <oddFooter xml:space="preserve">&amp;C&amp;"맑은 고딕"&amp;11&amp;K000000&amp;"맑은 고딕"&amp;11&amp;K000000&amp;"맑은 고딕"&amp;11&amp;K000000&amp;"맑은 고딕"&amp;11&amp;K000000&amp;"맑은 고딕"&amp;11&amp;K000000_x000D_&amp;1#&amp;"맑은 고딕"&amp;6&amp;K737373 장두진( JANG DOO JIN ) 전원구동반도체팀 / 1628615@mobis.com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B2:U70"/>
  <sheetViews>
    <sheetView tabSelected="1" zoomScaleNormal="100" workbookViewId="0">
      <pane ySplit="6" topLeftCell="A7" activePane="bottomLeft" state="frozen"/>
      <selection pane="bottomLeft" activeCell="S22" sqref="S22"/>
    </sheetView>
  </sheetViews>
  <sheetFormatPr defaultColWidth="9" defaultRowHeight="13.5"/>
  <cols>
    <col min="1" max="1" width="9" style="31"/>
    <col min="2" max="2" width="16.75" style="31" bestFit="1" customWidth="1"/>
    <col min="3" max="3" width="4.125" style="31" bestFit="1" customWidth="1"/>
    <col min="4" max="8" width="10.625" style="31" customWidth="1"/>
    <col min="9" max="10" width="8.375" style="31" bestFit="1" customWidth="1"/>
    <col min="11" max="11" width="6" style="31" bestFit="1" customWidth="1"/>
    <col min="12" max="12" width="6" style="31" customWidth="1"/>
    <col min="13" max="20" width="10.125" style="31" customWidth="1"/>
    <col min="21" max="21" width="26.5" style="31" customWidth="1"/>
    <col min="22" max="16384" width="9" style="31"/>
  </cols>
  <sheetData>
    <row r="2" spans="2:21" ht="17.25" thickBot="1">
      <c r="B2" s="20" t="s">
        <v>0</v>
      </c>
      <c r="D2" s="31" t="s">
        <v>292</v>
      </c>
      <c r="I2" s="31">
        <v>0.18828</v>
      </c>
      <c r="J2" s="31">
        <v>8.1100000000000005E-2</v>
      </c>
      <c r="M2" s="523" t="s">
        <v>291</v>
      </c>
      <c r="N2" s="523"/>
      <c r="O2" s="523"/>
      <c r="P2" s="523"/>
      <c r="Q2" s="523"/>
      <c r="R2" s="523"/>
      <c r="S2" s="523"/>
      <c r="T2" s="523"/>
    </row>
    <row r="3" spans="2:21" ht="17.25" customHeight="1">
      <c r="B3" s="426" t="s">
        <v>1</v>
      </c>
      <c r="C3" s="431" t="s">
        <v>2</v>
      </c>
      <c r="D3" s="432"/>
      <c r="E3" s="432"/>
      <c r="F3" s="432"/>
      <c r="G3" s="432"/>
      <c r="H3" s="433"/>
      <c r="I3" s="98"/>
      <c r="J3" s="98"/>
      <c r="K3" s="98"/>
      <c r="L3" s="98"/>
      <c r="M3" s="524" t="s">
        <v>288</v>
      </c>
      <c r="N3" s="525"/>
      <c r="O3" s="510" t="s">
        <v>279</v>
      </c>
      <c r="P3" s="511"/>
      <c r="Q3" s="528"/>
      <c r="R3" s="510" t="s">
        <v>280</v>
      </c>
      <c r="S3" s="511"/>
      <c r="T3" s="512"/>
    </row>
    <row r="4" spans="2:21" ht="16.5" customHeight="1">
      <c r="B4" s="427"/>
      <c r="C4" s="434" t="s">
        <v>3</v>
      </c>
      <c r="D4" s="423" t="s">
        <v>4</v>
      </c>
      <c r="E4" s="424"/>
      <c r="F4" s="425"/>
      <c r="G4" s="436" t="s">
        <v>6</v>
      </c>
      <c r="H4" s="437"/>
      <c r="I4" s="99"/>
      <c r="J4" s="99"/>
      <c r="K4" s="99"/>
      <c r="L4" s="99"/>
      <c r="M4" s="526"/>
      <c r="N4" s="527"/>
      <c r="O4" s="513"/>
      <c r="P4" s="514"/>
      <c r="Q4" s="529"/>
      <c r="R4" s="513"/>
      <c r="S4" s="514"/>
      <c r="T4" s="515"/>
    </row>
    <row r="5" spans="2:21" ht="17.25" customHeight="1" thickBot="1">
      <c r="B5" s="428"/>
      <c r="C5" s="435"/>
      <c r="D5" s="32" t="s">
        <v>7</v>
      </c>
      <c r="E5" s="33" t="s">
        <v>8</v>
      </c>
      <c r="F5" s="33" t="s">
        <v>9</v>
      </c>
      <c r="G5" s="34" t="s">
        <v>10</v>
      </c>
      <c r="H5" s="38" t="s">
        <v>11</v>
      </c>
      <c r="I5" s="100"/>
      <c r="J5" s="100"/>
      <c r="K5" s="100" t="s">
        <v>289</v>
      </c>
      <c r="L5" s="100" t="s">
        <v>289</v>
      </c>
      <c r="M5" s="530" t="s">
        <v>281</v>
      </c>
      <c r="N5" s="531" t="s">
        <v>282</v>
      </c>
      <c r="O5" s="516" t="s">
        <v>283</v>
      </c>
      <c r="P5" s="518" t="s">
        <v>259</v>
      </c>
      <c r="Q5" s="532" t="s">
        <v>267</v>
      </c>
      <c r="R5" s="516" t="s">
        <v>283</v>
      </c>
      <c r="S5" s="518" t="s">
        <v>261</v>
      </c>
      <c r="T5" s="520" t="s">
        <v>260</v>
      </c>
    </row>
    <row r="6" spans="2:21" ht="17.25" customHeight="1">
      <c r="B6" s="429" t="s">
        <v>12</v>
      </c>
      <c r="C6" s="430"/>
      <c r="D6" s="420" t="s">
        <v>13</v>
      </c>
      <c r="E6" s="421"/>
      <c r="F6" s="421"/>
      <c r="G6" s="421"/>
      <c r="H6" s="422"/>
      <c r="I6" s="101" t="s">
        <v>163</v>
      </c>
      <c r="J6" s="101" t="s">
        <v>164</v>
      </c>
      <c r="K6" s="101" t="s">
        <v>165</v>
      </c>
      <c r="L6" s="101" t="s">
        <v>166</v>
      </c>
      <c r="M6" s="530"/>
      <c r="N6" s="531"/>
      <c r="O6" s="516"/>
      <c r="P6" s="518"/>
      <c r="Q6" s="532"/>
      <c r="R6" s="516"/>
      <c r="S6" s="518"/>
      <c r="T6" s="520"/>
    </row>
    <row r="7" spans="2:21">
      <c r="B7" s="418" t="s">
        <v>167</v>
      </c>
      <c r="C7" s="36">
        <v>1</v>
      </c>
      <c r="D7" s="319">
        <v>70</v>
      </c>
      <c r="E7" s="319">
        <v>1</v>
      </c>
      <c r="F7" s="319">
        <v>185</v>
      </c>
      <c r="G7" s="239" t="s">
        <v>168</v>
      </c>
      <c r="H7" s="240">
        <v>12</v>
      </c>
      <c r="I7" s="108">
        <v>0.4</v>
      </c>
      <c r="J7" s="108">
        <v>0.52</v>
      </c>
      <c r="K7" s="108" t="str">
        <f t="shared" ref="K7:K38" si="0">DEC2HEX(ROUND(I7*250,0))</f>
        <v>64</v>
      </c>
      <c r="L7" s="108" t="str">
        <f t="shared" ref="L7:L38" si="1">DEC2HEX(ROUND(J7*250,0))</f>
        <v>82</v>
      </c>
      <c r="M7" s="358">
        <v>0.18110999999999999</v>
      </c>
      <c r="N7" s="359">
        <v>7.7410000000000007E-2</v>
      </c>
      <c r="O7" s="360" t="s">
        <v>284</v>
      </c>
      <c r="P7" s="360" t="s">
        <v>284</v>
      </c>
      <c r="Q7" s="360" t="s">
        <v>284</v>
      </c>
      <c r="R7" s="361" t="s">
        <v>284</v>
      </c>
      <c r="S7" s="361" t="s">
        <v>284</v>
      </c>
      <c r="T7" s="362" t="s">
        <v>284</v>
      </c>
      <c r="U7" s="109"/>
    </row>
    <row r="8" spans="2:21">
      <c r="B8" s="522"/>
      <c r="C8" s="36">
        <v>2</v>
      </c>
      <c r="D8" s="319">
        <v>80</v>
      </c>
      <c r="E8" s="319">
        <v>0</v>
      </c>
      <c r="F8" s="319">
        <v>175</v>
      </c>
      <c r="G8" s="35" t="s">
        <v>169</v>
      </c>
      <c r="H8" s="40" t="s">
        <v>170</v>
      </c>
      <c r="I8" s="79">
        <v>0.20577000000000001</v>
      </c>
      <c r="J8" s="79">
        <v>9.0730000000000005E-2</v>
      </c>
      <c r="K8" s="79" t="str">
        <f t="shared" si="0"/>
        <v>33</v>
      </c>
      <c r="L8" s="79" t="str">
        <f t="shared" si="1"/>
        <v>17</v>
      </c>
      <c r="M8" s="363">
        <v>0.19464999999999999</v>
      </c>
      <c r="N8" s="364">
        <v>8.4599999999999995E-2</v>
      </c>
      <c r="O8" s="365" t="s">
        <v>284</v>
      </c>
      <c r="P8" s="365" t="s">
        <v>284</v>
      </c>
      <c r="Q8" s="365" t="s">
        <v>284</v>
      </c>
      <c r="R8" s="366" t="s">
        <v>284</v>
      </c>
      <c r="S8" s="366" t="s">
        <v>284</v>
      </c>
      <c r="T8" s="367" t="s">
        <v>284</v>
      </c>
      <c r="U8" s="110"/>
    </row>
    <row r="9" spans="2:21">
      <c r="B9" s="522"/>
      <c r="C9" s="36">
        <v>3</v>
      </c>
      <c r="D9" s="319">
        <v>90</v>
      </c>
      <c r="E9" s="319">
        <v>0</v>
      </c>
      <c r="F9" s="319">
        <v>165</v>
      </c>
      <c r="G9" s="35" t="s">
        <v>171</v>
      </c>
      <c r="H9" s="40" t="s">
        <v>72</v>
      </c>
      <c r="I9" s="79">
        <v>0.22803000000000001</v>
      </c>
      <c r="J9" s="79">
        <v>0.10299</v>
      </c>
      <c r="K9" s="79" t="str">
        <f t="shared" si="0"/>
        <v>39</v>
      </c>
      <c r="L9" s="79" t="str">
        <f t="shared" si="1"/>
        <v>1A</v>
      </c>
      <c r="M9" s="363">
        <v>0.21226999999999999</v>
      </c>
      <c r="N9" s="364">
        <v>9.4310000000000005E-2</v>
      </c>
      <c r="O9" s="365" t="s">
        <v>284</v>
      </c>
      <c r="P9" s="365" t="s">
        <v>284</v>
      </c>
      <c r="Q9" s="365" t="s">
        <v>284</v>
      </c>
      <c r="R9" s="366" t="s">
        <v>284</v>
      </c>
      <c r="S9" s="366" t="s">
        <v>284</v>
      </c>
      <c r="T9" s="367" t="s">
        <v>284</v>
      </c>
      <c r="U9" s="111"/>
    </row>
    <row r="10" spans="2:21">
      <c r="B10" s="522"/>
      <c r="C10" s="36">
        <v>4</v>
      </c>
      <c r="D10" s="319">
        <v>101</v>
      </c>
      <c r="E10" s="319">
        <v>0</v>
      </c>
      <c r="F10" s="319">
        <v>155</v>
      </c>
      <c r="G10" s="35" t="s">
        <v>172</v>
      </c>
      <c r="H10" s="40" t="s">
        <v>173</v>
      </c>
      <c r="I10" s="79">
        <v>0.25719999999999998</v>
      </c>
      <c r="J10" s="79">
        <v>0.11907</v>
      </c>
      <c r="K10" s="79" t="str">
        <f t="shared" si="0"/>
        <v>40</v>
      </c>
      <c r="L10" s="79" t="str">
        <f t="shared" si="1"/>
        <v>1E</v>
      </c>
      <c r="M10" s="363">
        <v>0.23594999999999999</v>
      </c>
      <c r="N10" s="364">
        <v>0.10736</v>
      </c>
      <c r="O10" s="365" t="s">
        <v>284</v>
      </c>
      <c r="P10" s="365" t="s">
        <v>284</v>
      </c>
      <c r="Q10" s="365" t="s">
        <v>284</v>
      </c>
      <c r="R10" s="366" t="s">
        <v>284</v>
      </c>
      <c r="S10" s="366" t="s">
        <v>284</v>
      </c>
      <c r="T10" s="367" t="s">
        <v>284</v>
      </c>
      <c r="U10" s="112"/>
    </row>
    <row r="11" spans="2:21">
      <c r="B11" s="522"/>
      <c r="C11" s="36">
        <v>5</v>
      </c>
      <c r="D11" s="319">
        <v>111</v>
      </c>
      <c r="E11" s="319">
        <v>0</v>
      </c>
      <c r="F11" s="319">
        <v>145</v>
      </c>
      <c r="G11" s="35" t="s">
        <v>174</v>
      </c>
      <c r="H11" s="40" t="s">
        <v>175</v>
      </c>
      <c r="I11" s="79">
        <v>0.28977999999999998</v>
      </c>
      <c r="J11" s="79">
        <v>0.13702</v>
      </c>
      <c r="K11" s="79" t="str">
        <f t="shared" si="0"/>
        <v>48</v>
      </c>
      <c r="L11" s="79" t="str">
        <f t="shared" si="1"/>
        <v>22</v>
      </c>
      <c r="M11" s="363">
        <v>0.26329999999999998</v>
      </c>
      <c r="N11" s="364">
        <v>0.12243</v>
      </c>
      <c r="O11" s="365" t="s">
        <v>284</v>
      </c>
      <c r="P11" s="365" t="s">
        <v>284</v>
      </c>
      <c r="Q11" s="365" t="s">
        <v>284</v>
      </c>
      <c r="R11" s="366" t="s">
        <v>284</v>
      </c>
      <c r="S11" s="366" t="s">
        <v>284</v>
      </c>
      <c r="T11" s="367" t="s">
        <v>284</v>
      </c>
      <c r="U11" s="113"/>
    </row>
    <row r="12" spans="2:21">
      <c r="B12" s="522"/>
      <c r="C12" s="36">
        <v>6</v>
      </c>
      <c r="D12" s="319">
        <v>121</v>
      </c>
      <c r="E12" s="319">
        <v>0</v>
      </c>
      <c r="F12" s="319">
        <v>135</v>
      </c>
      <c r="G12" s="35" t="s">
        <v>176</v>
      </c>
      <c r="H12" s="40" t="s">
        <v>177</v>
      </c>
      <c r="I12" s="79">
        <v>0.32682</v>
      </c>
      <c r="J12" s="79">
        <v>0.15742999999999999</v>
      </c>
      <c r="K12" s="79" t="str">
        <f t="shared" si="0"/>
        <v>52</v>
      </c>
      <c r="L12" s="79" t="str">
        <f t="shared" si="1"/>
        <v>27</v>
      </c>
      <c r="M12" s="363">
        <v>0.29560999999999998</v>
      </c>
      <c r="N12" s="364">
        <v>0.14022999999999999</v>
      </c>
      <c r="O12" s="365" t="s">
        <v>284</v>
      </c>
      <c r="P12" s="365" t="s">
        <v>284</v>
      </c>
      <c r="Q12" s="365" t="s">
        <v>284</v>
      </c>
      <c r="R12" s="366" t="s">
        <v>284</v>
      </c>
      <c r="S12" s="366" t="s">
        <v>284</v>
      </c>
      <c r="T12" s="367" t="s">
        <v>284</v>
      </c>
      <c r="U12" s="114"/>
    </row>
    <row r="13" spans="2:21">
      <c r="B13" s="522"/>
      <c r="C13" s="36">
        <v>7</v>
      </c>
      <c r="D13" s="319">
        <v>131</v>
      </c>
      <c r="E13" s="319">
        <v>0</v>
      </c>
      <c r="F13" s="319">
        <v>125</v>
      </c>
      <c r="G13" s="35" t="s">
        <v>178</v>
      </c>
      <c r="H13" s="40" t="s">
        <v>179</v>
      </c>
      <c r="I13" s="79">
        <v>0.36721999999999999</v>
      </c>
      <c r="J13" s="79">
        <v>0.17968999999999999</v>
      </c>
      <c r="K13" s="79" t="str">
        <f t="shared" si="0"/>
        <v>5C</v>
      </c>
      <c r="L13" s="79" t="str">
        <f t="shared" si="1"/>
        <v>2D</v>
      </c>
      <c r="M13" s="363">
        <v>0.63202999999999998</v>
      </c>
      <c r="N13" s="364">
        <v>0.33633000000000002</v>
      </c>
      <c r="O13" s="365">
        <v>248</v>
      </c>
      <c r="P13" s="365">
        <v>24</v>
      </c>
      <c r="Q13" s="365">
        <v>6</v>
      </c>
      <c r="R13" s="366">
        <v>124</v>
      </c>
      <c r="S13" s="366">
        <v>12</v>
      </c>
      <c r="T13" s="367">
        <v>3</v>
      </c>
      <c r="U13" s="115"/>
    </row>
    <row r="14" spans="2:21">
      <c r="B14" s="522"/>
      <c r="C14" s="36">
        <v>8</v>
      </c>
      <c r="D14" s="319">
        <v>145</v>
      </c>
      <c r="E14" s="319">
        <v>0</v>
      </c>
      <c r="F14" s="319">
        <v>115</v>
      </c>
      <c r="G14" s="35" t="s">
        <v>180</v>
      </c>
      <c r="H14" s="40" t="s">
        <v>181</v>
      </c>
      <c r="I14" s="79">
        <v>0.41686000000000001</v>
      </c>
      <c r="J14" s="79">
        <v>0.20704</v>
      </c>
      <c r="K14" s="79" t="str">
        <f t="shared" si="0"/>
        <v>68</v>
      </c>
      <c r="L14" s="79" t="str">
        <f t="shared" si="1"/>
        <v>34</v>
      </c>
      <c r="M14" s="363">
        <v>0.38002999999999998</v>
      </c>
      <c r="N14" s="364">
        <v>0.18675</v>
      </c>
      <c r="O14" s="365">
        <v>224</v>
      </c>
      <c r="P14" s="365">
        <v>6</v>
      </c>
      <c r="Q14" s="365">
        <v>191</v>
      </c>
      <c r="R14" s="366">
        <v>113</v>
      </c>
      <c r="S14" s="366">
        <v>3</v>
      </c>
      <c r="T14" s="367">
        <v>97</v>
      </c>
      <c r="U14" s="116"/>
    </row>
    <row r="15" spans="2:21">
      <c r="B15" s="522"/>
      <c r="C15" s="36">
        <v>9</v>
      </c>
      <c r="D15" s="319">
        <v>165</v>
      </c>
      <c r="E15" s="319">
        <v>0</v>
      </c>
      <c r="F15" s="319">
        <v>100</v>
      </c>
      <c r="G15" s="35" t="s">
        <v>182</v>
      </c>
      <c r="H15" s="40" t="s">
        <v>183</v>
      </c>
      <c r="I15" s="79">
        <v>0.48497000000000001</v>
      </c>
      <c r="J15" s="79">
        <v>0.24457999999999999</v>
      </c>
      <c r="K15" s="79" t="str">
        <f t="shared" si="0"/>
        <v>79</v>
      </c>
      <c r="L15" s="79" t="str">
        <f t="shared" si="1"/>
        <v>3D</v>
      </c>
      <c r="M15" s="363">
        <v>0.45021</v>
      </c>
      <c r="N15" s="364">
        <v>0.22542000000000001</v>
      </c>
      <c r="O15" s="365">
        <v>237</v>
      </c>
      <c r="P15" s="365">
        <v>12</v>
      </c>
      <c r="Q15" s="365">
        <v>118</v>
      </c>
      <c r="R15" s="366">
        <v>119</v>
      </c>
      <c r="S15" s="366">
        <v>6</v>
      </c>
      <c r="T15" s="367">
        <v>60</v>
      </c>
      <c r="U15" s="117"/>
    </row>
    <row r="16" spans="2:21">
      <c r="B16" s="522"/>
      <c r="C16" s="36">
        <v>10</v>
      </c>
      <c r="D16" s="319">
        <v>195</v>
      </c>
      <c r="E16" s="319">
        <v>0</v>
      </c>
      <c r="F16" s="319">
        <v>90</v>
      </c>
      <c r="G16" s="35" t="s">
        <v>184</v>
      </c>
      <c r="H16" s="40" t="s">
        <v>185</v>
      </c>
      <c r="I16" s="79">
        <v>0.54068000000000005</v>
      </c>
      <c r="J16" s="79">
        <v>0.27527000000000001</v>
      </c>
      <c r="K16" s="79" t="str">
        <f t="shared" si="0"/>
        <v>87</v>
      </c>
      <c r="L16" s="79" t="str">
        <f t="shared" si="1"/>
        <v>45</v>
      </c>
      <c r="M16" s="363">
        <v>0.51304000000000005</v>
      </c>
      <c r="N16" s="364">
        <v>0.26003999999999999</v>
      </c>
      <c r="O16" s="365">
        <v>245</v>
      </c>
      <c r="P16" s="365">
        <v>15</v>
      </c>
      <c r="Q16" s="365">
        <v>71</v>
      </c>
      <c r="R16" s="366">
        <v>123</v>
      </c>
      <c r="S16" s="366">
        <v>7</v>
      </c>
      <c r="T16" s="367">
        <v>36</v>
      </c>
      <c r="U16" s="118"/>
    </row>
    <row r="17" spans="2:21">
      <c r="B17" s="522"/>
      <c r="C17" s="36">
        <v>11</v>
      </c>
      <c r="D17" s="319">
        <v>220</v>
      </c>
      <c r="E17" s="319">
        <v>0</v>
      </c>
      <c r="F17" s="319">
        <v>70</v>
      </c>
      <c r="G17" s="35" t="s">
        <v>186</v>
      </c>
      <c r="H17" s="40" t="s">
        <v>187</v>
      </c>
      <c r="I17" s="79">
        <v>0.59057000000000004</v>
      </c>
      <c r="J17" s="79">
        <v>0.30275999999999997</v>
      </c>
      <c r="K17" s="79" t="str">
        <f t="shared" si="0"/>
        <v>94</v>
      </c>
      <c r="L17" s="79" t="str">
        <f t="shared" si="1"/>
        <v>4C</v>
      </c>
      <c r="M17" s="363">
        <v>0.57250999999999996</v>
      </c>
      <c r="N17" s="364">
        <v>0.29281000000000001</v>
      </c>
      <c r="O17" s="368">
        <v>251</v>
      </c>
      <c r="P17" s="368">
        <v>18</v>
      </c>
      <c r="Q17" s="369">
        <v>37</v>
      </c>
      <c r="R17" s="366">
        <v>126</v>
      </c>
      <c r="S17" s="366">
        <v>9</v>
      </c>
      <c r="T17" s="367">
        <v>19</v>
      </c>
      <c r="U17" s="119"/>
    </row>
    <row r="18" spans="2:21">
      <c r="B18" s="522"/>
      <c r="C18" s="36">
        <v>12</v>
      </c>
      <c r="D18" s="319">
        <v>230</v>
      </c>
      <c r="E18" s="319">
        <v>0</v>
      </c>
      <c r="F18" s="319">
        <v>50</v>
      </c>
      <c r="G18" s="35" t="s">
        <v>188</v>
      </c>
      <c r="H18" s="40" t="s">
        <v>189</v>
      </c>
      <c r="I18" s="79">
        <v>0.61731000000000003</v>
      </c>
      <c r="J18" s="79">
        <v>0.3175</v>
      </c>
      <c r="K18" s="79" t="str">
        <f t="shared" si="0"/>
        <v>9A</v>
      </c>
      <c r="L18" s="79" t="str">
        <f t="shared" si="1"/>
        <v>4F</v>
      </c>
      <c r="M18" s="363">
        <v>0.60570999999999997</v>
      </c>
      <c r="N18" s="364">
        <v>0.31111</v>
      </c>
      <c r="O18" s="368">
        <v>254</v>
      </c>
      <c r="P18" s="368">
        <v>19</v>
      </c>
      <c r="Q18" s="369">
        <v>21</v>
      </c>
      <c r="R18" s="366">
        <v>127</v>
      </c>
      <c r="S18" s="366">
        <v>9</v>
      </c>
      <c r="T18" s="367">
        <v>11</v>
      </c>
      <c r="U18" s="120"/>
    </row>
    <row r="19" spans="2:21">
      <c r="B19" s="522"/>
      <c r="C19" s="36">
        <v>13</v>
      </c>
      <c r="D19" s="319">
        <v>240</v>
      </c>
      <c r="E19" s="319">
        <v>0</v>
      </c>
      <c r="F19" s="319">
        <v>30</v>
      </c>
      <c r="G19" s="35" t="s">
        <v>190</v>
      </c>
      <c r="H19" s="40" t="s">
        <v>176</v>
      </c>
      <c r="I19" s="79">
        <v>0.63305999999999996</v>
      </c>
      <c r="J19" s="79">
        <v>0.32617000000000002</v>
      </c>
      <c r="K19" s="79" t="str">
        <f t="shared" si="0"/>
        <v>9E</v>
      </c>
      <c r="L19" s="79" t="str">
        <f t="shared" si="1"/>
        <v>52</v>
      </c>
      <c r="M19" s="363">
        <v>0.62673999999999996</v>
      </c>
      <c r="N19" s="364">
        <v>0.32268999999999998</v>
      </c>
      <c r="O19" s="368">
        <v>253</v>
      </c>
      <c r="P19" s="368">
        <v>19</v>
      </c>
      <c r="Q19" s="369">
        <v>12</v>
      </c>
      <c r="R19" s="366">
        <v>128</v>
      </c>
      <c r="S19" s="366">
        <v>10</v>
      </c>
      <c r="T19" s="367">
        <v>6</v>
      </c>
      <c r="U19" s="121"/>
    </row>
    <row r="20" spans="2:21">
      <c r="B20" s="522"/>
      <c r="C20" s="36">
        <v>14</v>
      </c>
      <c r="D20" s="319">
        <v>245</v>
      </c>
      <c r="E20" s="319">
        <v>0</v>
      </c>
      <c r="F20" s="319">
        <v>15</v>
      </c>
      <c r="G20" s="35" t="s">
        <v>191</v>
      </c>
      <c r="H20" s="40">
        <v>51</v>
      </c>
      <c r="I20" s="79">
        <v>0.63854</v>
      </c>
      <c r="J20" s="79">
        <v>0.32918999999999998</v>
      </c>
      <c r="K20" s="79" t="str">
        <f t="shared" si="0"/>
        <v>A0</v>
      </c>
      <c r="L20" s="107">
        <v>51</v>
      </c>
      <c r="M20" s="363">
        <v>0.63526000000000005</v>
      </c>
      <c r="N20" s="364">
        <v>0.32739000000000001</v>
      </c>
      <c r="O20" s="368">
        <v>253</v>
      </c>
      <c r="P20" s="368">
        <v>20</v>
      </c>
      <c r="Q20" s="369">
        <v>8</v>
      </c>
      <c r="R20" s="366">
        <v>129</v>
      </c>
      <c r="S20" s="366">
        <v>10</v>
      </c>
      <c r="T20" s="367">
        <v>4</v>
      </c>
      <c r="U20" s="122"/>
    </row>
    <row r="21" spans="2:21">
      <c r="B21" s="522"/>
      <c r="C21" s="36">
        <v>15</v>
      </c>
      <c r="D21" s="319">
        <v>255</v>
      </c>
      <c r="E21" s="319">
        <v>0</v>
      </c>
      <c r="F21" s="319">
        <v>5</v>
      </c>
      <c r="G21" s="35" t="s">
        <v>191</v>
      </c>
      <c r="H21" s="40" t="s">
        <v>176</v>
      </c>
      <c r="I21" s="79">
        <v>0.63988</v>
      </c>
      <c r="J21" s="79">
        <v>0.32993</v>
      </c>
      <c r="K21" s="79" t="str">
        <f t="shared" si="0"/>
        <v>A0</v>
      </c>
      <c r="L21" s="79" t="str">
        <f t="shared" si="1"/>
        <v>52</v>
      </c>
      <c r="M21" s="363">
        <v>0.63861999999999997</v>
      </c>
      <c r="N21" s="364">
        <v>0.32923999999999998</v>
      </c>
      <c r="O21" s="368">
        <v>254</v>
      </c>
      <c r="P21" s="368">
        <v>20</v>
      </c>
      <c r="Q21" s="369">
        <v>7</v>
      </c>
      <c r="R21" s="366">
        <v>129</v>
      </c>
      <c r="S21" s="366">
        <v>10</v>
      </c>
      <c r="T21" s="367">
        <v>3</v>
      </c>
      <c r="U21" s="123"/>
    </row>
    <row r="22" spans="2:21">
      <c r="B22" s="522"/>
      <c r="C22" s="36">
        <v>16</v>
      </c>
      <c r="D22" s="319">
        <v>255</v>
      </c>
      <c r="E22" s="319">
        <v>10</v>
      </c>
      <c r="F22" s="319">
        <v>0</v>
      </c>
      <c r="G22" s="35" t="s">
        <v>191</v>
      </c>
      <c r="H22" s="40" t="s">
        <v>192</v>
      </c>
      <c r="I22" s="79">
        <v>0.63966000000000001</v>
      </c>
      <c r="J22" s="79">
        <v>0.33029999999999998</v>
      </c>
      <c r="K22" s="79" t="str">
        <f t="shared" si="0"/>
        <v>A0</v>
      </c>
      <c r="L22" s="79" t="str">
        <f t="shared" si="1"/>
        <v>53</v>
      </c>
      <c r="M22" s="363">
        <v>0.6381</v>
      </c>
      <c r="N22" s="364">
        <v>0.33151000000000003</v>
      </c>
      <c r="O22" s="368">
        <v>251</v>
      </c>
      <c r="P22" s="368">
        <v>21</v>
      </c>
      <c r="Q22" s="369">
        <v>6</v>
      </c>
      <c r="R22" s="366">
        <v>128</v>
      </c>
      <c r="S22" s="366">
        <v>10</v>
      </c>
      <c r="T22" s="367">
        <v>3</v>
      </c>
      <c r="U22" s="124"/>
    </row>
    <row r="23" spans="2:21">
      <c r="B23" s="522"/>
      <c r="C23" s="36">
        <v>17</v>
      </c>
      <c r="D23" s="384">
        <v>255</v>
      </c>
      <c r="E23" s="384">
        <v>20</v>
      </c>
      <c r="F23" s="384">
        <v>0</v>
      </c>
      <c r="G23" s="43" t="s">
        <v>191</v>
      </c>
      <c r="H23" s="44">
        <v>54</v>
      </c>
      <c r="I23" s="79">
        <v>0.63844000000000001</v>
      </c>
      <c r="J23" s="79">
        <v>0.33138000000000001</v>
      </c>
      <c r="K23" s="79" t="str">
        <f t="shared" si="0"/>
        <v>A0</v>
      </c>
      <c r="L23" s="107">
        <v>54</v>
      </c>
      <c r="M23" s="370">
        <v>0.63566</v>
      </c>
      <c r="N23" s="371">
        <v>0.33345000000000002</v>
      </c>
      <c r="O23" s="368">
        <v>249</v>
      </c>
      <c r="P23" s="368">
        <v>22</v>
      </c>
      <c r="Q23" s="369">
        <v>6</v>
      </c>
      <c r="R23" s="366">
        <v>126</v>
      </c>
      <c r="S23" s="366">
        <v>11</v>
      </c>
      <c r="T23" s="367">
        <v>3</v>
      </c>
      <c r="U23" s="125"/>
    </row>
    <row r="24" spans="2:21">
      <c r="B24" s="522"/>
      <c r="C24" s="36">
        <v>18</v>
      </c>
      <c r="D24" s="384">
        <v>255</v>
      </c>
      <c r="E24" s="384">
        <v>30</v>
      </c>
      <c r="F24" s="384">
        <v>0</v>
      </c>
      <c r="G24" s="43" t="s">
        <v>193</v>
      </c>
      <c r="H24" s="44" t="s">
        <v>192</v>
      </c>
      <c r="I24" s="79">
        <v>0.63622000000000001</v>
      </c>
      <c r="J24" s="79">
        <v>0.33334000000000003</v>
      </c>
      <c r="K24" s="79" t="str">
        <f t="shared" si="0"/>
        <v>9F</v>
      </c>
      <c r="L24" s="79" t="str">
        <f t="shared" si="1"/>
        <v>53</v>
      </c>
      <c r="M24" s="370">
        <v>0.63202999999999998</v>
      </c>
      <c r="N24" s="371">
        <v>0.33633000000000002</v>
      </c>
      <c r="O24" s="368">
        <v>244</v>
      </c>
      <c r="P24" s="368">
        <v>24</v>
      </c>
      <c r="Q24" s="369">
        <v>6</v>
      </c>
      <c r="R24" s="366">
        <v>124</v>
      </c>
      <c r="S24" s="366">
        <v>12</v>
      </c>
      <c r="T24" s="367">
        <v>3</v>
      </c>
      <c r="U24" s="126"/>
    </row>
    <row r="25" spans="2:21">
      <c r="B25" s="522"/>
      <c r="C25" s="36">
        <v>19</v>
      </c>
      <c r="D25" s="384">
        <v>255</v>
      </c>
      <c r="E25" s="384">
        <v>40</v>
      </c>
      <c r="F25" s="384">
        <v>0</v>
      </c>
      <c r="G25" s="43" t="s">
        <v>190</v>
      </c>
      <c r="H25" s="44" t="s">
        <v>194</v>
      </c>
      <c r="I25" s="79">
        <v>0.63293999999999995</v>
      </c>
      <c r="J25" s="79">
        <v>0.33622999999999997</v>
      </c>
      <c r="K25" s="79" t="str">
        <f t="shared" si="0"/>
        <v>9E</v>
      </c>
      <c r="L25" s="79" t="str">
        <f t="shared" si="1"/>
        <v>54</v>
      </c>
      <c r="M25" s="370">
        <v>0.62716000000000005</v>
      </c>
      <c r="N25" s="371">
        <v>0.3402</v>
      </c>
      <c r="O25" s="368">
        <v>239</v>
      </c>
      <c r="P25" s="368">
        <v>26</v>
      </c>
      <c r="Q25" s="369">
        <v>6</v>
      </c>
      <c r="R25" s="366">
        <v>121</v>
      </c>
      <c r="S25" s="366">
        <v>13</v>
      </c>
      <c r="T25" s="367">
        <v>3</v>
      </c>
      <c r="U25" s="127"/>
    </row>
    <row r="26" spans="2:21">
      <c r="B26" s="522"/>
      <c r="C26" s="36">
        <v>20</v>
      </c>
      <c r="D26" s="384">
        <v>255</v>
      </c>
      <c r="E26" s="319">
        <v>50</v>
      </c>
      <c r="F26" s="384">
        <v>0</v>
      </c>
      <c r="G26" s="43" t="s">
        <v>195</v>
      </c>
      <c r="H26" s="44" t="s">
        <v>196</v>
      </c>
      <c r="I26" s="79">
        <v>0.62858999999999998</v>
      </c>
      <c r="J26" s="79">
        <v>0.34007999999999999</v>
      </c>
      <c r="K26" s="79" t="str">
        <f t="shared" si="0"/>
        <v>9D</v>
      </c>
      <c r="L26" s="79" t="str">
        <f t="shared" si="1"/>
        <v>55</v>
      </c>
      <c r="M26" s="370">
        <v>0.62105999999999995</v>
      </c>
      <c r="N26" s="371">
        <v>0.34504000000000001</v>
      </c>
      <c r="O26" s="368">
        <v>232</v>
      </c>
      <c r="P26" s="368">
        <v>29</v>
      </c>
      <c r="Q26" s="369">
        <v>6</v>
      </c>
      <c r="R26" s="366">
        <v>118</v>
      </c>
      <c r="S26" s="366">
        <v>15</v>
      </c>
      <c r="T26" s="367">
        <v>3</v>
      </c>
      <c r="U26" s="128"/>
    </row>
    <row r="27" spans="2:21">
      <c r="B27" s="522"/>
      <c r="C27" s="36">
        <v>21</v>
      </c>
      <c r="D27" s="384">
        <v>255</v>
      </c>
      <c r="E27" s="384">
        <v>60</v>
      </c>
      <c r="F27" s="384">
        <v>0</v>
      </c>
      <c r="G27" s="43" t="s">
        <v>197</v>
      </c>
      <c r="H27" s="44" t="s">
        <v>198</v>
      </c>
      <c r="I27" s="79">
        <v>0.62319000000000002</v>
      </c>
      <c r="J27" s="79">
        <v>0.34486</v>
      </c>
      <c r="K27" s="79" t="str">
        <f t="shared" si="0"/>
        <v>9C</v>
      </c>
      <c r="L27" s="79" t="str">
        <f t="shared" si="1"/>
        <v>56</v>
      </c>
      <c r="M27" s="370">
        <v>0.61377999999999999</v>
      </c>
      <c r="N27" s="371">
        <v>0.35082000000000002</v>
      </c>
      <c r="O27" s="368">
        <v>225</v>
      </c>
      <c r="P27" s="368">
        <v>33</v>
      </c>
      <c r="Q27" s="369">
        <v>6</v>
      </c>
      <c r="R27" s="366">
        <v>114</v>
      </c>
      <c r="S27" s="366">
        <v>16</v>
      </c>
      <c r="T27" s="367">
        <v>3</v>
      </c>
      <c r="U27" s="129"/>
    </row>
    <row r="28" spans="2:21">
      <c r="B28" s="522"/>
      <c r="C28" s="36">
        <v>22</v>
      </c>
      <c r="D28" s="384">
        <v>255</v>
      </c>
      <c r="E28" s="384">
        <v>70</v>
      </c>
      <c r="F28" s="384">
        <v>0</v>
      </c>
      <c r="G28" s="43" t="s">
        <v>188</v>
      </c>
      <c r="H28" s="44" t="s">
        <v>199</v>
      </c>
      <c r="I28" s="79">
        <v>0.61677000000000004</v>
      </c>
      <c r="J28" s="79">
        <v>0.35053000000000001</v>
      </c>
      <c r="K28" s="79" t="str">
        <f t="shared" si="0"/>
        <v>9A</v>
      </c>
      <c r="L28" s="79" t="str">
        <f t="shared" si="1"/>
        <v>58</v>
      </c>
      <c r="M28" s="370">
        <v>0.60541</v>
      </c>
      <c r="N28" s="371">
        <v>0.35747000000000001</v>
      </c>
      <c r="O28" s="368">
        <v>219</v>
      </c>
      <c r="P28" s="368">
        <v>37</v>
      </c>
      <c r="Q28" s="369">
        <v>6</v>
      </c>
      <c r="R28" s="366">
        <v>110</v>
      </c>
      <c r="S28" s="366">
        <v>18</v>
      </c>
      <c r="T28" s="367">
        <v>3</v>
      </c>
      <c r="U28" s="130"/>
    </row>
    <row r="29" spans="2:21">
      <c r="B29" s="522"/>
      <c r="C29" s="36">
        <v>23</v>
      </c>
      <c r="D29" s="384">
        <v>255</v>
      </c>
      <c r="E29" s="384">
        <v>80</v>
      </c>
      <c r="F29" s="384">
        <v>0</v>
      </c>
      <c r="G29" s="43" t="s">
        <v>200</v>
      </c>
      <c r="H29" s="44" t="s">
        <v>201</v>
      </c>
      <c r="I29" s="79">
        <v>0.60940000000000005</v>
      </c>
      <c r="J29" s="79">
        <v>0.35704000000000002</v>
      </c>
      <c r="K29" s="79" t="str">
        <f t="shared" si="0"/>
        <v>98</v>
      </c>
      <c r="L29" s="79" t="str">
        <f t="shared" si="1"/>
        <v>59</v>
      </c>
      <c r="M29" s="370">
        <v>0.59606999999999999</v>
      </c>
      <c r="N29" s="371">
        <v>0.36487999999999998</v>
      </c>
      <c r="O29" s="368">
        <v>209</v>
      </c>
      <c r="P29" s="368">
        <v>41</v>
      </c>
      <c r="Q29" s="369">
        <v>6</v>
      </c>
      <c r="R29" s="366">
        <v>105</v>
      </c>
      <c r="S29" s="366">
        <v>20</v>
      </c>
      <c r="T29" s="367">
        <v>3</v>
      </c>
      <c r="U29" s="131"/>
    </row>
    <row r="30" spans="2:21">
      <c r="B30" s="522"/>
      <c r="C30" s="36">
        <v>24</v>
      </c>
      <c r="D30" s="384">
        <v>255</v>
      </c>
      <c r="E30" s="319">
        <v>90</v>
      </c>
      <c r="F30" s="384">
        <v>0</v>
      </c>
      <c r="G30" s="43" t="s">
        <v>202</v>
      </c>
      <c r="H30" s="44" t="s">
        <v>203</v>
      </c>
      <c r="I30" s="79">
        <v>0.60116999999999998</v>
      </c>
      <c r="J30" s="79">
        <v>0.36431000000000002</v>
      </c>
      <c r="K30" s="79" t="str">
        <f t="shared" si="0"/>
        <v>96</v>
      </c>
      <c r="L30" s="79" t="str">
        <f t="shared" si="1"/>
        <v>5B</v>
      </c>
      <c r="M30" s="363">
        <v>0.58592999999999995</v>
      </c>
      <c r="N30" s="372">
        <v>0.37293999999999999</v>
      </c>
      <c r="O30" s="368">
        <v>200</v>
      </c>
      <c r="P30" s="368">
        <v>45</v>
      </c>
      <c r="Q30" s="369">
        <v>7</v>
      </c>
      <c r="R30" s="366">
        <v>100</v>
      </c>
      <c r="S30" s="366">
        <v>23</v>
      </c>
      <c r="T30" s="367">
        <v>3</v>
      </c>
      <c r="U30" s="132"/>
    </row>
    <row r="31" spans="2:21">
      <c r="B31" s="522"/>
      <c r="C31" s="36">
        <v>25</v>
      </c>
      <c r="D31" s="384">
        <v>255</v>
      </c>
      <c r="E31" s="384">
        <v>100</v>
      </c>
      <c r="F31" s="384">
        <v>0</v>
      </c>
      <c r="G31" s="35" t="s">
        <v>186</v>
      </c>
      <c r="H31" s="40" t="s">
        <v>204</v>
      </c>
      <c r="I31" s="79">
        <v>0.59218000000000004</v>
      </c>
      <c r="J31" s="79">
        <v>0.37225999999999998</v>
      </c>
      <c r="K31" s="79" t="str">
        <f t="shared" si="0"/>
        <v>94</v>
      </c>
      <c r="L31" s="79" t="str">
        <f t="shared" si="1"/>
        <v>5D</v>
      </c>
      <c r="M31" s="363">
        <v>0.57515000000000005</v>
      </c>
      <c r="N31" s="372">
        <v>0.38150000000000001</v>
      </c>
      <c r="O31" s="368">
        <v>190</v>
      </c>
      <c r="P31" s="368">
        <v>50</v>
      </c>
      <c r="Q31" s="369">
        <v>7</v>
      </c>
      <c r="R31" s="366">
        <v>95</v>
      </c>
      <c r="S31" s="366">
        <v>25</v>
      </c>
      <c r="T31" s="367">
        <v>3</v>
      </c>
      <c r="U31" s="133"/>
    </row>
    <row r="32" spans="2:21">
      <c r="B32" s="522"/>
      <c r="C32" s="36">
        <v>26</v>
      </c>
      <c r="D32" s="319">
        <v>250</v>
      </c>
      <c r="E32" s="319">
        <v>110</v>
      </c>
      <c r="F32" s="319">
        <v>0</v>
      </c>
      <c r="G32" s="35" t="s">
        <v>205</v>
      </c>
      <c r="H32" s="40" t="s">
        <v>206</v>
      </c>
      <c r="I32" s="79">
        <v>0.58030999999999999</v>
      </c>
      <c r="J32" s="79">
        <v>0.38274999999999998</v>
      </c>
      <c r="K32" s="79" t="str">
        <f t="shared" si="0"/>
        <v>91</v>
      </c>
      <c r="L32" s="79" t="str">
        <f t="shared" si="1"/>
        <v>60</v>
      </c>
      <c r="M32" s="370">
        <v>0.56120000000000003</v>
      </c>
      <c r="N32" s="371">
        <v>0.39256999999999997</v>
      </c>
      <c r="O32" s="368">
        <v>178</v>
      </c>
      <c r="P32" s="368">
        <v>55</v>
      </c>
      <c r="Q32" s="369">
        <v>7</v>
      </c>
      <c r="R32" s="366">
        <v>89</v>
      </c>
      <c r="S32" s="366">
        <v>27</v>
      </c>
      <c r="T32" s="367">
        <v>3</v>
      </c>
      <c r="U32" s="134"/>
    </row>
    <row r="33" spans="2:21">
      <c r="B33" s="418"/>
      <c r="C33" s="36">
        <v>27</v>
      </c>
      <c r="D33" s="319">
        <v>240</v>
      </c>
      <c r="E33" s="319">
        <v>120</v>
      </c>
      <c r="F33" s="319">
        <v>0</v>
      </c>
      <c r="G33" s="35" t="s">
        <v>207</v>
      </c>
      <c r="H33" s="40" t="s">
        <v>208</v>
      </c>
      <c r="I33" s="79">
        <v>0.56433999999999995</v>
      </c>
      <c r="J33" s="79">
        <v>0.39685999999999999</v>
      </c>
      <c r="K33" s="79" t="str">
        <f t="shared" si="0"/>
        <v>8D</v>
      </c>
      <c r="L33" s="79" t="str">
        <f t="shared" si="1"/>
        <v>63</v>
      </c>
      <c r="M33" s="363">
        <v>0.54308999999999996</v>
      </c>
      <c r="N33" s="364">
        <v>0.40695999999999999</v>
      </c>
      <c r="O33" s="368">
        <v>164</v>
      </c>
      <c r="P33" s="368">
        <v>62</v>
      </c>
      <c r="Q33" s="369">
        <v>7</v>
      </c>
      <c r="R33" s="366">
        <v>82</v>
      </c>
      <c r="S33" s="366">
        <v>31</v>
      </c>
      <c r="T33" s="367">
        <v>3</v>
      </c>
      <c r="U33" s="135"/>
    </row>
    <row r="34" spans="2:21">
      <c r="B34" s="418"/>
      <c r="C34" s="36">
        <v>28</v>
      </c>
      <c r="D34" s="319">
        <v>230</v>
      </c>
      <c r="E34" s="319">
        <v>130</v>
      </c>
      <c r="F34" s="319">
        <v>0</v>
      </c>
      <c r="G34" s="35" t="s">
        <v>209</v>
      </c>
      <c r="H34" s="40" t="s">
        <v>210</v>
      </c>
      <c r="I34" s="79">
        <v>0.54603999999999997</v>
      </c>
      <c r="J34" s="79">
        <v>0.41303000000000001</v>
      </c>
      <c r="K34" s="79" t="str">
        <f t="shared" si="0"/>
        <v>89</v>
      </c>
      <c r="L34" s="79" t="str">
        <f t="shared" si="1"/>
        <v>67</v>
      </c>
      <c r="M34" s="363">
        <v>0.56120000000000003</v>
      </c>
      <c r="N34" s="364">
        <v>0.39256999999999997</v>
      </c>
      <c r="O34" s="368">
        <v>178</v>
      </c>
      <c r="P34" s="368">
        <v>55</v>
      </c>
      <c r="Q34" s="369">
        <v>7</v>
      </c>
      <c r="R34" s="366">
        <v>89</v>
      </c>
      <c r="S34" s="366">
        <v>27</v>
      </c>
      <c r="T34" s="367">
        <v>3</v>
      </c>
      <c r="U34" s="136"/>
    </row>
    <row r="35" spans="2:21">
      <c r="B35" s="418"/>
      <c r="C35" s="36">
        <v>29</v>
      </c>
      <c r="D35" s="319">
        <v>215</v>
      </c>
      <c r="E35" s="319">
        <v>140</v>
      </c>
      <c r="F35" s="319">
        <v>0</v>
      </c>
      <c r="G35" s="35" t="s">
        <v>211</v>
      </c>
      <c r="H35" s="40" t="s">
        <v>212</v>
      </c>
      <c r="I35" s="79">
        <v>0.52120999999999995</v>
      </c>
      <c r="J35" s="79">
        <v>0.43497999999999998</v>
      </c>
      <c r="K35" s="79" t="str">
        <f t="shared" si="0"/>
        <v>82</v>
      </c>
      <c r="L35" s="79" t="str">
        <f t="shared" si="1"/>
        <v>6D</v>
      </c>
      <c r="M35" s="363">
        <v>0.49839</v>
      </c>
      <c r="N35" s="364">
        <v>0.44245000000000001</v>
      </c>
      <c r="O35" s="368">
        <v>132</v>
      </c>
      <c r="P35" s="368">
        <v>76</v>
      </c>
      <c r="Q35" s="369">
        <v>7</v>
      </c>
      <c r="R35" s="366">
        <v>66</v>
      </c>
      <c r="S35" s="366">
        <v>38</v>
      </c>
      <c r="T35" s="367">
        <v>3</v>
      </c>
      <c r="U35" s="137"/>
    </row>
    <row r="36" spans="2:21">
      <c r="B36" s="418"/>
      <c r="C36" s="36">
        <v>30</v>
      </c>
      <c r="D36" s="319">
        <v>210</v>
      </c>
      <c r="E36" s="319">
        <v>150</v>
      </c>
      <c r="F36" s="319">
        <v>0</v>
      </c>
      <c r="G36" s="35" t="s">
        <v>213</v>
      </c>
      <c r="H36" s="40" t="s">
        <v>214</v>
      </c>
      <c r="I36" s="79">
        <v>0.50295000000000001</v>
      </c>
      <c r="J36" s="79">
        <v>0.45111000000000001</v>
      </c>
      <c r="K36" s="79" t="str">
        <f t="shared" si="0"/>
        <v>7E</v>
      </c>
      <c r="L36" s="79" t="str">
        <f t="shared" si="1"/>
        <v>71</v>
      </c>
      <c r="M36" s="363">
        <v>0.48131000000000002</v>
      </c>
      <c r="N36" s="364">
        <v>0.45601999999999998</v>
      </c>
      <c r="O36" s="368">
        <v>121</v>
      </c>
      <c r="P36" s="368">
        <v>81</v>
      </c>
      <c r="Q36" s="369">
        <v>7</v>
      </c>
      <c r="R36" s="366">
        <v>61</v>
      </c>
      <c r="S36" s="366">
        <v>40</v>
      </c>
      <c r="T36" s="367">
        <v>3</v>
      </c>
      <c r="U36" s="138"/>
    </row>
    <row r="37" spans="2:21">
      <c r="B37" s="418"/>
      <c r="C37" s="36">
        <v>31</v>
      </c>
      <c r="D37" s="319">
        <v>205</v>
      </c>
      <c r="E37" s="319">
        <v>160</v>
      </c>
      <c r="F37" s="319">
        <v>0</v>
      </c>
      <c r="G37" s="35" t="s">
        <v>182</v>
      </c>
      <c r="H37" s="40" t="s">
        <v>215</v>
      </c>
      <c r="I37" s="79">
        <v>0.48414000000000001</v>
      </c>
      <c r="J37" s="79">
        <v>0.46772999999999998</v>
      </c>
      <c r="K37" s="79" t="str">
        <f t="shared" si="0"/>
        <v>79</v>
      </c>
      <c r="L37" s="79" t="str">
        <f t="shared" si="1"/>
        <v>75</v>
      </c>
      <c r="M37" s="363">
        <v>0.46465000000000001</v>
      </c>
      <c r="N37" s="364">
        <v>0.46925</v>
      </c>
      <c r="O37" s="368">
        <v>111</v>
      </c>
      <c r="P37" s="368">
        <v>86</v>
      </c>
      <c r="Q37" s="369">
        <v>7</v>
      </c>
      <c r="R37" s="366">
        <v>56</v>
      </c>
      <c r="S37" s="366">
        <v>43</v>
      </c>
      <c r="T37" s="367">
        <v>3</v>
      </c>
      <c r="U37" s="139"/>
    </row>
    <row r="38" spans="2:21">
      <c r="B38" s="418"/>
      <c r="C38" s="36">
        <v>32</v>
      </c>
      <c r="D38" s="319">
        <v>200</v>
      </c>
      <c r="E38" s="319">
        <v>185</v>
      </c>
      <c r="F38" s="319">
        <v>0</v>
      </c>
      <c r="G38" s="35" t="s">
        <v>70</v>
      </c>
      <c r="H38" s="40" t="s">
        <v>216</v>
      </c>
      <c r="I38" s="79">
        <v>0.44547999999999999</v>
      </c>
      <c r="J38" s="79">
        <v>0.50190000000000001</v>
      </c>
      <c r="K38" s="79" t="str">
        <f t="shared" si="0"/>
        <v>6F</v>
      </c>
      <c r="L38" s="79" t="str">
        <f t="shared" si="1"/>
        <v>7D</v>
      </c>
      <c r="M38" s="363">
        <v>0.43314999999999998</v>
      </c>
      <c r="N38" s="364">
        <v>0.49425999999999998</v>
      </c>
      <c r="O38" s="368">
        <v>93</v>
      </c>
      <c r="P38" s="368">
        <v>94</v>
      </c>
      <c r="Q38" s="369">
        <v>7</v>
      </c>
      <c r="R38" s="366">
        <v>47</v>
      </c>
      <c r="S38" s="366">
        <v>47</v>
      </c>
      <c r="T38" s="367">
        <v>4</v>
      </c>
      <c r="U38" s="140"/>
    </row>
    <row r="39" spans="2:21">
      <c r="B39" s="418"/>
      <c r="C39" s="36">
        <v>33</v>
      </c>
      <c r="D39" s="319">
        <v>195</v>
      </c>
      <c r="E39" s="319">
        <v>200</v>
      </c>
      <c r="F39" s="319">
        <v>0</v>
      </c>
      <c r="G39" s="35" t="s">
        <v>217</v>
      </c>
      <c r="H39" s="40" t="s">
        <v>218</v>
      </c>
      <c r="I39" s="79">
        <v>0.42113</v>
      </c>
      <c r="J39" s="79">
        <v>0.52342</v>
      </c>
      <c r="K39" s="79" t="str">
        <f t="shared" ref="K39:K70" si="2">DEC2HEX(ROUND(I39*250,0))</f>
        <v>69</v>
      </c>
      <c r="L39" s="79" t="str">
        <f t="shared" ref="L39:L70" si="3">DEC2HEX(ROUND(J39*250,0))</f>
        <v>83</v>
      </c>
      <c r="M39" s="363">
        <v>0.41496</v>
      </c>
      <c r="N39" s="364">
        <v>0.50870000000000004</v>
      </c>
      <c r="O39" s="368">
        <v>84</v>
      </c>
      <c r="P39" s="368">
        <v>98</v>
      </c>
      <c r="Q39" s="369">
        <v>7</v>
      </c>
      <c r="R39" s="366">
        <v>42</v>
      </c>
      <c r="S39" s="366">
        <v>49</v>
      </c>
      <c r="T39" s="367">
        <v>4</v>
      </c>
      <c r="U39" s="141"/>
    </row>
    <row r="40" spans="2:21">
      <c r="B40" s="418"/>
      <c r="C40" s="36">
        <v>34</v>
      </c>
      <c r="D40" s="319">
        <v>185</v>
      </c>
      <c r="E40" s="319">
        <v>220</v>
      </c>
      <c r="F40" s="319">
        <v>0</v>
      </c>
      <c r="G40" s="35" t="s">
        <v>219</v>
      </c>
      <c r="H40" s="40" t="s">
        <v>220</v>
      </c>
      <c r="I40" s="79">
        <v>0.38657000000000002</v>
      </c>
      <c r="J40" s="79">
        <v>0.55396000000000001</v>
      </c>
      <c r="K40" s="79" t="str">
        <f t="shared" si="2"/>
        <v>61</v>
      </c>
      <c r="L40" s="79" t="str">
        <f t="shared" si="3"/>
        <v>8A</v>
      </c>
      <c r="M40" s="363">
        <v>0.39118999999999998</v>
      </c>
      <c r="N40" s="364">
        <v>0.52758000000000005</v>
      </c>
      <c r="O40" s="368">
        <v>73</v>
      </c>
      <c r="P40" s="368">
        <v>103</v>
      </c>
      <c r="Q40" s="369">
        <v>7</v>
      </c>
      <c r="R40" s="366">
        <v>37</v>
      </c>
      <c r="S40" s="366">
        <v>51</v>
      </c>
      <c r="T40" s="367">
        <v>4</v>
      </c>
      <c r="U40" s="142"/>
    </row>
    <row r="41" spans="2:21">
      <c r="B41" s="418"/>
      <c r="C41" s="36">
        <v>35</v>
      </c>
      <c r="D41" s="319">
        <v>175</v>
      </c>
      <c r="E41" s="319">
        <v>235</v>
      </c>
      <c r="F41" s="319">
        <v>0</v>
      </c>
      <c r="G41" s="35" t="s">
        <v>156</v>
      </c>
      <c r="H41" s="40" t="s">
        <v>157</v>
      </c>
      <c r="I41" s="79">
        <v>0.35955999999999999</v>
      </c>
      <c r="J41" s="79">
        <v>0.57782999999999995</v>
      </c>
      <c r="K41" s="79" t="str">
        <f t="shared" si="2"/>
        <v>5A</v>
      </c>
      <c r="L41" s="79" t="str">
        <f t="shared" si="3"/>
        <v>90</v>
      </c>
      <c r="M41" s="363">
        <v>0.37417</v>
      </c>
      <c r="N41" s="364">
        <v>0.54110000000000003</v>
      </c>
      <c r="O41" s="368">
        <v>65</v>
      </c>
      <c r="P41" s="368">
        <v>107</v>
      </c>
      <c r="Q41" s="369">
        <v>7</v>
      </c>
      <c r="R41" s="366">
        <v>33</v>
      </c>
      <c r="S41" s="366">
        <v>53</v>
      </c>
      <c r="T41" s="367">
        <v>4</v>
      </c>
      <c r="U41" s="143"/>
    </row>
    <row r="42" spans="2:21">
      <c r="B42" s="418"/>
      <c r="C42" s="36">
        <v>36</v>
      </c>
      <c r="D42" s="385">
        <v>165</v>
      </c>
      <c r="E42" s="385">
        <v>245</v>
      </c>
      <c r="F42" s="385">
        <v>10</v>
      </c>
      <c r="G42" s="37" t="s">
        <v>196</v>
      </c>
      <c r="H42" s="40" t="s">
        <v>221</v>
      </c>
      <c r="I42" s="79">
        <v>0.33861999999999998</v>
      </c>
      <c r="J42" s="79">
        <v>0.59572000000000003</v>
      </c>
      <c r="K42" s="79" t="str">
        <f t="shared" si="2"/>
        <v>55</v>
      </c>
      <c r="L42" s="79" t="str">
        <f t="shared" si="3"/>
        <v>95</v>
      </c>
      <c r="M42" s="373">
        <v>0.36137000000000002</v>
      </c>
      <c r="N42" s="364">
        <v>0.54945999999999995</v>
      </c>
      <c r="O42" s="368">
        <v>60</v>
      </c>
      <c r="P42" s="368">
        <v>109</v>
      </c>
      <c r="Q42" s="369">
        <v>7</v>
      </c>
      <c r="R42" s="366">
        <v>30</v>
      </c>
      <c r="S42" s="366">
        <v>54</v>
      </c>
      <c r="T42" s="367">
        <v>4</v>
      </c>
      <c r="U42" s="144"/>
    </row>
    <row r="43" spans="2:21">
      <c r="B43" s="418"/>
      <c r="C43" s="36">
        <v>37</v>
      </c>
      <c r="D43" s="319">
        <v>155</v>
      </c>
      <c r="E43" s="319">
        <v>250</v>
      </c>
      <c r="F43" s="319">
        <v>20</v>
      </c>
      <c r="G43" s="35" t="s">
        <v>222</v>
      </c>
      <c r="H43" s="40" t="s">
        <v>200</v>
      </c>
      <c r="I43" s="79">
        <v>0.32229000000000002</v>
      </c>
      <c r="J43" s="79">
        <v>0.60792999999999997</v>
      </c>
      <c r="K43" s="79" t="str">
        <f t="shared" si="2"/>
        <v>51</v>
      </c>
      <c r="L43" s="79" t="str">
        <f t="shared" si="3"/>
        <v>98</v>
      </c>
      <c r="M43" s="363">
        <v>0.35192000000000001</v>
      </c>
      <c r="N43" s="364">
        <v>0.55469000000000002</v>
      </c>
      <c r="O43" s="368">
        <v>56</v>
      </c>
      <c r="P43" s="368">
        <v>111</v>
      </c>
      <c r="Q43" s="369">
        <v>8</v>
      </c>
      <c r="R43" s="366">
        <v>28</v>
      </c>
      <c r="S43" s="366">
        <v>55</v>
      </c>
      <c r="T43" s="367">
        <v>4</v>
      </c>
      <c r="U43" s="145"/>
    </row>
    <row r="44" spans="2:21">
      <c r="B44" s="418"/>
      <c r="C44" s="36">
        <v>38</v>
      </c>
      <c r="D44" s="319">
        <v>145</v>
      </c>
      <c r="E44" s="319">
        <v>255</v>
      </c>
      <c r="F44" s="319">
        <v>40</v>
      </c>
      <c r="G44" s="35" t="s">
        <v>187</v>
      </c>
      <c r="H44" s="40" t="s">
        <v>223</v>
      </c>
      <c r="I44" s="79">
        <v>0.30497999999999997</v>
      </c>
      <c r="J44" s="79">
        <v>0.61319000000000001</v>
      </c>
      <c r="K44" s="79" t="str">
        <f t="shared" si="2"/>
        <v>4C</v>
      </c>
      <c r="L44" s="79" t="str">
        <f t="shared" si="3"/>
        <v>99</v>
      </c>
      <c r="M44" s="363">
        <v>0.34157999999999999</v>
      </c>
      <c r="N44" s="364">
        <v>0.55496000000000001</v>
      </c>
      <c r="O44" s="368">
        <v>53</v>
      </c>
      <c r="P44" s="368">
        <v>112</v>
      </c>
      <c r="Q44" s="369">
        <v>9</v>
      </c>
      <c r="R44" s="366">
        <v>27</v>
      </c>
      <c r="S44" s="366">
        <v>56</v>
      </c>
      <c r="T44" s="367">
        <v>5</v>
      </c>
      <c r="U44" s="146"/>
    </row>
    <row r="45" spans="2:21">
      <c r="B45" s="418"/>
      <c r="C45" s="36">
        <v>39</v>
      </c>
      <c r="D45" s="319">
        <v>135</v>
      </c>
      <c r="E45" s="319">
        <v>255</v>
      </c>
      <c r="F45" s="319">
        <v>60</v>
      </c>
      <c r="G45" s="35" t="s">
        <v>174</v>
      </c>
      <c r="H45" s="40" t="s">
        <v>200</v>
      </c>
      <c r="I45" s="79">
        <v>0.28992000000000001</v>
      </c>
      <c r="J45" s="79">
        <v>0.60777000000000003</v>
      </c>
      <c r="K45" s="79" t="str">
        <f t="shared" si="2"/>
        <v>48</v>
      </c>
      <c r="L45" s="79" t="str">
        <f t="shared" si="3"/>
        <v>98</v>
      </c>
      <c r="M45" s="363">
        <v>0.33204</v>
      </c>
      <c r="N45" s="364">
        <v>0.54901</v>
      </c>
      <c r="O45" s="368">
        <v>51</v>
      </c>
      <c r="P45" s="368">
        <v>112</v>
      </c>
      <c r="Q45" s="369">
        <v>12</v>
      </c>
      <c r="R45" s="366">
        <v>25</v>
      </c>
      <c r="S45" s="366">
        <v>56</v>
      </c>
      <c r="T45" s="367">
        <v>6</v>
      </c>
      <c r="U45" s="147"/>
    </row>
    <row r="46" spans="2:21">
      <c r="B46" s="418"/>
      <c r="C46" s="36">
        <v>40</v>
      </c>
      <c r="D46" s="319">
        <v>125</v>
      </c>
      <c r="E46" s="319">
        <v>250</v>
      </c>
      <c r="F46" s="319">
        <v>80</v>
      </c>
      <c r="G46" s="35" t="s">
        <v>185</v>
      </c>
      <c r="H46" s="40" t="s">
        <v>186</v>
      </c>
      <c r="I46" s="79">
        <v>0.27617999999999998</v>
      </c>
      <c r="J46" s="79">
        <v>0.59062999999999999</v>
      </c>
      <c r="K46" s="79" t="str">
        <f t="shared" si="2"/>
        <v>45</v>
      </c>
      <c r="L46" s="79" t="str">
        <f t="shared" si="3"/>
        <v>94</v>
      </c>
      <c r="M46" s="363">
        <v>0.32227</v>
      </c>
      <c r="N46" s="364">
        <v>0.53583000000000003</v>
      </c>
      <c r="O46" s="368">
        <v>49</v>
      </c>
      <c r="P46" s="368">
        <v>112</v>
      </c>
      <c r="Q46" s="369">
        <v>16</v>
      </c>
      <c r="R46" s="366">
        <v>25</v>
      </c>
      <c r="S46" s="366">
        <v>56</v>
      </c>
      <c r="T46" s="367">
        <v>8</v>
      </c>
      <c r="U46" s="148"/>
    </row>
    <row r="47" spans="2:21">
      <c r="B47" s="418"/>
      <c r="C47" s="36">
        <v>41</v>
      </c>
      <c r="D47" s="319">
        <v>115</v>
      </c>
      <c r="E47" s="319">
        <v>245</v>
      </c>
      <c r="F47" s="319">
        <v>100</v>
      </c>
      <c r="G47" s="35" t="s">
        <v>224</v>
      </c>
      <c r="H47" s="40" t="s">
        <v>207</v>
      </c>
      <c r="I47" s="79">
        <v>0.26121</v>
      </c>
      <c r="J47" s="79">
        <v>0.56474999999999997</v>
      </c>
      <c r="K47" s="79" t="str">
        <f t="shared" si="2"/>
        <v>41</v>
      </c>
      <c r="L47" s="79" t="str">
        <f t="shared" si="3"/>
        <v>8D</v>
      </c>
      <c r="M47" s="363">
        <v>0.31078</v>
      </c>
      <c r="N47" s="364">
        <v>0.51671</v>
      </c>
      <c r="O47" s="368">
        <v>48</v>
      </c>
      <c r="P47" s="368">
        <v>112</v>
      </c>
      <c r="Q47" s="369">
        <v>21</v>
      </c>
      <c r="R47" s="366">
        <v>24</v>
      </c>
      <c r="S47" s="366">
        <v>56</v>
      </c>
      <c r="T47" s="367">
        <v>11</v>
      </c>
      <c r="U47" s="149"/>
    </row>
    <row r="48" spans="2:21" ht="14.25" customHeight="1">
      <c r="B48" s="418"/>
      <c r="C48" s="36">
        <v>42</v>
      </c>
      <c r="D48" s="319">
        <v>105</v>
      </c>
      <c r="E48" s="319">
        <v>240</v>
      </c>
      <c r="F48" s="319">
        <v>120</v>
      </c>
      <c r="G48" s="35" t="s">
        <v>183</v>
      </c>
      <c r="H48" s="40" t="s">
        <v>225</v>
      </c>
      <c r="I48" s="79">
        <v>0.2457</v>
      </c>
      <c r="J48" s="79">
        <v>0.53107000000000004</v>
      </c>
      <c r="K48" s="79" t="str">
        <f t="shared" si="2"/>
        <v>3D</v>
      </c>
      <c r="L48" s="79" t="str">
        <f t="shared" si="3"/>
        <v>85</v>
      </c>
      <c r="M48" s="363">
        <v>0.29782999999999998</v>
      </c>
      <c r="N48" s="364">
        <v>0.49186999999999997</v>
      </c>
      <c r="O48" s="368">
        <v>46</v>
      </c>
      <c r="P48" s="368">
        <v>112</v>
      </c>
      <c r="Q48" s="369">
        <v>29</v>
      </c>
      <c r="R48" s="366">
        <v>23</v>
      </c>
      <c r="S48" s="366">
        <v>56</v>
      </c>
      <c r="T48" s="367">
        <v>15</v>
      </c>
      <c r="U48" s="150"/>
    </row>
    <row r="49" spans="2:21">
      <c r="B49" s="418"/>
      <c r="C49" s="36">
        <v>43</v>
      </c>
      <c r="D49" s="319">
        <v>95</v>
      </c>
      <c r="E49" s="319">
        <v>235</v>
      </c>
      <c r="F49" s="319">
        <v>140</v>
      </c>
      <c r="G49" s="35" t="s">
        <v>226</v>
      </c>
      <c r="H49" s="40" t="s">
        <v>227</v>
      </c>
      <c r="I49" s="79">
        <v>0.23043</v>
      </c>
      <c r="J49" s="79">
        <v>0.49143999999999999</v>
      </c>
      <c r="K49" s="79" t="str">
        <f t="shared" si="2"/>
        <v>3A</v>
      </c>
      <c r="L49" s="79" t="str">
        <f t="shared" si="3"/>
        <v>7B</v>
      </c>
      <c r="M49" s="363">
        <v>0.28387000000000001</v>
      </c>
      <c r="N49" s="364">
        <v>0.46206999999999998</v>
      </c>
      <c r="O49" s="368">
        <v>45</v>
      </c>
      <c r="P49" s="368">
        <v>111</v>
      </c>
      <c r="Q49" s="369">
        <v>39</v>
      </c>
      <c r="R49" s="366">
        <v>23</v>
      </c>
      <c r="S49" s="366">
        <v>55</v>
      </c>
      <c r="T49" s="367">
        <v>20</v>
      </c>
      <c r="U49" s="151"/>
    </row>
    <row r="50" spans="2:21">
      <c r="B50" s="418"/>
      <c r="C50" s="36">
        <v>44</v>
      </c>
      <c r="D50" s="319">
        <v>85</v>
      </c>
      <c r="E50" s="319">
        <v>230</v>
      </c>
      <c r="F50" s="319">
        <v>160</v>
      </c>
      <c r="G50" s="35" t="s">
        <v>228</v>
      </c>
      <c r="H50" s="40" t="s">
        <v>229</v>
      </c>
      <c r="I50" s="79">
        <v>0.21614</v>
      </c>
      <c r="J50" s="79">
        <v>0.44829000000000002</v>
      </c>
      <c r="K50" s="79" t="str">
        <f t="shared" si="2"/>
        <v>36</v>
      </c>
      <c r="L50" s="79" t="str">
        <f t="shared" si="3"/>
        <v>70</v>
      </c>
      <c r="M50" s="363">
        <v>0.26945000000000002</v>
      </c>
      <c r="N50" s="364">
        <v>0.42860999999999999</v>
      </c>
      <c r="O50" s="368">
        <v>44</v>
      </c>
      <c r="P50" s="368">
        <v>109</v>
      </c>
      <c r="Q50" s="369">
        <v>52</v>
      </c>
      <c r="R50" s="366">
        <v>22</v>
      </c>
      <c r="S50" s="366">
        <v>54</v>
      </c>
      <c r="T50" s="367">
        <v>26</v>
      </c>
      <c r="U50" s="152"/>
    </row>
    <row r="51" spans="2:21">
      <c r="B51" s="418"/>
      <c r="C51" s="36">
        <v>45</v>
      </c>
      <c r="D51" s="319">
        <v>65</v>
      </c>
      <c r="E51" s="319">
        <v>225</v>
      </c>
      <c r="F51" s="319">
        <v>180</v>
      </c>
      <c r="G51" s="35" t="s">
        <v>230</v>
      </c>
      <c r="H51" s="40" t="s">
        <v>231</v>
      </c>
      <c r="I51" s="79">
        <v>0.19782</v>
      </c>
      <c r="J51" s="79">
        <v>0.40506999999999999</v>
      </c>
      <c r="K51" s="79" t="str">
        <f t="shared" si="2"/>
        <v>31</v>
      </c>
      <c r="L51" s="79" t="str">
        <f t="shared" si="3"/>
        <v>65</v>
      </c>
      <c r="M51" s="363">
        <v>0.25219999999999998</v>
      </c>
      <c r="N51" s="364">
        <v>0.39354</v>
      </c>
      <c r="O51" s="368">
        <v>42</v>
      </c>
      <c r="P51" s="368">
        <v>108</v>
      </c>
      <c r="Q51" s="369">
        <v>68</v>
      </c>
      <c r="R51" s="366">
        <v>21</v>
      </c>
      <c r="S51" s="366">
        <v>54</v>
      </c>
      <c r="T51" s="367">
        <v>35</v>
      </c>
      <c r="U51" s="153"/>
    </row>
    <row r="52" spans="2:21">
      <c r="B52" s="418"/>
      <c r="C52" s="36">
        <v>46</v>
      </c>
      <c r="D52" s="319">
        <v>45</v>
      </c>
      <c r="E52" s="319">
        <v>220</v>
      </c>
      <c r="F52" s="319">
        <v>200</v>
      </c>
      <c r="G52" s="35" t="s">
        <v>232</v>
      </c>
      <c r="H52" s="40" t="s">
        <v>156</v>
      </c>
      <c r="I52" s="79">
        <v>0.18448000000000001</v>
      </c>
      <c r="J52" s="79">
        <v>0.36168</v>
      </c>
      <c r="K52" s="79" t="str">
        <f t="shared" si="2"/>
        <v>2E</v>
      </c>
      <c r="L52" s="79" t="str">
        <f t="shared" si="3"/>
        <v>5A</v>
      </c>
      <c r="M52" s="363">
        <v>0.23707</v>
      </c>
      <c r="N52" s="364">
        <v>0.35731000000000002</v>
      </c>
      <c r="O52" s="368">
        <v>40</v>
      </c>
      <c r="P52" s="368">
        <v>105</v>
      </c>
      <c r="Q52" s="369">
        <v>88</v>
      </c>
      <c r="R52" s="366">
        <v>20</v>
      </c>
      <c r="S52" s="366">
        <v>52</v>
      </c>
      <c r="T52" s="367">
        <v>45</v>
      </c>
      <c r="U52" s="154"/>
    </row>
    <row r="53" spans="2:21">
      <c r="B53" s="418"/>
      <c r="C53" s="36">
        <v>47</v>
      </c>
      <c r="D53" s="319">
        <v>31</v>
      </c>
      <c r="E53" s="319">
        <v>210</v>
      </c>
      <c r="F53" s="319">
        <v>210</v>
      </c>
      <c r="G53" s="35" t="s">
        <v>233</v>
      </c>
      <c r="H53" s="40" t="s">
        <v>176</v>
      </c>
      <c r="I53" s="79">
        <v>0.1777</v>
      </c>
      <c r="J53" s="79">
        <v>0.32862000000000002</v>
      </c>
      <c r="K53" s="79" t="str">
        <f t="shared" si="2"/>
        <v>2C</v>
      </c>
      <c r="L53" s="79" t="str">
        <f t="shared" si="3"/>
        <v>52</v>
      </c>
      <c r="M53" s="363">
        <v>0.22702</v>
      </c>
      <c r="N53" s="364">
        <v>0.32877000000000001</v>
      </c>
      <c r="O53" s="368">
        <v>40</v>
      </c>
      <c r="P53" s="368">
        <v>103</v>
      </c>
      <c r="Q53" s="369">
        <v>106</v>
      </c>
      <c r="R53" s="366">
        <v>20</v>
      </c>
      <c r="S53" s="366">
        <v>51</v>
      </c>
      <c r="T53" s="367">
        <v>54</v>
      </c>
      <c r="U53" s="155"/>
    </row>
    <row r="54" spans="2:21">
      <c r="B54" s="418"/>
      <c r="C54" s="36">
        <v>48</v>
      </c>
      <c r="D54" s="319">
        <v>15</v>
      </c>
      <c r="E54" s="319">
        <v>200</v>
      </c>
      <c r="F54" s="319">
        <v>220</v>
      </c>
      <c r="G54" s="35" t="s">
        <v>234</v>
      </c>
      <c r="H54" s="40" t="s">
        <v>235</v>
      </c>
      <c r="I54" s="79">
        <v>0.17238999999999999</v>
      </c>
      <c r="J54" s="79">
        <v>0.29631999999999997</v>
      </c>
      <c r="K54" s="79" t="str">
        <f t="shared" si="2"/>
        <v>2B</v>
      </c>
      <c r="L54" s="79" t="str">
        <f t="shared" si="3"/>
        <v>4A</v>
      </c>
      <c r="M54" s="363">
        <v>0.21748999999999999</v>
      </c>
      <c r="N54" s="364">
        <v>0.3</v>
      </c>
      <c r="O54" s="368">
        <v>40</v>
      </c>
      <c r="P54" s="368">
        <v>100</v>
      </c>
      <c r="Q54" s="369">
        <v>127</v>
      </c>
      <c r="R54" s="366">
        <v>20</v>
      </c>
      <c r="S54" s="366">
        <v>50</v>
      </c>
      <c r="T54" s="367">
        <v>64</v>
      </c>
      <c r="U54" s="156"/>
    </row>
    <row r="55" spans="2:21">
      <c r="B55" s="418"/>
      <c r="C55" s="36">
        <v>49</v>
      </c>
      <c r="D55" s="319">
        <v>5</v>
      </c>
      <c r="E55" s="319">
        <v>190</v>
      </c>
      <c r="F55" s="319">
        <v>230</v>
      </c>
      <c r="G55" s="35" t="s">
        <v>236</v>
      </c>
      <c r="H55" s="40" t="s">
        <v>237</v>
      </c>
      <c r="I55" s="79">
        <v>0.16903000000000001</v>
      </c>
      <c r="J55" s="79">
        <v>0.26562000000000002</v>
      </c>
      <c r="K55" s="79" t="str">
        <f t="shared" si="2"/>
        <v>2A</v>
      </c>
      <c r="L55" s="79" t="str">
        <f t="shared" si="3"/>
        <v>42</v>
      </c>
      <c r="M55" s="363">
        <v>0.20907000000000001</v>
      </c>
      <c r="N55" s="364">
        <v>0.27172000000000002</v>
      </c>
      <c r="O55" s="368">
        <v>40</v>
      </c>
      <c r="P55" s="368">
        <v>96</v>
      </c>
      <c r="Q55" s="369">
        <v>152</v>
      </c>
      <c r="R55" s="366">
        <v>20</v>
      </c>
      <c r="S55" s="366">
        <v>48</v>
      </c>
      <c r="T55" s="367">
        <v>77</v>
      </c>
      <c r="U55" s="157"/>
    </row>
    <row r="56" spans="2:21">
      <c r="B56" s="418"/>
      <c r="C56" s="36">
        <v>50</v>
      </c>
      <c r="D56" s="319">
        <v>0</v>
      </c>
      <c r="E56" s="319">
        <v>180</v>
      </c>
      <c r="F56" s="319">
        <v>240</v>
      </c>
      <c r="G56" s="35" t="s">
        <v>236</v>
      </c>
      <c r="H56" s="40" t="s">
        <v>238</v>
      </c>
      <c r="I56" s="79">
        <v>0.16633999999999999</v>
      </c>
      <c r="J56" s="79">
        <v>0.23696</v>
      </c>
      <c r="K56" s="79" t="str">
        <f t="shared" si="2"/>
        <v>2A</v>
      </c>
      <c r="L56" s="79" t="str">
        <f t="shared" si="3"/>
        <v>3B</v>
      </c>
      <c r="M56" s="363">
        <v>0.20125000000000001</v>
      </c>
      <c r="N56" s="364">
        <v>0.2445</v>
      </c>
      <c r="O56" s="368">
        <v>41</v>
      </c>
      <c r="P56" s="368">
        <v>91</v>
      </c>
      <c r="Q56" s="369">
        <v>182</v>
      </c>
      <c r="R56" s="366">
        <v>21</v>
      </c>
      <c r="S56" s="366">
        <v>45</v>
      </c>
      <c r="T56" s="367">
        <v>92</v>
      </c>
      <c r="U56" s="158"/>
    </row>
    <row r="57" spans="2:21">
      <c r="B57" s="418"/>
      <c r="C57" s="36">
        <v>51</v>
      </c>
      <c r="D57" s="319">
        <v>0</v>
      </c>
      <c r="E57" s="319">
        <v>165</v>
      </c>
      <c r="F57" s="319">
        <v>250</v>
      </c>
      <c r="G57" s="35" t="s">
        <v>239</v>
      </c>
      <c r="H57" s="40" t="s">
        <v>169</v>
      </c>
      <c r="I57" s="79">
        <v>0.16320999999999999</v>
      </c>
      <c r="J57" s="79">
        <v>0.20315</v>
      </c>
      <c r="K57" s="79" t="str">
        <f t="shared" si="2"/>
        <v>29</v>
      </c>
      <c r="L57" s="79" t="str">
        <f t="shared" si="3"/>
        <v>33</v>
      </c>
      <c r="M57" s="363">
        <v>0.19209000000000001</v>
      </c>
      <c r="N57" s="364">
        <v>0.21151</v>
      </c>
      <c r="O57" s="368">
        <v>43</v>
      </c>
      <c r="P57" s="368">
        <v>83</v>
      </c>
      <c r="Q57" s="369">
        <v>228</v>
      </c>
      <c r="R57" s="366">
        <v>21</v>
      </c>
      <c r="S57" s="366">
        <v>41</v>
      </c>
      <c r="T57" s="367">
        <v>116</v>
      </c>
      <c r="U57" s="159"/>
    </row>
    <row r="58" spans="2:21">
      <c r="B58" s="418"/>
      <c r="C58" s="36">
        <v>52</v>
      </c>
      <c r="D58" s="319">
        <v>0</v>
      </c>
      <c r="E58" s="319">
        <v>150</v>
      </c>
      <c r="F58" s="319">
        <v>255</v>
      </c>
      <c r="G58" s="35" t="s">
        <v>240</v>
      </c>
      <c r="H58" s="40" t="s">
        <v>241</v>
      </c>
      <c r="I58" s="79">
        <v>0.16078999999999999</v>
      </c>
      <c r="J58" s="79">
        <v>0.17688999999999999</v>
      </c>
      <c r="K58" s="79" t="str">
        <f t="shared" si="2"/>
        <v>28</v>
      </c>
      <c r="L58" s="79" t="str">
        <f t="shared" si="3"/>
        <v>2C</v>
      </c>
      <c r="M58" s="363">
        <v>0.18481</v>
      </c>
      <c r="N58" s="364">
        <v>0.18532000000000001</v>
      </c>
      <c r="O58" s="368">
        <v>44</v>
      </c>
      <c r="P58" s="368">
        <v>75</v>
      </c>
      <c r="Q58" s="369">
        <v>255</v>
      </c>
      <c r="R58" s="366">
        <v>22</v>
      </c>
      <c r="S58" s="366">
        <v>37</v>
      </c>
      <c r="T58" s="367">
        <v>140</v>
      </c>
      <c r="U58" s="160"/>
    </row>
    <row r="59" spans="2:21">
      <c r="B59" s="418"/>
      <c r="C59" s="36">
        <v>53</v>
      </c>
      <c r="D59" s="319">
        <v>0</v>
      </c>
      <c r="E59" s="319">
        <v>130</v>
      </c>
      <c r="F59" s="319">
        <v>255</v>
      </c>
      <c r="G59" s="35" t="s">
        <v>240</v>
      </c>
      <c r="H59" s="40" t="s">
        <v>242</v>
      </c>
      <c r="I59" s="79">
        <v>0.15828</v>
      </c>
      <c r="J59" s="79">
        <v>0.14968000000000001</v>
      </c>
      <c r="K59" s="79" t="str">
        <f t="shared" si="2"/>
        <v>28</v>
      </c>
      <c r="L59" s="79" t="str">
        <f t="shared" si="3"/>
        <v>25</v>
      </c>
      <c r="M59" s="363">
        <v>0.17716999999999999</v>
      </c>
      <c r="N59" s="364">
        <v>0.15781000000000001</v>
      </c>
      <c r="O59" s="368">
        <v>46</v>
      </c>
      <c r="P59" s="368">
        <v>63</v>
      </c>
      <c r="Q59" s="369">
        <v>255</v>
      </c>
      <c r="R59" s="366">
        <v>23</v>
      </c>
      <c r="S59" s="366">
        <v>32</v>
      </c>
      <c r="T59" s="367">
        <v>174</v>
      </c>
      <c r="U59" s="161"/>
    </row>
    <row r="60" spans="2:21">
      <c r="B60" s="418"/>
      <c r="C60" s="36">
        <v>54</v>
      </c>
      <c r="D60" s="319">
        <v>0</v>
      </c>
      <c r="E60" s="319">
        <v>110</v>
      </c>
      <c r="F60" s="319">
        <v>255</v>
      </c>
      <c r="G60" s="35" t="s">
        <v>177</v>
      </c>
      <c r="H60" s="40" t="s">
        <v>243</v>
      </c>
      <c r="I60" s="79">
        <v>0.15598999999999999</v>
      </c>
      <c r="J60" s="79">
        <v>0.12486</v>
      </c>
      <c r="K60" s="79" t="str">
        <f t="shared" si="2"/>
        <v>27</v>
      </c>
      <c r="L60" s="79" t="str">
        <f t="shared" si="3"/>
        <v>1F</v>
      </c>
      <c r="M60" s="363">
        <v>0.17007</v>
      </c>
      <c r="N60" s="364">
        <v>0.13227</v>
      </c>
      <c r="O60" s="368">
        <v>49</v>
      </c>
      <c r="P60" s="368">
        <v>49</v>
      </c>
      <c r="Q60" s="369">
        <v>255</v>
      </c>
      <c r="R60" s="366">
        <v>25</v>
      </c>
      <c r="S60" s="366">
        <v>24</v>
      </c>
      <c r="T60" s="367">
        <v>219</v>
      </c>
      <c r="U60" s="162"/>
    </row>
    <row r="61" spans="2:21">
      <c r="B61" s="418"/>
      <c r="C61" s="36">
        <v>55</v>
      </c>
      <c r="D61" s="319">
        <v>0</v>
      </c>
      <c r="E61" s="319">
        <v>90</v>
      </c>
      <c r="F61" s="319">
        <v>255</v>
      </c>
      <c r="G61" s="35" t="s">
        <v>244</v>
      </c>
      <c r="H61" s="40" t="s">
        <v>72</v>
      </c>
      <c r="I61" s="79">
        <v>0.15398999999999999</v>
      </c>
      <c r="J61" s="79">
        <v>0.10326</v>
      </c>
      <c r="K61" s="79" t="str">
        <f t="shared" si="2"/>
        <v>26</v>
      </c>
      <c r="L61" s="79" t="str">
        <f t="shared" si="3"/>
        <v>1A</v>
      </c>
      <c r="M61" s="363">
        <v>0.1638</v>
      </c>
      <c r="N61" s="364">
        <v>0.10967</v>
      </c>
      <c r="O61" s="368">
        <v>52</v>
      </c>
      <c r="P61" s="368">
        <v>30</v>
      </c>
      <c r="Q61" s="369">
        <v>255</v>
      </c>
      <c r="R61" s="366">
        <v>26</v>
      </c>
      <c r="S61" s="366">
        <v>15</v>
      </c>
      <c r="T61" s="367">
        <v>255</v>
      </c>
      <c r="U61" s="163"/>
    </row>
    <row r="62" spans="2:21">
      <c r="B62" s="418"/>
      <c r="C62" s="36">
        <v>56</v>
      </c>
      <c r="D62" s="319">
        <v>0</v>
      </c>
      <c r="E62" s="319">
        <v>70</v>
      </c>
      <c r="F62" s="319">
        <v>255</v>
      </c>
      <c r="G62" s="35" t="s">
        <v>244</v>
      </c>
      <c r="H62" s="40" t="s">
        <v>245</v>
      </c>
      <c r="I62" s="79">
        <v>0.15236</v>
      </c>
      <c r="J62" s="79">
        <v>8.5610000000000006E-2</v>
      </c>
      <c r="K62" s="79" t="str">
        <f t="shared" si="2"/>
        <v>26</v>
      </c>
      <c r="L62" s="79" t="str">
        <f t="shared" si="3"/>
        <v>15</v>
      </c>
      <c r="M62" s="363">
        <v>0.15858</v>
      </c>
      <c r="N62" s="364">
        <v>9.0899999999999995E-2</v>
      </c>
      <c r="O62" s="368">
        <v>57</v>
      </c>
      <c r="P62" s="368">
        <v>8</v>
      </c>
      <c r="Q62" s="369">
        <v>255</v>
      </c>
      <c r="R62" s="366">
        <v>28</v>
      </c>
      <c r="S62" s="366">
        <v>4</v>
      </c>
      <c r="T62" s="367">
        <v>255</v>
      </c>
      <c r="U62" s="164"/>
    </row>
    <row r="63" spans="2:21">
      <c r="B63" s="418"/>
      <c r="C63" s="36">
        <v>57</v>
      </c>
      <c r="D63" s="319">
        <v>11</v>
      </c>
      <c r="E63" s="319">
        <v>50</v>
      </c>
      <c r="F63" s="319">
        <v>250</v>
      </c>
      <c r="G63" s="35" t="s">
        <v>244</v>
      </c>
      <c r="H63" s="40" t="s">
        <v>246</v>
      </c>
      <c r="I63" s="79">
        <v>0.15156</v>
      </c>
      <c r="J63" s="79">
        <v>7.3209999999999997E-2</v>
      </c>
      <c r="K63" s="79" t="str">
        <f t="shared" si="2"/>
        <v>26</v>
      </c>
      <c r="L63" s="79" t="str">
        <f t="shared" si="3"/>
        <v>12</v>
      </c>
      <c r="M63" s="363">
        <v>0.15568000000000001</v>
      </c>
      <c r="N63" s="364">
        <v>7.7740000000000004E-2</v>
      </c>
      <c r="O63" s="374" t="s">
        <v>278</v>
      </c>
      <c r="P63" s="374" t="s">
        <v>272</v>
      </c>
      <c r="Q63" s="375" t="s">
        <v>278</v>
      </c>
      <c r="R63" s="376" t="s">
        <v>272</v>
      </c>
      <c r="S63" s="376" t="s">
        <v>271</v>
      </c>
      <c r="T63" s="377" t="s">
        <v>272</v>
      </c>
      <c r="U63" s="165"/>
    </row>
    <row r="64" spans="2:21">
      <c r="B64" s="418"/>
      <c r="C64" s="36">
        <v>58</v>
      </c>
      <c r="D64" s="319">
        <v>25</v>
      </c>
      <c r="E64" s="319">
        <v>40</v>
      </c>
      <c r="F64" s="319">
        <v>240</v>
      </c>
      <c r="G64" s="35" t="s">
        <v>244</v>
      </c>
      <c r="H64" s="40">
        <v>11</v>
      </c>
      <c r="I64" s="79">
        <v>0.1532</v>
      </c>
      <c r="J64" s="79">
        <v>7.0050000000000001E-2</v>
      </c>
      <c r="K64" s="79" t="str">
        <f t="shared" si="2"/>
        <v>26</v>
      </c>
      <c r="L64" s="107">
        <v>11</v>
      </c>
      <c r="M64" s="363">
        <v>0.15636</v>
      </c>
      <c r="N64" s="364">
        <v>7.4219999999999994E-2</v>
      </c>
      <c r="O64" s="368" t="s">
        <v>284</v>
      </c>
      <c r="P64" s="368" t="s">
        <v>284</v>
      </c>
      <c r="Q64" s="369" t="s">
        <v>284</v>
      </c>
      <c r="R64" s="366" t="s">
        <v>284</v>
      </c>
      <c r="S64" s="366" t="s">
        <v>284</v>
      </c>
      <c r="T64" s="367" t="s">
        <v>284</v>
      </c>
      <c r="U64" s="166"/>
    </row>
    <row r="65" spans="2:21">
      <c r="B65" s="418"/>
      <c r="C65" s="36">
        <v>59</v>
      </c>
      <c r="D65" s="319">
        <v>35</v>
      </c>
      <c r="E65" s="319">
        <v>30</v>
      </c>
      <c r="F65" s="319">
        <v>235</v>
      </c>
      <c r="G65" s="35" t="s">
        <v>177</v>
      </c>
      <c r="H65" s="40" t="s">
        <v>247</v>
      </c>
      <c r="I65" s="79">
        <v>0.15569</v>
      </c>
      <c r="J65" s="79">
        <v>6.7750000000000005E-2</v>
      </c>
      <c r="K65" s="79" t="str">
        <f t="shared" si="2"/>
        <v>27</v>
      </c>
      <c r="L65" s="79" t="str">
        <f t="shared" si="3"/>
        <v>11</v>
      </c>
      <c r="M65" s="363">
        <v>0.15744</v>
      </c>
      <c r="N65" s="364">
        <v>7.0999999999999994E-2</v>
      </c>
      <c r="O65" s="368" t="s">
        <v>284</v>
      </c>
      <c r="P65" s="368" t="s">
        <v>284</v>
      </c>
      <c r="Q65" s="369" t="s">
        <v>284</v>
      </c>
      <c r="R65" s="366" t="s">
        <v>284</v>
      </c>
      <c r="S65" s="366" t="s">
        <v>284</v>
      </c>
      <c r="T65" s="367" t="s">
        <v>284</v>
      </c>
      <c r="U65" s="167"/>
    </row>
    <row r="66" spans="2:21">
      <c r="B66" s="418"/>
      <c r="C66" s="36">
        <v>60</v>
      </c>
      <c r="D66" s="319">
        <v>45</v>
      </c>
      <c r="E66" s="319">
        <v>20</v>
      </c>
      <c r="F66" s="319">
        <v>225</v>
      </c>
      <c r="G66" s="35" t="s">
        <v>240</v>
      </c>
      <c r="H66" s="40" t="s">
        <v>247</v>
      </c>
      <c r="I66" s="79">
        <v>0.16017999999999999</v>
      </c>
      <c r="J66" s="79">
        <v>6.7680000000000004E-2</v>
      </c>
      <c r="K66" s="79" t="str">
        <f t="shared" si="2"/>
        <v>28</v>
      </c>
      <c r="L66" s="79" t="str">
        <f t="shared" si="3"/>
        <v>11</v>
      </c>
      <c r="M66" s="363">
        <v>0.16023999999999999</v>
      </c>
      <c r="N66" s="364">
        <v>6.9739999999999996E-2</v>
      </c>
      <c r="O66" s="368" t="s">
        <v>284</v>
      </c>
      <c r="P66" s="368" t="s">
        <v>284</v>
      </c>
      <c r="Q66" s="369" t="s">
        <v>284</v>
      </c>
      <c r="R66" s="366" t="s">
        <v>284</v>
      </c>
      <c r="S66" s="366" t="s">
        <v>284</v>
      </c>
      <c r="T66" s="367" t="s">
        <v>284</v>
      </c>
      <c r="U66" s="168"/>
    </row>
    <row r="67" spans="2:21">
      <c r="B67" s="418"/>
      <c r="C67" s="36">
        <v>61</v>
      </c>
      <c r="D67" s="319">
        <v>51</v>
      </c>
      <c r="E67" s="319">
        <v>10</v>
      </c>
      <c r="F67" s="319">
        <v>215</v>
      </c>
      <c r="G67" s="35" t="s">
        <v>239</v>
      </c>
      <c r="H67" s="40" t="s">
        <v>247</v>
      </c>
      <c r="I67" s="79">
        <v>0.16447000000000001</v>
      </c>
      <c r="J67" s="79">
        <v>6.8470000000000003E-2</v>
      </c>
      <c r="K67" s="79" t="str">
        <f t="shared" si="2"/>
        <v>29</v>
      </c>
      <c r="L67" s="79" t="str">
        <f t="shared" si="3"/>
        <v>11</v>
      </c>
      <c r="M67" s="363">
        <v>0.16305</v>
      </c>
      <c r="N67" s="364">
        <v>6.9159999999999999E-2</v>
      </c>
      <c r="O67" s="368" t="s">
        <v>284</v>
      </c>
      <c r="P67" s="368" t="s">
        <v>284</v>
      </c>
      <c r="Q67" s="369" t="s">
        <v>284</v>
      </c>
      <c r="R67" s="366" t="s">
        <v>284</v>
      </c>
      <c r="S67" s="366" t="s">
        <v>284</v>
      </c>
      <c r="T67" s="367" t="s">
        <v>284</v>
      </c>
      <c r="U67" s="169"/>
    </row>
    <row r="68" spans="2:21">
      <c r="B68" s="418"/>
      <c r="C68" s="36">
        <v>62</v>
      </c>
      <c r="D68" s="319">
        <v>55</v>
      </c>
      <c r="E68" s="319">
        <v>5</v>
      </c>
      <c r="F68" s="319">
        <v>205</v>
      </c>
      <c r="G68" s="35" t="s">
        <v>236</v>
      </c>
      <c r="H68" s="40" t="s">
        <v>246</v>
      </c>
      <c r="I68" s="79">
        <v>0.16875999999999999</v>
      </c>
      <c r="J68" s="79">
        <v>7.0449999999999999E-2</v>
      </c>
      <c r="K68" s="79" t="str">
        <f t="shared" si="2"/>
        <v>2A</v>
      </c>
      <c r="L68" s="79" t="str">
        <f t="shared" si="3"/>
        <v>12</v>
      </c>
      <c r="M68" s="363">
        <v>0.16621</v>
      </c>
      <c r="N68" s="364">
        <v>7.0019999999999999E-2</v>
      </c>
      <c r="O68" s="368" t="s">
        <v>284</v>
      </c>
      <c r="P68" s="368" t="s">
        <v>284</v>
      </c>
      <c r="Q68" s="369" t="s">
        <v>284</v>
      </c>
      <c r="R68" s="366" t="s">
        <v>284</v>
      </c>
      <c r="S68" s="366" t="s">
        <v>284</v>
      </c>
      <c r="T68" s="367" t="s">
        <v>284</v>
      </c>
      <c r="U68" s="170"/>
    </row>
    <row r="69" spans="2:21">
      <c r="B69" s="418"/>
      <c r="C69" s="36">
        <v>63</v>
      </c>
      <c r="D69" s="319">
        <v>60</v>
      </c>
      <c r="E69" s="319">
        <v>3</v>
      </c>
      <c r="F69" s="319">
        <v>195</v>
      </c>
      <c r="G69" s="35" t="s">
        <v>241</v>
      </c>
      <c r="H69" s="40" t="s">
        <v>246</v>
      </c>
      <c r="I69" s="79">
        <v>0.17501</v>
      </c>
      <c r="J69" s="79">
        <v>7.3819999999999997E-2</v>
      </c>
      <c r="K69" s="79" t="str">
        <f t="shared" si="2"/>
        <v>2C</v>
      </c>
      <c r="L69" s="79" t="str">
        <f t="shared" si="3"/>
        <v>12</v>
      </c>
      <c r="M69" s="363">
        <v>0.16888</v>
      </c>
      <c r="N69" s="364">
        <v>7.1050000000000002E-2</v>
      </c>
      <c r="O69" s="368" t="s">
        <v>284</v>
      </c>
      <c r="P69" s="368" t="s">
        <v>284</v>
      </c>
      <c r="Q69" s="369" t="s">
        <v>284</v>
      </c>
      <c r="R69" s="366" t="s">
        <v>284</v>
      </c>
      <c r="S69" s="366" t="s">
        <v>284</v>
      </c>
      <c r="T69" s="367" t="s">
        <v>284</v>
      </c>
      <c r="U69" s="171"/>
    </row>
    <row r="70" spans="2:21" ht="14.25" thickBot="1">
      <c r="B70" s="419"/>
      <c r="C70" s="172">
        <v>64</v>
      </c>
      <c r="D70" s="321">
        <v>65</v>
      </c>
      <c r="E70" s="321">
        <v>2</v>
      </c>
      <c r="F70" s="321">
        <v>190</v>
      </c>
      <c r="G70" s="39" t="s">
        <v>179</v>
      </c>
      <c r="H70" s="173" t="s">
        <v>248</v>
      </c>
      <c r="I70" s="174">
        <v>0.18115000000000001</v>
      </c>
      <c r="J70" s="174">
        <v>7.7179999999999999E-2</v>
      </c>
      <c r="K70" s="174" t="str">
        <f t="shared" si="2"/>
        <v>2D</v>
      </c>
      <c r="L70" s="174" t="str">
        <f t="shared" si="3"/>
        <v>13</v>
      </c>
      <c r="M70" s="378">
        <v>0.17568</v>
      </c>
      <c r="N70" s="379">
        <v>7.4660000000000004E-2</v>
      </c>
      <c r="O70" s="380" t="s">
        <v>284</v>
      </c>
      <c r="P70" s="380" t="s">
        <v>284</v>
      </c>
      <c r="Q70" s="381" t="s">
        <v>284</v>
      </c>
      <c r="R70" s="382" t="s">
        <v>284</v>
      </c>
      <c r="S70" s="382" t="s">
        <v>284</v>
      </c>
      <c r="T70" s="383" t="s">
        <v>284</v>
      </c>
      <c r="U70" s="175"/>
    </row>
  </sheetData>
  <mergeCells count="20">
    <mergeCell ref="M2:T2"/>
    <mergeCell ref="M3:N4"/>
    <mergeCell ref="O3:Q4"/>
    <mergeCell ref="R3:T4"/>
    <mergeCell ref="M5:M6"/>
    <mergeCell ref="N5:N6"/>
    <mergeCell ref="O5:O6"/>
    <mergeCell ref="P5:P6"/>
    <mergeCell ref="Q5:Q6"/>
    <mergeCell ref="R5:R6"/>
    <mergeCell ref="S5:S6"/>
    <mergeCell ref="T5:T6"/>
    <mergeCell ref="B6:C6"/>
    <mergeCell ref="D6:H6"/>
    <mergeCell ref="B7:B70"/>
    <mergeCell ref="B3:B5"/>
    <mergeCell ref="C3:H3"/>
    <mergeCell ref="C4:C5"/>
    <mergeCell ref="D4:F4"/>
    <mergeCell ref="G4:H4"/>
  </mergeCells>
  <phoneticPr fontId="7" type="noConversion"/>
  <pageMargins left="0.7" right="0.7" top="0.75" bottom="0.75" header="0.3" footer="0.3"/>
  <pageSetup paperSize="9" orientation="portrait" horizontalDpi="300" verticalDpi="300" r:id="rId1"/>
  <headerFooter>
    <oddHeader>&amp;C&amp;G</oddHeader>
    <oddFooter xml:space="preserve">&amp;C&amp;"맑은 고딕"&amp;11&amp;K000000&amp;"맑은 고딕"&amp;11&amp;K000000&amp;"맑은 고딕"&amp;11&amp;K000000&amp;"맑은 고딕"&amp;11&amp;K000000&amp;"맑은 고딕"&amp;11&amp;K000000_x000D_&amp;1#&amp;"맑은 고딕"&amp;6&amp;K737373 장두진( JANG DOO JIN ) 전원구동반도체팀 / 1628615@mobis.com / 본 문서는 현대모비스의 대외비 정보자산이므로 무단 전재 및 복제할 수 없으며, 위반 시 당사 사규 및 관련 법규에 의해 제재될 수 있습니다. 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6:R14"/>
  <sheetViews>
    <sheetView workbookViewId="0">
      <selection activeCell="L51" sqref="L51"/>
    </sheetView>
  </sheetViews>
  <sheetFormatPr defaultRowHeight="16.5"/>
  <sheetData>
    <row r="6" spans="3:18">
      <c r="C6">
        <v>0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</row>
    <row r="7" spans="3:18"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 t="s">
        <v>249</v>
      </c>
      <c r="N7" t="s">
        <v>250</v>
      </c>
      <c r="O7" t="s">
        <v>251</v>
      </c>
      <c r="P7" t="s">
        <v>252</v>
      </c>
      <c r="Q7" t="s">
        <v>253</v>
      </c>
      <c r="R7" t="s">
        <v>254</v>
      </c>
    </row>
    <row r="9" spans="3:18">
      <c r="C9">
        <v>128</v>
      </c>
      <c r="D9">
        <f>16*8</f>
        <v>128</v>
      </c>
    </row>
    <row r="10" spans="3:18">
      <c r="C10">
        <v>130</v>
      </c>
      <c r="D10">
        <f>16*8+2</f>
        <v>130</v>
      </c>
    </row>
    <row r="13" spans="3:18">
      <c r="C13">
        <v>200</v>
      </c>
      <c r="D13">
        <f>16*E13+F13</f>
        <v>200</v>
      </c>
      <c r="E13">
        <v>12</v>
      </c>
      <c r="F13">
        <v>8</v>
      </c>
    </row>
    <row r="14" spans="3:18">
      <c r="E14" t="s">
        <v>251</v>
      </c>
      <c r="F14">
        <v>8</v>
      </c>
    </row>
  </sheetData>
  <phoneticPr fontId="7" type="noConversion"/>
  <pageMargins left="0.7" right="0.7" top="0.75" bottom="0.75" header="0.3" footer="0.3"/>
  <pageSetup paperSize="9" orientation="portrait" verticalDpi="0" r:id="rId1"/>
  <headerFooter>
    <oddHeader>&amp;C&amp;G</oddHeader>
    <oddFooter xml:space="preserve">&amp;C&amp;"맑은 고딕"&amp;11&amp;K000000&amp;"맑은 고딕"&amp;11&amp;K000000&amp;"맑은 고딕"&amp;11&amp;K000000&amp;"맑은 고딕"&amp;11&amp;K000000&amp;"맑은 고딕"&amp;11&amp;K000000_x000D_&amp;1#&amp;"맑은 고딕"&amp;6&amp;K737373 장두진( JANG DOO JIN ) 전원구동반도체팀 / 1628615@mobis.com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6E64D25132C9840B760F36888C09183" ma:contentTypeVersion="14" ma:contentTypeDescription="새 문서를 만듭니다." ma:contentTypeScope="" ma:versionID="d3a8846dac84857120934ee09835e84c">
  <xsd:schema xmlns:xsd="http://www.w3.org/2001/XMLSchema" xmlns:xs="http://www.w3.org/2001/XMLSchema" xmlns:p="http://schemas.microsoft.com/office/2006/metadata/properties" xmlns:ns2="5ce46ff6-35d9-4d5b-bbdb-35c77c6d279f" xmlns:ns3="d07bf077-e8e5-49c3-8854-cb08ef1d1d39" targetNamespace="http://schemas.microsoft.com/office/2006/metadata/properties" ma:root="true" ma:fieldsID="3a1031b9207eb5a00fd3ccd5f0be380d" ns2:_="" ns3:_="">
    <xsd:import namespace="5ce46ff6-35d9-4d5b-bbdb-35c77c6d279f"/>
    <xsd:import namespace="d07bf077-e8e5-49c3-8854-cb08ef1d1d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46ff6-35d9-4d5b-bbdb-35c77c6d27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8b4ddb5-9792-4103-acad-6387fb66c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bf077-e8e5-49c3-8854-cb08ef1d1d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4dfda86-8c26-4d1c-8179-4a8bb62962e9}" ma:internalName="TaxCatchAll" ma:showField="CatchAllData" ma:web="d07bf077-e8e5-49c3-8854-cb08ef1d1d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e46ff6-35d9-4d5b-bbdb-35c77c6d279f">
      <Terms xmlns="http://schemas.microsoft.com/office/infopath/2007/PartnerControls"/>
    </lcf76f155ced4ddcb4097134ff3c332f>
    <TaxCatchAll xmlns="d07bf077-e8e5-49c3-8854-cb08ef1d1d39" xsi:nil="true"/>
  </documentManagement>
</p:properties>
</file>

<file path=customXml/itemProps1.xml><?xml version="1.0" encoding="utf-8"?>
<ds:datastoreItem xmlns:ds="http://schemas.openxmlformats.org/officeDocument/2006/customXml" ds:itemID="{F67E493D-C10D-4705-933C-2FA39034B3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e46ff6-35d9-4d5b-bbdb-35c77c6d279f"/>
    <ds:schemaRef ds:uri="d07bf077-e8e5-49c3-8854-cb08ef1d1d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0E0EF0-2EB8-488C-B707-ACBC1098F6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5B645E-E289-48CD-9179-9D45B876FA8C}">
  <ds:schemaRefs>
    <ds:schemaRef ds:uri="http://schemas.microsoft.com/office/2006/metadata/properties"/>
    <ds:schemaRef ds:uri="http://schemas.microsoft.com/office/infopath/2007/PartnerControls"/>
    <ds:schemaRef ds:uri="5ce46ff6-35d9-4d5b-bbdb-35c77c6d279f"/>
    <ds:schemaRef ds:uri="d07bf077-e8e5-49c3-8854-cb08ef1d1d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현대</vt:lpstr>
      <vt:lpstr>기아</vt:lpstr>
      <vt:lpstr>제네시스</vt:lpstr>
      <vt:lpstr>듀얼칼라 추천 현대,기아,제네시스</vt:lpstr>
      <vt:lpstr>드라이브모드 연동 칼라</vt:lpstr>
      <vt:lpstr>커스텀 64칼라 현대,기아,제네시스 (22년 12월)</vt:lpstr>
      <vt:lpstr>Sheet1</vt:lpstr>
      <vt:lpstr>기아!Print_Area</vt:lpstr>
      <vt:lpstr>'듀얼칼라 추천 현대,기아,제네시스'!Print_Area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장두진( JANG DOO JIN ) 전원구동반도체팀</cp:lastModifiedBy>
  <dcterms:modified xsi:type="dcterms:W3CDTF">2024-11-12T01:26:14Z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0x010100A6E64D25132C9840B760F36888C09183</vt:lpwstr>
  </property>
  <property fmtid="{D5CDD505-2E9C-101B-9397-08002B2CF9AE}" pid="4" name="MSIP_Label_c6d9a7a2-a2c9-479c-a560-d79de4b6971b_Enabled">
    <vt:lpwstr>true</vt:lpwstr>
  </property>
  <property fmtid="{D5CDD505-2E9C-101B-9397-08002B2CF9AE}" pid="5" name="MSIP_Label_c6d9a7a2-a2c9-479c-a560-d79de4b6971b_SetDate">
    <vt:lpwstr>2024-11-12T01:26:13Z</vt:lpwstr>
  </property>
  <property fmtid="{D5CDD505-2E9C-101B-9397-08002B2CF9AE}" pid="6" name="MSIP_Label_c6d9a7a2-a2c9-479c-a560-d79de4b6971b_Method">
    <vt:lpwstr>Privileged</vt:lpwstr>
  </property>
  <property fmtid="{D5CDD505-2E9C-101B-9397-08002B2CF9AE}" pid="7" name="MSIP_Label_c6d9a7a2-a2c9-479c-a560-d79de4b6971b_Name">
    <vt:lpwstr>사외 정책</vt:lpwstr>
  </property>
  <property fmtid="{D5CDD505-2E9C-101B-9397-08002B2CF9AE}" pid="8" name="MSIP_Label_c6d9a7a2-a2c9-479c-a560-d79de4b6971b_SiteId">
    <vt:lpwstr>7cf932c0-bced-4490-b11f-48d23b1fe0d9</vt:lpwstr>
  </property>
  <property fmtid="{D5CDD505-2E9C-101B-9397-08002B2CF9AE}" pid="9" name="MSIP_Label_c6d9a7a2-a2c9-479c-a560-d79de4b6971b_ActionId">
    <vt:lpwstr>4d98428d-d9ac-4aac-9a43-fc26d9c6acdb</vt:lpwstr>
  </property>
  <property fmtid="{D5CDD505-2E9C-101B-9397-08002B2CF9AE}" pid="10" name="MSIP_Label_c6d9a7a2-a2c9-479c-a560-d79de4b6971b_ContentBits">
    <vt:lpwstr>6</vt:lpwstr>
  </property>
</Properties>
</file>