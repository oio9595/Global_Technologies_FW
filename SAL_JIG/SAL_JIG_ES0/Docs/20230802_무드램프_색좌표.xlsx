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Work\시스템반도체팀\1.과제\7.Ambient LED\색좌표계\"/>
    </mc:Choice>
  </mc:AlternateContent>
  <xr:revisionPtr revIDLastSave="0" documentId="13_ncr:101_{25470577-E4DE-4920-99C0-962E9A1E8E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sic" sheetId="1" r:id="rId1"/>
    <sheet name="고유색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3" l="1"/>
  <c r="I12" i="3" s="1"/>
  <c r="I11" i="3"/>
  <c r="I13" i="3"/>
  <c r="I10" i="3"/>
  <c r="G11" i="3"/>
  <c r="G12" i="3"/>
  <c r="G13" i="3"/>
  <c r="G10" i="3"/>
  <c r="D13" i="3"/>
  <c r="D12" i="3"/>
  <c r="D11" i="3"/>
  <c r="D8" i="3"/>
  <c r="G8" i="3" s="1"/>
  <c r="D10" i="3" s="1"/>
  <c r="G7" i="3"/>
  <c r="N5" i="1"/>
  <c r="O5" i="1"/>
  <c r="N6" i="1"/>
  <c r="O6" i="1"/>
  <c r="N7" i="1"/>
  <c r="O7" i="1"/>
  <c r="N8" i="1"/>
  <c r="O8" i="1"/>
  <c r="N9" i="1"/>
  <c r="O9" i="1"/>
  <c r="N10" i="1"/>
  <c r="O10" i="1"/>
  <c r="N11" i="1"/>
  <c r="O11" i="1"/>
  <c r="N12" i="1"/>
  <c r="O12" i="1"/>
  <c r="N13" i="1"/>
  <c r="O13" i="1"/>
  <c r="N14" i="1"/>
  <c r="O14" i="1"/>
  <c r="N15" i="1"/>
  <c r="O15" i="1"/>
  <c r="N16" i="1"/>
  <c r="O16" i="1"/>
  <c r="N17" i="1"/>
  <c r="O17" i="1"/>
  <c r="N18" i="1"/>
  <c r="O18" i="1"/>
  <c r="N19" i="1"/>
  <c r="O19" i="1"/>
  <c r="N20" i="1"/>
  <c r="O20" i="1"/>
  <c r="N21" i="1"/>
  <c r="O21" i="1"/>
  <c r="N22" i="1"/>
  <c r="O22" i="1"/>
  <c r="N23" i="1"/>
  <c r="O23" i="1"/>
  <c r="N24" i="1"/>
  <c r="O24" i="1"/>
  <c r="N25" i="1"/>
  <c r="O25" i="1"/>
  <c r="N26" i="1"/>
  <c r="O26" i="1"/>
  <c r="N27" i="1"/>
  <c r="O27" i="1"/>
  <c r="N28" i="1"/>
  <c r="O28" i="1"/>
  <c r="N29" i="1"/>
  <c r="O29" i="1"/>
  <c r="N30" i="1"/>
  <c r="O30" i="1"/>
  <c r="N31" i="1"/>
  <c r="O31" i="1"/>
  <c r="N32" i="1"/>
  <c r="O32" i="1"/>
  <c r="N33" i="1"/>
  <c r="O33" i="1"/>
  <c r="N34" i="1"/>
  <c r="O34" i="1"/>
  <c r="N35" i="1"/>
  <c r="O35" i="1"/>
  <c r="N36" i="1"/>
  <c r="O36" i="1"/>
  <c r="N37" i="1"/>
  <c r="O37" i="1"/>
  <c r="N38" i="1"/>
  <c r="O38" i="1"/>
  <c r="N39" i="1"/>
  <c r="O39" i="1"/>
  <c r="N40" i="1"/>
  <c r="O40" i="1"/>
  <c r="N41" i="1"/>
  <c r="O41" i="1"/>
  <c r="N42" i="1"/>
  <c r="O42" i="1"/>
  <c r="N43" i="1"/>
  <c r="O43" i="1"/>
  <c r="N44" i="1"/>
  <c r="O44" i="1"/>
  <c r="N45" i="1"/>
  <c r="O45" i="1"/>
  <c r="N46" i="1"/>
  <c r="O46" i="1"/>
  <c r="N47" i="1"/>
  <c r="O47" i="1"/>
  <c r="N48" i="1"/>
  <c r="O48" i="1"/>
  <c r="N49" i="1"/>
  <c r="O49" i="1"/>
  <c r="N50" i="1"/>
  <c r="O50" i="1"/>
  <c r="N51" i="1"/>
  <c r="O51" i="1"/>
  <c r="N52" i="1"/>
  <c r="O52" i="1"/>
  <c r="N53" i="1"/>
  <c r="O53" i="1"/>
  <c r="N54" i="1"/>
  <c r="O54" i="1"/>
  <c r="N55" i="1"/>
  <c r="O55" i="1"/>
  <c r="N56" i="1"/>
  <c r="O56" i="1"/>
  <c r="N57" i="1"/>
  <c r="O57" i="1"/>
  <c r="N58" i="1"/>
  <c r="O58" i="1"/>
  <c r="N59" i="1"/>
  <c r="O59" i="1"/>
  <c r="N60" i="1"/>
  <c r="O60" i="1"/>
  <c r="N61" i="1"/>
  <c r="O61" i="1"/>
  <c r="N62" i="1"/>
  <c r="O62" i="1"/>
  <c r="N63" i="1"/>
  <c r="O63" i="1"/>
  <c r="N64" i="1"/>
  <c r="O64" i="1"/>
  <c r="N65" i="1"/>
  <c r="O65" i="1"/>
  <c r="N66" i="1"/>
  <c r="O66" i="1"/>
  <c r="N67" i="1"/>
  <c r="O67" i="1"/>
  <c r="N68" i="1"/>
  <c r="O68" i="1"/>
  <c r="N69" i="1"/>
  <c r="O69" i="1"/>
  <c r="N70" i="1"/>
  <c r="O70" i="1"/>
  <c r="N71" i="1"/>
  <c r="O71" i="1"/>
  <c r="N72" i="1"/>
  <c r="O72" i="1"/>
  <c r="N73" i="1"/>
  <c r="O73" i="1"/>
  <c r="N74" i="1"/>
  <c r="O74" i="1"/>
  <c r="N75" i="1"/>
  <c r="O75" i="1"/>
  <c r="N76" i="1"/>
  <c r="O76" i="1"/>
  <c r="N77" i="1"/>
  <c r="O77" i="1"/>
  <c r="N78" i="1"/>
  <c r="O78" i="1"/>
  <c r="N79" i="1"/>
  <c r="O79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68" i="1"/>
  <c r="K68" i="1"/>
  <c r="J69" i="1"/>
  <c r="K69" i="1"/>
  <c r="J70" i="1"/>
  <c r="K70" i="1"/>
  <c r="J71" i="1"/>
  <c r="K71" i="1"/>
  <c r="J72" i="1"/>
  <c r="K72" i="1"/>
  <c r="J73" i="1"/>
  <c r="K73" i="1"/>
  <c r="J74" i="1"/>
  <c r="K74" i="1"/>
  <c r="J75" i="1"/>
  <c r="K75" i="1"/>
  <c r="J76" i="1"/>
  <c r="K76" i="1"/>
  <c r="J77" i="1"/>
  <c r="K77" i="1"/>
  <c r="J78" i="1"/>
  <c r="K78" i="1"/>
  <c r="J79" i="1"/>
  <c r="K79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O4" i="1"/>
  <c r="N4" i="1"/>
  <c r="K4" i="1"/>
  <c r="J4" i="1"/>
  <c r="G4" i="1"/>
  <c r="F4" i="1"/>
  <c r="C4" i="1"/>
  <c r="B4" i="1"/>
</calcChain>
</file>

<file path=xl/sharedStrings.xml><?xml version="1.0" encoding="utf-8"?>
<sst xmlns="http://schemas.openxmlformats.org/spreadsheetml/2006/main" count="290" uniqueCount="83">
  <si>
    <t>END</t>
    <phoneticPr fontId="5" type="noConversion"/>
  </si>
  <si>
    <t>2F</t>
  </si>
  <si>
    <t>1A</t>
  </si>
  <si>
    <t>1E</t>
  </si>
  <si>
    <t>5C</t>
  </si>
  <si>
    <t>2D</t>
  </si>
  <si>
    <t>3D</t>
  </si>
  <si>
    <t>4C</t>
  </si>
  <si>
    <t>9A</t>
  </si>
  <si>
    <t>4F</t>
  </si>
  <si>
    <t>9E</t>
  </si>
  <si>
    <t>A0</t>
  </si>
  <si>
    <t>9F</t>
  </si>
  <si>
    <t>9D</t>
  </si>
  <si>
    <t>9C</t>
  </si>
  <si>
    <t>5B</t>
  </si>
  <si>
    <t>5D</t>
  </si>
  <si>
    <t>8D</t>
  </si>
  <si>
    <t>6D</t>
  </si>
  <si>
    <t>7E</t>
  </si>
  <si>
    <t>6F</t>
  </si>
  <si>
    <t>7D</t>
  </si>
  <si>
    <t>8A</t>
  </si>
  <si>
    <t>5A</t>
  </si>
  <si>
    <t>3A</t>
  </si>
  <si>
    <t>7B</t>
  </si>
  <si>
    <t>2E</t>
  </si>
  <si>
    <t>2C</t>
  </si>
  <si>
    <t>2B</t>
  </si>
  <si>
    <t>4A</t>
  </si>
  <si>
    <t>2A</t>
  </si>
  <si>
    <t>3B</t>
  </si>
  <si>
    <t>1F</t>
  </si>
  <si>
    <t>9B</t>
  </si>
  <si>
    <t>4B</t>
  </si>
  <si>
    <t>8C</t>
  </si>
  <si>
    <t>AF</t>
  </si>
  <si>
    <t>3F</t>
  </si>
  <si>
    <t>F</t>
  </si>
  <si>
    <t>Default</t>
    <phoneticPr fontId="5" type="noConversion"/>
  </si>
  <si>
    <t>Cx</t>
    <phoneticPr fontId="5" type="noConversion"/>
  </si>
  <si>
    <t>Cy</t>
    <phoneticPr fontId="5" type="noConversion"/>
  </si>
  <si>
    <t>Hex x</t>
    <phoneticPr fontId="5" type="noConversion"/>
  </si>
  <si>
    <t>Hex y</t>
    <phoneticPr fontId="5" type="noConversion"/>
  </si>
  <si>
    <t>7A</t>
  </si>
  <si>
    <t>6E</t>
  </si>
  <si>
    <t>6B</t>
  </si>
  <si>
    <t>7F</t>
  </si>
  <si>
    <t>6A</t>
  </si>
  <si>
    <t>8B</t>
  </si>
  <si>
    <t>1C</t>
  </si>
  <si>
    <t>1D</t>
  </si>
  <si>
    <t xml:space="preserve"> </t>
    <phoneticPr fontId="5" type="noConversion"/>
  </si>
  <si>
    <t xml:space="preserve">*) Defualt 값에서 위치별 tunning </t>
    <phoneticPr fontId="5" type="noConversion"/>
  </si>
  <si>
    <t>Center</t>
    <phoneticPr fontId="5" type="noConversion"/>
  </si>
  <si>
    <t>Driver</t>
    <phoneticPr fontId="5" type="noConversion"/>
  </si>
  <si>
    <t>기본 Color 64, 고유 Color 12 (HMC 기준) 구현 필요 / Cx, Cy 값은 CIE 1931 기준의 좌표임</t>
    <phoneticPr fontId="5" type="noConversion"/>
  </si>
  <si>
    <t>Passsenger</t>
    <phoneticPr fontId="5" type="noConversion"/>
  </si>
  <si>
    <t>고유 색으로
제조사별 다름
(고유색 tap 참고)</t>
    <phoneticPr fontId="5" type="noConversion"/>
  </si>
  <si>
    <t>현대차 고유색</t>
    <phoneticPr fontId="5" type="noConversion"/>
  </si>
  <si>
    <t>기아차 고유색</t>
    <phoneticPr fontId="5" type="noConversion"/>
  </si>
  <si>
    <t>제네시스 고유색</t>
    <phoneticPr fontId="5" type="noConversion"/>
  </si>
  <si>
    <t>각 LED 사별 CIE 1931 기준의 좌표를 기준으로 색 구현을 위한 tunning 좌표를 제시함</t>
    <phoneticPr fontId="5" type="noConversion"/>
  </si>
  <si>
    <t>Main Clk</t>
    <phoneticPr fontId="5" type="noConversion"/>
  </si>
  <si>
    <t>Hz</t>
    <phoneticPr fontId="5" type="noConversion"/>
  </si>
  <si>
    <t>Div</t>
    <phoneticPr fontId="5" type="noConversion"/>
  </si>
  <si>
    <t>Tclk</t>
    <phoneticPr fontId="5" type="noConversion"/>
  </si>
  <si>
    <t>sec</t>
    <phoneticPr fontId="5" type="noConversion"/>
  </si>
  <si>
    <t>Tdiv</t>
    <phoneticPr fontId="5" type="noConversion"/>
  </si>
  <si>
    <t>Sec</t>
    <phoneticPr fontId="5" type="noConversion"/>
  </si>
  <si>
    <t>Dim0 clk</t>
    <phoneticPr fontId="5" type="noConversion"/>
  </si>
  <si>
    <t>Dim1 clk</t>
    <phoneticPr fontId="5" type="noConversion"/>
  </si>
  <si>
    <t>Dim2 clk</t>
  </si>
  <si>
    <t>Dim3 clk</t>
  </si>
  <si>
    <t>#</t>
    <phoneticPr fontId="5" type="noConversion"/>
  </si>
  <si>
    <t>T_Dim0</t>
    <phoneticPr fontId="5" type="noConversion"/>
  </si>
  <si>
    <t>T_Dim1</t>
  </si>
  <si>
    <t>T_Dim2</t>
  </si>
  <si>
    <t>T_Dim3</t>
  </si>
  <si>
    <t>Dimming Resolution</t>
    <phoneticPr fontId="5" type="noConversion"/>
  </si>
  <si>
    <t>14bit</t>
    <phoneticPr fontId="5" type="noConversion"/>
  </si>
  <si>
    <t>Min on</t>
    <phoneticPr fontId="5" type="noConversion"/>
  </si>
  <si>
    <t>12bit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</si>
</sst>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D2960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FF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</font>
    <font>
      <sz val="10"/>
      <color rgb="FF0000FF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84">
    <fill>
      <patternFill patternType="none"/>
    </fill>
    <fill>
      <patternFill patternType="gray125"/>
    </fill>
    <fill>
      <patternFill patternType="solid">
        <fgColor rgb="FFFE001E"/>
        <bgColor indexed="64"/>
      </patternFill>
    </fill>
    <fill>
      <patternFill patternType="solid">
        <fgColor rgb="FFFFD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4601B9"/>
        <bgColor indexed="64"/>
      </patternFill>
    </fill>
    <fill>
      <patternFill patternType="solid">
        <fgColor rgb="FF5000AF"/>
        <bgColor indexed="64"/>
      </patternFill>
    </fill>
    <fill>
      <patternFill patternType="solid">
        <fgColor rgb="FF5A00A5"/>
        <bgColor indexed="64"/>
      </patternFill>
    </fill>
    <fill>
      <patternFill patternType="solid">
        <fgColor rgb="FF65009B"/>
        <bgColor indexed="64"/>
      </patternFill>
    </fill>
    <fill>
      <patternFill patternType="solid">
        <fgColor rgb="FF6F0091"/>
        <bgColor indexed="64"/>
      </patternFill>
    </fill>
    <fill>
      <patternFill patternType="solid">
        <fgColor rgb="FF790087"/>
        <bgColor indexed="64"/>
      </patternFill>
    </fill>
    <fill>
      <patternFill patternType="solid">
        <fgColor rgb="FF83007D"/>
        <bgColor indexed="64"/>
      </patternFill>
    </fill>
    <fill>
      <patternFill patternType="solid">
        <fgColor rgb="FF910073"/>
        <bgColor indexed="64"/>
      </patternFill>
    </fill>
    <fill>
      <patternFill patternType="solid">
        <fgColor rgb="FFA50064"/>
        <bgColor indexed="64"/>
      </patternFill>
    </fill>
    <fill>
      <patternFill patternType="solid">
        <fgColor rgb="FFC3005A"/>
        <bgColor indexed="64"/>
      </patternFill>
    </fill>
    <fill>
      <patternFill patternType="solid">
        <fgColor rgb="FFDC0046"/>
        <bgColor indexed="64"/>
      </patternFill>
    </fill>
    <fill>
      <patternFill patternType="solid">
        <fgColor rgb="FFE60032"/>
        <bgColor indexed="64"/>
      </patternFill>
    </fill>
    <fill>
      <patternFill patternType="solid">
        <fgColor rgb="FFF0001E"/>
        <bgColor indexed="64"/>
      </patternFill>
    </fill>
    <fill>
      <patternFill patternType="solid">
        <fgColor rgb="FFF5000F"/>
        <bgColor indexed="64"/>
      </patternFill>
    </fill>
    <fill>
      <patternFill patternType="solid">
        <fgColor rgb="FFFF0005"/>
        <bgColor indexed="64"/>
      </patternFill>
    </fill>
    <fill>
      <patternFill patternType="solid">
        <fgColor rgb="FFFF0A00"/>
        <bgColor indexed="64"/>
      </patternFill>
    </fill>
    <fill>
      <patternFill patternType="solid">
        <fgColor rgb="FFFF1400"/>
        <bgColor indexed="64"/>
      </patternFill>
    </fill>
    <fill>
      <patternFill patternType="solid">
        <fgColor rgb="FFFF1E00"/>
        <bgColor indexed="64"/>
      </patternFill>
    </fill>
    <fill>
      <patternFill patternType="solid">
        <fgColor rgb="FFFF2800"/>
        <bgColor indexed="64"/>
      </patternFill>
    </fill>
    <fill>
      <patternFill patternType="solid">
        <fgColor rgb="FFFF3200"/>
        <bgColor indexed="64"/>
      </patternFill>
    </fill>
    <fill>
      <patternFill patternType="solid">
        <fgColor rgb="FFFF3C00"/>
        <bgColor indexed="64"/>
      </patternFill>
    </fill>
    <fill>
      <patternFill patternType="solid">
        <fgColor rgb="FFFF4600"/>
        <bgColor indexed="64"/>
      </patternFill>
    </fill>
    <fill>
      <patternFill patternType="solid">
        <fgColor rgb="FFFF5000"/>
        <bgColor indexed="64"/>
      </patternFill>
    </fill>
    <fill>
      <patternFill patternType="solid">
        <fgColor rgb="FFFF5A00"/>
        <bgColor indexed="64"/>
      </patternFill>
    </fill>
    <fill>
      <patternFill patternType="solid">
        <fgColor rgb="FFFF6400"/>
        <bgColor indexed="64"/>
      </patternFill>
    </fill>
    <fill>
      <patternFill patternType="solid">
        <fgColor rgb="FFFA6E00"/>
        <bgColor indexed="64"/>
      </patternFill>
    </fill>
    <fill>
      <patternFill patternType="solid">
        <fgColor rgb="FFF07800"/>
        <bgColor indexed="64"/>
      </patternFill>
    </fill>
    <fill>
      <patternFill patternType="solid">
        <fgColor rgb="FFE68200"/>
        <bgColor indexed="64"/>
      </patternFill>
    </fill>
    <fill>
      <patternFill patternType="solid">
        <fgColor rgb="FFD78C00"/>
        <bgColor indexed="64"/>
      </patternFill>
    </fill>
    <fill>
      <patternFill patternType="solid">
        <fgColor rgb="FFD29600"/>
        <bgColor indexed="64"/>
      </patternFill>
    </fill>
    <fill>
      <patternFill patternType="solid">
        <fgColor rgb="FFCDA000"/>
        <bgColor indexed="64"/>
      </patternFill>
    </fill>
    <fill>
      <patternFill patternType="solid">
        <fgColor rgb="FFC8B900"/>
        <bgColor indexed="64"/>
      </patternFill>
    </fill>
    <fill>
      <patternFill patternType="solid">
        <fgColor rgb="FFC3C800"/>
        <bgColor indexed="64"/>
      </patternFill>
    </fill>
    <fill>
      <patternFill patternType="solid">
        <fgColor rgb="FFB9DC00"/>
        <bgColor indexed="64"/>
      </patternFill>
    </fill>
    <fill>
      <patternFill patternType="solid">
        <fgColor rgb="FFAFEB00"/>
        <bgColor indexed="64"/>
      </patternFill>
    </fill>
    <fill>
      <patternFill patternType="solid">
        <fgColor rgb="FFA5F50A"/>
        <bgColor indexed="64"/>
      </patternFill>
    </fill>
    <fill>
      <patternFill patternType="solid">
        <fgColor rgb="FF9BFA14"/>
        <bgColor indexed="64"/>
      </patternFill>
    </fill>
    <fill>
      <patternFill patternType="solid">
        <fgColor rgb="FF91FF28"/>
        <bgColor indexed="64"/>
      </patternFill>
    </fill>
    <fill>
      <patternFill patternType="solid">
        <fgColor rgb="FF87FF3C"/>
        <bgColor indexed="64"/>
      </patternFill>
    </fill>
    <fill>
      <patternFill patternType="solid">
        <fgColor rgb="FF7DFA50"/>
        <bgColor indexed="64"/>
      </patternFill>
    </fill>
    <fill>
      <patternFill patternType="solid">
        <fgColor rgb="FF73F564"/>
        <bgColor indexed="64"/>
      </patternFill>
    </fill>
    <fill>
      <patternFill patternType="solid">
        <fgColor rgb="FF69F078"/>
        <bgColor indexed="64"/>
      </patternFill>
    </fill>
    <fill>
      <patternFill patternType="solid">
        <fgColor rgb="FF5FEB8C"/>
        <bgColor indexed="64"/>
      </patternFill>
    </fill>
    <fill>
      <patternFill patternType="solid">
        <fgColor rgb="FF55E6A0"/>
        <bgColor indexed="64"/>
      </patternFill>
    </fill>
    <fill>
      <patternFill patternType="solid">
        <fgColor rgb="FF41E1B4"/>
        <bgColor indexed="64"/>
      </patternFill>
    </fill>
    <fill>
      <patternFill patternType="solid">
        <fgColor rgb="FF2DDCC8"/>
        <bgColor indexed="64"/>
      </patternFill>
    </fill>
    <fill>
      <patternFill patternType="solid">
        <fgColor rgb="FF1FD2D2"/>
        <bgColor indexed="64"/>
      </patternFill>
    </fill>
    <fill>
      <patternFill patternType="solid">
        <fgColor rgb="FF0FC8DC"/>
        <bgColor indexed="64"/>
      </patternFill>
    </fill>
    <fill>
      <patternFill patternType="solid">
        <fgColor rgb="FF05BEE6"/>
        <bgColor indexed="64"/>
      </patternFill>
    </fill>
    <fill>
      <patternFill patternType="solid">
        <fgColor rgb="FF00B4F0"/>
        <bgColor indexed="64"/>
      </patternFill>
    </fill>
    <fill>
      <patternFill patternType="solid">
        <fgColor rgb="FF00A5FA"/>
        <bgColor indexed="64"/>
      </patternFill>
    </fill>
    <fill>
      <patternFill patternType="solid">
        <fgColor rgb="FF0096FF"/>
        <bgColor indexed="64"/>
      </patternFill>
    </fill>
    <fill>
      <patternFill patternType="solid">
        <fgColor rgb="FF0082FF"/>
        <bgColor indexed="64"/>
      </patternFill>
    </fill>
    <fill>
      <patternFill patternType="solid">
        <fgColor rgb="FF006EFF"/>
        <bgColor indexed="64"/>
      </patternFill>
    </fill>
    <fill>
      <patternFill patternType="solid">
        <fgColor rgb="FF005AFF"/>
        <bgColor indexed="64"/>
      </patternFill>
    </fill>
    <fill>
      <patternFill patternType="solid">
        <fgColor rgb="FF0046FF"/>
        <bgColor indexed="64"/>
      </patternFill>
    </fill>
    <fill>
      <patternFill patternType="solid">
        <fgColor rgb="FF0B32FA"/>
        <bgColor indexed="64"/>
      </patternFill>
    </fill>
    <fill>
      <patternFill patternType="solid">
        <fgColor rgb="FF1928F0"/>
        <bgColor indexed="64"/>
      </patternFill>
    </fill>
    <fill>
      <patternFill patternType="solid">
        <fgColor rgb="FF231EEB"/>
        <bgColor indexed="64"/>
      </patternFill>
    </fill>
    <fill>
      <patternFill patternType="solid">
        <fgColor rgb="FF2D14E1"/>
        <bgColor indexed="64"/>
      </patternFill>
    </fill>
    <fill>
      <patternFill patternType="solid">
        <fgColor rgb="FF330AD7"/>
        <bgColor indexed="64"/>
      </patternFill>
    </fill>
    <fill>
      <patternFill patternType="solid">
        <fgColor rgb="FF3705CD"/>
        <bgColor indexed="64"/>
      </patternFill>
    </fill>
    <fill>
      <patternFill patternType="solid">
        <fgColor rgb="FF3C03C3"/>
        <bgColor indexed="64"/>
      </patternFill>
    </fill>
    <fill>
      <patternFill patternType="solid">
        <fgColor rgb="FF4102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5F2FA"/>
        <bgColor rgb="FF000000"/>
      </patternFill>
    </fill>
    <fill>
      <patternFill patternType="solid">
        <fgColor rgb="FFF4E9DF"/>
        <bgColor rgb="FF000000"/>
      </patternFill>
    </fill>
    <fill>
      <patternFill patternType="solid">
        <fgColor rgb="FFFEA811"/>
        <bgColor rgb="FF000000"/>
      </patternFill>
    </fill>
    <fill>
      <patternFill patternType="solid">
        <fgColor rgb="FFE93E3E"/>
        <bgColor rgb="FF000000"/>
      </patternFill>
    </fill>
    <fill>
      <patternFill patternType="solid">
        <fgColor rgb="FFBB0FEC"/>
        <bgColor rgb="FF000000"/>
      </patternFill>
    </fill>
    <fill>
      <patternFill patternType="solid">
        <fgColor rgb="FF8A25FC"/>
        <bgColor rgb="FF000000"/>
      </patternFill>
    </fill>
    <fill>
      <patternFill patternType="solid">
        <fgColor rgb="FF188EFD"/>
        <bgColor rgb="FF000000"/>
      </patternFill>
    </fill>
    <fill>
      <patternFill patternType="solid">
        <fgColor rgb="FF03C7C0"/>
        <bgColor rgb="FF000000"/>
      </patternFill>
    </fill>
    <fill>
      <patternFill patternType="solid">
        <fgColor rgb="FF80D715"/>
        <bgColor rgb="FF000000"/>
      </patternFill>
    </fill>
    <fill>
      <patternFill patternType="solid">
        <fgColor rgb="FFB7E4FC"/>
        <bgColor rgb="FF000000"/>
      </patternFill>
    </fill>
    <fill>
      <patternFill patternType="solid">
        <fgColor theme="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4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60">
    <xf numFmtId="0" fontId="0" fillId="0" borderId="0" xfId="0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0" fillId="11" borderId="0" xfId="0" applyFill="1" applyAlignment="1">
      <alignment vertical="center"/>
    </xf>
    <xf numFmtId="0" fontId="0" fillId="12" borderId="0" xfId="0" applyFill="1" applyAlignment="1">
      <alignment vertical="center"/>
    </xf>
    <xf numFmtId="0" fontId="0" fillId="13" borderId="0" xfId="0" applyFill="1" applyAlignment="1">
      <alignment vertical="center"/>
    </xf>
    <xf numFmtId="0" fontId="0" fillId="14" borderId="0" xfId="0" applyFill="1" applyAlignment="1">
      <alignment vertical="center"/>
    </xf>
    <xf numFmtId="0" fontId="0" fillId="15" borderId="0" xfId="0" applyFill="1" applyAlignment="1">
      <alignment vertical="center"/>
    </xf>
    <xf numFmtId="0" fontId="0" fillId="16" borderId="0" xfId="0" applyFill="1" applyAlignment="1">
      <alignment vertical="center"/>
    </xf>
    <xf numFmtId="0" fontId="0" fillId="17" borderId="0" xfId="0" applyFill="1" applyAlignment="1">
      <alignment vertical="center"/>
    </xf>
    <xf numFmtId="0" fontId="0" fillId="18" borderId="0" xfId="0" applyFill="1" applyAlignment="1">
      <alignment vertical="center"/>
    </xf>
    <xf numFmtId="0" fontId="0" fillId="19" borderId="0" xfId="0" applyFill="1" applyAlignment="1">
      <alignment vertical="center"/>
    </xf>
    <xf numFmtId="0" fontId="0" fillId="20" borderId="0" xfId="0" applyFill="1" applyAlignment="1">
      <alignment vertical="center"/>
    </xf>
    <xf numFmtId="0" fontId="0" fillId="21" borderId="0" xfId="0" applyFill="1" applyAlignment="1">
      <alignment vertical="center"/>
    </xf>
    <xf numFmtId="0" fontId="0" fillId="22" borderId="0" xfId="0" applyFill="1" applyAlignment="1">
      <alignment vertical="center"/>
    </xf>
    <xf numFmtId="0" fontId="0" fillId="23" borderId="0" xfId="0" applyFill="1" applyAlignment="1">
      <alignment vertical="center"/>
    </xf>
    <xf numFmtId="0" fontId="0" fillId="24" borderId="0" xfId="0" applyFill="1" applyAlignment="1">
      <alignment vertical="center"/>
    </xf>
    <xf numFmtId="0" fontId="0" fillId="25" borderId="0" xfId="0" applyFill="1" applyAlignment="1">
      <alignment vertical="center"/>
    </xf>
    <xf numFmtId="0" fontId="0" fillId="26" borderId="0" xfId="0" applyFill="1" applyAlignment="1">
      <alignment vertical="center"/>
    </xf>
    <xf numFmtId="0" fontId="0" fillId="27" borderId="0" xfId="0" applyFill="1" applyAlignment="1">
      <alignment vertical="center"/>
    </xf>
    <xf numFmtId="0" fontId="0" fillId="28" borderId="0" xfId="0" applyFill="1" applyAlignment="1">
      <alignment vertical="center"/>
    </xf>
    <xf numFmtId="0" fontId="0" fillId="29" borderId="0" xfId="0" applyFill="1" applyAlignment="1">
      <alignment vertical="center"/>
    </xf>
    <xf numFmtId="0" fontId="0" fillId="30" borderId="0" xfId="0" applyFill="1" applyAlignment="1">
      <alignment vertical="center"/>
    </xf>
    <xf numFmtId="0" fontId="0" fillId="31" borderId="0" xfId="0" applyFill="1" applyAlignment="1">
      <alignment vertical="center"/>
    </xf>
    <xf numFmtId="0" fontId="0" fillId="32" borderId="0" xfId="0" applyFill="1" applyAlignment="1">
      <alignment vertical="center"/>
    </xf>
    <xf numFmtId="0" fontId="0" fillId="33" borderId="0" xfId="0" applyFill="1" applyAlignment="1">
      <alignment vertical="center"/>
    </xf>
    <xf numFmtId="0" fontId="0" fillId="34" borderId="0" xfId="0" applyFill="1" applyAlignment="1">
      <alignment vertical="center"/>
    </xf>
    <xf numFmtId="0" fontId="12" fillId="35" borderId="0" xfId="0" applyFont="1" applyFill="1" applyAlignment="1">
      <alignment vertical="center"/>
    </xf>
    <xf numFmtId="0" fontId="0" fillId="36" borderId="0" xfId="0" applyFill="1" applyAlignment="1">
      <alignment vertical="center"/>
    </xf>
    <xf numFmtId="0" fontId="0" fillId="37" borderId="0" xfId="0" applyFill="1" applyAlignment="1">
      <alignment vertical="center"/>
    </xf>
    <xf numFmtId="0" fontId="0" fillId="38" borderId="0" xfId="0" applyFill="1" applyAlignment="1">
      <alignment vertical="center"/>
    </xf>
    <xf numFmtId="0" fontId="0" fillId="39" borderId="0" xfId="0" applyFill="1" applyAlignment="1">
      <alignment vertical="center"/>
    </xf>
    <xf numFmtId="0" fontId="0" fillId="40" borderId="0" xfId="0" applyFill="1" applyAlignment="1">
      <alignment vertical="center"/>
    </xf>
    <xf numFmtId="0" fontId="0" fillId="41" borderId="0" xfId="0" applyFill="1" applyAlignment="1">
      <alignment vertical="center"/>
    </xf>
    <xf numFmtId="0" fontId="0" fillId="42" borderId="0" xfId="0" applyFill="1" applyAlignment="1">
      <alignment vertical="center"/>
    </xf>
    <xf numFmtId="0" fontId="0" fillId="43" borderId="0" xfId="0" applyFill="1" applyAlignment="1">
      <alignment vertical="center"/>
    </xf>
    <xf numFmtId="0" fontId="0" fillId="44" borderId="0" xfId="0" applyFill="1" applyAlignment="1">
      <alignment vertical="center"/>
    </xf>
    <xf numFmtId="0" fontId="0" fillId="45" borderId="0" xfId="0" applyFill="1" applyAlignment="1">
      <alignment vertical="center"/>
    </xf>
    <xf numFmtId="0" fontId="0" fillId="46" borderId="0" xfId="0" applyFill="1" applyAlignment="1">
      <alignment vertical="center"/>
    </xf>
    <xf numFmtId="0" fontId="0" fillId="47" borderId="0" xfId="0" applyFill="1" applyAlignment="1">
      <alignment vertical="center"/>
    </xf>
    <xf numFmtId="0" fontId="0" fillId="48" borderId="0" xfId="0" applyFill="1" applyAlignment="1">
      <alignment vertical="center"/>
    </xf>
    <xf numFmtId="0" fontId="0" fillId="49" borderId="0" xfId="0" applyFill="1" applyAlignment="1">
      <alignment vertical="center"/>
    </xf>
    <xf numFmtId="0" fontId="0" fillId="50" borderId="0" xfId="0" applyFill="1" applyAlignment="1">
      <alignment vertical="center"/>
    </xf>
    <xf numFmtId="0" fontId="0" fillId="51" borderId="0" xfId="0" applyFill="1" applyAlignment="1">
      <alignment vertical="center"/>
    </xf>
    <xf numFmtId="0" fontId="0" fillId="52" borderId="0" xfId="0" applyFill="1" applyAlignment="1">
      <alignment vertical="center"/>
    </xf>
    <xf numFmtId="0" fontId="0" fillId="53" borderId="0" xfId="0" applyFill="1" applyAlignment="1">
      <alignment vertical="center"/>
    </xf>
    <xf numFmtId="0" fontId="0" fillId="54" borderId="0" xfId="0" applyFill="1" applyAlignment="1">
      <alignment vertical="center"/>
    </xf>
    <xf numFmtId="0" fontId="0" fillId="55" borderId="0" xfId="0" applyFill="1" applyAlignment="1">
      <alignment vertical="center"/>
    </xf>
    <xf numFmtId="0" fontId="0" fillId="56" borderId="0" xfId="0" applyFill="1" applyAlignment="1">
      <alignment vertical="center"/>
    </xf>
    <xf numFmtId="0" fontId="0" fillId="57" borderId="0" xfId="0" applyFill="1" applyAlignment="1">
      <alignment vertical="center"/>
    </xf>
    <xf numFmtId="0" fontId="0" fillId="58" borderId="0" xfId="0" applyFill="1" applyAlignment="1">
      <alignment vertical="center"/>
    </xf>
    <xf numFmtId="0" fontId="0" fillId="59" borderId="0" xfId="0" applyFill="1" applyAlignment="1">
      <alignment vertical="center"/>
    </xf>
    <xf numFmtId="0" fontId="0" fillId="60" borderId="0" xfId="0" applyFill="1" applyAlignment="1">
      <alignment vertical="center"/>
    </xf>
    <xf numFmtId="0" fontId="0" fillId="61" borderId="0" xfId="0" applyFill="1" applyAlignment="1">
      <alignment vertical="center"/>
    </xf>
    <xf numFmtId="0" fontId="0" fillId="62" borderId="0" xfId="0" applyFill="1" applyAlignment="1">
      <alignment vertical="center"/>
    </xf>
    <xf numFmtId="0" fontId="0" fillId="63" borderId="0" xfId="0" applyFill="1" applyAlignment="1">
      <alignment vertical="center"/>
    </xf>
    <xf numFmtId="0" fontId="0" fillId="64" borderId="0" xfId="0" applyFill="1" applyAlignment="1">
      <alignment vertical="center"/>
    </xf>
    <xf numFmtId="0" fontId="0" fillId="65" borderId="0" xfId="0" applyFill="1" applyAlignment="1">
      <alignment vertical="center"/>
    </xf>
    <xf numFmtId="0" fontId="0" fillId="66" borderId="0" xfId="0" applyFill="1" applyAlignment="1">
      <alignment vertical="center"/>
    </xf>
    <xf numFmtId="0" fontId="0" fillId="67" borderId="0" xfId="0" applyFill="1" applyAlignment="1">
      <alignment vertical="center"/>
    </xf>
    <xf numFmtId="0" fontId="0" fillId="68" borderId="0" xfId="0" applyFill="1" applyAlignment="1">
      <alignment vertical="center"/>
    </xf>
    <xf numFmtId="0" fontId="0" fillId="69" borderId="0" xfId="0" applyFill="1" applyAlignment="1">
      <alignment vertical="center"/>
    </xf>
    <xf numFmtId="0" fontId="7" fillId="70" borderId="1" xfId="0" applyFont="1" applyFill="1" applyBorder="1" applyAlignment="1">
      <alignment horizontal="center" vertical="center"/>
    </xf>
    <xf numFmtId="0" fontId="15" fillId="71" borderId="1" xfId="0" applyFont="1" applyFill="1" applyBorder="1" applyAlignment="1">
      <alignment horizontal="center" vertical="center"/>
    </xf>
    <xf numFmtId="0" fontId="15" fillId="71" borderId="1" xfId="1" applyFont="1" applyFill="1" applyBorder="1" applyAlignment="1">
      <alignment horizontal="center" vertical="center"/>
    </xf>
    <xf numFmtId="0" fontId="15" fillId="72" borderId="1" xfId="0" applyFont="1" applyFill="1" applyBorder="1" applyAlignment="1">
      <alignment horizontal="center" vertical="center"/>
    </xf>
    <xf numFmtId="0" fontId="6" fillId="4" borderId="1" xfId="5" applyFont="1" applyFill="1" applyBorder="1" applyAlignment="1">
      <alignment horizontal="center" vertical="center"/>
    </xf>
    <xf numFmtId="0" fontId="6" fillId="4" borderId="3" xfId="5" applyFont="1" applyFill="1" applyBorder="1" applyAlignment="1">
      <alignment horizontal="center" vertical="center"/>
    </xf>
    <xf numFmtId="0" fontId="13" fillId="2" borderId="0" xfId="5" applyFont="1" applyFill="1">
      <alignment vertical="center"/>
    </xf>
    <xf numFmtId="0" fontId="6" fillId="4" borderId="4" xfId="5" applyFont="1" applyFill="1" applyBorder="1" applyAlignment="1">
      <alignment horizontal="center" vertical="center"/>
    </xf>
    <xf numFmtId="0" fontId="13" fillId="3" borderId="7" xfId="5" applyFont="1" applyFill="1" applyBorder="1">
      <alignment vertical="center"/>
    </xf>
    <xf numFmtId="0" fontId="14" fillId="70" borderId="1" xfId="5" applyFont="1" applyFill="1" applyBorder="1" applyAlignment="1">
      <alignment horizontal="center" vertical="center"/>
    </xf>
    <xf numFmtId="0" fontId="14" fillId="70" borderId="3" xfId="5" applyFont="1" applyFill="1" applyBorder="1" applyAlignment="1">
      <alignment horizontal="center" vertical="center"/>
    </xf>
    <xf numFmtId="0" fontId="14" fillId="70" borderId="4" xfId="5" applyFont="1" applyFill="1" applyBorder="1" applyAlignment="1">
      <alignment horizontal="center" vertical="center"/>
    </xf>
    <xf numFmtId="0" fontId="14" fillId="4" borderId="1" xfId="5" applyFont="1" applyFill="1" applyBorder="1" applyAlignment="1">
      <alignment horizontal="center" vertical="center"/>
    </xf>
    <xf numFmtId="0" fontId="14" fillId="4" borderId="3" xfId="5" applyFont="1" applyFill="1" applyBorder="1" applyAlignment="1">
      <alignment horizontal="center" vertical="center"/>
    </xf>
    <xf numFmtId="0" fontId="14" fillId="4" borderId="4" xfId="5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70" borderId="4" xfId="0" applyFont="1" applyFill="1" applyBorder="1" applyAlignment="1">
      <alignment horizontal="center" vertical="center"/>
    </xf>
    <xf numFmtId="0" fontId="16" fillId="72" borderId="5" xfId="1" applyFont="1" applyFill="1" applyBorder="1" applyAlignment="1">
      <alignment horizontal="center" vertical="center"/>
    </xf>
    <xf numFmtId="0" fontId="15" fillId="73" borderId="6" xfId="1" applyFont="1" applyFill="1" applyBorder="1" applyAlignment="1">
      <alignment horizontal="center" vertical="center"/>
    </xf>
    <xf numFmtId="0" fontId="16" fillId="72" borderId="1" xfId="1" applyFont="1" applyFill="1" applyBorder="1" applyAlignment="1">
      <alignment horizontal="center" vertical="center"/>
    </xf>
    <xf numFmtId="0" fontId="15" fillId="74" borderId="2" xfId="1" applyFont="1" applyFill="1" applyBorder="1" applyAlignment="1">
      <alignment horizontal="center" vertical="center"/>
    </xf>
    <xf numFmtId="0" fontId="15" fillId="75" borderId="2" xfId="1" applyFont="1" applyFill="1" applyBorder="1" applyAlignment="1">
      <alignment horizontal="center" vertical="center"/>
    </xf>
    <xf numFmtId="0" fontId="15" fillId="76" borderId="2" xfId="1" applyFont="1" applyFill="1" applyBorder="1" applyAlignment="1">
      <alignment horizontal="center" vertical="center"/>
    </xf>
    <xf numFmtId="0" fontId="15" fillId="77" borderId="2" xfId="1" applyFont="1" applyFill="1" applyBorder="1" applyAlignment="1">
      <alignment horizontal="center" vertical="center"/>
    </xf>
    <xf numFmtId="0" fontId="15" fillId="78" borderId="2" xfId="1" applyFont="1" applyFill="1" applyBorder="1" applyAlignment="1">
      <alignment horizontal="center" vertical="center"/>
    </xf>
    <xf numFmtId="0" fontId="15" fillId="79" borderId="2" xfId="1" applyFont="1" applyFill="1" applyBorder="1" applyAlignment="1">
      <alignment horizontal="center" vertical="center"/>
    </xf>
    <xf numFmtId="0" fontId="16" fillId="72" borderId="3" xfId="1" applyFont="1" applyFill="1" applyBorder="1" applyAlignment="1">
      <alignment horizontal="center" vertical="center"/>
    </xf>
    <xf numFmtId="0" fontId="15" fillId="80" borderId="9" xfId="1" applyFont="1" applyFill="1" applyBorder="1" applyAlignment="1">
      <alignment horizontal="center" vertical="center"/>
    </xf>
    <xf numFmtId="0" fontId="15" fillId="81" borderId="2" xfId="1" applyFont="1" applyFill="1" applyBorder="1" applyAlignment="1">
      <alignment horizontal="center" vertical="center"/>
    </xf>
    <xf numFmtId="0" fontId="16" fillId="72" borderId="4" xfId="1" applyFont="1" applyFill="1" applyBorder="1" applyAlignment="1">
      <alignment horizontal="center" vertical="center"/>
    </xf>
    <xf numFmtId="0" fontId="15" fillId="82" borderId="8" xfId="1" applyFont="1" applyFill="1" applyBorder="1" applyAlignment="1">
      <alignment horizontal="center" vertical="center"/>
    </xf>
    <xf numFmtId="0" fontId="15" fillId="71" borderId="4" xfId="0" applyFont="1" applyFill="1" applyBorder="1" applyAlignment="1">
      <alignment horizontal="center" vertical="center"/>
    </xf>
    <xf numFmtId="0" fontId="15" fillId="72" borderId="4" xfId="0" applyFont="1" applyFill="1" applyBorder="1" applyAlignment="1">
      <alignment horizontal="center" vertical="center"/>
    </xf>
    <xf numFmtId="0" fontId="15" fillId="71" borderId="5" xfId="1" applyFont="1" applyFill="1" applyBorder="1" applyAlignment="1">
      <alignment horizontal="center" vertical="center"/>
    </xf>
    <xf numFmtId="0" fontId="15" fillId="71" borderId="3" xfId="1" applyFont="1" applyFill="1" applyBorder="1" applyAlignment="1">
      <alignment horizontal="center" vertical="center"/>
    </xf>
    <xf numFmtId="0" fontId="15" fillId="71" borderId="4" xfId="1" applyFont="1" applyFill="1" applyBorder="1" applyAlignment="1">
      <alignment horizontal="center" vertical="center"/>
    </xf>
    <xf numFmtId="0" fontId="16" fillId="71" borderId="5" xfId="1" applyFont="1" applyFill="1" applyBorder="1" applyAlignment="1">
      <alignment horizontal="center" vertical="center"/>
    </xf>
    <xf numFmtId="0" fontId="16" fillId="71" borderId="1" xfId="1" applyFont="1" applyFill="1" applyBorder="1" applyAlignment="1">
      <alignment horizontal="center" vertical="center"/>
    </xf>
    <xf numFmtId="0" fontId="16" fillId="71" borderId="3" xfId="1" applyFont="1" applyFill="1" applyBorder="1" applyAlignment="1">
      <alignment horizontal="center" vertical="center"/>
    </xf>
    <xf numFmtId="0" fontId="16" fillId="71" borderId="4" xfId="1" applyFont="1" applyFill="1" applyBorder="1" applyAlignment="1">
      <alignment horizontal="center" vertical="center"/>
    </xf>
    <xf numFmtId="0" fontId="10" fillId="83" borderId="1" xfId="0" applyFont="1" applyFill="1" applyBorder="1" applyAlignment="1">
      <alignment horizontal="center" vertical="center"/>
    </xf>
    <xf numFmtId="0" fontId="10" fillId="83" borderId="5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6" fillId="4" borderId="14" xfId="5" applyFont="1" applyFill="1" applyBorder="1" applyAlignment="1">
      <alignment horizontal="center" vertical="center"/>
    </xf>
    <xf numFmtId="0" fontId="7" fillId="70" borderId="13" xfId="0" applyFont="1" applyFill="1" applyBorder="1" applyAlignment="1">
      <alignment horizontal="center" vertical="center"/>
    </xf>
    <xf numFmtId="0" fontId="14" fillId="70" borderId="14" xfId="5" applyFont="1" applyFill="1" applyBorder="1" applyAlignment="1">
      <alignment horizontal="center" vertical="center"/>
    </xf>
    <xf numFmtId="0" fontId="14" fillId="4" borderId="14" xfId="5" applyFont="1" applyFill="1" applyBorder="1" applyAlignment="1">
      <alignment horizontal="center" vertical="center"/>
    </xf>
    <xf numFmtId="0" fontId="6" fillId="4" borderId="16" xfId="5" applyFont="1" applyFill="1" applyBorder="1" applyAlignment="1">
      <alignment horizontal="center" vertical="center"/>
    </xf>
    <xf numFmtId="0" fontId="14" fillId="70" borderId="16" xfId="5" applyFont="1" applyFill="1" applyBorder="1" applyAlignment="1">
      <alignment horizontal="center" vertical="center"/>
    </xf>
    <xf numFmtId="0" fontId="14" fillId="4" borderId="16" xfId="5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6" fillId="4" borderId="18" xfId="5" applyFont="1" applyFill="1" applyBorder="1" applyAlignment="1">
      <alignment horizontal="center" vertical="center"/>
    </xf>
    <xf numFmtId="0" fontId="7" fillId="70" borderId="17" xfId="0" applyFont="1" applyFill="1" applyBorder="1" applyAlignment="1">
      <alignment horizontal="center" vertical="center"/>
    </xf>
    <xf numFmtId="0" fontId="14" fillId="70" borderId="18" xfId="5" applyFont="1" applyFill="1" applyBorder="1" applyAlignment="1">
      <alignment horizontal="center" vertical="center"/>
    </xf>
    <xf numFmtId="0" fontId="14" fillId="4" borderId="18" xfId="5" applyFont="1" applyFill="1" applyBorder="1" applyAlignment="1">
      <alignment horizontal="center" vertical="center"/>
    </xf>
    <xf numFmtId="0" fontId="15" fillId="71" borderId="13" xfId="0" applyFont="1" applyFill="1" applyBorder="1" applyAlignment="1">
      <alignment horizontal="center" vertical="center"/>
    </xf>
    <xf numFmtId="0" fontId="15" fillId="71" borderId="19" xfId="1" applyFont="1" applyFill="1" applyBorder="1" applyAlignment="1">
      <alignment horizontal="center" vertical="center"/>
    </xf>
    <xf numFmtId="0" fontId="15" fillId="72" borderId="13" xfId="0" applyFont="1" applyFill="1" applyBorder="1" applyAlignment="1">
      <alignment horizontal="center" vertical="center"/>
    </xf>
    <xf numFmtId="0" fontId="16" fillId="72" borderId="19" xfId="1" applyFont="1" applyFill="1" applyBorder="1" applyAlignment="1">
      <alignment horizontal="center" vertical="center"/>
    </xf>
    <xf numFmtId="0" fontId="16" fillId="71" borderId="19" xfId="1" applyFont="1" applyFill="1" applyBorder="1" applyAlignment="1">
      <alignment horizontal="center" vertical="center"/>
    </xf>
    <xf numFmtId="0" fontId="15" fillId="71" borderId="14" xfId="1" applyFont="1" applyFill="1" applyBorder="1" applyAlignment="1">
      <alignment horizontal="center" vertical="center"/>
    </xf>
    <xf numFmtId="0" fontId="16" fillId="72" borderId="14" xfId="1" applyFont="1" applyFill="1" applyBorder="1" applyAlignment="1">
      <alignment horizontal="center" vertical="center"/>
    </xf>
    <xf numFmtId="0" fontId="16" fillId="71" borderId="14" xfId="1" applyFont="1" applyFill="1" applyBorder="1" applyAlignment="1">
      <alignment horizontal="center" vertical="center"/>
    </xf>
    <xf numFmtId="0" fontId="15" fillId="71" borderId="16" xfId="1" applyFont="1" applyFill="1" applyBorder="1" applyAlignment="1">
      <alignment horizontal="center" vertical="center"/>
    </xf>
    <xf numFmtId="0" fontId="16" fillId="72" borderId="16" xfId="1" applyFont="1" applyFill="1" applyBorder="1" applyAlignment="1">
      <alignment horizontal="center" vertical="center"/>
    </xf>
    <xf numFmtId="0" fontId="16" fillId="71" borderId="16" xfId="1" applyFont="1" applyFill="1" applyBorder="1" applyAlignment="1">
      <alignment horizontal="center" vertical="center"/>
    </xf>
    <xf numFmtId="0" fontId="15" fillId="71" borderId="17" xfId="0" applyFont="1" applyFill="1" applyBorder="1" applyAlignment="1">
      <alignment horizontal="center" vertical="center"/>
    </xf>
    <xf numFmtId="0" fontId="15" fillId="71" borderId="18" xfId="1" applyFont="1" applyFill="1" applyBorder="1" applyAlignment="1">
      <alignment horizontal="center" vertical="center"/>
    </xf>
    <xf numFmtId="0" fontId="15" fillId="72" borderId="17" xfId="0" applyFont="1" applyFill="1" applyBorder="1" applyAlignment="1">
      <alignment horizontal="center" vertical="center"/>
    </xf>
    <xf numFmtId="0" fontId="16" fillId="72" borderId="18" xfId="1" applyFont="1" applyFill="1" applyBorder="1" applyAlignment="1">
      <alignment horizontal="center" vertical="center"/>
    </xf>
    <xf numFmtId="0" fontId="16" fillId="71" borderId="18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7" fillId="0" borderId="0" xfId="0" applyFont="1" applyAlignment="1">
      <alignment vertical="center" shrinkToFit="1"/>
    </xf>
    <xf numFmtId="48" fontId="0" fillId="0" borderId="0" xfId="0" applyNumberFormat="1"/>
    <xf numFmtId="0" fontId="17" fillId="0" borderId="20" xfId="0" applyFont="1" applyBorder="1" applyAlignment="1">
      <alignment horizontal="left" vertical="center"/>
    </xf>
    <xf numFmtId="0" fontId="7" fillId="0" borderId="2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shrinkToFi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9" fillId="70" borderId="10" xfId="0" applyFont="1" applyFill="1" applyBorder="1" applyAlignment="1">
      <alignment horizontal="center" vertical="center"/>
    </xf>
    <xf numFmtId="0" fontId="9" fillId="70" borderId="11" xfId="0" applyFont="1" applyFill="1" applyBorder="1" applyAlignment="1">
      <alignment horizontal="center" vertical="center"/>
    </xf>
    <xf numFmtId="0" fontId="9" fillId="70" borderId="12" xfId="0" applyFont="1" applyFill="1" applyBorder="1" applyAlignment="1">
      <alignment horizontal="center" vertical="center"/>
    </xf>
    <xf numFmtId="0" fontId="17" fillId="0" borderId="0" xfId="0" applyFont="1" applyAlignment="1">
      <alignment horizontal="left" indent="1"/>
    </xf>
  </cellXfs>
  <cellStyles count="6">
    <cellStyle name="표준" xfId="0" builtinId="0"/>
    <cellStyle name="표준 2" xfId="1" xr:uid="{00000000-0005-0000-0000-000001000000}"/>
    <cellStyle name="표준 2 2" xfId="3" xr:uid="{B23C9EDE-EDF8-4C87-A4DB-4AC06A8A2B01}"/>
    <cellStyle name="표준 2 2 2" xfId="5" xr:uid="{E6F3EC4E-9052-43D9-80EC-6DFE41615E67}"/>
    <cellStyle name="표준 2 3" xfId="4" xr:uid="{72C1FFC6-C57B-4E25-BBF5-AEA8D0A2C7EC}"/>
    <cellStyle name="표준 3" xfId="2" xr:uid="{503B3B3F-E661-4CDE-93E0-1B40DF0FA865}"/>
  </cellStyles>
  <dxfs count="0"/>
  <tableStyles count="0" defaultTableStyle="TableStyleMedium2" defaultPivotStyle="PivotStyleLight16"/>
  <colors>
    <mruColors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12</xdr:col>
      <xdr:colOff>618105</xdr:colOff>
      <xdr:row>31</xdr:row>
      <xdr:rowOff>142490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6A8D2B54-B757-0024-E94E-61379957F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3771900"/>
          <a:ext cx="8161905" cy="30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13</xdr:col>
      <xdr:colOff>273210</xdr:colOff>
      <xdr:row>47</xdr:row>
      <xdr:rowOff>95250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DC5FBEDA-47C9-C0B0-7EA6-39B8FB449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7334250"/>
          <a:ext cx="8502810" cy="2819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12</xdr:col>
      <xdr:colOff>555952</xdr:colOff>
      <xdr:row>14</xdr:row>
      <xdr:rowOff>142875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1C96398E-4DCF-D819-63FE-ABD0EB984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628650"/>
          <a:ext cx="8099752" cy="2447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0"/>
  <sheetViews>
    <sheetView tabSelected="1" topLeftCell="A49" zoomScaleNormal="100" workbookViewId="0">
      <selection activeCell="D8" sqref="D8"/>
    </sheetView>
  </sheetViews>
  <sheetFormatPr defaultColWidth="8.625" defaultRowHeight="13.5" x14ac:dyDescent="0.3"/>
  <cols>
    <col min="1" max="6" width="8.625" style="1"/>
    <col min="7" max="7" width="8.625" style="1" customWidth="1"/>
    <col min="8" max="17" width="8.625" style="1"/>
    <col min="18" max="18" width="8.625" style="6"/>
    <col min="19" max="19" width="17.625" style="1" customWidth="1"/>
    <col min="20" max="23" width="8.625" style="1" customWidth="1"/>
    <col min="24" max="16384" width="8.625" style="1"/>
  </cols>
  <sheetData>
    <row r="1" spans="1:23" ht="25.5" customHeight="1" x14ac:dyDescent="0.3">
      <c r="B1" s="149" t="s">
        <v>56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6"/>
    </row>
    <row r="2" spans="1:23" ht="15.95" customHeight="1" x14ac:dyDescent="0.3">
      <c r="A2" s="154"/>
      <c r="B2" s="156" t="s">
        <v>39</v>
      </c>
      <c r="C2" s="157"/>
      <c r="D2" s="157"/>
      <c r="E2" s="158"/>
      <c r="F2" s="152" t="s">
        <v>54</v>
      </c>
      <c r="G2" s="153"/>
      <c r="H2" s="153"/>
      <c r="I2" s="153"/>
      <c r="J2" s="152" t="s">
        <v>55</v>
      </c>
      <c r="K2" s="153"/>
      <c r="L2" s="153"/>
      <c r="M2" s="153"/>
      <c r="N2" s="152" t="s">
        <v>57</v>
      </c>
      <c r="O2" s="153"/>
      <c r="P2" s="153"/>
      <c r="Q2" s="153"/>
      <c r="R2" s="151" t="s">
        <v>53</v>
      </c>
      <c r="S2" s="151"/>
      <c r="T2" s="151"/>
      <c r="U2" s="147"/>
      <c r="V2" s="147"/>
    </row>
    <row r="3" spans="1:23" x14ac:dyDescent="0.3">
      <c r="A3" s="155"/>
      <c r="B3" s="113" t="s">
        <v>40</v>
      </c>
      <c r="C3" s="5" t="s">
        <v>41</v>
      </c>
      <c r="D3" s="5" t="s">
        <v>42</v>
      </c>
      <c r="E3" s="114" t="s">
        <v>43</v>
      </c>
      <c r="F3" s="113" t="s">
        <v>40</v>
      </c>
      <c r="G3" s="5" t="s">
        <v>41</v>
      </c>
      <c r="H3" s="5" t="s">
        <v>42</v>
      </c>
      <c r="I3" s="114" t="s">
        <v>43</v>
      </c>
      <c r="J3" s="113" t="s">
        <v>40</v>
      </c>
      <c r="K3" s="5" t="s">
        <v>41</v>
      </c>
      <c r="L3" s="5" t="s">
        <v>42</v>
      </c>
      <c r="M3" s="114" t="s">
        <v>43</v>
      </c>
      <c r="N3" s="113" t="s">
        <v>40</v>
      </c>
      <c r="O3" s="5" t="s">
        <v>41</v>
      </c>
      <c r="P3" s="5" t="s">
        <v>42</v>
      </c>
      <c r="Q3" s="114" t="s">
        <v>43</v>
      </c>
      <c r="R3" s="115"/>
      <c r="S3" s="4"/>
      <c r="W3" s="2"/>
    </row>
    <row r="4" spans="1:23" ht="16.5" x14ac:dyDescent="0.3">
      <c r="A4" s="116">
        <v>1</v>
      </c>
      <c r="B4" s="117">
        <f>HEX2DEC(D4) * 0.004</f>
        <v>0.188</v>
      </c>
      <c r="C4" s="3">
        <f>HEX2DEC(E4) * 0.004</f>
        <v>7.2000000000000008E-2</v>
      </c>
      <c r="D4" s="75" t="s">
        <v>1</v>
      </c>
      <c r="E4" s="118">
        <v>12</v>
      </c>
      <c r="F4" s="119">
        <f>HEX2DEC(H4) * 0.004</f>
        <v>0.16400000000000001</v>
      </c>
      <c r="G4" s="71">
        <f>HEX2DEC(I4) * 0.004</f>
        <v>7.2000000000000008E-2</v>
      </c>
      <c r="H4" s="80">
        <v>29</v>
      </c>
      <c r="I4" s="120">
        <v>12</v>
      </c>
      <c r="J4" s="117">
        <f>HEX2DEC(L4) * 0.004</f>
        <v>0.16800000000000001</v>
      </c>
      <c r="K4" s="3">
        <f>HEX2DEC(M4) * 0.004</f>
        <v>7.2000000000000008E-2</v>
      </c>
      <c r="L4" s="83" t="s">
        <v>30</v>
      </c>
      <c r="M4" s="121">
        <v>12</v>
      </c>
      <c r="N4" s="119">
        <f>HEX2DEC(P4) * 0.004</f>
        <v>0.16800000000000001</v>
      </c>
      <c r="O4" s="71">
        <f>HEX2DEC(Q4) * 0.004</f>
        <v>6.8000000000000005E-2</v>
      </c>
      <c r="P4" s="80" t="s">
        <v>30</v>
      </c>
      <c r="Q4" s="120">
        <v>11</v>
      </c>
      <c r="R4" s="7"/>
      <c r="S4" s="4">
        <v>1</v>
      </c>
    </row>
    <row r="5" spans="1:23" ht="17.100000000000001" customHeight="1" x14ac:dyDescent="0.3">
      <c r="A5" s="116">
        <v>2</v>
      </c>
      <c r="B5" s="117">
        <f t="shared" ref="B5:B68" si="0">HEX2DEC(D5) * 0.004</f>
        <v>0.20400000000000001</v>
      </c>
      <c r="C5" s="3">
        <f t="shared" ref="C5:C68" si="1">HEX2DEC(E5) * 0.004</f>
        <v>9.1999999999999998E-2</v>
      </c>
      <c r="D5" s="75">
        <v>33</v>
      </c>
      <c r="E5" s="118">
        <v>17</v>
      </c>
      <c r="F5" s="119">
        <f t="shared" ref="F5:F68" si="2">HEX2DEC(H5) * 0.004</f>
        <v>0.20400000000000001</v>
      </c>
      <c r="G5" s="71">
        <f t="shared" ref="G5:G68" si="3">HEX2DEC(I5) * 0.004</f>
        <v>9.1999999999999998E-2</v>
      </c>
      <c r="H5" s="80">
        <v>33</v>
      </c>
      <c r="I5" s="120">
        <v>17</v>
      </c>
      <c r="J5" s="117">
        <f t="shared" ref="J5:J68" si="4">HEX2DEC(L5) * 0.004</f>
        <v>0.20400000000000001</v>
      </c>
      <c r="K5" s="3">
        <f t="shared" ref="K5:K68" si="5">HEX2DEC(M5) * 0.004</f>
        <v>9.1999999999999998E-2</v>
      </c>
      <c r="L5" s="83">
        <v>33</v>
      </c>
      <c r="M5" s="121">
        <v>17</v>
      </c>
      <c r="N5" s="119">
        <f t="shared" ref="N5:N68" si="6">HEX2DEC(P5) * 0.004</f>
        <v>0.20400000000000001</v>
      </c>
      <c r="O5" s="71">
        <f t="shared" ref="O5:O68" si="7">HEX2DEC(Q5) * 0.004</f>
        <v>9.1999999999999998E-2</v>
      </c>
      <c r="P5" s="80">
        <v>33</v>
      </c>
      <c r="Q5" s="120">
        <v>17</v>
      </c>
      <c r="R5" s="8"/>
      <c r="S5" s="4">
        <v>2</v>
      </c>
    </row>
    <row r="6" spans="1:23" ht="16.5" x14ac:dyDescent="0.3">
      <c r="A6" s="116">
        <v>3</v>
      </c>
      <c r="B6" s="117">
        <f t="shared" si="0"/>
        <v>0.22800000000000001</v>
      </c>
      <c r="C6" s="3">
        <f t="shared" si="1"/>
        <v>0.10400000000000001</v>
      </c>
      <c r="D6" s="75">
        <v>39</v>
      </c>
      <c r="E6" s="118" t="s">
        <v>2</v>
      </c>
      <c r="F6" s="119">
        <f t="shared" si="2"/>
        <v>0.22800000000000001</v>
      </c>
      <c r="G6" s="71">
        <f t="shared" si="3"/>
        <v>0.10400000000000001</v>
      </c>
      <c r="H6" s="80">
        <v>39</v>
      </c>
      <c r="I6" s="120" t="s">
        <v>2</v>
      </c>
      <c r="J6" s="117">
        <f t="shared" si="4"/>
        <v>0.22800000000000001</v>
      </c>
      <c r="K6" s="3">
        <f t="shared" si="5"/>
        <v>0.10400000000000001</v>
      </c>
      <c r="L6" s="83">
        <v>39</v>
      </c>
      <c r="M6" s="121" t="s">
        <v>2</v>
      </c>
      <c r="N6" s="119">
        <f t="shared" si="6"/>
        <v>0.22800000000000001</v>
      </c>
      <c r="O6" s="71">
        <f t="shared" si="7"/>
        <v>0.10400000000000001</v>
      </c>
      <c r="P6" s="80">
        <v>39</v>
      </c>
      <c r="Q6" s="120" t="s">
        <v>2</v>
      </c>
      <c r="R6" s="9"/>
      <c r="S6" s="4">
        <v>3</v>
      </c>
    </row>
    <row r="7" spans="1:23" ht="16.5" x14ac:dyDescent="0.3">
      <c r="A7" s="116">
        <v>4</v>
      </c>
      <c r="B7" s="117">
        <f t="shared" si="0"/>
        <v>0.25600000000000001</v>
      </c>
      <c r="C7" s="3">
        <f t="shared" si="1"/>
        <v>0.12</v>
      </c>
      <c r="D7" s="75">
        <v>40</v>
      </c>
      <c r="E7" s="118" t="s">
        <v>3</v>
      </c>
      <c r="F7" s="119">
        <f t="shared" si="2"/>
        <v>0.25600000000000001</v>
      </c>
      <c r="G7" s="71">
        <f t="shared" si="3"/>
        <v>0.12</v>
      </c>
      <c r="H7" s="80">
        <v>40</v>
      </c>
      <c r="I7" s="120" t="s">
        <v>3</v>
      </c>
      <c r="J7" s="117">
        <f t="shared" si="4"/>
        <v>0.25600000000000001</v>
      </c>
      <c r="K7" s="3">
        <f t="shared" si="5"/>
        <v>0.12</v>
      </c>
      <c r="L7" s="83">
        <v>40</v>
      </c>
      <c r="M7" s="121" t="s">
        <v>3</v>
      </c>
      <c r="N7" s="119">
        <f t="shared" si="6"/>
        <v>0.25600000000000001</v>
      </c>
      <c r="O7" s="71">
        <f t="shared" si="7"/>
        <v>0.12</v>
      </c>
      <c r="P7" s="80">
        <v>40</v>
      </c>
      <c r="Q7" s="120" t="s">
        <v>3</v>
      </c>
      <c r="R7" s="10"/>
      <c r="S7" s="4">
        <v>4</v>
      </c>
    </row>
    <row r="8" spans="1:23" ht="16.5" x14ac:dyDescent="0.3">
      <c r="A8" s="116">
        <v>5</v>
      </c>
      <c r="B8" s="117">
        <f t="shared" si="0"/>
        <v>0.28800000000000003</v>
      </c>
      <c r="C8" s="3">
        <f t="shared" si="1"/>
        <v>0.13600000000000001</v>
      </c>
      <c r="D8" s="75">
        <v>48</v>
      </c>
      <c r="E8" s="118">
        <v>22</v>
      </c>
      <c r="F8" s="119">
        <f t="shared" si="2"/>
        <v>0.28800000000000003</v>
      </c>
      <c r="G8" s="71">
        <f t="shared" si="3"/>
        <v>0.13600000000000001</v>
      </c>
      <c r="H8" s="80">
        <v>48</v>
      </c>
      <c r="I8" s="120">
        <v>22</v>
      </c>
      <c r="J8" s="117">
        <f t="shared" si="4"/>
        <v>0.27600000000000002</v>
      </c>
      <c r="K8" s="3">
        <f t="shared" si="5"/>
        <v>0.13600000000000001</v>
      </c>
      <c r="L8" s="83">
        <v>45</v>
      </c>
      <c r="M8" s="121">
        <v>22</v>
      </c>
      <c r="N8" s="119">
        <f t="shared" si="6"/>
        <v>0.26800000000000002</v>
      </c>
      <c r="O8" s="71">
        <f t="shared" si="7"/>
        <v>0.14400000000000002</v>
      </c>
      <c r="P8" s="80">
        <v>43</v>
      </c>
      <c r="Q8" s="120">
        <v>24</v>
      </c>
      <c r="R8" s="11"/>
      <c r="S8" s="4">
        <v>5</v>
      </c>
    </row>
    <row r="9" spans="1:23" ht="16.5" x14ac:dyDescent="0.3">
      <c r="A9" s="116">
        <v>6</v>
      </c>
      <c r="B9" s="117">
        <f t="shared" si="0"/>
        <v>0.32800000000000001</v>
      </c>
      <c r="C9" s="3">
        <f t="shared" si="1"/>
        <v>0.156</v>
      </c>
      <c r="D9" s="75">
        <v>52</v>
      </c>
      <c r="E9" s="118">
        <v>27</v>
      </c>
      <c r="F9" s="119">
        <f t="shared" si="2"/>
        <v>0.32800000000000001</v>
      </c>
      <c r="G9" s="71">
        <f t="shared" si="3"/>
        <v>0.156</v>
      </c>
      <c r="H9" s="80">
        <v>52</v>
      </c>
      <c r="I9" s="120">
        <v>27</v>
      </c>
      <c r="J9" s="117">
        <f t="shared" si="4"/>
        <v>0.32800000000000001</v>
      </c>
      <c r="K9" s="3">
        <f t="shared" si="5"/>
        <v>0.156</v>
      </c>
      <c r="L9" s="83">
        <v>52</v>
      </c>
      <c r="M9" s="121">
        <v>27</v>
      </c>
      <c r="N9" s="119">
        <f t="shared" si="6"/>
        <v>0.32800000000000001</v>
      </c>
      <c r="O9" s="71">
        <f t="shared" si="7"/>
        <v>0.156</v>
      </c>
      <c r="P9" s="80">
        <v>52</v>
      </c>
      <c r="Q9" s="120">
        <v>27</v>
      </c>
      <c r="R9" s="12"/>
      <c r="S9" s="4">
        <v>6</v>
      </c>
    </row>
    <row r="10" spans="1:23" ht="16.5" x14ac:dyDescent="0.3">
      <c r="A10" s="116">
        <v>7</v>
      </c>
      <c r="B10" s="117">
        <f t="shared" si="0"/>
        <v>0.36799999999999999</v>
      </c>
      <c r="C10" s="3">
        <f t="shared" si="1"/>
        <v>0.18</v>
      </c>
      <c r="D10" s="75" t="s">
        <v>4</v>
      </c>
      <c r="E10" s="118" t="s">
        <v>5</v>
      </c>
      <c r="F10" s="119">
        <f t="shared" si="2"/>
        <v>0.36799999999999999</v>
      </c>
      <c r="G10" s="71">
        <f t="shared" si="3"/>
        <v>0.18</v>
      </c>
      <c r="H10" s="80" t="s">
        <v>4</v>
      </c>
      <c r="I10" s="120" t="s">
        <v>5</v>
      </c>
      <c r="J10" s="117">
        <f t="shared" si="4"/>
        <v>0.36799999999999999</v>
      </c>
      <c r="K10" s="3">
        <f t="shared" si="5"/>
        <v>0.18</v>
      </c>
      <c r="L10" s="83" t="s">
        <v>4</v>
      </c>
      <c r="M10" s="121" t="s">
        <v>5</v>
      </c>
      <c r="N10" s="119">
        <f t="shared" si="6"/>
        <v>0.36799999999999999</v>
      </c>
      <c r="O10" s="71">
        <f t="shared" si="7"/>
        <v>0.18</v>
      </c>
      <c r="P10" s="80" t="s">
        <v>4</v>
      </c>
      <c r="Q10" s="120" t="s">
        <v>5</v>
      </c>
      <c r="R10" s="13"/>
      <c r="S10" s="4">
        <v>7</v>
      </c>
    </row>
    <row r="11" spans="1:23" ht="16.5" x14ac:dyDescent="0.3">
      <c r="A11" s="116">
        <v>8</v>
      </c>
      <c r="B11" s="117">
        <f t="shared" si="0"/>
        <v>0.41600000000000004</v>
      </c>
      <c r="C11" s="3">
        <f t="shared" si="1"/>
        <v>0.20800000000000002</v>
      </c>
      <c r="D11" s="75">
        <v>68</v>
      </c>
      <c r="E11" s="118">
        <v>34</v>
      </c>
      <c r="F11" s="119">
        <f t="shared" si="2"/>
        <v>0.41600000000000004</v>
      </c>
      <c r="G11" s="71">
        <f t="shared" si="3"/>
        <v>0.20800000000000002</v>
      </c>
      <c r="H11" s="80">
        <v>68</v>
      </c>
      <c r="I11" s="120">
        <v>34</v>
      </c>
      <c r="J11" s="117">
        <f t="shared" si="4"/>
        <v>0.41600000000000004</v>
      </c>
      <c r="K11" s="3">
        <f t="shared" si="5"/>
        <v>0.20800000000000002</v>
      </c>
      <c r="L11" s="83">
        <v>68</v>
      </c>
      <c r="M11" s="121">
        <v>34</v>
      </c>
      <c r="N11" s="119">
        <f t="shared" si="6"/>
        <v>0.41600000000000004</v>
      </c>
      <c r="O11" s="71">
        <f t="shared" si="7"/>
        <v>0.20800000000000002</v>
      </c>
      <c r="P11" s="80">
        <v>68</v>
      </c>
      <c r="Q11" s="120">
        <v>34</v>
      </c>
      <c r="R11" s="14"/>
      <c r="S11" s="4">
        <v>8</v>
      </c>
    </row>
    <row r="12" spans="1:23" ht="16.5" x14ac:dyDescent="0.3">
      <c r="A12" s="116">
        <v>9</v>
      </c>
      <c r="B12" s="117">
        <f t="shared" si="0"/>
        <v>0.48399999999999999</v>
      </c>
      <c r="C12" s="3">
        <f t="shared" si="1"/>
        <v>0.24399999999999999</v>
      </c>
      <c r="D12" s="75">
        <v>79</v>
      </c>
      <c r="E12" s="118" t="s">
        <v>6</v>
      </c>
      <c r="F12" s="119">
        <f t="shared" si="2"/>
        <v>0.48399999999999999</v>
      </c>
      <c r="G12" s="71">
        <f t="shared" si="3"/>
        <v>0.24399999999999999</v>
      </c>
      <c r="H12" s="80">
        <v>79</v>
      </c>
      <c r="I12" s="120" t="s">
        <v>6</v>
      </c>
      <c r="J12" s="117">
        <f t="shared" si="4"/>
        <v>0.48399999999999999</v>
      </c>
      <c r="K12" s="3">
        <f t="shared" si="5"/>
        <v>0.24399999999999999</v>
      </c>
      <c r="L12" s="83">
        <v>79</v>
      </c>
      <c r="M12" s="121" t="s">
        <v>6</v>
      </c>
      <c r="N12" s="119">
        <f t="shared" si="6"/>
        <v>0.48399999999999999</v>
      </c>
      <c r="O12" s="71">
        <f t="shared" si="7"/>
        <v>0.24399999999999999</v>
      </c>
      <c r="P12" s="80">
        <v>79</v>
      </c>
      <c r="Q12" s="120" t="s">
        <v>6</v>
      </c>
      <c r="R12" s="15"/>
      <c r="S12" s="4">
        <v>9</v>
      </c>
    </row>
    <row r="13" spans="1:23" ht="16.5" x14ac:dyDescent="0.3">
      <c r="A13" s="116">
        <v>10</v>
      </c>
      <c r="B13" s="117">
        <f t="shared" si="0"/>
        <v>0.54</v>
      </c>
      <c r="C13" s="3">
        <f t="shared" si="1"/>
        <v>0.27600000000000002</v>
      </c>
      <c r="D13" s="75">
        <v>87</v>
      </c>
      <c r="E13" s="118">
        <v>45</v>
      </c>
      <c r="F13" s="119">
        <f t="shared" si="2"/>
        <v>0.53200000000000003</v>
      </c>
      <c r="G13" s="71">
        <f t="shared" si="3"/>
        <v>0.27200000000000002</v>
      </c>
      <c r="H13" s="80">
        <v>85</v>
      </c>
      <c r="I13" s="120">
        <v>44</v>
      </c>
      <c r="J13" s="117">
        <f t="shared" si="4"/>
        <v>0.54</v>
      </c>
      <c r="K13" s="3">
        <f t="shared" si="5"/>
        <v>0.27600000000000002</v>
      </c>
      <c r="L13" s="83">
        <v>87</v>
      </c>
      <c r="M13" s="121">
        <v>45</v>
      </c>
      <c r="N13" s="119">
        <f t="shared" si="6"/>
        <v>0.52400000000000002</v>
      </c>
      <c r="O13" s="71">
        <f t="shared" si="7"/>
        <v>0.26800000000000002</v>
      </c>
      <c r="P13" s="80">
        <v>83</v>
      </c>
      <c r="Q13" s="120">
        <v>43</v>
      </c>
      <c r="R13" s="16"/>
      <c r="S13" s="4">
        <v>10</v>
      </c>
    </row>
    <row r="14" spans="1:23" ht="16.5" x14ac:dyDescent="0.3">
      <c r="A14" s="116">
        <v>11</v>
      </c>
      <c r="B14" s="117">
        <f t="shared" si="0"/>
        <v>0.59199999999999997</v>
      </c>
      <c r="C14" s="3">
        <f t="shared" si="1"/>
        <v>0.30399999999999999</v>
      </c>
      <c r="D14" s="75">
        <v>94</v>
      </c>
      <c r="E14" s="118" t="s">
        <v>7</v>
      </c>
      <c r="F14" s="119">
        <f t="shared" si="2"/>
        <v>0.59199999999999997</v>
      </c>
      <c r="G14" s="71">
        <f t="shared" si="3"/>
        <v>0.30399999999999999</v>
      </c>
      <c r="H14" s="80">
        <v>94</v>
      </c>
      <c r="I14" s="120" t="s">
        <v>7</v>
      </c>
      <c r="J14" s="117">
        <f t="shared" si="4"/>
        <v>0.59199999999999997</v>
      </c>
      <c r="K14" s="3">
        <f t="shared" si="5"/>
        <v>0.30399999999999999</v>
      </c>
      <c r="L14" s="83">
        <v>94</v>
      </c>
      <c r="M14" s="121" t="s">
        <v>7</v>
      </c>
      <c r="N14" s="119">
        <f t="shared" si="6"/>
        <v>0.59199999999999997</v>
      </c>
      <c r="O14" s="71">
        <f t="shared" si="7"/>
        <v>0.30399999999999999</v>
      </c>
      <c r="P14" s="80">
        <v>94</v>
      </c>
      <c r="Q14" s="120" t="s">
        <v>7</v>
      </c>
      <c r="R14" s="17"/>
      <c r="S14" s="4">
        <v>11</v>
      </c>
    </row>
    <row r="15" spans="1:23" ht="16.5" x14ac:dyDescent="0.3">
      <c r="A15" s="116">
        <v>12</v>
      </c>
      <c r="B15" s="117">
        <f t="shared" si="0"/>
        <v>0.61599999999999999</v>
      </c>
      <c r="C15" s="3">
        <f t="shared" si="1"/>
        <v>0.316</v>
      </c>
      <c r="D15" s="75" t="s">
        <v>8</v>
      </c>
      <c r="E15" s="118" t="s">
        <v>9</v>
      </c>
      <c r="F15" s="119">
        <f t="shared" si="2"/>
        <v>0.61599999999999999</v>
      </c>
      <c r="G15" s="71">
        <f t="shared" si="3"/>
        <v>0.316</v>
      </c>
      <c r="H15" s="80" t="s">
        <v>8</v>
      </c>
      <c r="I15" s="120" t="s">
        <v>9</v>
      </c>
      <c r="J15" s="117">
        <f t="shared" si="4"/>
        <v>0.61599999999999999</v>
      </c>
      <c r="K15" s="3">
        <f t="shared" si="5"/>
        <v>0.316</v>
      </c>
      <c r="L15" s="83" t="s">
        <v>8</v>
      </c>
      <c r="M15" s="121" t="s">
        <v>9</v>
      </c>
      <c r="N15" s="119">
        <f t="shared" si="6"/>
        <v>0.61599999999999999</v>
      </c>
      <c r="O15" s="71">
        <f t="shared" si="7"/>
        <v>0.316</v>
      </c>
      <c r="P15" s="80" t="s">
        <v>8</v>
      </c>
      <c r="Q15" s="120" t="s">
        <v>9</v>
      </c>
      <c r="R15" s="18"/>
      <c r="S15" s="4">
        <v>12</v>
      </c>
    </row>
    <row r="16" spans="1:23" ht="16.5" x14ac:dyDescent="0.3">
      <c r="A16" s="116">
        <v>13</v>
      </c>
      <c r="B16" s="117">
        <f t="shared" si="0"/>
        <v>0.63200000000000001</v>
      </c>
      <c r="C16" s="3">
        <f t="shared" si="1"/>
        <v>0.32800000000000001</v>
      </c>
      <c r="D16" s="75" t="s">
        <v>10</v>
      </c>
      <c r="E16" s="118">
        <v>52</v>
      </c>
      <c r="F16" s="119">
        <f t="shared" si="2"/>
        <v>0.63200000000000001</v>
      </c>
      <c r="G16" s="71">
        <f t="shared" si="3"/>
        <v>0.32800000000000001</v>
      </c>
      <c r="H16" s="80" t="s">
        <v>10</v>
      </c>
      <c r="I16" s="120">
        <v>52</v>
      </c>
      <c r="J16" s="117">
        <f t="shared" si="4"/>
        <v>0.63200000000000001</v>
      </c>
      <c r="K16" s="3">
        <f t="shared" si="5"/>
        <v>0.32800000000000001</v>
      </c>
      <c r="L16" s="83" t="s">
        <v>10</v>
      </c>
      <c r="M16" s="121">
        <v>52</v>
      </c>
      <c r="N16" s="119">
        <f t="shared" si="6"/>
        <v>0.63200000000000001</v>
      </c>
      <c r="O16" s="71">
        <f t="shared" si="7"/>
        <v>0.32800000000000001</v>
      </c>
      <c r="P16" s="80" t="s">
        <v>10</v>
      </c>
      <c r="Q16" s="120">
        <v>52</v>
      </c>
      <c r="R16" s="19"/>
      <c r="S16" s="4">
        <v>13</v>
      </c>
    </row>
    <row r="17" spans="1:22" ht="16.5" x14ac:dyDescent="0.3">
      <c r="A17" s="116">
        <v>14</v>
      </c>
      <c r="B17" s="117">
        <f t="shared" si="0"/>
        <v>0.64</v>
      </c>
      <c r="C17" s="3">
        <f t="shared" si="1"/>
        <v>0.32400000000000001</v>
      </c>
      <c r="D17" s="75" t="s">
        <v>11</v>
      </c>
      <c r="E17" s="118">
        <v>51</v>
      </c>
      <c r="F17" s="119">
        <f t="shared" si="2"/>
        <v>0.64</v>
      </c>
      <c r="G17" s="71">
        <f t="shared" si="3"/>
        <v>0.32400000000000001</v>
      </c>
      <c r="H17" s="80" t="s">
        <v>11</v>
      </c>
      <c r="I17" s="120">
        <v>51</v>
      </c>
      <c r="J17" s="117">
        <f t="shared" si="4"/>
        <v>0.64</v>
      </c>
      <c r="K17" s="3">
        <f t="shared" si="5"/>
        <v>0.32400000000000001</v>
      </c>
      <c r="L17" s="83" t="s">
        <v>11</v>
      </c>
      <c r="M17" s="121">
        <v>51</v>
      </c>
      <c r="N17" s="119">
        <f t="shared" si="6"/>
        <v>0.64</v>
      </c>
      <c r="O17" s="71">
        <f t="shared" si="7"/>
        <v>0.32400000000000001</v>
      </c>
      <c r="P17" s="80" t="s">
        <v>11</v>
      </c>
      <c r="Q17" s="120">
        <v>51</v>
      </c>
      <c r="R17" s="20"/>
      <c r="S17" s="4">
        <v>14</v>
      </c>
    </row>
    <row r="18" spans="1:22" ht="16.5" x14ac:dyDescent="0.3">
      <c r="A18" s="116">
        <v>15</v>
      </c>
      <c r="B18" s="117">
        <f t="shared" si="0"/>
        <v>0.64</v>
      </c>
      <c r="C18" s="3">
        <f t="shared" si="1"/>
        <v>0.32800000000000001</v>
      </c>
      <c r="D18" s="75" t="s">
        <v>11</v>
      </c>
      <c r="E18" s="118">
        <v>52</v>
      </c>
      <c r="F18" s="119">
        <f t="shared" si="2"/>
        <v>0.64</v>
      </c>
      <c r="G18" s="71">
        <f t="shared" si="3"/>
        <v>0.32800000000000001</v>
      </c>
      <c r="H18" s="80" t="s">
        <v>11</v>
      </c>
      <c r="I18" s="120">
        <v>52</v>
      </c>
      <c r="J18" s="117">
        <f t="shared" si="4"/>
        <v>0.64</v>
      </c>
      <c r="K18" s="3">
        <f t="shared" si="5"/>
        <v>0.32800000000000001</v>
      </c>
      <c r="L18" s="83" t="s">
        <v>11</v>
      </c>
      <c r="M18" s="121">
        <v>52</v>
      </c>
      <c r="N18" s="119">
        <f t="shared" si="6"/>
        <v>0.64</v>
      </c>
      <c r="O18" s="71">
        <f t="shared" si="7"/>
        <v>0.32800000000000001</v>
      </c>
      <c r="P18" s="80" t="s">
        <v>11</v>
      </c>
      <c r="Q18" s="120">
        <v>52</v>
      </c>
      <c r="R18" s="21"/>
      <c r="S18" s="4">
        <v>15</v>
      </c>
    </row>
    <row r="19" spans="1:22" ht="16.5" x14ac:dyDescent="0.3">
      <c r="A19" s="116">
        <v>16</v>
      </c>
      <c r="B19" s="117">
        <f t="shared" si="0"/>
        <v>0.64</v>
      </c>
      <c r="C19" s="3">
        <f t="shared" si="1"/>
        <v>0.33200000000000002</v>
      </c>
      <c r="D19" s="75" t="s">
        <v>11</v>
      </c>
      <c r="E19" s="118">
        <v>53</v>
      </c>
      <c r="F19" s="119">
        <f t="shared" si="2"/>
        <v>0.64</v>
      </c>
      <c r="G19" s="71">
        <f t="shared" si="3"/>
        <v>0.33200000000000002</v>
      </c>
      <c r="H19" s="80" t="s">
        <v>11</v>
      </c>
      <c r="I19" s="120">
        <v>53</v>
      </c>
      <c r="J19" s="117">
        <f t="shared" si="4"/>
        <v>0.64</v>
      </c>
      <c r="K19" s="3">
        <f t="shared" si="5"/>
        <v>0.33200000000000002</v>
      </c>
      <c r="L19" s="83" t="s">
        <v>11</v>
      </c>
      <c r="M19" s="121">
        <v>53</v>
      </c>
      <c r="N19" s="119">
        <f t="shared" si="6"/>
        <v>0.64</v>
      </c>
      <c r="O19" s="71">
        <f t="shared" si="7"/>
        <v>0.33200000000000002</v>
      </c>
      <c r="P19" s="80" t="s">
        <v>11</v>
      </c>
      <c r="Q19" s="120">
        <v>53</v>
      </c>
      <c r="R19" s="22"/>
      <c r="S19" s="4">
        <v>16</v>
      </c>
    </row>
    <row r="20" spans="1:22" ht="16.5" x14ac:dyDescent="0.3">
      <c r="A20" s="116">
        <v>17</v>
      </c>
      <c r="B20" s="117">
        <f t="shared" si="0"/>
        <v>0.64</v>
      </c>
      <c r="C20" s="3">
        <f t="shared" si="1"/>
        <v>0.33600000000000002</v>
      </c>
      <c r="D20" s="75" t="s">
        <v>11</v>
      </c>
      <c r="E20" s="118">
        <v>54</v>
      </c>
      <c r="F20" s="119">
        <f t="shared" si="2"/>
        <v>0.64</v>
      </c>
      <c r="G20" s="71">
        <f t="shared" si="3"/>
        <v>0.33600000000000002</v>
      </c>
      <c r="H20" s="80" t="s">
        <v>11</v>
      </c>
      <c r="I20" s="120">
        <v>54</v>
      </c>
      <c r="J20" s="117">
        <f t="shared" si="4"/>
        <v>0.64</v>
      </c>
      <c r="K20" s="3">
        <f t="shared" si="5"/>
        <v>0.33600000000000002</v>
      </c>
      <c r="L20" s="83" t="s">
        <v>11</v>
      </c>
      <c r="M20" s="121">
        <v>54</v>
      </c>
      <c r="N20" s="119">
        <f t="shared" si="6"/>
        <v>0.64</v>
      </c>
      <c r="O20" s="71">
        <f t="shared" si="7"/>
        <v>0.33600000000000002</v>
      </c>
      <c r="P20" s="80" t="s">
        <v>11</v>
      </c>
      <c r="Q20" s="120">
        <v>54</v>
      </c>
      <c r="R20" s="23"/>
      <c r="S20" s="4">
        <v>17</v>
      </c>
    </row>
    <row r="21" spans="1:22" ht="16.5" x14ac:dyDescent="0.3">
      <c r="A21" s="116">
        <v>18</v>
      </c>
      <c r="B21" s="117">
        <f t="shared" si="0"/>
        <v>0.63600000000000001</v>
      </c>
      <c r="C21" s="3">
        <f t="shared" si="1"/>
        <v>0.33200000000000002</v>
      </c>
      <c r="D21" s="75" t="s">
        <v>12</v>
      </c>
      <c r="E21" s="118">
        <v>53</v>
      </c>
      <c r="F21" s="119">
        <f t="shared" si="2"/>
        <v>0.63600000000000001</v>
      </c>
      <c r="G21" s="71">
        <f t="shared" si="3"/>
        <v>0.33200000000000002</v>
      </c>
      <c r="H21" s="80" t="s">
        <v>12</v>
      </c>
      <c r="I21" s="120">
        <v>53</v>
      </c>
      <c r="J21" s="117">
        <f t="shared" si="4"/>
        <v>0.63600000000000001</v>
      </c>
      <c r="K21" s="3">
        <f t="shared" si="5"/>
        <v>0.33200000000000002</v>
      </c>
      <c r="L21" s="83" t="s">
        <v>12</v>
      </c>
      <c r="M21" s="121">
        <v>53</v>
      </c>
      <c r="N21" s="119">
        <f t="shared" si="6"/>
        <v>0.63600000000000001</v>
      </c>
      <c r="O21" s="71">
        <f t="shared" si="7"/>
        <v>0.33200000000000002</v>
      </c>
      <c r="P21" s="80" t="s">
        <v>12</v>
      </c>
      <c r="Q21" s="120">
        <v>53</v>
      </c>
      <c r="R21" s="24"/>
      <c r="S21" s="4">
        <v>18</v>
      </c>
    </row>
    <row r="22" spans="1:22" ht="16.5" x14ac:dyDescent="0.3">
      <c r="A22" s="116">
        <v>19</v>
      </c>
      <c r="B22" s="117">
        <f t="shared" si="0"/>
        <v>0.63200000000000001</v>
      </c>
      <c r="C22" s="3">
        <f t="shared" si="1"/>
        <v>0.33600000000000002</v>
      </c>
      <c r="D22" s="75" t="s">
        <v>10</v>
      </c>
      <c r="E22" s="118">
        <v>54</v>
      </c>
      <c r="F22" s="119">
        <f t="shared" si="2"/>
        <v>0.63200000000000001</v>
      </c>
      <c r="G22" s="71">
        <f t="shared" si="3"/>
        <v>0.33600000000000002</v>
      </c>
      <c r="H22" s="80" t="s">
        <v>10</v>
      </c>
      <c r="I22" s="120">
        <v>54</v>
      </c>
      <c r="J22" s="117">
        <f t="shared" si="4"/>
        <v>0.63200000000000001</v>
      </c>
      <c r="K22" s="3">
        <f t="shared" si="5"/>
        <v>0.33600000000000002</v>
      </c>
      <c r="L22" s="83" t="s">
        <v>10</v>
      </c>
      <c r="M22" s="121">
        <v>54</v>
      </c>
      <c r="N22" s="119">
        <f t="shared" si="6"/>
        <v>0.63200000000000001</v>
      </c>
      <c r="O22" s="71">
        <f t="shared" si="7"/>
        <v>0.33600000000000002</v>
      </c>
      <c r="P22" s="80" t="s">
        <v>10</v>
      </c>
      <c r="Q22" s="120">
        <v>54</v>
      </c>
      <c r="R22" s="25"/>
      <c r="S22" s="4">
        <v>19</v>
      </c>
    </row>
    <row r="23" spans="1:22" ht="16.5" x14ac:dyDescent="0.3">
      <c r="A23" s="116">
        <v>20</v>
      </c>
      <c r="B23" s="117">
        <f t="shared" si="0"/>
        <v>0.628</v>
      </c>
      <c r="C23" s="3">
        <f t="shared" si="1"/>
        <v>0.34</v>
      </c>
      <c r="D23" s="75" t="s">
        <v>13</v>
      </c>
      <c r="E23" s="118">
        <v>55</v>
      </c>
      <c r="F23" s="119">
        <f t="shared" si="2"/>
        <v>0.56400000000000006</v>
      </c>
      <c r="G23" s="71">
        <f t="shared" si="3"/>
        <v>0.34400000000000003</v>
      </c>
      <c r="H23" s="80" t="s">
        <v>17</v>
      </c>
      <c r="I23" s="120">
        <v>56</v>
      </c>
      <c r="J23" s="117">
        <f t="shared" si="4"/>
        <v>0.628</v>
      </c>
      <c r="K23" s="3">
        <f t="shared" si="5"/>
        <v>0.34</v>
      </c>
      <c r="L23" s="83" t="s">
        <v>13</v>
      </c>
      <c r="M23" s="121">
        <v>55</v>
      </c>
      <c r="N23" s="119">
        <f t="shared" si="6"/>
        <v>0.628</v>
      </c>
      <c r="O23" s="71">
        <f t="shared" si="7"/>
        <v>0.34</v>
      </c>
      <c r="P23" s="80" t="s">
        <v>13</v>
      </c>
      <c r="Q23" s="120">
        <v>55</v>
      </c>
      <c r="R23" s="26"/>
      <c r="S23" s="4">
        <v>20</v>
      </c>
    </row>
    <row r="24" spans="1:22" ht="16.5" x14ac:dyDescent="0.3">
      <c r="A24" s="116">
        <v>21</v>
      </c>
      <c r="B24" s="117">
        <f t="shared" si="0"/>
        <v>0.624</v>
      </c>
      <c r="C24" s="3">
        <f t="shared" si="1"/>
        <v>0.34400000000000003</v>
      </c>
      <c r="D24" s="75" t="s">
        <v>14</v>
      </c>
      <c r="E24" s="118">
        <v>56</v>
      </c>
      <c r="F24" s="119">
        <f t="shared" si="2"/>
        <v>0.624</v>
      </c>
      <c r="G24" s="71">
        <f t="shared" si="3"/>
        <v>0.34400000000000003</v>
      </c>
      <c r="H24" s="80" t="s">
        <v>14</v>
      </c>
      <c r="I24" s="120">
        <v>56</v>
      </c>
      <c r="J24" s="117">
        <f t="shared" si="4"/>
        <v>0.624</v>
      </c>
      <c r="K24" s="3">
        <f t="shared" si="5"/>
        <v>0.34400000000000003</v>
      </c>
      <c r="L24" s="83" t="s">
        <v>14</v>
      </c>
      <c r="M24" s="121">
        <v>56</v>
      </c>
      <c r="N24" s="119">
        <f t="shared" si="6"/>
        <v>0.624</v>
      </c>
      <c r="O24" s="71">
        <f t="shared" si="7"/>
        <v>0.34400000000000003</v>
      </c>
      <c r="P24" s="80" t="s">
        <v>14</v>
      </c>
      <c r="Q24" s="120">
        <v>56</v>
      </c>
      <c r="R24" s="27"/>
      <c r="S24" s="4">
        <v>21</v>
      </c>
    </row>
    <row r="25" spans="1:22" ht="16.5" x14ac:dyDescent="0.3">
      <c r="A25" s="116">
        <v>22</v>
      </c>
      <c r="B25" s="117">
        <f t="shared" si="0"/>
        <v>0.61599999999999999</v>
      </c>
      <c r="C25" s="3">
        <f t="shared" si="1"/>
        <v>0.35199999999999998</v>
      </c>
      <c r="D25" s="75" t="s">
        <v>8</v>
      </c>
      <c r="E25" s="118">
        <v>58</v>
      </c>
      <c r="F25" s="119">
        <f t="shared" si="2"/>
        <v>0.61599999999999999</v>
      </c>
      <c r="G25" s="71">
        <f t="shared" si="3"/>
        <v>0.35199999999999998</v>
      </c>
      <c r="H25" s="80" t="s">
        <v>8</v>
      </c>
      <c r="I25" s="120">
        <v>58</v>
      </c>
      <c r="J25" s="117">
        <f t="shared" si="4"/>
        <v>0.61599999999999999</v>
      </c>
      <c r="K25" s="3">
        <f t="shared" si="5"/>
        <v>0.35199999999999998</v>
      </c>
      <c r="L25" s="83" t="s">
        <v>8</v>
      </c>
      <c r="M25" s="121">
        <v>58</v>
      </c>
      <c r="N25" s="119">
        <f t="shared" si="6"/>
        <v>0.61599999999999999</v>
      </c>
      <c r="O25" s="71">
        <f t="shared" si="7"/>
        <v>0.35199999999999998</v>
      </c>
      <c r="P25" s="80" t="s">
        <v>8</v>
      </c>
      <c r="Q25" s="120">
        <v>58</v>
      </c>
      <c r="R25" s="28"/>
      <c r="S25" s="4">
        <v>22</v>
      </c>
      <c r="V25" s="1" t="s">
        <v>52</v>
      </c>
    </row>
    <row r="26" spans="1:22" ht="16.5" x14ac:dyDescent="0.3">
      <c r="A26" s="116">
        <v>23</v>
      </c>
      <c r="B26" s="117">
        <f t="shared" si="0"/>
        <v>0.60799999999999998</v>
      </c>
      <c r="C26" s="3">
        <f t="shared" si="1"/>
        <v>0.35599999999999998</v>
      </c>
      <c r="D26" s="75">
        <v>98</v>
      </c>
      <c r="E26" s="118">
        <v>59</v>
      </c>
      <c r="F26" s="119">
        <f t="shared" si="2"/>
        <v>0.60799999999999998</v>
      </c>
      <c r="G26" s="71">
        <f t="shared" si="3"/>
        <v>0.35599999999999998</v>
      </c>
      <c r="H26" s="80">
        <v>98</v>
      </c>
      <c r="I26" s="120">
        <v>59</v>
      </c>
      <c r="J26" s="117">
        <f t="shared" si="4"/>
        <v>0.60799999999999998</v>
      </c>
      <c r="K26" s="3">
        <f t="shared" si="5"/>
        <v>0.35599999999999998</v>
      </c>
      <c r="L26" s="83">
        <v>98</v>
      </c>
      <c r="M26" s="121">
        <v>59</v>
      </c>
      <c r="N26" s="119">
        <f t="shared" si="6"/>
        <v>0.60799999999999998</v>
      </c>
      <c r="O26" s="71">
        <f t="shared" si="7"/>
        <v>0.35599999999999998</v>
      </c>
      <c r="P26" s="80">
        <v>98</v>
      </c>
      <c r="Q26" s="120">
        <v>59</v>
      </c>
      <c r="R26" s="29"/>
      <c r="S26" s="4">
        <v>23</v>
      </c>
    </row>
    <row r="27" spans="1:22" ht="16.5" x14ac:dyDescent="0.3">
      <c r="A27" s="116">
        <v>24</v>
      </c>
      <c r="B27" s="117">
        <f t="shared" si="0"/>
        <v>0.6</v>
      </c>
      <c r="C27" s="3">
        <f t="shared" si="1"/>
        <v>0.36399999999999999</v>
      </c>
      <c r="D27" s="75">
        <v>96</v>
      </c>
      <c r="E27" s="118" t="s">
        <v>15</v>
      </c>
      <c r="F27" s="119">
        <f t="shared" si="2"/>
        <v>0.6</v>
      </c>
      <c r="G27" s="71">
        <f t="shared" si="3"/>
        <v>0.36399999999999999</v>
      </c>
      <c r="H27" s="80">
        <v>96</v>
      </c>
      <c r="I27" s="120" t="s">
        <v>15</v>
      </c>
      <c r="J27" s="117">
        <f t="shared" si="4"/>
        <v>0.6</v>
      </c>
      <c r="K27" s="3">
        <f t="shared" si="5"/>
        <v>0.36399999999999999</v>
      </c>
      <c r="L27" s="83">
        <v>96</v>
      </c>
      <c r="M27" s="121" t="s">
        <v>15</v>
      </c>
      <c r="N27" s="119">
        <f t="shared" si="6"/>
        <v>0.6</v>
      </c>
      <c r="O27" s="71">
        <f t="shared" si="7"/>
        <v>0.36399999999999999</v>
      </c>
      <c r="P27" s="80">
        <v>96</v>
      </c>
      <c r="Q27" s="120" t="s">
        <v>15</v>
      </c>
      <c r="R27" s="30"/>
      <c r="S27" s="4">
        <v>24</v>
      </c>
    </row>
    <row r="28" spans="1:22" ht="16.5" x14ac:dyDescent="0.3">
      <c r="A28" s="116">
        <v>25</v>
      </c>
      <c r="B28" s="117">
        <f t="shared" si="0"/>
        <v>0.59199999999999997</v>
      </c>
      <c r="C28" s="3">
        <f t="shared" si="1"/>
        <v>0.372</v>
      </c>
      <c r="D28" s="75">
        <v>94</v>
      </c>
      <c r="E28" s="118" t="s">
        <v>16</v>
      </c>
      <c r="F28" s="119">
        <f t="shared" si="2"/>
        <v>0.53200000000000003</v>
      </c>
      <c r="G28" s="71">
        <f t="shared" si="3"/>
        <v>0.41600000000000004</v>
      </c>
      <c r="H28" s="80">
        <v>85</v>
      </c>
      <c r="I28" s="120">
        <v>68</v>
      </c>
      <c r="J28" s="117">
        <f t="shared" si="4"/>
        <v>0.59199999999999997</v>
      </c>
      <c r="K28" s="3">
        <f t="shared" si="5"/>
        <v>0.372</v>
      </c>
      <c r="L28" s="83">
        <v>94</v>
      </c>
      <c r="M28" s="121" t="s">
        <v>16</v>
      </c>
      <c r="N28" s="119">
        <f t="shared" si="6"/>
        <v>0.58399999999999996</v>
      </c>
      <c r="O28" s="71">
        <f t="shared" si="7"/>
        <v>0.372</v>
      </c>
      <c r="P28" s="80">
        <v>92</v>
      </c>
      <c r="Q28" s="120" t="s">
        <v>16</v>
      </c>
      <c r="R28" s="31"/>
      <c r="S28" s="4">
        <v>25</v>
      </c>
    </row>
    <row r="29" spans="1:22" ht="16.5" x14ac:dyDescent="0.3">
      <c r="A29" s="116">
        <v>26</v>
      </c>
      <c r="B29" s="117">
        <f t="shared" si="0"/>
        <v>0.57999999999999996</v>
      </c>
      <c r="C29" s="3">
        <f t="shared" si="1"/>
        <v>0.38400000000000001</v>
      </c>
      <c r="D29" s="75">
        <v>91</v>
      </c>
      <c r="E29" s="118">
        <v>60</v>
      </c>
      <c r="F29" s="119">
        <f t="shared" si="2"/>
        <v>0.57999999999999996</v>
      </c>
      <c r="G29" s="71">
        <f t="shared" si="3"/>
        <v>0.38400000000000001</v>
      </c>
      <c r="H29" s="80">
        <v>91</v>
      </c>
      <c r="I29" s="120">
        <v>60</v>
      </c>
      <c r="J29" s="117">
        <f t="shared" si="4"/>
        <v>0.57999999999999996</v>
      </c>
      <c r="K29" s="3">
        <f t="shared" si="5"/>
        <v>0.38400000000000001</v>
      </c>
      <c r="L29" s="83">
        <v>91</v>
      </c>
      <c r="M29" s="121">
        <v>60</v>
      </c>
      <c r="N29" s="119">
        <f t="shared" si="6"/>
        <v>0.57999999999999996</v>
      </c>
      <c r="O29" s="71">
        <f t="shared" si="7"/>
        <v>0.38400000000000001</v>
      </c>
      <c r="P29" s="80">
        <v>91</v>
      </c>
      <c r="Q29" s="120">
        <v>60</v>
      </c>
      <c r="R29" s="32"/>
      <c r="S29" s="4">
        <v>26</v>
      </c>
    </row>
    <row r="30" spans="1:22" ht="16.5" x14ac:dyDescent="0.3">
      <c r="A30" s="116">
        <v>27</v>
      </c>
      <c r="B30" s="117">
        <f t="shared" si="0"/>
        <v>0.56400000000000006</v>
      </c>
      <c r="C30" s="3">
        <f t="shared" si="1"/>
        <v>0.39600000000000002</v>
      </c>
      <c r="D30" s="75" t="s">
        <v>17</v>
      </c>
      <c r="E30" s="118">
        <v>63</v>
      </c>
      <c r="F30" s="119">
        <f t="shared" si="2"/>
        <v>0.48799999999999999</v>
      </c>
      <c r="G30" s="71">
        <f t="shared" si="3"/>
        <v>0.45600000000000002</v>
      </c>
      <c r="H30" s="80" t="s">
        <v>44</v>
      </c>
      <c r="I30" s="120">
        <v>72</v>
      </c>
      <c r="J30" s="117">
        <f t="shared" si="4"/>
        <v>0.53600000000000003</v>
      </c>
      <c r="K30" s="3">
        <f t="shared" si="5"/>
        <v>0.40800000000000003</v>
      </c>
      <c r="L30" s="83">
        <v>86</v>
      </c>
      <c r="M30" s="121">
        <v>66</v>
      </c>
      <c r="N30" s="119">
        <f t="shared" si="6"/>
        <v>0.51200000000000001</v>
      </c>
      <c r="O30" s="71">
        <f t="shared" si="7"/>
        <v>0.41600000000000004</v>
      </c>
      <c r="P30" s="80">
        <v>80</v>
      </c>
      <c r="Q30" s="120">
        <v>68</v>
      </c>
      <c r="R30" s="33"/>
      <c r="S30" s="4">
        <v>27</v>
      </c>
    </row>
    <row r="31" spans="1:22" ht="16.5" x14ac:dyDescent="0.3">
      <c r="A31" s="116">
        <v>28</v>
      </c>
      <c r="B31" s="117">
        <f t="shared" si="0"/>
        <v>0.54800000000000004</v>
      </c>
      <c r="C31" s="3">
        <f t="shared" si="1"/>
        <v>0.41200000000000003</v>
      </c>
      <c r="D31" s="75">
        <v>89</v>
      </c>
      <c r="E31" s="118">
        <v>67</v>
      </c>
      <c r="F31" s="119">
        <f t="shared" si="2"/>
        <v>0.44</v>
      </c>
      <c r="G31" s="71">
        <f t="shared" si="3"/>
        <v>0.5</v>
      </c>
      <c r="H31" s="80" t="s">
        <v>45</v>
      </c>
      <c r="I31" s="120" t="s">
        <v>21</v>
      </c>
      <c r="J31" s="117">
        <f t="shared" si="4"/>
        <v>0.504</v>
      </c>
      <c r="K31" s="3">
        <f t="shared" si="5"/>
        <v>0.436</v>
      </c>
      <c r="L31" s="83" t="s">
        <v>19</v>
      </c>
      <c r="M31" s="121" t="s">
        <v>18</v>
      </c>
      <c r="N31" s="119">
        <f t="shared" si="6"/>
        <v>0.51200000000000001</v>
      </c>
      <c r="O31" s="71">
        <f t="shared" si="7"/>
        <v>0.436</v>
      </c>
      <c r="P31" s="80">
        <v>80</v>
      </c>
      <c r="Q31" s="120" t="s">
        <v>18</v>
      </c>
      <c r="R31" s="34"/>
      <c r="S31" s="4">
        <v>28</v>
      </c>
    </row>
    <row r="32" spans="1:22" ht="16.5" x14ac:dyDescent="0.3">
      <c r="A32" s="116">
        <v>29</v>
      </c>
      <c r="B32" s="117">
        <f t="shared" si="0"/>
        <v>0.52</v>
      </c>
      <c r="C32" s="3">
        <f t="shared" si="1"/>
        <v>0.436</v>
      </c>
      <c r="D32" s="75">
        <v>82</v>
      </c>
      <c r="E32" s="118" t="s">
        <v>18</v>
      </c>
      <c r="F32" s="119">
        <f t="shared" si="2"/>
        <v>0.42799999999999999</v>
      </c>
      <c r="G32" s="71">
        <f t="shared" si="3"/>
        <v>0.50800000000000001</v>
      </c>
      <c r="H32" s="80" t="s">
        <v>46</v>
      </c>
      <c r="I32" s="120" t="s">
        <v>47</v>
      </c>
      <c r="J32" s="117">
        <f t="shared" si="4"/>
        <v>0.48</v>
      </c>
      <c r="K32" s="3">
        <f t="shared" si="5"/>
        <v>0.46400000000000002</v>
      </c>
      <c r="L32" s="83">
        <v>78</v>
      </c>
      <c r="M32" s="121">
        <v>74</v>
      </c>
      <c r="N32" s="119">
        <f t="shared" si="6"/>
        <v>0.46800000000000003</v>
      </c>
      <c r="O32" s="71">
        <f t="shared" si="7"/>
        <v>0.47600000000000003</v>
      </c>
      <c r="P32" s="80">
        <v>75</v>
      </c>
      <c r="Q32" s="120">
        <v>77</v>
      </c>
      <c r="R32" s="35"/>
      <c r="S32" s="4">
        <v>29</v>
      </c>
    </row>
    <row r="33" spans="1:19" ht="16.5" x14ac:dyDescent="0.3">
      <c r="A33" s="116">
        <v>30</v>
      </c>
      <c r="B33" s="117">
        <f t="shared" si="0"/>
        <v>0.504</v>
      </c>
      <c r="C33" s="3">
        <f t="shared" si="1"/>
        <v>0.45200000000000001</v>
      </c>
      <c r="D33" s="75" t="s">
        <v>19</v>
      </c>
      <c r="E33" s="118">
        <v>71</v>
      </c>
      <c r="F33" s="119">
        <f t="shared" si="2"/>
        <v>0.41200000000000003</v>
      </c>
      <c r="G33" s="71">
        <f t="shared" si="3"/>
        <v>0.53200000000000003</v>
      </c>
      <c r="H33" s="80">
        <v>67</v>
      </c>
      <c r="I33" s="120">
        <v>85</v>
      </c>
      <c r="J33" s="117">
        <f t="shared" si="4"/>
        <v>0.42799999999999999</v>
      </c>
      <c r="K33" s="3">
        <f t="shared" si="5"/>
        <v>0.51200000000000001</v>
      </c>
      <c r="L33" s="83" t="s">
        <v>46</v>
      </c>
      <c r="M33" s="121">
        <v>80</v>
      </c>
      <c r="N33" s="119">
        <f t="shared" si="6"/>
        <v>0.42799999999999999</v>
      </c>
      <c r="O33" s="71">
        <f t="shared" si="7"/>
        <v>0.51200000000000001</v>
      </c>
      <c r="P33" s="80" t="s">
        <v>46</v>
      </c>
      <c r="Q33" s="120">
        <v>80</v>
      </c>
      <c r="R33" s="36"/>
      <c r="S33" s="4">
        <v>30</v>
      </c>
    </row>
    <row r="34" spans="1:19" ht="16.5" x14ac:dyDescent="0.3">
      <c r="A34" s="116">
        <v>31</v>
      </c>
      <c r="B34" s="117">
        <f t="shared" si="0"/>
        <v>0.48399999999999999</v>
      </c>
      <c r="C34" s="3">
        <f t="shared" si="1"/>
        <v>0.46800000000000003</v>
      </c>
      <c r="D34" s="75">
        <v>79</v>
      </c>
      <c r="E34" s="118">
        <v>75</v>
      </c>
      <c r="F34" s="119">
        <f t="shared" si="2"/>
        <v>0.40400000000000003</v>
      </c>
      <c r="G34" s="71">
        <f t="shared" si="3"/>
        <v>0.54</v>
      </c>
      <c r="H34" s="80">
        <v>65</v>
      </c>
      <c r="I34" s="120">
        <v>87</v>
      </c>
      <c r="J34" s="117">
        <f t="shared" si="4"/>
        <v>0.42399999999999999</v>
      </c>
      <c r="K34" s="3">
        <f t="shared" si="5"/>
        <v>0.51600000000000001</v>
      </c>
      <c r="L34" s="83" t="s">
        <v>48</v>
      </c>
      <c r="M34" s="121">
        <v>81</v>
      </c>
      <c r="N34" s="119">
        <f t="shared" si="6"/>
        <v>0.41600000000000004</v>
      </c>
      <c r="O34" s="71">
        <f t="shared" si="7"/>
        <v>0.52400000000000002</v>
      </c>
      <c r="P34" s="80">
        <v>68</v>
      </c>
      <c r="Q34" s="120">
        <v>83</v>
      </c>
      <c r="R34" s="37"/>
      <c r="S34" s="4">
        <v>31</v>
      </c>
    </row>
    <row r="35" spans="1:19" ht="16.5" x14ac:dyDescent="0.3">
      <c r="A35" s="116">
        <v>32</v>
      </c>
      <c r="B35" s="117">
        <f t="shared" si="0"/>
        <v>0.44400000000000001</v>
      </c>
      <c r="C35" s="3">
        <f t="shared" si="1"/>
        <v>0.5</v>
      </c>
      <c r="D35" s="75" t="s">
        <v>20</v>
      </c>
      <c r="E35" s="118" t="s">
        <v>21</v>
      </c>
      <c r="F35" s="119">
        <f t="shared" si="2"/>
        <v>0.4</v>
      </c>
      <c r="G35" s="71">
        <f t="shared" si="3"/>
        <v>0.54</v>
      </c>
      <c r="H35" s="80">
        <v>64</v>
      </c>
      <c r="I35" s="120">
        <v>87</v>
      </c>
      <c r="J35" s="117">
        <f t="shared" si="4"/>
        <v>0.41200000000000003</v>
      </c>
      <c r="K35" s="3">
        <f t="shared" si="5"/>
        <v>0.53200000000000003</v>
      </c>
      <c r="L35" s="83">
        <v>67</v>
      </c>
      <c r="M35" s="121">
        <v>85</v>
      </c>
      <c r="N35" s="119">
        <f t="shared" si="6"/>
        <v>0.41200000000000003</v>
      </c>
      <c r="O35" s="71">
        <f t="shared" si="7"/>
        <v>0.53200000000000003</v>
      </c>
      <c r="P35" s="80">
        <v>67</v>
      </c>
      <c r="Q35" s="120">
        <v>85</v>
      </c>
      <c r="R35" s="38"/>
      <c r="S35" s="4">
        <v>32</v>
      </c>
    </row>
    <row r="36" spans="1:19" ht="16.5" x14ac:dyDescent="0.3">
      <c r="A36" s="116">
        <v>33</v>
      </c>
      <c r="B36" s="117">
        <f t="shared" si="0"/>
        <v>0.42</v>
      </c>
      <c r="C36" s="3">
        <f t="shared" si="1"/>
        <v>0.52400000000000002</v>
      </c>
      <c r="D36" s="75">
        <v>69</v>
      </c>
      <c r="E36" s="118">
        <v>83</v>
      </c>
      <c r="F36" s="119">
        <f t="shared" si="2"/>
        <v>0.39200000000000002</v>
      </c>
      <c r="G36" s="71">
        <f t="shared" si="3"/>
        <v>0.55600000000000005</v>
      </c>
      <c r="H36" s="80">
        <v>62</v>
      </c>
      <c r="I36" s="120" t="s">
        <v>49</v>
      </c>
      <c r="J36" s="117">
        <f t="shared" si="4"/>
        <v>0.40800000000000003</v>
      </c>
      <c r="K36" s="3">
        <f t="shared" si="5"/>
        <v>0.53200000000000003</v>
      </c>
      <c r="L36" s="83">
        <v>66</v>
      </c>
      <c r="M36" s="121">
        <v>85</v>
      </c>
      <c r="N36" s="119">
        <f t="shared" si="6"/>
        <v>0.39600000000000002</v>
      </c>
      <c r="O36" s="71">
        <f t="shared" si="7"/>
        <v>0.54400000000000004</v>
      </c>
      <c r="P36" s="80">
        <v>63</v>
      </c>
      <c r="Q36" s="120">
        <v>88</v>
      </c>
      <c r="R36" s="39"/>
      <c r="S36" s="4">
        <v>33</v>
      </c>
    </row>
    <row r="37" spans="1:19" ht="16.5" x14ac:dyDescent="0.3">
      <c r="A37" s="116">
        <v>34</v>
      </c>
      <c r="B37" s="117">
        <f t="shared" si="0"/>
        <v>0.38800000000000001</v>
      </c>
      <c r="C37" s="3">
        <f t="shared" si="1"/>
        <v>0.55200000000000005</v>
      </c>
      <c r="D37" s="75">
        <v>61</v>
      </c>
      <c r="E37" s="118" t="s">
        <v>22</v>
      </c>
      <c r="F37" s="119">
        <f t="shared" si="2"/>
        <v>0.36</v>
      </c>
      <c r="G37" s="71">
        <f t="shared" si="3"/>
        <v>0.57600000000000007</v>
      </c>
      <c r="H37" s="80" t="s">
        <v>23</v>
      </c>
      <c r="I37" s="120">
        <v>90</v>
      </c>
      <c r="J37" s="117">
        <f t="shared" si="4"/>
        <v>0.40400000000000003</v>
      </c>
      <c r="K37" s="3">
        <f t="shared" si="5"/>
        <v>0.54</v>
      </c>
      <c r="L37" s="83">
        <v>65</v>
      </c>
      <c r="M37" s="121">
        <v>87</v>
      </c>
      <c r="N37" s="119">
        <f t="shared" si="6"/>
        <v>0.38400000000000001</v>
      </c>
      <c r="O37" s="71">
        <f t="shared" si="7"/>
        <v>0.55600000000000005</v>
      </c>
      <c r="P37" s="80">
        <v>60</v>
      </c>
      <c r="Q37" s="120" t="s">
        <v>49</v>
      </c>
      <c r="R37" s="40"/>
      <c r="S37" s="4">
        <v>34</v>
      </c>
    </row>
    <row r="38" spans="1:19" ht="16.5" x14ac:dyDescent="0.3">
      <c r="A38" s="116">
        <v>35</v>
      </c>
      <c r="B38" s="117">
        <f t="shared" si="0"/>
        <v>0.36</v>
      </c>
      <c r="C38" s="3">
        <f t="shared" si="1"/>
        <v>0.57600000000000007</v>
      </c>
      <c r="D38" s="75" t="s">
        <v>23</v>
      </c>
      <c r="E38" s="118">
        <v>90</v>
      </c>
      <c r="F38" s="119">
        <f t="shared" si="2"/>
        <v>0.34</v>
      </c>
      <c r="G38" s="71">
        <f t="shared" si="3"/>
        <v>0.59599999999999997</v>
      </c>
      <c r="H38" s="80">
        <v>55</v>
      </c>
      <c r="I38" s="120">
        <v>95</v>
      </c>
      <c r="J38" s="117">
        <f t="shared" si="4"/>
        <v>0.36</v>
      </c>
      <c r="K38" s="3">
        <f t="shared" si="5"/>
        <v>0.57600000000000007</v>
      </c>
      <c r="L38" s="83" t="s">
        <v>23</v>
      </c>
      <c r="M38" s="121">
        <v>90</v>
      </c>
      <c r="N38" s="119">
        <f t="shared" si="6"/>
        <v>0.36</v>
      </c>
      <c r="O38" s="71">
        <f t="shared" si="7"/>
        <v>0.57600000000000007</v>
      </c>
      <c r="P38" s="80" t="s">
        <v>23</v>
      </c>
      <c r="Q38" s="120">
        <v>90</v>
      </c>
      <c r="R38" s="41"/>
      <c r="S38" s="4">
        <v>35</v>
      </c>
    </row>
    <row r="39" spans="1:19" ht="16.5" x14ac:dyDescent="0.3">
      <c r="A39" s="116">
        <v>36</v>
      </c>
      <c r="B39" s="117">
        <f t="shared" si="0"/>
        <v>0.34</v>
      </c>
      <c r="C39" s="3">
        <f t="shared" si="1"/>
        <v>0.59599999999999997</v>
      </c>
      <c r="D39" s="75">
        <v>55</v>
      </c>
      <c r="E39" s="118">
        <v>95</v>
      </c>
      <c r="F39" s="119">
        <f t="shared" si="2"/>
        <v>0.34</v>
      </c>
      <c r="G39" s="71">
        <f t="shared" si="3"/>
        <v>0.59599999999999997</v>
      </c>
      <c r="H39" s="80">
        <v>55</v>
      </c>
      <c r="I39" s="120">
        <v>95</v>
      </c>
      <c r="J39" s="117">
        <f t="shared" si="4"/>
        <v>0.34</v>
      </c>
      <c r="K39" s="3">
        <f t="shared" si="5"/>
        <v>0.59599999999999997</v>
      </c>
      <c r="L39" s="83">
        <v>55</v>
      </c>
      <c r="M39" s="121">
        <v>95</v>
      </c>
      <c r="N39" s="119">
        <f t="shared" si="6"/>
        <v>0.34</v>
      </c>
      <c r="O39" s="71">
        <f t="shared" si="7"/>
        <v>0.59599999999999997</v>
      </c>
      <c r="P39" s="80">
        <v>55</v>
      </c>
      <c r="Q39" s="120">
        <v>95</v>
      </c>
      <c r="R39" s="42"/>
      <c r="S39" s="4">
        <v>36</v>
      </c>
    </row>
    <row r="40" spans="1:19" ht="16.5" x14ac:dyDescent="0.3">
      <c r="A40" s="116">
        <v>37</v>
      </c>
      <c r="B40" s="117">
        <f t="shared" si="0"/>
        <v>0.32400000000000001</v>
      </c>
      <c r="C40" s="3">
        <f t="shared" si="1"/>
        <v>0.60799999999999998</v>
      </c>
      <c r="D40" s="75">
        <v>51</v>
      </c>
      <c r="E40" s="118">
        <v>98</v>
      </c>
      <c r="F40" s="119">
        <f t="shared" si="2"/>
        <v>0.32400000000000001</v>
      </c>
      <c r="G40" s="71">
        <f t="shared" si="3"/>
        <v>0.60799999999999998</v>
      </c>
      <c r="H40" s="80">
        <v>51</v>
      </c>
      <c r="I40" s="120">
        <v>98</v>
      </c>
      <c r="J40" s="117">
        <f t="shared" si="4"/>
        <v>0.32400000000000001</v>
      </c>
      <c r="K40" s="3">
        <f t="shared" si="5"/>
        <v>0.60799999999999998</v>
      </c>
      <c r="L40" s="83">
        <v>51</v>
      </c>
      <c r="M40" s="121">
        <v>98</v>
      </c>
      <c r="N40" s="119">
        <f t="shared" si="6"/>
        <v>0.32400000000000001</v>
      </c>
      <c r="O40" s="71">
        <f t="shared" si="7"/>
        <v>0.60799999999999998</v>
      </c>
      <c r="P40" s="80">
        <v>51</v>
      </c>
      <c r="Q40" s="120">
        <v>98</v>
      </c>
      <c r="R40" s="43"/>
      <c r="S40" s="4">
        <v>37</v>
      </c>
    </row>
    <row r="41" spans="1:19" ht="16.5" x14ac:dyDescent="0.3">
      <c r="A41" s="116">
        <v>38</v>
      </c>
      <c r="B41" s="117">
        <f t="shared" si="0"/>
        <v>0.30399999999999999</v>
      </c>
      <c r="C41" s="3">
        <f t="shared" si="1"/>
        <v>0.61199999999999999</v>
      </c>
      <c r="D41" s="75" t="s">
        <v>7</v>
      </c>
      <c r="E41" s="118">
        <v>99</v>
      </c>
      <c r="F41" s="119">
        <f t="shared" si="2"/>
        <v>0.30399999999999999</v>
      </c>
      <c r="G41" s="71">
        <f t="shared" si="3"/>
        <v>0.61199999999999999</v>
      </c>
      <c r="H41" s="80" t="s">
        <v>7</v>
      </c>
      <c r="I41" s="120">
        <v>99</v>
      </c>
      <c r="J41" s="117">
        <f t="shared" si="4"/>
        <v>0.30399999999999999</v>
      </c>
      <c r="K41" s="3">
        <f t="shared" si="5"/>
        <v>0.61199999999999999</v>
      </c>
      <c r="L41" s="83" t="s">
        <v>7</v>
      </c>
      <c r="M41" s="121">
        <v>99</v>
      </c>
      <c r="N41" s="119">
        <f t="shared" si="6"/>
        <v>0.30399999999999999</v>
      </c>
      <c r="O41" s="71">
        <f t="shared" si="7"/>
        <v>0.61199999999999999</v>
      </c>
      <c r="P41" s="80" t="s">
        <v>7</v>
      </c>
      <c r="Q41" s="120">
        <v>99</v>
      </c>
      <c r="R41" s="44"/>
      <c r="S41" s="4">
        <v>38</v>
      </c>
    </row>
    <row r="42" spans="1:19" ht="16.5" x14ac:dyDescent="0.3">
      <c r="A42" s="116">
        <v>39</v>
      </c>
      <c r="B42" s="117">
        <f t="shared" si="0"/>
        <v>0.28800000000000003</v>
      </c>
      <c r="C42" s="3">
        <f t="shared" si="1"/>
        <v>0.60799999999999998</v>
      </c>
      <c r="D42" s="75">
        <v>48</v>
      </c>
      <c r="E42" s="118">
        <v>98</v>
      </c>
      <c r="F42" s="119">
        <f t="shared" si="2"/>
        <v>0.28800000000000003</v>
      </c>
      <c r="G42" s="71">
        <f t="shared" si="3"/>
        <v>0.60799999999999998</v>
      </c>
      <c r="H42" s="80">
        <v>48</v>
      </c>
      <c r="I42" s="120">
        <v>98</v>
      </c>
      <c r="J42" s="117">
        <f t="shared" si="4"/>
        <v>0.28800000000000003</v>
      </c>
      <c r="K42" s="3">
        <f t="shared" si="5"/>
        <v>0.60799999999999998</v>
      </c>
      <c r="L42" s="83">
        <v>48</v>
      </c>
      <c r="M42" s="121">
        <v>98</v>
      </c>
      <c r="N42" s="119">
        <f t="shared" si="6"/>
        <v>0.28800000000000003</v>
      </c>
      <c r="O42" s="71">
        <f t="shared" si="7"/>
        <v>0.60799999999999998</v>
      </c>
      <c r="P42" s="80">
        <v>48</v>
      </c>
      <c r="Q42" s="120">
        <v>98</v>
      </c>
      <c r="R42" s="45"/>
      <c r="S42" s="4">
        <v>39</v>
      </c>
    </row>
    <row r="43" spans="1:19" ht="16.5" x14ac:dyDescent="0.3">
      <c r="A43" s="116">
        <v>40</v>
      </c>
      <c r="B43" s="117">
        <f t="shared" si="0"/>
        <v>0.27600000000000002</v>
      </c>
      <c r="C43" s="3">
        <f t="shared" si="1"/>
        <v>0.59199999999999997</v>
      </c>
      <c r="D43" s="75">
        <v>45</v>
      </c>
      <c r="E43" s="118">
        <v>94</v>
      </c>
      <c r="F43" s="119">
        <f t="shared" si="2"/>
        <v>0.27600000000000002</v>
      </c>
      <c r="G43" s="71">
        <f t="shared" si="3"/>
        <v>0.59199999999999997</v>
      </c>
      <c r="H43" s="80">
        <v>45</v>
      </c>
      <c r="I43" s="120">
        <v>94</v>
      </c>
      <c r="J43" s="117">
        <f t="shared" si="4"/>
        <v>0.27600000000000002</v>
      </c>
      <c r="K43" s="3">
        <f t="shared" si="5"/>
        <v>0.59199999999999997</v>
      </c>
      <c r="L43" s="83">
        <v>45</v>
      </c>
      <c r="M43" s="121">
        <v>94</v>
      </c>
      <c r="N43" s="119">
        <f t="shared" si="6"/>
        <v>0.27600000000000002</v>
      </c>
      <c r="O43" s="71">
        <f t="shared" si="7"/>
        <v>0.59199999999999997</v>
      </c>
      <c r="P43" s="80">
        <v>45</v>
      </c>
      <c r="Q43" s="120">
        <v>94</v>
      </c>
      <c r="R43" s="46"/>
      <c r="S43" s="4">
        <v>40</v>
      </c>
    </row>
    <row r="44" spans="1:19" ht="16.5" x14ac:dyDescent="0.3">
      <c r="A44" s="116">
        <v>41</v>
      </c>
      <c r="B44" s="117">
        <f t="shared" si="0"/>
        <v>0.26</v>
      </c>
      <c r="C44" s="3">
        <f t="shared" si="1"/>
        <v>0.56400000000000006</v>
      </c>
      <c r="D44" s="75">
        <v>41</v>
      </c>
      <c r="E44" s="118" t="s">
        <v>17</v>
      </c>
      <c r="F44" s="119">
        <f t="shared" si="2"/>
        <v>0.26</v>
      </c>
      <c r="G44" s="71">
        <f t="shared" si="3"/>
        <v>0.56400000000000006</v>
      </c>
      <c r="H44" s="80">
        <v>41</v>
      </c>
      <c r="I44" s="120" t="s">
        <v>17</v>
      </c>
      <c r="J44" s="117">
        <f t="shared" si="4"/>
        <v>0.26</v>
      </c>
      <c r="K44" s="3">
        <f t="shared" si="5"/>
        <v>0.56400000000000006</v>
      </c>
      <c r="L44" s="83">
        <v>41</v>
      </c>
      <c r="M44" s="121" t="s">
        <v>17</v>
      </c>
      <c r="N44" s="119">
        <f t="shared" si="6"/>
        <v>0.26</v>
      </c>
      <c r="O44" s="71">
        <f t="shared" si="7"/>
        <v>0.56400000000000006</v>
      </c>
      <c r="P44" s="80">
        <v>41</v>
      </c>
      <c r="Q44" s="120" t="s">
        <v>17</v>
      </c>
      <c r="R44" s="47"/>
      <c r="S44" s="4">
        <v>41</v>
      </c>
    </row>
    <row r="45" spans="1:19" ht="16.5" x14ac:dyDescent="0.3">
      <c r="A45" s="116">
        <v>42</v>
      </c>
      <c r="B45" s="117">
        <f t="shared" si="0"/>
        <v>0.24399999999999999</v>
      </c>
      <c r="C45" s="3">
        <f t="shared" si="1"/>
        <v>0.53200000000000003</v>
      </c>
      <c r="D45" s="75" t="s">
        <v>6</v>
      </c>
      <c r="E45" s="118">
        <v>85</v>
      </c>
      <c r="F45" s="119">
        <f t="shared" si="2"/>
        <v>0.24399999999999999</v>
      </c>
      <c r="G45" s="71">
        <f t="shared" si="3"/>
        <v>0.53200000000000003</v>
      </c>
      <c r="H45" s="80" t="s">
        <v>6</v>
      </c>
      <c r="I45" s="120">
        <v>85</v>
      </c>
      <c r="J45" s="117">
        <f t="shared" si="4"/>
        <v>0.24399999999999999</v>
      </c>
      <c r="K45" s="3">
        <f t="shared" si="5"/>
        <v>0.53200000000000003</v>
      </c>
      <c r="L45" s="83" t="s">
        <v>6</v>
      </c>
      <c r="M45" s="121">
        <v>85</v>
      </c>
      <c r="N45" s="119">
        <f t="shared" si="6"/>
        <v>0.24399999999999999</v>
      </c>
      <c r="O45" s="71">
        <f t="shared" si="7"/>
        <v>0.53200000000000003</v>
      </c>
      <c r="P45" s="80" t="s">
        <v>6</v>
      </c>
      <c r="Q45" s="120">
        <v>85</v>
      </c>
      <c r="R45" s="48"/>
      <c r="S45" s="4">
        <v>42</v>
      </c>
    </row>
    <row r="46" spans="1:19" ht="16.5" x14ac:dyDescent="0.3">
      <c r="A46" s="116">
        <v>43</v>
      </c>
      <c r="B46" s="117">
        <f t="shared" si="0"/>
        <v>0.23200000000000001</v>
      </c>
      <c r="C46" s="3">
        <f t="shared" si="1"/>
        <v>0.49199999999999999</v>
      </c>
      <c r="D46" s="75" t="s">
        <v>24</v>
      </c>
      <c r="E46" s="118" t="s">
        <v>25</v>
      </c>
      <c r="F46" s="119">
        <f t="shared" si="2"/>
        <v>0.23200000000000001</v>
      </c>
      <c r="G46" s="71">
        <f t="shared" si="3"/>
        <v>0.49199999999999999</v>
      </c>
      <c r="H46" s="80" t="s">
        <v>24</v>
      </c>
      <c r="I46" s="120" t="s">
        <v>25</v>
      </c>
      <c r="J46" s="117">
        <f t="shared" si="4"/>
        <v>0.23200000000000001</v>
      </c>
      <c r="K46" s="3">
        <f t="shared" si="5"/>
        <v>0.49199999999999999</v>
      </c>
      <c r="L46" s="83" t="s">
        <v>24</v>
      </c>
      <c r="M46" s="121" t="s">
        <v>25</v>
      </c>
      <c r="N46" s="119">
        <f t="shared" si="6"/>
        <v>0.23200000000000001</v>
      </c>
      <c r="O46" s="71">
        <f t="shared" si="7"/>
        <v>0.49199999999999999</v>
      </c>
      <c r="P46" s="80" t="s">
        <v>24</v>
      </c>
      <c r="Q46" s="120" t="s">
        <v>25</v>
      </c>
      <c r="R46" s="49"/>
      <c r="S46" s="4">
        <v>43</v>
      </c>
    </row>
    <row r="47" spans="1:19" ht="16.5" x14ac:dyDescent="0.3">
      <c r="A47" s="116">
        <v>44</v>
      </c>
      <c r="B47" s="117">
        <f t="shared" si="0"/>
        <v>0.216</v>
      </c>
      <c r="C47" s="3">
        <f t="shared" si="1"/>
        <v>0.44800000000000001</v>
      </c>
      <c r="D47" s="75">
        <v>36</v>
      </c>
      <c r="E47" s="118">
        <v>70</v>
      </c>
      <c r="F47" s="119">
        <f t="shared" si="2"/>
        <v>0.216</v>
      </c>
      <c r="G47" s="71">
        <f t="shared" si="3"/>
        <v>0.44800000000000001</v>
      </c>
      <c r="H47" s="80">
        <v>36</v>
      </c>
      <c r="I47" s="120">
        <v>70</v>
      </c>
      <c r="J47" s="117">
        <f t="shared" si="4"/>
        <v>0.216</v>
      </c>
      <c r="K47" s="3">
        <f t="shared" si="5"/>
        <v>0.44800000000000001</v>
      </c>
      <c r="L47" s="83">
        <v>36</v>
      </c>
      <c r="M47" s="121">
        <v>70</v>
      </c>
      <c r="N47" s="119">
        <f t="shared" si="6"/>
        <v>0.216</v>
      </c>
      <c r="O47" s="71">
        <f t="shared" si="7"/>
        <v>0.44800000000000001</v>
      </c>
      <c r="P47" s="80">
        <v>36</v>
      </c>
      <c r="Q47" s="120">
        <v>70</v>
      </c>
      <c r="R47" s="50"/>
      <c r="S47" s="4">
        <v>44</v>
      </c>
    </row>
    <row r="48" spans="1:19" ht="16.5" x14ac:dyDescent="0.3">
      <c r="A48" s="116">
        <v>45</v>
      </c>
      <c r="B48" s="117">
        <f t="shared" si="0"/>
        <v>0.19600000000000001</v>
      </c>
      <c r="C48" s="3">
        <f t="shared" si="1"/>
        <v>0.40400000000000003</v>
      </c>
      <c r="D48" s="75">
        <v>31</v>
      </c>
      <c r="E48" s="118">
        <v>65</v>
      </c>
      <c r="F48" s="119">
        <f t="shared" si="2"/>
        <v>0.19600000000000001</v>
      </c>
      <c r="G48" s="71">
        <f t="shared" si="3"/>
        <v>0.40400000000000003</v>
      </c>
      <c r="H48" s="80">
        <v>31</v>
      </c>
      <c r="I48" s="120">
        <v>65</v>
      </c>
      <c r="J48" s="117">
        <f t="shared" si="4"/>
        <v>0.19600000000000001</v>
      </c>
      <c r="K48" s="3">
        <f t="shared" si="5"/>
        <v>0.40400000000000003</v>
      </c>
      <c r="L48" s="83">
        <v>31</v>
      </c>
      <c r="M48" s="121">
        <v>65</v>
      </c>
      <c r="N48" s="119">
        <f t="shared" si="6"/>
        <v>0.19600000000000001</v>
      </c>
      <c r="O48" s="71">
        <f t="shared" si="7"/>
        <v>0.40400000000000003</v>
      </c>
      <c r="P48" s="80">
        <v>31</v>
      </c>
      <c r="Q48" s="120">
        <v>65</v>
      </c>
      <c r="R48" s="51"/>
      <c r="S48" s="4">
        <v>45</v>
      </c>
    </row>
    <row r="49" spans="1:19" ht="16.5" x14ac:dyDescent="0.3">
      <c r="A49" s="116">
        <v>46</v>
      </c>
      <c r="B49" s="117">
        <f t="shared" si="0"/>
        <v>0.184</v>
      </c>
      <c r="C49" s="3">
        <f t="shared" si="1"/>
        <v>0.36</v>
      </c>
      <c r="D49" s="75" t="s">
        <v>26</v>
      </c>
      <c r="E49" s="118" t="s">
        <v>23</v>
      </c>
      <c r="F49" s="119">
        <f t="shared" si="2"/>
        <v>0.184</v>
      </c>
      <c r="G49" s="71">
        <f t="shared" si="3"/>
        <v>0.36</v>
      </c>
      <c r="H49" s="80" t="s">
        <v>26</v>
      </c>
      <c r="I49" s="120" t="s">
        <v>23</v>
      </c>
      <c r="J49" s="117">
        <f t="shared" si="4"/>
        <v>0.184</v>
      </c>
      <c r="K49" s="3">
        <f t="shared" si="5"/>
        <v>0.36</v>
      </c>
      <c r="L49" s="83" t="s">
        <v>26</v>
      </c>
      <c r="M49" s="121" t="s">
        <v>23</v>
      </c>
      <c r="N49" s="119">
        <f t="shared" si="6"/>
        <v>0.184</v>
      </c>
      <c r="O49" s="71">
        <f t="shared" si="7"/>
        <v>0.36</v>
      </c>
      <c r="P49" s="80" t="s">
        <v>26</v>
      </c>
      <c r="Q49" s="120" t="s">
        <v>23</v>
      </c>
      <c r="R49" s="52"/>
      <c r="S49" s="4">
        <v>46</v>
      </c>
    </row>
    <row r="50" spans="1:19" ht="16.5" x14ac:dyDescent="0.3">
      <c r="A50" s="116">
        <v>47</v>
      </c>
      <c r="B50" s="117">
        <f t="shared" si="0"/>
        <v>0.17599999999999999</v>
      </c>
      <c r="C50" s="3">
        <f t="shared" si="1"/>
        <v>0.32800000000000001</v>
      </c>
      <c r="D50" s="75" t="s">
        <v>27</v>
      </c>
      <c r="E50" s="118">
        <v>52</v>
      </c>
      <c r="F50" s="119">
        <f t="shared" si="2"/>
        <v>0.17599999999999999</v>
      </c>
      <c r="G50" s="71">
        <f t="shared" si="3"/>
        <v>0.32800000000000001</v>
      </c>
      <c r="H50" s="80" t="s">
        <v>27</v>
      </c>
      <c r="I50" s="120">
        <v>52</v>
      </c>
      <c r="J50" s="117">
        <f t="shared" si="4"/>
        <v>0.17599999999999999</v>
      </c>
      <c r="K50" s="3">
        <f t="shared" si="5"/>
        <v>0.32800000000000001</v>
      </c>
      <c r="L50" s="83" t="s">
        <v>27</v>
      </c>
      <c r="M50" s="121">
        <v>52</v>
      </c>
      <c r="N50" s="119">
        <f t="shared" si="6"/>
        <v>0.17599999999999999</v>
      </c>
      <c r="O50" s="71">
        <f t="shared" si="7"/>
        <v>0.32800000000000001</v>
      </c>
      <c r="P50" s="80" t="s">
        <v>27</v>
      </c>
      <c r="Q50" s="120">
        <v>52</v>
      </c>
      <c r="R50" s="53"/>
      <c r="S50" s="4">
        <v>47</v>
      </c>
    </row>
    <row r="51" spans="1:19" ht="16.5" x14ac:dyDescent="0.3">
      <c r="A51" s="116">
        <v>48</v>
      </c>
      <c r="B51" s="117">
        <f t="shared" si="0"/>
        <v>0.17200000000000001</v>
      </c>
      <c r="C51" s="3">
        <f t="shared" si="1"/>
        <v>0.29599999999999999</v>
      </c>
      <c r="D51" s="75" t="s">
        <v>28</v>
      </c>
      <c r="E51" s="118" t="s">
        <v>29</v>
      </c>
      <c r="F51" s="119">
        <f t="shared" si="2"/>
        <v>0.17200000000000001</v>
      </c>
      <c r="G51" s="71">
        <f t="shared" si="3"/>
        <v>0.29599999999999999</v>
      </c>
      <c r="H51" s="80" t="s">
        <v>28</v>
      </c>
      <c r="I51" s="120" t="s">
        <v>29</v>
      </c>
      <c r="J51" s="117">
        <f t="shared" si="4"/>
        <v>0.17200000000000001</v>
      </c>
      <c r="K51" s="3">
        <f t="shared" si="5"/>
        <v>0.29599999999999999</v>
      </c>
      <c r="L51" s="83" t="s">
        <v>28</v>
      </c>
      <c r="M51" s="121" t="s">
        <v>29</v>
      </c>
      <c r="N51" s="119">
        <f t="shared" si="6"/>
        <v>0.17200000000000001</v>
      </c>
      <c r="O51" s="71">
        <f t="shared" si="7"/>
        <v>0.29599999999999999</v>
      </c>
      <c r="P51" s="80" t="s">
        <v>28</v>
      </c>
      <c r="Q51" s="120" t="s">
        <v>29</v>
      </c>
      <c r="R51" s="54"/>
      <c r="S51" s="4">
        <v>48</v>
      </c>
    </row>
    <row r="52" spans="1:19" ht="16.5" x14ac:dyDescent="0.3">
      <c r="A52" s="116">
        <v>49</v>
      </c>
      <c r="B52" s="117">
        <f t="shared" si="0"/>
        <v>0.16800000000000001</v>
      </c>
      <c r="C52" s="3">
        <f t="shared" si="1"/>
        <v>0.26400000000000001</v>
      </c>
      <c r="D52" s="75" t="s">
        <v>30</v>
      </c>
      <c r="E52" s="118">
        <v>42</v>
      </c>
      <c r="F52" s="119">
        <f t="shared" si="2"/>
        <v>0.16800000000000001</v>
      </c>
      <c r="G52" s="71">
        <f t="shared" si="3"/>
        <v>0.26400000000000001</v>
      </c>
      <c r="H52" s="80" t="s">
        <v>30</v>
      </c>
      <c r="I52" s="120">
        <v>42</v>
      </c>
      <c r="J52" s="117">
        <f t="shared" si="4"/>
        <v>0.16800000000000001</v>
      </c>
      <c r="K52" s="3">
        <f t="shared" si="5"/>
        <v>0.26400000000000001</v>
      </c>
      <c r="L52" s="83" t="s">
        <v>30</v>
      </c>
      <c r="M52" s="121">
        <v>42</v>
      </c>
      <c r="N52" s="119">
        <f t="shared" si="6"/>
        <v>0.16800000000000001</v>
      </c>
      <c r="O52" s="71">
        <f t="shared" si="7"/>
        <v>0.26400000000000001</v>
      </c>
      <c r="P52" s="80" t="s">
        <v>30</v>
      </c>
      <c r="Q52" s="120">
        <v>42</v>
      </c>
      <c r="R52" s="55"/>
      <c r="S52" s="4">
        <v>49</v>
      </c>
    </row>
    <row r="53" spans="1:19" ht="16.5" x14ac:dyDescent="0.3">
      <c r="A53" s="116">
        <v>50</v>
      </c>
      <c r="B53" s="117">
        <f t="shared" si="0"/>
        <v>0.16800000000000001</v>
      </c>
      <c r="C53" s="3">
        <f t="shared" si="1"/>
        <v>0.23600000000000002</v>
      </c>
      <c r="D53" s="75" t="s">
        <v>30</v>
      </c>
      <c r="E53" s="118" t="s">
        <v>31</v>
      </c>
      <c r="F53" s="119">
        <f t="shared" si="2"/>
        <v>0.18</v>
      </c>
      <c r="G53" s="71">
        <f t="shared" si="3"/>
        <v>0.23600000000000002</v>
      </c>
      <c r="H53" s="80" t="s">
        <v>5</v>
      </c>
      <c r="I53" s="120" t="s">
        <v>31</v>
      </c>
      <c r="J53" s="117">
        <f t="shared" si="4"/>
        <v>0.16800000000000001</v>
      </c>
      <c r="K53" s="3">
        <f t="shared" si="5"/>
        <v>0.23600000000000002</v>
      </c>
      <c r="L53" s="83" t="s">
        <v>30</v>
      </c>
      <c r="M53" s="121" t="s">
        <v>31</v>
      </c>
      <c r="N53" s="119">
        <f t="shared" si="6"/>
        <v>0.16800000000000001</v>
      </c>
      <c r="O53" s="71">
        <f t="shared" si="7"/>
        <v>0.23600000000000002</v>
      </c>
      <c r="P53" s="80" t="s">
        <v>30</v>
      </c>
      <c r="Q53" s="120" t="s">
        <v>31</v>
      </c>
      <c r="R53" s="56"/>
      <c r="S53" s="4">
        <v>50</v>
      </c>
    </row>
    <row r="54" spans="1:19" ht="16.5" x14ac:dyDescent="0.3">
      <c r="A54" s="116">
        <v>51</v>
      </c>
      <c r="B54" s="117">
        <f t="shared" si="0"/>
        <v>0.16400000000000001</v>
      </c>
      <c r="C54" s="3">
        <f t="shared" si="1"/>
        <v>0.20400000000000001</v>
      </c>
      <c r="D54" s="75">
        <v>29</v>
      </c>
      <c r="E54" s="118">
        <v>33</v>
      </c>
      <c r="F54" s="119">
        <f t="shared" si="2"/>
        <v>0.16400000000000001</v>
      </c>
      <c r="G54" s="71">
        <f t="shared" si="3"/>
        <v>0.20400000000000001</v>
      </c>
      <c r="H54" s="80">
        <v>29</v>
      </c>
      <c r="I54" s="120">
        <v>33</v>
      </c>
      <c r="J54" s="117">
        <f t="shared" si="4"/>
        <v>0.16400000000000001</v>
      </c>
      <c r="K54" s="3">
        <f t="shared" si="5"/>
        <v>0.20400000000000001</v>
      </c>
      <c r="L54" s="83">
        <v>29</v>
      </c>
      <c r="M54" s="121">
        <v>33</v>
      </c>
      <c r="N54" s="119">
        <f t="shared" si="6"/>
        <v>0.16400000000000001</v>
      </c>
      <c r="O54" s="71">
        <f t="shared" si="7"/>
        <v>0.20400000000000001</v>
      </c>
      <c r="P54" s="80">
        <v>29</v>
      </c>
      <c r="Q54" s="120">
        <v>33</v>
      </c>
      <c r="R54" s="57"/>
      <c r="S54" s="4">
        <v>51</v>
      </c>
    </row>
    <row r="55" spans="1:19" ht="16.5" x14ac:dyDescent="0.3">
      <c r="A55" s="116">
        <v>52</v>
      </c>
      <c r="B55" s="117">
        <f t="shared" si="0"/>
        <v>0.16</v>
      </c>
      <c r="C55" s="3">
        <f t="shared" si="1"/>
        <v>0.17599999999999999</v>
      </c>
      <c r="D55" s="75">
        <v>28</v>
      </c>
      <c r="E55" s="118" t="s">
        <v>27</v>
      </c>
      <c r="F55" s="119">
        <f t="shared" si="2"/>
        <v>0.16</v>
      </c>
      <c r="G55" s="71">
        <f t="shared" si="3"/>
        <v>0.17599999999999999</v>
      </c>
      <c r="H55" s="80">
        <v>28</v>
      </c>
      <c r="I55" s="120" t="s">
        <v>27</v>
      </c>
      <c r="J55" s="117">
        <f t="shared" si="4"/>
        <v>0.16</v>
      </c>
      <c r="K55" s="3">
        <f t="shared" si="5"/>
        <v>0.17599999999999999</v>
      </c>
      <c r="L55" s="83">
        <v>28</v>
      </c>
      <c r="M55" s="121" t="s">
        <v>27</v>
      </c>
      <c r="N55" s="119">
        <f t="shared" si="6"/>
        <v>0.16</v>
      </c>
      <c r="O55" s="71">
        <f t="shared" si="7"/>
        <v>0.17599999999999999</v>
      </c>
      <c r="P55" s="80">
        <v>28</v>
      </c>
      <c r="Q55" s="120" t="s">
        <v>27</v>
      </c>
      <c r="R55" s="58"/>
      <c r="S55" s="4">
        <v>52</v>
      </c>
    </row>
    <row r="56" spans="1:19" ht="16.5" x14ac:dyDescent="0.3">
      <c r="A56" s="116">
        <v>53</v>
      </c>
      <c r="B56" s="117">
        <f t="shared" si="0"/>
        <v>0.16</v>
      </c>
      <c r="C56" s="3">
        <f t="shared" si="1"/>
        <v>0.14799999999999999</v>
      </c>
      <c r="D56" s="75">
        <v>28</v>
      </c>
      <c r="E56" s="118">
        <v>25</v>
      </c>
      <c r="F56" s="119">
        <f t="shared" si="2"/>
        <v>0.16</v>
      </c>
      <c r="G56" s="71">
        <f t="shared" si="3"/>
        <v>0.14799999999999999</v>
      </c>
      <c r="H56" s="80">
        <v>28</v>
      </c>
      <c r="I56" s="120">
        <v>25</v>
      </c>
      <c r="J56" s="117">
        <f t="shared" si="4"/>
        <v>0.16</v>
      </c>
      <c r="K56" s="3">
        <f t="shared" si="5"/>
        <v>0.14799999999999999</v>
      </c>
      <c r="L56" s="83">
        <v>28</v>
      </c>
      <c r="M56" s="121">
        <v>25</v>
      </c>
      <c r="N56" s="119">
        <f t="shared" si="6"/>
        <v>0.16</v>
      </c>
      <c r="O56" s="71">
        <f t="shared" si="7"/>
        <v>0.14799999999999999</v>
      </c>
      <c r="P56" s="80">
        <v>28</v>
      </c>
      <c r="Q56" s="120">
        <v>25</v>
      </c>
      <c r="R56" s="59"/>
      <c r="S56" s="4">
        <v>53</v>
      </c>
    </row>
    <row r="57" spans="1:19" ht="16.5" x14ac:dyDescent="0.3">
      <c r="A57" s="116">
        <v>54</v>
      </c>
      <c r="B57" s="117">
        <f t="shared" si="0"/>
        <v>0.156</v>
      </c>
      <c r="C57" s="3">
        <f t="shared" si="1"/>
        <v>0.124</v>
      </c>
      <c r="D57" s="75">
        <v>27</v>
      </c>
      <c r="E57" s="118" t="s">
        <v>32</v>
      </c>
      <c r="F57" s="119">
        <f t="shared" si="2"/>
        <v>0.156</v>
      </c>
      <c r="G57" s="71">
        <f t="shared" si="3"/>
        <v>0.124</v>
      </c>
      <c r="H57" s="80">
        <v>27</v>
      </c>
      <c r="I57" s="120" t="s">
        <v>32</v>
      </c>
      <c r="J57" s="117">
        <f t="shared" si="4"/>
        <v>0.156</v>
      </c>
      <c r="K57" s="3">
        <f t="shared" si="5"/>
        <v>0.124</v>
      </c>
      <c r="L57" s="83">
        <v>27</v>
      </c>
      <c r="M57" s="121" t="s">
        <v>32</v>
      </c>
      <c r="N57" s="119">
        <f t="shared" si="6"/>
        <v>0.156</v>
      </c>
      <c r="O57" s="71">
        <f t="shared" si="7"/>
        <v>0.124</v>
      </c>
      <c r="P57" s="80">
        <v>27</v>
      </c>
      <c r="Q57" s="120" t="s">
        <v>32</v>
      </c>
      <c r="R57" s="60"/>
      <c r="S57" s="4">
        <v>54</v>
      </c>
    </row>
    <row r="58" spans="1:19" ht="16.5" x14ac:dyDescent="0.3">
      <c r="A58" s="116">
        <v>55</v>
      </c>
      <c r="B58" s="117">
        <f t="shared" si="0"/>
        <v>0.152</v>
      </c>
      <c r="C58" s="3">
        <f t="shared" si="1"/>
        <v>0.10400000000000001</v>
      </c>
      <c r="D58" s="75">
        <v>26</v>
      </c>
      <c r="E58" s="118" t="s">
        <v>2</v>
      </c>
      <c r="F58" s="119">
        <f t="shared" si="2"/>
        <v>0.152</v>
      </c>
      <c r="G58" s="71">
        <f t="shared" si="3"/>
        <v>0.10400000000000001</v>
      </c>
      <c r="H58" s="80">
        <v>26</v>
      </c>
      <c r="I58" s="120" t="s">
        <v>2</v>
      </c>
      <c r="J58" s="117">
        <f t="shared" si="4"/>
        <v>0.152</v>
      </c>
      <c r="K58" s="3">
        <f t="shared" si="5"/>
        <v>0.10400000000000001</v>
      </c>
      <c r="L58" s="83">
        <v>26</v>
      </c>
      <c r="M58" s="121" t="s">
        <v>2</v>
      </c>
      <c r="N58" s="119">
        <f t="shared" si="6"/>
        <v>0.152</v>
      </c>
      <c r="O58" s="71">
        <f t="shared" si="7"/>
        <v>0.10400000000000001</v>
      </c>
      <c r="P58" s="80">
        <v>26</v>
      </c>
      <c r="Q58" s="120" t="s">
        <v>2</v>
      </c>
      <c r="R58" s="61"/>
      <c r="S58" s="4">
        <v>55</v>
      </c>
    </row>
    <row r="59" spans="1:19" ht="16.5" x14ac:dyDescent="0.3">
      <c r="A59" s="116">
        <v>56</v>
      </c>
      <c r="B59" s="117">
        <f t="shared" si="0"/>
        <v>0.152</v>
      </c>
      <c r="C59" s="3">
        <f t="shared" si="1"/>
        <v>8.4000000000000005E-2</v>
      </c>
      <c r="D59" s="75">
        <v>26</v>
      </c>
      <c r="E59" s="118">
        <v>15</v>
      </c>
      <c r="F59" s="119">
        <f t="shared" si="2"/>
        <v>0.152</v>
      </c>
      <c r="G59" s="71">
        <f t="shared" si="3"/>
        <v>8.4000000000000005E-2</v>
      </c>
      <c r="H59" s="80">
        <v>26</v>
      </c>
      <c r="I59" s="120">
        <v>15</v>
      </c>
      <c r="J59" s="117">
        <f t="shared" si="4"/>
        <v>0.152</v>
      </c>
      <c r="K59" s="3">
        <f t="shared" si="5"/>
        <v>8.4000000000000005E-2</v>
      </c>
      <c r="L59" s="83">
        <v>26</v>
      </c>
      <c r="M59" s="121">
        <v>15</v>
      </c>
      <c r="N59" s="119">
        <f t="shared" si="6"/>
        <v>0.152</v>
      </c>
      <c r="O59" s="71">
        <f t="shared" si="7"/>
        <v>8.4000000000000005E-2</v>
      </c>
      <c r="P59" s="80">
        <v>26</v>
      </c>
      <c r="Q59" s="120">
        <v>15</v>
      </c>
      <c r="R59" s="62"/>
      <c r="S59" s="4">
        <v>56</v>
      </c>
    </row>
    <row r="60" spans="1:19" ht="16.5" x14ac:dyDescent="0.3">
      <c r="A60" s="116">
        <v>57</v>
      </c>
      <c r="B60" s="117">
        <f t="shared" si="0"/>
        <v>0.152</v>
      </c>
      <c r="C60" s="3">
        <f t="shared" si="1"/>
        <v>7.2000000000000008E-2</v>
      </c>
      <c r="D60" s="75">
        <v>26</v>
      </c>
      <c r="E60" s="118">
        <v>12</v>
      </c>
      <c r="F60" s="119">
        <f t="shared" si="2"/>
        <v>0.14400000000000002</v>
      </c>
      <c r="G60" s="71">
        <f t="shared" si="3"/>
        <v>0.08</v>
      </c>
      <c r="H60" s="80">
        <v>24</v>
      </c>
      <c r="I60" s="120">
        <v>14</v>
      </c>
      <c r="J60" s="117">
        <f t="shared" si="4"/>
        <v>0.14799999999999999</v>
      </c>
      <c r="K60" s="3">
        <f t="shared" si="5"/>
        <v>0.08</v>
      </c>
      <c r="L60" s="83">
        <v>25</v>
      </c>
      <c r="M60" s="121">
        <v>14</v>
      </c>
      <c r="N60" s="119">
        <f t="shared" si="6"/>
        <v>0.14799999999999999</v>
      </c>
      <c r="O60" s="71">
        <f t="shared" si="7"/>
        <v>0.08</v>
      </c>
      <c r="P60" s="80">
        <v>25</v>
      </c>
      <c r="Q60" s="120">
        <v>14</v>
      </c>
      <c r="R60" s="63"/>
      <c r="S60" s="4">
        <v>57</v>
      </c>
    </row>
    <row r="61" spans="1:19" ht="16.5" x14ac:dyDescent="0.3">
      <c r="A61" s="116">
        <v>58</v>
      </c>
      <c r="B61" s="117">
        <f t="shared" si="0"/>
        <v>0.152</v>
      </c>
      <c r="C61" s="3">
        <f t="shared" si="1"/>
        <v>6.8000000000000005E-2</v>
      </c>
      <c r="D61" s="75">
        <v>26</v>
      </c>
      <c r="E61" s="118">
        <v>11</v>
      </c>
      <c r="F61" s="119">
        <f t="shared" si="2"/>
        <v>0.14799999999999999</v>
      </c>
      <c r="G61" s="71">
        <f t="shared" si="3"/>
        <v>7.2000000000000008E-2</v>
      </c>
      <c r="H61" s="80">
        <v>25</v>
      </c>
      <c r="I61" s="120">
        <v>12</v>
      </c>
      <c r="J61" s="117">
        <f t="shared" si="4"/>
        <v>0.14799999999999999</v>
      </c>
      <c r="K61" s="3">
        <f t="shared" si="5"/>
        <v>7.2000000000000008E-2</v>
      </c>
      <c r="L61" s="83">
        <v>25</v>
      </c>
      <c r="M61" s="121">
        <v>12</v>
      </c>
      <c r="N61" s="119">
        <f t="shared" si="6"/>
        <v>0.14799999999999999</v>
      </c>
      <c r="O61" s="71">
        <f t="shared" si="7"/>
        <v>7.2000000000000008E-2</v>
      </c>
      <c r="P61" s="80">
        <v>25</v>
      </c>
      <c r="Q61" s="120">
        <v>12</v>
      </c>
      <c r="R61" s="64"/>
      <c r="S61" s="4">
        <v>58</v>
      </c>
    </row>
    <row r="62" spans="1:19" ht="16.5" x14ac:dyDescent="0.3">
      <c r="A62" s="116">
        <v>59</v>
      </c>
      <c r="B62" s="117">
        <f t="shared" si="0"/>
        <v>0.156</v>
      </c>
      <c r="C62" s="3">
        <f t="shared" si="1"/>
        <v>6.8000000000000005E-2</v>
      </c>
      <c r="D62" s="75">
        <v>27</v>
      </c>
      <c r="E62" s="118">
        <v>11</v>
      </c>
      <c r="F62" s="119">
        <f t="shared" si="2"/>
        <v>0.14799999999999999</v>
      </c>
      <c r="G62" s="71">
        <f t="shared" si="3"/>
        <v>7.2000000000000008E-2</v>
      </c>
      <c r="H62" s="80">
        <v>25</v>
      </c>
      <c r="I62" s="120">
        <v>12</v>
      </c>
      <c r="J62" s="117">
        <f t="shared" si="4"/>
        <v>0.14799999999999999</v>
      </c>
      <c r="K62" s="3">
        <f t="shared" si="5"/>
        <v>7.2000000000000008E-2</v>
      </c>
      <c r="L62" s="83">
        <v>25</v>
      </c>
      <c r="M62" s="121">
        <v>12</v>
      </c>
      <c r="N62" s="119">
        <f t="shared" si="6"/>
        <v>0.14799999999999999</v>
      </c>
      <c r="O62" s="71">
        <f t="shared" si="7"/>
        <v>7.2000000000000008E-2</v>
      </c>
      <c r="P62" s="80">
        <v>25</v>
      </c>
      <c r="Q62" s="120">
        <v>12</v>
      </c>
      <c r="R62" s="65"/>
      <c r="S62" s="4">
        <v>59</v>
      </c>
    </row>
    <row r="63" spans="1:19" ht="16.5" x14ac:dyDescent="0.3">
      <c r="A63" s="116">
        <v>60</v>
      </c>
      <c r="B63" s="117">
        <f t="shared" si="0"/>
        <v>0.16</v>
      </c>
      <c r="C63" s="3">
        <f t="shared" si="1"/>
        <v>6.8000000000000005E-2</v>
      </c>
      <c r="D63" s="75">
        <v>28</v>
      </c>
      <c r="E63" s="118">
        <v>11</v>
      </c>
      <c r="F63" s="119">
        <f t="shared" si="2"/>
        <v>0.152</v>
      </c>
      <c r="G63" s="71">
        <f t="shared" si="3"/>
        <v>0.06</v>
      </c>
      <c r="H63" s="80">
        <v>26</v>
      </c>
      <c r="I63" s="120" t="s">
        <v>38</v>
      </c>
      <c r="J63" s="117">
        <f t="shared" si="4"/>
        <v>0.152</v>
      </c>
      <c r="K63" s="3">
        <f t="shared" si="5"/>
        <v>8.4000000000000005E-2</v>
      </c>
      <c r="L63" s="83">
        <v>26</v>
      </c>
      <c r="M63" s="121">
        <v>15</v>
      </c>
      <c r="N63" s="119">
        <f t="shared" si="6"/>
        <v>0.152</v>
      </c>
      <c r="O63" s="71">
        <f t="shared" si="7"/>
        <v>7.5999999999999998E-2</v>
      </c>
      <c r="P63" s="80">
        <v>26</v>
      </c>
      <c r="Q63" s="120">
        <v>13</v>
      </c>
      <c r="R63" s="66"/>
      <c r="S63" s="4">
        <v>60</v>
      </c>
    </row>
    <row r="64" spans="1:19" ht="16.5" x14ac:dyDescent="0.3">
      <c r="A64" s="116">
        <v>61</v>
      </c>
      <c r="B64" s="117">
        <f t="shared" si="0"/>
        <v>0.16400000000000001</v>
      </c>
      <c r="C64" s="3">
        <f t="shared" si="1"/>
        <v>6.8000000000000005E-2</v>
      </c>
      <c r="D64" s="75">
        <v>29</v>
      </c>
      <c r="E64" s="118">
        <v>11</v>
      </c>
      <c r="F64" s="119">
        <f t="shared" si="2"/>
        <v>0.152</v>
      </c>
      <c r="G64" s="71">
        <f t="shared" si="3"/>
        <v>7.5999999999999998E-2</v>
      </c>
      <c r="H64" s="80">
        <v>26</v>
      </c>
      <c r="I64" s="120">
        <v>13</v>
      </c>
      <c r="J64" s="117">
        <f t="shared" si="4"/>
        <v>0.152</v>
      </c>
      <c r="K64" s="3">
        <f t="shared" si="5"/>
        <v>7.2000000000000008E-2</v>
      </c>
      <c r="L64" s="83">
        <v>26</v>
      </c>
      <c r="M64" s="121">
        <v>12</v>
      </c>
      <c r="N64" s="119">
        <f t="shared" si="6"/>
        <v>0.152</v>
      </c>
      <c r="O64" s="71">
        <f t="shared" si="7"/>
        <v>7.2000000000000008E-2</v>
      </c>
      <c r="P64" s="80">
        <v>26</v>
      </c>
      <c r="Q64" s="120">
        <v>12</v>
      </c>
      <c r="R64" s="67"/>
      <c r="S64" s="4">
        <v>61</v>
      </c>
    </row>
    <row r="65" spans="1:19" ht="16.5" x14ac:dyDescent="0.3">
      <c r="A65" s="116">
        <v>62</v>
      </c>
      <c r="B65" s="117">
        <f t="shared" si="0"/>
        <v>0.16800000000000001</v>
      </c>
      <c r="C65" s="3">
        <f t="shared" si="1"/>
        <v>7.2000000000000008E-2</v>
      </c>
      <c r="D65" s="75" t="s">
        <v>30</v>
      </c>
      <c r="E65" s="118">
        <v>12</v>
      </c>
      <c r="F65" s="119">
        <f t="shared" si="2"/>
        <v>0.16</v>
      </c>
      <c r="G65" s="71">
        <f t="shared" si="3"/>
        <v>8.7999999999999995E-2</v>
      </c>
      <c r="H65" s="80">
        <v>28</v>
      </c>
      <c r="I65" s="120">
        <v>16</v>
      </c>
      <c r="J65" s="117">
        <f t="shared" si="4"/>
        <v>0.16800000000000001</v>
      </c>
      <c r="K65" s="3">
        <f t="shared" si="5"/>
        <v>9.1999999999999998E-2</v>
      </c>
      <c r="L65" s="83" t="s">
        <v>30</v>
      </c>
      <c r="M65" s="121">
        <v>17</v>
      </c>
      <c r="N65" s="119">
        <f t="shared" si="6"/>
        <v>0.16400000000000001</v>
      </c>
      <c r="O65" s="71">
        <f t="shared" si="7"/>
        <v>9.1999999999999998E-2</v>
      </c>
      <c r="P65" s="80">
        <v>29</v>
      </c>
      <c r="Q65" s="120">
        <v>17</v>
      </c>
      <c r="R65" s="68"/>
      <c r="S65" s="4">
        <v>62</v>
      </c>
    </row>
    <row r="66" spans="1:19" ht="16.5" x14ac:dyDescent="0.3">
      <c r="A66" s="116">
        <v>63</v>
      </c>
      <c r="B66" s="117">
        <f t="shared" si="0"/>
        <v>0.17599999999999999</v>
      </c>
      <c r="C66" s="3">
        <f t="shared" si="1"/>
        <v>7.2000000000000008E-2</v>
      </c>
      <c r="D66" s="75" t="s">
        <v>27</v>
      </c>
      <c r="E66" s="118">
        <v>12</v>
      </c>
      <c r="F66" s="119">
        <f t="shared" si="2"/>
        <v>0.16800000000000001</v>
      </c>
      <c r="G66" s="71">
        <f t="shared" si="3"/>
        <v>0.112</v>
      </c>
      <c r="H66" s="80" t="s">
        <v>30</v>
      </c>
      <c r="I66" s="120" t="s">
        <v>50</v>
      </c>
      <c r="J66" s="117">
        <f t="shared" si="4"/>
        <v>0.16800000000000001</v>
      </c>
      <c r="K66" s="3">
        <f t="shared" si="5"/>
        <v>0.1</v>
      </c>
      <c r="L66" s="83" t="s">
        <v>30</v>
      </c>
      <c r="M66" s="121">
        <v>19</v>
      </c>
      <c r="N66" s="119">
        <f t="shared" si="6"/>
        <v>0.16800000000000001</v>
      </c>
      <c r="O66" s="71">
        <f t="shared" si="7"/>
        <v>9.1999999999999998E-2</v>
      </c>
      <c r="P66" s="80" t="s">
        <v>30</v>
      </c>
      <c r="Q66" s="120">
        <v>17</v>
      </c>
      <c r="R66" s="69"/>
      <c r="S66" s="4">
        <v>63</v>
      </c>
    </row>
    <row r="67" spans="1:19" ht="16.5" x14ac:dyDescent="0.3">
      <c r="A67" s="116">
        <v>64</v>
      </c>
      <c r="B67" s="117">
        <f t="shared" si="0"/>
        <v>0.18</v>
      </c>
      <c r="C67" s="3">
        <f t="shared" si="1"/>
        <v>7.5999999999999998E-2</v>
      </c>
      <c r="D67" s="75" t="s">
        <v>5</v>
      </c>
      <c r="E67" s="118">
        <v>13</v>
      </c>
      <c r="F67" s="119">
        <f t="shared" si="2"/>
        <v>0.156</v>
      </c>
      <c r="G67" s="71">
        <f t="shared" si="3"/>
        <v>7.2000000000000008E-2</v>
      </c>
      <c r="H67" s="80">
        <v>27</v>
      </c>
      <c r="I67" s="120">
        <v>12</v>
      </c>
      <c r="J67" s="117">
        <f t="shared" si="4"/>
        <v>0.16</v>
      </c>
      <c r="K67" s="3">
        <f t="shared" si="5"/>
        <v>7.5999999999999998E-2</v>
      </c>
      <c r="L67" s="83">
        <v>28</v>
      </c>
      <c r="M67" s="121">
        <v>13</v>
      </c>
      <c r="N67" s="119">
        <f t="shared" si="6"/>
        <v>0.16</v>
      </c>
      <c r="O67" s="71">
        <f t="shared" si="7"/>
        <v>6.8000000000000005E-2</v>
      </c>
      <c r="P67" s="80">
        <v>28</v>
      </c>
      <c r="Q67" s="120">
        <v>11</v>
      </c>
      <c r="R67" s="70"/>
      <c r="S67" s="4"/>
    </row>
    <row r="68" spans="1:19" x14ac:dyDescent="0.3">
      <c r="A68" s="116">
        <v>65</v>
      </c>
      <c r="B68" s="117">
        <f t="shared" si="0"/>
        <v>0.62</v>
      </c>
      <c r="C68" s="3">
        <f t="shared" si="1"/>
        <v>0.3</v>
      </c>
      <c r="D68" s="76" t="s">
        <v>33</v>
      </c>
      <c r="E68" s="122" t="s">
        <v>34</v>
      </c>
      <c r="F68" s="119">
        <f t="shared" si="2"/>
        <v>0.62</v>
      </c>
      <c r="G68" s="71">
        <f t="shared" si="3"/>
        <v>0.3</v>
      </c>
      <c r="H68" s="81" t="s">
        <v>33</v>
      </c>
      <c r="I68" s="123" t="s">
        <v>34</v>
      </c>
      <c r="J68" s="117">
        <f t="shared" si="4"/>
        <v>0.62</v>
      </c>
      <c r="K68" s="3">
        <f t="shared" si="5"/>
        <v>0.3</v>
      </c>
      <c r="L68" s="84" t="s">
        <v>33</v>
      </c>
      <c r="M68" s="124" t="s">
        <v>34</v>
      </c>
      <c r="N68" s="119">
        <f t="shared" si="6"/>
        <v>0.62</v>
      </c>
      <c r="O68" s="71">
        <f t="shared" si="7"/>
        <v>0.3</v>
      </c>
      <c r="P68" s="81" t="s">
        <v>33</v>
      </c>
      <c r="Q68" s="123" t="s">
        <v>34</v>
      </c>
      <c r="R68" s="77"/>
      <c r="S68" s="4"/>
    </row>
    <row r="69" spans="1:19" ht="14.25" thickBot="1" x14ac:dyDescent="0.35">
      <c r="A69" s="116">
        <v>66</v>
      </c>
      <c r="B69" s="125">
        <f t="shared" ref="B69:B79" si="8">HEX2DEC(D69) * 0.004</f>
        <v>0.39200000000000002</v>
      </c>
      <c r="C69" s="86">
        <f t="shared" ref="C69:C79" si="9">HEX2DEC(E69) * 0.004</f>
        <v>0.4</v>
      </c>
      <c r="D69" s="78">
        <v>62</v>
      </c>
      <c r="E69" s="126">
        <v>64</v>
      </c>
      <c r="F69" s="127">
        <f t="shared" ref="F69:F79" si="10">HEX2DEC(H69) * 0.004</f>
        <v>0.39200000000000002</v>
      </c>
      <c r="G69" s="87">
        <f t="shared" ref="G69:G79" si="11">HEX2DEC(I69) * 0.004</f>
        <v>0.4</v>
      </c>
      <c r="H69" s="82">
        <v>62</v>
      </c>
      <c r="I69" s="128">
        <v>64</v>
      </c>
      <c r="J69" s="125">
        <f t="shared" ref="J69:J79" si="12">HEX2DEC(L69) * 0.004</f>
        <v>0.39200000000000002</v>
      </c>
      <c r="K69" s="86">
        <f t="shared" ref="K69:K79" si="13">HEX2DEC(M69) * 0.004</f>
        <v>0.4</v>
      </c>
      <c r="L69" s="85">
        <v>62</v>
      </c>
      <c r="M69" s="129">
        <v>64</v>
      </c>
      <c r="N69" s="127">
        <f t="shared" ref="N69:N79" si="14">HEX2DEC(P69) * 0.004</f>
        <v>0.39200000000000002</v>
      </c>
      <c r="O69" s="87">
        <f t="shared" ref="O69:O79" si="15">HEX2DEC(Q69) * 0.004</f>
        <v>0.4</v>
      </c>
      <c r="P69" s="82">
        <v>62</v>
      </c>
      <c r="Q69" s="128">
        <v>64</v>
      </c>
      <c r="R69" s="79"/>
      <c r="S69" s="4">
        <v>64</v>
      </c>
    </row>
    <row r="70" spans="1:19" ht="14.25" thickTop="1" x14ac:dyDescent="0.3">
      <c r="A70" s="116">
        <v>67</v>
      </c>
      <c r="B70" s="130">
        <f t="shared" si="8"/>
        <v>0.26</v>
      </c>
      <c r="C70" s="72">
        <f t="shared" si="9"/>
        <v>0.21199999999999999</v>
      </c>
      <c r="D70" s="104">
        <v>41</v>
      </c>
      <c r="E70" s="131">
        <v>35</v>
      </c>
      <c r="F70" s="132">
        <f t="shared" si="10"/>
        <v>0.25600000000000001</v>
      </c>
      <c r="G70" s="74">
        <f t="shared" si="11"/>
        <v>0.33600000000000002</v>
      </c>
      <c r="H70" s="88">
        <v>40</v>
      </c>
      <c r="I70" s="133">
        <v>54</v>
      </c>
      <c r="J70" s="130">
        <f t="shared" si="12"/>
        <v>0.25600000000000001</v>
      </c>
      <c r="K70" s="72">
        <f t="shared" si="13"/>
        <v>0.32</v>
      </c>
      <c r="L70" s="107">
        <v>40</v>
      </c>
      <c r="M70" s="134">
        <v>50</v>
      </c>
      <c r="N70" s="132">
        <f t="shared" si="14"/>
        <v>0.25600000000000001</v>
      </c>
      <c r="O70" s="74">
        <f t="shared" si="15"/>
        <v>0.32800000000000001</v>
      </c>
      <c r="P70" s="88">
        <v>40</v>
      </c>
      <c r="Q70" s="133">
        <v>52</v>
      </c>
      <c r="R70" s="89"/>
      <c r="S70" s="150" t="s">
        <v>58</v>
      </c>
    </row>
    <row r="71" spans="1:19" x14ac:dyDescent="0.3">
      <c r="A71" s="116">
        <v>68</v>
      </c>
      <c r="B71" s="130">
        <f t="shared" si="8"/>
        <v>0.29199999999999998</v>
      </c>
      <c r="C71" s="72">
        <f t="shared" si="9"/>
        <v>0.23200000000000001</v>
      </c>
      <c r="D71" s="73">
        <v>49</v>
      </c>
      <c r="E71" s="135" t="s">
        <v>24</v>
      </c>
      <c r="F71" s="132">
        <f t="shared" si="10"/>
        <v>0.34400000000000003</v>
      </c>
      <c r="G71" s="74">
        <f t="shared" si="11"/>
        <v>0.4</v>
      </c>
      <c r="H71" s="90">
        <v>56</v>
      </c>
      <c r="I71" s="136">
        <v>64</v>
      </c>
      <c r="J71" s="130">
        <f t="shared" si="12"/>
        <v>0.34400000000000003</v>
      </c>
      <c r="K71" s="72">
        <f t="shared" si="13"/>
        <v>0.36799999999999999</v>
      </c>
      <c r="L71" s="108">
        <v>56</v>
      </c>
      <c r="M71" s="137" t="s">
        <v>4</v>
      </c>
      <c r="N71" s="132">
        <f t="shared" si="14"/>
        <v>0.33600000000000002</v>
      </c>
      <c r="O71" s="74">
        <f t="shared" si="15"/>
        <v>0.372</v>
      </c>
      <c r="P71" s="90">
        <v>54</v>
      </c>
      <c r="Q71" s="136" t="s">
        <v>16</v>
      </c>
      <c r="R71" s="91"/>
      <c r="S71" s="150"/>
    </row>
    <row r="72" spans="1:19" x14ac:dyDescent="0.3">
      <c r="A72" s="116">
        <v>69</v>
      </c>
      <c r="B72" s="130">
        <f t="shared" si="8"/>
        <v>0.56000000000000005</v>
      </c>
      <c r="C72" s="72">
        <f t="shared" si="9"/>
        <v>0.4</v>
      </c>
      <c r="D72" s="73" t="s">
        <v>35</v>
      </c>
      <c r="E72" s="135">
        <v>64</v>
      </c>
      <c r="F72" s="132">
        <f t="shared" si="10"/>
        <v>0.46400000000000002</v>
      </c>
      <c r="G72" s="74">
        <f t="shared" si="11"/>
        <v>0.47600000000000003</v>
      </c>
      <c r="H72" s="90">
        <v>74</v>
      </c>
      <c r="I72" s="136">
        <v>77</v>
      </c>
      <c r="J72" s="130">
        <f t="shared" si="12"/>
        <v>0.46800000000000003</v>
      </c>
      <c r="K72" s="72">
        <f t="shared" si="13"/>
        <v>0.45600000000000002</v>
      </c>
      <c r="L72" s="108">
        <v>75</v>
      </c>
      <c r="M72" s="137">
        <v>72</v>
      </c>
      <c r="N72" s="132">
        <f t="shared" si="14"/>
        <v>0.44</v>
      </c>
      <c r="O72" s="74">
        <f t="shared" si="15"/>
        <v>0.45600000000000002</v>
      </c>
      <c r="P72" s="90" t="s">
        <v>45</v>
      </c>
      <c r="Q72" s="136">
        <v>72</v>
      </c>
      <c r="R72" s="92"/>
      <c r="S72" s="150"/>
    </row>
    <row r="73" spans="1:19" x14ac:dyDescent="0.3">
      <c r="A73" s="116">
        <v>70</v>
      </c>
      <c r="B73" s="130">
        <f t="shared" si="8"/>
        <v>0.70000000000000007</v>
      </c>
      <c r="C73" s="72">
        <f t="shared" si="9"/>
        <v>0.252</v>
      </c>
      <c r="D73" s="73" t="s">
        <v>36</v>
      </c>
      <c r="E73" s="135" t="s">
        <v>37</v>
      </c>
      <c r="F73" s="132">
        <f t="shared" si="10"/>
        <v>0.70000000000000007</v>
      </c>
      <c r="G73" s="74">
        <f t="shared" si="11"/>
        <v>0.252</v>
      </c>
      <c r="H73" s="90" t="s">
        <v>36</v>
      </c>
      <c r="I73" s="136" t="s">
        <v>37</v>
      </c>
      <c r="J73" s="130">
        <f t="shared" si="12"/>
        <v>0.70000000000000007</v>
      </c>
      <c r="K73" s="72">
        <f t="shared" si="13"/>
        <v>0.252</v>
      </c>
      <c r="L73" s="108" t="s">
        <v>36</v>
      </c>
      <c r="M73" s="137" t="s">
        <v>37</v>
      </c>
      <c r="N73" s="132">
        <f t="shared" si="14"/>
        <v>0.70000000000000007</v>
      </c>
      <c r="O73" s="74">
        <f t="shared" si="15"/>
        <v>0.252</v>
      </c>
      <c r="P73" s="90" t="s">
        <v>36</v>
      </c>
      <c r="Q73" s="136" t="s">
        <v>37</v>
      </c>
      <c r="R73" s="93"/>
      <c r="S73" s="150"/>
    </row>
    <row r="74" spans="1:19" x14ac:dyDescent="0.3">
      <c r="A74" s="116">
        <v>71</v>
      </c>
      <c r="B74" s="130">
        <f t="shared" si="8"/>
        <v>0.252</v>
      </c>
      <c r="C74" s="72">
        <f t="shared" si="9"/>
        <v>0.06</v>
      </c>
      <c r="D74" s="73" t="s">
        <v>37</v>
      </c>
      <c r="E74" s="135" t="s">
        <v>38</v>
      </c>
      <c r="F74" s="132">
        <f t="shared" si="10"/>
        <v>0.252</v>
      </c>
      <c r="G74" s="74">
        <f t="shared" si="11"/>
        <v>0.11600000000000001</v>
      </c>
      <c r="H74" s="90" t="s">
        <v>37</v>
      </c>
      <c r="I74" s="136" t="s">
        <v>51</v>
      </c>
      <c r="J74" s="130">
        <f t="shared" si="12"/>
        <v>0.252</v>
      </c>
      <c r="K74" s="72">
        <f t="shared" si="13"/>
        <v>0.06</v>
      </c>
      <c r="L74" s="108" t="s">
        <v>37</v>
      </c>
      <c r="M74" s="137" t="s">
        <v>38</v>
      </c>
      <c r="N74" s="132">
        <f t="shared" si="14"/>
        <v>0.252</v>
      </c>
      <c r="O74" s="74">
        <f t="shared" si="15"/>
        <v>0.06</v>
      </c>
      <c r="P74" s="90" t="s">
        <v>37</v>
      </c>
      <c r="Q74" s="136" t="s">
        <v>38</v>
      </c>
      <c r="R74" s="94"/>
      <c r="S74" s="150"/>
    </row>
    <row r="75" spans="1:19" x14ac:dyDescent="0.3">
      <c r="A75" s="116">
        <v>72</v>
      </c>
      <c r="B75" s="130">
        <f t="shared" si="8"/>
        <v>0.2</v>
      </c>
      <c r="C75" s="72">
        <f t="shared" si="9"/>
        <v>0.06</v>
      </c>
      <c r="D75" s="73">
        <v>32</v>
      </c>
      <c r="E75" s="135" t="s">
        <v>38</v>
      </c>
      <c r="F75" s="132">
        <f t="shared" si="10"/>
        <v>0.16800000000000001</v>
      </c>
      <c r="G75" s="74">
        <f t="shared" si="11"/>
        <v>8.4000000000000005E-2</v>
      </c>
      <c r="H75" s="90" t="s">
        <v>30</v>
      </c>
      <c r="I75" s="136">
        <v>15</v>
      </c>
      <c r="J75" s="130">
        <f t="shared" si="12"/>
        <v>0.16800000000000001</v>
      </c>
      <c r="K75" s="72">
        <f t="shared" si="13"/>
        <v>9.6000000000000002E-2</v>
      </c>
      <c r="L75" s="108" t="s">
        <v>30</v>
      </c>
      <c r="M75" s="137">
        <v>18</v>
      </c>
      <c r="N75" s="132">
        <f t="shared" si="14"/>
        <v>0.16800000000000001</v>
      </c>
      <c r="O75" s="74">
        <f t="shared" si="15"/>
        <v>9.1999999999999998E-2</v>
      </c>
      <c r="P75" s="90" t="s">
        <v>30</v>
      </c>
      <c r="Q75" s="136">
        <v>17</v>
      </c>
      <c r="R75" s="95"/>
      <c r="S75" s="150"/>
    </row>
    <row r="76" spans="1:19" x14ac:dyDescent="0.3">
      <c r="A76" s="116">
        <v>73</v>
      </c>
      <c r="B76" s="130">
        <f t="shared" si="8"/>
        <v>0.16</v>
      </c>
      <c r="C76" s="72">
        <f t="shared" si="9"/>
        <v>7.2000000000000008E-2</v>
      </c>
      <c r="D76" s="73">
        <v>28</v>
      </c>
      <c r="E76" s="135">
        <v>12</v>
      </c>
      <c r="F76" s="132">
        <f t="shared" si="10"/>
        <v>0.16</v>
      </c>
      <c r="G76" s="74">
        <f t="shared" si="11"/>
        <v>0.17200000000000001</v>
      </c>
      <c r="H76" s="90">
        <v>28</v>
      </c>
      <c r="I76" s="136" t="s">
        <v>28</v>
      </c>
      <c r="J76" s="130">
        <f t="shared" si="12"/>
        <v>0.16400000000000001</v>
      </c>
      <c r="K76" s="72">
        <f t="shared" si="13"/>
        <v>0.188</v>
      </c>
      <c r="L76" s="108">
        <v>29</v>
      </c>
      <c r="M76" s="137" t="s">
        <v>1</v>
      </c>
      <c r="N76" s="132">
        <f t="shared" si="14"/>
        <v>0.16400000000000001</v>
      </c>
      <c r="O76" s="74">
        <f t="shared" si="15"/>
        <v>0.18</v>
      </c>
      <c r="P76" s="90">
        <v>29</v>
      </c>
      <c r="Q76" s="136" t="s">
        <v>5</v>
      </c>
      <c r="R76" s="96"/>
      <c r="S76" s="150"/>
    </row>
    <row r="77" spans="1:19" x14ac:dyDescent="0.3">
      <c r="A77" s="116">
        <v>74</v>
      </c>
      <c r="B77" s="130">
        <f t="shared" si="8"/>
        <v>0.1</v>
      </c>
      <c r="C77" s="72">
        <f t="shared" si="9"/>
        <v>0.14000000000000001</v>
      </c>
      <c r="D77" s="105">
        <v>19</v>
      </c>
      <c r="E77" s="138">
        <v>23</v>
      </c>
      <c r="F77" s="132">
        <f t="shared" si="10"/>
        <v>0.18</v>
      </c>
      <c r="G77" s="74">
        <f t="shared" si="11"/>
        <v>0.33600000000000002</v>
      </c>
      <c r="H77" s="97" t="s">
        <v>5</v>
      </c>
      <c r="I77" s="139">
        <v>54</v>
      </c>
      <c r="J77" s="130">
        <f t="shared" si="12"/>
        <v>0.18</v>
      </c>
      <c r="K77" s="72">
        <f t="shared" si="13"/>
        <v>0.33600000000000002</v>
      </c>
      <c r="L77" s="109" t="s">
        <v>5</v>
      </c>
      <c r="M77" s="140">
        <v>54</v>
      </c>
      <c r="N77" s="132">
        <f t="shared" si="14"/>
        <v>0.188</v>
      </c>
      <c r="O77" s="74">
        <f t="shared" si="15"/>
        <v>0.34400000000000003</v>
      </c>
      <c r="P77" s="97" t="s">
        <v>1</v>
      </c>
      <c r="Q77" s="139">
        <v>56</v>
      </c>
      <c r="R77" s="98"/>
      <c r="S77" s="150"/>
    </row>
    <row r="78" spans="1:19" x14ac:dyDescent="0.3">
      <c r="A78" s="116">
        <v>75</v>
      </c>
      <c r="B78" s="130">
        <f t="shared" si="8"/>
        <v>0.13200000000000001</v>
      </c>
      <c r="C78" s="72">
        <f t="shared" si="9"/>
        <v>0.6</v>
      </c>
      <c r="D78" s="73">
        <v>21</v>
      </c>
      <c r="E78" s="135">
        <v>96</v>
      </c>
      <c r="F78" s="132">
        <f t="shared" si="10"/>
        <v>0.27600000000000002</v>
      </c>
      <c r="G78" s="74">
        <f t="shared" si="11"/>
        <v>0.55200000000000005</v>
      </c>
      <c r="H78" s="90">
        <v>45</v>
      </c>
      <c r="I78" s="136" t="s">
        <v>22</v>
      </c>
      <c r="J78" s="130">
        <f t="shared" si="12"/>
        <v>0.29199999999999998</v>
      </c>
      <c r="K78" s="72">
        <f t="shared" si="13"/>
        <v>0.58399999999999996</v>
      </c>
      <c r="L78" s="108">
        <v>49</v>
      </c>
      <c r="M78" s="137">
        <v>92</v>
      </c>
      <c r="N78" s="132">
        <f t="shared" si="14"/>
        <v>0.28800000000000003</v>
      </c>
      <c r="O78" s="74">
        <f t="shared" si="15"/>
        <v>0.61599999999999999</v>
      </c>
      <c r="P78" s="90">
        <v>48</v>
      </c>
      <c r="Q78" s="136" t="s">
        <v>8</v>
      </c>
      <c r="R78" s="99"/>
      <c r="S78" s="150"/>
    </row>
    <row r="79" spans="1:19" ht="14.25" thickBot="1" x14ac:dyDescent="0.35">
      <c r="A79" s="116">
        <v>76</v>
      </c>
      <c r="B79" s="141">
        <f t="shared" si="8"/>
        <v>0.192</v>
      </c>
      <c r="C79" s="102">
        <f t="shared" si="9"/>
        <v>0.16</v>
      </c>
      <c r="D79" s="106">
        <v>30</v>
      </c>
      <c r="E79" s="142">
        <v>28</v>
      </c>
      <c r="F79" s="143">
        <f t="shared" si="10"/>
        <v>0.19600000000000001</v>
      </c>
      <c r="G79" s="103">
        <f t="shared" si="11"/>
        <v>0.24399999999999999</v>
      </c>
      <c r="H79" s="100">
        <v>31</v>
      </c>
      <c r="I79" s="144" t="s">
        <v>6</v>
      </c>
      <c r="J79" s="141">
        <f t="shared" si="12"/>
        <v>0.22</v>
      </c>
      <c r="K79" s="102">
        <f t="shared" si="13"/>
        <v>0.28400000000000003</v>
      </c>
      <c r="L79" s="110">
        <v>37</v>
      </c>
      <c r="M79" s="145">
        <v>47</v>
      </c>
      <c r="N79" s="143">
        <f t="shared" si="14"/>
        <v>0.224</v>
      </c>
      <c r="O79" s="103">
        <f t="shared" si="15"/>
        <v>0.28800000000000003</v>
      </c>
      <c r="P79" s="100">
        <v>38</v>
      </c>
      <c r="Q79" s="144">
        <v>48</v>
      </c>
      <c r="R79" s="101"/>
      <c r="S79" s="150"/>
    </row>
    <row r="80" spans="1:19" ht="14.25" thickTop="1" x14ac:dyDescent="0.3">
      <c r="A80" s="111" t="s">
        <v>0</v>
      </c>
      <c r="B80" s="112" t="s">
        <v>0</v>
      </c>
      <c r="C80" s="112" t="s">
        <v>0</v>
      </c>
      <c r="D80" s="112" t="s">
        <v>0</v>
      </c>
      <c r="E80" s="112" t="s">
        <v>0</v>
      </c>
      <c r="F80" s="112" t="s">
        <v>0</v>
      </c>
      <c r="G80" s="112" t="s">
        <v>0</v>
      </c>
      <c r="H80" s="112" t="s">
        <v>0</v>
      </c>
      <c r="I80" s="112" t="s">
        <v>0</v>
      </c>
      <c r="J80" s="112" t="s">
        <v>0</v>
      </c>
      <c r="K80" s="112" t="s">
        <v>0</v>
      </c>
      <c r="L80" s="112" t="s">
        <v>0</v>
      </c>
      <c r="M80" s="112" t="s">
        <v>0</v>
      </c>
      <c r="N80" s="112" t="s">
        <v>0</v>
      </c>
      <c r="O80" s="112" t="s">
        <v>0</v>
      </c>
      <c r="P80" s="112" t="s">
        <v>0</v>
      </c>
      <c r="Q80" s="112" t="s">
        <v>0</v>
      </c>
      <c r="R80" s="111" t="s">
        <v>0</v>
      </c>
    </row>
  </sheetData>
  <mergeCells count="8">
    <mergeCell ref="B1:Q1"/>
    <mergeCell ref="S70:S79"/>
    <mergeCell ref="R2:T2"/>
    <mergeCell ref="N2:Q2"/>
    <mergeCell ref="A2:A3"/>
    <mergeCell ref="B2:E2"/>
    <mergeCell ref="F2:I2"/>
    <mergeCell ref="J2:M2"/>
  </mergeCells>
  <phoneticPr fontId="5" type="noConversion"/>
  <pageMargins left="0.7" right="0.7" top="0.75" bottom="0.75" header="0.3" footer="0.3"/>
  <pageSetup paperSize="9" orientation="portrait" r:id="rId1"/>
  <headerFooter>
    <oddHeader>&amp;C&amp;G</oddHeader>
    <oddFooter xml:space="preserve">&amp;C_x000D_&amp;1#&amp;"맑은 고딕"&amp;6&amp;K737373 장두진( JANG DOO JIN ) 전원구동반도체팀 / 1628615@mobis.com / 본 문서는 현대모비스의 대외비 정보자산이므로 무단 전재 및 복제할 수 없으며, 위반 시 당사 사규 및 관련 법규에 의해 제재될 수 있습니다. 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B4BCD-14F7-4221-A9F7-8C79A929D438}">
  <dimension ref="B2:L34"/>
  <sheetViews>
    <sheetView workbookViewId="0">
      <selection activeCell="P22" sqref="P22"/>
    </sheetView>
  </sheetViews>
  <sheetFormatPr defaultRowHeight="16.5" x14ac:dyDescent="0.3"/>
  <sheetData>
    <row r="2" spans="2:12" x14ac:dyDescent="0.3">
      <c r="B2" s="159" t="s">
        <v>62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</row>
    <row r="3" spans="2:12" x14ac:dyDescent="0.3">
      <c r="B3" t="s">
        <v>59</v>
      </c>
    </row>
    <row r="17" spans="2:2" x14ac:dyDescent="0.3">
      <c r="B17" t="s">
        <v>60</v>
      </c>
    </row>
    <row r="34" spans="2:2" x14ac:dyDescent="0.3">
      <c r="B34" t="s">
        <v>61</v>
      </c>
    </row>
  </sheetData>
  <mergeCells count="1">
    <mergeCell ref="B2:L2"/>
  </mergeCells>
  <phoneticPr fontId="5" type="noConversion"/>
  <pageMargins left="0.7" right="0.7" top="0.75" bottom="0.75" header="0.3" footer="0.3"/>
  <pageSetup paperSize="9" orientation="portrait" verticalDpi="0" r:id="rId1"/>
  <headerFooter>
    <oddHeader>&amp;C&amp;G</oddHeader>
    <oddFooter xml:space="preserve">&amp;C_x000D_&amp;1#&amp;"맑은 고딕"&amp;6&amp;K737373 장두진( JANG DOO JIN ) 전원구동반도체팀 / 1628615@mobis.com / 본 문서는 현대모비스의 대외비 정보자산이므로 무단 전재 및 복제할 수 없으며, 위반 시 당사 사규 및 관련 법규에 의해 제재될 수 있습니다. 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ACA9F-EFB3-4E38-979D-301F8284D367}">
  <dimension ref="C4:I19"/>
  <sheetViews>
    <sheetView workbookViewId="0">
      <selection activeCell="I17" sqref="I17"/>
    </sheetView>
  </sheetViews>
  <sheetFormatPr defaultRowHeight="16.5" x14ac:dyDescent="0.3"/>
  <cols>
    <col min="4" max="4" width="9.25" bestFit="1" customWidth="1"/>
  </cols>
  <sheetData>
    <row r="4" spans="3:9" x14ac:dyDescent="0.3">
      <c r="E4" t="s">
        <v>80</v>
      </c>
    </row>
    <row r="5" spans="3:9" x14ac:dyDescent="0.3">
      <c r="C5" t="s">
        <v>79</v>
      </c>
      <c r="E5" t="s">
        <v>82</v>
      </c>
      <c r="F5">
        <f>2^12</f>
        <v>4096</v>
      </c>
    </row>
    <row r="7" spans="3:9" x14ac:dyDescent="0.3">
      <c r="C7" t="s">
        <v>63</v>
      </c>
      <c r="D7" s="148">
        <v>16000000</v>
      </c>
      <c r="E7" t="s">
        <v>64</v>
      </c>
      <c r="F7" t="s">
        <v>66</v>
      </c>
      <c r="G7" s="148">
        <f>1/D7</f>
        <v>6.2499999999999997E-8</v>
      </c>
      <c r="H7" t="s">
        <v>67</v>
      </c>
    </row>
    <row r="8" spans="3:9" x14ac:dyDescent="0.3">
      <c r="C8" t="s">
        <v>65</v>
      </c>
      <c r="D8">
        <f>2^14</f>
        <v>16384</v>
      </c>
      <c r="F8" t="s">
        <v>68</v>
      </c>
      <c r="G8" s="148">
        <f>G7*D8</f>
        <v>1.024E-3</v>
      </c>
      <c r="H8" t="s">
        <v>69</v>
      </c>
    </row>
    <row r="9" spans="3:9" x14ac:dyDescent="0.3">
      <c r="I9" t="s">
        <v>81</v>
      </c>
    </row>
    <row r="10" spans="3:9" x14ac:dyDescent="0.3">
      <c r="C10" t="s">
        <v>70</v>
      </c>
      <c r="D10" s="148">
        <f>1/G8</f>
        <v>976.5625</v>
      </c>
      <c r="F10" t="s">
        <v>75</v>
      </c>
      <c r="G10" s="148">
        <f>1/D10</f>
        <v>1.024E-3</v>
      </c>
      <c r="H10" t="s">
        <v>69</v>
      </c>
      <c r="I10" s="148">
        <f>G10/$F$5</f>
        <v>2.4999999999999999E-7</v>
      </c>
    </row>
    <row r="11" spans="3:9" x14ac:dyDescent="0.3">
      <c r="C11" t="s">
        <v>71</v>
      </c>
      <c r="D11" s="148">
        <f>D10/2</f>
        <v>488.28125</v>
      </c>
      <c r="F11" t="s">
        <v>76</v>
      </c>
      <c r="G11" s="148">
        <f t="shared" ref="G11:G13" si="0">1/D11</f>
        <v>2.0479999999999999E-3</v>
      </c>
      <c r="H11" t="s">
        <v>69</v>
      </c>
      <c r="I11" s="148">
        <f t="shared" ref="I11:I13" si="1">G11/$F$5</f>
        <v>4.9999999999999998E-7</v>
      </c>
    </row>
    <row r="12" spans="3:9" x14ac:dyDescent="0.3">
      <c r="C12" t="s">
        <v>72</v>
      </c>
      <c r="D12" s="148">
        <f>D11/2</f>
        <v>244.140625</v>
      </c>
      <c r="F12" t="s">
        <v>77</v>
      </c>
      <c r="G12" s="148">
        <f t="shared" si="0"/>
        <v>4.0959999999999998E-3</v>
      </c>
      <c r="H12" t="s">
        <v>69</v>
      </c>
      <c r="I12" s="148">
        <f t="shared" si="1"/>
        <v>9.9999999999999995E-7</v>
      </c>
    </row>
    <row r="13" spans="3:9" x14ac:dyDescent="0.3">
      <c r="C13" t="s">
        <v>73</v>
      </c>
      <c r="D13" s="148">
        <f>D12/2</f>
        <v>122.0703125</v>
      </c>
      <c r="F13" t="s">
        <v>78</v>
      </c>
      <c r="G13" s="148">
        <f t="shared" si="0"/>
        <v>8.1919999999999996E-3</v>
      </c>
      <c r="H13" t="s">
        <v>69</v>
      </c>
      <c r="I13" s="148">
        <f t="shared" si="1"/>
        <v>1.9999999999999999E-6</v>
      </c>
    </row>
    <row r="19" spans="4:4" x14ac:dyDescent="0.3">
      <c r="D19" t="s">
        <v>74</v>
      </c>
    </row>
  </sheetData>
  <phoneticPr fontId="5" type="noConversion"/>
  <pageMargins left="0.7" right="0.7" top="0.75" bottom="0.75" header="0.3" footer="0.3"/>
  <pageSetup paperSize="9" orientation="portrait" verticalDpi="0" r:id="rId1"/>
  <headerFooter>
    <oddHeader>&amp;C&amp;G</oddHeader>
    <oddFooter xml:space="preserve">&amp;C_x000D_&amp;1#&amp;"맑은 고딕"&amp;6&amp;K737373 장두진( JANG DOO JIN ) 전원구동반도체팀 / 1628615@mobis.com / 본 문서는 현대모비스의 대외비 정보자산이므로 무단 전재 및 복제할 수 없으며, 위반 시 당사 사규 및 관련 법규에 의해 제재될 수 있습니다. 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A6E64D25132C9840B760F36888C09183" ma:contentTypeVersion="14" ma:contentTypeDescription="새 문서를 만듭니다." ma:contentTypeScope="" ma:versionID="d3a8846dac84857120934ee09835e84c">
  <xsd:schema xmlns:xsd="http://www.w3.org/2001/XMLSchema" xmlns:xs="http://www.w3.org/2001/XMLSchema" xmlns:p="http://schemas.microsoft.com/office/2006/metadata/properties" xmlns:ns2="5ce46ff6-35d9-4d5b-bbdb-35c77c6d279f" xmlns:ns3="d07bf077-e8e5-49c3-8854-cb08ef1d1d39" targetNamespace="http://schemas.microsoft.com/office/2006/metadata/properties" ma:root="true" ma:fieldsID="3a1031b9207eb5a00fd3ccd5f0be380d" ns2:_="" ns3:_="">
    <xsd:import namespace="5ce46ff6-35d9-4d5b-bbdb-35c77c6d279f"/>
    <xsd:import namespace="d07bf077-e8e5-49c3-8854-cb08ef1d1d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46ff6-35d9-4d5b-bbdb-35c77c6d27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98b4ddb5-9792-4103-acad-6387fb66c9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bf077-e8e5-49c3-8854-cb08ef1d1d3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4dfda86-8c26-4d1c-8179-4a8bb62962e9}" ma:internalName="TaxCatchAll" ma:showField="CatchAllData" ma:web="d07bf077-e8e5-49c3-8854-cb08ef1d1d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e46ff6-35d9-4d5b-bbdb-35c77c6d279f">
      <Terms xmlns="http://schemas.microsoft.com/office/infopath/2007/PartnerControls"/>
    </lcf76f155ced4ddcb4097134ff3c332f>
    <TaxCatchAll xmlns="d07bf077-e8e5-49c3-8854-cb08ef1d1d39" xsi:nil="true"/>
  </documentManagement>
</p:properties>
</file>

<file path=customXml/itemProps1.xml><?xml version="1.0" encoding="utf-8"?>
<ds:datastoreItem xmlns:ds="http://schemas.openxmlformats.org/officeDocument/2006/customXml" ds:itemID="{EDFD334A-4106-4966-9CA9-3472AD3918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e46ff6-35d9-4d5b-bbdb-35c77c6d279f"/>
    <ds:schemaRef ds:uri="d07bf077-e8e5-49c3-8854-cb08ef1d1d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C17E3A-2153-492F-A205-0E7C331EBA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6B6176-9447-4496-8C19-590939F86170}">
  <ds:schemaRefs>
    <ds:schemaRef ds:uri="http://schemas.microsoft.com/office/2006/metadata/properties"/>
    <ds:schemaRef ds:uri="http://schemas.microsoft.com/office/infopath/2007/PartnerControls"/>
    <ds:schemaRef ds:uri="5ce46ff6-35d9-4d5b-bbdb-35c77c6d279f"/>
    <ds:schemaRef ds:uri="d07bf077-e8e5-49c3-8854-cb08ef1d1d3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Basic</vt:lpstr>
      <vt:lpstr>고유색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최혁재( CHOI HYUK JAE )</dc:creator>
  <cp:lastModifiedBy>장두진( JANG DOO JIN ) 전원구동반도체팀</cp:lastModifiedBy>
  <dcterms:created xsi:type="dcterms:W3CDTF">2023-08-02T06:09:02Z</dcterms:created>
  <dcterms:modified xsi:type="dcterms:W3CDTF">2024-11-12T01:26:00Z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d9a7a2-a2c9-479c-a560-d79de4b6971b_Enabled">
    <vt:lpwstr>true</vt:lpwstr>
  </property>
  <property fmtid="{D5CDD505-2E9C-101B-9397-08002B2CF9AE}" pid="3" name="MSIP_Label_c6d9a7a2-a2c9-479c-a560-d79de4b6971b_SetDate">
    <vt:lpwstr>2024-11-12T01:25:58Z</vt:lpwstr>
  </property>
  <property fmtid="{D5CDD505-2E9C-101B-9397-08002B2CF9AE}" pid="4" name="MSIP_Label_c6d9a7a2-a2c9-479c-a560-d79de4b6971b_Method">
    <vt:lpwstr>Privileged</vt:lpwstr>
  </property>
  <property fmtid="{D5CDD505-2E9C-101B-9397-08002B2CF9AE}" pid="5" name="MSIP_Label_c6d9a7a2-a2c9-479c-a560-d79de4b6971b_Name">
    <vt:lpwstr>사외 정책</vt:lpwstr>
  </property>
  <property fmtid="{D5CDD505-2E9C-101B-9397-08002B2CF9AE}" pid="6" name="MSIP_Label_c6d9a7a2-a2c9-479c-a560-d79de4b6971b_SiteId">
    <vt:lpwstr>7cf932c0-bced-4490-b11f-48d23b1fe0d9</vt:lpwstr>
  </property>
  <property fmtid="{D5CDD505-2E9C-101B-9397-08002B2CF9AE}" pid="7" name="MSIP_Label_c6d9a7a2-a2c9-479c-a560-d79de4b6971b_ActionId">
    <vt:lpwstr>4eee2171-5bc8-4981-a7e6-a29e5ea04615</vt:lpwstr>
  </property>
  <property fmtid="{D5CDD505-2E9C-101B-9397-08002B2CF9AE}" pid="8" name="MSIP_Label_c6d9a7a2-a2c9-479c-a560-d79de4b6971b_ContentBits">
    <vt:lpwstr>6</vt:lpwstr>
  </property>
</Properties>
</file>