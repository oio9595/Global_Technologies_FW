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Jig\SAL_JIG\SAL_JIG_CS1\측정자료\"/>
    </mc:Choice>
  </mc:AlternateContent>
  <xr:revisionPtr revIDLastSave="0" documentId="13_ncr:1_{C7B93FD4-1C25-474B-82B4-14C8539AEAFD}" xr6:coauthVersionLast="47" xr6:coauthVersionMax="47" xr10:uidLastSave="{00000000-0000-0000-0000-000000000000}"/>
  <bookViews>
    <workbookView xWindow="9630" yWindow="0" windowWidth="19170" windowHeight="15480" xr2:uid="{254A9F07-DF4E-4845-91F9-FA135E5CFC7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1" l="1"/>
  <c r="H25" i="1"/>
  <c r="H24" i="1"/>
  <c r="H18" i="1"/>
  <c r="H19" i="1"/>
  <c r="H17" i="1"/>
  <c r="G25" i="1"/>
  <c r="G26" i="1"/>
  <c r="G24" i="1"/>
  <c r="E7" i="1"/>
  <c r="E8" i="1"/>
  <c r="E9" i="1"/>
  <c r="C9" i="1"/>
  <c r="C8" i="1"/>
  <c r="C7" i="1"/>
  <c r="K4" i="1" l="1"/>
  <c r="K3" i="1"/>
  <c r="K2" i="1"/>
  <c r="C3" i="1"/>
  <c r="C4" i="1"/>
  <c r="C2" i="1"/>
</calcChain>
</file>

<file path=xl/sharedStrings.xml><?xml version="1.0" encoding="utf-8"?>
<sst xmlns="http://schemas.openxmlformats.org/spreadsheetml/2006/main" count="24" uniqueCount="14">
  <si>
    <t>CCC</t>
    <phoneticPr fontId="1" type="noConversion"/>
  </si>
  <si>
    <t>FFF</t>
    <phoneticPr fontId="1" type="noConversion"/>
  </si>
  <si>
    <t>1차</t>
    <phoneticPr fontId="1" type="noConversion"/>
  </si>
  <si>
    <t>2차</t>
    <phoneticPr fontId="1" type="noConversion"/>
  </si>
  <si>
    <t>CS Super Red</t>
    <phoneticPr fontId="1" type="noConversion"/>
  </si>
  <si>
    <t>R</t>
    <phoneticPr fontId="1" type="noConversion"/>
  </si>
  <si>
    <t>G</t>
    <phoneticPr fontId="1" type="noConversion"/>
  </si>
  <si>
    <t>B</t>
    <phoneticPr fontId="1" type="noConversion"/>
  </si>
  <si>
    <t>max current</t>
    <phoneticPr fontId="1" type="noConversion"/>
  </si>
  <si>
    <t>D</t>
    <phoneticPr fontId="1" type="noConversion"/>
  </si>
  <si>
    <t>A</t>
    <phoneticPr fontId="1" type="noConversion"/>
  </si>
  <si>
    <t>F123</t>
    <phoneticPr fontId="1" type="noConversion"/>
  </si>
  <si>
    <t>After Trim</t>
    <phoneticPr fontId="1" type="noConversion"/>
  </si>
  <si>
    <t>Taregt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</si>
</sst>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7" formatCode="0.0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510CE-E367-4981-AD5C-A302D6F7EA40}">
  <dimension ref="B1:K26"/>
  <sheetViews>
    <sheetView tabSelected="1" zoomScale="130" zoomScaleNormal="130" workbookViewId="0"/>
  </sheetViews>
  <sheetFormatPr defaultRowHeight="16.5" x14ac:dyDescent="0.3"/>
  <cols>
    <col min="3" max="3" width="11" bestFit="1" customWidth="1"/>
  </cols>
  <sheetData>
    <row r="1" spans="2:11" x14ac:dyDescent="0.3">
      <c r="B1" t="s">
        <v>2</v>
      </c>
    </row>
    <row r="2" spans="2:11" x14ac:dyDescent="0.3">
      <c r="B2">
        <v>14.284000000000001</v>
      </c>
      <c r="C2">
        <f>B2/0.8</f>
        <v>17.855</v>
      </c>
      <c r="J2" t="s">
        <v>0</v>
      </c>
      <c r="K2">
        <f>HEX2DEC(J2)</f>
        <v>3276</v>
      </c>
    </row>
    <row r="3" spans="2:11" x14ac:dyDescent="0.3">
      <c r="B3">
        <v>11.6</v>
      </c>
      <c r="C3">
        <f t="shared" ref="C3:C4" si="0">B3/0.8</f>
        <v>14.499999999999998</v>
      </c>
      <c r="J3" t="s">
        <v>1</v>
      </c>
      <c r="K3">
        <f>HEX2DEC(J3)</f>
        <v>4095</v>
      </c>
    </row>
    <row r="4" spans="2:11" x14ac:dyDescent="0.3">
      <c r="B4">
        <v>5.4320000000000004</v>
      </c>
      <c r="C4">
        <f t="shared" si="0"/>
        <v>6.79</v>
      </c>
      <c r="K4" s="2">
        <f>K2/K3</f>
        <v>0.8</v>
      </c>
    </row>
    <row r="6" spans="2:11" x14ac:dyDescent="0.3">
      <c r="B6" t="s">
        <v>3</v>
      </c>
    </row>
    <row r="7" spans="2:11" x14ac:dyDescent="0.3">
      <c r="B7">
        <v>15.715</v>
      </c>
      <c r="C7" s="1">
        <f>B7/0.8</f>
        <v>19.643749999999997</v>
      </c>
      <c r="E7">
        <f>C7*3276/4095</f>
        <v>15.714999999999996</v>
      </c>
    </row>
    <row r="8" spans="2:11" x14ac:dyDescent="0.3">
      <c r="B8">
        <v>11.6</v>
      </c>
      <c r="C8" s="1">
        <f t="shared" ref="C8:C9" si="1">B8/0.8</f>
        <v>14.499999999999998</v>
      </c>
      <c r="E8">
        <f t="shared" ref="E8:E9" si="2">C8*3276/4095</f>
        <v>11.599999999999998</v>
      </c>
    </row>
    <row r="9" spans="2:11" x14ac:dyDescent="0.3">
      <c r="B9">
        <v>5.9589999999999996</v>
      </c>
      <c r="C9" s="1">
        <f t="shared" si="1"/>
        <v>7.4487499999999995</v>
      </c>
      <c r="E9">
        <f t="shared" si="2"/>
        <v>5.9589999999999996</v>
      </c>
    </row>
    <row r="15" spans="2:11" x14ac:dyDescent="0.3">
      <c r="B15" t="s">
        <v>4</v>
      </c>
    </row>
    <row r="16" spans="2:11" x14ac:dyDescent="0.3">
      <c r="C16" t="s">
        <v>8</v>
      </c>
      <c r="E16" t="s">
        <v>12</v>
      </c>
      <c r="F16" t="s">
        <v>13</v>
      </c>
      <c r="G16" t="s">
        <v>11</v>
      </c>
    </row>
    <row r="17" spans="2:8" x14ac:dyDescent="0.3">
      <c r="B17" t="s">
        <v>5</v>
      </c>
      <c r="C17">
        <v>20.079999999999998</v>
      </c>
      <c r="D17" s="3" t="s">
        <v>9</v>
      </c>
      <c r="E17">
        <v>20</v>
      </c>
      <c r="F17">
        <v>20</v>
      </c>
      <c r="G17">
        <v>4095</v>
      </c>
      <c r="H17" t="str">
        <f>_xlfn.CONCAT("0x", DEC2HEX(G17))</f>
        <v>0xFFF</v>
      </c>
    </row>
    <row r="18" spans="2:8" x14ac:dyDescent="0.3">
      <c r="B18" t="s">
        <v>6</v>
      </c>
      <c r="C18">
        <v>15.78</v>
      </c>
      <c r="D18" s="3" t="s">
        <v>10</v>
      </c>
      <c r="E18">
        <v>15</v>
      </c>
      <c r="F18">
        <v>15</v>
      </c>
      <c r="G18">
        <v>4095</v>
      </c>
      <c r="H18" t="str">
        <f t="shared" ref="H18:H19" si="3">_xlfn.CONCAT("0x", DEC2HEX(G18))</f>
        <v>0xFFF</v>
      </c>
    </row>
    <row r="19" spans="2:8" x14ac:dyDescent="0.3">
      <c r="B19" t="s">
        <v>7</v>
      </c>
      <c r="C19">
        <v>10.050000000000001</v>
      </c>
      <c r="D19" s="3">
        <v>6</v>
      </c>
      <c r="E19">
        <v>10</v>
      </c>
      <c r="F19">
        <v>10</v>
      </c>
      <c r="G19">
        <v>4095</v>
      </c>
      <c r="H19" t="str">
        <f t="shared" si="3"/>
        <v>0xFFF</v>
      </c>
    </row>
    <row r="22" spans="2:8" x14ac:dyDescent="0.3">
      <c r="B22" t="s">
        <v>4</v>
      </c>
    </row>
    <row r="23" spans="2:8" x14ac:dyDescent="0.3">
      <c r="C23" t="s">
        <v>8</v>
      </c>
      <c r="E23" t="s">
        <v>12</v>
      </c>
      <c r="F23" t="s">
        <v>13</v>
      </c>
      <c r="G23" t="s">
        <v>11</v>
      </c>
    </row>
    <row r="24" spans="2:8" x14ac:dyDescent="0.3">
      <c r="B24" t="s">
        <v>5</v>
      </c>
      <c r="C24">
        <v>20.079999999999998</v>
      </c>
      <c r="D24" s="3" t="s">
        <v>9</v>
      </c>
      <c r="E24">
        <v>20</v>
      </c>
      <c r="F24">
        <v>16</v>
      </c>
      <c r="G24">
        <f>ROUND(F24/E24*4095, 0)</f>
        <v>3276</v>
      </c>
      <c r="H24" t="str">
        <f>_xlfn.CONCAT("0x", DEC2HEX(G24))</f>
        <v>0xCCC</v>
      </c>
    </row>
    <row r="25" spans="2:8" x14ac:dyDescent="0.3">
      <c r="B25" t="s">
        <v>6</v>
      </c>
      <c r="C25">
        <v>15.78</v>
      </c>
      <c r="D25" s="3" t="s">
        <v>10</v>
      </c>
      <c r="E25">
        <v>15</v>
      </c>
      <c r="F25">
        <v>13.82</v>
      </c>
      <c r="G25">
        <f t="shared" ref="G25:G26" si="4">ROUND(F25/E25*4095, 0)</f>
        <v>3773</v>
      </c>
      <c r="H25" t="str">
        <f t="shared" ref="H25:H26" si="5">_xlfn.CONCAT("0x", DEC2HEX(G25))</f>
        <v>0xEBD</v>
      </c>
    </row>
    <row r="26" spans="2:8" x14ac:dyDescent="0.3">
      <c r="B26" t="s">
        <v>7</v>
      </c>
      <c r="C26">
        <v>10.050000000000001</v>
      </c>
      <c r="D26" s="3">
        <v>6</v>
      </c>
      <c r="E26">
        <v>10</v>
      </c>
      <c r="F26">
        <v>7.69</v>
      </c>
      <c r="G26">
        <f t="shared" si="4"/>
        <v>3149</v>
      </c>
      <c r="H26" t="str">
        <f t="shared" si="5"/>
        <v>0xC4D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준영</dc:creator>
  <cp:lastModifiedBy>이 준영</cp:lastModifiedBy>
  <dcterms:created xsi:type="dcterms:W3CDTF">2025-06-10T08:33:41Z</dcterms:created>
  <dcterms:modified xsi:type="dcterms:W3CDTF">2025-07-14T08:46:05Z</dcterms:modified>
</cp:coreProperties>
</file>