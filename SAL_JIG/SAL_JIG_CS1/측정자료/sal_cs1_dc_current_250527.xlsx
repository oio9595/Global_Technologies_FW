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CS1\측정자료\"/>
    </mc:Choice>
  </mc:AlternateContent>
  <xr:revisionPtr revIDLastSave="0" documentId="13_ncr:1_{26A243AC-1991-4553-B6C9-BCE12381C2EF}" xr6:coauthVersionLast="47" xr6:coauthVersionMax="47" xr10:uidLastSave="{00000000-0000-0000-0000-000000000000}"/>
  <bookViews>
    <workbookView xWindow="71880" yWindow="10515" windowWidth="29040" windowHeight="15720" xr2:uid="{03AC9958-1786-4328-A475-78898BA5B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O28" i="1" s="1"/>
  <c r="J28" i="1"/>
  <c r="K28" i="1" s="1"/>
  <c r="F28" i="1"/>
  <c r="G28" i="1" s="1"/>
  <c r="N27" i="1"/>
  <c r="O27" i="1" s="1"/>
  <c r="J27" i="1"/>
  <c r="K27" i="1" s="1"/>
  <c r="F27" i="1"/>
  <c r="G27" i="1" s="1"/>
  <c r="N26" i="1"/>
  <c r="O26" i="1" s="1"/>
  <c r="J26" i="1"/>
  <c r="K26" i="1" s="1"/>
  <c r="F26" i="1"/>
  <c r="G26" i="1" s="1"/>
  <c r="N24" i="1"/>
  <c r="O24" i="1" s="1"/>
  <c r="J24" i="1"/>
  <c r="K24" i="1" s="1"/>
  <c r="F24" i="1"/>
  <c r="G24" i="1" s="1"/>
  <c r="N23" i="1"/>
  <c r="O23" i="1" s="1"/>
  <c r="J23" i="1"/>
  <c r="K23" i="1" s="1"/>
  <c r="F23" i="1"/>
  <c r="G23" i="1" s="1"/>
  <c r="N22" i="1"/>
  <c r="O22" i="1" s="1"/>
  <c r="J22" i="1"/>
  <c r="K22" i="1" s="1"/>
  <c r="F22" i="1"/>
  <c r="G22" i="1" s="1"/>
  <c r="N20" i="1"/>
  <c r="O20" i="1" s="1"/>
  <c r="J20" i="1"/>
  <c r="K20" i="1" s="1"/>
  <c r="F20" i="1"/>
  <c r="G20" i="1" s="1"/>
  <c r="N19" i="1"/>
  <c r="O19" i="1" s="1"/>
  <c r="J19" i="1"/>
  <c r="K19" i="1" s="1"/>
  <c r="F19" i="1"/>
  <c r="G19" i="1" s="1"/>
  <c r="N18" i="1"/>
  <c r="O18" i="1" s="1"/>
  <c r="J18" i="1"/>
  <c r="K18" i="1" s="1"/>
  <c r="F18" i="1"/>
  <c r="G18" i="1" s="1"/>
  <c r="N14" i="1" l="1"/>
  <c r="O14" i="1" s="1"/>
  <c r="N13" i="1"/>
  <c r="O13" i="1" s="1"/>
  <c r="N12" i="1"/>
  <c r="O12" i="1" s="1"/>
  <c r="N10" i="1"/>
  <c r="O10" i="1" s="1"/>
  <c r="N9" i="1"/>
  <c r="O9" i="1" s="1"/>
  <c r="N8" i="1"/>
  <c r="O8" i="1" s="1"/>
  <c r="N6" i="1"/>
  <c r="O6" i="1" s="1"/>
  <c r="N5" i="1"/>
  <c r="O5" i="1" s="1"/>
  <c r="N4" i="1"/>
  <c r="O4" i="1" s="1"/>
  <c r="J14" i="1"/>
  <c r="K14" i="1" s="1"/>
  <c r="J13" i="1"/>
  <c r="K13" i="1" s="1"/>
  <c r="J12" i="1"/>
  <c r="K12" i="1" s="1"/>
  <c r="J10" i="1"/>
  <c r="K10" i="1" s="1"/>
  <c r="J9" i="1"/>
  <c r="K9" i="1" s="1"/>
  <c r="J8" i="1"/>
  <c r="K8" i="1" s="1"/>
  <c r="J6" i="1"/>
  <c r="K6" i="1" s="1"/>
  <c r="J5" i="1"/>
  <c r="K5" i="1" s="1"/>
  <c r="J4" i="1"/>
  <c r="K4" i="1" s="1"/>
  <c r="F14" i="1"/>
  <c r="G14" i="1" s="1"/>
  <c r="F13" i="1"/>
  <c r="G13" i="1" s="1"/>
  <c r="F12" i="1"/>
  <c r="G12" i="1" s="1"/>
  <c r="F10" i="1"/>
  <c r="G10" i="1" s="1"/>
  <c r="F9" i="1"/>
  <c r="G9" i="1" s="1"/>
  <c r="F8" i="1"/>
  <c r="G8" i="1" s="1"/>
  <c r="F5" i="1"/>
  <c r="G5" i="1" s="1"/>
  <c r="F6" i="1"/>
  <c r="G6" i="1" s="1"/>
  <c r="F4" i="1"/>
  <c r="G4" i="1" s="1"/>
</calcChain>
</file>

<file path=xl/sharedStrings.xml><?xml version="1.0" encoding="utf-8"?>
<sst xmlns="http://schemas.openxmlformats.org/spreadsheetml/2006/main" count="24" uniqueCount="15">
  <si>
    <t>Trim Target</t>
    <phoneticPr fontId="3" type="noConversion"/>
  </si>
  <si>
    <t>R</t>
    <phoneticPr fontId="3" type="noConversion"/>
  </si>
  <si>
    <t>G</t>
    <phoneticPr fontId="3" type="noConversion"/>
  </si>
  <si>
    <t>B</t>
    <phoneticPr fontId="3" type="noConversion"/>
  </si>
  <si>
    <t>#1 - 1V</t>
    <phoneticPr fontId="3" type="noConversion"/>
  </si>
  <si>
    <t>#1 - 2V</t>
    <phoneticPr fontId="3" type="noConversion"/>
  </si>
  <si>
    <t>#1 - 3V</t>
    <phoneticPr fontId="3" type="noConversion"/>
  </si>
  <si>
    <t>#2 - 1V</t>
    <phoneticPr fontId="3" type="noConversion"/>
  </si>
  <si>
    <t>#2 - 2V</t>
    <phoneticPr fontId="3" type="noConversion"/>
  </si>
  <si>
    <t>#2 - 3V</t>
    <phoneticPr fontId="3" type="noConversion"/>
  </si>
  <si>
    <t>#3 - 1V</t>
    <phoneticPr fontId="3" type="noConversion"/>
  </si>
  <si>
    <t>#3 - 2V</t>
    <phoneticPr fontId="3" type="noConversion"/>
  </si>
  <si>
    <t>#3 - 3V</t>
    <phoneticPr fontId="3" type="noConversion"/>
  </si>
  <si>
    <t>PWM_MAX_RGB_E --&gt; 0</t>
    <phoneticPr fontId="3" type="noConversion"/>
  </si>
  <si>
    <t>PWM_MAX_RGB_E --&gt; 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</si>
</sst>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696D-6788-4F8E-B29D-68BAFA4EE9A9}">
  <dimension ref="B2:V28"/>
  <sheetViews>
    <sheetView tabSelected="1" workbookViewId="0"/>
  </sheetViews>
  <sheetFormatPr defaultRowHeight="17" x14ac:dyDescent="0.45"/>
  <cols>
    <col min="1" max="1" width="2.58203125" customWidth="1"/>
    <col min="5" max="5" width="8.6640625" customWidth="1"/>
    <col min="9" max="9" width="8.6640625" customWidth="1"/>
    <col min="13" max="13" width="8.6640625" customWidth="1"/>
  </cols>
  <sheetData>
    <row r="2" spans="2:22" x14ac:dyDescent="0.45">
      <c r="B2" s="3">
        <v>109.9</v>
      </c>
      <c r="E2" s="7" t="s">
        <v>13</v>
      </c>
      <c r="F2" s="7"/>
      <c r="G2" s="7"/>
      <c r="H2" s="7"/>
      <c r="I2" s="7"/>
      <c r="J2" s="7"/>
      <c r="K2" s="7"/>
      <c r="L2" s="7"/>
      <c r="M2" s="7"/>
      <c r="N2" s="7"/>
      <c r="O2" s="7"/>
    </row>
    <row r="3" spans="2:22" x14ac:dyDescent="0.45">
      <c r="B3" t="s">
        <v>0</v>
      </c>
      <c r="E3" s="2" t="s">
        <v>4</v>
      </c>
      <c r="F3" s="2"/>
      <c r="G3" s="2"/>
      <c r="I3" s="2" t="s">
        <v>7</v>
      </c>
      <c r="J3" s="2"/>
      <c r="K3" s="2"/>
      <c r="M3" s="2" t="s">
        <v>10</v>
      </c>
      <c r="N3" s="2"/>
      <c r="O3" s="2"/>
      <c r="V3" s="1"/>
    </row>
    <row r="4" spans="2:22" x14ac:dyDescent="0.45">
      <c r="B4" s="4" t="s">
        <v>1</v>
      </c>
      <c r="C4">
        <v>15.96</v>
      </c>
      <c r="E4">
        <v>1734</v>
      </c>
      <c r="F4">
        <f>E4/$B$2</f>
        <v>15.777979981801638</v>
      </c>
      <c r="G4" s="1">
        <f>(F4-$C$4)/$C$4</f>
        <v>-1.1404763045010233E-2</v>
      </c>
      <c r="I4">
        <v>1738</v>
      </c>
      <c r="J4">
        <f>I4/$B$2</f>
        <v>15.81437670609645</v>
      </c>
      <c r="K4" s="1">
        <f>(J4-$C$4)/$C$4</f>
        <v>-9.1242665353102048E-3</v>
      </c>
      <c r="M4">
        <v>1744</v>
      </c>
      <c r="N4">
        <f>M4/$B$2</f>
        <v>15.868971792538671</v>
      </c>
      <c r="O4" s="1">
        <f>(N4-$C$4)/$C$4</f>
        <v>-5.7035217707599971E-3</v>
      </c>
      <c r="V4" s="1"/>
    </row>
    <row r="5" spans="2:22" x14ac:dyDescent="0.45">
      <c r="B5" s="5" t="s">
        <v>2</v>
      </c>
      <c r="C5">
        <v>14.5</v>
      </c>
      <c r="E5">
        <v>1576</v>
      </c>
      <c r="F5">
        <f>E5/$B$2</f>
        <v>14.340309372156506</v>
      </c>
      <c r="G5" s="1">
        <f>(F5-$C$5)/$C$5</f>
        <v>-1.101314674782717E-2</v>
      </c>
      <c r="I5">
        <v>1591</v>
      </c>
      <c r="J5">
        <f>I5/$B$2</f>
        <v>14.476797088262055</v>
      </c>
      <c r="K5" s="1">
        <f>(J5-$C$5)/$C$5</f>
        <v>-1.6002008095134543E-3</v>
      </c>
      <c r="M5">
        <v>1586</v>
      </c>
      <c r="N5">
        <f>M5/$B$2</f>
        <v>14.431301182893538</v>
      </c>
      <c r="O5" s="1">
        <f>(N5-$C$5)/$C$5</f>
        <v>-4.7378494556180673E-3</v>
      </c>
      <c r="V5" s="1"/>
    </row>
    <row r="6" spans="2:22" x14ac:dyDescent="0.45">
      <c r="B6" s="6" t="s">
        <v>3</v>
      </c>
      <c r="C6">
        <v>5.8</v>
      </c>
      <c r="E6">
        <v>633</v>
      </c>
      <c r="F6">
        <f>E6/$B$2</f>
        <v>5.7597816196542304</v>
      </c>
      <c r="G6" s="1">
        <f>(F6-$C$6)/$C$6</f>
        <v>-6.9342035078912784E-3</v>
      </c>
      <c r="I6">
        <v>635</v>
      </c>
      <c r="J6">
        <f>I6/$B$2</f>
        <v>5.7779799818016375</v>
      </c>
      <c r="K6" s="1">
        <f>(J6-$C$6)/$C$6</f>
        <v>-3.7965548617866036E-3</v>
      </c>
      <c r="M6">
        <v>634</v>
      </c>
      <c r="N6">
        <f>M6/$B$2</f>
        <v>5.768880800727934</v>
      </c>
      <c r="O6" s="1">
        <f>(N6-$C$6)/$C$6</f>
        <v>-5.365379184838941E-3</v>
      </c>
    </row>
    <row r="7" spans="2:22" x14ac:dyDescent="0.45">
      <c r="E7" s="2" t="s">
        <v>5</v>
      </c>
      <c r="F7" s="2"/>
      <c r="G7" s="2"/>
      <c r="I7" s="2" t="s">
        <v>8</v>
      </c>
      <c r="J7" s="2"/>
      <c r="K7" s="2"/>
      <c r="M7" s="2" t="s">
        <v>11</v>
      </c>
      <c r="N7" s="2"/>
      <c r="O7" s="2"/>
    </row>
    <row r="8" spans="2:22" x14ac:dyDescent="0.45">
      <c r="E8">
        <v>1738</v>
      </c>
      <c r="F8">
        <f>E8/$B$2</f>
        <v>15.81437670609645</v>
      </c>
      <c r="G8" s="1">
        <f>(F8-$C$4)/$C$4</f>
        <v>-9.1242665353102048E-3</v>
      </c>
      <c r="I8">
        <v>1739</v>
      </c>
      <c r="J8">
        <f>I8/$B$2</f>
        <v>15.823475887170154</v>
      </c>
      <c r="K8" s="1">
        <f>(J8-$C$4)/$C$4</f>
        <v>-8.5541424078851153E-3</v>
      </c>
      <c r="M8">
        <v>1746</v>
      </c>
      <c r="N8">
        <f>M8/$B$2</f>
        <v>15.887170154686077</v>
      </c>
      <c r="O8" s="1">
        <f>(N8-$C$4)/$C$4</f>
        <v>-4.5632735159100392E-3</v>
      </c>
    </row>
    <row r="9" spans="2:22" x14ac:dyDescent="0.45">
      <c r="E9">
        <v>1580</v>
      </c>
      <c r="F9">
        <f>E9/$B$2</f>
        <v>14.376706096451318</v>
      </c>
      <c r="G9" s="1">
        <f>(F9-$C$5)/$C$5</f>
        <v>-8.5030278309435534E-3</v>
      </c>
      <c r="I9">
        <v>1593</v>
      </c>
      <c r="J9">
        <f>I9/$B$2</f>
        <v>14.494995450409462</v>
      </c>
      <c r="K9" s="1">
        <f>(J9-$C$5)/$C$5</f>
        <v>-3.451413510715846E-4</v>
      </c>
      <c r="M9">
        <v>1588</v>
      </c>
      <c r="N9">
        <f>M9/$B$2</f>
        <v>14.449499545040945</v>
      </c>
      <c r="O9" s="1">
        <f>(N9-$C$5)/$C$5</f>
        <v>-3.4827899971761975E-3</v>
      </c>
    </row>
    <row r="10" spans="2:22" x14ac:dyDescent="0.45">
      <c r="E10">
        <v>633</v>
      </c>
      <c r="F10">
        <f>E10/$B$2</f>
        <v>5.7597816196542304</v>
      </c>
      <c r="G10" s="1">
        <f>(F10-$C$6)/$C$6</f>
        <v>-6.9342035078912784E-3</v>
      </c>
      <c r="I10">
        <v>635</v>
      </c>
      <c r="J10">
        <f>I10/$B$2</f>
        <v>5.7779799818016375</v>
      </c>
      <c r="K10" s="1">
        <f>(J10-$C$6)/$C$6</f>
        <v>-3.7965548617866036E-3</v>
      </c>
      <c r="M10">
        <v>634</v>
      </c>
      <c r="N10">
        <f>M10/$B$2</f>
        <v>5.768880800727934</v>
      </c>
      <c r="O10" s="1">
        <f>(N10-$C$6)/$C$6</f>
        <v>-5.365379184838941E-3</v>
      </c>
    </row>
    <row r="11" spans="2:22" x14ac:dyDescent="0.45">
      <c r="E11" s="2" t="s">
        <v>6</v>
      </c>
      <c r="F11" s="2"/>
      <c r="G11" s="2"/>
      <c r="I11" s="2" t="s">
        <v>9</v>
      </c>
      <c r="J11" s="2"/>
      <c r="K11" s="2"/>
      <c r="M11" s="2" t="s">
        <v>12</v>
      </c>
      <c r="N11" s="2"/>
      <c r="O11" s="2"/>
    </row>
    <row r="12" spans="2:22" x14ac:dyDescent="0.45">
      <c r="E12">
        <v>1742</v>
      </c>
      <c r="F12">
        <f>E12/$B$2</f>
        <v>15.850773430391264</v>
      </c>
      <c r="G12" s="1">
        <f>(F12-$C$4)/$C$4</f>
        <v>-6.8437700256100669E-3</v>
      </c>
      <c r="I12">
        <v>1740</v>
      </c>
      <c r="J12">
        <f>I12/$B$2</f>
        <v>15.832575068243857</v>
      </c>
      <c r="K12" s="1">
        <f>(J12-$C$4)/$C$4</f>
        <v>-7.9840182804601367E-3</v>
      </c>
      <c r="M12">
        <v>1749</v>
      </c>
      <c r="N12">
        <f>M12/$B$2</f>
        <v>15.914467697907188</v>
      </c>
      <c r="O12" s="1">
        <f>(N12-$C$4)/$C$4</f>
        <v>-2.8529011336348789E-3</v>
      </c>
    </row>
    <row r="13" spans="2:22" x14ac:dyDescent="0.45">
      <c r="E13">
        <v>1582</v>
      </c>
      <c r="F13">
        <f>E13/$B$2</f>
        <v>14.394904458598726</v>
      </c>
      <c r="G13" s="1">
        <f>(F13-$C$5)/$C$5</f>
        <v>-7.2479683725016836E-3</v>
      </c>
      <c r="I13">
        <v>1595</v>
      </c>
      <c r="J13">
        <f>I13/$B$2</f>
        <v>14.513193812556869</v>
      </c>
      <c r="K13" s="1">
        <f>(J13-$C$5)/$C$5</f>
        <v>9.0991810737028509E-4</v>
      </c>
      <c r="M13">
        <v>1592</v>
      </c>
      <c r="N13">
        <f>M13/$B$2</f>
        <v>14.485896269335759</v>
      </c>
      <c r="O13" s="1">
        <f>(N13-$C$5)/$C$5</f>
        <v>-9.7267108029245816E-4</v>
      </c>
    </row>
    <row r="14" spans="2:22" x14ac:dyDescent="0.45">
      <c r="E14">
        <v>634</v>
      </c>
      <c r="F14">
        <f>E14/$B$2</f>
        <v>5.768880800727934</v>
      </c>
      <c r="G14" s="1">
        <f>(F14-$C$6)/$C$6</f>
        <v>-5.365379184838941E-3</v>
      </c>
      <c r="I14">
        <v>635</v>
      </c>
      <c r="J14">
        <f>I14/$B$2</f>
        <v>5.7779799818016375</v>
      </c>
      <c r="K14" s="1">
        <f>(J14-$C$6)/$C$6</f>
        <v>-3.7965548617866036E-3</v>
      </c>
      <c r="M14">
        <v>635</v>
      </c>
      <c r="N14">
        <f>M14/$B$2</f>
        <v>5.7779799818016375</v>
      </c>
      <c r="O14" s="1">
        <f>(N14-$C$6)/$C$6</f>
        <v>-3.7965548617866036E-3</v>
      </c>
    </row>
    <row r="16" spans="2:22" x14ac:dyDescent="0.45">
      <c r="E16" s="7" t="s">
        <v>14</v>
      </c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5:15" x14ac:dyDescent="0.45">
      <c r="E17" s="2" t="s">
        <v>4</v>
      </c>
      <c r="F17" s="2"/>
      <c r="G17" s="2"/>
      <c r="I17" s="2" t="s">
        <v>7</v>
      </c>
      <c r="J17" s="2"/>
      <c r="K17" s="2"/>
      <c r="M17" s="2" t="s">
        <v>10</v>
      </c>
      <c r="N17" s="2"/>
      <c r="O17" s="2"/>
    </row>
    <row r="18" spans="5:15" x14ac:dyDescent="0.45">
      <c r="E18">
        <v>1745</v>
      </c>
      <c r="F18">
        <f>E18/$B$2</f>
        <v>15.878070973612374</v>
      </c>
      <c r="G18" s="1">
        <f>(F18-$C$4)/$C$4</f>
        <v>-5.1333976433350177E-3</v>
      </c>
      <c r="I18">
        <v>1747</v>
      </c>
      <c r="J18">
        <f>I18/$B$2</f>
        <v>15.896269335759781</v>
      </c>
      <c r="K18" s="1">
        <f>(J18-$C$4)/$C$4</f>
        <v>-3.9931493884849487E-3</v>
      </c>
      <c r="M18">
        <v>1750</v>
      </c>
      <c r="N18">
        <f>M18/$B$2</f>
        <v>15.923566878980891</v>
      </c>
      <c r="O18" s="1">
        <f>(N18-$C$4)/$C$4</f>
        <v>-2.2827770062098999E-3</v>
      </c>
    </row>
    <row r="19" spans="5:15" x14ac:dyDescent="0.45">
      <c r="E19">
        <v>1587</v>
      </c>
      <c r="F19">
        <f>E19/$B$2</f>
        <v>14.440400363967242</v>
      </c>
      <c r="G19" s="1">
        <f>(F19-$C$5)/$C$5</f>
        <v>-4.1103197263970713E-3</v>
      </c>
      <c r="I19">
        <v>1598</v>
      </c>
      <c r="J19">
        <f>I19/$B$2</f>
        <v>14.540491355777979</v>
      </c>
      <c r="K19" s="1">
        <f>(J19-$C$5)/$C$5</f>
        <v>2.7925072950330285E-3</v>
      </c>
      <c r="M19">
        <v>1595</v>
      </c>
      <c r="N19">
        <f>M19/$B$2</f>
        <v>14.513193812556869</v>
      </c>
      <c r="O19" s="1">
        <f>(N19-$C$5)/$C$5</f>
        <v>9.0991810737028509E-4</v>
      </c>
    </row>
    <row r="20" spans="5:15" x14ac:dyDescent="0.45">
      <c r="E20">
        <v>637</v>
      </c>
      <c r="F20">
        <f>E20/$B$2</f>
        <v>5.7961783439490446</v>
      </c>
      <c r="G20" s="1">
        <f>(F20-$C$6)/$C$6</f>
        <v>-6.5890621568192957E-4</v>
      </c>
      <c r="I20">
        <v>639</v>
      </c>
      <c r="J20">
        <f>I20/$B$2</f>
        <v>5.8143767060964509</v>
      </c>
      <c r="K20" s="1">
        <f>(J20-$C$6)/$C$6</f>
        <v>2.4787424304225916E-3</v>
      </c>
      <c r="M20">
        <v>637</v>
      </c>
      <c r="N20">
        <f>M20/$B$2</f>
        <v>5.7961783439490446</v>
      </c>
      <c r="O20" s="1">
        <f>(N20-$C$6)/$C$6</f>
        <v>-6.5890621568192957E-4</v>
      </c>
    </row>
    <row r="21" spans="5:15" x14ac:dyDescent="0.45">
      <c r="E21" s="2" t="s">
        <v>5</v>
      </c>
      <c r="F21" s="2"/>
      <c r="G21" s="2"/>
      <c r="I21" s="2" t="s">
        <v>8</v>
      </c>
      <c r="J21" s="2"/>
      <c r="K21" s="2"/>
      <c r="M21" s="2" t="s">
        <v>11</v>
      </c>
      <c r="N21" s="2"/>
      <c r="O21" s="2"/>
    </row>
    <row r="22" spans="5:15" x14ac:dyDescent="0.45">
      <c r="E22">
        <v>1746</v>
      </c>
      <c r="F22">
        <f>E22/$B$2</f>
        <v>15.887170154686077</v>
      </c>
      <c r="G22" s="1">
        <f>(F22-$C$4)/$C$4</f>
        <v>-4.5632735159100392E-3</v>
      </c>
      <c r="I22">
        <v>1748</v>
      </c>
      <c r="J22">
        <f>I22/$B$2</f>
        <v>15.905368516833484</v>
      </c>
      <c r="K22" s="1">
        <f>(J22-$C$4)/$C$4</f>
        <v>-3.4230252610599693E-3</v>
      </c>
      <c r="M22">
        <v>1755</v>
      </c>
      <c r="N22">
        <f>M22/$B$2</f>
        <v>15.969062784349408</v>
      </c>
      <c r="O22" s="1">
        <f>(N22-$C$4)/$C$4</f>
        <v>5.6784363091521813E-4</v>
      </c>
    </row>
    <row r="23" spans="5:15" x14ac:dyDescent="0.45">
      <c r="E23">
        <v>1590</v>
      </c>
      <c r="F23">
        <f>E23/$B$2</f>
        <v>14.467697907188352</v>
      </c>
      <c r="G23" s="1">
        <f>(F23-$C$5)/$C$5</f>
        <v>-2.2277305387343278E-3</v>
      </c>
      <c r="I23">
        <v>1600</v>
      </c>
      <c r="J23">
        <f>I23/$B$2</f>
        <v>14.558689717925386</v>
      </c>
      <c r="K23" s="1">
        <f>(J23-$C$5)/$C$5</f>
        <v>4.0475667534748978E-3</v>
      </c>
      <c r="M23">
        <v>1598</v>
      </c>
      <c r="N23">
        <f>M23/$B$2</f>
        <v>14.540491355777979</v>
      </c>
      <c r="O23" s="1">
        <f>(N23-$C$5)/$C$5</f>
        <v>2.7925072950330285E-3</v>
      </c>
    </row>
    <row r="24" spans="5:15" x14ac:dyDescent="0.45">
      <c r="E24">
        <v>637</v>
      </c>
      <c r="F24">
        <f>E24/$B$2</f>
        <v>5.7961783439490446</v>
      </c>
      <c r="G24" s="1">
        <f>(F24-$C$6)/$C$6</f>
        <v>-6.5890621568192957E-4</v>
      </c>
      <c r="I24">
        <v>638</v>
      </c>
      <c r="J24">
        <f>I24/$B$2</f>
        <v>5.8052775250227473</v>
      </c>
      <c r="K24" s="1">
        <f>(J24-$C$6)/$C$6</f>
        <v>9.0991810737025441E-4</v>
      </c>
      <c r="M24">
        <v>638</v>
      </c>
      <c r="N24">
        <f>M24/$B$2</f>
        <v>5.8052775250227473</v>
      </c>
      <c r="O24" s="1">
        <f>(N24-$C$6)/$C$6</f>
        <v>9.0991810737025441E-4</v>
      </c>
    </row>
    <row r="25" spans="5:15" x14ac:dyDescent="0.45">
      <c r="E25" s="2" t="s">
        <v>6</v>
      </c>
      <c r="F25" s="2"/>
      <c r="G25" s="2"/>
      <c r="I25" s="2" t="s">
        <v>9</v>
      </c>
      <c r="J25" s="2"/>
      <c r="K25" s="2"/>
      <c r="M25" s="2" t="s">
        <v>12</v>
      </c>
      <c r="N25" s="2"/>
      <c r="O25" s="2"/>
    </row>
    <row r="26" spans="5:15" x14ac:dyDescent="0.45">
      <c r="E26">
        <v>1748</v>
      </c>
      <c r="F26">
        <f>E26/$B$2</f>
        <v>15.905368516833484</v>
      </c>
      <c r="G26" s="1">
        <f>(F26-$C$4)/$C$4</f>
        <v>-3.4230252610599693E-3</v>
      </c>
      <c r="I26">
        <v>1751</v>
      </c>
      <c r="J26">
        <f>I26/$B$2</f>
        <v>15.932666060054594</v>
      </c>
      <c r="K26" s="1">
        <f>(J26-$C$4)/$C$4</f>
        <v>-1.7126528787849208E-3</v>
      </c>
      <c r="M26">
        <v>1758</v>
      </c>
      <c r="N26">
        <f>M26/$B$2</f>
        <v>15.996360327570518</v>
      </c>
      <c r="O26" s="1">
        <f>(N26-$C$4)/$C$4</f>
        <v>2.2782160131902666E-3</v>
      </c>
    </row>
    <row r="27" spans="5:15" x14ac:dyDescent="0.45">
      <c r="E27">
        <v>1591</v>
      </c>
      <c r="F27">
        <f>E27/$B$2</f>
        <v>14.476797088262055</v>
      </c>
      <c r="G27" s="1">
        <f>(F27-$C$5)/$C$5</f>
        <v>-1.6002008095134543E-3</v>
      </c>
      <c r="I27">
        <v>1602</v>
      </c>
      <c r="J27">
        <f>I27/$B$2</f>
        <v>14.576888080072793</v>
      </c>
      <c r="K27" s="1">
        <f>(J27-$C$5)/$C$5</f>
        <v>5.3026262119167675E-3</v>
      </c>
      <c r="M27">
        <v>1600</v>
      </c>
      <c r="N27">
        <f>M27/$B$2</f>
        <v>14.558689717925386</v>
      </c>
      <c r="O27" s="1">
        <f>(N27-$C$5)/$C$5</f>
        <v>4.0475667534748978E-3</v>
      </c>
    </row>
    <row r="28" spans="5:15" x14ac:dyDescent="0.45">
      <c r="E28">
        <v>638</v>
      </c>
      <c r="F28">
        <f>E28/$B$2</f>
        <v>5.8052775250227473</v>
      </c>
      <c r="G28" s="1">
        <f>(F28-$C$6)/$C$6</f>
        <v>9.0991810737025441E-4</v>
      </c>
      <c r="I28">
        <v>638</v>
      </c>
      <c r="J28">
        <f>I28/$B$2</f>
        <v>5.8052775250227473</v>
      </c>
      <c r="K28" s="1">
        <f>(J28-$C$6)/$C$6</f>
        <v>9.0991810737025441E-4</v>
      </c>
      <c r="M28">
        <v>638</v>
      </c>
      <c r="N28">
        <f>M28/$B$2</f>
        <v>5.8052775250227473</v>
      </c>
      <c r="O28" s="1">
        <f>(N28-$C$6)/$C$6</f>
        <v>9.0991810737025441E-4</v>
      </c>
    </row>
  </sheetData>
  <mergeCells count="20">
    <mergeCell ref="E2:O2"/>
    <mergeCell ref="E16:O16"/>
    <mergeCell ref="E21:G21"/>
    <mergeCell ref="I21:K21"/>
    <mergeCell ref="M21:O21"/>
    <mergeCell ref="E25:G25"/>
    <mergeCell ref="I25:K25"/>
    <mergeCell ref="M25:O25"/>
    <mergeCell ref="M3:O3"/>
    <mergeCell ref="M7:O7"/>
    <mergeCell ref="M11:O11"/>
    <mergeCell ref="E17:G17"/>
    <mergeCell ref="I17:K17"/>
    <mergeCell ref="M17:O17"/>
    <mergeCell ref="E3:G3"/>
    <mergeCell ref="I3:K3"/>
    <mergeCell ref="E7:G7"/>
    <mergeCell ref="E11:G11"/>
    <mergeCell ref="I7:K7"/>
    <mergeCell ref="I11:K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2025-05-27T05:42:52Z</dcterms:created>
  <dcterms:modified xsi:type="dcterms:W3CDTF">2025-05-27T07:30:44Z</dcterms:modified>
</cp:coreProperties>
</file>