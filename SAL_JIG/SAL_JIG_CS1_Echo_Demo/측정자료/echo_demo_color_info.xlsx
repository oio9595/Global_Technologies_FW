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SAL_JIG\SAL_JIG_CS1_Echo_Demo\측정자료\"/>
    </mc:Choice>
  </mc:AlternateContent>
  <xr:revisionPtr revIDLastSave="0" documentId="13_ncr:1_{58E36F26-620C-48C6-9D2C-B2D872FD36A0}" xr6:coauthVersionLast="47" xr6:coauthVersionMax="47" xr10:uidLastSave="{00000000-0000-0000-0000-000000000000}"/>
  <bookViews>
    <workbookView xWindow="43080" yWindow="4095" windowWidth="29040" windowHeight="15720" xr2:uid="{E7F389A4-D036-4905-9FA4-286AFB64E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J10" i="1"/>
  <c r="J11" i="1"/>
  <c r="J12" i="1"/>
  <c r="J13" i="1"/>
  <c r="J9" i="1"/>
  <c r="I10" i="1"/>
  <c r="I11" i="1"/>
  <c r="I12" i="1"/>
  <c r="I13" i="1"/>
  <c r="I9" i="1"/>
  <c r="H12" i="1"/>
  <c r="H11" i="1"/>
  <c r="H10" i="1"/>
  <c r="H9" i="1"/>
</calcChain>
</file>

<file path=xl/sharedStrings.xml><?xml version="1.0" encoding="utf-8"?>
<sst xmlns="http://schemas.openxmlformats.org/spreadsheetml/2006/main" count="35" uniqueCount="15">
  <si>
    <t>색좌표(목표)</t>
    <phoneticPr fontId="2" type="noConversion"/>
  </si>
  <si>
    <t>Cx</t>
    <phoneticPr fontId="2" type="noConversion"/>
  </si>
  <si>
    <t>Cy</t>
    <phoneticPr fontId="2" type="noConversion"/>
  </si>
  <si>
    <t>R</t>
    <phoneticPr fontId="2" type="noConversion"/>
  </si>
  <si>
    <t>G</t>
    <phoneticPr fontId="2" type="noConversion"/>
  </si>
  <si>
    <t>B</t>
    <phoneticPr fontId="2" type="noConversion"/>
  </si>
  <si>
    <t>보정칼라</t>
    <phoneticPr fontId="2" type="noConversion"/>
  </si>
  <si>
    <t>실측좌표</t>
    <phoneticPr fontId="2" type="noConversion"/>
  </si>
  <si>
    <t>구분</t>
    <phoneticPr fontId="2" type="noConversion"/>
  </si>
  <si>
    <t>W</t>
    <phoneticPr fontId="2" type="noConversion"/>
  </si>
  <si>
    <t>HMC61</t>
    <phoneticPr fontId="2" type="noConversion"/>
  </si>
  <si>
    <t>-</t>
    <phoneticPr fontId="2" type="noConversion"/>
  </si>
  <si>
    <t>보정 시 전류</t>
    <phoneticPr fontId="2" type="noConversion"/>
  </si>
  <si>
    <t>SAL 최대 전류</t>
    <phoneticPr fontId="2" type="noConversion"/>
  </si>
  <si>
    <t>mA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</si>
</sst>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&quot;mA&quot;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330AD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0" xfId="1" applyFont="1" applyFill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</cellXfs>
  <cellStyles count="2">
    <cellStyle name="표준" xfId="0" builtinId="0"/>
    <cellStyle name="표준 2" xfId="1" xr:uid="{B3342243-A1F5-4528-8161-FCA54524915B}"/>
  </cellStyles>
  <dxfs count="0"/>
  <tableStyles count="0" defaultTableStyle="TableStyleMedium2" defaultPivotStyle="PivotStyleLight16"/>
  <colors>
    <mruColors>
      <color rgb="FF00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E6260-E2E5-489C-A08B-CAF06F81E7A4}">
  <dimension ref="B2:L13"/>
  <sheetViews>
    <sheetView tabSelected="1" workbookViewId="0"/>
  </sheetViews>
  <sheetFormatPr defaultRowHeight="15.75" x14ac:dyDescent="0.6"/>
  <cols>
    <col min="1" max="1" width="2.5625" style="2" customWidth="1"/>
    <col min="2" max="2" width="6.8125" style="2" bestFit="1" customWidth="1"/>
    <col min="3" max="4" width="5.8125" style="2" bestFit="1" customWidth="1"/>
    <col min="5" max="7" width="5.8125" style="2" customWidth="1"/>
    <col min="8" max="9" width="7.8125" style="2" bestFit="1" customWidth="1"/>
    <col min="10" max="10" width="6.9375" style="2" bestFit="1" customWidth="1"/>
    <col min="11" max="12" width="5.8125" style="2" bestFit="1" customWidth="1"/>
    <col min="13" max="16384" width="9" style="2"/>
  </cols>
  <sheetData>
    <row r="2" spans="2:12" x14ac:dyDescent="0.6">
      <c r="B2" s="1" t="s">
        <v>13</v>
      </c>
      <c r="C2" s="1"/>
      <c r="D2" s="1"/>
    </row>
    <row r="3" spans="2:12" x14ac:dyDescent="0.6">
      <c r="B3" s="3" t="s">
        <v>3</v>
      </c>
      <c r="C3" s="4">
        <v>13.17</v>
      </c>
      <c r="D3" s="4" t="s">
        <v>14</v>
      </c>
    </row>
    <row r="4" spans="2:12" x14ac:dyDescent="0.6">
      <c r="B4" s="5" t="s">
        <v>4</v>
      </c>
      <c r="C4" s="4">
        <v>11.5</v>
      </c>
      <c r="D4" s="4" t="s">
        <v>14</v>
      </c>
    </row>
    <row r="5" spans="2:12" x14ac:dyDescent="0.6">
      <c r="B5" s="6" t="s">
        <v>5</v>
      </c>
      <c r="C5" s="4">
        <v>6.08</v>
      </c>
      <c r="D5" s="4" t="s">
        <v>14</v>
      </c>
    </row>
    <row r="7" spans="2:12" x14ac:dyDescent="0.6">
      <c r="B7" s="1" t="s">
        <v>8</v>
      </c>
      <c r="C7" s="1" t="s">
        <v>0</v>
      </c>
      <c r="D7" s="1"/>
      <c r="E7" s="1" t="s">
        <v>6</v>
      </c>
      <c r="F7" s="1"/>
      <c r="G7" s="1"/>
      <c r="H7" s="1" t="s">
        <v>12</v>
      </c>
      <c r="I7" s="1"/>
      <c r="J7" s="1"/>
      <c r="K7" s="1" t="s">
        <v>7</v>
      </c>
      <c r="L7" s="1"/>
    </row>
    <row r="8" spans="2:12" x14ac:dyDescent="0.6">
      <c r="B8" s="1"/>
      <c r="C8" s="4" t="s">
        <v>1</v>
      </c>
      <c r="D8" s="4" t="s">
        <v>2</v>
      </c>
      <c r="E8" s="3" t="s">
        <v>3</v>
      </c>
      <c r="F8" s="5" t="s">
        <v>4</v>
      </c>
      <c r="G8" s="6" t="s">
        <v>5</v>
      </c>
      <c r="H8" s="3" t="s">
        <v>3</v>
      </c>
      <c r="I8" s="5" t="s">
        <v>4</v>
      </c>
      <c r="J8" s="6" t="s">
        <v>5</v>
      </c>
      <c r="K8" s="4" t="s">
        <v>1</v>
      </c>
      <c r="L8" s="4" t="s">
        <v>2</v>
      </c>
    </row>
    <row r="9" spans="2:12" x14ac:dyDescent="0.6">
      <c r="B9" s="3" t="s">
        <v>3</v>
      </c>
      <c r="C9" s="4">
        <v>0.69799999999999995</v>
      </c>
      <c r="D9" s="4">
        <v>0.30099999999999999</v>
      </c>
      <c r="E9" s="4">
        <v>255</v>
      </c>
      <c r="F9" s="4">
        <v>0</v>
      </c>
      <c r="G9" s="4">
        <v>0</v>
      </c>
      <c r="H9" s="8">
        <f>$C$3*E9/255</f>
        <v>13.17</v>
      </c>
      <c r="I9" s="8">
        <f>$C$4*F9/255</f>
        <v>0</v>
      </c>
      <c r="J9" s="8">
        <f>$C$5*G9/255</f>
        <v>0</v>
      </c>
      <c r="K9" s="4" t="s">
        <v>11</v>
      </c>
      <c r="L9" s="4" t="s">
        <v>11</v>
      </c>
    </row>
    <row r="10" spans="2:12" x14ac:dyDescent="0.6">
      <c r="B10" s="5" t="s">
        <v>4</v>
      </c>
      <c r="C10" s="4">
        <v>0.17599999999999999</v>
      </c>
      <c r="D10" s="4">
        <v>0.74099999999999999</v>
      </c>
      <c r="E10" s="4">
        <v>0</v>
      </c>
      <c r="F10" s="4">
        <v>255</v>
      </c>
      <c r="G10" s="4">
        <v>0</v>
      </c>
      <c r="H10" s="8">
        <f t="shared" ref="H10:H13" si="0">$C$3*E10/255</f>
        <v>0</v>
      </c>
      <c r="I10" s="8">
        <f t="shared" ref="I10:I13" si="1">$C$4*F10/255</f>
        <v>11.5</v>
      </c>
      <c r="J10" s="8">
        <f t="shared" ref="J10:J13" si="2">$C$5*G10/255</f>
        <v>0</v>
      </c>
      <c r="K10" s="4" t="s">
        <v>11</v>
      </c>
      <c r="L10" s="4" t="s">
        <v>11</v>
      </c>
    </row>
    <row r="11" spans="2:12" x14ac:dyDescent="0.6">
      <c r="B11" s="6" t="s">
        <v>5</v>
      </c>
      <c r="C11" s="4">
        <v>0.122</v>
      </c>
      <c r="D11" s="4">
        <v>5.8000000000000003E-2</v>
      </c>
      <c r="E11" s="4">
        <v>0</v>
      </c>
      <c r="F11" s="4">
        <v>0</v>
      </c>
      <c r="G11" s="4">
        <v>255</v>
      </c>
      <c r="H11" s="8">
        <f t="shared" si="0"/>
        <v>0</v>
      </c>
      <c r="I11" s="8">
        <f t="shared" si="1"/>
        <v>0</v>
      </c>
      <c r="J11" s="8">
        <f t="shared" si="2"/>
        <v>6.08</v>
      </c>
      <c r="K11" s="4" t="s">
        <v>11</v>
      </c>
      <c r="L11" s="4" t="s">
        <v>11</v>
      </c>
    </row>
    <row r="12" spans="2:12" x14ac:dyDescent="0.6">
      <c r="B12" s="4" t="s">
        <v>9</v>
      </c>
      <c r="C12" s="4">
        <v>0.312</v>
      </c>
      <c r="D12" s="4">
        <v>0.32800000000000001</v>
      </c>
      <c r="E12" s="4">
        <v>255</v>
      </c>
      <c r="F12" s="4">
        <v>100</v>
      </c>
      <c r="G12" s="4">
        <v>35</v>
      </c>
      <c r="H12" s="8">
        <f t="shared" si="0"/>
        <v>13.17</v>
      </c>
      <c r="I12" s="8">
        <f t="shared" si="1"/>
        <v>4.5098039215686274</v>
      </c>
      <c r="J12" s="8">
        <f t="shared" si="2"/>
        <v>0.8345098039215687</v>
      </c>
      <c r="K12" s="4" t="s">
        <v>11</v>
      </c>
      <c r="L12" s="4" t="s">
        <v>11</v>
      </c>
    </row>
    <row r="13" spans="2:12" x14ac:dyDescent="0.6">
      <c r="B13" s="7" t="s">
        <v>10</v>
      </c>
      <c r="C13" s="4">
        <v>0.16400000000000001</v>
      </c>
      <c r="D13" s="4">
        <v>6.8000000000000005E-2</v>
      </c>
      <c r="E13" s="4">
        <v>195</v>
      </c>
      <c r="F13" s="4">
        <v>0</v>
      </c>
      <c r="G13" s="4">
        <v>255</v>
      </c>
      <c r="H13" s="8">
        <f>$C$3*E13/255</f>
        <v>10.071176470588236</v>
      </c>
      <c r="I13" s="8">
        <f t="shared" si="1"/>
        <v>0</v>
      </c>
      <c r="J13" s="8">
        <f t="shared" si="2"/>
        <v>6.08</v>
      </c>
      <c r="K13" s="4">
        <v>0.16400000000000001</v>
      </c>
      <c r="L13" s="4">
        <v>7.4999999999999997E-2</v>
      </c>
    </row>
  </sheetData>
  <mergeCells count="6">
    <mergeCell ref="C7:D7"/>
    <mergeCell ref="E7:G7"/>
    <mergeCell ref="K7:L7"/>
    <mergeCell ref="B7:B8"/>
    <mergeCell ref="H7:J7"/>
    <mergeCell ref="B2:D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2025-04-10T00:37:25Z</dcterms:created>
  <dcterms:modified xsi:type="dcterms:W3CDTF">2025-04-10T00:43:43Z</dcterms:modified>
</cp:coreProperties>
</file>