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SAL_JIG\SAL_JIG_CS1_Echo_Demo\측정자료\"/>
    </mc:Choice>
  </mc:AlternateContent>
  <xr:revisionPtr revIDLastSave="0" documentId="13_ncr:1_{03B47256-F804-4BE5-8875-93C2992CE089}" xr6:coauthVersionLast="47" xr6:coauthVersionMax="47" xr10:uidLastSave="{00000000-0000-0000-0000-000000000000}"/>
  <bookViews>
    <workbookView xWindow="10" yWindow="3010" windowWidth="27410" windowHeight="14270" xr2:uid="{E7F389A4-D036-4905-9FA4-286AFB64E499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2" l="1"/>
  <c r="N4" i="2"/>
  <c r="W4" i="2"/>
  <c r="W5" i="2"/>
  <c r="W6" i="2"/>
  <c r="K5" i="2"/>
  <c r="J5" i="2"/>
  <c r="I5" i="2"/>
  <c r="K4" i="2"/>
  <c r="J4" i="2"/>
  <c r="I4" i="2"/>
  <c r="S4" i="2" l="1" a="1"/>
  <c r="S4" i="2" s="1"/>
  <c r="S8" i="2" s="1"/>
  <c r="S9" i="2" l="1"/>
  <c r="S10" i="2"/>
  <c r="C9" i="2"/>
  <c r="U8" i="2"/>
  <c r="C10" i="2"/>
  <c r="C1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<sst xmlns="http://schemas.openxmlformats.org/spreadsheetml/2006/main" count="27" uniqueCount="13">
  <si>
    <t>Cx</t>
    <phoneticPr fontId="2" type="noConversion"/>
  </si>
  <si>
    <t>Cy</t>
    <phoneticPr fontId="2" type="noConversion"/>
  </si>
  <si>
    <t>R</t>
    <phoneticPr fontId="2" type="noConversion"/>
  </si>
  <si>
    <t>G</t>
    <phoneticPr fontId="2" type="noConversion"/>
  </si>
  <si>
    <t>B</t>
    <phoneticPr fontId="2" type="noConversion"/>
  </si>
  <si>
    <t>3*3 matrix</t>
    <phoneticPr fontId="2" type="noConversion"/>
  </si>
  <si>
    <t>α</t>
    <phoneticPr fontId="2" type="noConversion"/>
  </si>
  <si>
    <t>β</t>
    <phoneticPr fontId="2" type="noConversion"/>
  </si>
  <si>
    <t>γ</t>
    <phoneticPr fontId="2" type="noConversion"/>
  </si>
  <si>
    <t>=</t>
    <phoneticPr fontId="2" type="noConversion"/>
  </si>
  <si>
    <t>target color</t>
    <phoneticPr fontId="2" type="noConversion"/>
  </si>
  <si>
    <t>A</t>
    <phoneticPr fontId="2" type="noConversion"/>
  </si>
  <si>
    <t>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</si>
</sst>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1" formatCode="0.0000"/>
    <numFmt numFmtId="182" formatCode="0.000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Calibri"/>
      <family val="3"/>
      <charset val="161"/>
    </font>
    <font>
      <b/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quotePrefix="1" applyFont="1">
      <alignment vertical="center"/>
    </xf>
    <xf numFmtId="0" fontId="3" fillId="0" borderId="0" xfId="0" quotePrefix="1" applyFont="1" applyAlignment="1">
      <alignment horizontal="center" vertical="center"/>
    </xf>
    <xf numFmtId="0" fontId="5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81" fontId="3" fillId="0" borderId="0" xfId="0" applyNumberFormat="1" applyFont="1">
      <alignment vertical="center"/>
    </xf>
    <xf numFmtId="182" fontId="3" fillId="0" borderId="2" xfId="0" applyNumberFormat="1" applyFont="1" applyBorder="1">
      <alignment vertical="center"/>
    </xf>
    <xf numFmtId="182" fontId="3" fillId="0" borderId="0" xfId="0" applyNumberFormat="1" applyFont="1">
      <alignment vertical="center"/>
    </xf>
    <xf numFmtId="182" fontId="3" fillId="0" borderId="5" xfId="0" applyNumberFormat="1" applyFont="1" applyBorder="1">
      <alignment vertical="center"/>
    </xf>
    <xf numFmtId="182" fontId="3" fillId="0" borderId="3" xfId="0" applyNumberFormat="1" applyFont="1" applyBorder="1">
      <alignment vertical="center"/>
    </xf>
    <xf numFmtId="182" fontId="3" fillId="0" borderId="6" xfId="0" applyNumberFormat="1" applyFont="1" applyBorder="1">
      <alignment vertical="center"/>
    </xf>
    <xf numFmtId="182" fontId="3" fillId="0" borderId="4" xfId="0" applyNumberFormat="1" applyFont="1" applyBorder="1">
      <alignment vertical="center"/>
    </xf>
    <xf numFmtId="182" fontId="3" fillId="0" borderId="7" xfId="0" applyNumberFormat="1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2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3" borderId="0" xfId="0" applyFont="1" applyFill="1">
      <alignment vertical="center"/>
    </xf>
  </cellXfs>
  <cellStyles count="2">
    <cellStyle name="표준" xfId="0" builtinId="0"/>
    <cellStyle name="표준 2" xfId="1" xr:uid="{B3342243-A1F5-4528-8161-FCA54524915B}"/>
  </cellStyles>
  <dxfs count="0"/>
  <tableStyles count="0" defaultTableStyle="TableStyleMedium2" defaultPivotStyle="PivotStyleLight16"/>
  <colors>
    <mruColors>
      <color rgb="FF0000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7E67E-B50E-4C70-9101-770F9D7675F9}">
  <dimension ref="B2:W11"/>
  <sheetViews>
    <sheetView tabSelected="1" workbookViewId="0"/>
  </sheetViews>
  <sheetFormatPr defaultRowHeight="16" x14ac:dyDescent="0.45"/>
  <cols>
    <col min="1" max="1" width="2.58203125" style="3" customWidth="1"/>
    <col min="2" max="2" width="10.25" style="3" bestFit="1" customWidth="1"/>
    <col min="3" max="4" width="6.75" style="3" bestFit="1" customWidth="1"/>
    <col min="5" max="5" width="10.5" style="3" bestFit="1" customWidth="1"/>
    <col min="6" max="6" width="6" style="3" bestFit="1" customWidth="1"/>
    <col min="7" max="7" width="3.25" style="3" bestFit="1" customWidth="1"/>
    <col min="8" max="8" width="10.25" style="3" bestFit="1" customWidth="1"/>
    <col min="9" max="9" width="8.6640625" style="3"/>
    <col min="10" max="10" width="2.33203125" style="3" bestFit="1" customWidth="1"/>
    <col min="11" max="11" width="2.58203125" style="3" bestFit="1" customWidth="1"/>
    <col min="12" max="14" width="7.33203125" style="3" customWidth="1"/>
    <col min="15" max="15" width="2.25" style="3" bestFit="1" customWidth="1"/>
    <col min="16" max="16" width="5.83203125" style="3" bestFit="1" customWidth="1"/>
    <col min="17" max="16384" width="8.6640625" style="3"/>
  </cols>
  <sheetData>
    <row r="2" spans="2:23" x14ac:dyDescent="0.45">
      <c r="C2" s="1" t="s">
        <v>0</v>
      </c>
      <c r="D2" s="1" t="s">
        <v>1</v>
      </c>
      <c r="H2" s="3" t="s">
        <v>5</v>
      </c>
    </row>
    <row r="3" spans="2:23" ht="16.5" thickBot="1" x14ac:dyDescent="0.5">
      <c r="B3" s="26" t="s">
        <v>2</v>
      </c>
      <c r="C3" s="3">
        <v>0.69096153686529105</v>
      </c>
      <c r="D3" s="3">
        <v>0.30719612532173901</v>
      </c>
      <c r="H3" s="7" t="s">
        <v>11</v>
      </c>
      <c r="I3" s="3" t="s">
        <v>2</v>
      </c>
      <c r="J3" s="3" t="s">
        <v>3</v>
      </c>
      <c r="K3" s="3" t="s">
        <v>4</v>
      </c>
      <c r="N3" s="3" t="s">
        <v>10</v>
      </c>
    </row>
    <row r="4" spans="2:23" ht="16.5" thickTop="1" x14ac:dyDescent="0.45">
      <c r="B4" s="27" t="s">
        <v>3</v>
      </c>
      <c r="C4" s="3">
        <v>0.17384822662097801</v>
      </c>
      <c r="D4" s="3">
        <v>0.74788855314345903</v>
      </c>
      <c r="E4" s="15"/>
      <c r="H4" s="3" t="s">
        <v>0</v>
      </c>
      <c r="I4" s="9">
        <f>C3</f>
        <v>0.69096153686529105</v>
      </c>
      <c r="J4" s="8">
        <f>C4</f>
        <v>0.17384822662097801</v>
      </c>
      <c r="K4" s="10">
        <f>C5</f>
        <v>0.137549220017565</v>
      </c>
      <c r="L4" s="4" t="s">
        <v>6</v>
      </c>
      <c r="N4" s="3">
        <f>C6</f>
        <v>0.312</v>
      </c>
      <c r="Q4" s="4" t="s">
        <v>6</v>
      </c>
      <c r="S4" s="16" cm="1">
        <f t="array" ref="S4:U6">MINVERSE(I4:K6)</f>
        <v>1.8468790794535974</v>
      </c>
      <c r="T4" s="17">
        <v>-0.10200820972800217</v>
      </c>
      <c r="U4" s="18">
        <v>-0.24478588036416227</v>
      </c>
      <c r="W4" s="3">
        <f>C6</f>
        <v>0.312</v>
      </c>
    </row>
    <row r="5" spans="2:23" x14ac:dyDescent="0.45">
      <c r="B5" s="28" t="s">
        <v>4</v>
      </c>
      <c r="C5" s="3">
        <v>0.137549220017565</v>
      </c>
      <c r="D5" s="3">
        <v>9.06877643094159E-2</v>
      </c>
      <c r="E5" s="15"/>
      <c r="H5" s="3" t="s">
        <v>1</v>
      </c>
      <c r="I5" s="11">
        <f>D3</f>
        <v>0.30719612532173901</v>
      </c>
      <c r="J5" s="8">
        <f>D4</f>
        <v>0.74788855314345903</v>
      </c>
      <c r="K5" s="12">
        <f>D5</f>
        <v>9.06877643094159E-2</v>
      </c>
      <c r="L5" s="4" t="s">
        <v>7</v>
      </c>
      <c r="M5" s="5" t="s">
        <v>9</v>
      </c>
      <c r="N5" s="3">
        <f>D6</f>
        <v>0.32800000000000001</v>
      </c>
      <c r="Q5" s="4" t="s">
        <v>7</v>
      </c>
      <c r="R5" s="6" t="s">
        <v>9</v>
      </c>
      <c r="S5" s="19">
        <v>-0.60843621808466908</v>
      </c>
      <c r="T5" s="17">
        <v>1.5552105957013831</v>
      </c>
      <c r="U5" s="20">
        <v>-5.7348644726489977E-2</v>
      </c>
      <c r="V5" s="1" t="s">
        <v>12</v>
      </c>
      <c r="W5" s="3">
        <f>D6</f>
        <v>0.32800000000000001</v>
      </c>
    </row>
    <row r="6" spans="2:23" ht="16.5" thickBot="1" x14ac:dyDescent="0.5">
      <c r="B6" s="3" t="s">
        <v>10</v>
      </c>
      <c r="C6" s="2">
        <v>0.312</v>
      </c>
      <c r="D6" s="2">
        <v>0.32800000000000001</v>
      </c>
      <c r="E6" s="15"/>
      <c r="I6" s="13">
        <v>1</v>
      </c>
      <c r="J6" s="8">
        <v>1</v>
      </c>
      <c r="K6" s="14">
        <v>1</v>
      </c>
      <c r="L6" s="4" t="s">
        <v>8</v>
      </c>
      <c r="N6" s="2">
        <v>1</v>
      </c>
      <c r="Q6" s="4" t="s">
        <v>8</v>
      </c>
      <c r="S6" s="21">
        <v>-1.2384428613689284</v>
      </c>
      <c r="T6" s="17">
        <v>-1.4532023859733809</v>
      </c>
      <c r="U6" s="22">
        <v>1.3021345250906522</v>
      </c>
      <c r="W6" s="3">
        <f>N6</f>
        <v>1</v>
      </c>
    </row>
    <row r="7" spans="2:23" ht="17" thickTop="1" thickBot="1" x14ac:dyDescent="0.5"/>
    <row r="8" spans="2:23" x14ac:dyDescent="0.45">
      <c r="S8" s="23">
        <f>S4*W4+T4*W5+U4*W6</f>
        <v>0.29798169963457544</v>
      </c>
      <c r="U8" s="3">
        <f>MAX(S8:S10)</f>
        <v>0.43908996974427761</v>
      </c>
    </row>
    <row r="9" spans="2:23" x14ac:dyDescent="0.45">
      <c r="B9" s="26" t="s">
        <v>2</v>
      </c>
      <c r="C9" s="3">
        <f>ROUND(255 * S8 / MAX($S$8:$S$10), 0)</f>
        <v>173</v>
      </c>
      <c r="R9" s="3" t="s">
        <v>9</v>
      </c>
      <c r="S9" s="24">
        <f>S5*W4+T5*W5+U5*W6</f>
        <v>0.26292833062114696</v>
      </c>
    </row>
    <row r="10" spans="2:23" ht="16.5" thickBot="1" x14ac:dyDescent="0.5">
      <c r="B10" s="27" t="s">
        <v>3</v>
      </c>
      <c r="C10" s="3">
        <f t="shared" ref="C10:C11" si="0">ROUND(255 * S9 / MAX($S$8:$S$10), 0)</f>
        <v>153</v>
      </c>
      <c r="S10" s="25">
        <f>S6*W4+T6*W5+U6*W6</f>
        <v>0.43908996974427761</v>
      </c>
    </row>
    <row r="11" spans="2:23" x14ac:dyDescent="0.45">
      <c r="B11" s="28" t="s">
        <v>4</v>
      </c>
      <c r="C11" s="3">
        <f t="shared" si="0"/>
        <v>255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2025-04-10T00:37:25Z</dcterms:created>
  <dcterms:modified xsi:type="dcterms:W3CDTF">2025-04-24T07:16:00Z</dcterms:modified>
</cp:coreProperties>
</file>