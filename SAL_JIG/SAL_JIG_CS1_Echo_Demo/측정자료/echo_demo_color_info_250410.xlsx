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SAL_JIG\SAL_JIG_CS1_Echo_Demo\측정자료\"/>
    </mc:Choice>
  </mc:AlternateContent>
  <xr:revisionPtr revIDLastSave="0" documentId="13_ncr:1_{8F4CB220-F0E2-4A11-A8AB-3E1971178C02}" xr6:coauthVersionLast="47" xr6:coauthVersionMax="47" xr10:uidLastSave="{00000000-0000-0000-0000-000000000000}"/>
  <bookViews>
    <workbookView xWindow="43080" yWindow="5760" windowWidth="29040" windowHeight="15720" xr2:uid="{E7F389A4-D036-4905-9FA4-286AFB64E4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H13" i="1" s="1"/>
  <c r="J11" i="1"/>
  <c r="J12" i="1"/>
  <c r="J13" i="1"/>
  <c r="J14" i="1"/>
  <c r="J10" i="1"/>
  <c r="I11" i="1"/>
  <c r="I12" i="1"/>
  <c r="I13" i="1"/>
  <c r="I14" i="1"/>
  <c r="I10" i="1"/>
  <c r="H10" i="1" l="1"/>
  <c r="H12" i="1"/>
  <c r="H14" i="1"/>
  <c r="H11" i="1"/>
</calcChain>
</file>

<file path=xl/sharedStrings.xml><?xml version="1.0" encoding="utf-8"?>
<sst xmlns="http://schemas.openxmlformats.org/spreadsheetml/2006/main" count="61" uniqueCount="23">
  <si>
    <t>색좌표(목표)</t>
    <phoneticPr fontId="2" type="noConversion"/>
  </si>
  <si>
    <t>Cx</t>
    <phoneticPr fontId="2" type="noConversion"/>
  </si>
  <si>
    <t>Cy</t>
    <phoneticPr fontId="2" type="noConversion"/>
  </si>
  <si>
    <t>R</t>
    <phoneticPr fontId="2" type="noConversion"/>
  </si>
  <si>
    <t>G</t>
    <phoneticPr fontId="2" type="noConversion"/>
  </si>
  <si>
    <t>B</t>
    <phoneticPr fontId="2" type="noConversion"/>
  </si>
  <si>
    <t>보정칼라</t>
    <phoneticPr fontId="2" type="noConversion"/>
  </si>
  <si>
    <t>실측좌표</t>
    <phoneticPr fontId="2" type="noConversion"/>
  </si>
  <si>
    <t>구분</t>
    <phoneticPr fontId="2" type="noConversion"/>
  </si>
  <si>
    <t>W</t>
    <phoneticPr fontId="2" type="noConversion"/>
  </si>
  <si>
    <t>HMC61</t>
    <phoneticPr fontId="2" type="noConversion"/>
  </si>
  <si>
    <t>-</t>
    <phoneticPr fontId="2" type="noConversion"/>
  </si>
  <si>
    <t>보정 시 전류</t>
    <phoneticPr fontId="2" type="noConversion"/>
  </si>
  <si>
    <t>SAL 최대 전류</t>
    <phoneticPr fontId="2" type="noConversion"/>
  </si>
  <si>
    <t>mA</t>
    <phoneticPr fontId="2" type="noConversion"/>
  </si>
  <si>
    <t>E</t>
    <phoneticPr fontId="2" type="noConversion"/>
  </si>
  <si>
    <t>curr max lvl</t>
    <phoneticPr fontId="2" type="noConversion"/>
  </si>
  <si>
    <t>pwm max</t>
    <phoneticPr fontId="2" type="noConversion"/>
  </si>
  <si>
    <t>mA</t>
  </si>
  <si>
    <t>LED 최대 전류</t>
    <phoneticPr fontId="2" type="noConversion"/>
  </si>
  <si>
    <t>색좌표</t>
    <phoneticPr fontId="2" type="noConversion"/>
  </si>
  <si>
    <t>입력 계조</t>
    <phoneticPr fontId="2" type="noConversion"/>
  </si>
  <si>
    <t>GPT 계산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</si>
</sst>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&quot;mA&quot;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330AD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2">
    <cellStyle name="표준" xfId="0" builtinId="0"/>
    <cellStyle name="표준 2" xfId="1" xr:uid="{B3342243-A1F5-4528-8161-FCA54524915B}"/>
  </cellStyles>
  <dxfs count="0"/>
  <tableStyles count="0" defaultTableStyle="TableStyleMedium2" defaultPivotStyle="PivotStyleLight16"/>
  <colors>
    <mruColors>
      <color rgb="FF00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E6260-E2E5-489C-A08B-CAF06F81E7A4}">
  <dimension ref="B2:T14"/>
  <sheetViews>
    <sheetView tabSelected="1" workbookViewId="0"/>
  </sheetViews>
  <sheetFormatPr defaultColWidth="9" defaultRowHeight="16" x14ac:dyDescent="0.45"/>
  <cols>
    <col min="1" max="1" width="2.58203125" style="1" customWidth="1"/>
    <col min="2" max="2" width="6.75" style="1" bestFit="1" customWidth="1"/>
    <col min="3" max="4" width="6.58203125" style="1" bestFit="1" customWidth="1"/>
    <col min="5" max="10" width="8.58203125" style="1" customWidth="1"/>
    <col min="11" max="12" width="5.6640625" style="1" bestFit="1" customWidth="1"/>
    <col min="13" max="16384" width="9" style="1"/>
  </cols>
  <sheetData>
    <row r="2" spans="2:20" x14ac:dyDescent="0.45">
      <c r="B2" s="13" t="s">
        <v>13</v>
      </c>
      <c r="C2" s="13"/>
      <c r="D2" s="13"/>
      <c r="E2" s="13"/>
      <c r="F2" s="13"/>
      <c r="G2" s="13"/>
      <c r="H2" s="3"/>
    </row>
    <row r="3" spans="2:20" x14ac:dyDescent="0.45">
      <c r="B3" s="8"/>
      <c r="C3" s="10" t="s">
        <v>16</v>
      </c>
      <c r="D3" s="12"/>
      <c r="F3" s="3" t="s">
        <v>17</v>
      </c>
      <c r="G3" s="3"/>
      <c r="H3" s="3"/>
      <c r="N3" s="10" t="s">
        <v>19</v>
      </c>
      <c r="O3" s="11"/>
      <c r="P3" s="12"/>
    </row>
    <row r="4" spans="2:20" x14ac:dyDescent="0.45">
      <c r="B4" s="2" t="s">
        <v>3</v>
      </c>
      <c r="C4" s="3" t="s">
        <v>15</v>
      </c>
      <c r="D4" s="3">
        <v>22.3</v>
      </c>
      <c r="E4" s="3" t="s">
        <v>14</v>
      </c>
      <c r="F4" s="3">
        <v>2418</v>
      </c>
      <c r="G4" s="9">
        <f>D4*F4/4095</f>
        <v>13.167619047619048</v>
      </c>
      <c r="H4" s="3" t="s">
        <v>14</v>
      </c>
      <c r="N4" s="2" t="s">
        <v>3</v>
      </c>
      <c r="O4" s="3">
        <v>13.167619047619048</v>
      </c>
      <c r="P4" s="3" t="s">
        <v>18</v>
      </c>
    </row>
    <row r="5" spans="2:20" x14ac:dyDescent="0.45">
      <c r="B5" s="4" t="s">
        <v>4</v>
      </c>
      <c r="C5" s="3">
        <v>9</v>
      </c>
      <c r="D5" s="3">
        <v>13.8</v>
      </c>
      <c r="E5" s="3" t="s">
        <v>14</v>
      </c>
      <c r="F5" s="3">
        <v>3413</v>
      </c>
      <c r="G5" s="9">
        <f>D5*F5/4095</f>
        <v>11.501684981684981</v>
      </c>
      <c r="H5" s="3" t="s">
        <v>14</v>
      </c>
      <c r="N5" s="4" t="s">
        <v>4</v>
      </c>
      <c r="O5" s="3">
        <v>11.501684981684981</v>
      </c>
      <c r="P5" s="3" t="s">
        <v>18</v>
      </c>
    </row>
    <row r="6" spans="2:20" x14ac:dyDescent="0.45">
      <c r="B6" s="5" t="s">
        <v>5</v>
      </c>
      <c r="C6" s="3">
        <v>3</v>
      </c>
      <c r="D6" s="3">
        <v>6.24</v>
      </c>
      <c r="E6" s="3" t="s">
        <v>14</v>
      </c>
      <c r="F6" s="3">
        <v>3990</v>
      </c>
      <c r="G6" s="9">
        <f>D6*F6/4095</f>
        <v>6.080000000000001</v>
      </c>
      <c r="H6" s="3" t="s">
        <v>14</v>
      </c>
      <c r="N6" s="5" t="s">
        <v>5</v>
      </c>
      <c r="O6" s="3">
        <v>6.080000000000001</v>
      </c>
      <c r="P6" s="3" t="s">
        <v>18</v>
      </c>
    </row>
    <row r="8" spans="2:20" x14ac:dyDescent="0.45">
      <c r="B8" s="13" t="s">
        <v>8</v>
      </c>
      <c r="C8" s="13" t="s">
        <v>0</v>
      </c>
      <c r="D8" s="13"/>
      <c r="E8" s="13" t="s">
        <v>6</v>
      </c>
      <c r="F8" s="13"/>
      <c r="G8" s="13"/>
      <c r="H8" s="13" t="s">
        <v>12</v>
      </c>
      <c r="I8" s="13"/>
      <c r="J8" s="13"/>
      <c r="K8" s="13" t="s">
        <v>7</v>
      </c>
      <c r="L8" s="13"/>
      <c r="N8" s="8" t="s">
        <v>8</v>
      </c>
      <c r="O8" s="8" t="s">
        <v>20</v>
      </c>
      <c r="P8" s="8"/>
      <c r="Q8" s="8" t="s">
        <v>21</v>
      </c>
      <c r="R8" s="8"/>
      <c r="S8" s="8"/>
    </row>
    <row r="9" spans="2:20" x14ac:dyDescent="0.45">
      <c r="B9" s="13"/>
      <c r="C9" s="3" t="s">
        <v>1</v>
      </c>
      <c r="D9" s="3" t="s">
        <v>2</v>
      </c>
      <c r="E9" s="2" t="s">
        <v>3</v>
      </c>
      <c r="F9" s="4" t="s">
        <v>4</v>
      </c>
      <c r="G9" s="5" t="s">
        <v>5</v>
      </c>
      <c r="H9" s="2" t="s">
        <v>3</v>
      </c>
      <c r="I9" s="4" t="s">
        <v>4</v>
      </c>
      <c r="J9" s="5" t="s">
        <v>5</v>
      </c>
      <c r="K9" s="3" t="s">
        <v>1</v>
      </c>
      <c r="L9" s="3" t="s">
        <v>2</v>
      </c>
      <c r="N9" s="8"/>
      <c r="O9" s="3" t="s">
        <v>1</v>
      </c>
      <c r="P9" s="3" t="s">
        <v>2</v>
      </c>
      <c r="Q9" s="2" t="s">
        <v>3</v>
      </c>
      <c r="R9" s="4" t="s">
        <v>4</v>
      </c>
      <c r="S9" s="5" t="s">
        <v>5</v>
      </c>
    </row>
    <row r="10" spans="2:20" x14ac:dyDescent="0.45">
      <c r="B10" s="2" t="s">
        <v>3</v>
      </c>
      <c r="C10" s="3">
        <v>0.71519999999999995</v>
      </c>
      <c r="D10" s="3">
        <v>0.28549999999999998</v>
      </c>
      <c r="E10" s="3">
        <v>255</v>
      </c>
      <c r="F10" s="3">
        <v>0</v>
      </c>
      <c r="G10" s="3">
        <v>0</v>
      </c>
      <c r="H10" s="7">
        <f>$G$4*E10/255</f>
        <v>13.167619047619048</v>
      </c>
      <c r="I10" s="7">
        <f>$G$5*F10/255</f>
        <v>0</v>
      </c>
      <c r="J10" s="7">
        <f>$G$6*G10/255</f>
        <v>0</v>
      </c>
      <c r="K10" s="3" t="s">
        <v>11</v>
      </c>
      <c r="L10" s="3" t="s">
        <v>11</v>
      </c>
      <c r="N10" s="2" t="s">
        <v>3</v>
      </c>
      <c r="O10" s="3">
        <v>0.71519999999999995</v>
      </c>
      <c r="P10" s="3">
        <v>0.28549999999999998</v>
      </c>
      <c r="Q10" s="3">
        <v>255</v>
      </c>
      <c r="R10" s="3">
        <v>0</v>
      </c>
      <c r="S10" s="3">
        <v>0</v>
      </c>
    </row>
    <row r="11" spans="2:20" x14ac:dyDescent="0.45">
      <c r="B11" s="4" t="s">
        <v>4</v>
      </c>
      <c r="C11" s="3">
        <v>0.1802</v>
      </c>
      <c r="D11" s="3">
        <v>0.72729999999999995</v>
      </c>
      <c r="E11" s="3">
        <v>0</v>
      </c>
      <c r="F11" s="3">
        <v>255</v>
      </c>
      <c r="G11" s="3">
        <v>0</v>
      </c>
      <c r="H11" s="7">
        <f>$G$4*E11/255</f>
        <v>0</v>
      </c>
      <c r="I11" s="7">
        <f>$G$5*F11/255</f>
        <v>11.501684981684981</v>
      </c>
      <c r="J11" s="7">
        <f>$G$6*G11/255</f>
        <v>0</v>
      </c>
      <c r="K11" s="3" t="s">
        <v>11</v>
      </c>
      <c r="L11" s="3" t="s">
        <v>11</v>
      </c>
      <c r="N11" s="4" t="s">
        <v>4</v>
      </c>
      <c r="O11" s="3">
        <v>0.1802</v>
      </c>
      <c r="P11" s="3">
        <v>0.72729999999999995</v>
      </c>
      <c r="Q11" s="3">
        <v>0</v>
      </c>
      <c r="R11" s="3">
        <v>255</v>
      </c>
      <c r="S11" s="3">
        <v>0</v>
      </c>
    </row>
    <row r="12" spans="2:20" x14ac:dyDescent="0.45">
      <c r="B12" s="5" t="s">
        <v>5</v>
      </c>
      <c r="C12" s="3">
        <v>0.14710000000000001</v>
      </c>
      <c r="D12" s="3">
        <v>5.7599999999999998E-2</v>
      </c>
      <c r="E12" s="3">
        <v>0</v>
      </c>
      <c r="F12" s="3">
        <v>0</v>
      </c>
      <c r="G12" s="3">
        <v>255</v>
      </c>
      <c r="H12" s="7">
        <f>$G$4*E12/255</f>
        <v>0</v>
      </c>
      <c r="I12" s="7">
        <f>$G$5*F12/255</f>
        <v>0</v>
      </c>
      <c r="J12" s="7">
        <f>$G$6*G12/255</f>
        <v>6.080000000000001</v>
      </c>
      <c r="K12" s="3" t="s">
        <v>11</v>
      </c>
      <c r="L12" s="3" t="s">
        <v>11</v>
      </c>
      <c r="N12" s="5" t="s">
        <v>5</v>
      </c>
      <c r="O12" s="3">
        <v>0.14710000000000001</v>
      </c>
      <c r="P12" s="3">
        <v>5.7599999999999998E-2</v>
      </c>
      <c r="Q12" s="3">
        <v>0</v>
      </c>
      <c r="R12" s="3">
        <v>0</v>
      </c>
      <c r="S12" s="3">
        <v>255</v>
      </c>
    </row>
    <row r="13" spans="2:20" x14ac:dyDescent="0.45">
      <c r="B13" s="3" t="s">
        <v>9</v>
      </c>
      <c r="C13" s="3">
        <v>0.312</v>
      </c>
      <c r="D13" s="3">
        <v>0.32800000000000001</v>
      </c>
      <c r="E13" s="3">
        <v>255</v>
      </c>
      <c r="F13" s="3">
        <v>255</v>
      </c>
      <c r="G13" s="3">
        <v>213</v>
      </c>
      <c r="H13" s="7">
        <f>$G$4*E13/255</f>
        <v>13.167619047619048</v>
      </c>
      <c r="I13" s="7">
        <f>$G$5*F13/255</f>
        <v>11.501684981684981</v>
      </c>
      <c r="J13" s="7">
        <f>$G$6*G13/255</f>
        <v>5.0785882352941183</v>
      </c>
      <c r="K13" s="3">
        <v>0.317</v>
      </c>
      <c r="L13" s="3">
        <v>0.32600000000000001</v>
      </c>
      <c r="N13" s="3" t="s">
        <v>9</v>
      </c>
      <c r="O13" s="3">
        <v>0.312</v>
      </c>
      <c r="P13" s="3">
        <v>0.32800000000000001</v>
      </c>
      <c r="Q13" s="3">
        <v>167</v>
      </c>
      <c r="R13" s="3">
        <v>190</v>
      </c>
      <c r="S13" s="3">
        <v>255</v>
      </c>
      <c r="T13" s="1" t="s">
        <v>22</v>
      </c>
    </row>
    <row r="14" spans="2:20" x14ac:dyDescent="0.45">
      <c r="B14" s="6" t="s">
        <v>10</v>
      </c>
      <c r="C14" s="3">
        <v>0.16400000000000001</v>
      </c>
      <c r="D14" s="3">
        <v>6.8000000000000005E-2</v>
      </c>
      <c r="E14" s="3">
        <v>15</v>
      </c>
      <c r="F14" s="3">
        <v>2</v>
      </c>
      <c r="G14" s="3">
        <v>255</v>
      </c>
      <c r="H14" s="7">
        <f>$G$4*E14/255</f>
        <v>0.77456582633053228</v>
      </c>
      <c r="I14" s="7">
        <f>$G$5*F14/255</f>
        <v>9.0209293973999849E-2</v>
      </c>
      <c r="J14" s="7">
        <f>$G$6*G14/255</f>
        <v>6.080000000000001</v>
      </c>
      <c r="K14" s="3">
        <v>0.16600000000000001</v>
      </c>
      <c r="L14" s="3">
        <v>6.8000000000000005E-2</v>
      </c>
      <c r="N14" s="6" t="s">
        <v>10</v>
      </c>
      <c r="O14" s="3">
        <v>0.16400000000000001</v>
      </c>
      <c r="P14" s="3">
        <v>6.8000000000000005E-2</v>
      </c>
      <c r="Q14" s="3">
        <v>8</v>
      </c>
      <c r="R14" s="3">
        <v>1</v>
      </c>
      <c r="S14" s="3">
        <v>255</v>
      </c>
      <c r="T14" s="1" t="s">
        <v>22</v>
      </c>
    </row>
  </sheetData>
  <mergeCells count="8">
    <mergeCell ref="K8:L8"/>
    <mergeCell ref="B8:B9"/>
    <mergeCell ref="H8:J8"/>
    <mergeCell ref="N3:P3"/>
    <mergeCell ref="B2:G2"/>
    <mergeCell ref="C3:D3"/>
    <mergeCell ref="C8:D8"/>
    <mergeCell ref="E8:G8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2025-04-10T00:37:25Z</dcterms:created>
  <dcterms:modified xsi:type="dcterms:W3CDTF">2025-04-24T00:23:28Z</dcterms:modified>
</cp:coreProperties>
</file>