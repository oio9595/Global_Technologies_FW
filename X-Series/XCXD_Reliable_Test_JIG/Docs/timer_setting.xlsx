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CXD_Reliable_Test_JIG\Docs\"/>
    </mc:Choice>
  </mc:AlternateContent>
  <xr:revisionPtr revIDLastSave="0" documentId="13_ncr:1_{FC71AE6B-E179-4C4C-8783-08B7F90FE0EE}" xr6:coauthVersionLast="47" xr6:coauthVersionMax="47" xr10:uidLastSave="{00000000-0000-0000-0000-000000000000}"/>
  <bookViews>
    <workbookView xWindow="-80" yWindow="-80" windowWidth="28960" windowHeight="17440" xr2:uid="{99A255A7-4B52-4891-88F0-7D8F7D353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8" i="1" s="1"/>
  <c r="K9" i="1" s="1"/>
  <c r="C12" i="1"/>
  <c r="D13" i="1" s="1"/>
  <c r="F13" i="1" s="1"/>
  <c r="C15" i="1" s="1"/>
  <c r="D15" i="1" s="1"/>
  <c r="C6" i="1"/>
  <c r="D7" i="1" s="1"/>
  <c r="F7" i="1" s="1"/>
  <c r="C8" i="1" s="1"/>
  <c r="C9" i="1" l="1"/>
</calcChain>
</file>

<file path=xl/sharedStrings.xml><?xml version="1.0" encoding="utf-8"?>
<sst xmlns="http://schemas.openxmlformats.org/spreadsheetml/2006/main" count="19" uniqueCount="16">
  <si>
    <t>TIM3</t>
    <phoneticPr fontId="1" type="noConversion"/>
  </si>
  <si>
    <t>TIM3_CLK</t>
    <phoneticPr fontId="1" type="noConversion"/>
  </si>
  <si>
    <t>PRE</t>
    <phoneticPr fontId="1" type="noConversion"/>
  </si>
  <si>
    <t>PERIOD</t>
    <phoneticPr fontId="1" type="noConversion"/>
  </si>
  <si>
    <t>TIM6</t>
    <phoneticPr fontId="1" type="noConversion"/>
  </si>
  <si>
    <t>APB1_TIM_CLK</t>
    <phoneticPr fontId="1" type="noConversion"/>
  </si>
  <si>
    <t>APB2_TIM_CLK</t>
    <phoneticPr fontId="1" type="noConversion"/>
  </si>
  <si>
    <t>120Hz</t>
    <phoneticPr fontId="1" type="noConversion"/>
  </si>
  <si>
    <t>1us delay</t>
    <phoneticPr fontId="1" type="noConversion"/>
  </si>
  <si>
    <t>65ms</t>
    <phoneticPr fontId="1" type="noConversion"/>
  </si>
  <si>
    <t>xd ch</t>
    <phoneticPr fontId="1" type="noConversion"/>
  </si>
  <si>
    <t>xd daisy</t>
    <phoneticPr fontId="1" type="noConversion"/>
  </si>
  <si>
    <t>xd block</t>
    <phoneticPr fontId="1" type="noConversion"/>
  </si>
  <si>
    <t>burst size</t>
    <phoneticPr fontId="1" type="noConversion"/>
  </si>
  <si>
    <t>repeat</t>
    <phoneticPr fontId="1" type="noConversion"/>
  </si>
  <si>
    <t>need ldim buff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</si>
</sst>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5ED7-C43E-4ECB-8237-D9720F5A13AE}">
  <dimension ref="B2:K15"/>
  <sheetViews>
    <sheetView tabSelected="1" workbookViewId="0"/>
  </sheetViews>
  <sheetFormatPr defaultRowHeight="17" x14ac:dyDescent="0.45"/>
  <cols>
    <col min="2" max="2" width="13.58203125" bestFit="1" customWidth="1"/>
    <col min="3" max="3" width="10.33203125" bestFit="1" customWidth="1"/>
    <col min="4" max="4" width="9.33203125" bestFit="1" customWidth="1"/>
    <col min="10" max="10" width="14.75" bestFit="1" customWidth="1"/>
  </cols>
  <sheetData>
    <row r="2" spans="2:11" x14ac:dyDescent="0.45">
      <c r="B2" t="s">
        <v>5</v>
      </c>
      <c r="C2">
        <v>72000000</v>
      </c>
    </row>
    <row r="3" spans="2:11" x14ac:dyDescent="0.45">
      <c r="B3" t="s">
        <v>6</v>
      </c>
      <c r="C3">
        <v>144000000</v>
      </c>
      <c r="J3" t="s">
        <v>10</v>
      </c>
      <c r="K3">
        <v>8</v>
      </c>
    </row>
    <row r="4" spans="2:11" x14ac:dyDescent="0.45">
      <c r="J4" t="s">
        <v>11</v>
      </c>
      <c r="K4">
        <v>31</v>
      </c>
    </row>
    <row r="5" spans="2:11" x14ac:dyDescent="0.45">
      <c r="B5" t="s">
        <v>0</v>
      </c>
      <c r="C5" t="s">
        <v>7</v>
      </c>
      <c r="J5" t="s">
        <v>12</v>
      </c>
      <c r="K5">
        <f>K4*K3</f>
        <v>248</v>
      </c>
    </row>
    <row r="6" spans="2:11" x14ac:dyDescent="0.45">
      <c r="B6" t="s">
        <v>1</v>
      </c>
      <c r="C6">
        <f>C2</f>
        <v>72000000</v>
      </c>
    </row>
    <row r="7" spans="2:11" x14ac:dyDescent="0.45">
      <c r="B7" t="s">
        <v>2</v>
      </c>
      <c r="C7">
        <v>11</v>
      </c>
      <c r="D7">
        <f>C6/(C7+1)</f>
        <v>6000000</v>
      </c>
      <c r="E7">
        <v>120</v>
      </c>
      <c r="F7">
        <f>D7/E7</f>
        <v>50000</v>
      </c>
      <c r="J7" t="s">
        <v>13</v>
      </c>
      <c r="K7">
        <v>16</v>
      </c>
    </row>
    <row r="8" spans="2:11" x14ac:dyDescent="0.45">
      <c r="B8" t="s">
        <v>3</v>
      </c>
      <c r="C8">
        <f>F7-1</f>
        <v>49999</v>
      </c>
      <c r="J8" t="s">
        <v>14</v>
      </c>
      <c r="K8">
        <f>ROUNDUP(K5/K7, 0)</f>
        <v>16</v>
      </c>
    </row>
    <row r="9" spans="2:11" x14ac:dyDescent="0.45">
      <c r="C9">
        <f>(C6/(C7+1))/(C8+1)</f>
        <v>120</v>
      </c>
      <c r="J9" t="s">
        <v>15</v>
      </c>
      <c r="K9">
        <f>K7*K8</f>
        <v>256</v>
      </c>
    </row>
    <row r="11" spans="2:11" x14ac:dyDescent="0.45">
      <c r="B11" t="s">
        <v>4</v>
      </c>
      <c r="C11" t="s">
        <v>8</v>
      </c>
    </row>
    <row r="12" spans="2:11" x14ac:dyDescent="0.45">
      <c r="B12" t="s">
        <v>1</v>
      </c>
      <c r="C12">
        <f>C2</f>
        <v>72000000</v>
      </c>
    </row>
    <row r="13" spans="2:11" x14ac:dyDescent="0.45">
      <c r="B13" t="s">
        <v>2</v>
      </c>
      <c r="C13">
        <v>71</v>
      </c>
      <c r="D13">
        <f>C12/(C13+1)</f>
        <v>1000000</v>
      </c>
      <c r="E13">
        <v>1000000</v>
      </c>
      <c r="F13">
        <f>D13/E13</f>
        <v>1</v>
      </c>
    </row>
    <row r="14" spans="2:11" x14ac:dyDescent="0.45">
      <c r="B14" t="s">
        <v>3</v>
      </c>
      <c r="C14">
        <v>65535</v>
      </c>
    </row>
    <row r="15" spans="2:11" x14ac:dyDescent="0.45">
      <c r="C15">
        <f>(C12/(C13+1))/(C14+1)</f>
        <v>15.2587890625</v>
      </c>
      <c r="D15">
        <f>1000000/C15</f>
        <v>65536</v>
      </c>
      <c r="E1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재민</dc:creator>
  <cp:lastModifiedBy>이 준영</cp:lastModifiedBy>
  <dcterms:created xsi:type="dcterms:W3CDTF">2024-06-17T01:17:05Z</dcterms:created>
  <dcterms:modified xsi:type="dcterms:W3CDTF">2025-04-22T07:05:10Z</dcterms:modified>
</cp:coreProperties>
</file>