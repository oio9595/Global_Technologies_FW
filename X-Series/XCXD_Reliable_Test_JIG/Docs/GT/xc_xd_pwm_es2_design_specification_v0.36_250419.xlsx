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3.xml" ContentType="application/vnd.openxmlformats-officedocument.drawing+xml"/>
  <Override PartName="/xl/comments10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CXD_Reliable_Test_JIG\Docs\GT\"/>
    </mc:Choice>
  </mc:AlternateContent>
  <xr:revisionPtr revIDLastSave="0" documentId="13_ncr:1_{736449BD-3F7B-4B79-998E-3605BFF46B54}" xr6:coauthVersionLast="47" xr6:coauthVersionMax="47" xr10:uidLastSave="{00000000-0000-0000-0000-000000000000}"/>
  <bookViews>
    <workbookView xWindow="43080" yWindow="5760" windowWidth="29040" windowHeight="15720" activeTab="2" xr2:uid="{6E253F25-89D9-4CFB-91D3-179DBBF2E33D}"/>
  </bookViews>
  <sheets>
    <sheet name="spi_protocol" sheetId="18" r:id="rId1"/>
    <sheet name="serial_protocol" sheetId="17" r:id="rId2"/>
    <sheet name="ld_transfer_thruput" sheetId="84" r:id="rId3"/>
    <sheet name="ld_transfer_thruput (2)" sheetId="86" r:id="rId4"/>
    <sheet name="qn90f_spec_summary (2)" sheetId="83" r:id="rId5"/>
    <sheet name="mclk_variable" sheetId="25" r:id="rId6"/>
    <sheet name="mclk_pwm" sheetId="14" r:id="rId7"/>
    <sheet name="mclk_transition1" sheetId="48" r:id="rId8"/>
    <sheet name="mclk_transition2" sheetId="52" r:id="rId9"/>
    <sheet name="mclk_transition3" sheetId="81" r:id="rId10"/>
    <sheet name="dac_vled_mapping" sheetId="35" r:id="rId11"/>
    <sheet name="dac_fomula" sheetId="31" r:id="rId12"/>
    <sheet name="fb_control SW@hw" sheetId="70" r:id="rId13"/>
    <sheet name="fb_control HW" sheetId="71" r:id="rId14"/>
    <sheet name="fbi_fbo" sheetId="74" r:id="rId15"/>
    <sheet name="fb_control HW_final" sheetId="73" r:id="rId16"/>
    <sheet name="fb_control HW_final (2)" sheetId="77" r:id="rId17"/>
    <sheet name="xc(mp)_reg" sheetId="20" r:id="rId18"/>
    <sheet name="xd12_pwm(mp)_reg" sheetId="15" r:id="rId19"/>
    <sheet name="Sheet1" sheetId="82" r:id="rId20"/>
    <sheet name="xd04_pwm(mp)_reg" sheetId="78" r:id="rId21"/>
    <sheet name="xd_bfi(es2)_reg" sheetId="64" r:id="rId22"/>
    <sheet name="xd_bfi(es2)_ld" sheetId="65" r:id="rId23"/>
    <sheet name="xd_bfi(es2)_mclk" sheetId="66" r:id="rId24"/>
    <sheet name="ext_vs&amp;fb" sheetId="9" r:id="rId25"/>
    <sheet name="package" sheetId="10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84" l="1"/>
  <c r="Q29" i="84"/>
  <c r="Q28" i="84"/>
  <c r="J6" i="84"/>
  <c r="K6" i="84"/>
  <c r="L6" i="84"/>
  <c r="M6" i="84"/>
  <c r="N6" i="84"/>
  <c r="O6" i="84"/>
  <c r="P6" i="84"/>
  <c r="Q6" i="84"/>
  <c r="R6" i="84"/>
  <c r="S6" i="84"/>
  <c r="T6" i="84"/>
  <c r="U6" i="84"/>
  <c r="V6" i="84"/>
  <c r="W6" i="84"/>
  <c r="X6" i="84"/>
  <c r="Y6" i="84"/>
  <c r="V4" i="84"/>
  <c r="W4" i="84" s="1"/>
  <c r="X4" i="84" s="1"/>
  <c r="BQ9" i="86"/>
  <c r="BR9" i="86"/>
  <c r="CA19" i="86"/>
  <c r="CB19" i="86"/>
  <c r="CC19" i="86"/>
  <c r="CD19" i="86"/>
  <c r="CE19" i="86"/>
  <c r="CF19" i="86"/>
  <c r="CG19" i="86"/>
  <c r="CH19" i="86"/>
  <c r="CI19" i="86"/>
  <c r="CJ19" i="86"/>
  <c r="CK19" i="86"/>
  <c r="CL19" i="86"/>
  <c r="CM19" i="86"/>
  <c r="CN19" i="86"/>
  <c r="BZ19" i="86"/>
  <c r="BS9" i="86"/>
  <c r="BT9" i="86"/>
  <c r="BU9" i="86"/>
  <c r="BV9" i="86"/>
  <c r="BW9" i="86"/>
  <c r="BX9" i="86"/>
  <c r="BY9" i="86"/>
  <c r="BZ9" i="86"/>
  <c r="CA9" i="86"/>
  <c r="CB9" i="86"/>
  <c r="CC9" i="86"/>
  <c r="CD9" i="86"/>
  <c r="CE9" i="86"/>
  <c r="CF9" i="86"/>
  <c r="CG9" i="86"/>
  <c r="CH9" i="86"/>
  <c r="CI9" i="86"/>
  <c r="CJ9" i="86"/>
  <c r="CK9" i="86"/>
  <c r="CL9" i="86"/>
  <c r="CM9" i="86"/>
  <c r="CN9" i="86"/>
  <c r="C9" i="86"/>
  <c r="V6" i="86"/>
  <c r="W6" i="86"/>
  <c r="X6" i="86"/>
  <c r="Y6" i="86"/>
  <c r="Z6" i="86"/>
  <c r="AA6" i="86"/>
  <c r="AB6" i="86"/>
  <c r="AC6" i="86"/>
  <c r="AD6" i="86"/>
  <c r="AE6" i="86"/>
  <c r="AF6" i="86"/>
  <c r="AG6" i="86"/>
  <c r="AH6" i="86"/>
  <c r="AI6" i="86"/>
  <c r="AJ6" i="86"/>
  <c r="AK6" i="86"/>
  <c r="AL6" i="86"/>
  <c r="AM6" i="86"/>
  <c r="AN6" i="86"/>
  <c r="AO6" i="86"/>
  <c r="AP6" i="86"/>
  <c r="AQ6" i="86"/>
  <c r="AR6" i="86"/>
  <c r="AS6" i="86"/>
  <c r="AT6" i="86"/>
  <c r="AU6" i="86"/>
  <c r="AV6" i="86"/>
  <c r="AW6" i="86"/>
  <c r="AX6" i="86"/>
  <c r="AY6" i="86"/>
  <c r="AZ6" i="86"/>
  <c r="BA6" i="86"/>
  <c r="BB6" i="86"/>
  <c r="BC6" i="86"/>
  <c r="BD6" i="86"/>
  <c r="BE6" i="86"/>
  <c r="BF6" i="86"/>
  <c r="BG6" i="86"/>
  <c r="BH6" i="86"/>
  <c r="BI6" i="86"/>
  <c r="BJ6" i="86"/>
  <c r="BK6" i="86"/>
  <c r="BL6" i="86"/>
  <c r="BM6" i="86"/>
  <c r="BN6" i="86"/>
  <c r="BO6" i="86"/>
  <c r="BP6" i="86"/>
  <c r="BQ6" i="86"/>
  <c r="BR6" i="86"/>
  <c r="BS6" i="86"/>
  <c r="BT6" i="86"/>
  <c r="BU6" i="86"/>
  <c r="BV6" i="86"/>
  <c r="BW6" i="86"/>
  <c r="BX6" i="86"/>
  <c r="BY6" i="86"/>
  <c r="BZ6" i="86"/>
  <c r="CA6" i="86"/>
  <c r="CB6" i="86"/>
  <c r="CC6" i="86"/>
  <c r="CD6" i="86"/>
  <c r="CE6" i="86"/>
  <c r="CF6" i="86"/>
  <c r="CG6" i="86"/>
  <c r="CH6" i="86"/>
  <c r="CI6" i="86"/>
  <c r="CJ6" i="86"/>
  <c r="CK6" i="86"/>
  <c r="CL6" i="86"/>
  <c r="CM6" i="86"/>
  <c r="CN6" i="86"/>
  <c r="U16" i="86"/>
  <c r="U6" i="86"/>
  <c r="C19" i="86"/>
  <c r="D42" i="86" l="1"/>
  <c r="C40" i="86"/>
  <c r="D32" i="86"/>
  <c r="C31" i="86"/>
  <c r="G31" i="86" s="1"/>
  <c r="G29" i="86" s="1"/>
  <c r="C30" i="86"/>
  <c r="D33" i="86" s="1"/>
  <c r="C28" i="86"/>
  <c r="G28" i="86" s="1"/>
  <c r="G26" i="86"/>
  <c r="C24" i="86"/>
  <c r="C16" i="86"/>
  <c r="I14" i="86"/>
  <c r="J14" i="86" s="1"/>
  <c r="K14" i="86" s="1"/>
  <c r="L14" i="86" s="1"/>
  <c r="M14" i="86" s="1"/>
  <c r="N14" i="86" s="1"/>
  <c r="O14" i="86" s="1"/>
  <c r="P14" i="86" s="1"/>
  <c r="Q14" i="86" s="1"/>
  <c r="R14" i="86" s="1"/>
  <c r="S14" i="86" s="1"/>
  <c r="T14" i="86" s="1"/>
  <c r="C5" i="86"/>
  <c r="C6" i="86" s="1"/>
  <c r="L4" i="86"/>
  <c r="M4" i="86" s="1"/>
  <c r="N4" i="86" s="1"/>
  <c r="O4" i="86" s="1"/>
  <c r="P4" i="86" s="1"/>
  <c r="I4" i="86"/>
  <c r="J4" i="86" s="1"/>
  <c r="K4" i="86" s="1"/>
  <c r="Q4" i="86" l="1"/>
  <c r="R4" i="86" s="1"/>
  <c r="S4" i="86" s="1"/>
  <c r="T4" i="86" s="1"/>
  <c r="U4" i="86" s="1"/>
  <c r="V4" i="86" s="1"/>
  <c r="W4" i="86" s="1"/>
  <c r="X4" i="86" s="1"/>
  <c r="Y4" i="86" s="1"/>
  <c r="Z4" i="86" s="1"/>
  <c r="AA4" i="86" s="1"/>
  <c r="AB4" i="86" s="1"/>
  <c r="AC4" i="86" s="1"/>
  <c r="AD4" i="86" s="1"/>
  <c r="AE4" i="86" s="1"/>
  <c r="AF4" i="86" s="1"/>
  <c r="AG4" i="86" s="1"/>
  <c r="AH4" i="86" s="1"/>
  <c r="AI4" i="86" s="1"/>
  <c r="AJ4" i="86" s="1"/>
  <c r="AK4" i="86" s="1"/>
  <c r="AL4" i="86" s="1"/>
  <c r="AM4" i="86" s="1"/>
  <c r="AN4" i="86" s="1"/>
  <c r="AO4" i="86" s="1"/>
  <c r="AP4" i="86" s="1"/>
  <c r="AQ4" i="86" s="1"/>
  <c r="AR4" i="86" s="1"/>
  <c r="AS4" i="86" s="1"/>
  <c r="AT4" i="86" s="1"/>
  <c r="AU4" i="86" s="1"/>
  <c r="AV4" i="86" s="1"/>
  <c r="AW4" i="86" s="1"/>
  <c r="AX4" i="86" s="1"/>
  <c r="AY4" i="86" s="1"/>
  <c r="AZ4" i="86" s="1"/>
  <c r="BA4" i="86" s="1"/>
  <c r="BB4" i="86" s="1"/>
  <c r="BC4" i="86" s="1"/>
  <c r="BD4" i="86" s="1"/>
  <c r="BE4" i="86" s="1"/>
  <c r="BF4" i="86" s="1"/>
  <c r="BG4" i="86" s="1"/>
  <c r="BH4" i="86" s="1"/>
  <c r="BI4" i="86" s="1"/>
  <c r="BJ4" i="86" s="1"/>
  <c r="BK4" i="86" s="1"/>
  <c r="BL4" i="86" s="1"/>
  <c r="BM4" i="86" s="1"/>
  <c r="BN4" i="86" s="1"/>
  <c r="BO4" i="86" s="1"/>
  <c r="BP4" i="86" s="1"/>
  <c r="BQ4" i="86" s="1"/>
  <c r="BR4" i="86" s="1"/>
  <c r="BS4" i="86" s="1"/>
  <c r="BT4" i="86" s="1"/>
  <c r="BU4" i="86" s="1"/>
  <c r="BV4" i="86" s="1"/>
  <c r="BW4" i="86" s="1"/>
  <c r="BX4" i="86" s="1"/>
  <c r="BY4" i="86" s="1"/>
  <c r="BZ4" i="86" s="1"/>
  <c r="CA4" i="86" s="1"/>
  <c r="CB4" i="86" s="1"/>
  <c r="CM16" i="86"/>
  <c r="CE16" i="86"/>
  <c r="BW16" i="86"/>
  <c r="BO16" i="86"/>
  <c r="BG16" i="86"/>
  <c r="AY16" i="86"/>
  <c r="AQ16" i="86"/>
  <c r="AI16" i="86"/>
  <c r="AA16" i="86"/>
  <c r="BI16" i="86"/>
  <c r="AC16" i="86"/>
  <c r="CL16" i="86"/>
  <c r="CD16" i="86"/>
  <c r="BV16" i="86"/>
  <c r="BN16" i="86"/>
  <c r="BF16" i="86"/>
  <c r="AX16" i="86"/>
  <c r="AP16" i="86"/>
  <c r="AH16" i="86"/>
  <c r="Z16" i="86"/>
  <c r="CK16" i="86"/>
  <c r="CC16" i="86"/>
  <c r="BU16" i="86"/>
  <c r="BM16" i="86"/>
  <c r="BE16" i="86"/>
  <c r="AW16" i="86"/>
  <c r="AO16" i="86"/>
  <c r="AG16" i="86"/>
  <c r="Y16" i="86"/>
  <c r="CJ16" i="86"/>
  <c r="CB16" i="86"/>
  <c r="BT16" i="86"/>
  <c r="BL16" i="86"/>
  <c r="BD16" i="86"/>
  <c r="AV16" i="86"/>
  <c r="AN16" i="86"/>
  <c r="AF16" i="86"/>
  <c r="X16" i="86"/>
  <c r="U14" i="86"/>
  <c r="V14" i="86" s="1"/>
  <c r="W14" i="86" s="1"/>
  <c r="X14" i="86" s="1"/>
  <c r="Y14" i="86" s="1"/>
  <c r="Z14" i="86" s="1"/>
  <c r="AA14" i="86" s="1"/>
  <c r="AB14" i="86" s="1"/>
  <c r="AC14" i="86" s="1"/>
  <c r="AD14" i="86" s="1"/>
  <c r="AE14" i="86" s="1"/>
  <c r="AF14" i="86" s="1"/>
  <c r="AG14" i="86" s="1"/>
  <c r="AH14" i="86" s="1"/>
  <c r="AI14" i="86" s="1"/>
  <c r="AJ14" i="86" s="1"/>
  <c r="AK14" i="86" s="1"/>
  <c r="AL14" i="86" s="1"/>
  <c r="AM14" i="86" s="1"/>
  <c r="AN14" i="86" s="1"/>
  <c r="AO14" i="86" s="1"/>
  <c r="AP14" i="86" s="1"/>
  <c r="AQ14" i="86" s="1"/>
  <c r="AR14" i="86" s="1"/>
  <c r="AS14" i="86" s="1"/>
  <c r="AT14" i="86" s="1"/>
  <c r="AU14" i="86" s="1"/>
  <c r="AV14" i="86" s="1"/>
  <c r="AW14" i="86" s="1"/>
  <c r="AX14" i="86" s="1"/>
  <c r="AY14" i="86" s="1"/>
  <c r="AZ14" i="86" s="1"/>
  <c r="BA14" i="86" s="1"/>
  <c r="BB14" i="86" s="1"/>
  <c r="BC14" i="86" s="1"/>
  <c r="BD14" i="86" s="1"/>
  <c r="BE14" i="86" s="1"/>
  <c r="BF14" i="86" s="1"/>
  <c r="BG14" i="86" s="1"/>
  <c r="BH14" i="86" s="1"/>
  <c r="BI14" i="86" s="1"/>
  <c r="BJ14" i="86" s="1"/>
  <c r="BK14" i="86" s="1"/>
  <c r="BL14" i="86" s="1"/>
  <c r="BM14" i="86" s="1"/>
  <c r="BN14" i="86" s="1"/>
  <c r="BO14" i="86" s="1"/>
  <c r="BP14" i="86" s="1"/>
  <c r="BQ14" i="86" s="1"/>
  <c r="BR14" i="86" s="1"/>
  <c r="BS14" i="86" s="1"/>
  <c r="BT14" i="86" s="1"/>
  <c r="BU14" i="86" s="1"/>
  <c r="BV14" i="86" s="1"/>
  <c r="BW14" i="86" s="1"/>
  <c r="BX14" i="86" s="1"/>
  <c r="BY14" i="86" s="1"/>
  <c r="BZ14" i="86" s="1"/>
  <c r="CA14" i="86" s="1"/>
  <c r="CB14" i="86" s="1"/>
  <c r="CG16" i="86"/>
  <c r="BA16" i="86"/>
  <c r="CI16" i="86"/>
  <c r="CA16" i="86"/>
  <c r="BS16" i="86"/>
  <c r="BK16" i="86"/>
  <c r="BC16" i="86"/>
  <c r="AU16" i="86"/>
  <c r="AM16" i="86"/>
  <c r="AE16" i="86"/>
  <c r="W16" i="86"/>
  <c r="BY16" i="86"/>
  <c r="AS16" i="86"/>
  <c r="CH16" i="86"/>
  <c r="BZ16" i="86"/>
  <c r="BR16" i="86"/>
  <c r="BJ16" i="86"/>
  <c r="BB16" i="86"/>
  <c r="AT16" i="86"/>
  <c r="AL16" i="86"/>
  <c r="AD16" i="86"/>
  <c r="V16" i="86"/>
  <c r="BQ16" i="86"/>
  <c r="AK16" i="86"/>
  <c r="AR16" i="86"/>
  <c r="AJ16" i="86"/>
  <c r="CN16" i="86"/>
  <c r="AB16" i="86"/>
  <c r="BP16" i="86"/>
  <c r="AZ16" i="86"/>
  <c r="CF16" i="86"/>
  <c r="BX16" i="86"/>
  <c r="BH16" i="86"/>
  <c r="D43" i="86"/>
  <c r="C43" i="86"/>
  <c r="F43" i="86" s="1"/>
  <c r="G32" i="86"/>
  <c r="F32" i="86"/>
  <c r="C41" i="86"/>
  <c r="F42" i="86"/>
  <c r="G42" i="86"/>
  <c r="C33" i="86"/>
  <c r="F33" i="86" s="1"/>
  <c r="C16" i="84"/>
  <c r="C6" i="84"/>
  <c r="C5" i="84"/>
  <c r="B3" i="81"/>
  <c r="I14" i="84"/>
  <c r="J14" i="84" s="1"/>
  <c r="K14" i="84" s="1"/>
  <c r="L14" i="84" s="1"/>
  <c r="M14" i="84" s="1"/>
  <c r="N14" i="84" s="1"/>
  <c r="O14" i="84" s="1"/>
  <c r="P14" i="84" s="1"/>
  <c r="Q14" i="84" s="1"/>
  <c r="R14" i="84" s="1"/>
  <c r="S14" i="84" s="1"/>
  <c r="T14" i="84" s="1"/>
  <c r="G28" i="84"/>
  <c r="F32" i="84"/>
  <c r="H21" i="83"/>
  <c r="F21" i="83"/>
  <c r="G21" i="83"/>
  <c r="C20" i="83"/>
  <c r="D42" i="84"/>
  <c r="C40" i="84"/>
  <c r="G32" i="84" s="1"/>
  <c r="D32" i="84"/>
  <c r="C31" i="84" s="1"/>
  <c r="G31" i="84" s="1"/>
  <c r="G29" i="84" s="1"/>
  <c r="C30" i="84"/>
  <c r="C33" i="84" s="1"/>
  <c r="C28" i="84"/>
  <c r="C24" i="84"/>
  <c r="G26" i="84" s="1"/>
  <c r="D27" i="83"/>
  <c r="C19" i="84"/>
  <c r="I4" i="84"/>
  <c r="J4" i="84" s="1"/>
  <c r="K4" i="84" s="1"/>
  <c r="L4" i="84" s="1"/>
  <c r="M4" i="84" s="1"/>
  <c r="N4" i="84" s="1"/>
  <c r="O4" i="84" s="1"/>
  <c r="P4" i="84" s="1"/>
  <c r="Q4" i="84" l="1"/>
  <c r="R4" i="84" s="1"/>
  <c r="S4" i="84" s="1"/>
  <c r="T4" i="84" s="1"/>
  <c r="IU6" i="84"/>
  <c r="JQ6" i="84"/>
  <c r="ET6" i="84"/>
  <c r="FP6" i="84"/>
  <c r="GL6" i="84"/>
  <c r="HH6" i="84"/>
  <c r="CW6" i="84"/>
  <c r="DS6" i="84"/>
  <c r="EI6" i="84"/>
  <c r="GB6" i="84"/>
  <c r="FH6" i="84"/>
  <c r="IO6" i="84"/>
  <c r="HG6" i="84"/>
  <c r="HZ6" i="84"/>
  <c r="IV6" i="84"/>
  <c r="JR6" i="84"/>
  <c r="EU6" i="84"/>
  <c r="FQ6" i="84"/>
  <c r="GM6" i="84"/>
  <c r="HI6" i="84"/>
  <c r="CX6" i="84"/>
  <c r="DT6" i="84"/>
  <c r="JA6" i="84"/>
  <c r="FV6" i="84"/>
  <c r="GR6" i="84"/>
  <c r="CG6" i="84"/>
  <c r="II6" i="84"/>
  <c r="HR6" i="84"/>
  <c r="FF6" i="84"/>
  <c r="CM6" i="84"/>
  <c r="HU6" i="84"/>
  <c r="DK6" i="84"/>
  <c r="HA6" i="84"/>
  <c r="HX6" i="84"/>
  <c r="IP6" i="84"/>
  <c r="HD6" i="84"/>
  <c r="IR6" i="84"/>
  <c r="CT6" i="84"/>
  <c r="ER6" i="84"/>
  <c r="FO6" i="84"/>
  <c r="CV6" i="84"/>
  <c r="IA6" i="84"/>
  <c r="IW6" i="84"/>
  <c r="JS6" i="84"/>
  <c r="DZ6" i="84"/>
  <c r="EV6" i="84"/>
  <c r="FR6" i="84"/>
  <c r="GN6" i="84"/>
  <c r="HJ6" i="84"/>
  <c r="CC6" i="84"/>
  <c r="CY6" i="84"/>
  <c r="DU6" i="84"/>
  <c r="ED6" i="84"/>
  <c r="DY6" i="84"/>
  <c r="JE6" i="84"/>
  <c r="DG6" i="84"/>
  <c r="FE6" i="84"/>
  <c r="DH6" i="84"/>
  <c r="GC6" i="84"/>
  <c r="HV6" i="84"/>
  <c r="GE6" i="84"/>
  <c r="EN6" i="84"/>
  <c r="HY6" i="84"/>
  <c r="IQ6" i="84"/>
  <c r="FN6" i="84"/>
  <c r="GK6" i="84"/>
  <c r="IB6" i="84"/>
  <c r="IX6" i="84"/>
  <c r="JT6" i="84"/>
  <c r="EA6" i="84"/>
  <c r="EW6" i="84"/>
  <c r="FS6" i="84"/>
  <c r="GO6" i="84"/>
  <c r="HK6" i="84"/>
  <c r="CD6" i="84"/>
  <c r="CZ6" i="84"/>
  <c r="DV6" i="84"/>
  <c r="DX6" i="84"/>
  <c r="EZ6" i="84"/>
  <c r="DC6" i="84"/>
  <c r="HQ6" i="84"/>
  <c r="FD6" i="84"/>
  <c r="CK6" i="84"/>
  <c r="IJ6" i="84"/>
  <c r="JG6" i="84"/>
  <c r="GX6" i="84"/>
  <c r="EK6" i="84"/>
  <c r="DJ6" i="84"/>
  <c r="EL6" i="84"/>
  <c r="CO6" i="84"/>
  <c r="FI6" i="84"/>
  <c r="FJ6" i="84"/>
  <c r="DM6" i="84"/>
  <c r="DN6" i="84"/>
  <c r="GH6" i="84"/>
  <c r="DP6" i="84"/>
  <c r="JO6" i="84"/>
  <c r="ES6" i="84"/>
  <c r="IC6" i="84"/>
  <c r="IY6" i="84"/>
  <c r="JU6" i="84"/>
  <c r="EB6" i="84"/>
  <c r="EX6" i="84"/>
  <c r="FT6" i="84"/>
  <c r="GP6" i="84"/>
  <c r="HL6" i="84"/>
  <c r="CE6" i="84"/>
  <c r="DA6" i="84"/>
  <c r="DW6" i="84"/>
  <c r="CJ6" i="84"/>
  <c r="FZ6" i="84"/>
  <c r="GA6" i="84"/>
  <c r="IK6" i="84"/>
  <c r="GY6" i="84"/>
  <c r="GD6" i="84"/>
  <c r="EM6" i="84"/>
  <c r="DL6" i="84"/>
  <c r="HB6" i="84"/>
  <c r="GG6" i="84"/>
  <c r="CR6" i="84"/>
  <c r="JM6" i="84"/>
  <c r="HE6" i="84"/>
  <c r="IS6" i="84"/>
  <c r="ID6" i="84"/>
  <c r="IZ6" i="84"/>
  <c r="EC6" i="84"/>
  <c r="EY6" i="84"/>
  <c r="FU6" i="84"/>
  <c r="GQ6" i="84"/>
  <c r="HM6" i="84"/>
  <c r="CF6" i="84"/>
  <c r="DB6" i="84"/>
  <c r="HN6" i="84"/>
  <c r="EH6" i="84"/>
  <c r="GW6" i="84"/>
  <c r="DI6" i="84"/>
  <c r="JL6" i="84"/>
  <c r="GI6" i="84"/>
  <c r="CU6" i="84"/>
  <c r="DR6" i="84"/>
  <c r="IE6" i="84"/>
  <c r="IF6" i="84"/>
  <c r="JB6" i="84"/>
  <c r="EE6" i="84"/>
  <c r="FA6" i="84"/>
  <c r="FW6" i="84"/>
  <c r="GS6" i="84"/>
  <c r="HO6" i="84"/>
  <c r="CH6" i="84"/>
  <c r="DD6" i="84"/>
  <c r="JD6" i="84"/>
  <c r="FY6" i="84"/>
  <c r="GV6" i="84"/>
  <c r="HS6" i="84"/>
  <c r="FG6" i="84"/>
  <c r="JJ6" i="84"/>
  <c r="HC6" i="84"/>
  <c r="FM6" i="84"/>
  <c r="IG6" i="84"/>
  <c r="JC6" i="84"/>
  <c r="EF6" i="84"/>
  <c r="FB6" i="84"/>
  <c r="FX6" i="84"/>
  <c r="GT6" i="84"/>
  <c r="HP6" i="84"/>
  <c r="CI6" i="84"/>
  <c r="DE6" i="84"/>
  <c r="IH6" i="84"/>
  <c r="EG6" i="84"/>
  <c r="FC6" i="84"/>
  <c r="GU6" i="84"/>
  <c r="DF6" i="84"/>
  <c r="JF6" i="84"/>
  <c r="CL6" i="84"/>
  <c r="EJ6" i="84"/>
  <c r="HT6" i="84"/>
  <c r="JH6" i="84"/>
  <c r="CN6" i="84"/>
  <c r="JI6" i="84"/>
  <c r="HW6" i="84"/>
  <c r="JK6" i="84"/>
  <c r="CQ6" i="84"/>
  <c r="EO6" i="84"/>
  <c r="EP6" i="84"/>
  <c r="DO6" i="84"/>
  <c r="EQ6" i="84"/>
  <c r="HF6" i="84"/>
  <c r="JP6" i="84"/>
  <c r="GZ6" i="84"/>
  <c r="IL6" i="84"/>
  <c r="IN6" i="84"/>
  <c r="CP6" i="84"/>
  <c r="GF6" i="84"/>
  <c r="FK6" i="84"/>
  <c r="FL6" i="84"/>
  <c r="CS6" i="84"/>
  <c r="JN6" i="84"/>
  <c r="GJ6" i="84"/>
  <c r="DQ6" i="84"/>
  <c r="IT6" i="84"/>
  <c r="IM6" i="84"/>
  <c r="U14" i="84"/>
  <c r="V14" i="84" s="1"/>
  <c r="W14" i="84" s="1"/>
  <c r="X14" i="84" s="1"/>
  <c r="Y14" i="84" s="1"/>
  <c r="Z14" i="84" s="1"/>
  <c r="AA14" i="84" s="1"/>
  <c r="AB14" i="84" s="1"/>
  <c r="AC14" i="84" s="1"/>
  <c r="AD14" i="84" s="1"/>
  <c r="AE14" i="84" s="1"/>
  <c r="AF14" i="84" s="1"/>
  <c r="AG14" i="84" s="1"/>
  <c r="AH14" i="84" s="1"/>
  <c r="AI14" i="84" s="1"/>
  <c r="AJ14" i="84" s="1"/>
  <c r="AK14" i="84" s="1"/>
  <c r="AL14" i="84" s="1"/>
  <c r="AM14" i="84" s="1"/>
  <c r="AN14" i="84" s="1"/>
  <c r="AO14" i="84" s="1"/>
  <c r="AP14" i="84" s="1"/>
  <c r="AQ14" i="84" s="1"/>
  <c r="AR14" i="84" s="1"/>
  <c r="AS14" i="84" s="1"/>
  <c r="AT14" i="84" s="1"/>
  <c r="AU14" i="84" s="1"/>
  <c r="AV14" i="84" s="1"/>
  <c r="AW14" i="84" s="1"/>
  <c r="AX14" i="84" s="1"/>
  <c r="AY14" i="84" s="1"/>
  <c r="AZ14" i="84" s="1"/>
  <c r="BA14" i="84" s="1"/>
  <c r="BB14" i="84" s="1"/>
  <c r="BC14" i="84" s="1"/>
  <c r="BD14" i="84" s="1"/>
  <c r="BE14" i="84" s="1"/>
  <c r="BF14" i="84" s="1"/>
  <c r="BG14" i="84" s="1"/>
  <c r="AA16" i="84"/>
  <c r="AI16" i="84"/>
  <c r="AQ16" i="84"/>
  <c r="AY16" i="84"/>
  <c r="AY18" i="84" s="1"/>
  <c r="AY19" i="84" s="1"/>
  <c r="BG16" i="84"/>
  <c r="BO16" i="84"/>
  <c r="BO18" i="84" s="1"/>
  <c r="BO19" i="84" s="1"/>
  <c r="BW16" i="84"/>
  <c r="CE16" i="84"/>
  <c r="CM16" i="84"/>
  <c r="AM16" i="84"/>
  <c r="BS16" i="84"/>
  <c r="AN16" i="84"/>
  <c r="BT16" i="84"/>
  <c r="AB16" i="84"/>
  <c r="AJ16" i="84"/>
  <c r="AJ18" i="84" s="1"/>
  <c r="AJ19" i="84" s="1"/>
  <c r="AR16" i="84"/>
  <c r="AR18" i="84" s="1"/>
  <c r="AR19" i="84" s="1"/>
  <c r="AZ16" i="84"/>
  <c r="BH16" i="84"/>
  <c r="BP16" i="84"/>
  <c r="BX16" i="84"/>
  <c r="CF16" i="84"/>
  <c r="U16" i="84"/>
  <c r="U18" i="84" s="1"/>
  <c r="U19" i="84" s="1"/>
  <c r="AE16" i="84"/>
  <c r="AE18" i="84" s="1"/>
  <c r="AE19" i="84" s="1"/>
  <c r="BK16" i="84"/>
  <c r="AV16" i="84"/>
  <c r="CB16" i="84"/>
  <c r="AP16" i="84"/>
  <c r="AP18" i="84" s="1"/>
  <c r="AP19" i="84" s="1"/>
  <c r="BF16" i="84"/>
  <c r="CD16" i="84"/>
  <c r="AC16" i="84"/>
  <c r="AC18" i="84" s="1"/>
  <c r="AC19" i="84" s="1"/>
  <c r="AK16" i="84"/>
  <c r="AK18" i="84" s="1"/>
  <c r="AK19" i="84" s="1"/>
  <c r="AS16" i="84"/>
  <c r="AS18" i="84" s="1"/>
  <c r="AS19" i="84" s="1"/>
  <c r="BA16" i="84"/>
  <c r="BI16" i="84"/>
  <c r="BQ16" i="84"/>
  <c r="BY16" i="84"/>
  <c r="CG16" i="84"/>
  <c r="CN16" i="84"/>
  <c r="AU16" i="84"/>
  <c r="CA16" i="84"/>
  <c r="X16" i="84"/>
  <c r="BD16" i="84"/>
  <c r="CJ16" i="84"/>
  <c r="CL16" i="84"/>
  <c r="V16" i="84"/>
  <c r="V18" i="84" s="1"/>
  <c r="V19" i="84" s="1"/>
  <c r="AD16" i="84"/>
  <c r="AD18" i="84" s="1"/>
  <c r="AD19" i="84" s="1"/>
  <c r="AL16" i="84"/>
  <c r="AL18" i="84" s="1"/>
  <c r="AL19" i="84" s="1"/>
  <c r="AT16" i="84"/>
  <c r="AT18" i="84" s="1"/>
  <c r="AT19" i="84" s="1"/>
  <c r="BB16" i="84"/>
  <c r="BJ16" i="84"/>
  <c r="BR16" i="84"/>
  <c r="BR18" i="84" s="1"/>
  <c r="BR19" i="84" s="1"/>
  <c r="BZ16" i="84"/>
  <c r="CH16" i="84"/>
  <c r="W16" i="84"/>
  <c r="W18" i="84" s="1"/>
  <c r="W19" i="84" s="1"/>
  <c r="BC16" i="84"/>
  <c r="BC18" i="84" s="1"/>
  <c r="BC19" i="84" s="1"/>
  <c r="CI16" i="84"/>
  <c r="AF16" i="84"/>
  <c r="BL16" i="84"/>
  <c r="Z16" i="84"/>
  <c r="AX16" i="84"/>
  <c r="BV16" i="84"/>
  <c r="AH16" i="84"/>
  <c r="AH18" i="84" s="1"/>
  <c r="AH19" i="84" s="1"/>
  <c r="BN16" i="84"/>
  <c r="Y16" i="84"/>
  <c r="Y18" i="84" s="1"/>
  <c r="Y19" i="84" s="1"/>
  <c r="AG16" i="84"/>
  <c r="AO16" i="84"/>
  <c r="AW16" i="84"/>
  <c r="BE16" i="84"/>
  <c r="BM16" i="84"/>
  <c r="BU16" i="84"/>
  <c r="CC16" i="84"/>
  <c r="CK16" i="84"/>
  <c r="BV6" i="84"/>
  <c r="BN6" i="84"/>
  <c r="BF6" i="84"/>
  <c r="AX6" i="84"/>
  <c r="S8" i="84"/>
  <c r="S9" i="84" s="1"/>
  <c r="J8" i="84"/>
  <c r="J9" i="84" s="1"/>
  <c r="BU6" i="84"/>
  <c r="BE6" i="84"/>
  <c r="BL6" i="84"/>
  <c r="CA6" i="84"/>
  <c r="BK6" i="84"/>
  <c r="BC6" i="84"/>
  <c r="BZ6" i="84"/>
  <c r="BR6" i="84"/>
  <c r="BJ6" i="84"/>
  <c r="BB6" i="84"/>
  <c r="O8" i="84"/>
  <c r="O9" i="84" s="1"/>
  <c r="BM6" i="84"/>
  <c r="BT6" i="84"/>
  <c r="BX6" i="84"/>
  <c r="BP6" i="84"/>
  <c r="BH6" i="84"/>
  <c r="AZ6" i="84"/>
  <c r="U8" i="84"/>
  <c r="U9" i="84" s="1"/>
  <c r="M8" i="84"/>
  <c r="M9" i="84" s="1"/>
  <c r="AW6" i="84"/>
  <c r="CB6" i="84"/>
  <c r="BD6" i="84"/>
  <c r="BS6" i="84"/>
  <c r="BY6" i="84"/>
  <c r="BQ6" i="84"/>
  <c r="BI6" i="84"/>
  <c r="BA6" i="84"/>
  <c r="BW6" i="84"/>
  <c r="BO6" i="84"/>
  <c r="BG6" i="84"/>
  <c r="AY6" i="84"/>
  <c r="T8" i="84"/>
  <c r="T9" i="84" s="1"/>
  <c r="Q8" i="84"/>
  <c r="Q9" i="84" s="1"/>
  <c r="P8" i="84"/>
  <c r="P9" i="84" s="1"/>
  <c r="D33" i="84"/>
  <c r="F33" i="84" s="1"/>
  <c r="F42" i="84"/>
  <c r="AF18" i="84"/>
  <c r="AF19" i="84" s="1"/>
  <c r="C41" i="84"/>
  <c r="AN18" i="84"/>
  <c r="AN19" i="84" s="1"/>
  <c r="C43" i="84"/>
  <c r="F43" i="84" s="1"/>
  <c r="D43" i="84"/>
  <c r="AO18" i="84"/>
  <c r="AO19" i="84" s="1"/>
  <c r="AA18" i="84"/>
  <c r="AA19" i="84" s="1"/>
  <c r="AQ18" i="84"/>
  <c r="AQ19" i="84" s="1"/>
  <c r="AI18" i="84"/>
  <c r="AI19" i="84" s="1"/>
  <c r="X18" i="84"/>
  <c r="X19" i="84" s="1"/>
  <c r="AG18" i="84"/>
  <c r="AG19" i="84" s="1"/>
  <c r="AM18" i="84"/>
  <c r="AM19" i="84" s="1"/>
  <c r="AU18" i="84"/>
  <c r="AU19" i="84" s="1"/>
  <c r="G42" i="84"/>
  <c r="BD18" i="84"/>
  <c r="BD19" i="84" s="1"/>
  <c r="Z18" i="84"/>
  <c r="Z19" i="84" s="1"/>
  <c r="U4" i="84"/>
  <c r="AQ4" i="84" s="1"/>
  <c r="AR4" i="84" s="1"/>
  <c r="AS4" i="84" s="1"/>
  <c r="AT4" i="84" s="1"/>
  <c r="AU4" i="84" s="1"/>
  <c r="AV4" i="84" s="1"/>
  <c r="AW4" i="84" s="1"/>
  <c r="AX4" i="84" s="1"/>
  <c r="AY4" i="84" s="1"/>
  <c r="AZ4" i="84" s="1"/>
  <c r="BA4" i="84" s="1"/>
  <c r="BB4" i="84" s="1"/>
  <c r="BC4" i="84" s="1"/>
  <c r="N8" i="84"/>
  <c r="N9" i="84" s="1"/>
  <c r="R8" i="84"/>
  <c r="R9" i="84" s="1"/>
  <c r="K8" i="84"/>
  <c r="K9" i="84" s="1"/>
  <c r="H6" i="83"/>
  <c r="L8" i="84" l="1"/>
  <c r="L9" i="84" s="1"/>
  <c r="BH14" i="84"/>
  <c r="BS18" i="84"/>
  <c r="BS19" i="84" s="1"/>
  <c r="BA18" i="84"/>
  <c r="BA19" i="84" s="1"/>
  <c r="BB18" i="84"/>
  <c r="BB19" i="84" s="1"/>
  <c r="BE18" i="84"/>
  <c r="BE19" i="84" s="1"/>
  <c r="AW18" i="84"/>
  <c r="AW19" i="84" s="1"/>
  <c r="BH18" i="84"/>
  <c r="BH19" i="84" s="1"/>
  <c r="AZ18" i="84"/>
  <c r="AZ19" i="84" s="1"/>
  <c r="BQ18" i="84"/>
  <c r="BQ19" i="84" s="1"/>
  <c r="BD4" i="84"/>
  <c r="BE4" i="84" s="1"/>
  <c r="BI18" i="84"/>
  <c r="BI19" i="84" s="1"/>
  <c r="BP18" i="84"/>
  <c r="BP19" i="84" s="1"/>
  <c r="BG18" i="84"/>
  <c r="BG19" i="84" s="1"/>
  <c r="BM18" i="84"/>
  <c r="BM19" i="84" s="1"/>
  <c r="AX18" i="84"/>
  <c r="AX19" i="84" s="1"/>
  <c r="BN18" i="84"/>
  <c r="BN19" i="84" s="1"/>
  <c r="BL18" i="84"/>
  <c r="BL19" i="84" s="1"/>
  <c r="AV18" i="84"/>
  <c r="AV19" i="84" s="1"/>
  <c r="BK18" i="84"/>
  <c r="BK19" i="84" s="1"/>
  <c r="BF18" i="84"/>
  <c r="BF19" i="84" s="1"/>
  <c r="AB18" i="84"/>
  <c r="AB19" i="84" s="1"/>
  <c r="BJ18" i="84"/>
  <c r="BJ19" i="84" s="1"/>
  <c r="BG8" i="84"/>
  <c r="BG9" i="84" s="1"/>
  <c r="AW8" i="84"/>
  <c r="AW9" i="84" s="1"/>
  <c r="BC8" i="84"/>
  <c r="BC9" i="84" s="1"/>
  <c r="AY8" i="84"/>
  <c r="AY9" i="84" s="1"/>
  <c r="AF8" i="84"/>
  <c r="AF9" i="84" s="1"/>
  <c r="BI8" i="84"/>
  <c r="BI9" i="84" s="1"/>
  <c r="AB8" i="84"/>
  <c r="AB9" i="84" s="1"/>
  <c r="AX8" i="84"/>
  <c r="AX9" i="84" s="1"/>
  <c r="BD8" i="84"/>
  <c r="BD9" i="84" s="1"/>
  <c r="X8" i="84"/>
  <c r="X9" i="84" s="1"/>
  <c r="AE8" i="84"/>
  <c r="AE9" i="84" s="1"/>
  <c r="BA8" i="84"/>
  <c r="BA9" i="84" s="1"/>
  <c r="BJ8" i="84"/>
  <c r="BJ9" i="84" s="1"/>
  <c r="AN8" i="84"/>
  <c r="AN9" i="84" s="1"/>
  <c r="BF8" i="84"/>
  <c r="BF9" i="84" s="1"/>
  <c r="Z8" i="84"/>
  <c r="Z9" i="84" s="1"/>
  <c r="AM8" i="84"/>
  <c r="AM9" i="84" s="1"/>
  <c r="AI8" i="84"/>
  <c r="AI9" i="84" s="1"/>
  <c r="AO8" i="84"/>
  <c r="AO9" i="84" s="1"/>
  <c r="W8" i="84"/>
  <c r="W9" i="84" s="1"/>
  <c r="AL8" i="84"/>
  <c r="AL9" i="84" s="1"/>
  <c r="AC8" i="84"/>
  <c r="AC9" i="84" s="1"/>
  <c r="AZ8" i="84"/>
  <c r="AZ9" i="84" s="1"/>
  <c r="AJ8" i="84"/>
  <c r="AJ9" i="84" s="1"/>
  <c r="AA8" i="84"/>
  <c r="AA9" i="84" s="1"/>
  <c r="AG8" i="84"/>
  <c r="AG9" i="84" s="1"/>
  <c r="AD8" i="84"/>
  <c r="AD9" i="84" s="1"/>
  <c r="AK8" i="84"/>
  <c r="AK9" i="84" s="1"/>
  <c r="Y8" i="84"/>
  <c r="Y9" i="84" s="1"/>
  <c r="BH8" i="84"/>
  <c r="BH9" i="84" s="1"/>
  <c r="V8" i="84"/>
  <c r="V9" i="84" s="1"/>
  <c r="AH8" i="84"/>
  <c r="AH9" i="84" s="1"/>
  <c r="BB8" i="84"/>
  <c r="BB9" i="84" s="1"/>
  <c r="BE8" i="84"/>
  <c r="BE9" i="84" s="1"/>
  <c r="BK8" i="84"/>
  <c r="BK9" i="84" s="1"/>
  <c r="D37" i="83"/>
  <c r="C35" i="83"/>
  <c r="D38" i="83" s="1"/>
  <c r="C25" i="83"/>
  <c r="C23" i="83"/>
  <c r="C19" i="83"/>
  <c r="J14" i="83"/>
  <c r="G14" i="83"/>
  <c r="F14" i="83"/>
  <c r="K14" i="83" s="1"/>
  <c r="L14" i="83" s="1"/>
  <c r="J13" i="83"/>
  <c r="G13" i="83"/>
  <c r="F13" i="83"/>
  <c r="J12" i="83"/>
  <c r="G12" i="83"/>
  <c r="X5" i="83" s="1"/>
  <c r="F12" i="83"/>
  <c r="J11" i="83"/>
  <c r="G11" i="83"/>
  <c r="X4" i="83" s="1"/>
  <c r="F11" i="83"/>
  <c r="X7" i="83"/>
  <c r="Q7" i="83"/>
  <c r="K7" i="83"/>
  <c r="J7" i="83"/>
  <c r="L7" i="83" s="1"/>
  <c r="H7" i="83"/>
  <c r="Q6" i="83"/>
  <c r="K6" i="83"/>
  <c r="J6" i="83"/>
  <c r="L6" i="83" s="1"/>
  <c r="Q5" i="83"/>
  <c r="K5" i="83"/>
  <c r="J5" i="83"/>
  <c r="L5" i="83" s="1"/>
  <c r="M5" i="83" s="1"/>
  <c r="E5" i="83"/>
  <c r="Q4" i="83"/>
  <c r="K4" i="83"/>
  <c r="J4" i="83"/>
  <c r="L4" i="83" s="1"/>
  <c r="H4" i="83"/>
  <c r="H13" i="82"/>
  <c r="H20" i="82"/>
  <c r="H19" i="82"/>
  <c r="H18" i="82"/>
  <c r="H17" i="82"/>
  <c r="H16" i="82"/>
  <c r="L11" i="82"/>
  <c r="K11" i="82"/>
  <c r="H12" i="82"/>
  <c r="H11" i="82"/>
  <c r="H10" i="82"/>
  <c r="H9" i="82"/>
  <c r="H8" i="82"/>
  <c r="CT39" i="81"/>
  <c r="BR39" i="81"/>
  <c r="BV39" i="81"/>
  <c r="BZ39" i="81"/>
  <c r="CD39" i="81"/>
  <c r="CH39" i="81"/>
  <c r="CL39" i="81"/>
  <c r="CP39" i="81"/>
  <c r="AT39" i="81"/>
  <c r="AP39" i="81"/>
  <c r="AL39" i="81"/>
  <c r="N39" i="81"/>
  <c r="R39" i="81"/>
  <c r="V39" i="81"/>
  <c r="Z39" i="81"/>
  <c r="AD39" i="81"/>
  <c r="AH39" i="81"/>
  <c r="J39" i="81"/>
  <c r="F39" i="81"/>
  <c r="EP14" i="81"/>
  <c r="DN14" i="81"/>
  <c r="DR14" i="81"/>
  <c r="DV14" i="81"/>
  <c r="DZ14" i="81"/>
  <c r="ED14" i="81"/>
  <c r="EH14" i="81"/>
  <c r="EL14" i="81"/>
  <c r="AT14" i="81"/>
  <c r="AP14" i="81"/>
  <c r="AL14" i="81"/>
  <c r="R14" i="81"/>
  <c r="V14" i="81"/>
  <c r="Z14" i="81"/>
  <c r="AD14" i="81"/>
  <c r="AH14" i="81"/>
  <c r="N14" i="81"/>
  <c r="J14" i="81"/>
  <c r="F14" i="81"/>
  <c r="BI14" i="84" l="1"/>
  <c r="BT18" i="84"/>
  <c r="BT19" i="84" s="1"/>
  <c r="BL8" i="84"/>
  <c r="BL9" i="84" s="1"/>
  <c r="BF4" i="84"/>
  <c r="BM8" i="84"/>
  <c r="BM9" i="84" s="1"/>
  <c r="H23" i="83"/>
  <c r="G23" i="83"/>
  <c r="K13" i="83"/>
  <c r="L13" i="83" s="1"/>
  <c r="H14" i="83"/>
  <c r="C26" i="83"/>
  <c r="G26" i="83" s="1"/>
  <c r="G37" i="83"/>
  <c r="M7" i="83"/>
  <c r="N7" i="83" s="1"/>
  <c r="O7" i="83" s="1"/>
  <c r="R7" i="83" s="1"/>
  <c r="S7" i="83" s="1"/>
  <c r="M4" i="83"/>
  <c r="U4" i="83" s="1"/>
  <c r="I21" i="83"/>
  <c r="C36" i="83"/>
  <c r="C38" i="83"/>
  <c r="E38" i="83" s="1"/>
  <c r="M6" i="83"/>
  <c r="U6" i="83" s="1"/>
  <c r="F27" i="83"/>
  <c r="X6" i="83"/>
  <c r="H11" i="83"/>
  <c r="F37" i="83"/>
  <c r="K11" i="83"/>
  <c r="L11" i="83" s="1"/>
  <c r="U7" i="83"/>
  <c r="N6" i="83"/>
  <c r="O6" i="83" s="1"/>
  <c r="R6" i="83" s="1"/>
  <c r="S6" i="83" s="1"/>
  <c r="N5" i="83"/>
  <c r="O5" i="83" s="1"/>
  <c r="R5" i="83" s="1"/>
  <c r="S5" i="83" s="1"/>
  <c r="U5" i="83"/>
  <c r="M13" i="83"/>
  <c r="N13" i="83" s="1"/>
  <c r="H12" i="83"/>
  <c r="H5" i="83"/>
  <c r="M11" i="83"/>
  <c r="N11" i="83" s="1"/>
  <c r="K12" i="83"/>
  <c r="L12" i="83" s="1"/>
  <c r="G27" i="83"/>
  <c r="M14" i="83"/>
  <c r="N14" i="83" s="1"/>
  <c r="H13" i="83"/>
  <c r="M12" i="83"/>
  <c r="N12" i="83" s="1"/>
  <c r="C28" i="83"/>
  <c r="D28" i="83"/>
  <c r="AX28" i="81"/>
  <c r="AX39" i="81" s="1"/>
  <c r="AX3" i="81"/>
  <c r="BJ14" i="84" l="1"/>
  <c r="BU18" i="84"/>
  <c r="BU19" i="84" s="1"/>
  <c r="BG4" i="84"/>
  <c r="BN8" i="84"/>
  <c r="BN9" i="84" s="1"/>
  <c r="N4" i="83"/>
  <c r="O4" i="83" s="1"/>
  <c r="R4" i="83" s="1"/>
  <c r="S4" i="83" s="1"/>
  <c r="E28" i="83"/>
  <c r="O12" i="83"/>
  <c r="Q12" i="83" s="1"/>
  <c r="P12" i="83"/>
  <c r="P13" i="83"/>
  <c r="O13" i="83"/>
  <c r="Q13" i="83" s="1"/>
  <c r="W5" i="83"/>
  <c r="V5" i="83"/>
  <c r="P11" i="83"/>
  <c r="O11" i="83"/>
  <c r="Q11" i="83" s="1"/>
  <c r="V6" i="83"/>
  <c r="W6" i="83"/>
  <c r="W7" i="83"/>
  <c r="V7" i="83"/>
  <c r="P14" i="83"/>
  <c r="O14" i="83"/>
  <c r="Q14" i="83" s="1"/>
  <c r="W4" i="83"/>
  <c r="V4" i="83"/>
  <c r="BB3" i="81"/>
  <c r="BB14" i="81" s="1"/>
  <c r="AX14" i="81"/>
  <c r="BB28" i="81"/>
  <c r="BB39" i="81" s="1"/>
  <c r="J46" i="81"/>
  <c r="N46" i="81" s="1"/>
  <c r="R46" i="81" s="1"/>
  <c r="V46" i="81" s="1"/>
  <c r="Z46" i="81" s="1"/>
  <c r="AD46" i="81" s="1"/>
  <c r="AH46" i="81" s="1"/>
  <c r="AL46" i="81" s="1"/>
  <c r="AP46" i="81" s="1"/>
  <c r="AT46" i="81" s="1"/>
  <c r="AX46" i="81" s="1"/>
  <c r="BB46" i="81" s="1"/>
  <c r="BF46" i="81" s="1"/>
  <c r="BJ46" i="81" s="1"/>
  <c r="BN46" i="81" s="1"/>
  <c r="BR46" i="81" s="1"/>
  <c r="BV46" i="81" s="1"/>
  <c r="BZ46" i="81" s="1"/>
  <c r="CD46" i="81" s="1"/>
  <c r="CH46" i="81" s="1"/>
  <c r="CL46" i="81" s="1"/>
  <c r="CP46" i="81" s="1"/>
  <c r="CT46" i="81" s="1"/>
  <c r="J43" i="81"/>
  <c r="N43" i="81" s="1"/>
  <c r="R43" i="81" s="1"/>
  <c r="V43" i="81" s="1"/>
  <c r="Z43" i="81" s="1"/>
  <c r="AD43" i="81" s="1"/>
  <c r="AH43" i="81" s="1"/>
  <c r="AL43" i="81" s="1"/>
  <c r="AP43" i="81" s="1"/>
  <c r="AT43" i="81" s="1"/>
  <c r="AX43" i="81" s="1"/>
  <c r="BB43" i="81" s="1"/>
  <c r="BF43" i="81" s="1"/>
  <c r="BJ43" i="81" s="1"/>
  <c r="BN43" i="81" s="1"/>
  <c r="BR43" i="81" s="1"/>
  <c r="BV43" i="81" s="1"/>
  <c r="BZ43" i="81" s="1"/>
  <c r="CD43" i="81" s="1"/>
  <c r="CH43" i="81" s="1"/>
  <c r="CL43" i="81" s="1"/>
  <c r="CP43" i="81" s="1"/>
  <c r="CT43" i="81" s="1"/>
  <c r="J35" i="81"/>
  <c r="N35" i="81" s="1"/>
  <c r="R35" i="81" s="1"/>
  <c r="V35" i="81" s="1"/>
  <c r="Z35" i="81" s="1"/>
  <c r="AD35" i="81" s="1"/>
  <c r="AH35" i="81" s="1"/>
  <c r="AL35" i="81" s="1"/>
  <c r="AP35" i="81" s="1"/>
  <c r="AT35" i="81" s="1"/>
  <c r="AX35" i="81" s="1"/>
  <c r="BB35" i="81" s="1"/>
  <c r="BF35" i="81" s="1"/>
  <c r="BJ35" i="81" s="1"/>
  <c r="BN35" i="81" s="1"/>
  <c r="BR35" i="81" s="1"/>
  <c r="BV35" i="81" s="1"/>
  <c r="BZ35" i="81" s="1"/>
  <c r="CD35" i="81" s="1"/>
  <c r="CH35" i="81" s="1"/>
  <c r="CL35" i="81" s="1"/>
  <c r="CP35" i="81" s="1"/>
  <c r="CT35" i="81" s="1"/>
  <c r="J32" i="81"/>
  <c r="N32" i="81" s="1"/>
  <c r="R32" i="81" s="1"/>
  <c r="V32" i="81" s="1"/>
  <c r="Z32" i="81" s="1"/>
  <c r="AD32" i="81" s="1"/>
  <c r="AH32" i="81" s="1"/>
  <c r="AL32" i="81" s="1"/>
  <c r="AP32" i="81" s="1"/>
  <c r="AT32" i="81" s="1"/>
  <c r="AX32" i="81" s="1"/>
  <c r="BB32" i="81" s="1"/>
  <c r="BF32" i="81" s="1"/>
  <c r="BJ32" i="81" s="1"/>
  <c r="BN32" i="81" s="1"/>
  <c r="BR32" i="81" s="1"/>
  <c r="BV32" i="81" s="1"/>
  <c r="BZ32" i="81" s="1"/>
  <c r="CD32" i="81" s="1"/>
  <c r="CH32" i="81" s="1"/>
  <c r="CL32" i="81" s="1"/>
  <c r="CP32" i="81" s="1"/>
  <c r="CT32" i="81" s="1"/>
  <c r="C28" i="81"/>
  <c r="B28" i="81"/>
  <c r="J21" i="81"/>
  <c r="N21" i="81" s="1"/>
  <c r="R21" i="81" s="1"/>
  <c r="V21" i="81" s="1"/>
  <c r="Z21" i="81" s="1"/>
  <c r="AD21" i="81" s="1"/>
  <c r="AH21" i="81" s="1"/>
  <c r="AL21" i="81" s="1"/>
  <c r="AP21" i="81" s="1"/>
  <c r="AT21" i="81" s="1"/>
  <c r="AX21" i="81" s="1"/>
  <c r="BB21" i="81" s="1"/>
  <c r="BF21" i="81" s="1"/>
  <c r="BJ21" i="81" s="1"/>
  <c r="BN21" i="81" s="1"/>
  <c r="BR21" i="81" s="1"/>
  <c r="BV21" i="81" s="1"/>
  <c r="BZ21" i="81" s="1"/>
  <c r="CD21" i="81" s="1"/>
  <c r="CH21" i="81" s="1"/>
  <c r="CL21" i="81" s="1"/>
  <c r="CP21" i="81" s="1"/>
  <c r="CT21" i="81" s="1"/>
  <c r="CX21" i="81" s="1"/>
  <c r="DB21" i="81" s="1"/>
  <c r="DF21" i="81" s="1"/>
  <c r="DJ21" i="81" s="1"/>
  <c r="DN21" i="81" s="1"/>
  <c r="DR21" i="81" s="1"/>
  <c r="DV21" i="81" s="1"/>
  <c r="DZ21" i="81" s="1"/>
  <c r="ED21" i="81" s="1"/>
  <c r="EH21" i="81" s="1"/>
  <c r="EL21" i="81" s="1"/>
  <c r="EP21" i="81" s="1"/>
  <c r="J18" i="81"/>
  <c r="N18" i="81" s="1"/>
  <c r="R18" i="81" s="1"/>
  <c r="V18" i="81" s="1"/>
  <c r="Z18" i="81" s="1"/>
  <c r="AD18" i="81" s="1"/>
  <c r="AH18" i="81" s="1"/>
  <c r="AL18" i="81" s="1"/>
  <c r="AP18" i="81" s="1"/>
  <c r="AT18" i="81" s="1"/>
  <c r="AX18" i="81" s="1"/>
  <c r="BB18" i="81" s="1"/>
  <c r="BF18" i="81" s="1"/>
  <c r="BJ18" i="81" s="1"/>
  <c r="BN18" i="81" s="1"/>
  <c r="BR18" i="81" s="1"/>
  <c r="BV18" i="81" s="1"/>
  <c r="BZ18" i="81" s="1"/>
  <c r="CD18" i="81" s="1"/>
  <c r="CH18" i="81" s="1"/>
  <c r="CL18" i="81" s="1"/>
  <c r="CP18" i="81" s="1"/>
  <c r="CT18" i="81" s="1"/>
  <c r="CX18" i="81" s="1"/>
  <c r="DB18" i="81" s="1"/>
  <c r="DF18" i="81" s="1"/>
  <c r="DJ18" i="81" s="1"/>
  <c r="DN18" i="81" s="1"/>
  <c r="DR18" i="81" s="1"/>
  <c r="DV18" i="81" s="1"/>
  <c r="DZ18" i="81" s="1"/>
  <c r="ED18" i="81" s="1"/>
  <c r="EH18" i="81" s="1"/>
  <c r="EL18" i="81" s="1"/>
  <c r="EP18" i="81" s="1"/>
  <c r="J10" i="81"/>
  <c r="N10" i="81" s="1"/>
  <c r="R10" i="81" s="1"/>
  <c r="V10" i="81" s="1"/>
  <c r="Z10" i="81" s="1"/>
  <c r="AD10" i="81" s="1"/>
  <c r="AH10" i="81" s="1"/>
  <c r="AL10" i="81" s="1"/>
  <c r="AP10" i="81" s="1"/>
  <c r="AT10" i="81" s="1"/>
  <c r="AX10" i="81" s="1"/>
  <c r="BB10" i="81" s="1"/>
  <c r="BF10" i="81" s="1"/>
  <c r="BJ10" i="81" s="1"/>
  <c r="BN10" i="81" s="1"/>
  <c r="BR10" i="81" s="1"/>
  <c r="BV10" i="81" s="1"/>
  <c r="BZ10" i="81" s="1"/>
  <c r="CD10" i="81" s="1"/>
  <c r="CH10" i="81" s="1"/>
  <c r="CL10" i="81" s="1"/>
  <c r="CP10" i="81" s="1"/>
  <c r="CT10" i="81" s="1"/>
  <c r="CX10" i="81" s="1"/>
  <c r="DB10" i="81" s="1"/>
  <c r="DF10" i="81" s="1"/>
  <c r="DJ10" i="81" s="1"/>
  <c r="DN10" i="81" s="1"/>
  <c r="DR10" i="81" s="1"/>
  <c r="DV10" i="81" s="1"/>
  <c r="DZ10" i="81" s="1"/>
  <c r="ED10" i="81" s="1"/>
  <c r="EH10" i="81" s="1"/>
  <c r="EL10" i="81" s="1"/>
  <c r="EP10" i="81" s="1"/>
  <c r="J7" i="81"/>
  <c r="N7" i="81" s="1"/>
  <c r="R7" i="81" s="1"/>
  <c r="V7" i="81" s="1"/>
  <c r="Z7" i="81" s="1"/>
  <c r="AD7" i="81" s="1"/>
  <c r="AH7" i="81" s="1"/>
  <c r="AL7" i="81" s="1"/>
  <c r="AP7" i="81" s="1"/>
  <c r="AT7" i="81" s="1"/>
  <c r="AX7" i="81" s="1"/>
  <c r="BB7" i="81" s="1"/>
  <c r="BF7" i="81" s="1"/>
  <c r="BJ7" i="81" s="1"/>
  <c r="BN7" i="81" s="1"/>
  <c r="BR7" i="81" s="1"/>
  <c r="BV7" i="81" s="1"/>
  <c r="BZ7" i="81" s="1"/>
  <c r="CD7" i="81" s="1"/>
  <c r="CH7" i="81" s="1"/>
  <c r="CL7" i="81" s="1"/>
  <c r="CP7" i="81" s="1"/>
  <c r="CT7" i="81" s="1"/>
  <c r="CX7" i="81" s="1"/>
  <c r="DB7" i="81" s="1"/>
  <c r="DF7" i="81" s="1"/>
  <c r="DJ7" i="81" s="1"/>
  <c r="DN7" i="81" s="1"/>
  <c r="DR7" i="81" s="1"/>
  <c r="DV7" i="81" s="1"/>
  <c r="DZ7" i="81" s="1"/>
  <c r="ED7" i="81" s="1"/>
  <c r="EH7" i="81" s="1"/>
  <c r="EL7" i="81" s="1"/>
  <c r="EP7" i="81" s="1"/>
  <c r="AB15" i="48"/>
  <c r="Z32" i="48"/>
  <c r="M13" i="48"/>
  <c r="R24" i="14"/>
  <c r="S24" i="14"/>
  <c r="T24" i="14"/>
  <c r="U24" i="14"/>
  <c r="V24" i="14"/>
  <c r="W24" i="14"/>
  <c r="X24" i="14"/>
  <c r="Y24" i="14"/>
  <c r="Q24" i="14"/>
  <c r="E24" i="14"/>
  <c r="F24" i="14"/>
  <c r="G24" i="14"/>
  <c r="H24" i="14"/>
  <c r="I24" i="14"/>
  <c r="J24" i="14"/>
  <c r="K24" i="14"/>
  <c r="L24" i="14"/>
  <c r="D24" i="14"/>
  <c r="Q10" i="14"/>
  <c r="B32" i="48"/>
  <c r="B45" i="78"/>
  <c r="BK14" i="84" l="1"/>
  <c r="BV18" i="84"/>
  <c r="BV19" i="84" s="1"/>
  <c r="BH4" i="84"/>
  <c r="BO8" i="84"/>
  <c r="BO9" i="84" s="1"/>
  <c r="H24" i="83"/>
  <c r="I24" i="83"/>
  <c r="G29" i="83"/>
  <c r="G30" i="83" s="1"/>
  <c r="G31" i="83" s="1"/>
  <c r="BF3" i="81"/>
  <c r="BJ3" i="81"/>
  <c r="BF14" i="81"/>
  <c r="CT36" i="81"/>
  <c r="AT36" i="81"/>
  <c r="BR36" i="81"/>
  <c r="BV36" i="81"/>
  <c r="CD36" i="81"/>
  <c r="CH36" i="81"/>
  <c r="CP36" i="81"/>
  <c r="BZ36" i="81"/>
  <c r="CL36" i="81"/>
  <c r="B39" i="81"/>
  <c r="F47" i="81" s="1"/>
  <c r="AX36" i="81"/>
  <c r="AP36" i="81"/>
  <c r="N36" i="81"/>
  <c r="J36" i="81"/>
  <c r="Z36" i="81"/>
  <c r="AD36" i="81"/>
  <c r="AH36" i="81"/>
  <c r="R36" i="81"/>
  <c r="F36" i="81"/>
  <c r="V36" i="81"/>
  <c r="AL36" i="81"/>
  <c r="BB36" i="81"/>
  <c r="BF28" i="81"/>
  <c r="BF39" i="81" s="1"/>
  <c r="V47" i="81"/>
  <c r="C39" i="81"/>
  <c r="D15" i="48"/>
  <c r="BL14" i="84" l="1"/>
  <c r="BW18" i="84"/>
  <c r="BW19" i="84" s="1"/>
  <c r="BI4" i="84"/>
  <c r="BP8" i="84"/>
  <c r="BP9" i="84" s="1"/>
  <c r="C3" i="81"/>
  <c r="BF11" i="81" s="1"/>
  <c r="C3" i="52"/>
  <c r="Z47" i="81"/>
  <c r="J47" i="81"/>
  <c r="AL47" i="81"/>
  <c r="BJ14" i="81"/>
  <c r="BN3" i="81"/>
  <c r="R47" i="81"/>
  <c r="N47" i="81"/>
  <c r="AP47" i="81"/>
  <c r="AH47" i="81"/>
  <c r="AD47" i="81"/>
  <c r="CT47" i="81"/>
  <c r="BR47" i="81"/>
  <c r="BB47" i="81"/>
  <c r="CD47" i="81"/>
  <c r="CH47" i="81"/>
  <c r="CL47" i="81"/>
  <c r="CP47" i="81"/>
  <c r="BV47" i="81"/>
  <c r="AX47" i="81"/>
  <c r="BZ47" i="81"/>
  <c r="BF47" i="81"/>
  <c r="AT47" i="81"/>
  <c r="BJ28" i="81"/>
  <c r="BJ39" i="81" s="1"/>
  <c r="BJ47" i="81" s="1"/>
  <c r="BF36" i="81"/>
  <c r="B35" i="15"/>
  <c r="B36" i="15"/>
  <c r="B41" i="64"/>
  <c r="B39" i="64"/>
  <c r="BM14" i="84" l="1"/>
  <c r="BX18" i="84"/>
  <c r="BX19" i="84" s="1"/>
  <c r="BJ4" i="84"/>
  <c r="BQ8" i="84"/>
  <c r="BQ9" i="84" s="1"/>
  <c r="AX11" i="81"/>
  <c r="DV11" i="81"/>
  <c r="AT11" i="81"/>
  <c r="EH11" i="81"/>
  <c r="BJ11" i="81"/>
  <c r="DN11" i="81"/>
  <c r="DZ11" i="81"/>
  <c r="ED11" i="81"/>
  <c r="EL11" i="81"/>
  <c r="EP11" i="81"/>
  <c r="DR11" i="81"/>
  <c r="B14" i="81"/>
  <c r="BB11" i="81"/>
  <c r="BN14" i="81"/>
  <c r="BR3" i="81"/>
  <c r="BN11" i="81"/>
  <c r="BN28" i="81"/>
  <c r="BJ36" i="81"/>
  <c r="C73" i="9"/>
  <c r="C72" i="9"/>
  <c r="C75" i="9" s="1"/>
  <c r="B38" i="78"/>
  <c r="B39" i="78" s="1"/>
  <c r="B40" i="78" s="1"/>
  <c r="B41" i="78" s="1"/>
  <c r="B42" i="78" s="1"/>
  <c r="B43" i="78" s="1"/>
  <c r="B46" i="78" s="1"/>
  <c r="B47" i="78" s="1"/>
  <c r="B48" i="78" s="1"/>
  <c r="B31" i="78"/>
  <c r="B32" i="78" s="1"/>
  <c r="B33" i="78" s="1"/>
  <c r="B34" i="78" s="1"/>
  <c r="B35" i="78" s="1"/>
  <c r="B4" i="78"/>
  <c r="B5" i="78" s="1"/>
  <c r="B6" i="78" s="1"/>
  <c r="B8" i="78" s="1"/>
  <c r="B9" i="78" s="1"/>
  <c r="B10" i="78" s="1"/>
  <c r="B11" i="78" s="1"/>
  <c r="B12" i="78" s="1"/>
  <c r="B13" i="78" s="1"/>
  <c r="B14" i="78" s="1"/>
  <c r="B15" i="78" s="1"/>
  <c r="B16" i="78" s="1"/>
  <c r="B17" i="78" s="1"/>
  <c r="BN14" i="84" l="1"/>
  <c r="BY18" i="84"/>
  <c r="BY19" i="84" s="1"/>
  <c r="BK4" i="84"/>
  <c r="BR8" i="84"/>
  <c r="BR9" i="84" s="1"/>
  <c r="AH22" i="81"/>
  <c r="J22" i="81"/>
  <c r="Z22" i="81"/>
  <c r="R22" i="81"/>
  <c r="F22" i="81"/>
  <c r="AP22" i="81"/>
  <c r="AL22" i="81"/>
  <c r="N22" i="81"/>
  <c r="V22" i="81"/>
  <c r="AD22" i="81"/>
  <c r="BN36" i="81"/>
  <c r="BN39" i="81"/>
  <c r="BN47" i="81" s="1"/>
  <c r="BR14" i="81"/>
  <c r="BV3" i="81"/>
  <c r="BR11" i="81"/>
  <c r="B19" i="78"/>
  <c r="B20" i="78" s="1"/>
  <c r="B21" i="78" s="1"/>
  <c r="B22" i="78" s="1"/>
  <c r="B24" i="78" s="1"/>
  <c r="B25" i="78" s="1"/>
  <c r="B26" i="78" s="1"/>
  <c r="B27" i="78" s="1"/>
  <c r="B28" i="78" s="1"/>
  <c r="FG26" i="77"/>
  <c r="FE26" i="77"/>
  <c r="FE25" i="77"/>
  <c r="FG25" i="77" s="1"/>
  <c r="FI25" i="77" s="1"/>
  <c r="FG24" i="77"/>
  <c r="FE24" i="77"/>
  <c r="FI23" i="77"/>
  <c r="FH24" i="77" s="1"/>
  <c r="FI24" i="77" s="1"/>
  <c r="FH25" i="77" s="1"/>
  <c r="FG23" i="77"/>
  <c r="FG23" i="73"/>
  <c r="BO14" i="84" l="1"/>
  <c r="BZ18" i="84"/>
  <c r="BZ19" i="84" s="1"/>
  <c r="BL4" i="84"/>
  <c r="BS8" i="84"/>
  <c r="BS9" i="84" s="1"/>
  <c r="BV14" i="81"/>
  <c r="BV11" i="81"/>
  <c r="BZ3" i="81"/>
  <c r="FG26" i="73"/>
  <c r="FE26" i="73"/>
  <c r="FE25" i="73"/>
  <c r="FG25" i="73" s="1"/>
  <c r="FG24" i="73"/>
  <c r="FE24" i="73"/>
  <c r="FI23" i="73"/>
  <c r="FH24" i="73" s="1"/>
  <c r="FI24" i="73" s="1"/>
  <c r="FH25" i="73" s="1"/>
  <c r="FE26" i="71"/>
  <c r="FG26" i="71" s="1"/>
  <c r="FG25" i="71"/>
  <c r="FE25" i="71"/>
  <c r="FE24" i="71"/>
  <c r="FG24" i="71" s="1"/>
  <c r="FG23" i="71"/>
  <c r="FI23" i="71" s="1"/>
  <c r="FH24" i="71" s="1"/>
  <c r="BP14" i="84" l="1"/>
  <c r="CA18" i="84"/>
  <c r="CA19" i="84" s="1"/>
  <c r="BM4" i="84"/>
  <c r="BT8" i="84"/>
  <c r="BT9" i="84" s="1"/>
  <c r="BZ14" i="81"/>
  <c r="CD3" i="81"/>
  <c r="BZ11" i="81"/>
  <c r="FI25" i="73"/>
  <c r="FI24" i="71"/>
  <c r="FH25" i="71" s="1"/>
  <c r="FI25" i="71" s="1"/>
  <c r="O24" i="66"/>
  <c r="O25" i="66" s="1"/>
  <c r="M24" i="66"/>
  <c r="M25" i="66" s="1"/>
  <c r="I24" i="66"/>
  <c r="I25" i="66" s="1"/>
  <c r="C24" i="66"/>
  <c r="C25" i="66" s="1"/>
  <c r="O23" i="66"/>
  <c r="N23" i="66"/>
  <c r="N24" i="66" s="1"/>
  <c r="N25" i="66" s="1"/>
  <c r="M23" i="66"/>
  <c r="J23" i="66"/>
  <c r="J24" i="66" s="1"/>
  <c r="J25" i="66" s="1"/>
  <c r="I23" i="66"/>
  <c r="H23" i="66"/>
  <c r="H24" i="66" s="1"/>
  <c r="H25" i="66" s="1"/>
  <c r="E23" i="66"/>
  <c r="E24" i="66" s="1"/>
  <c r="E25" i="66" s="1"/>
  <c r="D23" i="66"/>
  <c r="D24" i="66" s="1"/>
  <c r="D25" i="66" s="1"/>
  <c r="C23" i="66"/>
  <c r="Y21" i="66"/>
  <c r="X21" i="66"/>
  <c r="X34" i="66" s="1"/>
  <c r="O13" i="66"/>
  <c r="J13" i="66"/>
  <c r="I13" i="66"/>
  <c r="D13" i="66"/>
  <c r="F13" i="66" s="1"/>
  <c r="C13" i="66"/>
  <c r="P12" i="66"/>
  <c r="L12" i="66"/>
  <c r="M12" i="66" s="1"/>
  <c r="J12" i="66"/>
  <c r="K12" i="66" s="1"/>
  <c r="I12" i="66"/>
  <c r="Q12" i="66" s="1"/>
  <c r="H12" i="66"/>
  <c r="G12" i="66"/>
  <c r="D12" i="66"/>
  <c r="O11" i="66"/>
  <c r="O14" i="66" s="1"/>
  <c r="J11" i="66"/>
  <c r="I11" i="66"/>
  <c r="F11" i="66"/>
  <c r="H11" i="66" s="1"/>
  <c r="D11" i="66"/>
  <c r="X7" i="66"/>
  <c r="X9" i="66" s="1"/>
  <c r="O7" i="66"/>
  <c r="J6" i="66"/>
  <c r="I6" i="66"/>
  <c r="D6" i="66"/>
  <c r="F6" i="66" s="1"/>
  <c r="C6" i="66"/>
  <c r="X5" i="66"/>
  <c r="P5" i="66"/>
  <c r="J5" i="66"/>
  <c r="K5" i="66" s="1"/>
  <c r="I5" i="66"/>
  <c r="H5" i="66"/>
  <c r="L5" i="66" s="1"/>
  <c r="M5" i="66" s="1"/>
  <c r="G5" i="66"/>
  <c r="D5" i="66"/>
  <c r="Y4" i="66"/>
  <c r="Y5" i="66" s="1"/>
  <c r="J4" i="66"/>
  <c r="I4" i="66"/>
  <c r="F4" i="66"/>
  <c r="H4" i="66" s="1"/>
  <c r="D4" i="66"/>
  <c r="Y3" i="66"/>
  <c r="Y7" i="66" s="1"/>
  <c r="X3" i="66"/>
  <c r="B49" i="64"/>
  <c r="B50" i="64" s="1"/>
  <c r="B51" i="64" s="1"/>
  <c r="B52" i="64" s="1"/>
  <c r="B53" i="64" s="1"/>
  <c r="B54" i="64" s="1"/>
  <c r="B55" i="64" s="1"/>
  <c r="B56" i="64" s="1"/>
  <c r="B57" i="64" s="1"/>
  <c r="B58" i="64" s="1"/>
  <c r="B59" i="64" s="1"/>
  <c r="B60" i="64" s="1"/>
  <c r="B61" i="64" s="1"/>
  <c r="B62" i="64" s="1"/>
  <c r="B64" i="64" s="1"/>
  <c r="B65" i="64" s="1"/>
  <c r="B66" i="64" s="1"/>
  <c r="B67" i="64" s="1"/>
  <c r="B68" i="64" s="1"/>
  <c r="B69" i="64" s="1"/>
  <c r="B70" i="64" s="1"/>
  <c r="B71" i="64" s="1"/>
  <c r="B72" i="64" s="1"/>
  <c r="B73" i="64" s="1"/>
  <c r="B74" i="64" s="1"/>
  <c r="B75" i="64" s="1"/>
  <c r="B4" i="64"/>
  <c r="B5" i="64" s="1"/>
  <c r="B6" i="64" s="1"/>
  <c r="B7" i="64" s="1"/>
  <c r="B8" i="64" s="1"/>
  <c r="B9" i="64" s="1"/>
  <c r="B10" i="64" s="1"/>
  <c r="B11" i="64" s="1"/>
  <c r="B12" i="64" s="1"/>
  <c r="B14" i="64" s="1"/>
  <c r="B15" i="64" s="1"/>
  <c r="B16" i="64" s="1"/>
  <c r="B17" i="64" s="1"/>
  <c r="B18" i="64" s="1"/>
  <c r="B19" i="64" s="1"/>
  <c r="B20" i="64" s="1"/>
  <c r="B21" i="64" s="1"/>
  <c r="B22" i="64" s="1"/>
  <c r="B23" i="64" s="1"/>
  <c r="B24" i="64" s="1"/>
  <c r="B25" i="64" s="1"/>
  <c r="B26" i="64" s="1"/>
  <c r="B27" i="64" s="1"/>
  <c r="B28" i="64" s="1"/>
  <c r="B30" i="64" s="1"/>
  <c r="BQ14" i="84" l="1"/>
  <c r="CB18" i="84"/>
  <c r="CB19" i="84" s="1"/>
  <c r="BN4" i="84"/>
  <c r="BU8" i="84"/>
  <c r="BU9" i="84" s="1"/>
  <c r="CD14" i="81"/>
  <c r="CH3" i="81"/>
  <c r="CD11" i="81"/>
  <c r="B31" i="64"/>
  <c r="B32" i="64" s="1"/>
  <c r="B33" i="64" s="1"/>
  <c r="B34" i="64" s="1"/>
  <c r="B35" i="64" s="1"/>
  <c r="J28" i="66"/>
  <c r="J26" i="66"/>
  <c r="O26" i="66"/>
  <c r="O28" i="66"/>
  <c r="K11" i="66"/>
  <c r="L11" i="66"/>
  <c r="M11" i="66" s="1"/>
  <c r="N11" i="66" s="1"/>
  <c r="P11" i="66"/>
  <c r="Q11" i="66"/>
  <c r="T11" i="66" s="1"/>
  <c r="N26" i="66"/>
  <c r="N28" i="66"/>
  <c r="H6" i="66"/>
  <c r="K6" i="66" s="1"/>
  <c r="G6" i="66"/>
  <c r="P14" i="66"/>
  <c r="D26" i="66"/>
  <c r="D28" i="66"/>
  <c r="C26" i="66"/>
  <c r="C28" i="66"/>
  <c r="L4" i="66"/>
  <c r="M4" i="66" s="1"/>
  <c r="N4" i="66" s="1"/>
  <c r="P4" i="66"/>
  <c r="Q4" i="66" s="1"/>
  <c r="R12" i="66"/>
  <c r="E12" i="66"/>
  <c r="K4" i="66"/>
  <c r="T12" i="66"/>
  <c r="Y9" i="66"/>
  <c r="H13" i="66"/>
  <c r="K13" i="66" s="1"/>
  <c r="G13" i="66"/>
  <c r="E29" i="66"/>
  <c r="E28" i="66"/>
  <c r="E26" i="66"/>
  <c r="I28" i="66"/>
  <c r="I26" i="66"/>
  <c r="H28" i="66"/>
  <c r="H26" i="66"/>
  <c r="M28" i="66"/>
  <c r="M29" i="66"/>
  <c r="M26" i="66"/>
  <c r="G4" i="66"/>
  <c r="Q5" i="66"/>
  <c r="G11" i="66"/>
  <c r="Y34" i="66"/>
  <c r="BR14" i="84" l="1"/>
  <c r="CC18" i="84"/>
  <c r="CC19" i="84" s="1"/>
  <c r="BO4" i="84"/>
  <c r="BV8" i="84"/>
  <c r="BV9" i="84" s="1"/>
  <c r="CH14" i="81"/>
  <c r="CH11" i="81"/>
  <c r="CL3" i="81"/>
  <c r="B36" i="64"/>
  <c r="B37" i="64" s="1"/>
  <c r="B38" i="64" s="1"/>
  <c r="B42" i="64" s="1"/>
  <c r="B43" i="64" s="1"/>
  <c r="B44" i="64" s="1"/>
  <c r="B45" i="64" s="1"/>
  <c r="B46" i="64" s="1"/>
  <c r="R5" i="66"/>
  <c r="E5" i="66"/>
  <c r="P7" i="66" s="1"/>
  <c r="T5" i="66"/>
  <c r="E4" i="66"/>
  <c r="R4" i="66"/>
  <c r="S4" i="66" s="1"/>
  <c r="L6" i="66"/>
  <c r="M6" i="66" s="1"/>
  <c r="N6" i="66" s="1"/>
  <c r="P6" i="66"/>
  <c r="Q6" i="66" s="1"/>
  <c r="T4" i="66"/>
  <c r="X11" i="66"/>
  <c r="Y11" i="66"/>
  <c r="Y23" i="66" s="1"/>
  <c r="Y24" i="66" s="1"/>
  <c r="P13" i="66"/>
  <c r="Q13" i="66" s="1"/>
  <c r="L13" i="66"/>
  <c r="M13" i="66" s="1"/>
  <c r="N13" i="66" s="1"/>
  <c r="Y28" i="66"/>
  <c r="Y29" i="66" s="1"/>
  <c r="X28" i="66"/>
  <c r="X29" i="66" s="1"/>
  <c r="E11" i="66"/>
  <c r="R11" i="66"/>
  <c r="S11" i="66" s="1"/>
  <c r="S12" i="66"/>
  <c r="BS14" i="84" l="1"/>
  <c r="CD18" i="84"/>
  <c r="CD19" i="84" s="1"/>
  <c r="BP4" i="84"/>
  <c r="BW8" i="84"/>
  <c r="BW9" i="84" s="1"/>
  <c r="CL14" i="81"/>
  <c r="CP3" i="81"/>
  <c r="CL11" i="81"/>
  <c r="R6" i="66"/>
  <c r="E6" i="66"/>
  <c r="T6" i="66"/>
  <c r="X35" i="66"/>
  <c r="X30" i="66"/>
  <c r="Y35" i="66"/>
  <c r="Y30" i="66"/>
  <c r="R13" i="66"/>
  <c r="S13" i="66" s="1"/>
  <c r="E13" i="66"/>
  <c r="T13" i="66"/>
  <c r="Y25" i="66"/>
  <c r="Y26" i="66" s="1"/>
  <c r="Y33" i="66"/>
  <c r="X12" i="66"/>
  <c r="X23" i="66"/>
  <c r="X24" i="66" s="1"/>
  <c r="S6" i="66"/>
  <c r="S5" i="66"/>
  <c r="BT14" i="84" l="1"/>
  <c r="CE18" i="84"/>
  <c r="CE19" i="84" s="1"/>
  <c r="BQ4" i="84"/>
  <c r="BX8" i="84"/>
  <c r="BX9" i="84" s="1"/>
  <c r="CP14" i="81"/>
  <c r="CP11" i="81"/>
  <c r="CT3" i="81"/>
  <c r="X15" i="66"/>
  <c r="X13" i="66"/>
  <c r="Y13" i="66" s="1"/>
  <c r="Y12" i="66"/>
  <c r="X25" i="66"/>
  <c r="X26" i="66" s="1"/>
  <c r="X33" i="66"/>
  <c r="BU14" i="84" l="1"/>
  <c r="CF18" i="84"/>
  <c r="CF19" i="84" s="1"/>
  <c r="BR4" i="84"/>
  <c r="BY8" i="84"/>
  <c r="BY9" i="84" s="1"/>
  <c r="CT14" i="81"/>
  <c r="CX3" i="81"/>
  <c r="CT11" i="81"/>
  <c r="Y15" i="66"/>
  <c r="X16" i="66"/>
  <c r="Y16" i="66" s="1"/>
  <c r="BV14" i="84" l="1"/>
  <c r="CG18" i="84"/>
  <c r="CG19" i="84" s="1"/>
  <c r="BS4" i="84"/>
  <c r="BZ8" i="84"/>
  <c r="BZ9" i="84" s="1"/>
  <c r="CX14" i="81"/>
  <c r="CX11" i="81"/>
  <c r="DB3" i="81"/>
  <c r="P8" i="31"/>
  <c r="BW14" i="84" l="1"/>
  <c r="CH18" i="84"/>
  <c r="CH19" i="84" s="1"/>
  <c r="BT4" i="84"/>
  <c r="CA8" i="84"/>
  <c r="CA9" i="84" s="1"/>
  <c r="DB14" i="81"/>
  <c r="DF3" i="81"/>
  <c r="DB11" i="81"/>
  <c r="BR70" i="52"/>
  <c r="BJ70" i="52"/>
  <c r="BB70" i="52"/>
  <c r="AT70" i="52"/>
  <c r="EP11" i="52"/>
  <c r="EL11" i="52"/>
  <c r="EH11" i="52"/>
  <c r="ED11" i="52"/>
  <c r="DZ11" i="52"/>
  <c r="DV11" i="52"/>
  <c r="DR11" i="52"/>
  <c r="DN11" i="52"/>
  <c r="DB71" i="52"/>
  <c r="DN60" i="52"/>
  <c r="DJ60" i="52"/>
  <c r="DF60" i="52"/>
  <c r="DB60" i="52"/>
  <c r="CX60" i="52"/>
  <c r="CT60" i="52"/>
  <c r="CP60" i="52"/>
  <c r="CL60" i="52"/>
  <c r="BR56" i="52"/>
  <c r="BZ56" i="52" s="1"/>
  <c r="CD56" i="52" s="1"/>
  <c r="CH56" i="52" s="1"/>
  <c r="CL56" i="52" s="1"/>
  <c r="CP56" i="52" s="1"/>
  <c r="CT56" i="52" s="1"/>
  <c r="CX56" i="52" s="1"/>
  <c r="DB56" i="52" s="1"/>
  <c r="DF56" i="52" s="1"/>
  <c r="DJ56" i="52" s="1"/>
  <c r="DN56" i="52" s="1"/>
  <c r="Z71" i="52"/>
  <c r="N71" i="52"/>
  <c r="J70" i="52"/>
  <c r="N70" i="52" s="1"/>
  <c r="R70" i="52" s="1"/>
  <c r="V70" i="52" s="1"/>
  <c r="Z70" i="52" s="1"/>
  <c r="AD70" i="52" s="1"/>
  <c r="AH70" i="52" s="1"/>
  <c r="AL70" i="52" s="1"/>
  <c r="AP70" i="52" s="1"/>
  <c r="J67" i="52"/>
  <c r="N67" i="52" s="1"/>
  <c r="R67" i="52" s="1"/>
  <c r="V67" i="52" s="1"/>
  <c r="Z67" i="52" s="1"/>
  <c r="AD67" i="52" s="1"/>
  <c r="AH67" i="52" s="1"/>
  <c r="AL67" i="52" s="1"/>
  <c r="AP67" i="52" s="1"/>
  <c r="AT67" i="52" s="1"/>
  <c r="AX67" i="52" s="1"/>
  <c r="BB67" i="52" s="1"/>
  <c r="BF67" i="52" s="1"/>
  <c r="BJ67" i="52" s="1"/>
  <c r="BN67" i="52" s="1"/>
  <c r="BR67" i="52" s="1"/>
  <c r="BV67" i="52" s="1"/>
  <c r="BZ67" i="52" s="1"/>
  <c r="CD67" i="52" s="1"/>
  <c r="CH67" i="52" s="1"/>
  <c r="CL67" i="52" s="1"/>
  <c r="CP67" i="52" s="1"/>
  <c r="CT67" i="52" s="1"/>
  <c r="CX67" i="52" s="1"/>
  <c r="DB67" i="52" s="1"/>
  <c r="DF67" i="52" s="1"/>
  <c r="DJ67" i="52" s="1"/>
  <c r="DN67" i="52" s="1"/>
  <c r="C63" i="52"/>
  <c r="DN71" i="52" s="1"/>
  <c r="B63" i="52"/>
  <c r="AD71" i="52" s="1"/>
  <c r="AT60" i="52"/>
  <c r="AX60" i="52" s="1"/>
  <c r="BB60" i="52" s="1"/>
  <c r="BF60" i="52" s="1"/>
  <c r="BJ60" i="52" s="1"/>
  <c r="BN60" i="52" s="1"/>
  <c r="BR60" i="52" s="1"/>
  <c r="BV60" i="52" s="1"/>
  <c r="BZ60" i="52" s="1"/>
  <c r="CD60" i="52" s="1"/>
  <c r="CH60" i="52" s="1"/>
  <c r="AP60" i="52"/>
  <c r="AL60" i="52"/>
  <c r="AH60" i="52"/>
  <c r="AD60" i="52"/>
  <c r="Z60" i="52"/>
  <c r="V60" i="52"/>
  <c r="R60" i="52"/>
  <c r="N60" i="52"/>
  <c r="J60" i="52"/>
  <c r="F60" i="52"/>
  <c r="J59" i="52"/>
  <c r="N59" i="52" s="1"/>
  <c r="R59" i="52" s="1"/>
  <c r="V59" i="52" s="1"/>
  <c r="Z59" i="52" s="1"/>
  <c r="AD59" i="52" s="1"/>
  <c r="AH59" i="52" s="1"/>
  <c r="AL59" i="52" s="1"/>
  <c r="AP59" i="52" s="1"/>
  <c r="AT59" i="52" s="1"/>
  <c r="AX59" i="52" s="1"/>
  <c r="BB59" i="52" s="1"/>
  <c r="BF59" i="52" s="1"/>
  <c r="BJ59" i="52" s="1"/>
  <c r="BN59" i="52" s="1"/>
  <c r="BR59" i="52" s="1"/>
  <c r="BV59" i="52" s="1"/>
  <c r="BZ59" i="52" s="1"/>
  <c r="CD59" i="52" s="1"/>
  <c r="CH59" i="52" s="1"/>
  <c r="CL59" i="52" s="1"/>
  <c r="CP59" i="52" s="1"/>
  <c r="CT59" i="52" s="1"/>
  <c r="CX59" i="52" s="1"/>
  <c r="DB59" i="52" s="1"/>
  <c r="DF59" i="52" s="1"/>
  <c r="DJ59" i="52" s="1"/>
  <c r="DN59" i="52" s="1"/>
  <c r="J56" i="52"/>
  <c r="N56" i="52" s="1"/>
  <c r="R56" i="52" s="1"/>
  <c r="V56" i="52" s="1"/>
  <c r="Z56" i="52" s="1"/>
  <c r="AD56" i="52" s="1"/>
  <c r="AH56" i="52" s="1"/>
  <c r="AL56" i="52" s="1"/>
  <c r="AP56" i="52" s="1"/>
  <c r="AT56" i="52" s="1"/>
  <c r="BB56" i="52" s="1"/>
  <c r="BJ56" i="52" s="1"/>
  <c r="J46" i="52"/>
  <c r="J43" i="52"/>
  <c r="N43" i="52" s="1"/>
  <c r="R43" i="52" s="1"/>
  <c r="V43" i="52" s="1"/>
  <c r="Z43" i="52" s="1"/>
  <c r="AD43" i="52" s="1"/>
  <c r="AH43" i="52" s="1"/>
  <c r="AL43" i="52" s="1"/>
  <c r="AP43" i="52" s="1"/>
  <c r="AT43" i="52" s="1"/>
  <c r="J35" i="52"/>
  <c r="N35" i="52" s="1"/>
  <c r="R35" i="52" s="1"/>
  <c r="V35" i="52" s="1"/>
  <c r="Z35" i="52" s="1"/>
  <c r="AD35" i="52" s="1"/>
  <c r="AH35" i="52" s="1"/>
  <c r="AL35" i="52" s="1"/>
  <c r="AP35" i="52" s="1"/>
  <c r="AT35" i="52" s="1"/>
  <c r="J32" i="52"/>
  <c r="N32" i="52" s="1"/>
  <c r="R32" i="52" s="1"/>
  <c r="V32" i="52" s="1"/>
  <c r="Z32" i="52" s="1"/>
  <c r="AD32" i="52" s="1"/>
  <c r="AH32" i="52" s="1"/>
  <c r="AL32" i="52" s="1"/>
  <c r="AP32" i="52" s="1"/>
  <c r="AT32" i="52" s="1"/>
  <c r="AX32" i="52" s="1"/>
  <c r="BB32" i="52" s="1"/>
  <c r="BF32" i="52" s="1"/>
  <c r="BJ32" i="52" s="1"/>
  <c r="BN32" i="52" s="1"/>
  <c r="BR32" i="52" s="1"/>
  <c r="BV32" i="52" s="1"/>
  <c r="BZ32" i="52" s="1"/>
  <c r="CD32" i="52" s="1"/>
  <c r="CH32" i="52" s="1"/>
  <c r="CL32" i="52" s="1"/>
  <c r="CP32" i="52" s="1"/>
  <c r="CT32" i="52" s="1"/>
  <c r="AT11" i="52"/>
  <c r="AX11" i="52" s="1"/>
  <c r="BB11" i="52" s="1"/>
  <c r="BF11" i="52" s="1"/>
  <c r="BJ11" i="52" s="1"/>
  <c r="BN11" i="52" s="1"/>
  <c r="BR11" i="52" s="1"/>
  <c r="BV11" i="52" s="1"/>
  <c r="BZ11" i="52" s="1"/>
  <c r="CD11" i="52" s="1"/>
  <c r="CH11" i="52" s="1"/>
  <c r="CL11" i="52" s="1"/>
  <c r="CP11" i="52" s="1"/>
  <c r="CT11" i="52" s="1"/>
  <c r="CX11" i="52" s="1"/>
  <c r="DB11" i="52" s="1"/>
  <c r="DF11" i="52" s="1"/>
  <c r="DJ11" i="52" s="1"/>
  <c r="J21" i="52"/>
  <c r="J18" i="52"/>
  <c r="B14" i="52"/>
  <c r="Z22" i="52" s="1"/>
  <c r="J10" i="52"/>
  <c r="J7" i="52"/>
  <c r="BX14" i="84" l="1"/>
  <c r="CI18" i="84"/>
  <c r="CI19" i="84" s="1"/>
  <c r="BU4" i="84"/>
  <c r="CC8" i="84" s="1"/>
  <c r="CC9" i="84" s="1"/>
  <c r="CB8" i="84"/>
  <c r="CB9" i="84" s="1"/>
  <c r="DF14" i="81"/>
  <c r="DF11" i="81"/>
  <c r="DJ3" i="81"/>
  <c r="AT71" i="52"/>
  <c r="AX71" i="52" s="1"/>
  <c r="BB71" i="52" s="1"/>
  <c r="BF71" i="52" s="1"/>
  <c r="BJ71" i="52" s="1"/>
  <c r="BN71" i="52" s="1"/>
  <c r="BR71" i="52" s="1"/>
  <c r="BV71" i="52" s="1"/>
  <c r="BZ71" i="52" s="1"/>
  <c r="CD71" i="52" s="1"/>
  <c r="CH71" i="52" s="1"/>
  <c r="CL71" i="52"/>
  <c r="CP71" i="52"/>
  <c r="CX71" i="52"/>
  <c r="F22" i="52"/>
  <c r="J71" i="52"/>
  <c r="AP71" i="52"/>
  <c r="CT71" i="52"/>
  <c r="AH71" i="52"/>
  <c r="DF71" i="52"/>
  <c r="AX56" i="52"/>
  <c r="BF56" i="52" s="1"/>
  <c r="BN56" i="52" s="1"/>
  <c r="BV56" i="52" s="1"/>
  <c r="DJ71" i="52"/>
  <c r="F71" i="52"/>
  <c r="AL71" i="52"/>
  <c r="R71" i="52"/>
  <c r="V71" i="52"/>
  <c r="AD22" i="52"/>
  <c r="AP22" i="52"/>
  <c r="AH22" i="52"/>
  <c r="AL22" i="52"/>
  <c r="J22" i="52"/>
  <c r="R22" i="52"/>
  <c r="N22" i="52"/>
  <c r="V22" i="52"/>
  <c r="N10" i="52"/>
  <c r="R10" i="52" s="1"/>
  <c r="V10" i="52" s="1"/>
  <c r="Z10" i="52" s="1"/>
  <c r="AD10" i="52" s="1"/>
  <c r="AH10" i="52" s="1"/>
  <c r="AL10" i="52" s="1"/>
  <c r="AP10" i="52" s="1"/>
  <c r="AT10" i="52" s="1"/>
  <c r="AX10" i="52" s="1"/>
  <c r="BB10" i="52" s="1"/>
  <c r="BF10" i="52" s="1"/>
  <c r="BJ10" i="52" s="1"/>
  <c r="BN10" i="52" s="1"/>
  <c r="BR10" i="52" s="1"/>
  <c r="BV10" i="52" s="1"/>
  <c r="BZ10" i="52" s="1"/>
  <c r="CD10" i="52" s="1"/>
  <c r="CH10" i="52" s="1"/>
  <c r="CL10" i="52" s="1"/>
  <c r="CP10" i="52" s="1"/>
  <c r="CT10" i="52" s="1"/>
  <c r="CX10" i="52" s="1"/>
  <c r="DB10" i="52" s="1"/>
  <c r="DF10" i="52" s="1"/>
  <c r="DJ10" i="52" s="1"/>
  <c r="DN10" i="52" s="1"/>
  <c r="DR10" i="52" s="1"/>
  <c r="DV10" i="52" s="1"/>
  <c r="DZ10" i="52" s="1"/>
  <c r="ED10" i="52" s="1"/>
  <c r="EH10" i="52" s="1"/>
  <c r="EL10" i="52" s="1"/>
  <c r="EP10" i="52" s="1"/>
  <c r="N7" i="52"/>
  <c r="R7" i="52" s="1"/>
  <c r="V7" i="52" s="1"/>
  <c r="Z7" i="52" s="1"/>
  <c r="AD7" i="52" s="1"/>
  <c r="AH7" i="52" s="1"/>
  <c r="AL7" i="52" s="1"/>
  <c r="AP7" i="52" s="1"/>
  <c r="AT7" i="52" s="1"/>
  <c r="AX7" i="52" s="1"/>
  <c r="BB7" i="52" s="1"/>
  <c r="BF7" i="52" s="1"/>
  <c r="BJ7" i="52" s="1"/>
  <c r="BN7" i="52" s="1"/>
  <c r="BR7" i="52" s="1"/>
  <c r="BV7" i="52" s="1"/>
  <c r="BZ7" i="52" s="1"/>
  <c r="CD7" i="52" s="1"/>
  <c r="CH7" i="52" s="1"/>
  <c r="CL7" i="52" s="1"/>
  <c r="CP7" i="52" s="1"/>
  <c r="CT7" i="52" s="1"/>
  <c r="CX7" i="52" s="1"/>
  <c r="DB7" i="52" s="1"/>
  <c r="DF7" i="52" s="1"/>
  <c r="DJ7" i="52" s="1"/>
  <c r="DN7" i="52" s="1"/>
  <c r="DR7" i="52" s="1"/>
  <c r="DV7" i="52" s="1"/>
  <c r="DZ7" i="52" s="1"/>
  <c r="ED7" i="52" s="1"/>
  <c r="EH7" i="52" s="1"/>
  <c r="EL7" i="52" s="1"/>
  <c r="EP7" i="52" s="1"/>
  <c r="N21" i="52"/>
  <c r="R21" i="52" s="1"/>
  <c r="V21" i="52" s="1"/>
  <c r="Z21" i="52" s="1"/>
  <c r="AD21" i="52" s="1"/>
  <c r="AH21" i="52" s="1"/>
  <c r="AL21" i="52" s="1"/>
  <c r="AP21" i="52" s="1"/>
  <c r="AT21" i="52" s="1"/>
  <c r="AX21" i="52" s="1"/>
  <c r="BB21" i="52" s="1"/>
  <c r="BF21" i="52" s="1"/>
  <c r="BJ21" i="52" s="1"/>
  <c r="BN21" i="52" s="1"/>
  <c r="BR21" i="52" s="1"/>
  <c r="BV21" i="52" s="1"/>
  <c r="BZ21" i="52" s="1"/>
  <c r="CD21" i="52" s="1"/>
  <c r="CH21" i="52" s="1"/>
  <c r="CL21" i="52" s="1"/>
  <c r="CP21" i="52" s="1"/>
  <c r="CT21" i="52" s="1"/>
  <c r="CX21" i="52" s="1"/>
  <c r="DB21" i="52" s="1"/>
  <c r="DF21" i="52" s="1"/>
  <c r="DJ21" i="52" s="1"/>
  <c r="DN21" i="52" s="1"/>
  <c r="DR21" i="52" s="1"/>
  <c r="DV21" i="52" s="1"/>
  <c r="DZ21" i="52" s="1"/>
  <c r="ED21" i="52" s="1"/>
  <c r="EH21" i="52" s="1"/>
  <c r="EL21" i="52" s="1"/>
  <c r="EP21" i="52" s="1"/>
  <c r="N18" i="52"/>
  <c r="R18" i="52" s="1"/>
  <c r="V18" i="52" s="1"/>
  <c r="Z18" i="52" s="1"/>
  <c r="AD18" i="52" s="1"/>
  <c r="AH18" i="52" s="1"/>
  <c r="AL18" i="52" s="1"/>
  <c r="AP18" i="52" s="1"/>
  <c r="AT18" i="52" s="1"/>
  <c r="N46" i="52"/>
  <c r="R46" i="52" s="1"/>
  <c r="V46" i="52" s="1"/>
  <c r="Z46" i="52" s="1"/>
  <c r="AD46" i="52" s="1"/>
  <c r="AH46" i="52" s="1"/>
  <c r="AL46" i="52" s="1"/>
  <c r="AP46" i="52" s="1"/>
  <c r="AT46" i="52" s="1"/>
  <c r="AX46" i="52" s="1"/>
  <c r="BB46" i="52" s="1"/>
  <c r="AX43" i="52"/>
  <c r="BB43" i="52" s="1"/>
  <c r="BF43" i="52" s="1"/>
  <c r="BJ43" i="52" s="1"/>
  <c r="BN43" i="52" s="1"/>
  <c r="BR43" i="52" s="1"/>
  <c r="BV43" i="52" s="1"/>
  <c r="BZ43" i="52" s="1"/>
  <c r="CD43" i="52" s="1"/>
  <c r="CH43" i="52" s="1"/>
  <c r="CL43" i="52" s="1"/>
  <c r="CP43" i="52" s="1"/>
  <c r="CT43" i="52" s="1"/>
  <c r="AX35" i="52"/>
  <c r="BB35" i="52" s="1"/>
  <c r="D17" i="48"/>
  <c r="F29" i="48"/>
  <c r="G29" i="48"/>
  <c r="H29" i="48"/>
  <c r="I29" i="48"/>
  <c r="J29" i="48"/>
  <c r="K29" i="48"/>
  <c r="L29" i="48"/>
  <c r="M29" i="48"/>
  <c r="N29" i="48"/>
  <c r="O29" i="48"/>
  <c r="P29" i="48"/>
  <c r="Q29" i="48"/>
  <c r="R29" i="48"/>
  <c r="S29" i="48"/>
  <c r="T29" i="48"/>
  <c r="U29" i="48"/>
  <c r="V29" i="48"/>
  <c r="W29" i="48"/>
  <c r="X29" i="48"/>
  <c r="D29" i="48"/>
  <c r="E29" i="48"/>
  <c r="E28" i="48"/>
  <c r="X28" i="48"/>
  <c r="W28" i="48"/>
  <c r="V28" i="48"/>
  <c r="U28" i="48"/>
  <c r="T28" i="48"/>
  <c r="S28" i="48"/>
  <c r="R28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F13" i="48"/>
  <c r="G13" i="48"/>
  <c r="H13" i="48"/>
  <c r="I13" i="48"/>
  <c r="J13" i="48"/>
  <c r="K13" i="48"/>
  <c r="L13" i="48"/>
  <c r="N13" i="48"/>
  <c r="O13" i="48"/>
  <c r="P13" i="48"/>
  <c r="Q13" i="48"/>
  <c r="R13" i="48"/>
  <c r="S13" i="48"/>
  <c r="T13" i="48"/>
  <c r="U13" i="48"/>
  <c r="V13" i="48"/>
  <c r="W13" i="48"/>
  <c r="X13" i="48"/>
  <c r="D13" i="48"/>
  <c r="E13" i="48"/>
  <c r="E12" i="48"/>
  <c r="F12" i="48"/>
  <c r="G12" i="48"/>
  <c r="H12" i="48"/>
  <c r="I12" i="48"/>
  <c r="J12" i="48"/>
  <c r="K12" i="48"/>
  <c r="L12" i="48"/>
  <c r="M12" i="48"/>
  <c r="N12" i="48"/>
  <c r="O12" i="48"/>
  <c r="P12" i="48"/>
  <c r="Q12" i="48"/>
  <c r="R12" i="48"/>
  <c r="S12" i="48"/>
  <c r="T12" i="48"/>
  <c r="U12" i="48"/>
  <c r="V12" i="48"/>
  <c r="W12" i="48"/>
  <c r="X12" i="48"/>
  <c r="AC25" i="48"/>
  <c r="AD25" i="48" s="1"/>
  <c r="AE25" i="48" s="1"/>
  <c r="AF25" i="48" s="1"/>
  <c r="AC23" i="48"/>
  <c r="AD23" i="48"/>
  <c r="AE23" i="48"/>
  <c r="AF23" i="48"/>
  <c r="AG23" i="48"/>
  <c r="AB23" i="48"/>
  <c r="AC9" i="48"/>
  <c r="AD9" i="48" s="1"/>
  <c r="AE9" i="48" s="1"/>
  <c r="AF9" i="48" s="1"/>
  <c r="AG9" i="48" s="1"/>
  <c r="AE5" i="48"/>
  <c r="AG4" i="48"/>
  <c r="AG5" i="48" s="1"/>
  <c r="AC20" i="48"/>
  <c r="AD20" i="48" s="1"/>
  <c r="AE20" i="48" s="1"/>
  <c r="AF20" i="48" s="1"/>
  <c r="AG20" i="48" s="1"/>
  <c r="AA19" i="48"/>
  <c r="AC4" i="48"/>
  <c r="AD4" i="48" s="1"/>
  <c r="AE4" i="48" s="1"/>
  <c r="AF4" i="48" s="1"/>
  <c r="AF5" i="48" s="1"/>
  <c r="AA3" i="48"/>
  <c r="AC7" i="48"/>
  <c r="AD7" i="48"/>
  <c r="AE7" i="48"/>
  <c r="AF7" i="48"/>
  <c r="AG7" i="48"/>
  <c r="AB7" i="48"/>
  <c r="AE6" i="48"/>
  <c r="AF6" i="48" s="1"/>
  <c r="AG6" i="48" s="1"/>
  <c r="AB5" i="48"/>
  <c r="AC22" i="48"/>
  <c r="AD22" i="48" s="1"/>
  <c r="AE22" i="48" s="1"/>
  <c r="AF22" i="48" s="1"/>
  <c r="AG22" i="48" s="1"/>
  <c r="AB21" i="48"/>
  <c r="E25" i="48"/>
  <c r="C19" i="48"/>
  <c r="E20" i="48"/>
  <c r="E21" i="48" s="1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E22" i="48"/>
  <c r="F22" i="48" s="1"/>
  <c r="D21" i="48"/>
  <c r="G19" i="48"/>
  <c r="H19" i="48" s="1"/>
  <c r="I19" i="48" s="1"/>
  <c r="J19" i="48" s="1"/>
  <c r="K19" i="48" s="1"/>
  <c r="L19" i="48" s="1"/>
  <c r="M19" i="48" s="1"/>
  <c r="N19" i="48" s="1"/>
  <c r="O19" i="48" s="1"/>
  <c r="P19" i="48" s="1"/>
  <c r="Q19" i="48" s="1"/>
  <c r="R19" i="48" s="1"/>
  <c r="S19" i="48" s="1"/>
  <c r="T19" i="48" s="1"/>
  <c r="U19" i="48" s="1"/>
  <c r="G3" i="48"/>
  <c r="H3" i="48" s="1"/>
  <c r="I3" i="48" s="1"/>
  <c r="J3" i="48" s="1"/>
  <c r="K3" i="48" s="1"/>
  <c r="L3" i="48" s="1"/>
  <c r="M3" i="48" s="1"/>
  <c r="N3" i="48" s="1"/>
  <c r="O3" i="48" s="1"/>
  <c r="P3" i="48" s="1"/>
  <c r="Q3" i="48" s="1"/>
  <c r="R3" i="48" s="1"/>
  <c r="S3" i="48" s="1"/>
  <c r="T3" i="48" s="1"/>
  <c r="U3" i="48" s="1"/>
  <c r="E9" i="48"/>
  <c r="F9" i="48" s="1"/>
  <c r="G9" i="48" s="1"/>
  <c r="H9" i="48" s="1"/>
  <c r="I9" i="48" s="1"/>
  <c r="J9" i="48" s="1"/>
  <c r="K9" i="48" s="1"/>
  <c r="L9" i="48" s="1"/>
  <c r="M9" i="48" s="1"/>
  <c r="N9" i="48" s="1"/>
  <c r="O9" i="48" s="1"/>
  <c r="P9" i="48" s="1"/>
  <c r="Q9" i="48" s="1"/>
  <c r="R9" i="48" s="1"/>
  <c r="S9" i="48" s="1"/>
  <c r="T9" i="48" s="1"/>
  <c r="U9" i="48" s="1"/>
  <c r="V9" i="48" s="1"/>
  <c r="E6" i="48"/>
  <c r="U7" i="48"/>
  <c r="V7" i="48"/>
  <c r="W7" i="48"/>
  <c r="X7" i="48"/>
  <c r="G7" i="48"/>
  <c r="H7" i="48"/>
  <c r="I7" i="48"/>
  <c r="J7" i="48"/>
  <c r="K7" i="48"/>
  <c r="L7" i="48"/>
  <c r="M7" i="48"/>
  <c r="N7" i="48"/>
  <c r="O7" i="48"/>
  <c r="P7" i="48"/>
  <c r="Q7" i="48"/>
  <c r="R7" i="48"/>
  <c r="S7" i="48"/>
  <c r="T7" i="48"/>
  <c r="E5" i="48"/>
  <c r="C3" i="48"/>
  <c r="F4" i="48" s="1"/>
  <c r="F7" i="48"/>
  <c r="E7" i="48"/>
  <c r="D7" i="48"/>
  <c r="D5" i="48"/>
  <c r="BY14" i="84" l="1"/>
  <c r="CJ18" i="84"/>
  <c r="CJ19" i="84" s="1"/>
  <c r="BV4" i="84"/>
  <c r="CD8" i="84" s="1"/>
  <c r="CD9" i="84" s="1"/>
  <c r="DJ11" i="81"/>
  <c r="DJ14" i="81"/>
  <c r="BF35" i="52"/>
  <c r="BJ35" i="52" s="1"/>
  <c r="BN35" i="52" s="1"/>
  <c r="BR35" i="52" s="1"/>
  <c r="BV35" i="52" s="1"/>
  <c r="BZ35" i="52" s="1"/>
  <c r="CD35" i="52" s="1"/>
  <c r="CH35" i="52" s="1"/>
  <c r="CL35" i="52" s="1"/>
  <c r="CP35" i="52" s="1"/>
  <c r="CT35" i="52" s="1"/>
  <c r="BF46" i="52"/>
  <c r="BJ46" i="52" s="1"/>
  <c r="BN46" i="52" s="1"/>
  <c r="BR46" i="52" s="1"/>
  <c r="BV46" i="52" s="1"/>
  <c r="BZ46" i="52" s="1"/>
  <c r="CD46" i="52" s="1"/>
  <c r="CH46" i="52" s="1"/>
  <c r="CL46" i="52" s="1"/>
  <c r="CP46" i="52" s="1"/>
  <c r="CT46" i="52" s="1"/>
  <c r="AX18" i="52"/>
  <c r="BB18" i="52" s="1"/>
  <c r="BF18" i="52" s="1"/>
  <c r="BJ18" i="52" s="1"/>
  <c r="BN18" i="52" s="1"/>
  <c r="BR18" i="52" s="1"/>
  <c r="BV18" i="52" s="1"/>
  <c r="BZ18" i="52" s="1"/>
  <c r="CD18" i="52" s="1"/>
  <c r="CH18" i="52" s="1"/>
  <c r="CL18" i="52" s="1"/>
  <c r="CP18" i="52" s="1"/>
  <c r="CT18" i="52" s="1"/>
  <c r="CX18" i="52" s="1"/>
  <c r="DB18" i="52" s="1"/>
  <c r="DF18" i="52" s="1"/>
  <c r="DJ18" i="52" s="1"/>
  <c r="DN18" i="52" s="1"/>
  <c r="DR18" i="52" s="1"/>
  <c r="DV18" i="52" s="1"/>
  <c r="DZ18" i="52" s="1"/>
  <c r="ED18" i="52" s="1"/>
  <c r="EH18" i="52" s="1"/>
  <c r="EL18" i="52" s="1"/>
  <c r="EP18" i="52" s="1"/>
  <c r="AB11" i="48"/>
  <c r="AF11" i="48"/>
  <c r="AF15" i="48" s="1"/>
  <c r="AF16" i="48" s="1"/>
  <c r="AF8" i="48"/>
  <c r="AG11" i="48"/>
  <c r="AG15" i="48" s="1"/>
  <c r="B28" i="52" s="1"/>
  <c r="AG8" i="48"/>
  <c r="AE11" i="48"/>
  <c r="AE15" i="48" s="1"/>
  <c r="AE8" i="48"/>
  <c r="D11" i="48"/>
  <c r="D10" i="48" s="1"/>
  <c r="AD5" i="48"/>
  <c r="AC5" i="48"/>
  <c r="AB27" i="48"/>
  <c r="AB26" i="48" s="1"/>
  <c r="AB29" i="48" s="1"/>
  <c r="AG25" i="48"/>
  <c r="AC21" i="48"/>
  <c r="AC27" i="48" s="1"/>
  <c r="AD21" i="48"/>
  <c r="AD27" i="48" s="1"/>
  <c r="AB8" i="48"/>
  <c r="AE21" i="48"/>
  <c r="AB24" i="48"/>
  <c r="F25" i="48"/>
  <c r="E8" i="48"/>
  <c r="F20" i="48"/>
  <c r="G20" i="48" s="1"/>
  <c r="H20" i="48" s="1"/>
  <c r="I20" i="48" s="1"/>
  <c r="J20" i="48" s="1"/>
  <c r="K20" i="48" s="1"/>
  <c r="L20" i="48" s="1"/>
  <c r="M20" i="48" s="1"/>
  <c r="N20" i="48" s="1"/>
  <c r="O20" i="48" s="1"/>
  <c r="P20" i="48" s="1"/>
  <c r="Q20" i="48" s="1"/>
  <c r="R20" i="48" s="1"/>
  <c r="S20" i="48" s="1"/>
  <c r="T20" i="48" s="1"/>
  <c r="U20" i="48" s="1"/>
  <c r="G4" i="48"/>
  <c r="G5" i="48" s="1"/>
  <c r="F5" i="48"/>
  <c r="F11" i="48" s="1"/>
  <c r="D24" i="48"/>
  <c r="E24" i="48"/>
  <c r="F6" i="48"/>
  <c r="E27" i="48"/>
  <c r="G22" i="48"/>
  <c r="D27" i="48"/>
  <c r="W9" i="48"/>
  <c r="D8" i="48"/>
  <c r="E11" i="48"/>
  <c r="E15" i="48" s="1"/>
  <c r="E17" i="48" s="1"/>
  <c r="BZ14" i="84" l="1"/>
  <c r="CK18" i="84"/>
  <c r="CK19" i="84" s="1"/>
  <c r="BW4" i="84"/>
  <c r="CE8" i="84" s="1"/>
  <c r="CE9" i="84" s="1"/>
  <c r="R36" i="52"/>
  <c r="AL36" i="52"/>
  <c r="AH36" i="52"/>
  <c r="C39" i="52"/>
  <c r="N36" i="52"/>
  <c r="J36" i="52"/>
  <c r="Z36" i="52"/>
  <c r="F36" i="52"/>
  <c r="AP36" i="52"/>
  <c r="AD36" i="52"/>
  <c r="V36" i="52"/>
  <c r="AE16" i="48"/>
  <c r="AG16" i="48"/>
  <c r="AB10" i="48"/>
  <c r="AB13" i="48" s="1"/>
  <c r="AB31" i="48"/>
  <c r="AB33" i="48" s="1"/>
  <c r="AC15" i="48"/>
  <c r="AC24" i="48"/>
  <c r="AD24" i="48"/>
  <c r="AC11" i="48"/>
  <c r="AC10" i="48" s="1"/>
  <c r="AC8" i="48"/>
  <c r="AD8" i="48"/>
  <c r="AD11" i="48"/>
  <c r="AD15" i="48" s="1"/>
  <c r="AD26" i="48"/>
  <c r="AD31" i="48"/>
  <c r="AC26" i="48"/>
  <c r="AC31" i="48"/>
  <c r="AD10" i="48"/>
  <c r="AE27" i="48"/>
  <c r="AE24" i="48"/>
  <c r="AF21" i="48"/>
  <c r="E31" i="48"/>
  <c r="D31" i="48"/>
  <c r="D33" i="48" s="1"/>
  <c r="G25" i="48"/>
  <c r="X9" i="48"/>
  <c r="H4" i="48"/>
  <c r="H5" i="48" s="1"/>
  <c r="H8" i="48" s="1"/>
  <c r="F8" i="48"/>
  <c r="F15" i="48"/>
  <c r="F17" i="48" s="1"/>
  <c r="F21" i="48"/>
  <c r="G21" i="48"/>
  <c r="G24" i="48" s="1"/>
  <c r="F10" i="48"/>
  <c r="G6" i="48"/>
  <c r="E26" i="48"/>
  <c r="H21" i="48"/>
  <c r="H22" i="48"/>
  <c r="D26" i="48"/>
  <c r="G8" i="48"/>
  <c r="G11" i="48"/>
  <c r="G15" i="48" s="1"/>
  <c r="G17" i="48" s="1"/>
  <c r="E10" i="48"/>
  <c r="CA14" i="84" l="1"/>
  <c r="CL18" i="84"/>
  <c r="CL19" i="84" s="1"/>
  <c r="BX4" i="84"/>
  <c r="CF8" i="84" s="1"/>
  <c r="CF9" i="84" s="1"/>
  <c r="AC33" i="48"/>
  <c r="AD33" i="48"/>
  <c r="AG17" i="48"/>
  <c r="C28" i="52"/>
  <c r="BV47" i="52"/>
  <c r="AT47" i="52"/>
  <c r="AX47" i="52" s="1"/>
  <c r="BB47" i="52" s="1"/>
  <c r="BF47" i="52" s="1"/>
  <c r="BJ47" i="52" s="1"/>
  <c r="BN47" i="52" s="1"/>
  <c r="CH47" i="52"/>
  <c r="CP47" i="52"/>
  <c r="BZ47" i="52"/>
  <c r="CT47" i="52"/>
  <c r="BR47" i="52"/>
  <c r="CD47" i="52"/>
  <c r="CL47" i="52"/>
  <c r="E33" i="48"/>
  <c r="AD16" i="48"/>
  <c r="AD17" i="48"/>
  <c r="AD13" i="48"/>
  <c r="AD12" i="48"/>
  <c r="AC16" i="48"/>
  <c r="AC17" i="48"/>
  <c r="AC12" i="48"/>
  <c r="AC13" i="48"/>
  <c r="AB16" i="48"/>
  <c r="AB17" i="48"/>
  <c r="AB32" i="48"/>
  <c r="AF17" i="48"/>
  <c r="AE17" i="48"/>
  <c r="AD29" i="48"/>
  <c r="AC29" i="48"/>
  <c r="AC28" i="48"/>
  <c r="AD28" i="48"/>
  <c r="AE26" i="48"/>
  <c r="AE29" i="48" s="1"/>
  <c r="AE31" i="48"/>
  <c r="AE33" i="48" s="1"/>
  <c r="E32" i="48"/>
  <c r="AC32" i="48"/>
  <c r="AF27" i="48"/>
  <c r="AF24" i="48"/>
  <c r="AD32" i="48"/>
  <c r="AG21" i="48"/>
  <c r="AE10" i="48"/>
  <c r="H25" i="48"/>
  <c r="H11" i="48"/>
  <c r="H15" i="48" s="1"/>
  <c r="H17" i="48" s="1"/>
  <c r="F16" i="48"/>
  <c r="I4" i="48"/>
  <c r="I5" i="48" s="1"/>
  <c r="I11" i="48" s="1"/>
  <c r="I15" i="48" s="1"/>
  <c r="I17" i="48" s="1"/>
  <c r="G27" i="48"/>
  <c r="F27" i="48"/>
  <c r="F31" i="48" s="1"/>
  <c r="F33" i="48" s="1"/>
  <c r="F24" i="48"/>
  <c r="H6" i="48"/>
  <c r="I21" i="48"/>
  <c r="H24" i="48"/>
  <c r="I22" i="48"/>
  <c r="D32" i="48"/>
  <c r="G10" i="48"/>
  <c r="G16" i="48"/>
  <c r="E16" i="48"/>
  <c r="D16" i="48"/>
  <c r="CB14" i="84" l="1"/>
  <c r="CN18" i="84" s="1"/>
  <c r="CN19" i="84" s="1"/>
  <c r="CM18" i="84"/>
  <c r="CM19" i="84" s="1"/>
  <c r="BY4" i="84"/>
  <c r="CG8" i="84" s="1"/>
  <c r="CG9" i="84" s="1"/>
  <c r="BV36" i="52"/>
  <c r="BR36" i="52"/>
  <c r="BZ36" i="52"/>
  <c r="CT36" i="52"/>
  <c r="AT36" i="52"/>
  <c r="AX36" i="52" s="1"/>
  <c r="BB36" i="52" s="1"/>
  <c r="BF36" i="52" s="1"/>
  <c r="BJ36" i="52" s="1"/>
  <c r="BN36" i="52" s="1"/>
  <c r="CD36" i="52"/>
  <c r="CP36" i="52"/>
  <c r="CL36" i="52"/>
  <c r="B39" i="52"/>
  <c r="CH36" i="52"/>
  <c r="AE13" i="48"/>
  <c r="AE12" i="48"/>
  <c r="AE28" i="48"/>
  <c r="AF26" i="48"/>
  <c r="AF29" i="48" s="1"/>
  <c r="AF31" i="48"/>
  <c r="AF33" i="48" s="1"/>
  <c r="AE32" i="48"/>
  <c r="AF10" i="48"/>
  <c r="AG27" i="48"/>
  <c r="AG24" i="48"/>
  <c r="H10" i="48"/>
  <c r="H16" i="48"/>
  <c r="I25" i="48"/>
  <c r="H27" i="48"/>
  <c r="H31" i="48" s="1"/>
  <c r="H33" i="48" s="1"/>
  <c r="G31" i="48"/>
  <c r="G33" i="48" s="1"/>
  <c r="F26" i="48"/>
  <c r="I8" i="48"/>
  <c r="J4" i="48"/>
  <c r="J5" i="48" s="1"/>
  <c r="J8" i="48" s="1"/>
  <c r="G26" i="48"/>
  <c r="F32" i="48"/>
  <c r="I6" i="48"/>
  <c r="J22" i="48"/>
  <c r="I24" i="48"/>
  <c r="J21" i="48"/>
  <c r="I10" i="48"/>
  <c r="I16" i="48"/>
  <c r="BZ4" i="84" l="1"/>
  <c r="CH8" i="84" s="1"/>
  <c r="CH9" i="84" s="1"/>
  <c r="J47" i="52"/>
  <c r="AP47" i="52"/>
  <c r="AL47" i="52"/>
  <c r="N47" i="52"/>
  <c r="Z47" i="52"/>
  <c r="AH47" i="52"/>
  <c r="V47" i="52"/>
  <c r="F47" i="52"/>
  <c r="AD47" i="52"/>
  <c r="R47" i="52"/>
  <c r="AF12" i="48"/>
  <c r="AF13" i="48"/>
  <c r="AF32" i="48"/>
  <c r="AF28" i="48"/>
  <c r="AG26" i="48"/>
  <c r="AG29" i="48" s="1"/>
  <c r="AG31" i="48"/>
  <c r="AG33" i="48" s="1"/>
  <c r="AG10" i="48"/>
  <c r="H26" i="48"/>
  <c r="H32" i="48"/>
  <c r="J25" i="48"/>
  <c r="J27" i="48" s="1"/>
  <c r="J31" i="48" s="1"/>
  <c r="J33" i="48" s="1"/>
  <c r="G32" i="48"/>
  <c r="I27" i="48"/>
  <c r="I31" i="48" s="1"/>
  <c r="I33" i="48" s="1"/>
  <c r="J11" i="48"/>
  <c r="J10" i="48" s="1"/>
  <c r="K4" i="48"/>
  <c r="J6" i="48"/>
  <c r="K22" i="48"/>
  <c r="K21" i="48"/>
  <c r="J24" i="48"/>
  <c r="H35" i="35"/>
  <c r="G35" i="35"/>
  <c r="F35" i="35"/>
  <c r="H34" i="35"/>
  <c r="G34" i="35"/>
  <c r="F34" i="35"/>
  <c r="H33" i="35"/>
  <c r="G33" i="35"/>
  <c r="F33" i="35"/>
  <c r="H32" i="35"/>
  <c r="G32" i="35"/>
  <c r="F32" i="35"/>
  <c r="H31" i="35"/>
  <c r="G31" i="35"/>
  <c r="F31" i="35"/>
  <c r="H30" i="35"/>
  <c r="G30" i="35"/>
  <c r="F30" i="35"/>
  <c r="H29" i="35"/>
  <c r="G29" i="35"/>
  <c r="F29" i="35"/>
  <c r="H28" i="35"/>
  <c r="G28" i="35"/>
  <c r="F28" i="35"/>
  <c r="H27" i="35"/>
  <c r="G27" i="35"/>
  <c r="F27" i="35"/>
  <c r="H26" i="35"/>
  <c r="G26" i="35"/>
  <c r="F26" i="35"/>
  <c r="H25" i="35"/>
  <c r="G25" i="35"/>
  <c r="F25" i="35"/>
  <c r="H24" i="35"/>
  <c r="G24" i="35"/>
  <c r="F24" i="35"/>
  <c r="H23" i="35"/>
  <c r="G23" i="35"/>
  <c r="F23" i="35"/>
  <c r="H22" i="35"/>
  <c r="G22" i="35"/>
  <c r="F22" i="35"/>
  <c r="H21" i="35"/>
  <c r="G21" i="35"/>
  <c r="F21" i="35"/>
  <c r="H20" i="35"/>
  <c r="G20" i="35"/>
  <c r="F20" i="35"/>
  <c r="H19" i="35"/>
  <c r="G19" i="35"/>
  <c r="F19" i="35"/>
  <c r="H18" i="35"/>
  <c r="G18" i="35"/>
  <c r="F18" i="35"/>
  <c r="H17" i="35"/>
  <c r="G17" i="35"/>
  <c r="F17" i="35"/>
  <c r="H16" i="35"/>
  <c r="G16" i="35"/>
  <c r="F16" i="35"/>
  <c r="H15" i="35"/>
  <c r="G15" i="35"/>
  <c r="F15" i="35"/>
  <c r="H14" i="35"/>
  <c r="G14" i="35"/>
  <c r="F14" i="35"/>
  <c r="H13" i="35"/>
  <c r="G13" i="35"/>
  <c r="F13" i="35"/>
  <c r="H12" i="35"/>
  <c r="G12" i="35"/>
  <c r="F12" i="35"/>
  <c r="H11" i="35"/>
  <c r="G11" i="35"/>
  <c r="F11" i="35"/>
  <c r="H10" i="35"/>
  <c r="G10" i="35"/>
  <c r="F10" i="35"/>
  <c r="H9" i="35"/>
  <c r="G9" i="35"/>
  <c r="F9" i="35"/>
  <c r="H8" i="35"/>
  <c r="G8" i="35"/>
  <c r="F8" i="35"/>
  <c r="H7" i="35"/>
  <c r="G7" i="35"/>
  <c r="F7" i="35"/>
  <c r="CA4" i="84" l="1"/>
  <c r="CI8" i="84" s="1"/>
  <c r="CI9" i="84" s="1"/>
  <c r="AG13" i="48"/>
  <c r="AG12" i="48"/>
  <c r="AG28" i="48"/>
  <c r="AG32" i="48"/>
  <c r="I26" i="48"/>
  <c r="I32" i="48"/>
  <c r="J15" i="48"/>
  <c r="J17" i="48" s="1"/>
  <c r="K25" i="48"/>
  <c r="K27" i="48" s="1"/>
  <c r="K31" i="48" s="1"/>
  <c r="K33" i="48" s="1"/>
  <c r="K5" i="48"/>
  <c r="L4" i="48"/>
  <c r="J32" i="48"/>
  <c r="K6" i="48"/>
  <c r="L22" i="48"/>
  <c r="L21" i="48"/>
  <c r="J26" i="48"/>
  <c r="K24" i="48"/>
  <c r="CB4" i="84" l="1"/>
  <c r="J16" i="48"/>
  <c r="L25" i="48"/>
  <c r="L27" i="48" s="1"/>
  <c r="L31" i="48" s="1"/>
  <c r="L33" i="48" s="1"/>
  <c r="K11" i="48"/>
  <c r="K10" i="48" s="1"/>
  <c r="K8" i="48"/>
  <c r="L5" i="48"/>
  <c r="M4" i="48"/>
  <c r="L6" i="48"/>
  <c r="K26" i="48"/>
  <c r="M21" i="48"/>
  <c r="L24" i="48"/>
  <c r="K32" i="48"/>
  <c r="M22" i="48"/>
  <c r="CC4" i="84" l="1"/>
  <c r="CJ8" i="84"/>
  <c r="CJ9" i="84" s="1"/>
  <c r="M25" i="48"/>
  <c r="M27" i="48" s="1"/>
  <c r="M31" i="48" s="1"/>
  <c r="M33" i="48" s="1"/>
  <c r="M5" i="48"/>
  <c r="N4" i="48"/>
  <c r="L11" i="48"/>
  <c r="L8" i="48"/>
  <c r="K15" i="48"/>
  <c r="K17" i="48" s="1"/>
  <c r="L32" i="48"/>
  <c r="M6" i="48"/>
  <c r="M24" i="48"/>
  <c r="L26" i="48"/>
  <c r="N21" i="48"/>
  <c r="N22" i="48"/>
  <c r="CD4" i="84" l="1"/>
  <c r="CK8" i="84"/>
  <c r="CK9" i="84" s="1"/>
  <c r="N25" i="48"/>
  <c r="N27" i="48" s="1"/>
  <c r="N31" i="48" s="1"/>
  <c r="N33" i="48" s="1"/>
  <c r="K16" i="48"/>
  <c r="L15" i="48"/>
  <c r="L17" i="48" s="1"/>
  <c r="L10" i="48"/>
  <c r="N5" i="48"/>
  <c r="O4" i="48"/>
  <c r="M11" i="48"/>
  <c r="M15" i="48" s="1"/>
  <c r="M17" i="48" s="1"/>
  <c r="M8" i="48"/>
  <c r="M32" i="48"/>
  <c r="N6" i="48"/>
  <c r="N24" i="48"/>
  <c r="O22" i="48"/>
  <c r="O21" i="48"/>
  <c r="M26" i="48"/>
  <c r="CE4" i="84" l="1"/>
  <c r="CL8" i="84"/>
  <c r="CL9" i="84" s="1"/>
  <c r="O25" i="48"/>
  <c r="O27" i="48" s="1"/>
  <c r="O31" i="48" s="1"/>
  <c r="O33" i="48" s="1"/>
  <c r="L16" i="48"/>
  <c r="M10" i="48"/>
  <c r="O5" i="48"/>
  <c r="P4" i="48"/>
  <c r="N11" i="48"/>
  <c r="N8" i="48"/>
  <c r="N32" i="48"/>
  <c r="O6" i="48"/>
  <c r="O24" i="48"/>
  <c r="P21" i="48"/>
  <c r="P22" i="48"/>
  <c r="N26" i="48"/>
  <c r="CM8" i="84" l="1"/>
  <c r="CM9" i="84" s="1"/>
  <c r="CF4" i="84"/>
  <c r="P25" i="48"/>
  <c r="M16" i="48"/>
  <c r="N15" i="48"/>
  <c r="N17" i="48" s="1"/>
  <c r="N10" i="48"/>
  <c r="P5" i="48"/>
  <c r="Q4" i="48"/>
  <c r="O8" i="48"/>
  <c r="O11" i="48"/>
  <c r="O32" i="48"/>
  <c r="P6" i="48"/>
  <c r="Q21" i="48"/>
  <c r="Q22" i="48"/>
  <c r="P24" i="48"/>
  <c r="P27" i="48"/>
  <c r="P31" i="48" s="1"/>
  <c r="P33" i="48" s="1"/>
  <c r="O26" i="48"/>
  <c r="CG4" i="84" l="1"/>
  <c r="CN8" i="84"/>
  <c r="CN9" i="84" s="1"/>
  <c r="Q25" i="48"/>
  <c r="N16" i="48"/>
  <c r="O10" i="48"/>
  <c r="O15" i="48"/>
  <c r="O17" i="48" s="1"/>
  <c r="Q5" i="48"/>
  <c r="R4" i="48"/>
  <c r="P8" i="48"/>
  <c r="P11" i="48"/>
  <c r="Q6" i="48"/>
  <c r="P26" i="48"/>
  <c r="P32" i="48"/>
  <c r="R22" i="48"/>
  <c r="R21" i="48"/>
  <c r="Q24" i="48"/>
  <c r="CO8" i="84" l="1"/>
  <c r="CO9" i="84" s="1"/>
  <c r="CH4" i="84"/>
  <c r="R25" i="48"/>
  <c r="R27" i="48" s="1"/>
  <c r="R31" i="48" s="1"/>
  <c r="R33" i="48" s="1"/>
  <c r="Q27" i="48"/>
  <c r="Q31" i="48" s="1"/>
  <c r="Q33" i="48" s="1"/>
  <c r="O16" i="48"/>
  <c r="P15" i="48"/>
  <c r="P17" i="48" s="1"/>
  <c r="P10" i="48"/>
  <c r="R5" i="48"/>
  <c r="S4" i="48"/>
  <c r="Q11" i="48"/>
  <c r="Q8" i="48"/>
  <c r="R6" i="48"/>
  <c r="S21" i="48"/>
  <c r="S22" i="48"/>
  <c r="R24" i="48"/>
  <c r="CI4" i="84" l="1"/>
  <c r="CP8" i="84"/>
  <c r="CP9" i="84" s="1"/>
  <c r="Q26" i="48"/>
  <c r="Q32" i="48"/>
  <c r="S25" i="48"/>
  <c r="S27" i="48" s="1"/>
  <c r="S31" i="48" s="1"/>
  <c r="S33" i="48" s="1"/>
  <c r="P16" i="48"/>
  <c r="Q15" i="48"/>
  <c r="Q17" i="48" s="1"/>
  <c r="Q10" i="48"/>
  <c r="S5" i="48"/>
  <c r="T4" i="48"/>
  <c r="R8" i="48"/>
  <c r="R11" i="48"/>
  <c r="S6" i="48"/>
  <c r="R26" i="48"/>
  <c r="R32" i="48"/>
  <c r="T22" i="48"/>
  <c r="S24" i="48"/>
  <c r="T21" i="48"/>
  <c r="CQ8" i="84" l="1"/>
  <c r="CQ9" i="84" s="1"/>
  <c r="CJ4" i="84"/>
  <c r="T25" i="48"/>
  <c r="Q16" i="48"/>
  <c r="R10" i="48"/>
  <c r="R15" i="48"/>
  <c r="R17" i="48" s="1"/>
  <c r="U4" i="48"/>
  <c r="T5" i="48"/>
  <c r="S11" i="48"/>
  <c r="S8" i="48"/>
  <c r="T6" i="48"/>
  <c r="S26" i="48"/>
  <c r="S32" i="48"/>
  <c r="U22" i="48"/>
  <c r="T24" i="48"/>
  <c r="T27" i="48"/>
  <c r="T31" i="48" s="1"/>
  <c r="T33" i="48" s="1"/>
  <c r="U21" i="48"/>
  <c r="V20" i="48"/>
  <c r="CK4" i="84" l="1"/>
  <c r="CR8" i="84"/>
  <c r="CR9" i="84" s="1"/>
  <c r="U25" i="48"/>
  <c r="U27" i="48" s="1"/>
  <c r="U31" i="48" s="1"/>
  <c r="U33" i="48" s="1"/>
  <c r="R16" i="48"/>
  <c r="S10" i="48"/>
  <c r="S15" i="48"/>
  <c r="S17" i="48" s="1"/>
  <c r="T8" i="48"/>
  <c r="T11" i="48"/>
  <c r="T10" i="48" s="1"/>
  <c r="U5" i="48"/>
  <c r="V4" i="48"/>
  <c r="U6" i="48"/>
  <c r="T26" i="48"/>
  <c r="T32" i="48"/>
  <c r="V22" i="48"/>
  <c r="W20" i="48"/>
  <c r="V21" i="48"/>
  <c r="U24" i="48"/>
  <c r="CL4" i="84" l="1"/>
  <c r="CS8" i="84"/>
  <c r="CS9" i="84" s="1"/>
  <c r="V25" i="48"/>
  <c r="S16" i="48"/>
  <c r="T15" i="48"/>
  <c r="T17" i="48" s="1"/>
  <c r="U11" i="48"/>
  <c r="U8" i="48"/>
  <c r="V5" i="48"/>
  <c r="W4" i="48"/>
  <c r="V6" i="48"/>
  <c r="U26" i="48"/>
  <c r="W21" i="48"/>
  <c r="X20" i="48"/>
  <c r="X21" i="48" s="1"/>
  <c r="U32" i="48"/>
  <c r="V27" i="48"/>
  <c r="V31" i="48" s="1"/>
  <c r="V33" i="48" s="1"/>
  <c r="V24" i="48"/>
  <c r="W22" i="48"/>
  <c r="CM4" i="84" l="1"/>
  <c r="CT8" i="84"/>
  <c r="CT9" i="84" s="1"/>
  <c r="W25" i="48"/>
  <c r="T16" i="48"/>
  <c r="V8" i="48"/>
  <c r="V11" i="48"/>
  <c r="W5" i="48"/>
  <c r="X4" i="48"/>
  <c r="X5" i="48" s="1"/>
  <c r="U15" i="48"/>
  <c r="U17" i="48" s="1"/>
  <c r="U10" i="48"/>
  <c r="V32" i="48"/>
  <c r="W6" i="48"/>
  <c r="V26" i="48"/>
  <c r="W24" i="48"/>
  <c r="W27" i="48"/>
  <c r="W31" i="48" s="1"/>
  <c r="W33" i="48" s="1"/>
  <c r="X24" i="48"/>
  <c r="X22" i="48"/>
  <c r="CN4" i="84" l="1"/>
  <c r="CU8" i="84"/>
  <c r="CU9" i="84" s="1"/>
  <c r="X25" i="48"/>
  <c r="U16" i="48"/>
  <c r="X8" i="48"/>
  <c r="X11" i="48"/>
  <c r="W8" i="48"/>
  <c r="W11" i="48"/>
  <c r="W15" i="48" s="1"/>
  <c r="W17" i="48" s="1"/>
  <c r="V15" i="48"/>
  <c r="V17" i="48" s="1"/>
  <c r="V10" i="48"/>
  <c r="W32" i="48"/>
  <c r="X6" i="48"/>
  <c r="W26" i="48"/>
  <c r="CO4" i="84" l="1"/>
  <c r="CV8" i="84"/>
  <c r="CV9" i="84" s="1"/>
  <c r="X27" i="48"/>
  <c r="V16" i="48"/>
  <c r="W10" i="48"/>
  <c r="X15" i="48"/>
  <c r="X10" i="48"/>
  <c r="CW8" i="84" l="1"/>
  <c r="CW9" i="84" s="1"/>
  <c r="CP4" i="84"/>
  <c r="X17" i="48"/>
  <c r="B3" i="52"/>
  <c r="X31" i="48"/>
  <c r="X33" i="48" s="1"/>
  <c r="X26" i="48"/>
  <c r="X16" i="48"/>
  <c r="W16" i="48"/>
  <c r="CQ4" i="84" l="1"/>
  <c r="CX8" i="84"/>
  <c r="CX9" i="84" s="1"/>
  <c r="AD11" i="81"/>
  <c r="AL11" i="81"/>
  <c r="C14" i="81"/>
  <c r="AP11" i="81"/>
  <c r="N11" i="81"/>
  <c r="F11" i="81"/>
  <c r="R11" i="81"/>
  <c r="AH11" i="81"/>
  <c r="V11" i="81"/>
  <c r="Z11" i="81"/>
  <c r="J11" i="81"/>
  <c r="V11" i="52"/>
  <c r="AL11" i="52"/>
  <c r="F11" i="52"/>
  <c r="R11" i="52"/>
  <c r="N11" i="52"/>
  <c r="AP11" i="52"/>
  <c r="J11" i="52"/>
  <c r="AH11" i="52"/>
  <c r="AD11" i="52"/>
  <c r="Z11" i="52"/>
  <c r="C14" i="52"/>
  <c r="X32" i="48"/>
  <c r="CR4" i="84" l="1"/>
  <c r="CY8" i="84"/>
  <c r="CY9" i="84" s="1"/>
  <c r="BJ22" i="81"/>
  <c r="AX22" i="81"/>
  <c r="BF22" i="81"/>
  <c r="EH22" i="81"/>
  <c r="BB22" i="81"/>
  <c r="DR22" i="81"/>
  <c r="DV22" i="81"/>
  <c r="AT22" i="81"/>
  <c r="DN22" i="81"/>
  <c r="ED22" i="81"/>
  <c r="DZ22" i="81"/>
  <c r="EP22" i="81"/>
  <c r="EL22" i="81"/>
  <c r="BN22" i="81"/>
  <c r="BR22" i="81"/>
  <c r="BV22" i="81"/>
  <c r="BZ22" i="81"/>
  <c r="CD22" i="81"/>
  <c r="CH22" i="81"/>
  <c r="CL22" i="81"/>
  <c r="CP22" i="81"/>
  <c r="CT22" i="81"/>
  <c r="CX22" i="81"/>
  <c r="DB22" i="81"/>
  <c r="DF22" i="81"/>
  <c r="DJ22" i="81"/>
  <c r="EH22" i="52"/>
  <c r="EL22" i="52"/>
  <c r="DV22" i="52"/>
  <c r="EP22" i="52"/>
  <c r="DZ22" i="52"/>
  <c r="AT22" i="52"/>
  <c r="AX22" i="52" s="1"/>
  <c r="BB22" i="52" s="1"/>
  <c r="BF22" i="52" s="1"/>
  <c r="BJ22" i="52" s="1"/>
  <c r="BN22" i="52" s="1"/>
  <c r="BR22" i="52" s="1"/>
  <c r="BV22" i="52" s="1"/>
  <c r="BZ22" i="52" s="1"/>
  <c r="CD22" i="52" s="1"/>
  <c r="CH22" i="52" s="1"/>
  <c r="CL22" i="52" s="1"/>
  <c r="CP22" i="52" s="1"/>
  <c r="CT22" i="52" s="1"/>
  <c r="CX22" i="52" s="1"/>
  <c r="DB22" i="52" s="1"/>
  <c r="DF22" i="52" s="1"/>
  <c r="DJ22" i="52" s="1"/>
  <c r="ED22" i="52"/>
  <c r="DR22" i="52"/>
  <c r="DN22" i="52"/>
  <c r="D18" i="31"/>
  <c r="C26" i="31"/>
  <c r="P6" i="31"/>
  <c r="CZ8" i="84" l="1"/>
  <c r="CZ9" i="84" s="1"/>
  <c r="CS4" i="84"/>
  <c r="P13" i="31"/>
  <c r="S13" i="31" s="1"/>
  <c r="P11" i="31"/>
  <c r="CT4" i="84" l="1"/>
  <c r="DA8" i="84"/>
  <c r="DA9" i="84" s="1"/>
  <c r="S11" i="31"/>
  <c r="F16" i="31"/>
  <c r="E15" i="31"/>
  <c r="C15" i="31"/>
  <c r="D30" i="31"/>
  <c r="C23" i="31" s="1"/>
  <c r="CU4" i="84" l="1"/>
  <c r="DB8" i="84"/>
  <c r="DB9" i="84" s="1"/>
  <c r="D17" i="31"/>
  <c r="D61" i="31" s="1"/>
  <c r="D63" i="31" s="1"/>
  <c r="F23" i="31"/>
  <c r="F26" i="31"/>
  <c r="Q12" i="31"/>
  <c r="Q13" i="31"/>
  <c r="Q11" i="31"/>
  <c r="Q5" i="31"/>
  <c r="Q7" i="31"/>
  <c r="Q8" i="31"/>
  <c r="E33" i="31"/>
  <c r="E32" i="31"/>
  <c r="E31" i="31"/>
  <c r="E30" i="31"/>
  <c r="CV4" i="84" l="1"/>
  <c r="DC8" i="84"/>
  <c r="DC9" i="84" s="1"/>
  <c r="G16" i="31"/>
  <c r="F17" i="31" s="1"/>
  <c r="T11" i="31"/>
  <c r="T13" i="31"/>
  <c r="T8" i="31"/>
  <c r="J15" i="14"/>
  <c r="I15" i="14"/>
  <c r="K15" i="14"/>
  <c r="L15" i="14"/>
  <c r="W7" i="14"/>
  <c r="V7" i="14"/>
  <c r="V5" i="14"/>
  <c r="AC38" i="25"/>
  <c r="Y39" i="25"/>
  <c r="Y40" i="25"/>
  <c r="Y38" i="25"/>
  <c r="X39" i="25"/>
  <c r="W40" i="25"/>
  <c r="W39" i="25"/>
  <c r="AC39" i="25" s="1"/>
  <c r="W38" i="25"/>
  <c r="T29" i="25"/>
  <c r="V29" i="25" s="1"/>
  <c r="V31" i="25" s="1"/>
  <c r="T28" i="25"/>
  <c r="V28" i="25" s="1"/>
  <c r="V30" i="25" s="1"/>
  <c r="CW4" i="84" l="1"/>
  <c r="DD8" i="84"/>
  <c r="DD9" i="84" s="1"/>
  <c r="R12" i="31"/>
  <c r="F61" i="31"/>
  <c r="F63" i="31" s="1"/>
  <c r="R5" i="31"/>
  <c r="R7" i="31"/>
  <c r="R11" i="31"/>
  <c r="U11" i="31" s="1"/>
  <c r="R8" i="31"/>
  <c r="G23" i="31"/>
  <c r="F27" i="31" s="1"/>
  <c r="E2" i="31" s="1"/>
  <c r="R13" i="31"/>
  <c r="U13" i="31" s="1"/>
  <c r="G26" i="31"/>
  <c r="AC40" i="25"/>
  <c r="O45" i="25"/>
  <c r="H45" i="25"/>
  <c r="L39" i="25"/>
  <c r="E39" i="25"/>
  <c r="L38" i="25"/>
  <c r="E38" i="25"/>
  <c r="M37" i="25"/>
  <c r="L35" i="25"/>
  <c r="E35" i="25"/>
  <c r="M32" i="25"/>
  <c r="M31" i="25"/>
  <c r="L31" i="25"/>
  <c r="F31" i="25"/>
  <c r="E31" i="25"/>
  <c r="M29" i="25"/>
  <c r="F29" i="25"/>
  <c r="O27" i="25"/>
  <c r="O28" i="25" s="1"/>
  <c r="O42" i="25" s="1"/>
  <c r="H27" i="25"/>
  <c r="H28" i="25" s="1"/>
  <c r="H42" i="25" s="1"/>
  <c r="L24" i="25"/>
  <c r="Q20" i="25"/>
  <c r="N20" i="25"/>
  <c r="J20" i="25"/>
  <c r="G20" i="25"/>
  <c r="U19" i="25"/>
  <c r="U20" i="25" s="1"/>
  <c r="L19" i="25"/>
  <c r="E19" i="25"/>
  <c r="P17" i="25"/>
  <c r="P21" i="25" s="1"/>
  <c r="O17" i="25"/>
  <c r="O21" i="25" s="1"/>
  <c r="M17" i="25"/>
  <c r="M21" i="25" s="1"/>
  <c r="L17" i="25"/>
  <c r="L21" i="25" s="1"/>
  <c r="J17" i="25"/>
  <c r="J21" i="25" s="1"/>
  <c r="I17" i="25"/>
  <c r="I21" i="25" s="1"/>
  <c r="H17" i="25"/>
  <c r="H21" i="25" s="1"/>
  <c r="F17" i="25"/>
  <c r="F21" i="25" s="1"/>
  <c r="E17" i="25"/>
  <c r="E21" i="25" s="1"/>
  <c r="AC16" i="25"/>
  <c r="AE11" i="25" s="1"/>
  <c r="W16" i="25"/>
  <c r="Q16" i="25"/>
  <c r="Q17" i="25" s="1"/>
  <c r="Q21" i="25" s="1"/>
  <c r="N16" i="25"/>
  <c r="N17" i="25" s="1"/>
  <c r="N21" i="25" s="1"/>
  <c r="J16" i="25"/>
  <c r="G16" i="25"/>
  <c r="G17" i="25" s="1"/>
  <c r="G21" i="25" s="1"/>
  <c r="Q15" i="25"/>
  <c r="N15" i="25"/>
  <c r="J15" i="25"/>
  <c r="G15" i="25"/>
  <c r="Y12" i="25"/>
  <c r="Y11" i="25"/>
  <c r="U11" i="25"/>
  <c r="Y15" i="25" s="1"/>
  <c r="Q11" i="25"/>
  <c r="N11" i="25"/>
  <c r="J11" i="25"/>
  <c r="G11" i="25"/>
  <c r="AE10" i="25"/>
  <c r="Y10" i="25"/>
  <c r="U10" i="25"/>
  <c r="L10" i="25"/>
  <c r="E10" i="25"/>
  <c r="P8" i="25"/>
  <c r="P12" i="25" s="1"/>
  <c r="O8" i="25"/>
  <c r="O12" i="25" s="1"/>
  <c r="M8" i="25"/>
  <c r="M12" i="25" s="1"/>
  <c r="L8" i="25"/>
  <c r="L12" i="25" s="1"/>
  <c r="I8" i="25"/>
  <c r="I12" i="25" s="1"/>
  <c r="H8" i="25"/>
  <c r="H12" i="25" s="1"/>
  <c r="F8" i="25"/>
  <c r="F12" i="25" s="1"/>
  <c r="E8" i="25"/>
  <c r="E12" i="25" s="1"/>
  <c r="Q7" i="25"/>
  <c r="N7" i="25"/>
  <c r="N8" i="25" s="1"/>
  <c r="N12" i="25" s="1"/>
  <c r="J7" i="25"/>
  <c r="J8" i="25" s="1"/>
  <c r="J12" i="25" s="1"/>
  <c r="G7" i="25"/>
  <c r="G8" i="25" s="1"/>
  <c r="G12" i="25" s="1"/>
  <c r="Q6" i="25"/>
  <c r="Q8" i="25" s="1"/>
  <c r="Q12" i="25" s="1"/>
  <c r="N6" i="25"/>
  <c r="J6" i="25"/>
  <c r="G6" i="25"/>
  <c r="M3" i="25"/>
  <c r="M2" i="25"/>
  <c r="D12" i="14"/>
  <c r="CX4" i="84" l="1"/>
  <c r="DE8" i="84"/>
  <c r="DE9" i="84" s="1"/>
  <c r="D56" i="31"/>
  <c r="D57" i="31"/>
  <c r="D55" i="31"/>
  <c r="D58" i="31"/>
  <c r="D59" i="31"/>
  <c r="D27" i="31"/>
  <c r="C2" i="31" s="1"/>
  <c r="K16" i="31" s="1"/>
  <c r="U8" i="31"/>
  <c r="V32" i="25"/>
  <c r="AE15" i="25"/>
  <c r="U23" i="25"/>
  <c r="U24" i="25" s="1"/>
  <c r="AE14" i="25"/>
  <c r="Y17" i="25"/>
  <c r="Y20" i="25" s="1"/>
  <c r="Y23" i="25" s="1"/>
  <c r="AA14" i="25"/>
  <c r="AA16" i="25" s="1"/>
  <c r="AA19" i="25" s="1"/>
  <c r="AA22" i="25" s="1"/>
  <c r="AE12" i="25"/>
  <c r="U14" i="25"/>
  <c r="U15" i="25" s="1"/>
  <c r="Y14" i="25"/>
  <c r="DF8" i="84" l="1"/>
  <c r="DF9" i="84" s="1"/>
  <c r="CY4" i="84"/>
  <c r="K14" i="31"/>
  <c r="L14" i="31" s="1"/>
  <c r="K15" i="31"/>
  <c r="N16" i="31" s="1"/>
  <c r="K7" i="31"/>
  <c r="L7" i="31" s="1"/>
  <c r="K12" i="31"/>
  <c r="M12" i="31" s="1"/>
  <c r="K13" i="31"/>
  <c r="K10" i="31"/>
  <c r="L10" i="31" s="1"/>
  <c r="K6" i="31"/>
  <c r="K9" i="31"/>
  <c r="K11" i="31"/>
  <c r="M11" i="31" s="1"/>
  <c r="K8" i="31"/>
  <c r="M8" i="31" s="1"/>
  <c r="K17" i="31"/>
  <c r="M17" i="31" s="1"/>
  <c r="L16" i="31"/>
  <c r="M16" i="31"/>
  <c r="Y16" i="25"/>
  <c r="Y19" i="25" s="1"/>
  <c r="Y22" i="25" s="1"/>
  <c r="AA15" i="25"/>
  <c r="AA17" i="25" s="1"/>
  <c r="AA20" i="25" s="1"/>
  <c r="AA23" i="25" s="1"/>
  <c r="AE16" i="25"/>
  <c r="AE19" i="25" s="1"/>
  <c r="AE22" i="25" s="1"/>
  <c r="AG15" i="25"/>
  <c r="AG17" i="25" s="1"/>
  <c r="AG20" i="25" s="1"/>
  <c r="AG23" i="25" s="1"/>
  <c r="AG14" i="25"/>
  <c r="AG16" i="25" s="1"/>
  <c r="AG19" i="25" s="1"/>
  <c r="AG22" i="25" s="1"/>
  <c r="AE17" i="25"/>
  <c r="AE20" i="25" s="1"/>
  <c r="AE23" i="25" s="1"/>
  <c r="F20" i="14"/>
  <c r="DG8" i="84" l="1"/>
  <c r="DG9" i="84" s="1"/>
  <c r="CZ4" i="84"/>
  <c r="M6" i="31"/>
  <c r="P18" i="31"/>
  <c r="P20" i="31" s="1"/>
  <c r="N9" i="31"/>
  <c r="L15" i="31"/>
  <c r="M15" i="31"/>
  <c r="L8" i="31"/>
  <c r="M7" i="31"/>
  <c r="L17" i="31"/>
  <c r="N13" i="31"/>
  <c r="L12" i="31"/>
  <c r="N15" i="31"/>
  <c r="M14" i="31"/>
  <c r="N8" i="31"/>
  <c r="N14" i="31"/>
  <c r="M13" i="31"/>
  <c r="L13" i="31"/>
  <c r="M10" i="31"/>
  <c r="L9" i="31"/>
  <c r="M9" i="31"/>
  <c r="L11" i="31"/>
  <c r="N11" i="31"/>
  <c r="N10" i="31"/>
  <c r="N12" i="31"/>
  <c r="N7" i="31"/>
  <c r="L6" i="31"/>
  <c r="B4" i="20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9" i="20" s="1"/>
  <c r="B30" i="20" s="1"/>
  <c r="B31" i="20" s="1"/>
  <c r="B32" i="20" s="1"/>
  <c r="B33" i="20" s="1"/>
  <c r="B35" i="20" s="1"/>
  <c r="DH8" i="84" l="1"/>
  <c r="DH9" i="84" s="1"/>
  <c r="DA4" i="84"/>
  <c r="Y2" i="14"/>
  <c r="X2" i="14"/>
  <c r="X3" i="14" s="1"/>
  <c r="L2" i="14"/>
  <c r="K2" i="14"/>
  <c r="K7" i="14"/>
  <c r="DI8" i="84" l="1"/>
  <c r="DI9" i="84" s="1"/>
  <c r="DB4" i="84"/>
  <c r="B37" i="20"/>
  <c r="B38" i="20" s="1"/>
  <c r="B39" i="20" s="1"/>
  <c r="B40" i="20" s="1"/>
  <c r="B41" i="20" s="1"/>
  <c r="B42" i="20" s="1"/>
  <c r="B43" i="20" s="1"/>
  <c r="B44" i="20" s="1"/>
  <c r="B4" i="15"/>
  <c r="B5" i="15" s="1"/>
  <c r="B6" i="15" s="1"/>
  <c r="B8" i="15" s="1"/>
  <c r="DC4" i="84" l="1"/>
  <c r="DJ8" i="84"/>
  <c r="DJ9" i="84" s="1"/>
  <c r="B46" i="20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7" i="20" s="1"/>
  <c r="B68" i="20" s="1"/>
  <c r="B71" i="20" s="1"/>
  <c r="B72" i="20" s="1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7" i="15" s="1"/>
  <c r="B28" i="15" s="1"/>
  <c r="B29" i="15" s="1"/>
  <c r="B30" i="15" s="1"/>
  <c r="DD4" i="84" l="1"/>
  <c r="DK8" i="84"/>
  <c r="DK9" i="84" s="1"/>
  <c r="B73" i="20"/>
  <c r="B74" i="20" s="1"/>
  <c r="B75" i="20" s="1"/>
  <c r="B76" i="20" s="1"/>
  <c r="B32" i="15"/>
  <c r="B33" i="15" s="1"/>
  <c r="B34" i="15" s="1"/>
  <c r="B46" i="15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39" i="15"/>
  <c r="B40" i="15" s="1"/>
  <c r="B41" i="15" s="1"/>
  <c r="B42" i="15" s="1"/>
  <c r="B43" i="15" s="1"/>
  <c r="DE4" i="84" l="1"/>
  <c r="DL8" i="84"/>
  <c r="DL9" i="84" s="1"/>
  <c r="B78" i="20"/>
  <c r="AF15" i="14"/>
  <c r="AI2" i="14"/>
  <c r="AH2" i="14"/>
  <c r="AH3" i="14" s="1"/>
  <c r="AF2" i="14"/>
  <c r="AF3" i="14" s="1"/>
  <c r="AG5" i="14"/>
  <c r="AH5" i="14"/>
  <c r="AI5" i="14"/>
  <c r="AJ5" i="14"/>
  <c r="AK5" i="14"/>
  <c r="AL5" i="14"/>
  <c r="AM5" i="14"/>
  <c r="AN5" i="14"/>
  <c r="AO5" i="14"/>
  <c r="AF5" i="14"/>
  <c r="AG2" i="14"/>
  <c r="AG3" i="14" s="1"/>
  <c r="AI15" i="14"/>
  <c r="AH15" i="14"/>
  <c r="AG15" i="14"/>
  <c r="H15" i="14"/>
  <c r="G15" i="14"/>
  <c r="F15" i="14"/>
  <c r="E15" i="14"/>
  <c r="D15" i="14"/>
  <c r="I2" i="14"/>
  <c r="I3" i="14" s="1"/>
  <c r="L3" i="14"/>
  <c r="K3" i="14"/>
  <c r="J2" i="14"/>
  <c r="J3" i="14" s="1"/>
  <c r="AO15" i="14"/>
  <c r="AN15" i="14"/>
  <c r="AM15" i="14"/>
  <c r="AL15" i="14"/>
  <c r="AK15" i="14"/>
  <c r="AJ15" i="14"/>
  <c r="AE15" i="14"/>
  <c r="AD15" i="14"/>
  <c r="V2" i="14"/>
  <c r="V3" i="14" s="1"/>
  <c r="R15" i="14"/>
  <c r="Q15" i="14"/>
  <c r="S15" i="14"/>
  <c r="AK2" i="14"/>
  <c r="AM2" i="14" s="1"/>
  <c r="AJ2" i="14"/>
  <c r="AL2" i="14" s="1"/>
  <c r="AN2" i="14" s="1"/>
  <c r="Y3" i="14"/>
  <c r="W2" i="14"/>
  <c r="W3" i="14" s="1"/>
  <c r="T15" i="14"/>
  <c r="U15" i="14"/>
  <c r="I7" i="14"/>
  <c r="W5" i="14"/>
  <c r="X5" i="14"/>
  <c r="Y5" i="14"/>
  <c r="Q5" i="14"/>
  <c r="J5" i="14"/>
  <c r="K5" i="14"/>
  <c r="L5" i="14"/>
  <c r="I5" i="14"/>
  <c r="AE5" i="14"/>
  <c r="AD5" i="14"/>
  <c r="AE3" i="14"/>
  <c r="AD3" i="14"/>
  <c r="T7" i="14"/>
  <c r="X7" i="14" s="1"/>
  <c r="S7" i="14"/>
  <c r="J7" i="14"/>
  <c r="H7" i="14"/>
  <c r="U5" i="14"/>
  <c r="T5" i="14"/>
  <c r="S5" i="14"/>
  <c r="R5" i="14"/>
  <c r="H5" i="14"/>
  <c r="G5" i="14"/>
  <c r="F5" i="14"/>
  <c r="E5" i="14"/>
  <c r="D5" i="14"/>
  <c r="U3" i="14"/>
  <c r="T3" i="14"/>
  <c r="S3" i="14"/>
  <c r="R3" i="14"/>
  <c r="Q3" i="14"/>
  <c r="H3" i="14"/>
  <c r="G3" i="14"/>
  <c r="F3" i="14"/>
  <c r="E3" i="14"/>
  <c r="D3" i="14"/>
  <c r="DF4" i="84" l="1"/>
  <c r="DM8" i="84"/>
  <c r="DM9" i="84" s="1"/>
  <c r="B79" i="20"/>
  <c r="B80" i="20" s="1"/>
  <c r="B81" i="20" s="1"/>
  <c r="B82" i="20" s="1"/>
  <c r="U9" i="14"/>
  <c r="X9" i="14"/>
  <c r="X10" i="14" s="1"/>
  <c r="I9" i="14"/>
  <c r="I8" i="14" s="1"/>
  <c r="V9" i="14"/>
  <c r="V10" i="14" s="1"/>
  <c r="W10" i="14"/>
  <c r="W9" i="14"/>
  <c r="W8" i="14" s="1"/>
  <c r="J10" i="14"/>
  <c r="J9" i="14"/>
  <c r="K9" i="14"/>
  <c r="K10" i="14" s="1"/>
  <c r="D9" i="14"/>
  <c r="D8" i="14" s="1"/>
  <c r="D17" i="14" s="1"/>
  <c r="D6" i="14"/>
  <c r="U7" i="14"/>
  <c r="Y7" i="14" s="1"/>
  <c r="Y9" i="14" s="1"/>
  <c r="Y10" i="14" s="1"/>
  <c r="L7" i="14"/>
  <c r="K8" i="14"/>
  <c r="Q6" i="14"/>
  <c r="AK3" i="14"/>
  <c r="AK6" i="14" s="1"/>
  <c r="AF6" i="14"/>
  <c r="AD7" i="14"/>
  <c r="AF7" i="14" s="1"/>
  <c r="AH7" i="14" s="1"/>
  <c r="AE7" i="14"/>
  <c r="AI3" i="14"/>
  <c r="AH6" i="14"/>
  <c r="AG6" i="14"/>
  <c r="AD6" i="14"/>
  <c r="AO2" i="14"/>
  <c r="AO3" i="14" s="1"/>
  <c r="AM3" i="14"/>
  <c r="AJ3" i="14"/>
  <c r="AN3" i="14"/>
  <c r="AL3" i="14"/>
  <c r="E9" i="14"/>
  <c r="E8" i="14" s="1"/>
  <c r="AE6" i="14"/>
  <c r="F9" i="14"/>
  <c r="F13" i="14" s="1"/>
  <c r="K6" i="14"/>
  <c r="R9" i="14"/>
  <c r="R10" i="14" s="1"/>
  <c r="V6" i="14"/>
  <c r="T9" i="14"/>
  <c r="T10" i="14" s="1"/>
  <c r="T11" i="14" s="1"/>
  <c r="E6" i="14"/>
  <c r="Q9" i="14"/>
  <c r="G6" i="14"/>
  <c r="S6" i="14"/>
  <c r="J6" i="14"/>
  <c r="J8" i="14"/>
  <c r="Y6" i="14"/>
  <c r="L6" i="14"/>
  <c r="W6" i="14"/>
  <c r="X6" i="14"/>
  <c r="G9" i="14"/>
  <c r="F6" i="14"/>
  <c r="R6" i="14"/>
  <c r="H9" i="14"/>
  <c r="S9" i="14"/>
  <c r="H6" i="14"/>
  <c r="T6" i="14"/>
  <c r="I6" i="14"/>
  <c r="U6" i="14"/>
  <c r="DG4" i="84" l="1"/>
  <c r="DN8" i="84"/>
  <c r="DN9" i="84" s="1"/>
  <c r="B83" i="20"/>
  <c r="B84" i="20" s="1"/>
  <c r="B85" i="20" s="1"/>
  <c r="B86" i="20" s="1"/>
  <c r="B87" i="20" s="1"/>
  <c r="B91" i="20" s="1"/>
  <c r="B92" i="20" s="1"/>
  <c r="B93" i="20" s="1"/>
  <c r="B94" i="20" s="1"/>
  <c r="B95" i="20" s="1"/>
  <c r="B96" i="20" s="1"/>
  <c r="B97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129" i="20" s="1"/>
  <c r="B130" i="20" s="1"/>
  <c r="B131" i="20" s="1"/>
  <c r="B132" i="20" s="1"/>
  <c r="B133" i="20" s="1"/>
  <c r="B134" i="20" s="1"/>
  <c r="B135" i="20" s="1"/>
  <c r="B136" i="20" s="1"/>
  <c r="B137" i="20" s="1"/>
  <c r="B138" i="20" s="1"/>
  <c r="B139" i="20" s="1"/>
  <c r="B140" i="20" s="1"/>
  <c r="B141" i="20" s="1"/>
  <c r="B142" i="20" s="1"/>
  <c r="B143" i="20" s="1"/>
  <c r="B144" i="20" s="1"/>
  <c r="B145" i="20" s="1"/>
  <c r="B146" i="20" s="1"/>
  <c r="B147" i="20" s="1"/>
  <c r="B148" i="20" s="1"/>
  <c r="B149" i="20" s="1"/>
  <c r="B150" i="20" s="1"/>
  <c r="B151" i="20" s="1"/>
  <c r="B152" i="20" s="1"/>
  <c r="B153" i="20" s="1"/>
  <c r="B154" i="20" s="1"/>
  <c r="B155" i="20" s="1"/>
  <c r="B156" i="20" s="1"/>
  <c r="B157" i="20" s="1"/>
  <c r="B158" i="20" s="1"/>
  <c r="B159" i="20" s="1"/>
  <c r="B160" i="20" s="1"/>
  <c r="B161" i="20" s="1"/>
  <c r="B162" i="20" s="1"/>
  <c r="B163" i="20" s="1"/>
  <c r="B164" i="20" s="1"/>
  <c r="B165" i="20" s="1"/>
  <c r="B166" i="20" s="1"/>
  <c r="B167" i="20" s="1"/>
  <c r="B168" i="20" s="1"/>
  <c r="B169" i="20" s="1"/>
  <c r="B170" i="20" s="1"/>
  <c r="B171" i="20" s="1"/>
  <c r="B172" i="20" s="1"/>
  <c r="B173" i="20" s="1"/>
  <c r="B174" i="20" s="1"/>
  <c r="B175" i="20" s="1"/>
  <c r="B176" i="20" s="1"/>
  <c r="B177" i="20" s="1"/>
  <c r="B178" i="20" s="1"/>
  <c r="B179" i="20" s="1"/>
  <c r="B180" i="20" s="1"/>
  <c r="B181" i="20" s="1"/>
  <c r="B182" i="20" s="1"/>
  <c r="B183" i="20" s="1"/>
  <c r="B184" i="20" s="1"/>
  <c r="B185" i="20" s="1"/>
  <c r="B186" i="20" s="1"/>
  <c r="B187" i="20" s="1"/>
  <c r="B188" i="20" s="1"/>
  <c r="B189" i="20" s="1"/>
  <c r="B190" i="20" s="1"/>
  <c r="B191" i="20" s="1"/>
  <c r="B192" i="20" s="1"/>
  <c r="B193" i="20" s="1"/>
  <c r="B194" i="20" s="1"/>
  <c r="B195" i="20" s="1"/>
  <c r="B196" i="20" s="1"/>
  <c r="B197" i="20" s="1"/>
  <c r="B198" i="20" s="1"/>
  <c r="B199" i="20" s="1"/>
  <c r="B200" i="20" s="1"/>
  <c r="B201" i="20" s="1"/>
  <c r="B202" i="20" s="1"/>
  <c r="B203" i="20" s="1"/>
  <c r="B204" i="20" s="1"/>
  <c r="B205" i="20" s="1"/>
  <c r="B206" i="20" s="1"/>
  <c r="B207" i="20" s="1"/>
  <c r="B208" i="20" s="1"/>
  <c r="B209" i="20" s="1"/>
  <c r="B210" i="20" s="1"/>
  <c r="B211" i="20" s="1"/>
  <c r="B212" i="20" s="1"/>
  <c r="B213" i="20" s="1"/>
  <c r="B214" i="20" s="1"/>
  <c r="B215" i="20" s="1"/>
  <c r="B216" i="20" s="1"/>
  <c r="B217" i="20" s="1"/>
  <c r="B218" i="20" s="1"/>
  <c r="B219" i="20" s="1"/>
  <c r="B220" i="20" s="1"/>
  <c r="B221" i="20" s="1"/>
  <c r="B222" i="20" s="1"/>
  <c r="B223" i="20" s="1"/>
  <c r="B224" i="20" s="1"/>
  <c r="B225" i="20" s="1"/>
  <c r="B226" i="20" s="1"/>
  <c r="B227" i="20" s="1"/>
  <c r="B230" i="20" s="1"/>
  <c r="B231" i="20" s="1"/>
  <c r="B232" i="20" s="1"/>
  <c r="B233" i="20" s="1"/>
  <c r="B234" i="20" s="1"/>
  <c r="I10" i="14"/>
  <c r="I11" i="14" s="1"/>
  <c r="L9" i="14"/>
  <c r="L10" i="14" s="1"/>
  <c r="L11" i="14" s="1"/>
  <c r="D10" i="14"/>
  <c r="G10" i="14"/>
  <c r="G11" i="14" s="1"/>
  <c r="G18" i="14"/>
  <c r="G19" i="14"/>
  <c r="G20" i="14"/>
  <c r="U10" i="14"/>
  <c r="U11" i="14" s="1"/>
  <c r="E10" i="14"/>
  <c r="E11" i="14" s="1"/>
  <c r="E13" i="14"/>
  <c r="AH9" i="14"/>
  <c r="AJ7" i="14"/>
  <c r="AL7" i="14" s="1"/>
  <c r="AN7" i="14" s="1"/>
  <c r="AN9" i="14" s="1"/>
  <c r="AN8" i="14" s="1"/>
  <c r="AJ6" i="14"/>
  <c r="AF9" i="14"/>
  <c r="F10" i="14"/>
  <c r="F11" i="14" s="1"/>
  <c r="AM6" i="14"/>
  <c r="AI6" i="14"/>
  <c r="AG7" i="14"/>
  <c r="AE9" i="14"/>
  <c r="W11" i="14"/>
  <c r="AL6" i="14"/>
  <c r="AN6" i="14"/>
  <c r="F8" i="14"/>
  <c r="R8" i="14"/>
  <c r="AO6" i="14"/>
  <c r="T8" i="14"/>
  <c r="AD9" i="14"/>
  <c r="I13" i="14"/>
  <c r="R11" i="14"/>
  <c r="X8" i="14"/>
  <c r="X11" i="14"/>
  <c r="S10" i="14"/>
  <c r="S11" i="14" s="1"/>
  <c r="V11" i="14"/>
  <c r="Y8" i="14"/>
  <c r="Y11" i="14"/>
  <c r="Q8" i="14"/>
  <c r="V8" i="14"/>
  <c r="U8" i="14"/>
  <c r="H8" i="14"/>
  <c r="H13" i="14"/>
  <c r="J11" i="14"/>
  <c r="L8" i="14"/>
  <c r="L13" i="14"/>
  <c r="D13" i="14"/>
  <c r="G8" i="14"/>
  <c r="H10" i="14"/>
  <c r="H11" i="14" s="1"/>
  <c r="K11" i="14"/>
  <c r="S8" i="14"/>
  <c r="G13" i="14"/>
  <c r="J13" i="14"/>
  <c r="K13" i="14"/>
  <c r="DH4" i="84" l="1"/>
  <c r="DO8" i="84"/>
  <c r="DO9" i="84" s="1"/>
  <c r="B237" i="20"/>
  <c r="B238" i="20" s="1"/>
  <c r="B239" i="20" s="1"/>
  <c r="G21" i="14"/>
  <c r="J20" i="14"/>
  <c r="K20" i="14"/>
  <c r="I20" i="14"/>
  <c r="J19" i="14"/>
  <c r="I19" i="14"/>
  <c r="K19" i="14"/>
  <c r="I18" i="14"/>
  <c r="K18" i="14"/>
  <c r="J18" i="14"/>
  <c r="AJ9" i="14"/>
  <c r="AL9" i="14"/>
  <c r="AL8" i="14" s="1"/>
  <c r="AD10" i="14"/>
  <c r="AD8" i="14"/>
  <c r="AE8" i="14"/>
  <c r="AE10" i="14"/>
  <c r="AE11" i="14" s="1"/>
  <c r="AF10" i="14"/>
  <c r="AF11" i="14" s="1"/>
  <c r="AF8" i="14"/>
  <c r="AG9" i="14"/>
  <c r="AI7" i="14"/>
  <c r="AN10" i="14"/>
  <c r="AN11" i="14" s="1"/>
  <c r="AH10" i="14"/>
  <c r="AH11" i="14" s="1"/>
  <c r="AH8" i="14"/>
  <c r="Q11" i="14"/>
  <c r="D14" i="14"/>
  <c r="D11" i="14"/>
  <c r="DP8" i="84" l="1"/>
  <c r="DP9" i="84" s="1"/>
  <c r="DI4" i="84"/>
  <c r="D18" i="14"/>
  <c r="G17" i="14"/>
  <c r="D19" i="14"/>
  <c r="AL10" i="14"/>
  <c r="AL11" i="14" s="1"/>
  <c r="AJ8" i="14"/>
  <c r="AJ10" i="14"/>
  <c r="AJ11" i="14" s="1"/>
  <c r="AI9" i="14"/>
  <c r="AK7" i="14"/>
  <c r="AG10" i="14"/>
  <c r="AG11" i="14" s="1"/>
  <c r="AG8" i="14"/>
  <c r="AD11" i="14"/>
  <c r="DQ8" i="84" l="1"/>
  <c r="DQ9" i="84" s="1"/>
  <c r="DJ4" i="84"/>
  <c r="AM7" i="14"/>
  <c r="AK9" i="14"/>
  <c r="AI8" i="14"/>
  <c r="AI10" i="14"/>
  <c r="AI11" i="14" s="1"/>
  <c r="DR8" i="84" l="1"/>
  <c r="DR9" i="84" s="1"/>
  <c r="DK4" i="84"/>
  <c r="AK10" i="14"/>
  <c r="AK11" i="14" s="1"/>
  <c r="AK8" i="14"/>
  <c r="AO7" i="14"/>
  <c r="AO9" i="14" s="1"/>
  <c r="AM9" i="14"/>
  <c r="DL4" i="84" l="1"/>
  <c r="DS8" i="84"/>
  <c r="DS9" i="84" s="1"/>
  <c r="AM8" i="14"/>
  <c r="AM10" i="14"/>
  <c r="AM11" i="14" s="1"/>
  <c r="AO8" i="14"/>
  <c r="AO10" i="14"/>
  <c r="AO11" i="14" s="1"/>
  <c r="C20" i="14"/>
  <c r="D20" i="14" s="1"/>
  <c r="D21" i="14" s="1"/>
  <c r="DT8" i="84" l="1"/>
  <c r="DT9" i="84" s="1"/>
  <c r="DM4" i="84"/>
  <c r="R6" i="31"/>
  <c r="U6" i="31" s="1"/>
  <c r="Q6" i="31"/>
  <c r="T6" i="31" s="1"/>
  <c r="DN4" i="84" l="1"/>
  <c r="DU8" i="84"/>
  <c r="DU9" i="84" s="1"/>
  <c r="BZ70" i="52"/>
  <c r="CD70" i="52" s="1"/>
  <c r="CH70" i="52" s="1"/>
  <c r="CL70" i="52" s="1"/>
  <c r="CP70" i="52" s="1"/>
  <c r="CT70" i="52" s="1"/>
  <c r="CX70" i="52" s="1"/>
  <c r="DB70" i="52" s="1"/>
  <c r="DF70" i="52" s="1"/>
  <c r="DJ70" i="52" s="1"/>
  <c r="DN70" i="52" s="1"/>
  <c r="DV8" i="84" l="1"/>
  <c r="DV9" i="84" s="1"/>
  <c r="DO4" i="84"/>
  <c r="DW8" i="84" l="1"/>
  <c r="DW9" i="84" s="1"/>
  <c r="DP4" i="84"/>
  <c r="DQ4" i="84" l="1"/>
  <c r="DX8" i="84"/>
  <c r="DX9" i="84" s="1"/>
  <c r="DY8" i="84" l="1"/>
  <c r="DY9" i="84" s="1"/>
  <c r="DR4" i="84"/>
  <c r="DS4" i="84" l="1"/>
  <c r="DZ8" i="84"/>
  <c r="DZ9" i="84" s="1"/>
  <c r="DT4" i="84" l="1"/>
  <c r="EA8" i="84"/>
  <c r="EA9" i="84" s="1"/>
  <c r="DU4" i="84" l="1"/>
  <c r="EB8" i="84"/>
  <c r="EB9" i="84" s="1"/>
  <c r="DV4" i="84" l="1"/>
  <c r="EC8" i="84"/>
  <c r="EC9" i="84" s="1"/>
  <c r="DW4" i="84" l="1"/>
  <c r="ED8" i="84"/>
  <c r="ED9" i="84" s="1"/>
  <c r="DX4" i="84" l="1"/>
  <c r="EE8" i="84"/>
  <c r="EE9" i="84" s="1"/>
  <c r="DY4" i="84" l="1"/>
  <c r="EF8" i="84"/>
  <c r="EF9" i="84" s="1"/>
  <c r="DZ4" i="84" l="1"/>
  <c r="EG8" i="84"/>
  <c r="EG9" i="84" s="1"/>
  <c r="EA4" i="84" l="1"/>
  <c r="EH8" i="84"/>
  <c r="EH9" i="84" s="1"/>
  <c r="EB4" i="84" l="1"/>
  <c r="EI8" i="84"/>
  <c r="EI9" i="84" s="1"/>
  <c r="EC4" i="84" l="1"/>
  <c r="EJ8" i="84"/>
  <c r="EJ9" i="84" s="1"/>
  <c r="ED4" i="84" l="1"/>
  <c r="EK8" i="84"/>
  <c r="EK9" i="84" s="1"/>
  <c r="EL8" i="84" l="1"/>
  <c r="EL9" i="84" s="1"/>
  <c r="EE4" i="84"/>
  <c r="EM8" i="84" l="1"/>
  <c r="EM9" i="84" s="1"/>
  <c r="EF4" i="84"/>
  <c r="EG4" i="84" l="1"/>
  <c r="EN8" i="84"/>
  <c r="EN9" i="84" s="1"/>
  <c r="EH4" i="84" l="1"/>
  <c r="EO8" i="84"/>
  <c r="EO9" i="84" s="1"/>
  <c r="EI4" i="84" l="1"/>
  <c r="EP8" i="84"/>
  <c r="EP9" i="84" s="1"/>
  <c r="EJ4" i="84" l="1"/>
  <c r="EQ8" i="84"/>
  <c r="EQ9" i="84" s="1"/>
  <c r="EK4" i="84" l="1"/>
  <c r="ER8" i="84"/>
  <c r="ER9" i="84" s="1"/>
  <c r="EL4" i="84" l="1"/>
  <c r="ES8" i="84"/>
  <c r="ES9" i="84" s="1"/>
  <c r="ET8" i="84" l="1"/>
  <c r="ET9" i="84" s="1"/>
  <c r="EM4" i="84"/>
  <c r="EU8" i="84" l="1"/>
  <c r="EU9" i="84" s="1"/>
  <c r="EN4" i="84"/>
  <c r="EO4" i="84" l="1"/>
  <c r="EV8" i="84"/>
  <c r="EV9" i="84" s="1"/>
  <c r="EP4" i="84" l="1"/>
  <c r="EW8" i="84"/>
  <c r="EW9" i="84" s="1"/>
  <c r="EX8" i="84" l="1"/>
  <c r="EX9" i="84" s="1"/>
  <c r="EQ4" i="84"/>
  <c r="ER4" i="84" l="1"/>
  <c r="EY8" i="84"/>
  <c r="EY9" i="84" s="1"/>
  <c r="EZ8" i="84" l="1"/>
  <c r="EZ9" i="84" s="1"/>
  <c r="ES4" i="84"/>
  <c r="ET4" i="84" l="1"/>
  <c r="FA8" i="84"/>
  <c r="FA9" i="84" s="1"/>
  <c r="EU4" i="84" l="1"/>
  <c r="FB8" i="84"/>
  <c r="FB9" i="84" s="1"/>
  <c r="EV4" i="84" l="1"/>
  <c r="FC8" i="84"/>
  <c r="FC9" i="84" s="1"/>
  <c r="EW4" i="84" l="1"/>
  <c r="FD8" i="84"/>
  <c r="FD9" i="84" s="1"/>
  <c r="EX4" i="84" l="1"/>
  <c r="FE8" i="84"/>
  <c r="FE9" i="84" s="1"/>
  <c r="FF8" i="84" l="1"/>
  <c r="FF9" i="84" s="1"/>
  <c r="EY4" i="84"/>
  <c r="EZ4" i="84" l="1"/>
  <c r="FG8" i="84"/>
  <c r="FG9" i="84" s="1"/>
  <c r="FH8" i="84" l="1"/>
  <c r="FH9" i="84" s="1"/>
  <c r="FA4" i="84"/>
  <c r="FB4" i="84" l="1"/>
  <c r="FI8" i="84"/>
  <c r="FI9" i="84" s="1"/>
  <c r="FJ8" i="84" l="1"/>
  <c r="FJ9" i="84" s="1"/>
  <c r="FC4" i="84"/>
  <c r="FD4" i="84" l="1"/>
  <c r="FK8" i="84"/>
  <c r="FK9" i="84" s="1"/>
  <c r="FE4" i="84" l="1"/>
  <c r="FL8" i="84"/>
  <c r="FL9" i="84" s="1"/>
  <c r="FM8" i="84" l="1"/>
  <c r="FM9" i="84" s="1"/>
  <c r="FF4" i="84"/>
  <c r="FG4" i="84" l="1"/>
  <c r="FN8" i="84"/>
  <c r="FN9" i="84" s="1"/>
  <c r="FH4" i="84" l="1"/>
  <c r="FO8" i="84"/>
  <c r="FO9" i="84" s="1"/>
  <c r="FI4" i="84" l="1"/>
  <c r="FP8" i="84"/>
  <c r="FP9" i="84" s="1"/>
  <c r="FQ8" i="84" l="1"/>
  <c r="FQ9" i="84" s="1"/>
  <c r="FJ4" i="84"/>
  <c r="FK4" i="84" l="1"/>
  <c r="FR8" i="84"/>
  <c r="FR9" i="84" s="1"/>
  <c r="FS8" i="84" l="1"/>
  <c r="FS9" i="84" s="1"/>
  <c r="FL4" i="84"/>
  <c r="FT8" i="84" l="1"/>
  <c r="FT9" i="84" s="1"/>
  <c r="FM4" i="84"/>
  <c r="FN4" i="84" l="1"/>
  <c r="FU8" i="84"/>
  <c r="FU9" i="84" s="1"/>
  <c r="FV8" i="84" l="1"/>
  <c r="FV9" i="84" s="1"/>
  <c r="FO4" i="84"/>
  <c r="FP4" i="84" l="1"/>
  <c r="FW8" i="84"/>
  <c r="FW9" i="84" s="1"/>
  <c r="FX8" i="84" l="1"/>
  <c r="FX9" i="84" s="1"/>
  <c r="FQ4" i="84"/>
  <c r="FR4" i="84" l="1"/>
  <c r="FY8" i="84"/>
  <c r="FY9" i="84" s="1"/>
  <c r="FZ8" i="84" l="1"/>
  <c r="FZ9" i="84" s="1"/>
  <c r="FS4" i="84"/>
  <c r="FT4" i="84" l="1"/>
  <c r="GA8" i="84"/>
  <c r="GA9" i="84" s="1"/>
  <c r="GB8" i="84" l="1"/>
  <c r="GB9" i="84" s="1"/>
  <c r="FU4" i="84"/>
  <c r="GC8" i="84" l="1"/>
  <c r="GC9" i="84" s="1"/>
  <c r="FV4" i="84"/>
  <c r="GD8" i="84" l="1"/>
  <c r="GD9" i="84" s="1"/>
  <c r="FW4" i="84"/>
  <c r="FX4" i="84" l="1"/>
  <c r="GE8" i="84"/>
  <c r="GE9" i="84" s="1"/>
  <c r="GF8" i="84" l="1"/>
  <c r="GF9" i="84" s="1"/>
  <c r="FY4" i="84"/>
  <c r="GG8" i="84" l="1"/>
  <c r="GG9" i="84" s="1"/>
  <c r="FZ4" i="84"/>
  <c r="GA4" i="84" l="1"/>
  <c r="GH8" i="84"/>
  <c r="GH9" i="84" s="1"/>
  <c r="GB4" i="84" l="1"/>
  <c r="GI8" i="84"/>
  <c r="GI9" i="84" s="1"/>
  <c r="GC4" i="84" l="1"/>
  <c r="GJ8" i="84"/>
  <c r="GJ9" i="84" s="1"/>
  <c r="GK8" i="84" l="1"/>
  <c r="GK9" i="84" s="1"/>
  <c r="GD4" i="84"/>
  <c r="GL8" i="84" l="1"/>
  <c r="GL9" i="84" s="1"/>
  <c r="GE4" i="84"/>
  <c r="GF4" i="84" l="1"/>
  <c r="GM8" i="84"/>
  <c r="GM9" i="84" s="1"/>
  <c r="GG4" i="84" l="1"/>
  <c r="GN8" i="84"/>
  <c r="GN9" i="84" s="1"/>
  <c r="GH4" i="84" l="1"/>
  <c r="GO8" i="84"/>
  <c r="GO9" i="84" s="1"/>
  <c r="GP8" i="84" l="1"/>
  <c r="GP9" i="84" s="1"/>
  <c r="GI4" i="84"/>
  <c r="GJ4" i="84" l="1"/>
  <c r="GQ8" i="84"/>
  <c r="GQ9" i="84" s="1"/>
  <c r="GK4" i="84" l="1"/>
  <c r="GR8" i="84"/>
  <c r="GR9" i="84" s="1"/>
  <c r="GL4" i="84" l="1"/>
  <c r="GS8" i="84"/>
  <c r="GS9" i="84" s="1"/>
  <c r="GT8" i="84" l="1"/>
  <c r="GT9" i="84" s="1"/>
  <c r="GM4" i="84"/>
  <c r="GN4" i="84" l="1"/>
  <c r="GU8" i="84"/>
  <c r="GU9" i="84" s="1"/>
  <c r="GV8" i="84" l="1"/>
  <c r="GV9" i="84" s="1"/>
  <c r="GO4" i="84"/>
  <c r="GP4" i="84" l="1"/>
  <c r="GW8" i="84"/>
  <c r="GW9" i="84" s="1"/>
  <c r="GX8" i="84" l="1"/>
  <c r="GX9" i="84" s="1"/>
  <c r="GQ4" i="84"/>
  <c r="GR4" i="84" l="1"/>
  <c r="GY8" i="84"/>
  <c r="GY9" i="84" s="1"/>
  <c r="GS4" i="84" l="1"/>
  <c r="GZ8" i="84"/>
  <c r="GZ9" i="84" s="1"/>
  <c r="GT4" i="84" l="1"/>
  <c r="HA8" i="84"/>
  <c r="HA9" i="84" s="1"/>
  <c r="GU4" i="84" l="1"/>
  <c r="HB8" i="84"/>
  <c r="HB9" i="84" s="1"/>
  <c r="GV4" i="84" l="1"/>
  <c r="HC8" i="84"/>
  <c r="HC9" i="84" s="1"/>
  <c r="GW4" i="84" l="1"/>
  <c r="HD8" i="84"/>
  <c r="HD9" i="84" s="1"/>
  <c r="GX4" i="84" l="1"/>
  <c r="HE8" i="84"/>
  <c r="HE9" i="84" s="1"/>
  <c r="GY4" i="84" l="1"/>
  <c r="HF8" i="84"/>
  <c r="HF9" i="84" s="1"/>
  <c r="GZ4" i="84" l="1"/>
  <c r="HG8" i="84"/>
  <c r="HG9" i="84" s="1"/>
  <c r="HA4" i="84" l="1"/>
  <c r="HH8" i="84"/>
  <c r="HH9" i="84" s="1"/>
  <c r="HB4" i="84" l="1"/>
  <c r="HI8" i="84"/>
  <c r="HI9" i="84" s="1"/>
  <c r="HJ8" i="84" l="1"/>
  <c r="HJ9" i="84" s="1"/>
  <c r="HC4" i="84"/>
  <c r="HD4" i="84" l="1"/>
  <c r="HK8" i="84"/>
  <c r="HK9" i="84" s="1"/>
  <c r="HE4" i="84" l="1"/>
  <c r="HL8" i="84"/>
  <c r="HL9" i="84" s="1"/>
  <c r="HF4" i="84" l="1"/>
  <c r="HM8" i="84"/>
  <c r="HM9" i="84" s="1"/>
  <c r="HG4" i="84" l="1"/>
  <c r="HN8" i="84"/>
  <c r="HN9" i="84" s="1"/>
  <c r="HH4" i="84" l="1"/>
  <c r="HO8" i="84"/>
  <c r="HO9" i="84" s="1"/>
  <c r="HI4" i="84" l="1"/>
  <c r="HP8" i="84"/>
  <c r="HP9" i="84" s="1"/>
  <c r="HJ4" i="84" l="1"/>
  <c r="HQ8" i="84"/>
  <c r="HQ9" i="84" s="1"/>
  <c r="HK4" i="84" l="1"/>
  <c r="HR8" i="84"/>
  <c r="HR9" i="84" s="1"/>
  <c r="HL4" i="84" l="1"/>
  <c r="HS8" i="84"/>
  <c r="HS9" i="84" s="1"/>
  <c r="HT8" i="84" l="1"/>
  <c r="HT9" i="84" s="1"/>
  <c r="HM4" i="84"/>
  <c r="HU8" i="84" l="1"/>
  <c r="HU9" i="84" s="1"/>
  <c r="HN4" i="84"/>
  <c r="HV8" i="84" l="1"/>
  <c r="HV9" i="84" s="1"/>
  <c r="HO4" i="84"/>
  <c r="HW8" i="84" l="1"/>
  <c r="HW9" i="84" s="1"/>
  <c r="HP4" i="84"/>
  <c r="HX8" i="84" l="1"/>
  <c r="HX9" i="84" s="1"/>
  <c r="HQ4" i="84"/>
  <c r="HR4" i="84" l="1"/>
  <c r="HY8" i="84"/>
  <c r="HY9" i="84" s="1"/>
  <c r="HS4" i="84" l="1"/>
  <c r="HZ8" i="84"/>
  <c r="HZ9" i="84" s="1"/>
  <c r="HT4" i="84" l="1"/>
  <c r="IA8" i="84"/>
  <c r="IA9" i="84" s="1"/>
  <c r="HU4" i="84" l="1"/>
  <c r="IB8" i="84"/>
  <c r="IB9" i="84" s="1"/>
  <c r="HV4" i="84" l="1"/>
  <c r="IC8" i="84"/>
  <c r="IC9" i="84" s="1"/>
  <c r="HW4" i="84" l="1"/>
  <c r="ID8" i="84"/>
  <c r="ID9" i="84" s="1"/>
  <c r="HX4" i="84" l="1"/>
  <c r="IE8" i="84"/>
  <c r="IE9" i="84" s="1"/>
  <c r="HY4" i="84" l="1"/>
  <c r="IF8" i="84"/>
  <c r="IF9" i="84" s="1"/>
  <c r="HZ4" i="84" l="1"/>
  <c r="IG8" i="84"/>
  <c r="IG9" i="84" s="1"/>
  <c r="IA4" i="84" l="1"/>
  <c r="IH8" i="84"/>
  <c r="IH9" i="84" s="1"/>
  <c r="IB4" i="84" l="1"/>
  <c r="II8" i="84"/>
  <c r="II9" i="84" s="1"/>
  <c r="IC4" i="84" l="1"/>
  <c r="IJ8" i="84"/>
  <c r="IJ9" i="84" s="1"/>
  <c r="IK8" i="84" l="1"/>
  <c r="IK9" i="84" s="1"/>
  <c r="ID4" i="84"/>
  <c r="IL8" i="84" l="1"/>
  <c r="IL9" i="84" s="1"/>
  <c r="IE4" i="84"/>
  <c r="IF4" i="84" l="1"/>
  <c r="IM8" i="84"/>
  <c r="IM9" i="84" s="1"/>
  <c r="IG4" i="84" l="1"/>
  <c r="IN8" i="84"/>
  <c r="IN9" i="84" s="1"/>
  <c r="IH4" i="84" l="1"/>
  <c r="IO8" i="84"/>
  <c r="IO9" i="84" s="1"/>
  <c r="II4" i="84" l="1"/>
  <c r="IP8" i="84"/>
  <c r="IP9" i="84" s="1"/>
  <c r="IJ4" i="84" l="1"/>
  <c r="IQ8" i="84"/>
  <c r="IQ9" i="84" s="1"/>
  <c r="IK4" i="84" l="1"/>
  <c r="IR8" i="84"/>
  <c r="IR9" i="84" s="1"/>
  <c r="IL4" i="84" l="1"/>
  <c r="IS8" i="84"/>
  <c r="IS9" i="84" s="1"/>
  <c r="IT8" i="84" l="1"/>
  <c r="IT9" i="84" s="1"/>
  <c r="IM4" i="84"/>
  <c r="IU8" i="84" l="1"/>
  <c r="IU9" i="84" s="1"/>
  <c r="IN4" i="84"/>
  <c r="IO4" i="84" l="1"/>
  <c r="IV8" i="84"/>
  <c r="IV9" i="84" s="1"/>
  <c r="IW8" i="84" l="1"/>
  <c r="IW9" i="84" s="1"/>
  <c r="IP4" i="84"/>
  <c r="IQ4" i="84" l="1"/>
  <c r="IX8" i="84"/>
  <c r="IX9" i="84" s="1"/>
  <c r="IR4" i="84" l="1"/>
  <c r="IY8" i="84"/>
  <c r="IY9" i="84" s="1"/>
  <c r="IZ8" i="84" l="1"/>
  <c r="IZ9" i="84" s="1"/>
  <c r="IS4" i="84"/>
  <c r="IT4" i="84" l="1"/>
  <c r="JA8" i="84"/>
  <c r="JA9" i="84" s="1"/>
  <c r="JB8" i="84" l="1"/>
  <c r="JB9" i="84" s="1"/>
  <c r="IU4" i="84"/>
  <c r="IV4" i="84" l="1"/>
  <c r="JC8" i="84"/>
  <c r="JC9" i="84" s="1"/>
  <c r="JD8" i="84" l="1"/>
  <c r="JD9" i="84" s="1"/>
  <c r="IW4" i="84"/>
  <c r="JE8" i="84" l="1"/>
  <c r="JE9" i="84" s="1"/>
  <c r="IX4" i="84"/>
  <c r="JF8" i="84" l="1"/>
  <c r="JF9" i="84" s="1"/>
  <c r="IY4" i="84"/>
  <c r="JG8" i="84" l="1"/>
  <c r="JG9" i="84" s="1"/>
  <c r="IZ4" i="84"/>
  <c r="JH8" i="84" l="1"/>
  <c r="JH9" i="84" s="1"/>
  <c r="JA4" i="84"/>
  <c r="JI8" i="84" l="1"/>
  <c r="JI9" i="84" s="1"/>
  <c r="JB4" i="84"/>
  <c r="JC4" i="84" l="1"/>
  <c r="JJ8" i="84"/>
  <c r="JJ9" i="84" s="1"/>
  <c r="JK8" i="84" l="1"/>
  <c r="JK9" i="84" s="1"/>
  <c r="JD4" i="84"/>
  <c r="JE4" i="84" l="1"/>
  <c r="JL8" i="84"/>
  <c r="JL9" i="84" s="1"/>
  <c r="JF4" i="84" l="1"/>
  <c r="JM8" i="84"/>
  <c r="JM9" i="84" s="1"/>
  <c r="JG4" i="84" l="1"/>
  <c r="JN8" i="84"/>
  <c r="JN9" i="84" s="1"/>
  <c r="JH4" i="84" l="1"/>
  <c r="JO8" i="84"/>
  <c r="JO9" i="84" s="1"/>
  <c r="JI4" i="84" l="1"/>
  <c r="JP8" i="84"/>
  <c r="JP9" i="84" s="1"/>
  <c r="JJ4" i="84" l="1"/>
  <c r="JQ8" i="84"/>
  <c r="JQ9" i="84" s="1"/>
  <c r="JK4" i="84" l="1"/>
  <c r="JR8" i="84"/>
  <c r="JR9" i="84" s="1"/>
  <c r="JS8" i="84" l="1"/>
  <c r="JS9" i="84" s="1"/>
  <c r="JL4" i="84"/>
  <c r="JT8" i="84" l="1"/>
  <c r="JT9" i="84" s="1"/>
  <c r="JM4" i="84"/>
  <c r="JU8" i="84" l="1"/>
  <c r="JU9" i="84" s="1"/>
  <c r="JN4" i="84"/>
  <c r="JO4" i="84" s="1"/>
  <c r="JP4" i="84" s="1"/>
  <c r="JQ4" i="84" s="1"/>
  <c r="JR4" i="84" s="1"/>
  <c r="JS4" i="84" s="1"/>
  <c r="JT4" i="84" s="1"/>
  <c r="JU4" i="8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U35" authorId="0" shapeId="0" xr:uid="{2A176F1B-AB58-4CE5-B9A4-3218C0C4B8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Vdd ramp-up time &lt; analog por time</t>
        </r>
      </text>
    </comment>
    <comment ref="AC36" authorId="0" shapeId="0" xr:uid="{16ED2A8E-3CD8-4F2B-B845-B372E67EA97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XC/XD Load switch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상태이면</t>
        </r>
        <r>
          <rPr>
            <sz val="9"/>
            <color indexed="81"/>
            <rFont val="Tahoma"/>
            <family val="2"/>
          </rPr>
          <t xml:space="preserve">,
Power </t>
        </r>
        <r>
          <rPr>
            <sz val="9"/>
            <color indexed="81"/>
            <rFont val="돋움"/>
            <family val="3"/>
            <charset val="129"/>
          </rPr>
          <t>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MCU Booting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>.
XC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SPI CLK/MCLK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1st command.
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전원</t>
        </r>
        <r>
          <rPr>
            <sz val="9"/>
            <color indexed="81"/>
            <rFont val="Tahoma"/>
            <family val="2"/>
          </rPr>
          <t xml:space="preserve"> ON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내부적으로</t>
        </r>
        <r>
          <rPr>
            <sz val="9"/>
            <color indexed="81"/>
            <rFont val="Tahoma"/>
            <family val="2"/>
          </rPr>
          <t xml:space="preserve"> MCLK ON</t>
        </r>
        <r>
          <rPr>
            <sz val="9"/>
            <color indexed="81"/>
            <rFont val="돋움"/>
            <family val="3"/>
            <charset val="129"/>
          </rPr>
          <t>되므로</t>
        </r>
        <r>
          <rPr>
            <sz val="9"/>
            <color indexed="81"/>
            <rFont val="Tahoma"/>
            <family val="2"/>
          </rPr>
          <t xml:space="preserve"> XC Waiting</t>
        </r>
        <r>
          <rPr>
            <sz val="9"/>
            <color indexed="81"/>
            <rFont val="돋움"/>
            <family val="3"/>
            <charset val="129"/>
          </rPr>
          <t>시간안에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포함됨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 XC MCLK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상이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E2" authorId="0" shapeId="0" xr:uid="{2710ED36-7D97-43DB-9974-30F76F5932E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writing
4. mclk_cnt unlocking</t>
        </r>
      </text>
    </comment>
    <comment ref="G2" authorId="0" shapeId="0" xr:uid="{E8653D3C-2764-47BC-9E4F-A9BF09A8D02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[mclk slow to faster]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조금씩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증가시켜서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증가시켜나감
</t>
        </r>
        <r>
          <rPr>
            <sz val="9"/>
            <color indexed="81"/>
            <rFont val="Tahoma"/>
            <family val="2"/>
          </rPr>
          <t xml:space="preserve">[mclk fast to slower]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줄여나감
</t>
        </r>
        <r>
          <rPr>
            <sz val="9"/>
            <color indexed="81"/>
            <rFont val="Tahoma"/>
            <family val="2"/>
          </rPr>
          <t xml:space="preserve">* [mclk slow to faster] </t>
        </r>
        <r>
          <rPr>
            <sz val="9"/>
            <color indexed="81"/>
            <rFont val="돋움"/>
            <family val="3"/>
            <charset val="129"/>
          </rPr>
          <t xml:space="preserve">경우에는
</t>
        </r>
        <r>
          <rPr>
            <sz val="9"/>
            <color indexed="81"/>
            <rFont val="Tahoma"/>
            <family val="2"/>
          </rPr>
          <t xml:space="preserve">  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target</t>
        </r>
        <r>
          <rPr>
            <sz val="9"/>
            <color indexed="81"/>
            <rFont val="돋움"/>
            <family val="3"/>
            <charset val="129"/>
          </rPr>
          <t>값에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변경은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지양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* [mclk fast to slower] </t>
        </r>
        <r>
          <rPr>
            <sz val="9"/>
            <color indexed="81"/>
            <rFont val="돋움"/>
            <family val="3"/>
            <charset val="129"/>
          </rPr>
          <t xml:space="preserve">경우에는
</t>
        </r>
        <r>
          <rPr>
            <sz val="9"/>
            <color indexed="81"/>
            <rFont val="Tahoma"/>
            <family val="2"/>
          </rPr>
          <t xml:space="preserve">  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target</t>
        </r>
        <r>
          <rPr>
            <sz val="9"/>
            <color indexed="81"/>
            <rFont val="돋움"/>
            <family val="3"/>
            <charset val="129"/>
          </rPr>
          <t>값에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H2" authorId="0" shapeId="0" xr:uid="{E90E85CD-4B6F-43A8-826A-C66337FE968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writing
4. mclk_cnt unlocking</t>
        </r>
      </text>
    </comment>
    <comment ref="I2" authorId="0" shapeId="0" xr:uid="{83723F75-A353-4113-A4D1-96BA1B6C889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[x1 to x8]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줄여나감
</t>
        </r>
        <r>
          <rPr>
            <sz val="9"/>
            <color indexed="81"/>
            <rFont val="Tahoma"/>
            <family val="2"/>
          </rPr>
          <t xml:space="preserve">[x8 to x1]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줄여나감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M13" authorId="0" shapeId="0" xr:uid="{2A1661A1-78F8-41C1-AA6C-8222635DF67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 switching :
fpwm_div </t>
        </r>
        <r>
          <rPr>
            <sz val="9"/>
            <color indexed="81"/>
            <rFont val="돋움"/>
            <family val="3"/>
            <charset val="129"/>
          </rPr>
          <t>변경구간에서의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주파수는</t>
        </r>
        <r>
          <rPr>
            <sz val="9"/>
            <color indexed="81"/>
            <rFont val="Tahoma"/>
            <family val="2"/>
          </rPr>
          <t xml:space="preserve"> ref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0.833% </t>
        </r>
        <r>
          <rPr>
            <sz val="9"/>
            <color indexed="81"/>
            <rFont val="돋움"/>
            <family val="3"/>
            <charset val="129"/>
          </rPr>
          <t>빠름
따라서</t>
        </r>
        <r>
          <rPr>
            <sz val="9"/>
            <color indexed="81"/>
            <rFont val="Tahoma"/>
            <family val="2"/>
          </rPr>
          <t>,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0.833% </t>
        </r>
        <r>
          <rPr>
            <sz val="9"/>
            <color indexed="81"/>
            <rFont val="돋움"/>
            <family val="3"/>
            <charset val="129"/>
          </rPr>
          <t>빠르게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후에</t>
        </r>
        <r>
          <rPr>
            <sz val="9"/>
            <color indexed="81"/>
            <rFont val="Tahoma"/>
            <family val="2"/>
          </rPr>
          <t>, fpwm_div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변경시켜야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
만일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기본보정값이</t>
        </r>
        <r>
          <rPr>
            <sz val="9"/>
            <color indexed="81"/>
            <rFont val="Tahoma"/>
            <family val="2"/>
          </rPr>
          <t xml:space="preserve"> 0.4%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0.4 + 0.833 = 1.233%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
만일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기본보정값이</t>
        </r>
        <r>
          <rPr>
            <sz val="9"/>
            <color indexed="81"/>
            <rFont val="Tahoma"/>
            <family val="2"/>
          </rPr>
          <t xml:space="preserve"> 0.08%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0.08 + 0.833 = 0.913%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AD13" authorId="0" shapeId="0" xr:uid="{06C12496-038E-4382-A56D-0C070DB780B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 switching :
fpwm_div </t>
        </r>
        <r>
          <rPr>
            <sz val="9"/>
            <color indexed="81"/>
            <rFont val="돋움"/>
            <family val="3"/>
            <charset val="129"/>
          </rPr>
          <t>변경구간에서의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주파수는</t>
        </r>
        <r>
          <rPr>
            <sz val="9"/>
            <color indexed="81"/>
            <rFont val="Tahoma"/>
            <family val="2"/>
          </rPr>
          <t xml:space="preserve"> ref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0.833% </t>
        </r>
        <r>
          <rPr>
            <sz val="9"/>
            <color indexed="81"/>
            <rFont val="돋움"/>
            <family val="3"/>
            <charset val="129"/>
          </rPr>
          <t>빠름
따라서</t>
        </r>
        <r>
          <rPr>
            <sz val="9"/>
            <color indexed="81"/>
            <rFont val="Tahoma"/>
            <family val="2"/>
          </rPr>
          <t>,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0.833% </t>
        </r>
        <r>
          <rPr>
            <sz val="9"/>
            <color indexed="81"/>
            <rFont val="돋움"/>
            <family val="3"/>
            <charset val="129"/>
          </rPr>
          <t>빠르게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후에</t>
        </r>
        <r>
          <rPr>
            <sz val="9"/>
            <color indexed="81"/>
            <rFont val="Tahoma"/>
            <family val="2"/>
          </rPr>
          <t>, fpwm_div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변경시켜야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
만일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기본보정값이</t>
        </r>
        <r>
          <rPr>
            <sz val="9"/>
            <color indexed="81"/>
            <rFont val="Tahoma"/>
            <family val="2"/>
          </rPr>
          <t xml:space="preserve"> 0.4%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0.4 + 0.833 = 1.233%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
만일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기본보정값이</t>
        </r>
        <r>
          <rPr>
            <sz val="9"/>
            <color indexed="81"/>
            <rFont val="Tahoma"/>
            <family val="2"/>
          </rPr>
          <t xml:space="preserve"> 0.08%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0.08 + 0.833 = 0.913%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2" authorId="0" shapeId="0" xr:uid="{709D694E-8D9E-44B1-AF33-BB45BD025B5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fpwm_div 변경 구간에서의 mclk는 normal 동작 mclk보다 약 0.833% 빠름
→ transition 진입 전에 mclk를 (0.833%+basic 보상 0.4%) 총 1.233% 빠르게 보정
      (그렇게 하지 않으면 frame변동주기와 fpwm_div값이 맞지 않아 플리커 발생
→ trnasition 진입 직전에 mclk locking 
→ transition 진입 후 target frame frequency에 맞는 mclk_cnt값 미리 writing
→ transition 완료 후 mclk locking 해제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2" authorId="0" shapeId="0" xr:uid="{658DB7B2-E079-4247-B81C-E31842ACE4B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fpwm_div 변경 구간에서의 mclk는 normal 동작 mclk보다 약 0.833% 빠름
→ transition 진입 전에 mclk를 (0.833%+basic 보상 0.08%) 총 0.913% 빠르게 보정
      (그렇게 하지 않으면 frame변동주기와 fpwm_div값이 맞지 않아 플리커 발생
→ trnasition 진입 직전에 mclk locking 
→ transition 진입 후 target frame frequency에 맞는 mclk_cnt값 미리 writing
→ transition 완료 후 mclk locking 해제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김영훈</author>
    <author>oneyjs윤진수</author>
  </authors>
  <commentList>
    <comment ref="R3" authorId="0" shapeId="0" xr:uid="{125F2488-ABE3-4A2A-8EE3-C7B29A3A76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8" authorId="0" shapeId="0" xr:uid="{6A401933-700D-4E17-892B-51D1CB6A1A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DE8F82A3-89AC-4ACD-9136-231FDF8DFD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0" authorId="0" shapeId="0" xr:uid="{0C3CC9D3-C679-476B-9B5A-E749AF6585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0" authorId="0" shapeId="0" xr:uid="{C8858102-F7CA-46D7-8739-7D3910C962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O11" authorId="0" shapeId="0" xr:uid="{1DF65B32-4C93-46FD-B4C2-8958FC4E23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15-bit, 32,768ea, 1191us@25+2.5mhz
xd fault-read daisied 31ea @ 202khz : max 1189us </t>
        </r>
        <r>
          <rPr>
            <sz val="9"/>
            <color indexed="81"/>
            <rFont val="돋움"/>
            <family val="3"/>
            <charset val="129"/>
          </rPr>
          <t>소요</t>
        </r>
      </text>
    </comment>
    <comment ref="C12" authorId="0" shapeId="0" xr:uid="{EE9BBDD3-CCC7-4D6D-9A32-37CC3EEDA7F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2" authorId="0" shapeId="0" xr:uid="{FAD34B87-F5D3-412E-AC13-A547579A36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3" authorId="0" shapeId="0" xr:uid="{7CD86F75-9AD6-405D-B55C-4B645145ED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3" authorId="0" shapeId="0" xr:uid="{34A506AB-6DDB-47C3-A309-8E41E3556E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6" authorId="0" shapeId="0" xr:uid="{5F71021E-7E03-4E2F-890A-4E830150CA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289DB6CB-6848-4D46-A5A6-27AB543D81F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26" authorId="0" shapeId="0" xr:uid="{C4D65CA7-3002-4655-8EF7-A875E0DC7D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I33" authorId="1" shapeId="0" xr:uid="{B1D654FE-FCA8-4F47-B52F-CE3CD2E76D64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5.42V
001 : 5.49V
010 : 5.63V
011 : 5.71V
100 : 5.78V
101 : 5.94V
110 : 6.03V
111 : 6.12V</t>
        </r>
      </text>
    </comment>
    <comment ref="M33" authorId="1" shapeId="0" xr:uid="{BD89ACAE-934A-44D7-839B-1D7166268A8A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3.78V
001 : 3.88V
010 : 3.99V
011 : 4.11V
100 : 4.19V
101 : 4.31V
110 : 4.40V
111 : 4.49V</t>
        </r>
      </text>
    </comment>
    <comment ref="Q33" authorId="1" shapeId="0" xr:uid="{95EC1794-5B3E-4FE3-ADC6-5C2E7E5618E9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1.62V
001 : 1.65V
010 : 1.68V
011 : 1.71V
100 : 1.74V
101 : 1.77V
110 : 1.80V
111 : 1.83V</t>
        </r>
      </text>
    </comment>
    <comment ref="U33" authorId="1" shapeId="0" xr:uid="{9DF14CBB-790D-4E54-A21E-CB1F6A109538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1.19V
001 : 1.22V
010 : 1.25V
011 : 1.28V
100 : 1.32V
101 : 1.34V
110 : 1.36V
111 : 1.37V</t>
        </r>
      </text>
    </comment>
    <comment ref="C37" authorId="0" shapeId="0" xr:uid="{DACBDA02-0E47-4D4E-93C2-71AFC615CF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0x20~0x27 reg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, dasied dev ch size 1 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C46" authorId="0" shapeId="0" xr:uid="{3B302F57-10D6-49F8-9E33-D8E6D3C5A0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54" authorId="0" shapeId="0" xr:uid="{E547E80A-4C7A-43BA-9D01-10888C3BBC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68" authorId="0" shapeId="0" xr:uid="{9C0DE745-CFA7-4B3D-BD81-70D37FADEF7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  <comment ref="R71" authorId="2" shapeId="0" xr:uid="{797E9CB4-6DE9-496E-BF4A-BAE821B79484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F72" authorId="0" shapeId="0" xr:uid="{50C420E4-44FF-4847-8127-FF990F16CA7A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3" authorId="0" shapeId="0" xr:uid="{0C791687-0333-4FCA-B72E-A40B3358DB4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4" authorId="0" shapeId="0" xr:uid="{E734E086-CAAA-4D07-877B-482E4B1E520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86" authorId="0" shapeId="0" xr:uid="{33A69DF8-2B36-4380-96EE-91377B694C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88" authorId="0" shapeId="0" xr:uid="{78239372-8477-4D56-BF2F-D724F7B5B0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O230" authorId="0" shapeId="0" xr:uid="{2DF16084-4484-4D3F-AA71-04F195E9FFE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DAC_DIRECT :
dac_out &lt;= CURR_TGT_DAC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</t>
        </r>
      </text>
    </comment>
    <comment ref="S230" authorId="0" shapeId="0" xr:uid="{AAEE331A-A5F4-4E8E-BE15-5C8E0E5D4B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>출력</t>
        </r>
      </text>
    </comment>
    <comment ref="W230" authorId="0" shapeId="0" xr:uid="{47B214D9-F392-4738-9F35-3E925D7360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J8" authorId="0" shapeId="0" xr:uid="{154686DB-CDB9-42C4-B07A-71929E85B3E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1.8V
auto-cleared</t>
        </r>
      </text>
    </comment>
    <comment ref="K8" authorId="0" shapeId="0" xr:uid="{D21E304F-B2CE-4A2B-A139-B7874C367C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&lt; 1.2V
auto-cleared</t>
        </r>
      </text>
    </comment>
    <comment ref="P8" authorId="0" shapeId="0" xr:uid="{47A1733B-A697-42D7-8A57-948FCBEE52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THERMAL || OV15 || UV15 || MISS_VS</t>
        </r>
      </text>
    </comment>
    <comment ref="I9" authorId="0" shapeId="0" xr:uid="{15A3A059-EDEB-4C21-BCBD-9D25EAEB52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000(4mA), 001(8mA),
010(12mA), 011(16mA),
100(24mA), 101(32mA),
110(46mA), 111(64mA)
8.xx mA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8mA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>,
 ICTL_GLB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8.xx mA</t>
        </r>
        <r>
          <rPr>
            <sz val="9"/>
            <color indexed="81"/>
            <rFont val="돋움"/>
            <family val="3"/>
            <charset val="129"/>
          </rPr>
          <t>까지를</t>
        </r>
        <r>
          <rPr>
            <sz val="9"/>
            <color indexed="81"/>
            <rFont val="Tahoma"/>
            <family val="2"/>
          </rPr>
          <t xml:space="preserve"> max current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--&gt;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 xml:space="preserve"> vref 12bit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ana 0~1023 </t>
        </r>
        <r>
          <rPr>
            <sz val="9"/>
            <color indexed="81"/>
            <rFont val="돋움"/>
            <family val="3"/>
            <charset val="129"/>
          </rPr>
          <t>표현력이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좋아짐</t>
        </r>
      </text>
    </comment>
    <comment ref="M9" authorId="0" shapeId="0" xr:uid="{EE172380-B8FC-4995-B2BB-4F644ABA2C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Q9" authorId="0" shapeId="0" xr:uid="{A7548FBD-1A10-4654-925F-B4ADF1A37A5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(0.85V),
101 (1.0V),
110 (1.15V),
111 (1.3V)</t>
        </r>
      </text>
    </comment>
    <comment ref="H10" authorId="0" shapeId="0" xr:uid="{F2134AC5-9A46-4491-A316-EDBDD5E577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30ea x 8-bit x 0.333mbps = 800us
15-bit, default=0x7FFF
32,767*0.25=819us</t>
        </r>
      </text>
    </comment>
    <comment ref="L10" authorId="0" shapeId="0" xr:uid="{55677843-E7E9-46FB-BF3F-E2284F09A36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PWM always high out
- VREF = 4096/8 = 512 = fixed
- next version : VREF = VREF_FIX reg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대체
</t>
        </r>
        <r>
          <rPr>
            <sz val="9"/>
            <color indexed="81"/>
            <rFont val="Tahoma"/>
            <family val="2"/>
          </rPr>
          <t>- 26ms detection (20bits)</t>
        </r>
      </text>
    </comment>
    <comment ref="U10" authorId="0" shapeId="0" xr:uid="{AC60CC74-53D6-4B4C-ADAC-FF0ED8693E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V10" authorId="0" shapeId="0" xr:uid="{FF48AC13-C990-47B8-A50B-B83C441C37F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김영훈</author>
  </authors>
  <commentList>
    <comment ref="J8" authorId="0" shapeId="0" xr:uid="{F3F03A30-6B46-4742-86C9-C0409CA1F7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1.8V
auto-cleared</t>
        </r>
      </text>
    </comment>
    <comment ref="K8" authorId="0" shapeId="0" xr:uid="{05FBEFAB-D121-4228-AA50-E26CCDE245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&lt; 1.2V
auto-cleared</t>
        </r>
      </text>
    </comment>
    <comment ref="P8" authorId="0" shapeId="0" xr:uid="{419F44AF-0409-41FD-B226-9F7F1648073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THERMAL || OV15 || UV15 || MISS_VS</t>
        </r>
      </text>
    </comment>
    <comment ref="I9" authorId="0" shapeId="0" xr:uid="{F7CEE4C9-431E-4C40-A959-BC6BB4C56B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000(8mA), 001(16mA),
010(24mA), 011(32mA),
100(48mA), 101(64mA),
110(92mA), 111(128mA)
8.xx mA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8mA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>,
 ICTL_GLB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8.xx mA</t>
        </r>
        <r>
          <rPr>
            <sz val="9"/>
            <color indexed="81"/>
            <rFont val="돋움"/>
            <family val="3"/>
            <charset val="129"/>
          </rPr>
          <t>까지를</t>
        </r>
        <r>
          <rPr>
            <sz val="9"/>
            <color indexed="81"/>
            <rFont val="Tahoma"/>
            <family val="2"/>
          </rPr>
          <t xml:space="preserve"> max current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--&gt;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 xml:space="preserve"> vref 12bit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ana 0~1023 </t>
        </r>
        <r>
          <rPr>
            <sz val="9"/>
            <color indexed="81"/>
            <rFont val="돋움"/>
            <family val="3"/>
            <charset val="129"/>
          </rPr>
          <t>표현력이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좋아짐</t>
        </r>
      </text>
    </comment>
    <comment ref="M9" authorId="0" shapeId="0" xr:uid="{B3439269-F734-4FAF-A7A8-7DB7BBA9258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Q9" authorId="0" shapeId="0" xr:uid="{25CDD40E-488F-4951-8542-9894CB69C3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(0.85V),
101 (1.0V),
110 (1.15V),
111 (1.3V)</t>
        </r>
      </text>
    </comment>
    <comment ref="H10" authorId="0" shapeId="0" xr:uid="{5A4A57F6-20AB-4AB7-A5C6-CBF4A7D9E5C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30ea x 8-bit x 0.333mbps = 800us
15-bit, default=0x7FFF
32,767*0.25=819us</t>
        </r>
      </text>
    </comment>
    <comment ref="L10" authorId="0" shapeId="0" xr:uid="{8DA07653-5CB7-4A84-A5D2-58CE1E294F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PWM always high out
- VREF = 4096/8 = 512 = fixed
- next version : VREF = VREF_FIX reg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대체
</t>
        </r>
        <r>
          <rPr>
            <sz val="9"/>
            <color indexed="81"/>
            <rFont val="Tahoma"/>
            <family val="2"/>
          </rPr>
          <t>- 26ms detection (20bits)</t>
        </r>
      </text>
    </comment>
    <comment ref="U10" authorId="0" shapeId="0" xr:uid="{C1EB6579-5A49-4AF1-A657-1B60D1ADC5F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V10" authorId="0" shapeId="0" xr:uid="{A6B31103-A035-4E37-BADB-270DD7B481A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H24" authorId="1" shapeId="0" xr:uid="{E0AAB862-D6DA-4A72-8A7F-43171A79C408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0000 : 103°
0001 : 107°
0010 : 111°
0011 : 115°
0100 : 119°
0101 : 125°
0110 : 129°
0111 : 133°
1000 : 137°
1001 : 141°
1010 : 145°
1011 : 149°
1100 : 153°
1101 : 157°
1110 : 163°
1111 : 167°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J14" authorId="0" shapeId="0" xr:uid="{B6B33666-6E0C-4E23-A564-400F7C782F7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1.8V
auto-cleared</t>
        </r>
      </text>
    </comment>
    <comment ref="K14" authorId="0" shapeId="0" xr:uid="{EA04CC11-B4C4-468B-8D24-F831DAC3C9E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&lt; 1.2V
auto-cleared</t>
        </r>
      </text>
    </comment>
    <comment ref="P14" authorId="0" shapeId="0" xr:uid="{5C41D70F-0560-4E8A-B44D-7E41F6CC60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THERMAL || OV15 || UV15 || MISS_VS</t>
        </r>
      </text>
    </comment>
    <comment ref="I15" authorId="0" shapeId="0" xr:uid="{7489FF04-2504-46CB-BF54-80DA7CD48BC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000(4mA), 001(8mA),
010(12mA), 011(16mA),
100(24mA), 101(32mA),
110(46mA), 111(64mA)
8.xx mA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8mA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>,
 ICTL_GLB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8.xx mA</t>
        </r>
        <r>
          <rPr>
            <sz val="9"/>
            <color indexed="81"/>
            <rFont val="돋움"/>
            <family val="3"/>
            <charset val="129"/>
          </rPr>
          <t>까지를</t>
        </r>
        <r>
          <rPr>
            <sz val="9"/>
            <color indexed="81"/>
            <rFont val="Tahoma"/>
            <family val="2"/>
          </rPr>
          <t xml:space="preserve"> max current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--&gt;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 xml:space="preserve"> vref 12bit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ana 0~1023 </t>
        </r>
        <r>
          <rPr>
            <sz val="9"/>
            <color indexed="81"/>
            <rFont val="돋움"/>
            <family val="3"/>
            <charset val="129"/>
          </rPr>
          <t>표현력이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좋아짐</t>
        </r>
      </text>
    </comment>
    <comment ref="M15" authorId="0" shapeId="0" xr:uid="{23791BB4-3D56-4C01-8669-FA4B9D290E1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Q15" authorId="0" shapeId="0" xr:uid="{FF25A22B-E3F2-4A80-8927-028A4FFC26C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(0.85V),
101 (1.0V),
110 (1.15V),
111 (1.3V)</t>
        </r>
      </text>
    </comment>
    <comment ref="H16" authorId="0" shapeId="0" xr:uid="{29D42DED-7F54-4E12-A4E3-30EF1E71CA5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30*8*0.23Mbps=1080us
14bits full
16383*(1/14.75)=1110us</t>
        </r>
      </text>
    </comment>
    <comment ref="L16" authorId="0" shapeId="0" xr:uid="{F5A5B1D8-7B80-4BCF-98F8-80B00FE427D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-LD = LD_FIX out
- next version : VREF = VREF_FIX reg
- 35ms detection (19bits)</t>
        </r>
      </text>
    </comment>
    <comment ref="O16" authorId="0" shapeId="0" xr:uid="{52A3A4A8-BE95-4610-B994-E8204B33D0E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S1_EN &amp;&amp; (LD[15:11] </t>
        </r>
        <r>
          <rPr>
            <sz val="9"/>
            <color indexed="81"/>
            <rFont val="돋움"/>
            <family val="3"/>
            <charset val="129"/>
          </rPr>
          <t>≠</t>
        </r>
        <r>
          <rPr>
            <sz val="9"/>
            <color indexed="81"/>
            <rFont val="Tahoma"/>
            <family val="2"/>
          </rPr>
          <t xml:space="preserve">0) </t>
        </r>
        <r>
          <rPr>
            <sz val="9"/>
            <color indexed="81"/>
            <rFont val="돋움"/>
            <family val="3"/>
            <charset val="129"/>
          </rPr>
          <t>일때</t>
        </r>
        <r>
          <rPr>
            <sz val="9"/>
            <color indexed="81"/>
            <rFont val="Tahoma"/>
            <family val="2"/>
          </rPr>
          <t xml:space="preserve"> detection</t>
        </r>
      </text>
    </comment>
    <comment ref="P16" authorId="0" shapeId="0" xr:uid="{A48BB6B6-4E6F-491D-A15C-5B1C197761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S1_EN &amp;&amp; (LD[15:12] </t>
        </r>
        <r>
          <rPr>
            <sz val="9"/>
            <color indexed="81"/>
            <rFont val="돋움"/>
            <family val="3"/>
            <charset val="129"/>
          </rPr>
          <t>≠</t>
        </r>
        <r>
          <rPr>
            <sz val="11"/>
            <color theme="1"/>
            <rFont val="맑은 고딕"/>
            <family val="2"/>
            <charset val="129"/>
            <scheme val="minor"/>
          </rPr>
          <t>0) 일때 detection</t>
        </r>
      </text>
    </comment>
    <comment ref="L17" authorId="0" shapeId="0" xr:uid="{78205E03-237D-4B64-B505-515C9271AA1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+1 </t>
        </r>
        <r>
          <rPr>
            <sz val="9"/>
            <color indexed="81"/>
            <rFont val="돋움"/>
            <family val="3"/>
            <charset val="129"/>
          </rPr>
          <t>번째</t>
        </r>
        <r>
          <rPr>
            <sz val="9"/>
            <color indexed="81"/>
            <rFont val="Tahoma"/>
            <family val="2"/>
          </rPr>
          <t xml:space="preserve"> SVSYNC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LD Out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H35" authorId="0" shapeId="0" xr:uid="{9DEC7B7B-4E28-48EA-B9FE-73B246E0CAD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es2 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write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되고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>es21(pwm)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r/w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I36" authorId="0" shapeId="0" xr:uid="{613F6665-82BF-4986-AAA9-61D1B6CEE41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es2 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write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되고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>es21(pwm)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r/w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I37" authorId="0" shapeId="0" xr:uid="{77ED3B60-7F10-405E-95EC-E1DF57A21E8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es2 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write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되고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>es21(pwm)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r/w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T3" authorId="0" shapeId="0" xr:uid="{BCE0D62A-AF92-4C58-8316-B48E410470ED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맑은 고딕"/>
            <family val="3"/>
            <charset val="129"/>
            <scheme val="minor"/>
          </rPr>
          <t>(-)값 &lt; SF_PERIOD : frame이 깨져 발생하는 flicker는 없으나, 지양
(+)값 이 클수록 계조 차이 발생 가능</t>
        </r>
      </text>
    </comment>
    <comment ref="T10" authorId="0" shapeId="0" xr:uid="{4E589D95-13CC-450C-B173-230104DB47B8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맑은 고딕"/>
            <family val="3"/>
            <charset val="129"/>
            <scheme val="minor"/>
          </rPr>
          <t>(-)값 &lt; SF_PERIOD : frame이 깨져 발생하는 flicker는 없으나, 지양
(+)값 이 클수록 계조 차이 발생 가능</t>
        </r>
      </text>
    </comment>
    <comment ref="X26" authorId="0" shapeId="0" xr:uid="{914E7C5D-AEE4-48F0-9245-5EF3B98FB45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(-)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flicker OK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(+)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경우에는</t>
        </r>
        <r>
          <rPr>
            <sz val="9"/>
            <color indexed="81"/>
            <rFont val="Tahoma"/>
            <family val="2"/>
          </rPr>
          <t xml:space="preserve"> residue &lt; SF_PERIOD</t>
        </r>
        <r>
          <rPr>
            <sz val="9"/>
            <color indexed="81"/>
            <rFont val="돋움"/>
            <family val="3"/>
            <charset val="129"/>
          </rPr>
          <t>면</t>
        </r>
        <r>
          <rPr>
            <sz val="9"/>
            <color indexed="81"/>
            <rFont val="Tahoma"/>
            <family val="2"/>
          </rPr>
          <t xml:space="preserve"> OK</t>
        </r>
      </text>
    </comment>
  </commentList>
</comments>
</file>

<file path=xl/sharedStrings.xml><?xml version="1.0" encoding="utf-8"?>
<sst xmlns="http://schemas.openxmlformats.org/spreadsheetml/2006/main" count="4494" uniqueCount="1667">
  <si>
    <t>mhz</t>
    <phoneticPr fontId="2" type="noConversion"/>
  </si>
  <si>
    <t>us</t>
    <phoneticPr fontId="2" type="noConversion"/>
  </si>
  <si>
    <t>mclk</t>
    <phoneticPr fontId="2" type="noConversion"/>
  </si>
  <si>
    <t>frame</t>
    <phoneticPr fontId="2" type="noConversion"/>
  </si>
  <si>
    <t>hz</t>
    <phoneticPr fontId="2" type="noConversion"/>
  </si>
  <si>
    <t>ea</t>
    <phoneticPr fontId="2" type="noConversion"/>
  </si>
  <si>
    <t>serial high</t>
    <phoneticPr fontId="2" type="noConversion"/>
  </si>
  <si>
    <t>serial low</t>
    <phoneticPr fontId="2" type="noConversion"/>
  </si>
  <si>
    <t>serial 1bit</t>
    <phoneticPr fontId="2" type="noConversion"/>
  </si>
  <si>
    <t>baudrate</t>
    <phoneticPr fontId="2" type="noConversion"/>
  </si>
  <si>
    <t>mbps</t>
    <phoneticPr fontId="2" type="noConversion"/>
  </si>
  <si>
    <t>mclk_cnt</t>
    <phoneticPr fontId="2" type="noConversion"/>
  </si>
  <si>
    <t>hex</t>
    <phoneticPr fontId="2" type="noConversion"/>
  </si>
  <si>
    <t>vsync</t>
    <phoneticPr fontId="2" type="noConversion"/>
  </si>
  <si>
    <t>ch</t>
    <phoneticPr fontId="2" type="noConversion"/>
  </si>
  <si>
    <t>VDD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</si>
  <si>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</si>
  <si>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2" type="noConversion"/>
  </si>
  <si>
    <t>VSS</t>
    <phoneticPr fontId="2" type="noConversion"/>
  </si>
  <si>
    <t>FB</t>
    <phoneticPr fontId="2" type="noConversion"/>
  </si>
  <si>
    <t>scan#</t>
    <phoneticPr fontId="2" type="noConversion"/>
  </si>
  <si>
    <t>fpwm_div</t>
    <phoneticPr fontId="2" type="noConversion"/>
  </si>
  <si>
    <t>50hz</t>
    <phoneticPr fontId="2" type="noConversion"/>
  </si>
  <si>
    <t>[ms]</t>
    <phoneticPr fontId="2" type="noConversion"/>
  </si>
  <si>
    <t>xd mclk</t>
    <phoneticPr fontId="2" type="noConversion"/>
  </si>
  <si>
    <t>pwm_res</t>
    <phoneticPr fontId="2" type="noConversion"/>
  </si>
  <si>
    <t>bit</t>
    <phoneticPr fontId="2" type="noConversion"/>
  </si>
  <si>
    <t>register</t>
    <phoneticPr fontId="2" type="noConversion"/>
  </si>
  <si>
    <t>access</t>
    <phoneticPr fontId="2" type="noConversion"/>
  </si>
  <si>
    <t>address</t>
    <phoneticPr fontId="2" type="noConversion"/>
  </si>
  <si>
    <t>default</t>
    <phoneticPr fontId="2" type="noConversion"/>
  </si>
  <si>
    <t>bit11</t>
    <phoneticPr fontId="2" type="noConversion"/>
  </si>
  <si>
    <t>bit10</t>
    <phoneticPr fontId="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</si>
  <si>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</si>
  <si>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</si>
  <si>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</si>
  <si>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</si>
  <si>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</si>
  <si>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</si>
  <si>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</si>
  <si>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</si>
  <si>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</si>
  <si>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</si>
  <si>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2" type="noConversion"/>
  </si>
  <si>
    <t>feature</t>
    <phoneticPr fontId="2" type="noConversion"/>
  </si>
  <si>
    <t>r/w</t>
    <phoneticPr fontId="2" type="noConversion"/>
  </si>
  <si>
    <t>0x00</t>
    <phoneticPr fontId="2" type="noConversion"/>
  </si>
  <si>
    <t>0x000</t>
    <phoneticPr fontId="2" type="noConversion"/>
  </si>
  <si>
    <t>ID [4:0]</t>
    <phoneticPr fontId="2" type="noConversion"/>
  </si>
  <si>
    <t>0x01</t>
    <phoneticPr fontId="2" type="noConversion"/>
  </si>
  <si>
    <t>LD_DIR</t>
    <phoneticPr fontId="2" type="noConversion"/>
  </si>
  <si>
    <t>0x03</t>
  </si>
  <si>
    <t>0x04</t>
  </si>
  <si>
    <t>CH_SIZE [3:0]</t>
    <phoneticPr fontId="2" type="noConversion"/>
  </si>
  <si>
    <t>0x06</t>
  </si>
  <si>
    <t>0x000</t>
  </si>
  <si>
    <t>MAX_CURR_VREF</t>
    <phoneticPr fontId="2" type="noConversion"/>
  </si>
  <si>
    <t>0x08</t>
  </si>
  <si>
    <t>MAX_CURR_VREF[11:0]</t>
    <phoneticPr fontId="2" type="noConversion"/>
  </si>
  <si>
    <t>CHANNEL ENABLE1</t>
    <phoneticPr fontId="2" type="noConversion"/>
  </si>
  <si>
    <t>0x09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</si>
  <si>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</si>
  <si>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</si>
  <si>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</si>
  <si>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</si>
  <si>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</si>
  <si>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</si>
  <si>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</si>
  <si>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</si>
  <si>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</si>
  <si>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</si>
  <si>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</si>
  <si>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</si>
  <si>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FAULT STATUS</t>
    <phoneticPr fontId="2" type="noConversion"/>
  </si>
  <si>
    <t>ro</t>
    <phoneticPr fontId="2" type="noConversion"/>
  </si>
  <si>
    <t>0x0B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</si>
  <si>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</si>
  <si>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</si>
  <si>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</si>
  <si>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FAULT LEVEL</t>
    <phoneticPr fontId="2" type="noConversion"/>
  </si>
  <si>
    <t>0x0C</t>
    <phoneticPr fontId="2" type="noConversion"/>
  </si>
  <si>
    <t>DEV_MAX_CURR_LEVEL [2:0]</t>
    <phoneticPr fontId="2" type="noConversion"/>
  </si>
  <si>
    <t>SHORT_LEVEL [2:0]</t>
    <phoneticPr fontId="2" type="noConversion"/>
  </si>
  <si>
    <t>FB_LEVEL [2:0]</t>
    <phoneticPr fontId="2" type="noConversion"/>
  </si>
  <si>
    <t>0x0D</t>
    <phoneticPr fontId="2" type="noConversion"/>
  </si>
  <si>
    <t>0x800</t>
    <phoneticPr fontId="2" type="noConversion"/>
  </si>
  <si>
    <t>DELAY_CH1</t>
    <phoneticPr fontId="2" type="noConversion"/>
  </si>
  <si>
    <t>0x0E</t>
    <phoneticPr fontId="2" type="noConversion"/>
  </si>
  <si>
    <t>DELAY_CH2</t>
  </si>
  <si>
    <t>0x0F</t>
    <phoneticPr fontId="2" type="noConversion"/>
  </si>
  <si>
    <t>DELAY_CH3</t>
  </si>
  <si>
    <t>0x10</t>
    <phoneticPr fontId="2" type="noConversion"/>
  </si>
  <si>
    <t>DELAY_CH4</t>
  </si>
  <si>
    <t>DELAY_CH5</t>
  </si>
  <si>
    <t>0x12</t>
  </si>
  <si>
    <t>DELAY_CH6</t>
  </si>
  <si>
    <t>0x13</t>
  </si>
  <si>
    <t>DELAY_CH7</t>
  </si>
  <si>
    <t>0x14</t>
  </si>
  <si>
    <t>DELAY_CH8</t>
  </si>
  <si>
    <t>0x15</t>
  </si>
  <si>
    <t>DELAY_CH9</t>
  </si>
  <si>
    <t>0x16</t>
  </si>
  <si>
    <t>DELAY_CH10</t>
  </si>
  <si>
    <t>DELAY_CH11</t>
  </si>
  <si>
    <t>DELAY_CH12</t>
  </si>
  <si>
    <t>0x26</t>
  </si>
  <si>
    <t>0x27</t>
  </si>
  <si>
    <t>OFS_TEMP [3:0]</t>
    <phoneticPr fontId="2" type="noConversion"/>
  </si>
  <si>
    <t>0x28</t>
  </si>
  <si>
    <t>MCLK_LOCK [11:0]</t>
    <phoneticPr fontId="2" type="noConversion"/>
  </si>
  <si>
    <t>0x2A</t>
    <phoneticPr fontId="2" type="noConversion"/>
  </si>
  <si>
    <t>MCLK_LOCK_E</t>
    <phoneticPr fontId="2" type="noConversion"/>
  </si>
  <si>
    <t>0x2B</t>
    <phoneticPr fontId="2" type="noConversion"/>
  </si>
  <si>
    <t>OP MODE</t>
    <phoneticPr fontId="2" type="noConversion"/>
  </si>
  <si>
    <t>0x3F</t>
    <phoneticPr fontId="2" type="noConversion"/>
  </si>
  <si>
    <t>TEST_EN</t>
    <phoneticPr fontId="2" type="noConversion"/>
  </si>
  <si>
    <t>ADDR_EXT</t>
    <phoneticPr fontId="2" type="noConversion"/>
  </si>
  <si>
    <t>OTP ACCESS1</t>
  </si>
  <si>
    <t>0x3A</t>
    <phoneticPr fontId="2" type="noConversion"/>
  </si>
  <si>
    <t>OTP_PG_ACC_CYCLE [15:12]</t>
    <phoneticPr fontId="2" type="noConversion"/>
  </si>
  <si>
    <t>OTP ACCESS2</t>
    <phoneticPr fontId="2" type="noConversion"/>
  </si>
  <si>
    <t>0x3B</t>
    <phoneticPr fontId="2" type="noConversion"/>
  </si>
  <si>
    <t>OTP_PG_ACC_CYCLE [11:0] (default : decimal 320)</t>
    <phoneticPr fontId="2" type="noConversion"/>
  </si>
  <si>
    <t>OTP WRITE</t>
    <phoneticPr fontId="2" type="noConversion"/>
  </si>
  <si>
    <t>0x3C</t>
    <phoneticPr fontId="2" type="noConversion"/>
  </si>
  <si>
    <t>0x004</t>
    <phoneticPr fontId="2" type="noConversion"/>
  </si>
  <si>
    <t>OTP_WSEL [3:0]</t>
    <phoneticPr fontId="2" type="noConversion"/>
  </si>
  <si>
    <t>OTP RD/PROG</t>
    <phoneticPr fontId="2" type="noConversion"/>
  </si>
  <si>
    <t>0x3D</t>
    <phoneticPr fontId="2" type="noConversion"/>
  </si>
  <si>
    <t>OTP_RD_S</t>
    <phoneticPr fontId="2" type="noConversion"/>
  </si>
  <si>
    <t>OTP_PG_S</t>
    <phoneticPr fontId="2" type="noConversion"/>
  </si>
  <si>
    <t>OTP PROTECT</t>
    <phoneticPr fontId="2" type="noConversion"/>
  </si>
  <si>
    <t>0x3E</t>
    <phoneticPr fontId="2" type="noConversion"/>
  </si>
  <si>
    <t>PROTECT_EN (0x5A5), PROTECT_DIS (0xA5A)</t>
    <phoneticPr fontId="2" type="noConversion"/>
  </si>
  <si>
    <t>OTP CRC</t>
    <phoneticPr fontId="2" type="noConversion"/>
  </si>
  <si>
    <t>OTP_CRC_CHECKSUM [7:0]</t>
    <phoneticPr fontId="2" type="noConversion"/>
  </si>
  <si>
    <t>OSC</t>
    <phoneticPr fontId="2" type="noConversion"/>
  </si>
  <si>
    <t>0x01</t>
  </si>
  <si>
    <t>0x040</t>
    <phoneticPr fontId="2" type="noConversion"/>
  </si>
  <si>
    <t>VREF_CTL</t>
    <phoneticPr fontId="2" type="noConversion"/>
  </si>
  <si>
    <t>0x02</t>
  </si>
  <si>
    <t>OFS1</t>
    <phoneticPr fontId="2" type="noConversion"/>
  </si>
  <si>
    <t>OFS2</t>
    <phoneticPr fontId="2" type="noConversion"/>
  </si>
  <si>
    <t>OFS3</t>
  </si>
  <si>
    <t>0x05</t>
  </si>
  <si>
    <t>OFS4</t>
  </si>
  <si>
    <t>OFS5</t>
  </si>
  <si>
    <t>0x07</t>
  </si>
  <si>
    <t>OFS6</t>
  </si>
  <si>
    <t>OFS7</t>
  </si>
  <si>
    <t>OFS8</t>
  </si>
  <si>
    <t>0x0A</t>
    <phoneticPr fontId="2" type="noConversion"/>
  </si>
  <si>
    <t>OFS9</t>
  </si>
  <si>
    <t>OFS10</t>
  </si>
  <si>
    <t>OFS11</t>
  </si>
  <si>
    <t>OFS12</t>
  </si>
  <si>
    <t>GAIN1</t>
    <phoneticPr fontId="2" type="noConversion"/>
  </si>
  <si>
    <t>0x1B</t>
    <phoneticPr fontId="2" type="noConversion"/>
  </si>
  <si>
    <t>0x040</t>
  </si>
  <si>
    <t>GAIN2</t>
  </si>
  <si>
    <t>0x1C</t>
    <phoneticPr fontId="2" type="noConversion"/>
  </si>
  <si>
    <t>GAIN3</t>
  </si>
  <si>
    <t>0x1D</t>
    <phoneticPr fontId="2" type="noConversion"/>
  </si>
  <si>
    <t>GAIN4</t>
  </si>
  <si>
    <t>0x1E</t>
    <phoneticPr fontId="2" type="noConversion"/>
  </si>
  <si>
    <t>GAIN5</t>
  </si>
  <si>
    <t>0x1F</t>
    <phoneticPr fontId="2" type="noConversion"/>
  </si>
  <si>
    <t>GAIN6</t>
  </si>
  <si>
    <t>0x20</t>
  </si>
  <si>
    <t>`</t>
    <phoneticPr fontId="2" type="noConversion"/>
  </si>
  <si>
    <t>GAIN7</t>
  </si>
  <si>
    <t>0x21</t>
  </si>
  <si>
    <t>GAIN8</t>
  </si>
  <si>
    <t>0x22</t>
  </si>
  <si>
    <t>GAIN9</t>
  </si>
  <si>
    <t>0x23</t>
  </si>
  <si>
    <t>GAIN10</t>
  </si>
  <si>
    <t>0x24</t>
  </si>
  <si>
    <t>GAIN11</t>
  </si>
  <si>
    <t>0x25</t>
  </si>
  <si>
    <t>GAIN12</t>
  </si>
  <si>
    <t>RST</t>
    <phoneticPr fontId="2" type="noConversion"/>
  </si>
  <si>
    <t>PWM_RES</t>
    <phoneticPr fontId="2" type="noConversion"/>
  </si>
  <si>
    <t>OVER_TO_E</t>
    <phoneticPr fontId="2" type="noConversion"/>
  </si>
  <si>
    <t>RST : all logics reset, auto-cleared
ID #1~#31 ('0' invalid) : not writable</t>
    <phoneticPr fontId="2" type="noConversion"/>
  </si>
  <si>
    <t>PWM_FULL_O</t>
    <phoneticPr fontId="2" type="noConversion"/>
  </si>
  <si>
    <t>VREF_O</t>
    <phoneticPr fontId="2" type="noConversion"/>
  </si>
  <si>
    <t>uploaded at a vsync</t>
    <phoneticPr fontId="2" type="noConversion"/>
  </si>
  <si>
    <t>FPWM_DIV</t>
    <phoneticPr fontId="2" type="noConversion"/>
  </si>
  <si>
    <t>FPWM_DIV [6:0]</t>
    <phoneticPr fontId="2" type="noConversion"/>
  </si>
  <si>
    <t>MCLK_LOCK [19:12]</t>
    <phoneticPr fontId="2" type="noConversion"/>
  </si>
  <si>
    <t>start dimming from (set value+1)th pwmclk</t>
    <phoneticPr fontId="2" type="noConversion"/>
  </si>
  <si>
    <t>DELAY_CH1 [11:0]</t>
    <phoneticPr fontId="2" type="noConversion"/>
  </si>
  <si>
    <t>DELAY_CH2 [11:0]</t>
    <phoneticPr fontId="2" type="noConversion"/>
  </si>
  <si>
    <t>DELAY_CH3 [11:0]</t>
    <phoneticPr fontId="2" type="noConversion"/>
  </si>
  <si>
    <t>DELAY_CH4 [11:0]</t>
    <phoneticPr fontId="2" type="noConversion"/>
  </si>
  <si>
    <t>DELAY_CH5 [11:0]</t>
    <phoneticPr fontId="2" type="noConversion"/>
  </si>
  <si>
    <t>DELAY_CH6 [11:0]</t>
    <phoneticPr fontId="2" type="noConversion"/>
  </si>
  <si>
    <t>DELAY_CH7 [11:0]</t>
    <phoneticPr fontId="2" type="noConversion"/>
  </si>
  <si>
    <t>DELAY_CH8 [11:0]</t>
    <phoneticPr fontId="2" type="noConversion"/>
  </si>
  <si>
    <t>DELAY_CH9 [11:0]</t>
    <phoneticPr fontId="2" type="noConversion"/>
  </si>
  <si>
    <t>DELAY_CH10 [11:0]</t>
    <phoneticPr fontId="2" type="noConversion"/>
  </si>
  <si>
    <t>DELAY_CH11 [11:0]</t>
    <phoneticPr fontId="2" type="noConversion"/>
  </si>
  <si>
    <t>DELAY_CH12 [11:0]</t>
    <phoneticPr fontId="2" type="noConversion"/>
  </si>
  <si>
    <t>DELAY_CH1 [13:12]</t>
    <phoneticPr fontId="2" type="noConversion"/>
  </si>
  <si>
    <t>DELAY_CH2 [13:12]</t>
    <phoneticPr fontId="2" type="noConversion"/>
  </si>
  <si>
    <t>DELAY_CH3 [13:12]</t>
    <phoneticPr fontId="2" type="noConversion"/>
  </si>
  <si>
    <t>DELAY_CH4 [13:12]</t>
    <phoneticPr fontId="2" type="noConversion"/>
  </si>
  <si>
    <t>DELAY_CH5 [13:12]</t>
    <phoneticPr fontId="2" type="noConversion"/>
  </si>
  <si>
    <t>DELAY_CH6 [13:12]</t>
    <phoneticPr fontId="2" type="noConversion"/>
  </si>
  <si>
    <t>DELAY_CH7 [13:12]</t>
    <phoneticPr fontId="2" type="noConversion"/>
  </si>
  <si>
    <t>DELAY_CH8 [13:12]</t>
    <phoneticPr fontId="2" type="noConversion"/>
  </si>
  <si>
    <t>DELAY_CH9 [13:12]</t>
    <phoneticPr fontId="2" type="noConversion"/>
  </si>
  <si>
    <t>DELAY_CH10 [13:12]</t>
    <phoneticPr fontId="2" type="noConversion"/>
  </si>
  <si>
    <t>DELAY_CH11 [13:12]</t>
    <phoneticPr fontId="2" type="noConversion"/>
  </si>
  <si>
    <t>DELAY_CH12 [13:12]</t>
    <phoneticPr fontId="2" type="noConversion"/>
  </si>
  <si>
    <t>reserved</t>
    <phoneticPr fontId="2" type="noConversion"/>
  </si>
  <si>
    <t>DELAY_CH_EX1</t>
    <phoneticPr fontId="2" type="noConversion"/>
  </si>
  <si>
    <t>DELAY_CH_EX2</t>
  </si>
  <si>
    <t>0x11</t>
    <phoneticPr fontId="2" type="noConversion"/>
  </si>
  <si>
    <t>~0x24</t>
    <phoneticPr fontId="2" type="noConversion"/>
  </si>
  <si>
    <t>MCLK_LOCK1</t>
    <phoneticPr fontId="2" type="noConversion"/>
  </si>
  <si>
    <t>MCLK_LOCK2</t>
  </si>
  <si>
    <t>SERIAL CLK GEN</t>
    <phoneticPr fontId="2" type="noConversion"/>
  </si>
  <si>
    <t>MISS_VS_LOCK</t>
    <phoneticPr fontId="2" type="noConversion"/>
  </si>
  <si>
    <t>MISS_VS</t>
    <phoneticPr fontId="2" type="noConversion"/>
  </si>
  <si>
    <t>MISS_VS_DIMM</t>
    <phoneticPr fontId="2" type="noConversion"/>
  </si>
  <si>
    <t>SCAN_NO [2:0]</t>
    <phoneticPr fontId="2" type="noConversion"/>
  </si>
  <si>
    <t>FAULT CONTROL</t>
    <phoneticPr fontId="2" type="noConversion"/>
  </si>
  <si>
    <t>MISS_VS_DET_E</t>
    <phoneticPr fontId="2" type="noConversion"/>
  </si>
  <si>
    <t>O_OFF_E</t>
    <phoneticPr fontId="2" type="noConversion"/>
  </si>
  <si>
    <t>S_OFF_E</t>
    <phoneticPr fontId="2" type="noConversion"/>
  </si>
  <si>
    <t>T_OFF_E</t>
    <phoneticPr fontId="2" type="noConversion"/>
  </si>
  <si>
    <t>OPEN_FB_E</t>
    <phoneticPr fontId="2" type="noConversion"/>
  </si>
  <si>
    <t>TIMEOUT_E</t>
    <phoneticPr fontId="2" type="noConversion"/>
  </si>
  <si>
    <t>0x020</t>
    <phoneticPr fontId="2" type="noConversion"/>
  </si>
  <si>
    <t>max current 24/ 32/ 46/ 64mA 설정 시 작동</t>
    <phoneticPr fontId="2" type="noConversion"/>
  </si>
  <si>
    <t>OSC_FLL_MAN [11:0]</t>
    <phoneticPr fontId="2" type="noConversion"/>
  </si>
  <si>
    <t>OSC_MAN_E</t>
    <phoneticPr fontId="2" type="noConversion"/>
  </si>
  <si>
    <t>FLT_GAIN [1:0]</t>
    <phoneticPr fontId="2" type="noConversion"/>
  </si>
  <si>
    <t>OSC_FLL_MAN1</t>
    <phoneticPr fontId="2" type="noConversion"/>
  </si>
  <si>
    <t>OSC_FLL_MAN2</t>
  </si>
  <si>
    <t>FBO drives the real-time state of FB on pin#6</t>
    <phoneticPr fontId="2" type="noConversion"/>
  </si>
  <si>
    <t>FBO</t>
    <phoneticPr fontId="2" type="noConversion"/>
  </si>
  <si>
    <t>FBI</t>
    <phoneticPr fontId="2" type="noConversion"/>
  </si>
  <si>
    <t>External VSYNC</t>
    <phoneticPr fontId="2" type="noConversion"/>
  </si>
  <si>
    <t>FBO_OEN (tri-state output enable, active-low) =</t>
    <phoneticPr fontId="2" type="noConversion"/>
  </si>
  <si>
    <t>FBI_OEN = HIGH (always disabled)</t>
    <phoneticPr fontId="2" type="noConversion"/>
  </si>
  <si>
    <t>EXT_VS_OEN (tri-state output enable, active-low) = ~(EXT_VS_E &amp;&amp; ~TEST_E)</t>
    <phoneticPr fontId="2" type="noConversion"/>
  </si>
  <si>
    <t>internal VSYNC = command VSYNC || external VSYNC</t>
    <phoneticPr fontId="2" type="noConversion"/>
  </si>
  <si>
    <t>external VSYNC = filtered VSYNCI</t>
    <phoneticPr fontId="2" type="noConversion"/>
  </si>
  <si>
    <t>LD_DIR/PWM_RES/OVER_TO_E/SCAN_NO
updated at a vsync</t>
    <phoneticPr fontId="2" type="noConversion"/>
  </si>
  <si>
    <t>OSC [5:0]</t>
    <phoneticPr fontId="2" type="noConversion"/>
  </si>
  <si>
    <t>VREF_CTL [5:0]</t>
    <phoneticPr fontId="2" type="noConversion"/>
  </si>
  <si>
    <t>ICTL_L_CH1[6:0]</t>
    <phoneticPr fontId="2" type="noConversion"/>
  </si>
  <si>
    <t>ICTL_L_CH2[6:0]</t>
    <phoneticPr fontId="2" type="noConversion"/>
  </si>
  <si>
    <t>ICTL_L_CH3[6:0]</t>
    <phoneticPr fontId="2" type="noConversion"/>
  </si>
  <si>
    <t>ICTL_L_CH4[6:0]</t>
    <phoneticPr fontId="2" type="noConversion"/>
  </si>
  <si>
    <t>ICTL_L_CH5[6:0]</t>
    <phoneticPr fontId="2" type="noConversion"/>
  </si>
  <si>
    <t>ICTL_L_CH6[6:0]</t>
    <phoneticPr fontId="2" type="noConversion"/>
  </si>
  <si>
    <t>ICTL_L_CH7[6:0]</t>
    <phoneticPr fontId="2" type="noConversion"/>
  </si>
  <si>
    <t>ICTL_L_CH8[6:0]</t>
    <phoneticPr fontId="2" type="noConversion"/>
  </si>
  <si>
    <t>ICTL_L_CH9[6:0]</t>
    <phoneticPr fontId="2" type="noConversion"/>
  </si>
  <si>
    <t>ICTL_L_CH10[6:0]</t>
    <phoneticPr fontId="2" type="noConversion"/>
  </si>
  <si>
    <t>ICTL_L_CH11[6:0]</t>
    <phoneticPr fontId="2" type="noConversion"/>
  </si>
  <si>
    <t>ICTL_L_CH12[6:0]</t>
    <phoneticPr fontId="2" type="noConversion"/>
  </si>
  <si>
    <t>ICTL_H_CH1[6:0]</t>
    <phoneticPr fontId="2" type="noConversion"/>
  </si>
  <si>
    <t>ICTL_H_CH2[6:0]</t>
    <phoneticPr fontId="2" type="noConversion"/>
  </si>
  <si>
    <t>ICTL_H_CH3[6:0]</t>
    <phoneticPr fontId="2" type="noConversion"/>
  </si>
  <si>
    <t>ICTL_H_CH4[6:0]</t>
    <phoneticPr fontId="2" type="noConversion"/>
  </si>
  <si>
    <t>ICTL_H_CH5[6:0]</t>
    <phoneticPr fontId="2" type="noConversion"/>
  </si>
  <si>
    <t>ICTL_H_CH6[6:0]</t>
    <phoneticPr fontId="2" type="noConversion"/>
  </si>
  <si>
    <t>ICTL_H_CH7[6:0]</t>
    <phoneticPr fontId="2" type="noConversion"/>
  </si>
  <si>
    <t>ICTL_H_CH8[6:0]</t>
    <phoneticPr fontId="2" type="noConversion"/>
  </si>
  <si>
    <t>ICTL_H_CH9[6:0]</t>
    <phoneticPr fontId="2" type="noConversion"/>
  </si>
  <si>
    <t>ICTL_H_CH10[6:0]</t>
    <phoneticPr fontId="2" type="noConversion"/>
  </si>
  <si>
    <t>ICTL_H_CH11[6:0]</t>
    <phoneticPr fontId="2" type="noConversion"/>
  </si>
  <si>
    <t>ICTL_H_CH12[6:0]</t>
    <phoneticPr fontId="2" type="noConversion"/>
  </si>
  <si>
    <t>T/S/O/FB storage required
(fault read time, 1block FB)</t>
    <phoneticPr fontId="2" type="noConversion"/>
  </si>
  <si>
    <t>serializer/de-serializer</t>
    <phoneticPr fontId="2" type="noConversion"/>
  </si>
  <si>
    <t>data format</t>
    <phoneticPr fontId="2" type="noConversion"/>
  </si>
  <si>
    <t>protocol</t>
    <phoneticPr fontId="2" type="noConversion"/>
  </si>
  <si>
    <t>bit21</t>
  </si>
  <si>
    <t>bit20</t>
    <phoneticPr fontId="2" type="noConversion"/>
  </si>
  <si>
    <t>bit19</t>
    <phoneticPr fontId="2" type="noConversion"/>
  </si>
  <si>
    <t>bit18</t>
    <phoneticPr fontId="2" type="noConversion"/>
  </si>
  <si>
    <t>bit17</t>
    <phoneticPr fontId="2" type="noConversion"/>
  </si>
  <si>
    <t>bit16</t>
    <phoneticPr fontId="2" type="noConversion"/>
  </si>
  <si>
    <t>bit15</t>
    <phoneticPr fontId="2" type="noConversion"/>
  </si>
  <si>
    <t>bit14</t>
    <phoneticPr fontId="2" type="noConversion"/>
  </si>
  <si>
    <t>bit13</t>
    <phoneticPr fontId="2" type="noConversion"/>
  </si>
  <si>
    <t>bit12</t>
    <phoneticPr fontId="2" type="noConversion"/>
  </si>
  <si>
    <t>bit11</t>
  </si>
  <si>
    <t>bit10</t>
  </si>
  <si>
    <t>(serializer)</t>
    <phoneticPr fontId="2" type="noConversion"/>
  </si>
  <si>
    <t>start</t>
    <phoneticPr fontId="2" type="noConversion"/>
  </si>
  <si>
    <t>command code [2:0]</t>
    <phoneticPr fontId="2" type="noConversion"/>
  </si>
  <si>
    <t>addr [5:0]</t>
    <phoneticPr fontId="2" type="noConversion"/>
  </si>
  <si>
    <t>data [11:0]</t>
    <phoneticPr fontId="2" type="noConversion"/>
  </si>
  <si>
    <t>write command</t>
    <phoneticPr fontId="2" type="noConversion"/>
  </si>
  <si>
    <t>bit9</t>
    <phoneticPr fontId="2" type="noConversion"/>
  </si>
  <si>
    <t>bit8</t>
    <phoneticPr fontId="2" type="noConversion"/>
  </si>
  <si>
    <t>bit7</t>
    <phoneticPr fontId="2" type="noConversion"/>
  </si>
  <si>
    <t>bit6</t>
    <phoneticPr fontId="2" type="noConversion"/>
  </si>
  <si>
    <t>bit5</t>
    <phoneticPr fontId="2" type="noConversion"/>
  </si>
  <si>
    <t>read command</t>
    <phoneticPr fontId="2" type="noConversion"/>
  </si>
  <si>
    <t>(ld_width=00,01,10)</t>
    <phoneticPr fontId="2" type="noConversion"/>
  </si>
  <si>
    <t>bit16</t>
  </si>
  <si>
    <t>bit15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</si>
  <si>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#1</t>
    </r>
    <phoneticPr fontId="2" type="noConversion"/>
  </si>
  <si>
    <t>write cmd #1</t>
    <phoneticPr fontId="2" type="noConversion"/>
  </si>
  <si>
    <t>addr #1</t>
    <phoneticPr fontId="2" type="noConversion"/>
  </si>
  <si>
    <t>data #1</t>
    <phoneticPr fontId="2" type="noConversion"/>
  </si>
  <si>
    <t>write cmd #2</t>
    <phoneticPr fontId="2" type="noConversion"/>
  </si>
  <si>
    <t>addr #2</t>
    <phoneticPr fontId="2" type="noConversion"/>
  </si>
  <si>
    <t>data #2</t>
    <phoneticPr fontId="2" type="noConversion"/>
  </si>
  <si>
    <t>write cmd #n</t>
    <phoneticPr fontId="2" type="noConversion"/>
  </si>
  <si>
    <t>addr #n</t>
    <phoneticPr fontId="2" type="noConversion"/>
  </si>
  <si>
    <t>data #n</t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</si>
  <si>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#1</t>
    </r>
    <phoneticPr fontId="2" type="noConversion"/>
  </si>
  <si>
    <t>ld cmd #1</t>
    <phoneticPr fontId="2" type="noConversion"/>
  </si>
  <si>
    <t>pam1 #1</t>
    <phoneticPr fontId="2" type="noConversion"/>
  </si>
  <si>
    <t>pwm1 #1</t>
    <phoneticPr fontId="2" type="noConversion"/>
  </si>
  <si>
    <t>pam2 #1</t>
    <phoneticPr fontId="2" type="noConversion"/>
  </si>
  <si>
    <t>pwm8 #1</t>
    <phoneticPr fontId="2" type="noConversion"/>
  </si>
  <si>
    <t>ld cmd #2</t>
    <phoneticPr fontId="2" type="noConversion"/>
  </si>
  <si>
    <t>pam1 #2</t>
    <phoneticPr fontId="2" type="noConversion"/>
  </si>
  <si>
    <t>pwm1 #2</t>
    <phoneticPr fontId="2" type="noConversion"/>
  </si>
  <si>
    <t>pam2 #2</t>
    <phoneticPr fontId="2" type="noConversion"/>
  </si>
  <si>
    <t>pwm8 #n</t>
    <phoneticPr fontId="2" type="noConversion"/>
  </si>
  <si>
    <t>sync gen cmd #1</t>
    <phoneticPr fontId="2" type="noConversion"/>
  </si>
  <si>
    <t>sync gen cmd #2</t>
    <phoneticPr fontId="2" type="noConversion"/>
  </si>
  <si>
    <t>sync gen cmd #n</t>
    <phoneticPr fontId="2" type="noConversion"/>
  </si>
  <si>
    <t>fault read cmd #1</t>
    <phoneticPr fontId="2" type="noConversion"/>
  </si>
  <si>
    <t>fault read cmd #2</t>
    <phoneticPr fontId="2" type="noConversion"/>
  </si>
  <si>
    <t>fault read cmd #n</t>
    <phoneticPr fontId="2" type="noConversion"/>
  </si>
  <si>
    <t>fault read cmd</t>
    <phoneticPr fontId="2" type="noConversion"/>
  </si>
  <si>
    <t>d2 | d1</t>
    <phoneticPr fontId="2" type="noConversion"/>
  </si>
  <si>
    <t>(de-serializer)</t>
    <phoneticPr fontId="2" type="noConversion"/>
  </si>
  <si>
    <t>ld [4:0]</t>
    <phoneticPr fontId="2" type="noConversion"/>
  </si>
  <si>
    <t>read receive format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</si>
  <si>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#2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</si>
  <si>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#2</t>
    </r>
    <r>
      <rPr>
        <sz val="11"/>
        <color theme="1"/>
        <rFont val="맑은 고딕"/>
        <family val="2"/>
        <charset val="129"/>
        <scheme val="minor"/>
      </rPr>
      <t/>
    </r>
  </si>
  <si>
    <t>fault read cmd#2</t>
    <phoneticPr fontId="2" type="noConversion"/>
  </si>
  <si>
    <t>d3 | d2</t>
    <phoneticPr fontId="2" type="noConversion"/>
  </si>
  <si>
    <t>bit23</t>
  </si>
  <si>
    <t>bit22</t>
  </si>
  <si>
    <t>bit20</t>
  </si>
  <si>
    <t>bit19</t>
  </si>
  <si>
    <t>bit18</t>
  </si>
  <si>
    <t>bit17</t>
  </si>
  <si>
    <t>bit14</t>
  </si>
  <si>
    <t>bit13</t>
  </si>
  <si>
    <t>bit12</t>
  </si>
  <si>
    <t>pam [9:0]</t>
    <phoneticPr fontId="2" type="noConversion"/>
  </si>
  <si>
    <t>pwm [9:0]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</si>
  <si>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DO </t>
    </r>
    <r>
      <rPr>
        <sz val="11"/>
        <color theme="1"/>
        <rFont val="맑은 고딕"/>
        <family val="3"/>
        <charset val="129"/>
        <scheme val="minor"/>
      </rPr>
      <t>#2</t>
    </r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</si>
  <si>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DO </t>
    </r>
    <r>
      <rPr>
        <sz val="11"/>
        <rFont val="맑은 고딕"/>
        <family val="3"/>
        <charset val="129"/>
        <scheme val="minor"/>
      </rPr>
      <t>#2</t>
    </r>
    <phoneticPr fontId="2" type="noConversion"/>
  </si>
  <si>
    <t>d4 | d3</t>
    <phoneticPr fontId="2" type="noConversion"/>
  </si>
  <si>
    <t>ld transfer @ld_width='00'</t>
    <phoneticPr fontId="2" type="noConversion"/>
  </si>
  <si>
    <t>bit24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</si>
  <si>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#n</t>
    </r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</si>
  <si>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#n</t>
    </r>
    <phoneticPr fontId="2" type="noConversion"/>
  </si>
  <si>
    <t>4'bxxxx</t>
    <phoneticPr fontId="2" type="noConversion"/>
  </si>
  <si>
    <t>pwm [10:0]</t>
    <phoneticPr fontId="2" type="noConversion"/>
  </si>
  <si>
    <t>ld transfer @ld_width='01'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</si>
  <si>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DO </t>
    </r>
    <r>
      <rPr>
        <sz val="11"/>
        <color theme="1"/>
        <rFont val="맑은 고딕"/>
        <family val="3"/>
        <charset val="129"/>
        <scheme val="minor"/>
      </rPr>
      <t>#n</t>
    </r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</si>
  <si>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DO </t>
    </r>
    <r>
      <rPr>
        <sz val="11"/>
        <rFont val="맑은 고딕"/>
        <family val="3"/>
        <charset val="129"/>
        <scheme val="minor"/>
      </rPr>
      <t>#n</t>
    </r>
    <phoneticPr fontId="2" type="noConversion"/>
  </si>
  <si>
    <t>bit25</t>
  </si>
  <si>
    <t>pwm [11:0]</t>
    <phoneticPr fontId="2" type="noConversion"/>
  </si>
  <si>
    <t>ld transfer @ld_width='10'</t>
    <phoneticPr fontId="2" type="noConversion"/>
  </si>
  <si>
    <t>ld [15:0]</t>
    <phoneticPr fontId="2" type="noConversion"/>
  </si>
  <si>
    <t>(ld_width=11)</t>
    <phoneticPr fontId="2" type="noConversion"/>
  </si>
  <si>
    <t>ld transfer @ld_width='11'</t>
    <phoneticPr fontId="2" type="noConversion"/>
  </si>
  <si>
    <t>read_in cmd #1</t>
    <phoneticPr fontId="2" type="noConversion"/>
  </si>
  <si>
    <t>read_in cmd #2</t>
    <phoneticPr fontId="2" type="noConversion"/>
  </si>
  <si>
    <t>read_in cmd #n</t>
    <phoneticPr fontId="2" type="noConversion"/>
  </si>
  <si>
    <r>
      <t>ld1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</si>
  <si>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r>
      <t>ld2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</si>
  <si>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r>
      <t>ld3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</si>
  <si>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r>
      <t>ld8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</si>
  <si>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t>fault (auto) read command</t>
    <phoneticPr fontId="2" type="noConversion"/>
  </si>
  <si>
    <t>bit4</t>
    <phoneticPr fontId="2" type="noConversion"/>
  </si>
  <si>
    <t>bit1</t>
    <phoneticPr fontId="2" type="noConversion"/>
  </si>
  <si>
    <t>bit0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</si>
  <si>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</si>
  <si>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</si>
  <si>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</si>
  <si>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fb</t>
    <phoneticPr fontId="2" type="noConversion"/>
  </si>
  <si>
    <t>fault (auto) receive format</t>
    <phoneticPr fontId="2" type="noConversion"/>
  </si>
  <si>
    <t>bit3</t>
    <phoneticPr fontId="2" type="noConversion"/>
  </si>
  <si>
    <t>bit2</t>
    <phoneticPr fontId="2" type="noConversion"/>
  </si>
  <si>
    <t>sync (auto) gen</t>
    <phoneticPr fontId="2" type="noConversion"/>
  </si>
  <si>
    <t>id gen</t>
    <phoneticPr fontId="2" type="noConversion"/>
  </si>
  <si>
    <t>read_out cmd #n</t>
    <phoneticPr fontId="2" type="noConversion"/>
  </si>
  <si>
    <t>id #n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</si>
  <si>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#n-1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</si>
  <si>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#2</t>
    </r>
    <phoneticPr fontId="2" type="noConversion"/>
  </si>
  <si>
    <t>read_out cmd #2</t>
    <phoneticPr fontId="2" type="noConversion"/>
  </si>
  <si>
    <t>id #2</t>
    <phoneticPr fontId="2" type="noConversion"/>
  </si>
  <si>
    <t>read_out cmd #1</t>
    <phoneticPr fontId="2" type="noConversion"/>
  </si>
  <si>
    <t>id #1</t>
    <phoneticPr fontId="2" type="noConversion"/>
  </si>
  <si>
    <t>spi protocol</t>
    <phoneticPr fontId="2" type="noConversion"/>
  </si>
  <si>
    <t>data format (16-bit command+16-bit data)</t>
    <phoneticPr fontId="2" type="noConversion"/>
  </si>
  <si>
    <t>single write : size = 1</t>
    <phoneticPr fontId="2" type="noConversion"/>
  </si>
  <si>
    <t>reset</t>
    <phoneticPr fontId="2" type="noConversion"/>
  </si>
  <si>
    <t>nSCS</t>
    <phoneticPr fontId="2" type="noConversion"/>
  </si>
  <si>
    <t>command</t>
    <phoneticPr fontId="2" type="noConversion"/>
  </si>
  <si>
    <t>command code [1:0]</t>
    <phoneticPr fontId="2" type="noConversion"/>
  </si>
  <si>
    <t>addr [7:0]</t>
    <phoneticPr fontId="2" type="noConversion"/>
  </si>
  <si>
    <t>size [5:0]</t>
    <phoneticPr fontId="2" type="noConversion"/>
  </si>
  <si>
    <t>SCLK</t>
    <phoneticPr fontId="2" type="noConversion"/>
  </si>
  <si>
    <t>register read</t>
    <phoneticPr fontId="2" type="noConversion"/>
  </si>
  <si>
    <t>start address</t>
    <phoneticPr fontId="2" type="noConversion"/>
  </si>
  <si>
    <t>burst size</t>
    <phoneticPr fontId="2" type="noConversion"/>
  </si>
  <si>
    <t>register write</t>
    <phoneticPr fontId="2" type="noConversion"/>
  </si>
  <si>
    <t>MOSI</t>
    <phoneticPr fontId="2" type="noConversion"/>
  </si>
  <si>
    <t>dev#1 command</t>
    <phoneticPr fontId="2" type="noConversion"/>
  </si>
  <si>
    <t>dev#1 data</t>
    <phoneticPr fontId="2" type="noConversion"/>
  </si>
  <si>
    <t>dev#2 command</t>
  </si>
  <si>
    <t>dev#2 data</t>
  </si>
  <si>
    <t>dev#3 command</t>
  </si>
  <si>
    <t>dev#3 data</t>
  </si>
  <si>
    <t>ld transfer</t>
    <phoneticPr fontId="2" type="noConversion"/>
  </si>
  <si>
    <t>8'hxx</t>
    <phoneticPr fontId="2" type="noConversion"/>
  </si>
  <si>
    <t>line size (max 63)</t>
    <phoneticPr fontId="2" type="noConversion"/>
  </si>
  <si>
    <t>SCLKO1</t>
    <phoneticPr fontId="2" type="noConversion"/>
  </si>
  <si>
    <t>register data</t>
    <phoneticPr fontId="2" type="noConversion"/>
  </si>
  <si>
    <t>SDO1</t>
    <phoneticPr fontId="2" type="noConversion"/>
  </si>
  <si>
    <t>register data [15:0]</t>
    <phoneticPr fontId="2" type="noConversion"/>
  </si>
  <si>
    <t>ld data</t>
    <phoneticPr fontId="2" type="noConversion"/>
  </si>
  <si>
    <t>ld_width = '00' 24-bit (pam 12-bit + pwm 12-bit)</t>
    <phoneticPr fontId="2" type="noConversion"/>
  </si>
  <si>
    <t>SCLKO2</t>
    <phoneticPr fontId="2" type="noConversion"/>
  </si>
  <si>
    <t>ld_width = '01' 24-bit (pam 12-bit + pwm 12-bit)</t>
    <phoneticPr fontId="2" type="noConversion"/>
  </si>
  <si>
    <t>SDO2</t>
    <phoneticPr fontId="2" type="noConversion"/>
  </si>
  <si>
    <t>ld_width = '00' 16-bit</t>
    <phoneticPr fontId="2" type="noConversion"/>
  </si>
  <si>
    <t>burst write : size dev#1/2/3 = 1/4/2</t>
    <phoneticPr fontId="2" type="noConversion"/>
  </si>
  <si>
    <t>addr=0x2</t>
    <phoneticPr fontId="2" type="noConversion"/>
  </si>
  <si>
    <t>dev#1 cmd</t>
    <phoneticPr fontId="2" type="noConversion"/>
  </si>
  <si>
    <t>dev#1 data1</t>
    <phoneticPr fontId="2" type="noConversion"/>
  </si>
  <si>
    <t>dev#2 cmd</t>
    <phoneticPr fontId="2" type="noConversion"/>
  </si>
  <si>
    <t>dev#2 data1</t>
    <phoneticPr fontId="2" type="noConversion"/>
  </si>
  <si>
    <t>dev#2 data2</t>
    <phoneticPr fontId="2" type="noConversion"/>
  </si>
  <si>
    <t>dev#2 data3</t>
    <phoneticPr fontId="2" type="noConversion"/>
  </si>
  <si>
    <t>dev#2 data4</t>
    <phoneticPr fontId="2" type="noConversion"/>
  </si>
  <si>
    <t>dev#3 cmd</t>
    <phoneticPr fontId="2" type="noConversion"/>
  </si>
  <si>
    <t>dev#3 data1</t>
    <phoneticPr fontId="2" type="noConversion"/>
  </si>
  <si>
    <t>dev#3 data2</t>
    <phoneticPr fontId="2" type="noConversion"/>
  </si>
  <si>
    <t>addr=0x7</t>
    <phoneticPr fontId="2" type="noConversion"/>
  </si>
  <si>
    <t>addr=0x8</t>
  </si>
  <si>
    <t>addr=0x9</t>
  </si>
  <si>
    <t>addr=0x0A</t>
    <phoneticPr fontId="2" type="noConversion"/>
  </si>
  <si>
    <t>addr=0x05</t>
    <phoneticPr fontId="2" type="noConversion"/>
  </si>
  <si>
    <t>addr=0x06</t>
  </si>
  <si>
    <t>single read : size = 1</t>
    <phoneticPr fontId="2" type="noConversion"/>
  </si>
  <si>
    <t>don’t care</t>
    <phoneticPr fontId="2" type="noConversion"/>
  </si>
  <si>
    <t>MISO1</t>
    <phoneticPr fontId="2" type="noConversion"/>
  </si>
  <si>
    <t>MISO2</t>
    <phoneticPr fontId="2" type="noConversion"/>
  </si>
  <si>
    <t>dev#2 data</t>
    <phoneticPr fontId="2" type="noConversion"/>
  </si>
  <si>
    <t>MISO3</t>
    <phoneticPr fontId="2" type="noConversion"/>
  </si>
  <si>
    <t>burst read : size dev#1/2/3 = 1/4/2</t>
    <phoneticPr fontId="2" type="noConversion"/>
  </si>
  <si>
    <t>special write</t>
    <phoneticPr fontId="2" type="noConversion"/>
  </si>
  <si>
    <t>dev#1 special command</t>
    <phoneticPr fontId="2" type="noConversion"/>
  </si>
  <si>
    <t>dev#3 command</t>
    <phoneticPr fontId="2" type="noConversion"/>
  </si>
  <si>
    <t>ld burst size : n (where, n means the number of line to be transferred, n=1, 2, … , 63)</t>
    <phoneticPr fontId="2" type="noConversion"/>
  </si>
  <si>
    <t>ld transfer size : ch_size * (pam 12-bit + pwm 12-bit) * burst size n  @ld_width=00, 01, 10</t>
    <phoneticPr fontId="2" type="noConversion"/>
  </si>
  <si>
    <t>ch_size * (ld 16-bit) * burst size n  @ld_width=11</t>
    <phoneticPr fontId="2" type="noConversion"/>
  </si>
  <si>
    <t>ld1_ch1</t>
    <phoneticPr fontId="2" type="noConversion"/>
  </si>
  <si>
    <t>ld1_chx</t>
    <phoneticPr fontId="2" type="noConversion"/>
  </si>
  <si>
    <t>(x=1,2,…,24)</t>
    <phoneticPr fontId="2" type="noConversion"/>
  </si>
  <si>
    <t>FBI_PS = FBO_E</t>
    <phoneticPr fontId="2" type="noConversion"/>
  </si>
  <si>
    <t>0x3FF</t>
    <phoneticPr fontId="2" type="noConversion"/>
  </si>
  <si>
    <t>SERIAL_LATENCY</t>
    <phoneticPr fontId="2" type="noConversion"/>
  </si>
  <si>
    <t>S_DET_E</t>
    <phoneticPr fontId="2" type="noConversion"/>
  </si>
  <si>
    <t>0x29</t>
    <phoneticPr fontId="2" type="noConversion"/>
  </si>
  <si>
    <t>TEMP</t>
    <phoneticPr fontId="2" type="noConversion"/>
  </si>
  <si>
    <t>0x26</t>
    <phoneticPr fontId="2" type="noConversion"/>
  </si>
  <si>
    <t>spi</t>
    <phoneticPr fontId="2" type="noConversion"/>
  </si>
  <si>
    <t>RESET</t>
    <phoneticPr fontId="2" type="noConversion"/>
  </si>
  <si>
    <t>0x0000</t>
    <phoneticPr fontId="2" type="noConversion"/>
  </si>
  <si>
    <t>vsync_rst_en2</t>
    <phoneticPr fontId="2" type="noConversion"/>
  </si>
  <si>
    <t>vsync_rst_en1</t>
    <phoneticPr fontId="2" type="noConversion"/>
  </si>
  <si>
    <t>rst3</t>
    <phoneticPr fontId="2" type="noConversion"/>
  </si>
  <si>
    <t>rst2</t>
    <phoneticPr fontId="2" type="noConversion"/>
  </si>
  <si>
    <t>rst1</t>
    <phoneticPr fontId="2" type="noConversion"/>
  </si>
  <si>
    <t>GLOBAL WRITE COMMAND</t>
    <phoneticPr fontId="2" type="noConversion"/>
  </si>
  <si>
    <t>enable</t>
    <phoneticPr fontId="2" type="noConversion"/>
  </si>
  <si>
    <t>LOCAL WRITE COMMAND</t>
    <phoneticPr fontId="2" type="noConversion"/>
  </si>
  <si>
    <t>ch_seg[1:0]</t>
    <phoneticPr fontId="2" type="noConversion"/>
  </si>
  <si>
    <t>LOCAL READ COMMAND</t>
    <phoneticPr fontId="2" type="noConversion"/>
  </si>
  <si>
    <t>ID GEN COMMAND</t>
    <phoneticPr fontId="2" type="noConversion"/>
  </si>
  <si>
    <t>0x04</t>
    <phoneticPr fontId="2" type="noConversion"/>
  </si>
  <si>
    <t>0x0000</t>
  </si>
  <si>
    <t>FAULT READ COMMAND</t>
    <phoneticPr fontId="2" type="noConversion"/>
  </si>
  <si>
    <t>LD TRANSFER COMMAND</t>
    <phoneticPr fontId="2" type="noConversion"/>
  </si>
  <si>
    <t>SYNC GEN COMMAND</t>
    <phoneticPr fontId="2" type="noConversion"/>
  </si>
  <si>
    <t>COMMAND AUTO ENABLE</t>
    <phoneticPr fontId="2" type="noConversion"/>
  </si>
  <si>
    <t>0x0111</t>
    <phoneticPr fontId="2" type="noConversion"/>
  </si>
  <si>
    <t>timeout_en</t>
    <phoneticPr fontId="2" type="noConversion"/>
  </si>
  <si>
    <t>fault auto_en</t>
    <phoneticPr fontId="2" type="noConversion"/>
  </si>
  <si>
    <t>sync auto_en</t>
    <phoneticPr fontId="2" type="noConversion"/>
  </si>
  <si>
    <t>LD WRITE POINTER</t>
    <phoneticPr fontId="2" type="noConversion"/>
  </si>
  <si>
    <t>ld_wr_pointer [8:0]</t>
    <phoneticPr fontId="2" type="noConversion"/>
  </si>
  <si>
    <t>LD READ POINTER</t>
    <phoneticPr fontId="2" type="noConversion"/>
  </si>
  <si>
    <t>ld_rd_pointer [8:0]</t>
    <phoneticPr fontId="2" type="noConversion"/>
  </si>
  <si>
    <t>LD DIFFERENCE POINTER</t>
    <phoneticPr fontId="2" type="noConversion"/>
  </si>
  <si>
    <t>ld_diff_pointer [5:0]</t>
    <phoneticPr fontId="2" type="noConversion"/>
  </si>
  <si>
    <t>LD START POINTER/TH</t>
    <phoneticPr fontId="2" type="noConversion"/>
  </si>
  <si>
    <t>ld_rd_start_pointer [5:0]</t>
    <phoneticPr fontId="2" type="noConversion"/>
  </si>
  <si>
    <t>int_ld_sign</t>
    <phoneticPr fontId="2" type="noConversion"/>
  </si>
  <si>
    <t>ld_diff_threshold [5:0]</t>
    <phoneticPr fontId="2" type="noConversion"/>
  </si>
  <si>
    <t>LOCAL WRITE TRANSFER POINTER</t>
    <phoneticPr fontId="2" type="noConversion"/>
  </si>
  <si>
    <t>local_wr_transfer_read_pointer [5:0]</t>
    <phoneticPr fontId="2" type="noConversion"/>
  </si>
  <si>
    <t>local_wr_transfer_write_pointer [5:0]</t>
    <phoneticPr fontId="2" type="noConversion"/>
  </si>
  <si>
    <t>LOCAL READ RECEIVE POINTER</t>
    <phoneticPr fontId="2" type="noConversion"/>
  </si>
  <si>
    <t>local_rd_receive_read_pointer [5:0]</t>
    <phoneticPr fontId="2" type="noConversion"/>
  </si>
  <si>
    <t>local_rd_receive_write_pointer [5:0]</t>
    <phoneticPr fontId="2" type="noConversion"/>
  </si>
  <si>
    <t>LOCAL RW DIFFERENCE POINTER</t>
    <phoneticPr fontId="2" type="noConversion"/>
  </si>
  <si>
    <t>local_rd_receive_diff_pointer [5:0]</t>
    <phoneticPr fontId="2" type="noConversion"/>
  </si>
  <si>
    <t>local_wr_transfer_diff_pointer [5:0]</t>
    <phoneticPr fontId="2" type="noConversion"/>
  </si>
  <si>
    <t>LOCAL RW POINTER RESET</t>
    <phoneticPr fontId="2" type="noConversion"/>
  </si>
  <si>
    <t>wo</t>
    <phoneticPr fontId="2" type="noConversion"/>
  </si>
  <si>
    <t>0x11</t>
  </si>
  <si>
    <t>local_receive_pointer_rst</t>
    <phoneticPr fontId="2" type="noConversion"/>
  </si>
  <si>
    <t>local_transfer_pointer_rst</t>
    <phoneticPr fontId="2" type="noConversion"/>
  </si>
  <si>
    <t>FAULT AUTO READ INTERVAL</t>
    <phoneticPr fontId="2" type="noConversion"/>
  </si>
  <si>
    <t>fault_auto_rd_interval [15:0]</t>
    <phoneticPr fontId="2" type="noConversion"/>
  </si>
  <si>
    <t>FAULT AUTO READ EVENT</t>
    <phoneticPr fontId="2" type="noConversion"/>
  </si>
  <si>
    <t>fault_auto_rd_timer_event [7:0]</t>
    <phoneticPr fontId="2" type="noConversion"/>
  </si>
  <si>
    <t>fault_auto_rd_interval [16]</t>
    <phoneticPr fontId="2" type="noConversion"/>
  </si>
  <si>
    <t>SERIALIZER CLOCK GEN</t>
    <phoneticPr fontId="2" type="noConversion"/>
  </si>
  <si>
    <t>INTERRUPT ENABLE</t>
    <phoneticPr fontId="2" type="noConversion"/>
  </si>
  <si>
    <t>int_timeout_err_en</t>
    <phoneticPr fontId="2" type="noConversion"/>
  </si>
  <si>
    <t>int_fault_rec_fail_en</t>
    <phoneticPr fontId="2" type="noConversion"/>
  </si>
  <si>
    <t>int_fault_auto_rec_fail_en</t>
    <phoneticPr fontId="2" type="noConversion"/>
  </si>
  <si>
    <t>int_rd_rec_fail_en</t>
    <phoneticPr fontId="2" type="noConversion"/>
  </si>
  <si>
    <t>int_ld_en</t>
    <phoneticPr fontId="2" type="noConversion"/>
  </si>
  <si>
    <t>int_thermal_en</t>
    <phoneticPr fontId="2" type="noConversion"/>
  </si>
  <si>
    <t>int_short_en</t>
    <phoneticPr fontId="2" type="noConversion"/>
  </si>
  <si>
    <t>int_open_en</t>
    <phoneticPr fontId="2" type="noConversion"/>
  </si>
  <si>
    <t>int_fb_en</t>
    <phoneticPr fontId="2" type="noConversion"/>
  </si>
  <si>
    <t>COMMAND STATUS 1</t>
    <phoneticPr fontId="2" type="noConversion"/>
  </si>
  <si>
    <t>local_r_done</t>
    <phoneticPr fontId="2" type="noConversion"/>
  </si>
  <si>
    <t>local_r_doing</t>
    <phoneticPr fontId="2" type="noConversion"/>
  </si>
  <si>
    <t>local_w_done</t>
    <phoneticPr fontId="2" type="noConversion"/>
  </si>
  <si>
    <t>local_w_doing</t>
    <phoneticPr fontId="2" type="noConversion"/>
  </si>
  <si>
    <t>glbl_w_done</t>
    <phoneticPr fontId="2" type="noConversion"/>
  </si>
  <si>
    <t>glbl_w_doing</t>
    <phoneticPr fontId="2" type="noConversion"/>
  </si>
  <si>
    <t>ld_done</t>
    <phoneticPr fontId="2" type="noConversion"/>
  </si>
  <si>
    <t>ld_doing</t>
    <phoneticPr fontId="2" type="noConversion"/>
  </si>
  <si>
    <t>fault_done</t>
    <phoneticPr fontId="2" type="noConversion"/>
  </si>
  <si>
    <t>fault_doing</t>
    <phoneticPr fontId="2" type="noConversion"/>
  </si>
  <si>
    <t>fault_auto_done</t>
    <phoneticPr fontId="2" type="noConversion"/>
  </si>
  <si>
    <t>fault_auto_doing</t>
    <phoneticPr fontId="2" type="noConversion"/>
  </si>
  <si>
    <t>sync_auto_done</t>
    <phoneticPr fontId="2" type="noConversion"/>
  </si>
  <si>
    <t>sync_auto_doing</t>
    <phoneticPr fontId="2" type="noConversion"/>
  </si>
  <si>
    <t>sync_done</t>
    <phoneticPr fontId="2" type="noConversion"/>
  </si>
  <si>
    <t>sync_doing</t>
    <phoneticPr fontId="2" type="noConversion"/>
  </si>
  <si>
    <t>COMMAND STATUS 2</t>
    <phoneticPr fontId="2" type="noConversion"/>
  </si>
  <si>
    <t>0x17</t>
  </si>
  <si>
    <t>id_done</t>
    <phoneticPr fontId="2" type="noConversion"/>
  </si>
  <si>
    <t>id_doing</t>
    <phoneticPr fontId="2" type="noConversion"/>
  </si>
  <si>
    <t>RECEIVE STATUS</t>
    <phoneticPr fontId="2" type="noConversion"/>
  </si>
  <si>
    <t>0x18</t>
  </si>
  <si>
    <t>fault_receive_fail</t>
    <phoneticPr fontId="2" type="noConversion"/>
  </si>
  <si>
    <t>fault_auto_rec_fail</t>
    <phoneticPr fontId="2" type="noConversion"/>
  </si>
  <si>
    <t>rd_receive_fail</t>
    <phoneticPr fontId="2" type="noConversion"/>
  </si>
  <si>
    <t>timeout_err</t>
    <phoneticPr fontId="2" type="noConversion"/>
  </si>
  <si>
    <t>fault_receive_done</t>
    <phoneticPr fontId="2" type="noConversion"/>
  </si>
  <si>
    <t>fault_receive_doing</t>
    <phoneticPr fontId="2" type="noConversion"/>
  </si>
  <si>
    <t>fault_auto_rec_done</t>
    <phoneticPr fontId="2" type="noConversion"/>
  </si>
  <si>
    <t>fault_auto_rec_doing</t>
    <phoneticPr fontId="2" type="noConversion"/>
  </si>
  <si>
    <t>rd_receive_done</t>
    <phoneticPr fontId="2" type="noConversion"/>
  </si>
  <si>
    <t>rd_receive_doing</t>
    <phoneticPr fontId="2" type="noConversion"/>
  </si>
  <si>
    <t>INTERRUPT STATUS</t>
    <phoneticPr fontId="2" type="noConversion"/>
  </si>
  <si>
    <t>0x19</t>
  </si>
  <si>
    <t>int_timeout_err
_source</t>
    <phoneticPr fontId="2" type="noConversion"/>
  </si>
  <si>
    <t>int_fault_rec_fail
_source</t>
    <phoneticPr fontId="2" type="noConversion"/>
  </si>
  <si>
    <t>int_fault_auto_rec_fail
_source</t>
    <phoneticPr fontId="2" type="noConversion"/>
  </si>
  <si>
    <t>int_rd_rec_fail
_source</t>
    <phoneticPr fontId="2" type="noConversion"/>
  </si>
  <si>
    <t>int_ld_source</t>
    <phoneticPr fontId="2" type="noConversion"/>
  </si>
  <si>
    <t>int_thermal_source</t>
    <phoneticPr fontId="2" type="noConversion"/>
  </si>
  <si>
    <t>int_short_source</t>
    <phoneticPr fontId="2" type="noConversion"/>
  </si>
  <si>
    <t>int_open_source</t>
    <phoneticPr fontId="2" type="noConversion"/>
  </si>
  <si>
    <t>int_fb_source</t>
    <phoneticPr fontId="2" type="noConversion"/>
  </si>
  <si>
    <t>0x1A</t>
    <phoneticPr fontId="2" type="noConversion"/>
  </si>
  <si>
    <t>cmd_latency  [7:0]</t>
    <phoneticPr fontId="2" type="noConversion"/>
  </si>
  <si>
    <t>DAISIED DEVICE CH SIZE 1</t>
    <phoneticPr fontId="2" type="noConversion"/>
  </si>
  <si>
    <t>0x20</t>
    <phoneticPr fontId="2" type="noConversion"/>
  </si>
  <si>
    <t>daisied_dev_ch_size3[4:0]</t>
    <phoneticPr fontId="2" type="noConversion"/>
  </si>
  <si>
    <t>daisied_dev_ch_size2[4:0]</t>
    <phoneticPr fontId="2" type="noConversion"/>
  </si>
  <si>
    <t>daisied_dev_ch_size1 [4:0]</t>
    <phoneticPr fontId="2" type="noConversion"/>
  </si>
  <si>
    <t>DAISIED DEVICE CH SIZE 2</t>
  </si>
  <si>
    <t>daisied_dev_ch_size6[4:0]</t>
    <phoneticPr fontId="2" type="noConversion"/>
  </si>
  <si>
    <t>daisied_dev_ch_size5[4:0]</t>
    <phoneticPr fontId="2" type="noConversion"/>
  </si>
  <si>
    <t>daisied_dev_ch_size4[4:0]</t>
    <phoneticPr fontId="2" type="noConversion"/>
  </si>
  <si>
    <t>DAISIED DEVICE CH SIZE 3</t>
  </si>
  <si>
    <t>daisied_dev_ch_size9[4:0]</t>
    <phoneticPr fontId="2" type="noConversion"/>
  </si>
  <si>
    <t>daisied_dev_ch_size8[4:0]</t>
    <phoneticPr fontId="2" type="noConversion"/>
  </si>
  <si>
    <t>daisied_dev_ch_size7[4:0]</t>
    <phoneticPr fontId="2" type="noConversion"/>
  </si>
  <si>
    <t>DAISIED DEVICE CH SIZE 4</t>
  </si>
  <si>
    <t>daisied_dev_ch_size12[4:0]</t>
    <phoneticPr fontId="2" type="noConversion"/>
  </si>
  <si>
    <t>daisied_dev_ch_size11[4:0]</t>
    <phoneticPr fontId="2" type="noConversion"/>
  </si>
  <si>
    <t>daisied_dev_ch_size10[4:0]</t>
    <phoneticPr fontId="2" type="noConversion"/>
  </si>
  <si>
    <t>DAISIED DEVICE CH SIZE 5</t>
  </si>
  <si>
    <t>daisied_dev_ch_size15[4:0]</t>
    <phoneticPr fontId="2" type="noConversion"/>
  </si>
  <si>
    <t>daisied_dev_ch_size14[4:0]</t>
    <phoneticPr fontId="2" type="noConversion"/>
  </si>
  <si>
    <t>daisied_dev_ch_size13[4:0]</t>
    <phoneticPr fontId="2" type="noConversion"/>
  </si>
  <si>
    <t>DAISIED DEVICE CH SIZE 6</t>
  </si>
  <si>
    <t>daisied_dev_ch_size18[4:0]</t>
    <phoneticPr fontId="2" type="noConversion"/>
  </si>
  <si>
    <t>daisied_dev_ch_size17[4:0]</t>
    <phoneticPr fontId="2" type="noConversion"/>
  </si>
  <si>
    <t>daisied_dev_ch_size16[4:0]</t>
    <phoneticPr fontId="2" type="noConversion"/>
  </si>
  <si>
    <t>DAISIED DEVICE CH SIZE 7</t>
  </si>
  <si>
    <t>daisied_dev_ch_size21[4:0]</t>
    <phoneticPr fontId="2" type="noConversion"/>
  </si>
  <si>
    <t>daisied_dev_ch_size20[4:0]</t>
    <phoneticPr fontId="2" type="noConversion"/>
  </si>
  <si>
    <t>daisied_dev_ch_size19[4:0]</t>
    <phoneticPr fontId="2" type="noConversion"/>
  </si>
  <si>
    <t>DAISIED DEVICE CH SIZE 8</t>
  </si>
  <si>
    <t>daisied_dev_ch_size24[4:0]</t>
    <phoneticPr fontId="2" type="noConversion"/>
  </si>
  <si>
    <t>daisied_dev_ch_size23[4:0]</t>
    <phoneticPr fontId="2" type="noConversion"/>
  </si>
  <si>
    <t>daisied_dev_ch_size22[4:0]</t>
    <phoneticPr fontId="2" type="noConversion"/>
  </si>
  <si>
    <t>DAISY SIZE 1</t>
    <phoneticPr fontId="2" type="noConversion"/>
  </si>
  <si>
    <t>0x30</t>
    <phoneticPr fontId="2" type="noConversion"/>
  </si>
  <si>
    <t>daisy_size_ch3[4:0]</t>
    <phoneticPr fontId="2" type="noConversion"/>
  </si>
  <si>
    <t>daisy_size_ch2[4:0]</t>
    <phoneticPr fontId="2" type="noConversion"/>
  </si>
  <si>
    <t>daisy_size_ch1[4:0]</t>
    <phoneticPr fontId="2" type="noConversion"/>
  </si>
  <si>
    <t>DAISY SIZE 2</t>
  </si>
  <si>
    <t>0x31</t>
  </si>
  <si>
    <t>daisy_size_ch6[4:0]</t>
    <phoneticPr fontId="2" type="noConversion"/>
  </si>
  <si>
    <t>daisy_size_ch5[4:0]</t>
    <phoneticPr fontId="2" type="noConversion"/>
  </si>
  <si>
    <t>daisy_size_ch4[4:0]</t>
    <phoneticPr fontId="2" type="noConversion"/>
  </si>
  <si>
    <t>DAISY SIZE 3</t>
  </si>
  <si>
    <t>0x32</t>
  </si>
  <si>
    <t>daisy_size_ch9[4:0]</t>
    <phoneticPr fontId="2" type="noConversion"/>
  </si>
  <si>
    <t>daisy_size_ch8[4:0]</t>
    <phoneticPr fontId="2" type="noConversion"/>
  </si>
  <si>
    <t>daisy_size_ch7[4:0]</t>
    <phoneticPr fontId="2" type="noConversion"/>
  </si>
  <si>
    <t>DAISY SIZE 4</t>
  </si>
  <si>
    <t>0x33</t>
  </si>
  <si>
    <t>daisy_size_ch12[4:0]</t>
    <phoneticPr fontId="2" type="noConversion"/>
  </si>
  <si>
    <t>daisy_size_ch11[4:0]</t>
    <phoneticPr fontId="2" type="noConversion"/>
  </si>
  <si>
    <t>daisy_size_ch10[4:0]</t>
    <phoneticPr fontId="2" type="noConversion"/>
  </si>
  <si>
    <t>DAISY SIZE 5</t>
  </si>
  <si>
    <t>0x34</t>
  </si>
  <si>
    <t>daisy_size_ch15[4:0]</t>
    <phoneticPr fontId="2" type="noConversion"/>
  </si>
  <si>
    <t>daisy_size_ch14[4:0]</t>
    <phoneticPr fontId="2" type="noConversion"/>
  </si>
  <si>
    <t>daisy_size_ch13[4:0]</t>
    <phoneticPr fontId="2" type="noConversion"/>
  </si>
  <si>
    <t>DAISY SIZE 6</t>
  </si>
  <si>
    <t>0x35</t>
  </si>
  <si>
    <t>daisy_size_ch18[4:0]</t>
    <phoneticPr fontId="2" type="noConversion"/>
  </si>
  <si>
    <t>daisy_size_ch17[4:0]</t>
    <phoneticPr fontId="2" type="noConversion"/>
  </si>
  <si>
    <t>daisy_size_ch16[4:0]</t>
    <phoneticPr fontId="2" type="noConversion"/>
  </si>
  <si>
    <t>DAISY SIZE 7</t>
  </si>
  <si>
    <t>0x36</t>
  </si>
  <si>
    <t>daisy_size_ch21[4:0]</t>
    <phoneticPr fontId="2" type="noConversion"/>
  </si>
  <si>
    <t>daisy_size_ch20[4:0]</t>
    <phoneticPr fontId="2" type="noConversion"/>
  </si>
  <si>
    <t>daisy_size_ch19[4:0]</t>
    <phoneticPr fontId="2" type="noConversion"/>
  </si>
  <si>
    <t>DAISY SIZE 8</t>
  </si>
  <si>
    <t>0x37</t>
  </si>
  <si>
    <t>daisy_size_ch24[4:0]</t>
    <phoneticPr fontId="2" type="noConversion"/>
  </si>
  <si>
    <t>daisy_size_ch23[4:0]</t>
    <phoneticPr fontId="2" type="noConversion"/>
  </si>
  <si>
    <t>daisy_size_ch22[4:0]</t>
    <phoneticPr fontId="2" type="noConversion"/>
  </si>
  <si>
    <t>BLOCK SIZE 1</t>
    <phoneticPr fontId="2" type="noConversion"/>
  </si>
  <si>
    <t>0x38</t>
  </si>
  <si>
    <t>block_size_ch2 [7:0]</t>
    <phoneticPr fontId="2" type="noConversion"/>
  </si>
  <si>
    <t>block_size_ch1 [7:0]</t>
    <phoneticPr fontId="2" type="noConversion"/>
  </si>
  <si>
    <t>BLOCK SIZE 2</t>
  </si>
  <si>
    <t>0x39</t>
  </si>
  <si>
    <t>block_size_ch4 [7:0]</t>
    <phoneticPr fontId="2" type="noConversion"/>
  </si>
  <si>
    <t>block_size_ch3 [7:0]</t>
    <phoneticPr fontId="2" type="noConversion"/>
  </si>
  <si>
    <t>BLOCK SIZE 3</t>
  </si>
  <si>
    <t>block_size_ch6 [7:0]</t>
    <phoneticPr fontId="2" type="noConversion"/>
  </si>
  <si>
    <t>block_size_ch5 [7:0]</t>
    <phoneticPr fontId="2" type="noConversion"/>
  </si>
  <si>
    <t>BLOCK SIZE 4</t>
  </si>
  <si>
    <t>block_size_ch8 [7:0]</t>
    <phoneticPr fontId="2" type="noConversion"/>
  </si>
  <si>
    <t>block_size_ch7 [7:0]</t>
    <phoneticPr fontId="2" type="noConversion"/>
  </si>
  <si>
    <t>BLOCK SIZE 5</t>
  </si>
  <si>
    <t>block_size_ch10 [7:0]</t>
    <phoneticPr fontId="2" type="noConversion"/>
  </si>
  <si>
    <t>block_size_ch9 [7:0]</t>
    <phoneticPr fontId="2" type="noConversion"/>
  </si>
  <si>
    <t>BLOCK SIZE 6</t>
  </si>
  <si>
    <t>block_size_ch12 [7:0]</t>
    <phoneticPr fontId="2" type="noConversion"/>
  </si>
  <si>
    <t>block_size_ch11 [7:0]</t>
    <phoneticPr fontId="2" type="noConversion"/>
  </si>
  <si>
    <t>BLOCK SIZE 7</t>
  </si>
  <si>
    <t>block_size_ch14 [7:0]</t>
    <phoneticPr fontId="2" type="noConversion"/>
  </si>
  <si>
    <t>block_size_ch13 [7:0]</t>
    <phoneticPr fontId="2" type="noConversion"/>
  </si>
  <si>
    <t>BLOCK SIZE 8</t>
  </si>
  <si>
    <t>block_size_ch16 [7:0]</t>
    <phoneticPr fontId="2" type="noConversion"/>
  </si>
  <si>
    <t>block_size_ch15 [7:0]</t>
    <phoneticPr fontId="2" type="noConversion"/>
  </si>
  <si>
    <t>BLOCK SIZE 9</t>
  </si>
  <si>
    <t>0x40</t>
    <phoneticPr fontId="2" type="noConversion"/>
  </si>
  <si>
    <t>block_size_ch18 [7:0]</t>
    <phoneticPr fontId="2" type="noConversion"/>
  </si>
  <si>
    <t>block_size_ch17 [7:0]</t>
    <phoneticPr fontId="2" type="noConversion"/>
  </si>
  <si>
    <t>BLOCK SIZE 10</t>
  </si>
  <si>
    <t>0x41</t>
  </si>
  <si>
    <t>block_size_ch20 [7:0]</t>
    <phoneticPr fontId="2" type="noConversion"/>
  </si>
  <si>
    <t>block_size_ch19 [7:0]</t>
    <phoneticPr fontId="2" type="noConversion"/>
  </si>
  <si>
    <t>BLOCK SIZE 11</t>
  </si>
  <si>
    <t>0x42</t>
  </si>
  <si>
    <t>block_size_ch22 [7:0]</t>
    <phoneticPr fontId="2" type="noConversion"/>
  </si>
  <si>
    <t>block_size_ch21 [7:0]</t>
    <phoneticPr fontId="2" type="noConversion"/>
  </si>
  <si>
    <t>BLOCK SIZE 12</t>
  </si>
  <si>
    <t>0x43</t>
  </si>
  <si>
    <t>block_size_ch24 [7:0]</t>
    <phoneticPr fontId="2" type="noConversion"/>
  </si>
  <si>
    <t>block_size_ch23 [7:0]</t>
    <phoneticPr fontId="2" type="noConversion"/>
  </si>
  <si>
    <t>CHANNEL ENALBE 1</t>
    <phoneticPr fontId="2" type="noConversion"/>
  </si>
  <si>
    <t>0x45</t>
  </si>
  <si>
    <t>ch16_en</t>
    <phoneticPr fontId="2" type="noConversion"/>
  </si>
  <si>
    <t>ch15_en</t>
    <phoneticPr fontId="2" type="noConversion"/>
  </si>
  <si>
    <t>ch14_en</t>
    <phoneticPr fontId="2" type="noConversion"/>
  </si>
  <si>
    <t>ch13_en</t>
    <phoneticPr fontId="2" type="noConversion"/>
  </si>
  <si>
    <t>ch12_en</t>
    <phoneticPr fontId="2" type="noConversion"/>
  </si>
  <si>
    <t>ch11_en</t>
    <phoneticPr fontId="2" type="noConversion"/>
  </si>
  <si>
    <t>ch10_en</t>
    <phoneticPr fontId="2" type="noConversion"/>
  </si>
  <si>
    <t>ch9_en</t>
    <phoneticPr fontId="2" type="noConversion"/>
  </si>
  <si>
    <t>ch8_en</t>
    <phoneticPr fontId="2" type="noConversion"/>
  </si>
  <si>
    <t>ch7_en</t>
    <phoneticPr fontId="2" type="noConversion"/>
  </si>
  <si>
    <t>ch6_en</t>
    <phoneticPr fontId="2" type="noConversion"/>
  </si>
  <si>
    <t>ch5_en</t>
    <phoneticPr fontId="2" type="noConversion"/>
  </si>
  <si>
    <t>ch4_en</t>
    <phoneticPr fontId="2" type="noConversion"/>
  </si>
  <si>
    <t>ch3_en</t>
    <phoneticPr fontId="2" type="noConversion"/>
  </si>
  <si>
    <t>ch2_en</t>
    <phoneticPr fontId="2" type="noConversion"/>
  </si>
  <si>
    <t>ch1_en</t>
    <phoneticPr fontId="2" type="noConversion"/>
  </si>
  <si>
    <t>CHANNEL ENABLE 2</t>
    <phoneticPr fontId="2" type="noConversion"/>
  </si>
  <si>
    <t>0x46</t>
  </si>
  <si>
    <t>ld_width [1:0]</t>
    <phoneticPr fontId="2" type="noConversion"/>
  </si>
  <si>
    <t>ch_size [4:0]</t>
    <phoneticPr fontId="2" type="noConversion"/>
  </si>
  <si>
    <t>ch24_en</t>
    <phoneticPr fontId="2" type="noConversion"/>
  </si>
  <si>
    <t>ch23_en</t>
    <phoneticPr fontId="2" type="noConversion"/>
  </si>
  <si>
    <t>ch22_en</t>
    <phoneticPr fontId="2" type="noConversion"/>
  </si>
  <si>
    <t>ch21_en</t>
    <phoneticPr fontId="2" type="noConversion"/>
  </si>
  <si>
    <t>ch20_en</t>
    <phoneticPr fontId="2" type="noConversion"/>
  </si>
  <si>
    <t>ch19_en</t>
    <phoneticPr fontId="2" type="noConversion"/>
  </si>
  <si>
    <t>ch18_en</t>
    <phoneticPr fontId="2" type="noConversion"/>
  </si>
  <si>
    <t>ch17_en</t>
    <phoneticPr fontId="2" type="noConversion"/>
  </si>
  <si>
    <t>GLOBAL DATA PORT</t>
    <phoneticPr fontId="2" type="noConversion"/>
  </si>
  <si>
    <t>GLOBAL WRITE DATA</t>
    <phoneticPr fontId="2" type="noConversion"/>
  </si>
  <si>
    <t>0x60</t>
    <phoneticPr fontId="2" type="noConversion"/>
  </si>
  <si>
    <t>data[11:0]</t>
    <phoneticPr fontId="2" type="noConversion"/>
  </si>
  <si>
    <t>GLOBAL FAULT READ DATA1</t>
    <phoneticPr fontId="2" type="noConversion"/>
  </si>
  <si>
    <t>0x61</t>
  </si>
  <si>
    <t>fault_ch4 [3:0]</t>
    <phoneticPr fontId="2" type="noConversion"/>
  </si>
  <si>
    <t>fault_ch3 [3:0]</t>
    <phoneticPr fontId="2" type="noConversion"/>
  </si>
  <si>
    <t>fault_ch2 [3:0]</t>
    <phoneticPr fontId="2" type="noConversion"/>
  </si>
  <si>
    <t>fault_ch1 [3:0]</t>
    <phoneticPr fontId="2" type="noConversion"/>
  </si>
  <si>
    <t>GLOBAL FAULT READ DATA2</t>
    <phoneticPr fontId="2" type="noConversion"/>
  </si>
  <si>
    <t>0x62</t>
  </si>
  <si>
    <t>fault_ch8 [3:0]</t>
    <phoneticPr fontId="2" type="noConversion"/>
  </si>
  <si>
    <t>fault_ch7 [3:0]</t>
    <phoneticPr fontId="2" type="noConversion"/>
  </si>
  <si>
    <t>fault_ch6 [3:0]</t>
    <phoneticPr fontId="2" type="noConversion"/>
  </si>
  <si>
    <t>fault_ch5 [3:0]</t>
    <phoneticPr fontId="2" type="noConversion"/>
  </si>
  <si>
    <t>GLOBAL FAULT READ DATA3</t>
    <phoneticPr fontId="2" type="noConversion"/>
  </si>
  <si>
    <t>0x63</t>
  </si>
  <si>
    <t>fault_ch12 [3:0]</t>
    <phoneticPr fontId="2" type="noConversion"/>
  </si>
  <si>
    <t>fault_ch11 [3:0]</t>
    <phoneticPr fontId="2" type="noConversion"/>
  </si>
  <si>
    <t>fault_ch10 [3:0]</t>
    <phoneticPr fontId="2" type="noConversion"/>
  </si>
  <si>
    <t>fault_ch9 [3:0]</t>
    <phoneticPr fontId="2" type="noConversion"/>
  </si>
  <si>
    <t>GLOBAL FAULT READ DATA4</t>
    <phoneticPr fontId="2" type="noConversion"/>
  </si>
  <si>
    <t>0x64</t>
  </si>
  <si>
    <t>fault_ch16 [3:0]</t>
    <phoneticPr fontId="2" type="noConversion"/>
  </si>
  <si>
    <t>fault_ch15 [3:0]</t>
    <phoneticPr fontId="2" type="noConversion"/>
  </si>
  <si>
    <t>fault_ch14 [3:0]</t>
    <phoneticPr fontId="2" type="noConversion"/>
  </si>
  <si>
    <t>fault_ch13 [3:0]</t>
    <phoneticPr fontId="2" type="noConversion"/>
  </si>
  <si>
    <t>GLOBAL FAULT READ DATA5</t>
    <phoneticPr fontId="2" type="noConversion"/>
  </si>
  <si>
    <t>0x65</t>
  </si>
  <si>
    <t>fault_ch20 [3:0]</t>
    <phoneticPr fontId="2" type="noConversion"/>
  </si>
  <si>
    <t>fault_ch19 [3:0]</t>
    <phoneticPr fontId="2" type="noConversion"/>
  </si>
  <si>
    <t>fault_ch18 [3:0]</t>
    <phoneticPr fontId="2" type="noConversion"/>
  </si>
  <si>
    <t>fault_ch17 [3:0]</t>
    <phoneticPr fontId="2" type="noConversion"/>
  </si>
  <si>
    <t>GLOBAL FAULT READ DATA6</t>
    <phoneticPr fontId="2" type="noConversion"/>
  </si>
  <si>
    <t>0x66</t>
  </si>
  <si>
    <t>fault_ch24 [3:0]</t>
    <phoneticPr fontId="2" type="noConversion"/>
  </si>
  <si>
    <t>fault_ch23 [3:0]</t>
    <phoneticPr fontId="2" type="noConversion"/>
  </si>
  <si>
    <t>fault_ch22 [3:0]</t>
    <phoneticPr fontId="2" type="noConversion"/>
  </si>
  <si>
    <t>fault_ch21 [3:0]</t>
    <phoneticPr fontId="2" type="noConversion"/>
  </si>
  <si>
    <t>LOCAL DATA PORT</t>
    <phoneticPr fontId="2" type="noConversion"/>
  </si>
  <si>
    <t>PORT1 LOCAL RW DATA1</t>
    <phoneticPr fontId="2" type="noConversion"/>
  </si>
  <si>
    <t>0x70</t>
    <phoneticPr fontId="2" type="noConversion"/>
  </si>
  <si>
    <t>PORT2 LOCAL RW DATA1</t>
    <phoneticPr fontId="2" type="noConversion"/>
  </si>
  <si>
    <t>0x71</t>
  </si>
  <si>
    <t>PORT3 LOCAL RW DATA1</t>
    <phoneticPr fontId="2" type="noConversion"/>
  </si>
  <si>
    <t>0x72</t>
  </si>
  <si>
    <t>data[11:0]</t>
  </si>
  <si>
    <t>PORT4 LOCAL RW DATA1</t>
    <phoneticPr fontId="2" type="noConversion"/>
  </si>
  <si>
    <t>0x73</t>
  </si>
  <si>
    <t>PORT5 LOCAL RW DATA1</t>
    <phoneticPr fontId="2" type="noConversion"/>
  </si>
  <si>
    <t>0x74</t>
  </si>
  <si>
    <t>PORT6 LOCAL RW DATA1</t>
    <phoneticPr fontId="2" type="noConversion"/>
  </si>
  <si>
    <t>0x75</t>
  </si>
  <si>
    <t>PORT7 LOCAL RW DATA1</t>
    <phoneticPr fontId="2" type="noConversion"/>
  </si>
  <si>
    <t>0x76</t>
  </si>
  <si>
    <t>PORT8 LOCAL RW DATA1</t>
    <phoneticPr fontId="2" type="noConversion"/>
  </si>
  <si>
    <t>0x77</t>
  </si>
  <si>
    <t>PORT1 LOCAL RW DATA2</t>
    <phoneticPr fontId="2" type="noConversion"/>
  </si>
  <si>
    <t>0x78</t>
  </si>
  <si>
    <t>PORT2 LOCAL RW DATA2</t>
    <phoneticPr fontId="2" type="noConversion"/>
  </si>
  <si>
    <t>0x79</t>
  </si>
  <si>
    <t>PORT3 LOCAL RW DATA2</t>
    <phoneticPr fontId="2" type="noConversion"/>
  </si>
  <si>
    <t>0x7A</t>
    <phoneticPr fontId="2" type="noConversion"/>
  </si>
  <si>
    <t>PORT4 LOCAL RW DATA2</t>
    <phoneticPr fontId="2" type="noConversion"/>
  </si>
  <si>
    <t>0x7B</t>
    <phoneticPr fontId="2" type="noConversion"/>
  </si>
  <si>
    <t>PORT5 LOCAL RW DATA2</t>
    <phoneticPr fontId="2" type="noConversion"/>
  </si>
  <si>
    <t>0x7C</t>
    <phoneticPr fontId="2" type="noConversion"/>
  </si>
  <si>
    <t>PORT6 LOCAL RW DATA2</t>
    <phoneticPr fontId="2" type="noConversion"/>
  </si>
  <si>
    <t>0x7D</t>
    <phoneticPr fontId="2" type="noConversion"/>
  </si>
  <si>
    <t>PORT7 LOCAL RW DATA2</t>
    <phoneticPr fontId="2" type="noConversion"/>
  </si>
  <si>
    <t>0x7E</t>
    <phoneticPr fontId="2" type="noConversion"/>
  </si>
  <si>
    <t>PORT8 LOCAL RW DATA2</t>
    <phoneticPr fontId="2" type="noConversion"/>
  </si>
  <si>
    <t>0x7F</t>
    <phoneticPr fontId="2" type="noConversion"/>
  </si>
  <si>
    <t>PORT1 LOCAL RW DATA3</t>
    <phoneticPr fontId="2" type="noConversion"/>
  </si>
  <si>
    <t>0x80</t>
    <phoneticPr fontId="2" type="noConversion"/>
  </si>
  <si>
    <t>PORT2 LOCAL RW DATA3</t>
    <phoneticPr fontId="2" type="noConversion"/>
  </si>
  <si>
    <t>0x81</t>
    <phoneticPr fontId="2" type="noConversion"/>
  </si>
  <si>
    <t>PORT3 LOCAL RW DATA3</t>
    <phoneticPr fontId="2" type="noConversion"/>
  </si>
  <si>
    <t>0x82</t>
  </si>
  <si>
    <t>PORT4 LOCAL RW DATA3</t>
    <phoneticPr fontId="2" type="noConversion"/>
  </si>
  <si>
    <t>0x83</t>
  </si>
  <si>
    <t>PORT5 LOCAL RW DATA3</t>
    <phoneticPr fontId="2" type="noConversion"/>
  </si>
  <si>
    <t>0x84</t>
  </si>
  <si>
    <t>PORT6 LOCAL RW DATA3</t>
    <phoneticPr fontId="2" type="noConversion"/>
  </si>
  <si>
    <t>0x85</t>
  </si>
  <si>
    <t>PORT7 LOCAL RW DATA3</t>
    <phoneticPr fontId="2" type="noConversion"/>
  </si>
  <si>
    <t>0x86</t>
  </si>
  <si>
    <t>PORT8 LOCAL RW DATA3</t>
    <phoneticPr fontId="2" type="noConversion"/>
  </si>
  <si>
    <t>0x87</t>
  </si>
  <si>
    <t>PORT1 LOCAL RW DATA4</t>
    <phoneticPr fontId="2" type="noConversion"/>
  </si>
  <si>
    <t>0x88</t>
  </si>
  <si>
    <t>PORT2 LOCAL RW DATA4</t>
    <phoneticPr fontId="2" type="noConversion"/>
  </si>
  <si>
    <t>0x89</t>
  </si>
  <si>
    <t>PORT3 LOCAL RW DATA4</t>
    <phoneticPr fontId="2" type="noConversion"/>
  </si>
  <si>
    <t>0x8A</t>
    <phoneticPr fontId="2" type="noConversion"/>
  </si>
  <si>
    <t>PORT4 LOCAL RW DATA4</t>
    <phoneticPr fontId="2" type="noConversion"/>
  </si>
  <si>
    <t>0x8B</t>
    <phoneticPr fontId="2" type="noConversion"/>
  </si>
  <si>
    <t>PORT5 LOCAL RW DATA4</t>
    <phoneticPr fontId="2" type="noConversion"/>
  </si>
  <si>
    <t>0x8C</t>
    <phoneticPr fontId="2" type="noConversion"/>
  </si>
  <si>
    <t>PORT6 LOCAL RW DATA4</t>
    <phoneticPr fontId="2" type="noConversion"/>
  </si>
  <si>
    <t>0x8D</t>
    <phoneticPr fontId="2" type="noConversion"/>
  </si>
  <si>
    <t>PORT7 LOCAL RW DATA4</t>
    <phoneticPr fontId="2" type="noConversion"/>
  </si>
  <si>
    <t>0x8E</t>
    <phoneticPr fontId="2" type="noConversion"/>
  </si>
  <si>
    <t>PORT8 LOCAL RW DATA4</t>
    <phoneticPr fontId="2" type="noConversion"/>
  </si>
  <si>
    <t>0x8F</t>
    <phoneticPr fontId="2" type="noConversion"/>
  </si>
  <si>
    <t>PORT1 LOCAL RW DATA5</t>
    <phoneticPr fontId="2" type="noConversion"/>
  </si>
  <si>
    <t>0x90</t>
    <phoneticPr fontId="2" type="noConversion"/>
  </si>
  <si>
    <t>PORT2 LOCAL RW DATA5</t>
    <phoneticPr fontId="2" type="noConversion"/>
  </si>
  <si>
    <t>0x91</t>
  </si>
  <si>
    <t>PORT3 LOCAL RW DATA5</t>
    <phoneticPr fontId="2" type="noConversion"/>
  </si>
  <si>
    <t>0x92</t>
  </si>
  <si>
    <t>PORT4 LOCAL RW DATA5</t>
    <phoneticPr fontId="2" type="noConversion"/>
  </si>
  <si>
    <t>0x93</t>
  </si>
  <si>
    <t>PORT5 LOCAL RW DATA5</t>
    <phoneticPr fontId="2" type="noConversion"/>
  </si>
  <si>
    <t>0x94</t>
  </si>
  <si>
    <t>PORT6 LOCAL RW DATA5</t>
    <phoneticPr fontId="2" type="noConversion"/>
  </si>
  <si>
    <t>0x95</t>
  </si>
  <si>
    <t>PORT7 LOCAL RW DATA5</t>
    <phoneticPr fontId="2" type="noConversion"/>
  </si>
  <si>
    <t>0x96</t>
  </si>
  <si>
    <t>PORT8 LOCAL RW DATA5</t>
    <phoneticPr fontId="2" type="noConversion"/>
  </si>
  <si>
    <t>0x97</t>
  </si>
  <si>
    <t>PORT1 LOCAL RW DATA6</t>
    <phoneticPr fontId="2" type="noConversion"/>
  </si>
  <si>
    <t>0x98</t>
  </si>
  <si>
    <t>PORT2 LOCAL RW DATA6</t>
    <phoneticPr fontId="2" type="noConversion"/>
  </si>
  <si>
    <t>0x99</t>
  </si>
  <si>
    <t>PORT3 LOCAL RW DATA6</t>
    <phoneticPr fontId="2" type="noConversion"/>
  </si>
  <si>
    <t>0x9A</t>
    <phoneticPr fontId="2" type="noConversion"/>
  </si>
  <si>
    <t>PORT4 LOCAL RW DATA6</t>
    <phoneticPr fontId="2" type="noConversion"/>
  </si>
  <si>
    <t>0x9B</t>
    <phoneticPr fontId="2" type="noConversion"/>
  </si>
  <si>
    <t>PORT5 LOCAL RW DATA6</t>
    <phoneticPr fontId="2" type="noConversion"/>
  </si>
  <si>
    <t>0x9C</t>
    <phoneticPr fontId="2" type="noConversion"/>
  </si>
  <si>
    <t>PORT6 LOCAL RW DATA6</t>
    <phoneticPr fontId="2" type="noConversion"/>
  </si>
  <si>
    <t>0x9D</t>
    <phoneticPr fontId="2" type="noConversion"/>
  </si>
  <si>
    <t>PORT7 LOCAL RW DATA6</t>
    <phoneticPr fontId="2" type="noConversion"/>
  </si>
  <si>
    <t>0x9E</t>
    <phoneticPr fontId="2" type="noConversion"/>
  </si>
  <si>
    <t>PORT8 LOCAL RW DATA6</t>
    <phoneticPr fontId="2" type="noConversion"/>
  </si>
  <si>
    <t>0x9F</t>
    <phoneticPr fontId="2" type="noConversion"/>
  </si>
  <si>
    <t>PORT1 LOCAL RW DATA7</t>
    <phoneticPr fontId="2" type="noConversion"/>
  </si>
  <si>
    <t>0xA0</t>
    <phoneticPr fontId="2" type="noConversion"/>
  </si>
  <si>
    <t>PORT2 LOCAL RW DATA7</t>
    <phoneticPr fontId="2" type="noConversion"/>
  </si>
  <si>
    <t>0xA1</t>
    <phoneticPr fontId="2" type="noConversion"/>
  </si>
  <si>
    <t>PORT3 LOCAL RW DATA7</t>
    <phoneticPr fontId="2" type="noConversion"/>
  </si>
  <si>
    <t>0xA2</t>
  </si>
  <si>
    <t>PORT4 LOCAL RW DATA7</t>
    <phoneticPr fontId="2" type="noConversion"/>
  </si>
  <si>
    <t>0xA3</t>
  </si>
  <si>
    <t>PORT5 LOCAL RW DATA7</t>
    <phoneticPr fontId="2" type="noConversion"/>
  </si>
  <si>
    <t>0xA4</t>
  </si>
  <si>
    <t>PORT6 LOCAL RW DATA7</t>
    <phoneticPr fontId="2" type="noConversion"/>
  </si>
  <si>
    <t>0xA5</t>
  </si>
  <si>
    <t>PORT7 LOCAL RW DATA7</t>
    <phoneticPr fontId="2" type="noConversion"/>
  </si>
  <si>
    <t>0xA6</t>
  </si>
  <si>
    <t>PORT8 LOCAL RW DATA7</t>
    <phoneticPr fontId="2" type="noConversion"/>
  </si>
  <si>
    <t>0xA7</t>
  </si>
  <si>
    <t>PORT1 LOCAL RW DATA8</t>
    <phoneticPr fontId="2" type="noConversion"/>
  </si>
  <si>
    <t>0xA8</t>
  </si>
  <si>
    <t>PORT2 LOCAL RW DATA8</t>
    <phoneticPr fontId="2" type="noConversion"/>
  </si>
  <si>
    <t>0xA9</t>
  </si>
  <si>
    <t>PORT3 LOCAL RW DATA8</t>
    <phoneticPr fontId="2" type="noConversion"/>
  </si>
  <si>
    <t>0xAA</t>
    <phoneticPr fontId="2" type="noConversion"/>
  </si>
  <si>
    <t>PORT4 LOCAL RW DATA8</t>
    <phoneticPr fontId="2" type="noConversion"/>
  </si>
  <si>
    <t>0xAB</t>
    <phoneticPr fontId="2" type="noConversion"/>
  </si>
  <si>
    <t>PORT5 LOCAL RW DATA8</t>
    <phoneticPr fontId="2" type="noConversion"/>
  </si>
  <si>
    <t>0xAC</t>
    <phoneticPr fontId="2" type="noConversion"/>
  </si>
  <si>
    <t>PORT6 LOCAL RW DATA8</t>
    <phoneticPr fontId="2" type="noConversion"/>
  </si>
  <si>
    <t>0xAD</t>
    <phoneticPr fontId="2" type="noConversion"/>
  </si>
  <si>
    <t>PORT7 LOCAL RW DATA8</t>
    <phoneticPr fontId="2" type="noConversion"/>
  </si>
  <si>
    <t>0xAE</t>
    <phoneticPr fontId="2" type="noConversion"/>
  </si>
  <si>
    <t>PORT8 LOCAL RW DATA8</t>
    <phoneticPr fontId="2" type="noConversion"/>
  </si>
  <si>
    <t>0xAF</t>
    <phoneticPr fontId="2" type="noConversion"/>
  </si>
  <si>
    <t>PORT1 LOCAL RW DATA9</t>
    <phoneticPr fontId="2" type="noConversion"/>
  </si>
  <si>
    <t>0xB0</t>
    <phoneticPr fontId="2" type="noConversion"/>
  </si>
  <si>
    <t>PORT2 LOCAL RW DATA9</t>
    <phoneticPr fontId="2" type="noConversion"/>
  </si>
  <si>
    <t>0xB1</t>
  </si>
  <si>
    <t>PORT3 LOCAL RW DATA9</t>
    <phoneticPr fontId="2" type="noConversion"/>
  </si>
  <si>
    <t>0xB2</t>
  </si>
  <si>
    <t>PORT4 LOCAL RW DATA9</t>
    <phoneticPr fontId="2" type="noConversion"/>
  </si>
  <si>
    <t>0xB3</t>
  </si>
  <si>
    <t>PORT5 LOCAL RW DATA9</t>
    <phoneticPr fontId="2" type="noConversion"/>
  </si>
  <si>
    <t>0xB4</t>
  </si>
  <si>
    <t>PORT6 LOCAL RW DATA9</t>
    <phoneticPr fontId="2" type="noConversion"/>
  </si>
  <si>
    <t>0xB5</t>
  </si>
  <si>
    <t>PORT7 LOCAL RW DATA9</t>
    <phoneticPr fontId="2" type="noConversion"/>
  </si>
  <si>
    <t>0xB6</t>
  </si>
  <si>
    <t>PORT8 LOCAL RW DATA9</t>
    <phoneticPr fontId="2" type="noConversion"/>
  </si>
  <si>
    <t>0xB7</t>
  </si>
  <si>
    <t>PORT1 LOCAL RW DATA10</t>
    <phoneticPr fontId="2" type="noConversion"/>
  </si>
  <si>
    <t>0xB8</t>
  </si>
  <si>
    <t>PORT2 LOCAL RW DATA10</t>
    <phoneticPr fontId="2" type="noConversion"/>
  </si>
  <si>
    <t>0xB9</t>
  </si>
  <si>
    <t>PORT3 LOCAL RW DATA10</t>
    <phoneticPr fontId="2" type="noConversion"/>
  </si>
  <si>
    <t>0xBA</t>
    <phoneticPr fontId="2" type="noConversion"/>
  </si>
  <si>
    <t>PORT4 LOCAL RW DATA10</t>
    <phoneticPr fontId="2" type="noConversion"/>
  </si>
  <si>
    <t>0xBB</t>
    <phoneticPr fontId="2" type="noConversion"/>
  </si>
  <si>
    <t>PORT5 LOCAL RW DATA10</t>
    <phoneticPr fontId="2" type="noConversion"/>
  </si>
  <si>
    <t>0xBC</t>
    <phoneticPr fontId="2" type="noConversion"/>
  </si>
  <si>
    <t>PORT6 LOCAL RW DATA10</t>
    <phoneticPr fontId="2" type="noConversion"/>
  </si>
  <si>
    <t>0xBD</t>
    <phoneticPr fontId="2" type="noConversion"/>
  </si>
  <si>
    <t>PORT7 LOCAL RW DATA10</t>
    <phoneticPr fontId="2" type="noConversion"/>
  </si>
  <si>
    <t>0xBE</t>
    <phoneticPr fontId="2" type="noConversion"/>
  </si>
  <si>
    <t>PORT8 LOCAL RW DATA10</t>
    <phoneticPr fontId="2" type="noConversion"/>
  </si>
  <si>
    <t>0xBF</t>
    <phoneticPr fontId="2" type="noConversion"/>
  </si>
  <si>
    <t>PORT1 LOCAL RW DATA11</t>
    <phoneticPr fontId="2" type="noConversion"/>
  </si>
  <si>
    <t>0xC0</t>
    <phoneticPr fontId="2" type="noConversion"/>
  </si>
  <si>
    <t>PORT2 LOCAL RW DATA11</t>
    <phoneticPr fontId="2" type="noConversion"/>
  </si>
  <si>
    <t>0xC1</t>
    <phoneticPr fontId="2" type="noConversion"/>
  </si>
  <si>
    <t>PORT3 LOCAL RW DATA11</t>
    <phoneticPr fontId="2" type="noConversion"/>
  </si>
  <si>
    <t>0xC2</t>
  </si>
  <si>
    <t>PORT4 LOCAL RW DATA11</t>
    <phoneticPr fontId="2" type="noConversion"/>
  </si>
  <si>
    <t>0xC3</t>
  </si>
  <si>
    <t>PORT5 LOCAL RW DATA11</t>
    <phoneticPr fontId="2" type="noConversion"/>
  </si>
  <si>
    <t>0xC4</t>
  </si>
  <si>
    <t>PORT6 LOCAL RW DATA11</t>
    <phoneticPr fontId="2" type="noConversion"/>
  </si>
  <si>
    <t>0xC5</t>
  </si>
  <si>
    <t>PORT7 LOCAL RW DATA11</t>
    <phoneticPr fontId="2" type="noConversion"/>
  </si>
  <si>
    <t>0xC6</t>
  </si>
  <si>
    <t>PORT8 LOCAL RW DATA11</t>
    <phoneticPr fontId="2" type="noConversion"/>
  </si>
  <si>
    <t>0xC7</t>
  </si>
  <si>
    <t>PORT1 LOCAL RW DATA12</t>
    <phoneticPr fontId="2" type="noConversion"/>
  </si>
  <si>
    <t>0xC8</t>
  </si>
  <si>
    <t>PORT2 LOCAL RW DATA12</t>
    <phoneticPr fontId="2" type="noConversion"/>
  </si>
  <si>
    <t>0xC9</t>
  </si>
  <si>
    <t>PORT3 LOCAL RW DATA12</t>
    <phoneticPr fontId="2" type="noConversion"/>
  </si>
  <si>
    <t>0xCA</t>
    <phoneticPr fontId="2" type="noConversion"/>
  </si>
  <si>
    <t>PORT4 LOCAL RW DATA12</t>
    <phoneticPr fontId="2" type="noConversion"/>
  </si>
  <si>
    <t>0xCB</t>
    <phoneticPr fontId="2" type="noConversion"/>
  </si>
  <si>
    <t>PORT5 LOCAL RW DATA12</t>
    <phoneticPr fontId="2" type="noConversion"/>
  </si>
  <si>
    <t>0xCC</t>
    <phoneticPr fontId="2" type="noConversion"/>
  </si>
  <si>
    <t>PORT6 LOCAL RW DATA12</t>
    <phoneticPr fontId="2" type="noConversion"/>
  </si>
  <si>
    <t>0xCD</t>
    <phoneticPr fontId="2" type="noConversion"/>
  </si>
  <si>
    <t>PORT7 LOCAL RW DATA12</t>
    <phoneticPr fontId="2" type="noConversion"/>
  </si>
  <si>
    <t>0xCE</t>
    <phoneticPr fontId="2" type="noConversion"/>
  </si>
  <si>
    <t>PORT8 LOCAL RW DATA12</t>
    <phoneticPr fontId="2" type="noConversion"/>
  </si>
  <si>
    <t>0xCF</t>
    <phoneticPr fontId="2" type="noConversion"/>
  </si>
  <si>
    <t>PORT1 LOCAL RW DATA13</t>
    <phoneticPr fontId="2" type="noConversion"/>
  </si>
  <si>
    <t>0xD0</t>
    <phoneticPr fontId="2" type="noConversion"/>
  </si>
  <si>
    <t>PORT2 LOCAL RW DATA13</t>
    <phoneticPr fontId="2" type="noConversion"/>
  </si>
  <si>
    <t>0xD1</t>
  </si>
  <si>
    <t>PORT3 LOCAL RW DATA13</t>
    <phoneticPr fontId="2" type="noConversion"/>
  </si>
  <si>
    <t>0xD2</t>
  </si>
  <si>
    <t>PORT4 LOCAL RW DATA13</t>
    <phoneticPr fontId="2" type="noConversion"/>
  </si>
  <si>
    <t>0xD3</t>
  </si>
  <si>
    <t>PORT5 LOCAL RW DATA13</t>
    <phoneticPr fontId="2" type="noConversion"/>
  </si>
  <si>
    <t>0xD4</t>
  </si>
  <si>
    <t>PORT6 LOCAL RW DATA13</t>
    <phoneticPr fontId="2" type="noConversion"/>
  </si>
  <si>
    <t>0xD5</t>
  </si>
  <si>
    <t>PORT7 LOCAL RW DATA13</t>
    <phoneticPr fontId="2" type="noConversion"/>
  </si>
  <si>
    <t>0xD6</t>
  </si>
  <si>
    <t>PORT8 LOCAL RW DATA13</t>
    <phoneticPr fontId="2" type="noConversion"/>
  </si>
  <si>
    <t>0xD7</t>
  </si>
  <si>
    <t>PORT1 LOCAL RW DATA14</t>
    <phoneticPr fontId="2" type="noConversion"/>
  </si>
  <si>
    <t>0xD8</t>
  </si>
  <si>
    <t>PORT2 LOCAL RW DATA14</t>
    <phoneticPr fontId="2" type="noConversion"/>
  </si>
  <si>
    <t>0xD9</t>
  </si>
  <si>
    <t>PORT3 LOCAL RW DATA14</t>
    <phoneticPr fontId="2" type="noConversion"/>
  </si>
  <si>
    <t>0xDA</t>
    <phoneticPr fontId="2" type="noConversion"/>
  </si>
  <si>
    <t>PORT4 LOCAL RW DATA14</t>
    <phoneticPr fontId="2" type="noConversion"/>
  </si>
  <si>
    <t>0xDB</t>
    <phoneticPr fontId="2" type="noConversion"/>
  </si>
  <si>
    <t>PORT5 LOCAL RW DATA14</t>
    <phoneticPr fontId="2" type="noConversion"/>
  </si>
  <si>
    <t>0xDC</t>
    <phoneticPr fontId="2" type="noConversion"/>
  </si>
  <si>
    <t>PORT6 LOCAL RW DATA14</t>
    <phoneticPr fontId="2" type="noConversion"/>
  </si>
  <si>
    <t>0xDD</t>
    <phoneticPr fontId="2" type="noConversion"/>
  </si>
  <si>
    <t>PORT7 LOCAL RW DATA14</t>
    <phoneticPr fontId="2" type="noConversion"/>
  </si>
  <si>
    <t>0xDE</t>
    <phoneticPr fontId="2" type="noConversion"/>
  </si>
  <si>
    <t>PORT8 LOCAL RW DATA14</t>
    <phoneticPr fontId="2" type="noConversion"/>
  </si>
  <si>
    <t>0xDF</t>
    <phoneticPr fontId="2" type="noConversion"/>
  </si>
  <si>
    <t>PORT1 LOCAL RW DATA15</t>
    <phoneticPr fontId="2" type="noConversion"/>
  </si>
  <si>
    <t>0xE0</t>
    <phoneticPr fontId="2" type="noConversion"/>
  </si>
  <si>
    <t>PORT2 LOCAL RW DATA15</t>
    <phoneticPr fontId="2" type="noConversion"/>
  </si>
  <si>
    <t>0xE1</t>
  </si>
  <si>
    <t>PORT3 LOCAL RW DATA15</t>
    <phoneticPr fontId="2" type="noConversion"/>
  </si>
  <si>
    <t>0xE2</t>
  </si>
  <si>
    <t>PORT4 LOCAL RW DATA15</t>
    <phoneticPr fontId="2" type="noConversion"/>
  </si>
  <si>
    <t>0xE3</t>
  </si>
  <si>
    <t>PORT5 LOCAL RW DATA15</t>
    <phoneticPr fontId="2" type="noConversion"/>
  </si>
  <si>
    <t>0xE4</t>
  </si>
  <si>
    <t>PORT6 LOCAL RW DATA15</t>
    <phoneticPr fontId="2" type="noConversion"/>
  </si>
  <si>
    <t>0xE5</t>
  </si>
  <si>
    <t>PORT7 LOCAL RW DATA15</t>
    <phoneticPr fontId="2" type="noConversion"/>
  </si>
  <si>
    <t>0xE6</t>
  </si>
  <si>
    <t>PORT8 LOCAL RW DATA15</t>
    <phoneticPr fontId="2" type="noConversion"/>
  </si>
  <si>
    <t>0xE7</t>
  </si>
  <si>
    <t>PORT1 LOCAL RW DATA16</t>
    <phoneticPr fontId="2" type="noConversion"/>
  </si>
  <si>
    <t>0xE8</t>
  </si>
  <si>
    <t>PORT2 LOCAL RW DATA16</t>
    <phoneticPr fontId="2" type="noConversion"/>
  </si>
  <si>
    <t>0xE9</t>
  </si>
  <si>
    <t>PORT3 LOCAL RW DATA16</t>
    <phoneticPr fontId="2" type="noConversion"/>
  </si>
  <si>
    <t>0xEA</t>
    <phoneticPr fontId="2" type="noConversion"/>
  </si>
  <si>
    <t>PORT4 LOCAL RW DATA16</t>
    <phoneticPr fontId="2" type="noConversion"/>
  </si>
  <si>
    <t>0xEB</t>
    <phoneticPr fontId="2" type="noConversion"/>
  </si>
  <si>
    <t>PORT5 LOCAL RW DATA16</t>
    <phoneticPr fontId="2" type="noConversion"/>
  </si>
  <si>
    <t>0xEC</t>
    <phoneticPr fontId="2" type="noConversion"/>
  </si>
  <si>
    <t>PORT6 LOCAL RW DATA16</t>
    <phoneticPr fontId="2" type="noConversion"/>
  </si>
  <si>
    <t>0xED</t>
    <phoneticPr fontId="2" type="noConversion"/>
  </si>
  <si>
    <t>PORT7 LOCAL RW DATA16</t>
    <phoneticPr fontId="2" type="noConversion"/>
  </si>
  <si>
    <t>0xEE</t>
    <phoneticPr fontId="2" type="noConversion"/>
  </si>
  <si>
    <t>PORT8 LOCAL RW DATA16</t>
    <phoneticPr fontId="2" type="noConversion"/>
  </si>
  <si>
    <t>0xEF</t>
    <phoneticPr fontId="2" type="noConversion"/>
  </si>
  <si>
    <t>4ffb0</t>
    <phoneticPr fontId="2" type="noConversion"/>
  </si>
  <si>
    <t>0xFB0</t>
    <phoneticPr fontId="2" type="noConversion"/>
  </si>
  <si>
    <t>0' original mclk</t>
    <phoneticPr fontId="2" type="noConversion"/>
  </si>
  <si>
    <t>VSYNCO = EXT_VS_E &amp;&amp; ~TEST_E &amp;&amp; VSYNCI</t>
    <phoneticPr fontId="2" type="noConversion"/>
  </si>
  <si>
    <t>(note) FBO_E=1 일 때, FBI pin을 사용하지 않는다면 Pullup or Open시켜야 함 (GND 연결 불가)</t>
    <phoneticPr fontId="2" type="noConversion"/>
  </si>
  <si>
    <t>xc mhz</t>
    <phoneticPr fontId="2" type="noConversion"/>
  </si>
  <si>
    <t>xd mhz</t>
    <phoneticPr fontId="2" type="noConversion"/>
  </si>
  <si>
    <t>Max 1-bit length=(SCLK_HIGH+SCLK_LOW)=127</t>
    <phoneticPr fontId="2" type="noConversion"/>
  </si>
  <si>
    <t>0x318</t>
    <phoneticPr fontId="2" type="noConversion"/>
  </si>
  <si>
    <t>OSC_FLL_MAN [15:12]</t>
    <phoneticPr fontId="2" type="noConversion"/>
  </si>
  <si>
    <t>SCLK_LOW [5:0] default 12ea</t>
    <phoneticPr fontId="2" type="noConversion"/>
  </si>
  <si>
    <t>SCLK_HIGH [5:0] default 24ea</t>
    <phoneticPr fontId="2" type="noConversion"/>
  </si>
  <si>
    <t>when reg readout, output the current status of fault
'FB/OPEN can be asserted at the same time
OPEN : detecting while PWM_OUTx is low
MISS_VS : when MISS_VS_DET_E=1, auto-cleared at a vsync
FB/OPEN/SHORT/THERMAL : auto-cleared after fault-(auto)-read or reg-read</t>
    <phoneticPr fontId="2" type="noConversion"/>
  </si>
  <si>
    <t>O_DET_E</t>
    <phoneticPr fontId="2" type="noConversion"/>
  </si>
  <si>
    <r>
      <t xml:space="preserve">FBx = FB_INx &amp; CHx_EN &amp; (~OPEN_FB_E || ~OPENx &amp; OPEN_FB_E))
</t>
    </r>
    <r>
      <rPr>
        <b/>
        <sz val="11"/>
        <rFont val="맑은 고딕"/>
        <family val="3"/>
        <charset val="129"/>
        <scheme val="minor"/>
      </rPr>
      <t>FB_ALL</t>
    </r>
    <r>
      <rPr>
        <sz val="1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rFont val="맑은 고딕"/>
        <family val="3"/>
        <charset val="129"/>
        <scheme val="minor"/>
      </rPr>
      <t>OPEN_AL</t>
    </r>
    <r>
      <rPr>
        <sz val="1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rFont val="맑은 고딕"/>
        <family val="3"/>
        <charset val="129"/>
        <scheme val="minor"/>
      </rPr>
      <t>SHORT_ALL</t>
    </r>
    <r>
      <rPr>
        <sz val="1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rFont val="맑은 고딕"/>
        <family val="3"/>
        <charset val="129"/>
        <scheme val="minor"/>
      </rPr>
      <t>THERMAL</t>
    </r>
    <r>
      <rPr>
        <sz val="11"/>
        <rFont val="맑은 고딕"/>
        <family val="3"/>
        <charset val="129"/>
        <scheme val="minor"/>
      </rPr>
      <t xml:space="preserve"> = THERMAL_IN</t>
    </r>
    <phoneticPr fontId="2" type="noConversion"/>
  </si>
  <si>
    <t>if the bit high or low length goes over this value,
then the decoder state goes to the idle (for noise pulse or cycle end)</t>
    <phoneticPr fontId="2" type="noConversion"/>
  </si>
  <si>
    <t>MCLK_LOCK_E : mclk_lock_cnt '1' disable and stop ACC input(0), '1' disable
when mclk_lock_cnt==MCLK_LOCK, calculate and auto-stop/start at a vsync</t>
    <phoneticPr fontId="2" type="noConversion"/>
  </si>
  <si>
    <r>
      <t xml:space="preserve">when MISS_VS_LOCK &amp; MISS_VS, stop ACC input(0)
when MISS_VS_DIMM &amp; MISS_VS, PWM_OUT_CHx=1 and max_current_vref=0x1FF fixed
MISS_VS_DET_E : enable detection of missing vsync
PWM_OUT_CHx = </t>
    </r>
    <r>
      <rPr>
        <b/>
        <sz val="11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(MISS_VS_DIMM &amp; MISS_VS) || (TEST_E &amp; PWM_FULL_O) </t>
    </r>
    <r>
      <rPr>
        <b/>
        <sz val="11"/>
        <rFont val="맑은 고딕"/>
        <family val="3"/>
        <charset val="129"/>
        <scheme val="minor"/>
      </rPr>
      <t>)</t>
    </r>
    <r>
      <rPr>
        <sz val="11"/>
        <rFont val="맑은 고딕"/>
        <family val="3"/>
        <charset val="129"/>
        <scheme val="minor"/>
      </rPr>
      <t xml:space="preserve"> &amp; CHx_EN  ? 1'b1 :
        PWM_OUTx &amp; ~</t>
    </r>
    <r>
      <rPr>
        <b/>
        <sz val="11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(O_OFF_E &amp; OPENx) || (S_OFF_E &amp; SHORTx || (T_OFF_E &amp; THERMAL_IN)</t>
    </r>
    <r>
      <rPr>
        <b/>
        <sz val="11"/>
        <rFont val="맑은 고딕"/>
        <family val="3"/>
        <charset val="129"/>
        <scheme val="minor"/>
      </rPr>
      <t xml:space="preserve"> )
</t>
    </r>
    <r>
      <rPr>
        <sz val="11"/>
        <rFont val="맑은 고딕"/>
        <family val="3"/>
        <charset val="129"/>
        <scheme val="minor"/>
      </rPr>
      <t xml:space="preserve">
TIMEOUT_E : TIMEOUT cnt bit = 15-bit (819us)</t>
    </r>
    <phoneticPr fontId="2" type="noConversion"/>
  </si>
  <si>
    <t>despite of normal operation, OT_RD_S can start downloaing</t>
    <phoneticPr fontId="2" type="noConversion"/>
  </si>
  <si>
    <t>LD CONTROL</t>
    <phoneticPr fontId="2" type="noConversion"/>
  </si>
  <si>
    <t>RST/ID</t>
    <phoneticPr fontId="2" type="noConversion"/>
  </si>
  <si>
    <t>0x5A5</t>
    <phoneticPr fontId="2" type="noConversion"/>
  </si>
  <si>
    <t>ld transmit</t>
    <phoneticPr fontId="2" type="noConversion"/>
  </si>
  <si>
    <t>PROTOCOL</t>
    <phoneticPr fontId="2" type="noConversion"/>
  </si>
  <si>
    <t>readout response</t>
    <phoneticPr fontId="2" type="noConversion"/>
  </si>
  <si>
    <t>fault read command</t>
    <phoneticPr fontId="2" type="noConversion"/>
  </si>
  <si>
    <t>fault readout response</t>
    <phoneticPr fontId="2" type="noConversion"/>
  </si>
  <si>
    <t>sync  gen command</t>
    <phoneticPr fontId="2" type="noConversion"/>
  </si>
  <si>
    <t>cmd code [2:0]</t>
    <phoneticPr fontId="2" type="noConversion"/>
  </si>
  <si>
    <t>frame format</t>
    <phoneticPr fontId="2" type="noConversion"/>
  </si>
  <si>
    <t>variation</t>
    <phoneticPr fontId="2" type="noConversion"/>
  </si>
  <si>
    <t>gap</t>
    <phoneticPr fontId="2" type="noConversion"/>
  </si>
  <si>
    <t>XC</t>
    <phoneticPr fontId="2" type="noConversion"/>
  </si>
  <si>
    <t xml:space="preserve">POR Initialize </t>
    <phoneticPr fontId="2" type="noConversion"/>
  </si>
  <si>
    <t>max</t>
    <phoneticPr fontId="2" type="noConversion"/>
  </si>
  <si>
    <t>digital [ea]</t>
    <phoneticPr fontId="2" type="noConversion"/>
  </si>
  <si>
    <t>XD_BFI</t>
    <phoneticPr fontId="2" type="noConversion"/>
  </si>
  <si>
    <t>XD_PWM</t>
    <phoneticPr fontId="2" type="noConversion"/>
  </si>
  <si>
    <t xml:space="preserve"> [mhz]</t>
    <phoneticPr fontId="2" type="noConversion"/>
  </si>
  <si>
    <r>
      <t xml:space="preserve">digital por </t>
    </r>
    <r>
      <rPr>
        <b/>
        <sz val="11"/>
        <color rgb="FF0000FF"/>
        <rFont val="맑은 고딕"/>
        <family val="3"/>
        <charset val="129"/>
        <scheme val="minor"/>
      </rPr>
      <t>after mclk activation</t>
    </r>
    <phoneticPr fontId="2" type="noConversion"/>
  </si>
  <si>
    <t>otp down</t>
    <phoneticPr fontId="2" type="noConversion"/>
  </si>
  <si>
    <t>total wait</t>
    <phoneticPr fontId="2" type="noConversion"/>
  </si>
  <si>
    <t>wait for 1st cmd</t>
    <phoneticPr fontId="2" type="noConversion"/>
  </si>
  <si>
    <t>pwm(max)</t>
    <phoneticPr fontId="2" type="noConversion"/>
  </si>
  <si>
    <t>pwm(typ)</t>
    <phoneticPr fontId="2" type="noConversion"/>
  </si>
  <si>
    <t>XD</t>
    <phoneticPr fontId="2" type="noConversion"/>
  </si>
  <si>
    <t>BDIO to BDDIO delay</t>
    <phoneticPr fontId="2" type="noConversion"/>
  </si>
  <si>
    <t>ns</t>
    <phoneticPr fontId="2" type="noConversion"/>
  </si>
  <si>
    <t>BDDIO to BDIO delay</t>
    <phoneticPr fontId="2" type="noConversion"/>
  </si>
  <si>
    <t>BDIO to BDDIO skew</t>
    <phoneticPr fontId="2" type="noConversion"/>
  </si>
  <si>
    <t>high</t>
    <phoneticPr fontId="2" type="noConversion"/>
  </si>
  <si>
    <t>low</t>
    <phoneticPr fontId="2" type="noConversion"/>
  </si>
  <si>
    <t>#1 dio</t>
    <phoneticPr fontId="2" type="noConversion"/>
  </si>
  <si>
    <t>#1 ddio</t>
    <phoneticPr fontId="2" type="noConversion"/>
  </si>
  <si>
    <t>downstream</t>
    <phoneticPr fontId="2" type="noConversion"/>
  </si>
  <si>
    <t>upstream</t>
    <phoneticPr fontId="2" type="noConversion"/>
  </si>
  <si>
    <t>#1 skew</t>
    <phoneticPr fontId="2" type="noConversion"/>
  </si>
  <si>
    <t>xc mclk</t>
    <phoneticPr fontId="2" type="noConversion"/>
  </si>
  <si>
    <t>daisy</t>
    <phoneticPr fontId="2" type="noConversion"/>
  </si>
  <si>
    <t>#</t>
    <phoneticPr fontId="2" type="noConversion"/>
  </si>
  <si>
    <t>dev</t>
    <phoneticPr fontId="2" type="noConversion"/>
  </si>
  <si>
    <t>skew/dev</t>
    <phoneticPr fontId="2" type="noConversion"/>
  </si>
  <si>
    <t>s high</t>
    <phoneticPr fontId="2" type="noConversion"/>
  </si>
  <si>
    <t>#31 total delay</t>
    <phoneticPr fontId="2" type="noConversion"/>
  </si>
  <si>
    <t>s low</t>
    <phoneticPr fontId="2" type="noConversion"/>
  </si>
  <si>
    <t>#31 dio</t>
    <phoneticPr fontId="2" type="noConversion"/>
  </si>
  <si>
    <t>total skew</t>
    <phoneticPr fontId="2" type="noConversion"/>
  </si>
  <si>
    <t>#31 skew</t>
    <phoneticPr fontId="2" type="noConversion"/>
  </si>
  <si>
    <t>high#</t>
    <phoneticPr fontId="2" type="noConversion"/>
  </si>
  <si>
    <t>low#</t>
    <phoneticPr fontId="2" type="noConversion"/>
  </si>
  <si>
    <t>logic 1</t>
    <phoneticPr fontId="2" type="noConversion"/>
  </si>
  <si>
    <t>logic 0</t>
    <phoneticPr fontId="2" type="noConversion"/>
  </si>
  <si>
    <t>BDDIO to BDIO skew</t>
    <phoneticPr fontId="2" type="noConversion"/>
  </si>
  <si>
    <t>#30 ddio</t>
    <phoneticPr fontId="2" type="noConversion"/>
  </si>
  <si>
    <t>#30 dio</t>
    <phoneticPr fontId="2" type="noConversion"/>
  </si>
  <si>
    <t>#30 skew</t>
    <phoneticPr fontId="2" type="noConversion"/>
  </si>
  <si>
    <t>spl#@last dev</t>
    <phoneticPr fontId="2" type="noConversion"/>
  </si>
  <si>
    <t>#1 delay</t>
    <phoneticPr fontId="2" type="noConversion"/>
  </si>
  <si>
    <t>worst case</t>
    <phoneticPr fontId="2" type="noConversion"/>
  </si>
  <si>
    <t>VSYNCI to VSYNCO delay(max)</t>
    <phoneticPr fontId="2" type="noConversion"/>
  </si>
  <si>
    <t>VSYNCI to VSYNCO delay(typ)</t>
    <phoneticPr fontId="2" type="noConversion"/>
  </si>
  <si>
    <t>typ</t>
    <phoneticPr fontId="2" type="noConversion"/>
  </si>
  <si>
    <t>es2</t>
    <phoneticPr fontId="2" type="noConversion"/>
  </si>
  <si>
    <t>SCLKO</t>
    <phoneticPr fontId="2" type="noConversion"/>
  </si>
  <si>
    <t>SCLK to SCLKO skew</t>
    <phoneticPr fontId="2" type="noConversion"/>
  </si>
  <si>
    <t>SCLK to SCLKO delay</t>
    <phoneticPr fontId="2" type="noConversion"/>
  </si>
  <si>
    <t>MOSI to SDO delay</t>
    <phoneticPr fontId="2" type="noConversion"/>
  </si>
  <si>
    <t>SCLKO to SDO skew</t>
    <phoneticPr fontId="2" type="noConversion"/>
  </si>
  <si>
    <t>SCLK to MISO delay</t>
    <phoneticPr fontId="2" type="noConversion"/>
  </si>
  <si>
    <t>SCLK to #2 MISO delay</t>
    <phoneticPr fontId="2" type="noConversion"/>
  </si>
  <si>
    <t>SCLK to #3 MISO delay</t>
  </si>
  <si>
    <t>#1 max write access</t>
    <phoneticPr fontId="2" type="noConversion"/>
  </si>
  <si>
    <t>na</t>
    <phoneticPr fontId="2" type="noConversion"/>
  </si>
  <si>
    <t>up to 30mhz</t>
    <phoneticPr fontId="2" type="noConversion"/>
  </si>
  <si>
    <t>#1 read margin</t>
    <phoneticPr fontId="2" type="noConversion"/>
  </si>
  <si>
    <t>min setup time</t>
    <phoneticPr fontId="2" type="noConversion"/>
  </si>
  <si>
    <t>#2 daisied max write access</t>
    <phoneticPr fontId="2" type="noConversion"/>
  </si>
  <si>
    <t>#2 daisied read margin</t>
    <phoneticPr fontId="2" type="noConversion"/>
  </si>
  <si>
    <t>max readable freq</t>
    <phoneticPr fontId="2" type="noConversion"/>
  </si>
  <si>
    <t>validation</t>
    <phoneticPr fontId="2" type="noConversion"/>
  </si>
  <si>
    <r>
      <rPr>
        <b/>
        <sz val="11"/>
        <color rgb="FF0000FF"/>
        <rFont val="맑은 고딕"/>
        <family val="3"/>
        <charset val="129"/>
      </rPr>
      <t>①</t>
    </r>
    <r>
      <rPr>
        <b/>
        <sz val="11"/>
        <color rgb="FF0000FF"/>
        <rFont val="맑은 고딕"/>
        <family val="3"/>
        <charset val="129"/>
        <scheme val="minor"/>
      </rPr>
      <t xml:space="preserve">min # ≥ 2ea  </t>
    </r>
    <r>
      <rPr>
        <b/>
        <sz val="11"/>
        <color rgb="FF0000FF"/>
        <rFont val="맑은 고딕"/>
        <family val="3"/>
        <charset val="129"/>
      </rPr>
      <t>② min gap# ≥</t>
    </r>
    <r>
      <rPr>
        <b/>
        <sz val="11"/>
        <color rgb="FF0000FF"/>
        <rFont val="맑은 고딕"/>
        <family val="3"/>
        <charset val="129"/>
        <scheme val="minor"/>
      </rPr>
      <t xml:space="preserve"> 2ea</t>
    </r>
    <phoneticPr fontId="2" type="noConversion"/>
  </si>
  <si>
    <t>@xc</t>
    <phoneticPr fontId="2" type="noConversion"/>
  </si>
  <si>
    <t>@last xd</t>
    <phoneticPr fontId="2" type="noConversion"/>
  </si>
  <si>
    <r>
      <rPr>
        <b/>
        <sz val="11"/>
        <color rgb="FF0000FF"/>
        <rFont val="맑은 고딕"/>
        <family val="3"/>
        <charset val="129"/>
        <scheme val="minor"/>
      </rPr>
      <t>serial latency</t>
    </r>
    <r>
      <rPr>
        <b/>
        <sz val="11"/>
        <color theme="1"/>
        <rFont val="맑은 고딕"/>
        <family val="3"/>
        <charset val="129"/>
        <scheme val="minor"/>
      </rPr>
      <t xml:space="preserve"> according to mclk variation</t>
    </r>
    <phoneticPr fontId="2" type="noConversion"/>
  </si>
  <si>
    <r>
      <rPr>
        <b/>
        <sz val="11"/>
        <color rgb="FF0000FF"/>
        <rFont val="맑은 고딕"/>
        <family val="3"/>
        <charset val="129"/>
        <scheme val="minor"/>
      </rPr>
      <t>proper baudrate</t>
    </r>
    <r>
      <rPr>
        <b/>
        <sz val="11"/>
        <color theme="1"/>
        <rFont val="맑은 고딕"/>
        <family val="3"/>
        <charset val="129"/>
        <scheme val="minor"/>
      </rPr>
      <t xml:space="preserve"> accord</t>
    </r>
    <r>
      <rPr>
        <b/>
        <sz val="11"/>
        <rFont val="맑은 고딕"/>
        <family val="3"/>
        <charset val="129"/>
        <scheme val="minor"/>
      </rPr>
      <t>ing daisy # and mclk</t>
    </r>
    <phoneticPr fontId="2" type="noConversion"/>
  </si>
  <si>
    <t>3~5</t>
    <phoneticPr fontId="2" type="noConversion"/>
  </si>
  <si>
    <t>2~5</t>
    <phoneticPr fontId="2" type="noConversion"/>
  </si>
  <si>
    <t>max [ms]</t>
    <phoneticPr fontId="2" type="noConversion"/>
  </si>
  <si>
    <t>analog por</t>
    <phoneticPr fontId="2" type="noConversion"/>
  </si>
  <si>
    <t>Vdd ramp-up</t>
    <phoneticPr fontId="2" type="noConversion"/>
  </si>
  <si>
    <t>release</t>
    <phoneticPr fontId="2" type="noConversion"/>
  </si>
  <si>
    <t>%</t>
    <phoneticPr fontId="2" type="noConversion"/>
  </si>
  <si>
    <t>REFERENCE</t>
    <phoneticPr fontId="2" type="noConversion"/>
  </si>
  <si>
    <t>0x078</t>
    <phoneticPr fontId="2" type="noConversion"/>
  </si>
  <si>
    <t>0x808</t>
    <phoneticPr fontId="2" type="noConversion"/>
  </si>
  <si>
    <r>
      <t xml:space="preserve">FBx = FB_INx &amp; CHx_EN &amp; (~OPEN_FB_E || </t>
    </r>
    <r>
      <rPr>
        <sz val="11"/>
        <color rgb="FFFF0000"/>
        <rFont val="맑은 고딕"/>
        <family val="3"/>
        <charset val="129"/>
        <scheme val="minor"/>
      </rPr>
      <t>~OPENx</t>
    </r>
    <r>
      <rPr>
        <sz val="11"/>
        <rFont val="맑은 고딕"/>
        <family val="3"/>
        <charset val="129"/>
        <scheme val="minor"/>
      </rPr>
      <t xml:space="preserve"> &amp; OPEN_FB_E))
        </t>
    </r>
    <r>
      <rPr>
        <sz val="11"/>
        <color rgb="FFFF0000"/>
        <rFont val="맑은 고딕"/>
        <family val="3"/>
        <charset val="129"/>
        <scheme val="minor"/>
      </rPr>
      <t>OPENx는 DFF아니라 analog OPEN신호</t>
    </r>
    <r>
      <rPr>
        <sz val="11"/>
        <rFont val="맑은 고딕"/>
        <family val="3"/>
        <charset val="129"/>
        <scheme val="minor"/>
      </rPr>
      <t xml:space="preserve">
</t>
    </r>
    <r>
      <rPr>
        <b/>
        <sz val="11"/>
        <rFont val="맑은 고딕"/>
        <family val="3"/>
        <charset val="129"/>
        <scheme val="minor"/>
      </rPr>
      <t>FB_ALL</t>
    </r>
    <r>
      <rPr>
        <sz val="1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rFont val="맑은 고딕"/>
        <family val="3"/>
        <charset val="129"/>
        <scheme val="minor"/>
      </rPr>
      <t>OPEN_AL</t>
    </r>
    <r>
      <rPr>
        <sz val="1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rFont val="맑은 고딕"/>
        <family val="3"/>
        <charset val="129"/>
        <scheme val="minor"/>
      </rPr>
      <t>SHORT_ALL</t>
    </r>
    <r>
      <rPr>
        <sz val="1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rFont val="맑은 고딕"/>
        <family val="3"/>
        <charset val="129"/>
        <scheme val="minor"/>
      </rPr>
      <t>THERMAL</t>
    </r>
    <r>
      <rPr>
        <sz val="11"/>
        <rFont val="맑은 고딕"/>
        <family val="3"/>
        <charset val="129"/>
        <scheme val="minor"/>
      </rPr>
      <t xml:space="preserve"> = THERMAL_IN</t>
    </r>
    <phoneticPr fontId="2" type="noConversion"/>
  </si>
  <si>
    <t>FLL_RANGE [1:0]</t>
    <phoneticPr fontId="2" type="noConversion"/>
  </si>
  <si>
    <t>DAC_RNG</t>
    <phoneticPr fontId="2" type="noConversion"/>
  </si>
  <si>
    <t>FLT_CTL [1:0]</t>
    <phoneticPr fontId="2" type="noConversion"/>
  </si>
  <si>
    <t>TEST_ANA_EN [1:0]</t>
    <phoneticPr fontId="2" type="noConversion"/>
  </si>
  <si>
    <t>0x820</t>
    <phoneticPr fontId="2" type="noConversion"/>
  </si>
  <si>
    <r>
      <t>~</t>
    </r>
    <r>
      <rPr>
        <b/>
        <sz val="11"/>
        <color rgb="FFFF0000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(FB_IN1 &amp; CH1_EN &amp; (~OPEN_FB_E || ~I_OPEN1 &amp; OPEN_FB_E))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|| ... ||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0000FF"/>
        <rFont val="맑은 고딕"/>
        <family val="3"/>
        <charset val="129"/>
        <scheme val="minor"/>
      </rPr>
      <t>(FB_IN12 &amp; CH12_EN &amp; (~OPEN_FB_E || ~I_OPEN12 &amp; OPEN_FB_E))</t>
    </r>
    <r>
      <rPr>
        <sz val="11"/>
        <color theme="1"/>
        <rFont val="맑은 고딕"/>
        <family val="3"/>
        <charset val="129"/>
        <scheme val="minor"/>
      </rPr>
      <t xml:space="preserve"> || </t>
    </r>
    <r>
      <rPr>
        <sz val="11"/>
        <color rgb="FF006600"/>
        <rFont val="맑은 고딕"/>
        <family val="3"/>
        <charset val="129"/>
        <scheme val="minor"/>
      </rPr>
      <t>(~FBI)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&amp;&amp; </t>
    </r>
    <r>
      <rPr>
        <sz val="11"/>
        <color rgb="FF00B0F0"/>
        <rFont val="맑은 고딕"/>
        <family val="3"/>
        <charset val="129"/>
        <scheme val="minor"/>
      </rPr>
      <t>FBO_E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 )</t>
    </r>
    <phoneticPr fontId="2" type="noConversion"/>
  </si>
  <si>
    <r>
      <t xml:space="preserve">SERIAL_LATENCY [6:0] </t>
    </r>
    <r>
      <rPr>
        <sz val="11"/>
        <color rgb="FFFF00FF"/>
        <rFont val="맑은 고딕"/>
        <family val="3"/>
        <charset val="129"/>
        <scheme val="minor"/>
      </rPr>
      <t>default= 120ea;  &gt; sclk_high + sclk_low</t>
    </r>
    <phoneticPr fontId="2" type="noConversion"/>
  </si>
  <si>
    <t>OSC_FLL_MONITOR</t>
    <phoneticPr fontId="2" type="noConversion"/>
  </si>
  <si>
    <t>r/o</t>
    <phoneticPr fontId="2" type="noConversion"/>
  </si>
  <si>
    <t>0x2C</t>
    <phoneticPr fontId="2" type="noConversion"/>
  </si>
  <si>
    <t>OSC_FLL_FLT [6:0]</t>
    <phoneticPr fontId="2" type="noConversion"/>
  </si>
  <si>
    <t>monitor FLT [15:9] value of FLL control</t>
    <phoneticPr fontId="2" type="noConversion"/>
  </si>
  <si>
    <t>IO_MODE</t>
    <phoneticPr fontId="2" type="noConversion"/>
  </si>
  <si>
    <t>VSO</t>
    <phoneticPr fontId="2" type="noConversion"/>
  </si>
  <si>
    <t>VSI</t>
    <phoneticPr fontId="2" type="noConversion"/>
  </si>
  <si>
    <t>00</t>
    <phoneticPr fontId="2" type="noConversion"/>
  </si>
  <si>
    <t>01</t>
    <phoneticPr fontId="2" type="noConversion"/>
  </si>
  <si>
    <t>10</t>
    <phoneticPr fontId="2" type="noConversion"/>
  </si>
  <si>
    <t>11</t>
    <phoneticPr fontId="2" type="noConversion"/>
  </si>
  <si>
    <t>nop</t>
    <phoneticPr fontId="2" type="noConversion"/>
  </si>
  <si>
    <t>remark</t>
    <phoneticPr fontId="2" type="noConversion"/>
  </si>
  <si>
    <t>used</t>
    <phoneticPr fontId="2" type="noConversion"/>
  </si>
  <si>
    <t>FBO_OEN</t>
    <phoneticPr fontId="2" type="noConversion"/>
  </si>
  <si>
    <t>ES1</t>
    <phoneticPr fontId="2" type="noConversion"/>
  </si>
  <si>
    <t>VSO_OEN</t>
    <phoneticPr fontId="2" type="noConversion"/>
  </si>
  <si>
    <t>= VSI</t>
    <phoneticPr fontId="2" type="noConversion"/>
  </si>
  <si>
    <r>
      <t xml:space="preserve">=  ~ </t>
    </r>
    <r>
      <rPr>
        <b/>
        <sz val="18"/>
        <color theme="1"/>
        <rFont val="맑은 고딕"/>
        <family val="3"/>
        <charset val="129"/>
        <scheme val="minor"/>
      </rPr>
      <t>(</t>
    </r>
    <r>
      <rPr>
        <b/>
        <sz val="11"/>
        <color theme="1"/>
        <rFont val="맑은 고딕"/>
        <family val="3"/>
        <charset val="129"/>
        <scheme val="minor"/>
      </rPr>
      <t xml:space="preserve">  ( IO_MODE==01)  </t>
    </r>
    <r>
      <rPr>
        <b/>
        <sz val="18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</si>
  <si>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=  </t>
    </r>
    <r>
      <rPr>
        <b/>
        <sz val="11"/>
        <rFont val="맑은 고딕"/>
        <family val="3"/>
        <charset val="129"/>
        <scheme val="minor"/>
      </rPr>
      <t xml:space="preserve">~ </t>
    </r>
    <r>
      <rPr>
        <b/>
        <sz val="18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1"/>
        <color rgb="FF00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0000FF"/>
        <rFont val="맑은 고딕"/>
        <family val="3"/>
        <charset val="129"/>
        <scheme val="minor"/>
      </rPr>
      <t>FB_IN1 &amp; CH1_EN &amp; (~OPEN_FB_E || ~I_OPEN1 &amp; OPEN_FB_E)</t>
    </r>
    <r>
      <rPr>
        <b/>
        <sz val="11"/>
        <color rgb="FF0000FF"/>
        <rFont val="맑은 고딕"/>
        <family val="3"/>
        <charset val="129"/>
        <scheme val="minor"/>
      </rPr>
      <t xml:space="preserve"> )</t>
    </r>
    <r>
      <rPr>
        <sz val="11"/>
        <rFont val="맑은 고딕"/>
        <family val="3"/>
        <charset val="129"/>
        <scheme val="minor"/>
      </rPr>
      <t xml:space="preserve">  ||  ...  ||  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( </t>
    </r>
    <r>
      <rPr>
        <b/>
        <u/>
        <sz val="11"/>
        <color theme="5" tint="-0.249977111117893"/>
        <rFont val="맑은 고딕"/>
        <family val="3"/>
        <charset val="129"/>
        <scheme val="minor"/>
      </rPr>
      <t>FB_IN12 &amp; CH12_EN &amp; (~OPEN_FB_E || ~I_OPEN12 &amp; OPEN_FB_E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) ) </t>
    </r>
    <r>
      <rPr>
        <sz val="11"/>
        <rFont val="맑은 고딕"/>
        <family val="3"/>
        <charset val="129"/>
        <scheme val="minor"/>
      </rPr>
      <t xml:space="preserve"> ||  </t>
    </r>
    <r>
      <rPr>
        <b/>
        <sz val="11"/>
        <color rgb="FFFF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FF00FF"/>
        <rFont val="맑은 고딕"/>
        <family val="3"/>
        <charset val="129"/>
        <scheme val="minor"/>
      </rPr>
      <t xml:space="preserve">~FBI_VSO &amp;&amp; IO_MODE==10 </t>
    </r>
    <r>
      <rPr>
        <b/>
        <sz val="11"/>
        <color rgb="FFFF00FF"/>
        <rFont val="맑은 고딕"/>
        <family val="3"/>
        <charset val="129"/>
        <scheme val="minor"/>
      </rPr>
      <t xml:space="preserve">)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1"/>
        <rFont val="맑은 고딕"/>
        <family val="3"/>
        <charset val="129"/>
        <scheme val="minor"/>
      </rPr>
      <t>&amp;&amp;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IO_MODE==10  ||   IO_MODE==11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 </t>
    </r>
    <r>
      <rPr>
        <b/>
        <sz val="18"/>
        <rFont val="맑은 고딕"/>
        <family val="3"/>
        <charset val="129"/>
        <scheme val="minor"/>
      </rPr>
      <t xml:space="preserve">)  </t>
    </r>
    <phoneticPr fontId="2" type="noConversion"/>
  </si>
  <si>
    <t>VLED</t>
    <phoneticPr fontId="2" type="noConversion"/>
  </si>
  <si>
    <t>* ANA</t>
    <phoneticPr fontId="2" type="noConversion"/>
  </si>
  <si>
    <t>ANA</t>
    <phoneticPr fontId="2" type="noConversion"/>
  </si>
  <si>
    <t>PWM</t>
    <phoneticPr fontId="2" type="noConversion"/>
  </si>
  <si>
    <t>DAC</t>
    <phoneticPr fontId="2" type="noConversion"/>
  </si>
  <si>
    <t>vled gap</t>
    <phoneticPr fontId="2" type="noConversion"/>
  </si>
  <si>
    <t>* PWM</t>
    <phoneticPr fontId="2" type="noConversion"/>
  </si>
  <si>
    <t>pwm</t>
    <phoneticPr fontId="2" type="noConversion"/>
  </si>
  <si>
    <t>vled</t>
    <phoneticPr fontId="2" type="noConversion"/>
  </si>
  <si>
    <t>pwm_gap</t>
    <phoneticPr fontId="2" type="noConversion"/>
  </si>
  <si>
    <t>dac gap</t>
    <phoneticPr fontId="2" type="noConversion"/>
  </si>
  <si>
    <t xml:space="preserve">default input state possible to GND; PU@IO_MODE=10, 그 외는 PU/PD 없음 </t>
    <phoneticPr fontId="2" type="noConversion"/>
  </si>
  <si>
    <t>ana</t>
    <phoneticPr fontId="2" type="noConversion"/>
  </si>
  <si>
    <t>dac</t>
    <phoneticPr fontId="2" type="noConversion"/>
  </si>
  <si>
    <t>time</t>
    <phoneticPr fontId="2" type="noConversion"/>
  </si>
  <si>
    <t xml:space="preserve">STEP </t>
    <phoneticPr fontId="2" type="noConversion"/>
  </si>
  <si>
    <t>I</t>
    <phoneticPr fontId="2" type="noConversion"/>
  </si>
  <si>
    <t>* I</t>
    <phoneticPr fontId="2" type="noConversion"/>
  </si>
  <si>
    <r>
      <t>V</t>
    </r>
    <r>
      <rPr>
        <vertAlign val="subscript"/>
        <sz val="11"/>
        <color theme="0"/>
        <rFont val="맑은 고딕"/>
        <family val="3"/>
        <charset val="129"/>
        <scheme val="minor"/>
      </rPr>
      <t>HEADROOM</t>
    </r>
    <phoneticPr fontId="2" type="noConversion"/>
  </si>
  <si>
    <r>
      <t>V</t>
    </r>
    <r>
      <rPr>
        <vertAlign val="subscript"/>
        <sz val="11"/>
        <color theme="1"/>
        <rFont val="맑은 고딕"/>
        <family val="3"/>
        <charset val="129"/>
        <scheme val="minor"/>
      </rPr>
      <t>F</t>
    </r>
    <r>
      <rPr>
        <sz val="11"/>
        <color theme="1"/>
        <rFont val="맑은 고딕"/>
        <family val="2"/>
        <charset val="129"/>
        <scheme val="minor"/>
      </rPr>
      <t>+V</t>
    </r>
    <r>
      <rPr>
        <vertAlign val="subscript"/>
        <sz val="11"/>
        <color theme="1"/>
        <rFont val="맑은 고딕"/>
        <family val="3"/>
        <charset val="129"/>
        <scheme val="minor"/>
      </rPr>
      <t>HDRM</t>
    </r>
    <phoneticPr fontId="2" type="noConversion"/>
  </si>
  <si>
    <r>
      <t>12ea_V</t>
    </r>
    <r>
      <rPr>
        <vertAlign val="subscript"/>
        <sz val="11"/>
        <color theme="0"/>
        <rFont val="맑은 고딕"/>
        <family val="3"/>
        <charset val="129"/>
        <scheme val="minor"/>
      </rPr>
      <t>F</t>
    </r>
    <phoneticPr fontId="2" type="noConversion"/>
  </si>
  <si>
    <t>1ea_VF</t>
    <phoneticPr fontId="2" type="noConversion"/>
  </si>
  <si>
    <t>spec</t>
    <phoneticPr fontId="2" type="noConversion"/>
  </si>
  <si>
    <r>
      <t>V</t>
    </r>
    <r>
      <rPr>
        <vertAlign val="subscript"/>
        <sz val="11"/>
        <color theme="1"/>
        <rFont val="맑은 고딕"/>
        <family val="3"/>
        <charset val="129"/>
        <scheme val="minor"/>
      </rPr>
      <t>F</t>
    </r>
    <r>
      <rPr>
        <sz val="11"/>
        <color theme="1"/>
        <rFont val="맑은 고딕"/>
        <family val="2"/>
        <charset val="129"/>
        <scheme val="minor"/>
      </rPr>
      <t>+V</t>
    </r>
    <r>
      <rPr>
        <vertAlign val="subscript"/>
        <sz val="11"/>
        <color theme="1"/>
        <rFont val="맑은 고딕"/>
        <family val="3"/>
        <charset val="129"/>
        <scheme val="minor"/>
      </rPr>
      <t>HDRM(=1)</t>
    </r>
    <phoneticPr fontId="2" type="noConversion"/>
  </si>
  <si>
    <t>r1</t>
    <phoneticPr fontId="2" type="noConversion"/>
  </si>
  <si>
    <t>[hz]</t>
    <phoneticPr fontId="2" type="noConversion"/>
  </si>
  <si>
    <t>0x02</t>
    <phoneticPr fontId="2" type="noConversion"/>
  </si>
  <si>
    <t>0x27/28</t>
    <phoneticPr fontId="2" type="noConversion"/>
  </si>
  <si>
    <t>0x28</t>
    <phoneticPr fontId="2" type="noConversion"/>
  </si>
  <si>
    <t>mclk_lock_cnt_e</t>
    <phoneticPr fontId="2" type="noConversion"/>
  </si>
  <si>
    <t>mclk_lock_cnt</t>
    <phoneticPr fontId="2" type="noConversion"/>
  </si>
  <si>
    <t>@ PWM 12-bit</t>
    <phoneticPr fontId="2" type="noConversion"/>
  </si>
  <si>
    <t>normal</t>
    <phoneticPr fontId="2" type="noConversion"/>
  </si>
  <si>
    <t>PWM 12-bit</t>
    <phoneticPr fontId="2" type="noConversion"/>
  </si>
  <si>
    <t>PWM 14-bit</t>
    <phoneticPr fontId="2" type="noConversion"/>
  </si>
  <si>
    <t>finish</t>
    <phoneticPr fontId="2" type="noConversion"/>
  </si>
  <si>
    <t>adjacent</t>
    <phoneticPr fontId="2" type="noConversion"/>
  </si>
  <si>
    <t>from ref</t>
    <phoneticPr fontId="2" type="noConversion"/>
  </si>
  <si>
    <t>writing to XD</t>
    <phoneticPr fontId="2" type="noConversion"/>
  </si>
  <si>
    <t>addr</t>
    <phoneticPr fontId="2" type="noConversion"/>
  </si>
  <si>
    <t>transaction#</t>
    <phoneticPr fontId="2" type="noConversion"/>
  </si>
  <si>
    <t>ready</t>
    <phoneticPr fontId="2" type="noConversion"/>
  </si>
  <si>
    <t>@ PWM 14-bit 1안</t>
    <phoneticPr fontId="2" type="noConversion"/>
  </si>
  <si>
    <t>@ PWM 14-bit 2안</t>
    <phoneticPr fontId="2" type="noConversion"/>
  </si>
  <si>
    <t>QN85 55" SMPS + Q90 old LED</t>
    <phoneticPr fontId="2" type="noConversion"/>
  </si>
  <si>
    <t>LED OFF 상태 측정 @실온 (LED온도에 다름)</t>
    <phoneticPr fontId="2" type="noConversion"/>
  </si>
  <si>
    <t>ES2</t>
    <phoneticPr fontId="2" type="noConversion"/>
  </si>
  <si>
    <t>0x03FF</t>
    <phoneticPr fontId="2" type="noConversion"/>
  </si>
  <si>
    <t>0xF0</t>
    <phoneticPr fontId="2" type="noConversion"/>
  </si>
  <si>
    <t>0xF1</t>
  </si>
  <si>
    <t>0xF2</t>
  </si>
  <si>
    <t>0xF3</t>
  </si>
  <si>
    <t>0xF4</t>
  </si>
  <si>
    <t>0xF7</t>
  </si>
  <si>
    <t>real fb</t>
    <phoneticPr fontId="2" type="noConversion"/>
  </si>
  <si>
    <t>curr</t>
    <phoneticPr fontId="2" type="noConversion"/>
  </si>
  <si>
    <t>prev</t>
    <phoneticPr fontId="2" type="noConversion"/>
  </si>
  <si>
    <t>target</t>
    <phoneticPr fontId="2" type="noConversion"/>
  </si>
  <si>
    <t>curr'</t>
    <phoneticPr fontId="2" type="noConversion"/>
  </si>
  <si>
    <t>dac_sync</t>
    <phoneticPr fontId="2" type="noConversion"/>
  </si>
  <si>
    <t>dac_state_en</t>
    <phoneticPr fontId="2" type="noConversion"/>
  </si>
  <si>
    <t>dac_out_en</t>
    <phoneticPr fontId="2" type="noConversion"/>
  </si>
  <si>
    <t>dac_fb_valid</t>
    <phoneticPr fontId="2" type="noConversion"/>
  </si>
  <si>
    <t>fault_(auto)_read</t>
    <phoneticPr fontId="2" type="noConversion"/>
  </si>
  <si>
    <t>(cmd or ext)</t>
    <phoneticPr fontId="2" type="noConversion"/>
  </si>
  <si>
    <t>0x50</t>
    <phoneticPr fontId="2" type="noConversion"/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</si>
  <si>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</si>
  <si>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</si>
  <si>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</si>
  <si>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</si>
  <si>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</si>
  <si>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</si>
  <si>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</si>
  <si>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</si>
  <si>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</si>
  <si>
    <t>DAC CONTROL</t>
    <phoneticPr fontId="2" type="noConversion"/>
  </si>
  <si>
    <t>CURRENT TARGET DAC</t>
    <phoneticPr fontId="2" type="noConversion"/>
  </si>
  <si>
    <t>PREVIOUS TARGET DAC</t>
    <phoneticPr fontId="2" type="noConversion"/>
  </si>
  <si>
    <t>curr_tgt_dac [11:0]</t>
    <phoneticPr fontId="2" type="noConversion"/>
  </si>
  <si>
    <t>DAC OUT</t>
    <phoneticPr fontId="2" type="noConversion"/>
  </si>
  <si>
    <t>dac_out [11:0]</t>
    <phoneticPr fontId="2" type="noConversion"/>
  </si>
  <si>
    <t>prev_tgt_dac [11:0]</t>
    <phoneticPr fontId="2" type="noConversion"/>
  </si>
  <si>
    <t>DAC FB VALID TIMER</t>
    <phoneticPr fontId="2" type="noConversion"/>
  </si>
  <si>
    <t>DAC STATE</t>
    <phoneticPr fontId="2" type="noConversion"/>
  </si>
  <si>
    <t>DAC FB VALID CNT</t>
    <phoneticPr fontId="2" type="noConversion"/>
  </si>
  <si>
    <t>DAC FB CONTROL</t>
    <phoneticPr fontId="2" type="noConversion"/>
  </si>
  <si>
    <t>serial_clk_high [6:0]</t>
    <phoneticPr fontId="2" type="noConversion"/>
  </si>
  <si>
    <t>serial_clk_low [6:0]</t>
    <phoneticPr fontId="2" type="noConversion"/>
  </si>
  <si>
    <t>0x0A14</t>
    <phoneticPr fontId="2" type="noConversion"/>
  </si>
  <si>
    <t>OTP Control</t>
    <phoneticPr fontId="2" type="noConversion"/>
  </si>
  <si>
    <t>OTP Mirror</t>
    <phoneticPr fontId="2" type="noConversion"/>
  </si>
  <si>
    <t>vctl_ldo [3:0]</t>
    <phoneticPr fontId="2" type="noConversion"/>
  </si>
  <si>
    <t>osc_fctl [6:0]</t>
    <phoneticPr fontId="2" type="noConversion"/>
  </si>
  <si>
    <t>dac_gain [5:0]</t>
    <phoneticPr fontId="2" type="noConversion"/>
  </si>
  <si>
    <t>dac_ofs [7:0]    * dac_ofs[7]=signed bit</t>
    <phoneticPr fontId="2" type="noConversion"/>
  </si>
  <si>
    <t>0xF6</t>
  </si>
  <si>
    <t>0x05A5</t>
    <phoneticPr fontId="2" type="noConversion"/>
  </si>
  <si>
    <t>OTP_PG_ACC_CYCLE [15:0]</t>
    <phoneticPr fontId="2" type="noConversion"/>
  </si>
  <si>
    <t>OTP PG ACCESS</t>
    <phoneticPr fontId="2" type="noConversion"/>
  </si>
  <si>
    <t>MIRROR1</t>
    <phoneticPr fontId="2" type="noConversion"/>
  </si>
  <si>
    <t>MIRROR2</t>
    <phoneticPr fontId="2" type="noConversion"/>
  </si>
  <si>
    <t>dac_auto
'0' manual
'1' auto</t>
    <phoneticPr fontId="2" type="noConversion"/>
  </si>
  <si>
    <t>dac_sync_mode
'0' cmd (sync_done)
'1' ext (rising edge)</t>
    <phoneticPr fontId="2" type="noConversion"/>
  </si>
  <si>
    <t>dac_thermal_off
'0' disable
'1' enable</t>
    <phoneticPr fontId="2" type="noConversion"/>
  </si>
  <si>
    <t>CLK CONTROL 1</t>
    <phoneticPr fontId="2" type="noConversion"/>
  </si>
  <si>
    <t>CLK CONTROL 2</t>
    <phoneticPr fontId="2" type="noConversion"/>
  </si>
  <si>
    <t>uv15_det</t>
    <phoneticPr fontId="2" type="noConversion"/>
  </si>
  <si>
    <t>ov15_det</t>
    <phoneticPr fontId="2" type="noConversion"/>
  </si>
  <si>
    <t>uv50_det</t>
    <phoneticPr fontId="2" type="noConversion"/>
  </si>
  <si>
    <t>ov50_det</t>
    <phoneticPr fontId="2" type="noConversion"/>
  </si>
  <si>
    <t>VDD &amp; LDO STATUS</t>
    <phoneticPr fontId="2" type="noConversion"/>
  </si>
  <si>
    <t>RST1</t>
    <phoneticPr fontId="2" type="noConversion"/>
  </si>
  <si>
    <t>ID</t>
    <phoneticPr fontId="2" type="noConversion"/>
  </si>
  <si>
    <t>LD MODE</t>
    <phoneticPr fontId="2" type="noConversion"/>
  </si>
  <si>
    <t>BFI</t>
    <phoneticPr fontId="2" type="noConversion"/>
  </si>
  <si>
    <t>X8</t>
    <phoneticPr fontId="2" type="noConversion"/>
  </si>
  <si>
    <t>uploaded on internal vsync
keep current dimming mode until completed</t>
    <phoneticPr fontId="2" type="noConversion"/>
  </si>
  <si>
    <t>SF_PERIOD</t>
    <phoneticPr fontId="2" type="noConversion"/>
  </si>
  <si>
    <t>SF_PERIOD [11:0]</t>
    <phoneticPr fontId="2" type="noConversion"/>
  </si>
  <si>
    <t>SF_SIZE</t>
    <phoneticPr fontId="2" type="noConversion"/>
  </si>
  <si>
    <t>SF_SIZE [7:0]</t>
    <phoneticPr fontId="2" type="noConversion"/>
  </si>
  <si>
    <t>SF_BFI</t>
    <phoneticPr fontId="2" type="noConversion"/>
  </si>
  <si>
    <t>SF_BFI [7:0]</t>
    <phoneticPr fontId="2" type="noConversion"/>
  </si>
  <si>
    <t>LD_FIX1</t>
    <phoneticPr fontId="2" type="noConversion"/>
  </si>
  <si>
    <t>LD_FIX [11:0]</t>
    <phoneticPr fontId="2" type="noConversion"/>
  </si>
  <si>
    <t>LD_FIX2</t>
    <phoneticPr fontId="2" type="noConversion"/>
  </si>
  <si>
    <t>LD_FIX [15:12]</t>
    <phoneticPr fontId="2" type="noConversion"/>
  </si>
  <si>
    <t>keep out to ANALOG part at the rising edge of vsync</t>
    <phoneticPr fontId="2" type="noConversion"/>
  </si>
  <si>
    <t>uploaded on internal vsync
out from the rising edge of vsync</t>
    <phoneticPr fontId="2" type="noConversion"/>
  </si>
  <si>
    <t>FAULT MODE</t>
    <phoneticPr fontId="2" type="noConversion"/>
  </si>
  <si>
    <t>TIMEOUT_EN</t>
    <phoneticPr fontId="2" type="noConversion"/>
  </si>
  <si>
    <t>S2_EN</t>
    <phoneticPr fontId="2" type="noConversion"/>
  </si>
  <si>
    <t>S1_EN</t>
    <phoneticPr fontId="2" type="noConversion"/>
  </si>
  <si>
    <t>T_OFF_EN</t>
    <phoneticPr fontId="2" type="noConversion"/>
  </si>
  <si>
    <t>S_OFF_EN</t>
    <phoneticPr fontId="2" type="noConversion"/>
  </si>
  <si>
    <t>O_OFF_EN</t>
    <phoneticPr fontId="2" type="noConversion"/>
  </si>
  <si>
    <t>DELAY_CH1 [7:0]</t>
    <phoneticPr fontId="2" type="noConversion"/>
  </si>
  <si>
    <t>DELAY_CH2 [7:0]</t>
    <phoneticPr fontId="2" type="noConversion"/>
  </si>
  <si>
    <t>DELAY_CH3 [7:0]</t>
    <phoneticPr fontId="2" type="noConversion"/>
  </si>
  <si>
    <t>DELAY_CH4 [7:0]</t>
    <phoneticPr fontId="2" type="noConversion"/>
  </si>
  <si>
    <t>DELAY_CH5 [7:0]</t>
    <phoneticPr fontId="2" type="noConversion"/>
  </si>
  <si>
    <t>DELAY_CH6 [7:0]</t>
    <phoneticPr fontId="2" type="noConversion"/>
  </si>
  <si>
    <t>DELAY_CH7 [7:0]</t>
    <phoneticPr fontId="2" type="noConversion"/>
  </si>
  <si>
    <t>DELAY_CH8 [7:0]</t>
    <phoneticPr fontId="2" type="noConversion"/>
  </si>
  <si>
    <t>DELAY_CH9 [7:0]</t>
    <phoneticPr fontId="2" type="noConversion"/>
  </si>
  <si>
    <t>DELAY_CH10 [7:0]</t>
    <phoneticPr fontId="2" type="noConversion"/>
  </si>
  <si>
    <t>DELAY_CH11 [7:0]</t>
    <phoneticPr fontId="2" type="noConversion"/>
  </si>
  <si>
    <t>DELAY_CH12 [7:0]</t>
    <phoneticPr fontId="2" type="noConversion"/>
  </si>
  <si>
    <t>SERIAL CLOCK GEN</t>
    <phoneticPr fontId="2" type="noConversion"/>
  </si>
  <si>
    <t>ICTL_GLB[2:0]</t>
    <phoneticPr fontId="2" type="noConversion"/>
  </si>
  <si>
    <t>BGR_CTL [3:0]</t>
    <phoneticPr fontId="2" type="noConversion"/>
  </si>
  <si>
    <t>DCLK PERIOD</t>
    <phoneticPr fontId="2" type="noConversion"/>
  </si>
  <si>
    <t>DCLK_PERIOD [9:0]</t>
    <phoneticPr fontId="2" type="noConversion"/>
  </si>
  <si>
    <t>LD_FIX_EN</t>
    <phoneticPr fontId="2" type="noConversion"/>
  </si>
  <si>
    <t>0x140</t>
    <phoneticPr fontId="2" type="noConversion"/>
  </si>
  <si>
    <t>OSC [6:0]</t>
    <phoneticPr fontId="2" type="noConversion"/>
  </si>
  <si>
    <t>mclk=14.7456mhz</t>
    <phoneticPr fontId="2" type="noConversion"/>
  </si>
  <si>
    <t>OFS_CH1[6:0]</t>
    <phoneticPr fontId="2" type="noConversion"/>
  </si>
  <si>
    <t>OFS_CH2[6:0]</t>
    <phoneticPr fontId="2" type="noConversion"/>
  </si>
  <si>
    <t>OFS_CH3[6:0]</t>
    <phoneticPr fontId="2" type="noConversion"/>
  </si>
  <si>
    <t>OFS_CH4[6:0]</t>
    <phoneticPr fontId="2" type="noConversion"/>
  </si>
  <si>
    <t>OFS_CH5[6:0]</t>
    <phoneticPr fontId="2" type="noConversion"/>
  </si>
  <si>
    <t>OFS_CH6[6:0]</t>
    <phoneticPr fontId="2" type="noConversion"/>
  </si>
  <si>
    <t>OFS_CH7[6:0]</t>
    <phoneticPr fontId="2" type="noConversion"/>
  </si>
  <si>
    <t>OFS_CH8[6:0]</t>
    <phoneticPr fontId="2" type="noConversion"/>
  </si>
  <si>
    <t>OFS_CH9[6:0]</t>
    <phoneticPr fontId="2" type="noConversion"/>
  </si>
  <si>
    <t>OFS_CH10[6:0]</t>
    <phoneticPr fontId="2" type="noConversion"/>
  </si>
  <si>
    <t>OFS_CH11[6:0]</t>
    <phoneticPr fontId="2" type="noConversion"/>
  </si>
  <si>
    <t>OFS_CH12[6:0]</t>
    <phoneticPr fontId="2" type="noConversion"/>
  </si>
  <si>
    <t>GAIN_CH1[6:0]</t>
    <phoneticPr fontId="2" type="noConversion"/>
  </si>
  <si>
    <t>GAIN_CH2[6:0]</t>
    <phoneticPr fontId="2" type="noConversion"/>
  </si>
  <si>
    <t>GAIN_CH3[6:0]</t>
    <phoneticPr fontId="2" type="noConversion"/>
  </si>
  <si>
    <t>GAIN_CH4[6:0]</t>
    <phoneticPr fontId="2" type="noConversion"/>
  </si>
  <si>
    <t>GAIN_CH5[6:0]</t>
    <phoneticPr fontId="2" type="noConversion"/>
  </si>
  <si>
    <t>GAIN_CH6[6:0]</t>
    <phoneticPr fontId="2" type="noConversion"/>
  </si>
  <si>
    <t>GAIN_CH7[6:0]</t>
    <phoneticPr fontId="2" type="noConversion"/>
  </si>
  <si>
    <t>GAIN_CH8[6:0]</t>
    <phoneticPr fontId="2" type="noConversion"/>
  </si>
  <si>
    <t>GAIN_CH9[6:0]</t>
    <phoneticPr fontId="2" type="noConversion"/>
  </si>
  <si>
    <t>GAIN_CH10[6:0]</t>
    <phoneticPr fontId="2" type="noConversion"/>
  </si>
  <si>
    <t>GAIN_CH11[6:0]</t>
    <phoneticPr fontId="2" type="noConversion"/>
  </si>
  <si>
    <t>GAIN_CH12[6:0]</t>
    <phoneticPr fontId="2" type="noConversion"/>
  </si>
  <si>
    <t>RST1 : all logics reset, auto-cleared
ID #1~#31 ('0' invalid) : not writable</t>
    <phoneticPr fontId="2" type="noConversion"/>
  </si>
  <si>
    <t>LD_MODE</t>
    <phoneticPr fontId="2" type="noConversion"/>
  </si>
  <si>
    <t>LD_MODE &amp; LD_DIR :
uploaded on internal vsync
keep current dimming mode until completed</t>
    <phoneticPr fontId="2" type="noConversion"/>
  </si>
  <si>
    <t>CH &amp; SF_X8_SIZE</t>
    <phoneticPr fontId="2" type="noConversion"/>
  </si>
  <si>
    <t>SF_X8_SIZE [4:0]</t>
    <phoneticPr fontId="2" type="noConversion"/>
  </si>
  <si>
    <t>CH_SIZE : LD DATA 수신 개수</t>
    <phoneticPr fontId="2" type="noConversion"/>
  </si>
  <si>
    <r>
      <t xml:space="preserve">OPEN detection :
</t>
    </r>
    <r>
      <rPr>
        <sz val="11"/>
        <color rgb="FFCC00CC"/>
        <rFont val="맑은 고딕"/>
        <family val="3"/>
        <charset val="129"/>
        <scheme val="minor"/>
      </rPr>
      <t xml:space="preserve">전류 급등 시, headroom이 &lt; 0.25V 로 떨어질 수 있음
그러면, FB/OPEN 이 동시에 발생하게 됨
</t>
    </r>
    <r>
      <rPr>
        <sz val="11"/>
        <rFont val="맑은 고딕"/>
        <family val="3"/>
        <charset val="129"/>
        <scheme val="minor"/>
      </rPr>
      <t>1. LD all zero 에서 OPEN/FB 동시 발생 -&gt; OPEN valid
2. FB duty max %에서도 OPEN/FB 동시 발생 -&gt; OPEN valid</t>
    </r>
    <phoneticPr fontId="2" type="noConversion"/>
  </si>
  <si>
    <r>
      <rPr>
        <sz val="11"/>
        <color rgb="FFCC00CC"/>
        <rFont val="맑은 고딕"/>
        <family val="3"/>
        <charset val="129"/>
        <scheme val="minor"/>
      </rPr>
      <t>*POR후 OPEN/SHORT detection 구현 적용할 것</t>
    </r>
    <r>
      <rPr>
        <sz val="11"/>
        <rFont val="맑은 고딕"/>
        <family val="3"/>
        <charset val="129"/>
        <scheme val="minor"/>
      </rPr>
      <t xml:space="preserve">
1.FB max% limitation을 구현 필요 (fw)
   O_OFF_EN=0 이면 OPEN/FB 계속 발생
   O_OFF_EN=1 이면, ch_out/OPEN/FB toggle
2.해당 XD의 FB값을 무시하고 동작
   그럴려면 local read로 fault reg read 필요
3.또는 해당 XD의 OPEN ch을 off 시키면 FB는 안뜸</t>
    </r>
    <phoneticPr fontId="2" type="noConversion"/>
  </si>
  <si>
    <t>O_EN</t>
    <phoneticPr fontId="2" type="noConversion"/>
  </si>
  <si>
    <t>OPEN detecting always</t>
    <phoneticPr fontId="2" type="noConversion"/>
  </si>
  <si>
    <t>DCLK_RST_E</t>
    <phoneticPr fontId="2" type="noConversion"/>
  </si>
  <si>
    <t>MCLK_LOCK</t>
    <phoneticPr fontId="2" type="noConversion"/>
  </si>
  <si>
    <t>0x29</t>
  </si>
  <si>
    <t>0x01E</t>
    <phoneticPr fontId="2" type="noConversion"/>
  </si>
  <si>
    <t>MCLK_LOCK [17:12]</t>
    <phoneticPr fontId="2" type="noConversion"/>
  </si>
  <si>
    <t>MCLK_LOCK_E : '0' disable, '1' enable</t>
    <phoneticPr fontId="2" type="noConversion"/>
  </si>
  <si>
    <t>OSC_COMP</t>
    <phoneticPr fontId="2" type="noConversion"/>
  </si>
  <si>
    <t>0x00F</t>
    <phoneticPr fontId="2" type="noConversion"/>
  </si>
  <si>
    <t>OSC_POL</t>
    <phoneticPr fontId="2" type="noConversion"/>
  </si>
  <si>
    <t>OSC_COMP [4:0]</t>
    <phoneticPr fontId="2" type="noConversion"/>
  </si>
  <si>
    <t>OSC_POL : '0' positive, '1' negative</t>
    <phoneticPr fontId="2" type="noConversion"/>
  </si>
  <si>
    <t>OSC_COMP : keep current compensation value
at the time of wr to some value, start newly from the value
compensating at every vsync</t>
    <phoneticPr fontId="2" type="noConversion"/>
  </si>
  <si>
    <t>OSC_COMP_TH_P</t>
    <phoneticPr fontId="2" type="noConversion"/>
  </si>
  <si>
    <t>0x080</t>
    <phoneticPr fontId="2" type="noConversion"/>
  </si>
  <si>
    <t>OSC_COMP_TH_P [10:0]</t>
    <phoneticPr fontId="2" type="noConversion"/>
  </si>
  <si>
    <t>OSC_COMP_TH_N</t>
    <phoneticPr fontId="2" type="noConversion"/>
  </si>
  <si>
    <t>0x2D</t>
    <phoneticPr fontId="2" type="noConversion"/>
  </si>
  <si>
    <t>0x200</t>
    <phoneticPr fontId="2" type="noConversion"/>
  </si>
  <si>
    <t>OSC_COMP_TH_N [10:0]</t>
    <phoneticPr fontId="2" type="noConversion"/>
  </si>
  <si>
    <t>Head Lighten</t>
    <phoneticPr fontId="2" type="noConversion"/>
  </si>
  <si>
    <t>#1</t>
    <phoneticPr fontId="2" type="noConversion"/>
  </si>
  <si>
    <t>#2</t>
    <phoneticPr fontId="2" type="noConversion"/>
  </si>
  <si>
    <t>#3</t>
    <phoneticPr fontId="2" type="noConversion"/>
  </si>
  <si>
    <t>internal vsync</t>
    <phoneticPr fontId="2" type="noConversion"/>
  </si>
  <si>
    <t>svsync</t>
    <phoneticPr fontId="2" type="noConversion"/>
  </si>
  <si>
    <t>CH1 dimming out</t>
    <phoneticPr fontId="2" type="noConversion"/>
  </si>
  <si>
    <t>CHx dimming out</t>
    <phoneticPr fontId="2" type="noConversion"/>
  </si>
  <si>
    <t>Tail Lighten</t>
    <phoneticPr fontId="2" type="noConversion"/>
  </si>
  <si>
    <t>comp range</t>
    <phoneticPr fontId="2" type="noConversion"/>
  </si>
  <si>
    <t>frame[us]</t>
    <phoneticPr fontId="2" type="noConversion"/>
  </si>
  <si>
    <t>sf#[us]</t>
    <phoneticPr fontId="2" type="noConversion"/>
  </si>
  <si>
    <t>mclk#/sf</t>
    <phoneticPr fontId="2" type="noConversion"/>
  </si>
  <si>
    <t>mclk#/f</t>
    <phoneticPr fontId="2" type="noConversion"/>
  </si>
  <si>
    <t>mclk# range</t>
    <phoneticPr fontId="2" type="noConversion"/>
  </si>
  <si>
    <t>result</t>
    <phoneticPr fontId="2" type="noConversion"/>
  </si>
  <si>
    <t>[us]</t>
    <phoneticPr fontId="2" type="noConversion"/>
  </si>
  <si>
    <t>step [ea]</t>
    <phoneticPr fontId="2" type="noConversion"/>
  </si>
  <si>
    <t>mhz/step</t>
    <phoneticPr fontId="2" type="noConversion"/>
  </si>
  <si>
    <t>ea/step</t>
    <phoneticPr fontId="2" type="noConversion"/>
  </si>
  <si>
    <t>ea/total</t>
    <phoneticPr fontId="2" type="noConversion"/>
  </si>
  <si>
    <t>TH_N/P</t>
    <phoneticPr fontId="2" type="noConversion"/>
  </si>
  <si>
    <t>residue/frame</t>
    <phoneticPr fontId="2" type="noConversion"/>
  </si>
  <si>
    <t>mclk_typ</t>
    <phoneticPr fontId="2" type="noConversion"/>
  </si>
  <si>
    <r>
      <t>dev@120</t>
    </r>
    <r>
      <rPr>
        <sz val="11"/>
        <color theme="1"/>
        <rFont val="맑은 고딕"/>
        <family val="3"/>
        <charset val="129"/>
        <scheme val="minor"/>
      </rPr>
      <t>℃ test</t>
    </r>
    <phoneticPr fontId="2" type="noConversion"/>
  </si>
  <si>
    <t>mclk_min</t>
    <phoneticPr fontId="2" type="noConversion"/>
  </si>
  <si>
    <t>0.08mhz/step</t>
    <phoneticPr fontId="2" type="noConversion"/>
  </si>
  <si>
    <t>es1 metal revision osc temp test result</t>
    <phoneticPr fontId="2" type="noConversion"/>
  </si>
  <si>
    <t>up for deviation</t>
    <phoneticPr fontId="2" type="noConversion"/>
  </si>
  <si>
    <r>
      <t>-20</t>
    </r>
    <r>
      <rPr>
        <b/>
        <sz val="11"/>
        <color theme="1"/>
        <rFont val="Yu Mincho Light"/>
        <family val="1"/>
        <charset val="128"/>
      </rPr>
      <t>℃</t>
    </r>
    <phoneticPr fontId="2" type="noConversion"/>
  </si>
  <si>
    <t>min</t>
    <phoneticPr fontId="2" type="noConversion"/>
  </si>
  <si>
    <t>avg</t>
    <phoneticPr fontId="2" type="noConversion"/>
  </si>
  <si>
    <r>
      <t>28</t>
    </r>
    <r>
      <rPr>
        <b/>
        <sz val="11"/>
        <color theme="1"/>
        <rFont val="Yu Mincho Light"/>
        <family val="1"/>
        <charset val="128"/>
      </rPr>
      <t>℃</t>
    </r>
    <phoneticPr fontId="2" type="noConversion"/>
  </si>
  <si>
    <r>
      <t>120</t>
    </r>
    <r>
      <rPr>
        <b/>
        <sz val="11"/>
        <color theme="1"/>
        <rFont val="Yu Mincho Light"/>
        <family val="1"/>
        <charset val="128"/>
      </rPr>
      <t>℃</t>
    </r>
    <phoneticPr fontId="2" type="noConversion"/>
  </si>
  <si>
    <r>
      <t>estimation@120</t>
    </r>
    <r>
      <rPr>
        <sz val="11"/>
        <color theme="1"/>
        <rFont val="맑은 고딕"/>
        <family val="3"/>
        <charset val="129"/>
        <scheme val="minor"/>
      </rPr>
      <t>℃</t>
    </r>
    <phoneticPr fontId="2" type="noConversion"/>
  </si>
  <si>
    <t>residue</t>
    <phoneticPr fontId="2" type="noConversion"/>
  </si>
  <si>
    <t>ref 대비 %</t>
    <phoneticPr fontId="2" type="noConversion"/>
  </si>
  <si>
    <r>
      <t>estimation@-20</t>
    </r>
    <r>
      <rPr>
        <sz val="11"/>
        <color theme="1"/>
        <rFont val="맑은 고딕"/>
        <family val="3"/>
        <charset val="129"/>
        <scheme val="minor"/>
      </rPr>
      <t>℃</t>
    </r>
    <phoneticPr fontId="2" type="noConversion"/>
  </si>
  <si>
    <t>max var [mhz]</t>
    <phoneticPr fontId="2" type="noConversion"/>
  </si>
  <si>
    <t>final target</t>
    <phoneticPr fontId="2" type="noConversion"/>
  </si>
  <si>
    <t>(in case of without osc_comp)</t>
    <phoneticPr fontId="2" type="noConversion"/>
  </si>
  <si>
    <t>MCLK_O</t>
    <phoneticPr fontId="2" type="noConversion"/>
  </si>
  <si>
    <t>DDIO_DIS</t>
    <phoneticPr fontId="2" type="noConversion"/>
  </si>
  <si>
    <t>MCLK32_O</t>
    <phoneticPr fontId="2" type="noConversion"/>
  </si>
  <si>
    <r>
      <t xml:space="preserve">TEST_EN=1 &amp;&amp;
① MCLK32_O=1 : mclk/32 clk out to DDIO pin#15
② PWM_FULL_O=1 : </t>
    </r>
    <r>
      <rPr>
        <sz val="11"/>
        <rFont val="맑은 고딕"/>
        <family val="3"/>
        <charset val="129"/>
      </rPr>
      <t>PWM_OUT_CHx=1 (@CHx_EN=1)
        driving a high-active level to a analog part</t>
    </r>
    <r>
      <rPr>
        <sz val="11"/>
        <rFont val="맑은 고딕"/>
        <family val="3"/>
        <charset val="129"/>
        <scheme val="minor"/>
      </rPr>
      <t xml:space="preserve">
③ VREF_O=1 : MAX_CURR_VREF [11:0] reg always out regardless of a vsync
</t>
    </r>
    <r>
      <rPr>
        <sz val="11"/>
        <rFont val="맑은 고딕"/>
        <family val="3"/>
        <charset val="129"/>
      </rPr>
      <t>④ DDIO_DIS=1 : DDIO blocking out to PAD</t>
    </r>
    <r>
      <rPr>
        <sz val="11"/>
        <rFont val="맑은 고딕"/>
        <family val="3"/>
        <charset val="129"/>
        <scheme val="minor"/>
      </rPr>
      <t xml:space="preserve">
TEST_EN=1, </t>
    </r>
    <r>
      <rPr>
        <sz val="11"/>
        <color rgb="FFFF00FF"/>
        <rFont val="맑은 고딕"/>
        <family val="3"/>
        <charset val="129"/>
        <scheme val="minor"/>
      </rPr>
      <t>then stop OTP downloaing</t>
    </r>
    <r>
      <rPr>
        <sz val="11"/>
        <rFont val="맑은 고딕"/>
        <family val="3"/>
        <charset val="129"/>
        <scheme val="minor"/>
      </rPr>
      <t xml:space="preserve">
ADDR_EXT : 0x3F~0x3E (</t>
    </r>
    <r>
      <rPr>
        <u/>
        <sz val="11"/>
        <rFont val="맑은 고딕"/>
        <family val="3"/>
        <charset val="129"/>
        <scheme val="minor"/>
      </rPr>
      <t>common accessible</t>
    </r>
    <r>
      <rPr>
        <sz val="11"/>
        <rFont val="맑은 고딕"/>
        <family val="3"/>
        <charset val="129"/>
        <scheme val="minor"/>
      </rPr>
      <t>)
'0' general reg addr accessible
'1' otp address accesible</t>
    </r>
    <phoneticPr fontId="2" type="noConversion"/>
  </si>
  <si>
    <r>
      <t>TEST_EN=1 &amp;&amp; MCLK_O = 1
- mclk/16 clk out to DDIO pin#15 (</t>
    </r>
    <r>
      <rPr>
        <sz val="11"/>
        <rFont val="맑은 고딕"/>
        <family val="3"/>
        <charset val="129"/>
      </rPr>
      <t>←</t>
    </r>
    <r>
      <rPr>
        <sz val="8.8000000000000007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  <scheme val="minor"/>
      </rPr>
      <t xml:space="preserve">old x8)
TEST_EN=1 &amp;&amp; LD_FIX_EN=1 : 
- MAX_CURR_VREF [11:0] reg continuously out
- LD_FIX [15:0] always out regardlee a vsync
</t>
    </r>
    <r>
      <rPr>
        <sz val="11"/>
        <color rgb="FFFF0000"/>
        <rFont val="맑은 고딕"/>
        <family val="3"/>
        <charset val="129"/>
        <scheme val="minor"/>
      </rPr>
      <t xml:space="preserve">TEST_EN=1 &amp;&amp; DDIO_DIS=1 : Blocking DDIO out to PAD
</t>
    </r>
    <r>
      <rPr>
        <sz val="11"/>
        <rFont val="맑은 고딕"/>
        <family val="3"/>
        <charset val="129"/>
        <scheme val="minor"/>
      </rPr>
      <t>ADDR_EXT : 0x3F~0x3E (</t>
    </r>
    <r>
      <rPr>
        <u/>
        <sz val="11"/>
        <rFont val="맑은 고딕"/>
        <family val="3"/>
        <charset val="129"/>
        <scheme val="minor"/>
      </rPr>
      <t>common accessible</t>
    </r>
    <r>
      <rPr>
        <sz val="11"/>
        <rFont val="맑은 고딕"/>
        <family val="3"/>
        <charset val="129"/>
        <scheme val="minor"/>
      </rPr>
      <t>)
'0' general reg addr accessible
'1' otp address accesible</t>
    </r>
    <phoneticPr fontId="2" type="noConversion"/>
  </si>
  <si>
    <t>bit counting은 설정값+1만큼 가능하게 확장</t>
    <phoneticPr fontId="2" type="noConversion"/>
  </si>
  <si>
    <t>TIMEOUT_E 14-bit full counting</t>
    <phoneticPr fontId="2" type="noConversion"/>
  </si>
  <si>
    <t>0xFFF</t>
    <phoneticPr fontId="2" type="noConversion"/>
  </si>
  <si>
    <t>0x007</t>
    <phoneticPr fontId="2" type="noConversion"/>
  </si>
  <si>
    <t>TEST_EN 外</t>
    <phoneticPr fontId="2" type="noConversion"/>
  </si>
  <si>
    <t>ld ref value @ vsync missing</t>
    <phoneticPr fontId="2" type="noConversion"/>
  </si>
  <si>
    <t>0x2E</t>
    <phoneticPr fontId="2" type="noConversion"/>
  </si>
  <si>
    <t>SCLK_LOW [5:0] default=7ea</t>
    <phoneticPr fontId="2" type="noConversion"/>
  </si>
  <si>
    <t>SCLK_HIGH [5:0] default=14ea</t>
    <phoneticPr fontId="2" type="noConversion"/>
  </si>
  <si>
    <t>0x02D</t>
    <phoneticPr fontId="2" type="noConversion"/>
  </si>
  <si>
    <r>
      <t xml:space="preserve">LD_MODE : '0' NORMAL(BFI), '1' X8
LD_DIR : '0' Head lighten, '1' Tail lighten
</t>
    </r>
    <r>
      <rPr>
        <sz val="11"/>
        <color rgb="FFFF0000"/>
        <rFont val="맑은 고딕"/>
        <family val="3"/>
        <charset val="129"/>
        <scheme val="minor"/>
      </rPr>
      <t xml:space="preserve">IO_MODE : '00'=NOP (input), 
               '01'=EXT_VSYNC (EXT_VSI/EXT_VSO),
               '10'=FBO (FBI/FBO), '11'= EXT_VYI/FBO </t>
    </r>
    <phoneticPr fontId="2" type="noConversion"/>
  </si>
  <si>
    <t>pre1</t>
    <phoneticPr fontId="2" type="noConversion"/>
  </si>
  <si>
    <t>pre2</t>
  </si>
  <si>
    <t>0x84F</t>
    <phoneticPr fontId="2" type="noConversion"/>
  </si>
  <si>
    <t>MIRROR3</t>
    <phoneticPr fontId="2" type="noConversion"/>
  </si>
  <si>
    <t>VDD &amp; LDO FAULT LEVEL</t>
    <phoneticPr fontId="2" type="noConversion"/>
  </si>
  <si>
    <t>uv15_level [2:0]</t>
    <phoneticPr fontId="2" type="noConversion"/>
  </si>
  <si>
    <t>ov15_level [2:0]</t>
    <phoneticPr fontId="2" type="noConversion"/>
  </si>
  <si>
    <t>uv50_level [2:0]</t>
    <phoneticPr fontId="2" type="noConversion"/>
  </si>
  <si>
    <t>ov50_level [2:0]</t>
    <phoneticPr fontId="2" type="noConversion"/>
  </si>
  <si>
    <t>dac_inc1 [4:0]</t>
    <phoneticPr fontId="2" type="noConversion"/>
  </si>
  <si>
    <t>dac_inc2 [4:0]</t>
    <phoneticPr fontId="2" type="noConversion"/>
  </si>
  <si>
    <t>dac_inc3 [5:0]</t>
    <phoneticPr fontId="2" type="noConversion"/>
  </si>
  <si>
    <t>dac_hold_en
'0' disable
'1' enable</t>
    <phoneticPr fontId="2" type="noConversion"/>
  </si>
  <si>
    <t>DAC INCREMENT HOLD THRESOLD</t>
    <phoneticPr fontId="2" type="noConversion"/>
  </si>
  <si>
    <t>signed</t>
    <phoneticPr fontId="2" type="noConversion"/>
  </si>
  <si>
    <t>dac_st_en [3:0]</t>
    <phoneticPr fontId="2" type="noConversion"/>
  </si>
  <si>
    <t>dac_state [3:0]</t>
    <phoneticPr fontId="2" type="noConversion"/>
  </si>
  <si>
    <t>dac_inc_hold_limit_cnt [7:0]</t>
    <phoneticPr fontId="2" type="noConversion"/>
  </si>
  <si>
    <t>DAC INC HOLD/WAIT CNT</t>
    <phoneticPr fontId="2" type="noConversion"/>
  </si>
  <si>
    <t>0x5A</t>
    <phoneticPr fontId="2" type="noConversion"/>
  </si>
  <si>
    <t>0x5B</t>
    <phoneticPr fontId="2" type="noConversion"/>
  </si>
  <si>
    <t>0x5C</t>
    <phoneticPr fontId="2" type="noConversion"/>
  </si>
  <si>
    <t>0x5D</t>
    <phoneticPr fontId="2" type="noConversion"/>
  </si>
  <si>
    <t>0x5E</t>
    <phoneticPr fontId="2" type="noConversion"/>
  </si>
  <si>
    <t>0x5F</t>
    <phoneticPr fontId="2" type="noConversion"/>
  </si>
  <si>
    <t>DAC MIN LIMIT</t>
    <phoneticPr fontId="2" type="noConversion"/>
  </si>
  <si>
    <t>dac_min_limit [11:0]</t>
    <phoneticPr fontId="2" type="noConversion"/>
  </si>
  <si>
    <t>dac_inc_hold_threshold [8:0]</t>
    <phoneticPr fontId="2" type="noConversion"/>
  </si>
  <si>
    <t>soa_n1 [6:0]</t>
    <phoneticPr fontId="2" type="noConversion"/>
  </si>
  <si>
    <t>soa_n11 [8:0]</t>
    <phoneticPr fontId="2" type="noConversion"/>
  </si>
  <si>
    <t>SOA_N1 &amp; N11</t>
    <phoneticPr fontId="2" type="noConversion"/>
  </si>
  <si>
    <t>soa_p3 [9:0]</t>
    <phoneticPr fontId="2" type="noConversion"/>
  </si>
  <si>
    <t>dac_dec1_mode
'0' static
'1' arithmetic exp</t>
    <phoneticPr fontId="2" type="noConversion"/>
  </si>
  <si>
    <t>0x1301</t>
    <phoneticPr fontId="2" type="noConversion"/>
  </si>
  <si>
    <t>soa_p1 [8:0]</t>
    <phoneticPr fontId="2" type="noConversion"/>
  </si>
  <si>
    <t>soa_p2 [3:0]</t>
    <phoneticPr fontId="2" type="noConversion"/>
  </si>
  <si>
    <t>soa_p2 [9:4]</t>
    <phoneticPr fontId="2" type="noConversion"/>
  </si>
  <si>
    <t>SOA_P3/P2</t>
    <phoneticPr fontId="2" type="noConversion"/>
  </si>
  <si>
    <t>SOA_P2/P1</t>
    <phoneticPr fontId="2" type="noConversion"/>
  </si>
  <si>
    <t>dac_int4 [6:0]</t>
    <phoneticPr fontId="2" type="noConversion"/>
  </si>
  <si>
    <t>dac_inc_hold_limit [8:0]</t>
    <phoneticPr fontId="2" type="noConversion"/>
  </si>
  <si>
    <t>dac_dec1 [6:0]</t>
    <phoneticPr fontId="2" type="noConversion"/>
  </si>
  <si>
    <t>dac_inc1_wait [6:0]</t>
    <phoneticPr fontId="2" type="noConversion"/>
  </si>
  <si>
    <t>DAC DECREMENT &amp; INC WAIT</t>
    <phoneticPr fontId="2" type="noConversion"/>
  </si>
  <si>
    <t>0x0190</t>
    <phoneticPr fontId="2" type="noConversion"/>
  </si>
  <si>
    <t>0x020A</t>
    <phoneticPr fontId="2" type="noConversion"/>
  </si>
  <si>
    <t>0x40C2</t>
    <phoneticPr fontId="2" type="noConversion"/>
  </si>
  <si>
    <t>0x1908</t>
    <phoneticPr fontId="2" type="noConversion"/>
  </si>
  <si>
    <t>0x0820</t>
    <phoneticPr fontId="2" type="noConversion"/>
  </si>
  <si>
    <t>alone</t>
    <phoneticPr fontId="2" type="noConversion"/>
  </si>
  <si>
    <t>real_fb</t>
    <phoneticPr fontId="2" type="noConversion"/>
  </si>
  <si>
    <t>cmd_fb</t>
    <phoneticPr fontId="2" type="noConversion"/>
  </si>
  <si>
    <t>multitple</t>
    <phoneticPr fontId="2" type="noConversion"/>
  </si>
  <si>
    <t>미사용</t>
    <phoneticPr fontId="2" type="noConversion"/>
  </si>
  <si>
    <t>= int_fb_source</t>
    <phoneticPr fontId="2" type="noConversion"/>
  </si>
  <si>
    <t>사용</t>
    <phoneticPr fontId="2" type="noConversion"/>
  </si>
  <si>
    <t>미사용 (PU)</t>
    <phoneticPr fontId="2" type="noConversion"/>
  </si>
  <si>
    <t>int_fb_source 그대로 사용</t>
    <phoneticPr fontId="2" type="noConversion"/>
  </si>
  <si>
    <t>사용(PU)</t>
    <phoneticPr fontId="2" type="noConversion"/>
  </si>
  <si>
    <t>FBO를 FBI와 연결(all XC)</t>
    <phoneticPr fontId="2" type="noConversion"/>
  </si>
  <si>
    <t>FBI신호를 filtering &amp; latch해서 사용</t>
    <phoneticPr fontId="2" type="noConversion"/>
  </si>
  <si>
    <t>FBI 신호를 filtering &amp; latch 필요</t>
    <phoneticPr fontId="2" type="noConversion"/>
  </si>
  <si>
    <t>(이전 한 프레임 신호가 latched)</t>
    <phoneticPr fontId="2" type="noConversion"/>
  </si>
  <si>
    <t>master로 입력되는 FBI (real fb) 신호를 한 프레임 동안 filtering &amp; latch해서 사용</t>
    <phoneticPr fontId="2" type="noConversion"/>
  </si>
  <si>
    <t>master로 입력되는 FBI (cmd fb) 신호들을 한 프레임동안 filtering &amp; latch해서 사용</t>
    <phoneticPr fontId="2" type="noConversion"/>
  </si>
  <si>
    <t>모든 FBO 신호(master포함)들을 묶어서 master FBI로 연결 (slave FBI 미사용)</t>
    <phoneticPr fontId="2" type="noConversion"/>
  </si>
  <si>
    <t>master FBI(real fb, PU) 만 사용, 나머지 모든 FBI/ FBO 미사용</t>
    <phoneticPr fontId="2" type="noConversion"/>
  </si>
  <si>
    <t>FBI(real fb, PU) 만 사용, FBO 미사용</t>
    <phoneticPr fontId="2" type="noConversion"/>
  </si>
  <si>
    <t>FBI(PU) 미사용 / FBO 미사용</t>
    <phoneticPr fontId="2" type="noConversion"/>
  </si>
  <si>
    <t xml:space="preserve"> = int_fb_source 로 처리</t>
    <phoneticPr fontId="2" type="noConversion"/>
  </si>
  <si>
    <t>design</t>
    <phoneticPr fontId="2" type="noConversion"/>
  </si>
  <si>
    <t>dac_fb_mode : '0' internal   '1' external (multiple XC)</t>
    <phoneticPr fontId="2" type="noConversion"/>
  </si>
  <si>
    <t>FBI : filterred and latched</t>
    <phoneticPr fontId="2" type="noConversion"/>
  </si>
  <si>
    <t>dac_fb_mode
'0' internal
'1' ext multiple XC</t>
    <phoneticPr fontId="2" type="noConversion"/>
  </si>
  <si>
    <t>0x0400</t>
    <phoneticPr fontId="2" type="noConversion"/>
  </si>
  <si>
    <t>0xC07D</t>
    <phoneticPr fontId="2" type="noConversion"/>
  </si>
  <si>
    <t>0x7D12</t>
    <phoneticPr fontId="2" type="noConversion"/>
  </si>
  <si>
    <t>*ANA</t>
    <phoneticPr fontId="2" type="noConversion"/>
  </si>
  <si>
    <t>2025.03.12</t>
    <phoneticPr fontId="2" type="noConversion"/>
  </si>
  <si>
    <t>1. fb level = 0.7v 설정 (dev/max current별 적정값으로 설정)</t>
    <phoneticPr fontId="2" type="noConversion"/>
  </si>
  <si>
    <t>55" old LED, 10℃</t>
    <phoneticPr fontId="2" type="noConversion"/>
  </si>
  <si>
    <t>=</t>
    <phoneticPr fontId="2" type="noConversion"/>
  </si>
  <si>
    <t>*PWM</t>
    <phoneticPr fontId="2" type="noConversion"/>
  </si>
  <si>
    <t>3. pwm 공식 도출</t>
    <phoneticPr fontId="2" type="noConversion"/>
  </si>
  <si>
    <t>2. dac_fit 상태에서, step=1로 하고, ana별로 vled 값 측정</t>
    <phoneticPr fontId="2" type="noConversion"/>
  </si>
  <si>
    <t xml:space="preserve">   fit상태라 fb에 따른 적정 VLED로 fitted됨)</t>
    <phoneticPr fontId="2" type="noConversion"/>
  </si>
  <si>
    <t>* 저온 조건으로 하면 hold_limit발생으로 Pd 불리</t>
    <phoneticPr fontId="2" type="noConversion"/>
  </si>
  <si>
    <t>** fit구간에서 hold상태라 온도가 올라갈 경우 온도 보정안됨</t>
    <phoneticPr fontId="2" type="noConversion"/>
  </si>
  <si>
    <t>** 상온에서 값 도출하되, fb가 발생해서 fitted되도록 상수값 올리는 게 유리</t>
    <phoneticPr fontId="2" type="noConversion"/>
  </si>
  <si>
    <t xml:space="preserve">   상온 상태 측정해서 적정값 선정 (저온 조건으로 하면 hold_limit발생)</t>
    <phoneticPr fontId="2" type="noConversion"/>
  </si>
  <si>
    <t>최종 튜닝값</t>
    <phoneticPr fontId="2" type="noConversion"/>
  </si>
  <si>
    <t>0x1CE</t>
    <phoneticPr fontId="2" type="noConversion"/>
  </si>
  <si>
    <t>SERIAL_LATENCY [6:0] default= 45ea  &gt; sclk_high + sclk_low</t>
    <phoneticPr fontId="2" type="noConversion"/>
  </si>
  <si>
    <t>0x840</t>
    <phoneticPr fontId="2" type="noConversion"/>
  </si>
  <si>
    <t>TEST CONTROL</t>
    <phoneticPr fontId="2" type="noConversion"/>
  </si>
  <si>
    <t>0x4F</t>
    <phoneticPr fontId="2" type="noConversion"/>
  </si>
  <si>
    <t>dac_inc1_wait_cnt [6:0]</t>
    <phoneticPr fontId="2" type="noConversion"/>
  </si>
  <si>
    <t>r2 [ 11:0]</t>
    <phoneticPr fontId="2" type="noConversion"/>
  </si>
  <si>
    <t>R2</t>
    <phoneticPr fontId="2" type="noConversion"/>
  </si>
  <si>
    <t>MCLK1_O</t>
    <phoneticPr fontId="2" type="noConversion"/>
  </si>
  <si>
    <t>dac_fb_valid_timer [17:2]</t>
    <phoneticPr fontId="2" type="noConversion"/>
  </si>
  <si>
    <t>0xF5</t>
    <phoneticPr fontId="2" type="noConversion"/>
  </si>
  <si>
    <t>dac_fb_valid_cnt [17:2]</t>
    <phoneticPr fontId="2" type="noConversion"/>
  </si>
  <si>
    <r>
      <t xml:space="preserve">LD_DIR : '0' Head Lighting, '1' Tail Lighting
PWM_RES : '0' 12-bit, '1' 14-bit
SCAN_NO : '0'=1, '1'=2, '2'=4, '3'=8, '4'=16, '5'=32
OVER_TO_E : pwmclk free-running, '0' not over, '1' over turn-on
CH_SIZE : the number of LD DATA to be received
</t>
    </r>
    <r>
      <rPr>
        <sz val="11"/>
        <color rgb="FFFF0000"/>
        <rFont val="맑은 고딕"/>
        <family val="3"/>
        <charset val="129"/>
        <scheme val="minor"/>
      </rPr>
      <t xml:space="preserve">IO_MODE : '00'=NOP (input), '01'=EXT_VSYNC (EXT_VSI/EXT_VSO),
               '10'=FBO (FBI/FBO), '11'= EXT_VYI/FBO </t>
    </r>
    <phoneticPr fontId="2" type="noConversion"/>
  </si>
  <si>
    <t>0x4D</t>
    <phoneticPr fontId="2" type="noConversion"/>
  </si>
  <si>
    <t>DAC MAX LIMIT</t>
    <phoneticPr fontId="2" type="noConversion"/>
  </si>
  <si>
    <t>dac_max_limit [11:0]</t>
    <phoneticPr fontId="2" type="noConversion"/>
  </si>
  <si>
    <t>int_parity_err_en</t>
    <phoneticPr fontId="2" type="noConversion"/>
  </si>
  <si>
    <t>int_acc_cnt_err_en</t>
    <phoneticPr fontId="2" type="noConversion"/>
  </si>
  <si>
    <t>spi_parity_err_det_en
'0' disable  '1' enable</t>
    <phoneticPr fontId="2" type="noConversion"/>
  </si>
  <si>
    <t>spi_acc_cnt_err_det_en
'0' disable  '0' enable</t>
    <phoneticPr fontId="2" type="noConversion"/>
  </si>
  <si>
    <t>parity_err_status</t>
    <phoneticPr fontId="2" type="noConversion"/>
  </si>
  <si>
    <t>acc_cnt_err_status</t>
    <phoneticPr fontId="2" type="noConversion"/>
  </si>
  <si>
    <t>int_ov50_en</t>
    <phoneticPr fontId="2" type="noConversion"/>
  </si>
  <si>
    <t>int_uv50_en</t>
    <phoneticPr fontId="2" type="noConversion"/>
  </si>
  <si>
    <t>int_ov15_en</t>
    <phoneticPr fontId="2" type="noConversion"/>
  </si>
  <si>
    <t>int_uv15_en</t>
    <phoneticPr fontId="2" type="noConversion"/>
  </si>
  <si>
    <t>int_ovuv_err
_source</t>
    <phoneticPr fontId="2" type="noConversion"/>
  </si>
  <si>
    <t>int_acc_cnt_err
_source</t>
    <phoneticPr fontId="2" type="noConversion"/>
  </si>
  <si>
    <t>int_parity_err
_source</t>
    <phoneticPr fontId="2" type="noConversion"/>
  </si>
  <si>
    <t>checksum_status [1;0]</t>
    <phoneticPr fontId="2" type="noConversion"/>
  </si>
  <si>
    <t>acc_counter [7:0]</t>
    <phoneticPr fontId="2" type="noConversion"/>
  </si>
  <si>
    <t>SPI FAULT STATUS/CONTROL</t>
    <phoneticPr fontId="2" type="noConversion"/>
  </si>
  <si>
    <t>0x4444</t>
    <phoneticPr fontId="2" type="noConversion"/>
  </si>
  <si>
    <t>max_limit</t>
    <phoneticPr fontId="2" type="noConversion"/>
  </si>
  <si>
    <t>0x4000</t>
    <phoneticPr fontId="2" type="noConversion"/>
  </si>
  <si>
    <t>osc_force_static [6:0]</t>
    <phoneticPr fontId="2" type="noConversion"/>
  </si>
  <si>
    <r>
      <t xml:space="preserve">TEST_EN &amp;&amp; MCLK32_O &amp;&amp; ~MCLK1_O : </t>
    </r>
    <r>
      <rPr>
        <b/>
        <sz val="11"/>
        <color rgb="FFFF0000"/>
        <rFont val="맑은 고딕"/>
        <family val="3"/>
        <charset val="129"/>
        <scheme val="minor"/>
      </rPr>
      <t>OSC</t>
    </r>
    <r>
      <rPr>
        <sz val="11"/>
        <color rgb="FFFF0000"/>
        <rFont val="맑은 고딕"/>
        <family val="3"/>
        <charset val="129"/>
        <scheme val="minor"/>
      </rPr>
      <t xml:space="preserve"> 32분주 clk out to SCLKO  ;    TEST_EN &amp;&amp; ~MCLK32_O &amp;&amp; MCLK1_O : OSC clk out to SCLKO, if SPREAD_EN=1, then the spread OSC clock out</t>
    </r>
    <phoneticPr fontId="2" type="noConversion"/>
  </si>
  <si>
    <t>otp_checksum [5:0]</t>
    <phoneticPr fontId="2" type="noConversion"/>
  </si>
  <si>
    <t>40mhz 적정값을 default로 설정</t>
    <phoneticPr fontId="2" type="noConversion"/>
  </si>
  <si>
    <t>protect_dis이면 otp accessible 및 checksum이 달라도 re-downloading안함, protect_en 이면 normal function, otp auto-downloading after por, checksum기능 활성화</t>
    <phoneticPr fontId="2" type="noConversion"/>
  </si>
  <si>
    <t>DAC INCREMENT 1</t>
    <phoneticPr fontId="2" type="noConversion"/>
  </si>
  <si>
    <t>DAC INCREMENT 2 &amp; HOLD_LIMIT</t>
    <phoneticPr fontId="2" type="noConversion"/>
  </si>
  <si>
    <t>LATENCY</t>
    <phoneticPr fontId="2" type="noConversion"/>
  </si>
  <si>
    <t>serial_latency [7:0]</t>
    <phoneticPr fontId="2" type="noConversion"/>
  </si>
  <si>
    <t>0x5454</t>
    <phoneticPr fontId="2" type="noConversion"/>
  </si>
  <si>
    <t>0x0FA0</t>
    <phoneticPr fontId="2" type="noConversion"/>
  </si>
  <si>
    <t>0x0004</t>
    <phoneticPr fontId="2" type="noConversion"/>
  </si>
  <si>
    <t>0x4008</t>
    <phoneticPr fontId="2" type="noConversion"/>
  </si>
  <si>
    <t>0x2000</t>
    <phoneticPr fontId="2" type="noConversion"/>
  </si>
  <si>
    <t>DACO_DIRECT</t>
    <phoneticPr fontId="2" type="noConversion"/>
  </si>
  <si>
    <t>OV15</t>
    <phoneticPr fontId="2" type="noConversion"/>
  </si>
  <si>
    <t>UV15</t>
    <phoneticPr fontId="2" type="noConversion"/>
  </si>
  <si>
    <t>OVUV15_EN</t>
    <phoneticPr fontId="2" type="noConversion"/>
  </si>
  <si>
    <t>VREF_FIX</t>
    <phoneticPr fontId="2" type="noConversion"/>
  </si>
  <si>
    <t>VREF_FIX [11:0]</t>
    <phoneticPr fontId="2" type="noConversion"/>
  </si>
  <si>
    <t>0x2F</t>
    <phoneticPr fontId="2" type="noConversion"/>
  </si>
  <si>
    <t>next dbout때 추가 : vsync missing에서 사용</t>
    <phoneticPr fontId="2" type="noConversion"/>
  </si>
  <si>
    <t>int_ld
(= nINT_LD, OD)</t>
    <phoneticPr fontId="2" type="noConversion"/>
  </si>
  <si>
    <t>int_fault
(= nINT_FAULT, OD)</t>
    <phoneticPr fontId="2" type="noConversion"/>
  </si>
  <si>
    <t>parity_err_mode
'0' odd   '1' reserved</t>
    <phoneticPr fontId="2" type="noConversion"/>
  </si>
  <si>
    <t>auto-cleared after a readout</t>
    <phoneticPr fontId="2" type="noConversion"/>
  </si>
  <si>
    <t>acc_cnt/parity err후 어떻게 ?</t>
    <phoneticPr fontId="2" type="noConversion"/>
  </si>
  <si>
    <t>spread_range_a [2:0]</t>
    <phoneticPr fontId="2" type="noConversion"/>
  </si>
  <si>
    <t>buf_rd_clk_sel
'0' internal osc
'1' ext mclk</t>
    <phoneticPr fontId="2" type="noConversion"/>
  </si>
  <si>
    <t>spread_range_d [1:0]</t>
    <phoneticPr fontId="2" type="noConversion"/>
  </si>
  <si>
    <t>spread_speed [1:0]</t>
    <phoneticPr fontId="2" type="noConversion"/>
  </si>
  <si>
    <r>
      <t xml:space="preserve">spread_dir [1:0]
 '00' +       '01' -      '10' </t>
    </r>
    <r>
      <rPr>
        <sz val="11"/>
        <color rgb="FFFF0000"/>
        <rFont val="맑은 고딕"/>
        <family val="3"/>
        <charset val="129"/>
      </rPr>
      <t>±</t>
    </r>
    <phoneticPr fontId="2" type="noConversion"/>
  </si>
  <si>
    <t>serializer_skew_en
'0' disable
'1' enable</t>
    <phoneticPr fontId="2" type="noConversion"/>
  </si>
  <si>
    <t>osc_spread_en
'0' disable
'1' enable</t>
    <phoneticPr fontId="2" type="noConversion"/>
  </si>
  <si>
    <t>serializer_clk_sel
'0' internal osc
  '1' external mclk</t>
    <phoneticPr fontId="2" type="noConversion"/>
  </si>
  <si>
    <r>
      <t xml:space="preserve">mclk_mode
'0' internal osc(default)
</t>
    </r>
    <r>
      <rPr>
        <sz val="11"/>
        <color theme="0" tint="-0.249977111117893"/>
        <rFont val="맑은 고딕"/>
        <family val="3"/>
        <charset val="129"/>
        <scheme val="minor"/>
      </rPr>
      <t xml:space="preserve"> '1'</t>
    </r>
    <r>
      <rPr>
        <sz val="11"/>
        <color rgb="FFFF0000"/>
        <rFont val="맑은 고딕"/>
        <family val="3"/>
        <charset val="129"/>
        <scheme val="minor"/>
      </rPr>
      <t xml:space="preserve"> ext mclk (if entered)</t>
    </r>
    <phoneticPr fontId="2" type="noConversion"/>
  </si>
  <si>
    <t>interrupt처리, filtering 100us, show only status, int source는 해당 비트 rising detection and auto-cleared</t>
    <phoneticPr fontId="2" type="noConversion"/>
  </si>
  <si>
    <t>frame #</t>
    <phoneticPr fontId="2" type="noConversion"/>
  </si>
  <si>
    <t>repeated</t>
    <phoneticPr fontId="2" type="noConversion"/>
  </si>
  <si>
    <t>G2</t>
    <phoneticPr fontId="2" type="noConversion"/>
  </si>
  <si>
    <t>G1</t>
    <phoneticPr fontId="2" type="noConversion"/>
  </si>
  <si>
    <t>khz</t>
    <phoneticPr fontId="2" type="noConversion"/>
  </si>
  <si>
    <t>model</t>
    <phoneticPr fontId="2" type="noConversion"/>
  </si>
  <si>
    <t>total block</t>
    <phoneticPr fontId="2" type="noConversion"/>
  </si>
  <si>
    <t>led#</t>
    <phoneticPr fontId="2" type="noConversion"/>
  </si>
  <si>
    <t>blu#</t>
    <phoneticPr fontId="2" type="noConversion"/>
  </si>
  <si>
    <t>blk#</t>
    <phoneticPr fontId="2" type="noConversion"/>
  </si>
  <si>
    <t>blu layout</t>
    <phoneticPr fontId="2" type="noConversion"/>
  </si>
  <si>
    <t>blk layout/blu</t>
    <phoneticPr fontId="2" type="noConversion"/>
  </si>
  <si>
    <t>xd#/blu</t>
    <phoneticPr fontId="2" type="noConversion"/>
  </si>
  <si>
    <t>d#</t>
    <phoneticPr fontId="2" type="noConversion"/>
  </si>
  <si>
    <t>xd#/d</t>
    <phoneticPr fontId="2" type="noConversion"/>
  </si>
  <si>
    <t>jumper</t>
    <phoneticPr fontId="2" type="noConversion"/>
  </si>
  <si>
    <t>watt</t>
    <phoneticPr fontId="2" type="noConversion"/>
  </si>
  <si>
    <t>hor</t>
    <phoneticPr fontId="2" type="noConversion"/>
  </si>
  <si>
    <t>ver</t>
    <phoneticPr fontId="2" type="noConversion"/>
  </si>
  <si>
    <t>total</t>
    <phoneticPr fontId="2" type="noConversion"/>
  </si>
  <si>
    <t>led#/blk</t>
    <phoneticPr fontId="2" type="noConversion"/>
  </si>
  <si>
    <t>/set</t>
    <phoneticPr fontId="2" type="noConversion"/>
  </si>
  <si>
    <t>/blu</t>
    <phoneticPr fontId="2" type="noConversion"/>
  </si>
  <si>
    <t>xd ch#</t>
    <phoneticPr fontId="2" type="noConversion"/>
  </si>
  <si>
    <t>/finger</t>
    <phoneticPr fontId="2" type="noConversion"/>
  </si>
  <si>
    <t>/xd</t>
    <phoneticPr fontId="2" type="noConversion"/>
  </si>
  <si>
    <t>55"</t>
    <phoneticPr fontId="2" type="noConversion"/>
  </si>
  <si>
    <t>65"</t>
    <phoneticPr fontId="2" type="noConversion"/>
  </si>
  <si>
    <t>75"</t>
    <phoneticPr fontId="2" type="noConversion"/>
  </si>
  <si>
    <t>85"</t>
    <phoneticPr fontId="2" type="noConversion"/>
  </si>
  <si>
    <t>current [mA]</t>
    <phoneticPr fontId="2" type="noConversion"/>
  </si>
  <si>
    <t>curr/ana</t>
    <phoneticPr fontId="2" type="noConversion"/>
  </si>
  <si>
    <t>curr/vref</t>
    <phoneticPr fontId="2" type="noConversion"/>
  </si>
  <si>
    <t>vref</t>
    <phoneticPr fontId="2" type="noConversion"/>
  </si>
  <si>
    <t>gap_vref</t>
    <phoneticPr fontId="2" type="noConversion"/>
  </si>
  <si>
    <t>peak</t>
    <phoneticPr fontId="2" type="noConversion"/>
  </si>
  <si>
    <t>swing</t>
    <phoneticPr fontId="2" type="noConversion"/>
  </si>
  <si>
    <t>vref/ana</t>
    <phoneticPr fontId="2" type="noConversion"/>
  </si>
  <si>
    <t>main spi</t>
    <phoneticPr fontId="2" type="noConversion"/>
  </si>
  <si>
    <t>data#</t>
    <phoneticPr fontId="2" type="noConversion"/>
  </si>
  <si>
    <t>line</t>
    <phoneticPr fontId="2" type="noConversion"/>
  </si>
  <si>
    <t>xc spi</t>
    <phoneticPr fontId="2" type="noConversion"/>
  </si>
  <si>
    <t>xc baudrate</t>
    <phoneticPr fontId="2" type="noConversion"/>
  </si>
  <si>
    <t>low/high</t>
    <phoneticPr fontId="2" type="noConversion"/>
  </si>
  <si>
    <t>max frame</t>
    <phoneticPr fontId="2" type="noConversion"/>
  </si>
  <si>
    <t>margin</t>
    <phoneticPr fontId="2" type="noConversion"/>
  </si>
  <si>
    <t>block</t>
    <phoneticPr fontId="2" type="noConversion"/>
  </si>
  <si>
    <t>room t</t>
    <phoneticPr fontId="2" type="noConversion"/>
  </si>
  <si>
    <t>room blk#</t>
    <phoneticPr fontId="2" type="noConversion"/>
  </si>
  <si>
    <t>spi frequency</t>
    <phoneticPr fontId="2" type="noConversion"/>
  </si>
  <si>
    <t>xc_ld_size</t>
    <phoneticPr fontId="2" type="noConversion"/>
  </si>
  <si>
    <t>spi latency1</t>
    <phoneticPr fontId="2" type="noConversion"/>
  </si>
  <si>
    <t>spi ld/blk</t>
    <phoneticPr fontId="2" type="noConversion"/>
  </si>
  <si>
    <t>spi latency2</t>
  </si>
  <si>
    <t>xc_dev_ch_size</t>
    <phoneticPr fontId="2" type="noConversion"/>
  </si>
  <si>
    <t>transmit</t>
    <phoneticPr fontId="2" type="noConversion"/>
  </si>
  <si>
    <t>(burst size=24)</t>
    <phoneticPr fontId="2" type="noConversion"/>
  </si>
  <si>
    <t>total line</t>
    <phoneticPr fontId="2" type="noConversion"/>
  </si>
  <si>
    <t>spi thruput</t>
    <phoneticPr fontId="2" type="noConversion"/>
  </si>
  <si>
    <t>ld serializing thruput</t>
    <phoneticPr fontId="2" type="noConversion"/>
  </si>
  <si>
    <t>total blk#</t>
    <phoneticPr fontId="2" type="noConversion"/>
  </si>
  <si>
    <t>ld_transfer_start_point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</si>
</sst>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76" formatCode="#,##0_ "/>
    <numFmt numFmtId="177" formatCode="0.000000000000000_ "/>
    <numFmt numFmtId="178" formatCode="0.000%"/>
    <numFmt numFmtId="179" formatCode="#,##0.000_ ;[Red]\-#,##0.000\ "/>
    <numFmt numFmtId="180" formatCode="#,##0_ ;[Red]\-#,##0\ "/>
    <numFmt numFmtId="181" formatCode="#,##0.000000_ ;[Red]\-#,##0.000000\ "/>
    <numFmt numFmtId="182" formatCode="#,##0.0_ ;[Red]\-#,##0.0\ "/>
    <numFmt numFmtId="183" formatCode="0_);[Red]\(0\)"/>
    <numFmt numFmtId="184" formatCode="0.00_);[Red]\(0.00\)"/>
    <numFmt numFmtId="185" formatCode="0.0%"/>
    <numFmt numFmtId="186" formatCode="0.000_ ;[Red]\-0.000\ "/>
    <numFmt numFmtId="187" formatCode="0.0_ ;[Red]\-0.0\ "/>
    <numFmt numFmtId="188" formatCode="#,##0.00000_ ;[Red]\-#,##0.00000\ "/>
    <numFmt numFmtId="189" formatCode="0_ ;[Red]\-0\ "/>
    <numFmt numFmtId="190" formatCode="0.00000_ ;[Red]\-0.00000\ "/>
    <numFmt numFmtId="191" formatCode="0.0000000_ ;[Red]\-0.0000000\ "/>
    <numFmt numFmtId="192" formatCode="0.0000_ ;[Red]\-0.0000\ "/>
    <numFmt numFmtId="193" formatCode="0.00_ "/>
    <numFmt numFmtId="194" formatCode="#,##0.0000_ ;[Red]\-#,##0.0000\ "/>
    <numFmt numFmtId="195" formatCode="#,##0.00_ ;[Red]\-#,##0.00\ "/>
    <numFmt numFmtId="196" formatCode="0.000_ "/>
    <numFmt numFmtId="197" formatCode="0.00000_ "/>
  </numFmts>
  <fonts count="77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Arial"/>
      <family val="2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11"/>
      <name val="맑은 고딕"/>
      <family val="3"/>
      <charset val="129"/>
    </font>
    <font>
      <u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0066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vertAlign val="subscript"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u/>
      <sz val="11"/>
      <color theme="5" tint="-0.249977111117893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1"/>
      <color rgb="FFFF00FF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theme="7" tint="-0.249977111117893"/>
      <name val="맑은 고딕"/>
      <family val="2"/>
      <charset val="129"/>
      <scheme val="minor"/>
    </font>
    <font>
      <sz val="11"/>
      <color theme="7" tint="-0.249977111117893"/>
      <name val="맑은 고딕"/>
      <family val="3"/>
      <charset val="129"/>
      <scheme val="minor"/>
    </font>
    <font>
      <sz val="11"/>
      <color rgb="FFFF00FF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vertAlign val="subscript"/>
      <sz val="11"/>
      <color theme="0"/>
      <name val="맑은 고딕"/>
      <family val="3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0"/>
      <color rgb="FFFF00FF"/>
      <name val="맑은 고딕"/>
      <family val="3"/>
      <charset val="129"/>
      <scheme val="minor"/>
    </font>
    <font>
      <sz val="11"/>
      <color indexed="8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rgb="FFCC00CC"/>
      <name val="맑은 고딕"/>
      <family val="3"/>
      <charset val="129"/>
      <scheme val="minor"/>
    </font>
    <font>
      <sz val="8.8000000000000007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7"/>
      <color theme="1"/>
      <name val="맑은 고딕"/>
      <family val="2"/>
      <charset val="129"/>
      <scheme val="minor"/>
    </font>
    <font>
      <b/>
      <sz val="11"/>
      <color theme="1"/>
      <name val="맑은 고딕"/>
      <family val="1"/>
      <charset val="129"/>
    </font>
    <font>
      <b/>
      <sz val="11"/>
      <color theme="1"/>
      <name val="Yu Mincho Light"/>
      <family val="1"/>
      <charset val="128"/>
    </font>
    <font>
      <b/>
      <sz val="11"/>
      <color rgb="FFFFFF00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inor"/>
    </font>
    <font>
      <b/>
      <u/>
      <sz val="9"/>
      <color indexed="81"/>
      <name val="Tahoma"/>
      <family val="2"/>
    </font>
    <font>
      <b/>
      <u/>
      <sz val="9"/>
      <color indexed="81"/>
      <name val="돋움"/>
      <family val="3"/>
      <charset val="129"/>
    </font>
    <font>
      <strike/>
      <sz val="11"/>
      <color theme="0" tint="-0.249977111117893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color rgb="FF0033CC"/>
      <name val="맑은 고딕"/>
      <family val="2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DF2FB"/>
        <bgColor indexed="64"/>
      </patternFill>
    </fill>
    <fill>
      <patternFill patternType="solid">
        <fgColor rgb="FF9BDDF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theme="5" tint="-0.24994659260841701"/>
      </left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indexed="64"/>
      </left>
      <right/>
      <top/>
      <bottom style="thin">
        <color theme="1"/>
      </bottom>
      <diagonal/>
    </border>
    <border>
      <left style="dotted">
        <color auto="1"/>
      </left>
      <right/>
      <top style="dotted">
        <color auto="1"/>
      </top>
      <bottom style="thin">
        <color theme="1"/>
      </bottom>
      <diagonal/>
    </border>
    <border>
      <left/>
      <right/>
      <top style="dotted">
        <color auto="1"/>
      </top>
      <bottom style="thin">
        <color theme="1"/>
      </bottom>
      <diagonal/>
    </border>
    <border>
      <left/>
      <right style="thin">
        <color indexed="64"/>
      </right>
      <top style="dotted">
        <color auto="1"/>
      </top>
      <bottom style="thin">
        <color theme="1"/>
      </bottom>
      <diagonal/>
    </border>
    <border>
      <left style="dotted">
        <color rgb="FF0000FF"/>
      </left>
      <right/>
      <top/>
      <bottom style="dotted">
        <color auto="1"/>
      </bottom>
      <diagonal/>
    </border>
    <border>
      <left/>
      <right/>
      <top style="thin">
        <color rgb="FFFF00FF"/>
      </top>
      <bottom/>
      <diagonal/>
    </border>
    <border>
      <left/>
      <right/>
      <top/>
      <bottom style="thin">
        <color rgb="FFFF00FF"/>
      </bottom>
      <diagonal/>
    </border>
  </borders>
  <cellStyleXfs count="1">
    <xf numFmtId="0" fontId="0" fillId="0" borderId="0">
      <alignment vertical="center"/>
    </xf>
  </cellStyleXfs>
  <cellXfs count="78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6" borderId="0" xfId="0" applyFill="1">
      <alignment vertical="center"/>
    </xf>
    <xf numFmtId="178" fontId="0" fillId="6" borderId="0" xfId="0" applyNumberFormat="1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4" fillId="0" borderId="0" xfId="0" applyFont="1">
      <alignment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0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0" fontId="11" fillId="2" borderId="0" xfId="0" applyFont="1" applyFill="1" applyAlignment="1">
      <alignment horizontal="right" vertical="center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left" vertical="center"/>
    </xf>
    <xf numFmtId="179" fontId="10" fillId="0" borderId="0" xfId="0" applyNumberFormat="1" applyFont="1">
      <alignment vertical="center"/>
    </xf>
    <xf numFmtId="0" fontId="10" fillId="0" borderId="0" xfId="0" applyFont="1">
      <alignment vertical="center"/>
    </xf>
    <xf numFmtId="181" fontId="10" fillId="0" borderId="0" xfId="0" applyNumberFormat="1" applyFont="1">
      <alignment vertical="center"/>
    </xf>
    <xf numFmtId="0" fontId="10" fillId="6" borderId="0" xfId="0" applyFont="1" applyFill="1">
      <alignment vertical="center"/>
    </xf>
    <xf numFmtId="10" fontId="10" fillId="0" borderId="0" xfId="0" applyNumberFormat="1" applyFont="1" applyAlignment="1">
      <alignment horizontal="left" vertical="center"/>
    </xf>
    <xf numFmtId="0" fontId="10" fillId="3" borderId="0" xfId="0" applyFont="1" applyFill="1">
      <alignment vertical="center"/>
    </xf>
    <xf numFmtId="0" fontId="10" fillId="0" borderId="0" xfId="0" applyFont="1" applyAlignment="1">
      <alignment horizontal="right" vertical="center"/>
    </xf>
    <xf numFmtId="179" fontId="12" fillId="0" borderId="0" xfId="0" applyNumberFormat="1" applyFont="1">
      <alignment vertical="center"/>
    </xf>
    <xf numFmtId="0" fontId="12" fillId="0" borderId="0" xfId="0" applyFont="1">
      <alignment vertical="center"/>
    </xf>
    <xf numFmtId="181" fontId="12" fillId="0" borderId="0" xfId="0" applyNumberFormat="1" applyFont="1">
      <alignment vertical="center"/>
    </xf>
    <xf numFmtId="0" fontId="12" fillId="6" borderId="0" xfId="0" applyFont="1" applyFill="1">
      <alignment vertical="center"/>
    </xf>
    <xf numFmtId="0" fontId="12" fillId="3" borderId="0" xfId="0" applyFont="1" applyFill="1">
      <alignment vertical="center"/>
    </xf>
    <xf numFmtId="180" fontId="12" fillId="0" borderId="0" xfId="0" applyNumberFormat="1" applyFont="1">
      <alignment vertical="center"/>
    </xf>
    <xf numFmtId="0" fontId="12" fillId="0" borderId="0" xfId="0" applyFont="1" applyAlignment="1">
      <alignment horizontal="right" vertical="center"/>
    </xf>
    <xf numFmtId="182" fontId="12" fillId="0" borderId="0" xfId="0" applyNumberFormat="1" applyFont="1">
      <alignment vertical="center"/>
    </xf>
    <xf numFmtId="0" fontId="0" fillId="6" borderId="0" xfId="0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176" fontId="10" fillId="2" borderId="0" xfId="0" applyNumberFormat="1" applyFont="1" applyFill="1" applyAlignment="1">
      <alignment horizontal="right" vertical="center"/>
    </xf>
    <xf numFmtId="177" fontId="10" fillId="2" borderId="0" xfId="0" applyNumberFormat="1" applyFont="1" applyFill="1" applyAlignment="1">
      <alignment horizontal="right" vertical="center"/>
    </xf>
    <xf numFmtId="176" fontId="0" fillId="2" borderId="0" xfId="0" applyNumberFormat="1" applyFill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  <xf numFmtId="0" fontId="10" fillId="6" borderId="0" xfId="0" applyFont="1" applyFill="1" applyAlignment="1">
      <alignment horizontal="right" vertical="center"/>
    </xf>
    <xf numFmtId="0" fontId="11" fillId="6" borderId="0" xfId="0" applyFont="1" applyFill="1" applyAlignment="1">
      <alignment horizontal="right" vertical="center"/>
    </xf>
    <xf numFmtId="0" fontId="12" fillId="2" borderId="0" xfId="0" applyFont="1" applyFill="1">
      <alignment vertical="center"/>
    </xf>
    <xf numFmtId="0" fontId="12" fillId="6" borderId="0" xfId="0" applyFont="1" applyFill="1" applyAlignment="1">
      <alignment horizontal="right" vertical="center"/>
    </xf>
    <xf numFmtId="180" fontId="10" fillId="0" borderId="0" xfId="0" applyNumberFormat="1" applyFont="1">
      <alignment vertical="center"/>
    </xf>
    <xf numFmtId="182" fontId="10" fillId="0" borderId="0" xfId="0" applyNumberFormat="1" applyFont="1">
      <alignment vertical="center"/>
    </xf>
    <xf numFmtId="0" fontId="10" fillId="2" borderId="25" xfId="0" applyFont="1" applyFill="1" applyBorder="1">
      <alignment vertical="center"/>
    </xf>
    <xf numFmtId="0" fontId="10" fillId="2" borderId="23" xfId="0" applyFont="1" applyFill="1" applyBorder="1">
      <alignment vertical="center"/>
    </xf>
    <xf numFmtId="0" fontId="10" fillId="2" borderId="27" xfId="0" applyFont="1" applyFill="1" applyBorder="1">
      <alignment vertical="center"/>
    </xf>
    <xf numFmtId="179" fontId="10" fillId="0" borderId="28" xfId="0" applyNumberFormat="1" applyFont="1" applyBorder="1">
      <alignment vertical="center"/>
    </xf>
    <xf numFmtId="179" fontId="10" fillId="0" borderId="24" xfId="0" applyNumberFormat="1" applyFont="1" applyBorder="1">
      <alignment vertical="center"/>
    </xf>
    <xf numFmtId="0" fontId="10" fillId="6" borderId="28" xfId="0" applyFont="1" applyFill="1" applyBorder="1" applyAlignment="1">
      <alignment horizontal="right" vertical="center"/>
    </xf>
    <xf numFmtId="0" fontId="10" fillId="6" borderId="24" xfId="0" applyFont="1" applyFill="1" applyBorder="1">
      <alignment vertical="center"/>
    </xf>
    <xf numFmtId="0" fontId="10" fillId="0" borderId="28" xfId="0" applyFont="1" applyBorder="1">
      <alignment vertical="center"/>
    </xf>
    <xf numFmtId="0" fontId="10" fillId="0" borderId="24" xfId="0" applyFont="1" applyBorder="1">
      <alignment vertical="center"/>
    </xf>
    <xf numFmtId="181" fontId="10" fillId="0" borderId="28" xfId="0" applyNumberFormat="1" applyFont="1" applyBorder="1">
      <alignment vertical="center"/>
    </xf>
    <xf numFmtId="181" fontId="10" fillId="0" borderId="24" xfId="0" applyNumberFormat="1" applyFont="1" applyBorder="1">
      <alignment vertical="center"/>
    </xf>
    <xf numFmtId="0" fontId="10" fillId="6" borderId="28" xfId="0" applyFont="1" applyFill="1" applyBorder="1">
      <alignment vertical="center"/>
    </xf>
    <xf numFmtId="0" fontId="10" fillId="3" borderId="28" xfId="0" applyFont="1" applyFill="1" applyBorder="1">
      <alignment vertical="center"/>
    </xf>
    <xf numFmtId="0" fontId="10" fillId="3" borderId="24" xfId="0" applyFont="1" applyFill="1" applyBorder="1">
      <alignment vertical="center"/>
    </xf>
    <xf numFmtId="180" fontId="10" fillId="0" borderId="28" xfId="0" applyNumberFormat="1" applyFont="1" applyBorder="1">
      <alignment vertical="center"/>
    </xf>
    <xf numFmtId="180" fontId="0" fillId="0" borderId="24" xfId="0" applyNumberFormat="1" applyBorder="1">
      <alignment vertical="center"/>
    </xf>
    <xf numFmtId="0" fontId="10" fillId="0" borderId="28" xfId="0" applyFont="1" applyBorder="1" applyAlignment="1">
      <alignment horizontal="right" vertical="center"/>
    </xf>
    <xf numFmtId="0" fontId="10" fillId="0" borderId="24" xfId="0" applyFont="1" applyBorder="1" applyAlignment="1">
      <alignment horizontal="right" vertical="center"/>
    </xf>
    <xf numFmtId="182" fontId="10" fillId="0" borderId="28" xfId="0" applyNumberFormat="1" applyFont="1" applyBorder="1">
      <alignment vertical="center"/>
    </xf>
    <xf numFmtId="182" fontId="10" fillId="0" borderId="24" xfId="0" applyNumberFormat="1" applyFont="1" applyBorder="1">
      <alignment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0" fillId="0" borderId="22" xfId="0" applyBorder="1">
      <alignment vertical="center"/>
    </xf>
    <xf numFmtId="180" fontId="0" fillId="0" borderId="28" xfId="0" applyNumberFormat="1" applyBorder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9" borderId="0" xfId="0" applyFont="1" applyFill="1">
      <alignment vertical="center"/>
    </xf>
    <xf numFmtId="0" fontId="10" fillId="9" borderId="0" xfId="0" applyFont="1" applyFill="1" applyAlignment="1">
      <alignment horizontal="right" vertical="center"/>
    </xf>
    <xf numFmtId="0" fontId="10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top"/>
    </xf>
    <xf numFmtId="0" fontId="10" fillId="4" borderId="30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top" wrapText="1"/>
    </xf>
    <xf numFmtId="0" fontId="10" fillId="0" borderId="33" xfId="0" applyFont="1" applyBorder="1" applyAlignment="1">
      <alignment vertical="top"/>
    </xf>
    <xf numFmtId="0" fontId="10" fillId="0" borderId="33" xfId="0" applyFont="1" applyBorder="1" applyAlignment="1">
      <alignment horizontal="left" vertical="top"/>
    </xf>
    <xf numFmtId="0" fontId="10" fillId="10" borderId="30" xfId="0" applyFont="1" applyFill="1" applyBorder="1" applyAlignment="1">
      <alignment horizontal="center" vertical="center"/>
    </xf>
    <xf numFmtId="0" fontId="10" fillId="0" borderId="33" xfId="0" quotePrefix="1" applyFont="1" applyBorder="1" applyAlignment="1">
      <alignment horizontal="left" vertical="top" wrapText="1"/>
    </xf>
    <xf numFmtId="0" fontId="10" fillId="0" borderId="33" xfId="0" applyFont="1" applyBorder="1" applyAlignment="1">
      <alignment vertical="top" wrapText="1"/>
    </xf>
    <xf numFmtId="0" fontId="10" fillId="0" borderId="30" xfId="0" applyFont="1" applyBorder="1" applyAlignment="1">
      <alignment horizontal="center" vertical="top"/>
    </xf>
    <xf numFmtId="0" fontId="10" fillId="5" borderId="0" xfId="0" applyFont="1" applyFill="1" applyAlignment="1">
      <alignment horizontal="center" vertical="center"/>
    </xf>
    <xf numFmtId="180" fontId="10" fillId="0" borderId="33" xfId="0" applyNumberFormat="1" applyFont="1" applyBorder="1" applyAlignment="1">
      <alignment horizontal="left" vertical="top"/>
    </xf>
    <xf numFmtId="176" fontId="10" fillId="0" borderId="0" xfId="0" applyNumberFormat="1" applyFont="1" applyAlignment="1">
      <alignment horizontal="center" vertical="center"/>
    </xf>
    <xf numFmtId="0" fontId="0" fillId="0" borderId="18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10" fillId="0" borderId="33" xfId="0" quotePrefix="1" applyFont="1" applyBorder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center"/>
    </xf>
    <xf numFmtId="0" fontId="0" fillId="2" borderId="30" xfId="0" applyFill="1" applyBorder="1" applyAlignment="1">
      <alignment horizontal="left" vertical="center"/>
    </xf>
    <xf numFmtId="0" fontId="18" fillId="0" borderId="0" xfId="0" applyFont="1">
      <alignment vertical="center"/>
    </xf>
    <xf numFmtId="0" fontId="0" fillId="2" borderId="2" xfId="0" applyFill="1" applyBorder="1" applyAlignment="1">
      <alignment vertical="center" wrapText="1"/>
    </xf>
    <xf numFmtId="0" fontId="25" fillId="0" borderId="0" xfId="0" applyFont="1">
      <alignment vertical="center"/>
    </xf>
    <xf numFmtId="0" fontId="0" fillId="2" borderId="3" xfId="0" applyFill="1" applyBorder="1" applyAlignment="1">
      <alignment horizontal="left" vertical="center"/>
    </xf>
    <xf numFmtId="180" fontId="0" fillId="0" borderId="0" xfId="0" applyNumberFormat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26" fillId="2" borderId="0" xfId="0" applyFont="1" applyFill="1" applyAlignment="1">
      <alignment horizontal="right" vertical="center"/>
    </xf>
    <xf numFmtId="0" fontId="11" fillId="10" borderId="37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0" fillId="10" borderId="43" xfId="0" applyFill="1" applyBorder="1" applyAlignment="1">
      <alignment horizontal="center" vertical="center"/>
    </xf>
    <xf numFmtId="0" fontId="0" fillId="10" borderId="44" xfId="0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2" borderId="31" xfId="0" applyFill="1" applyBorder="1">
      <alignment vertical="center"/>
    </xf>
    <xf numFmtId="0" fontId="0" fillId="2" borderId="32" xfId="0" applyFill="1" applyBorder="1">
      <alignment vertical="center"/>
    </xf>
    <xf numFmtId="0" fontId="0" fillId="7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6" borderId="30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center"/>
    </xf>
    <xf numFmtId="0" fontId="25" fillId="6" borderId="30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25" fillId="2" borderId="32" xfId="0" applyFont="1" applyFill="1" applyBorder="1" applyAlignment="1">
      <alignment horizontal="center" vertical="center"/>
    </xf>
    <xf numFmtId="0" fontId="25" fillId="7" borderId="30" xfId="0" applyFont="1" applyFill="1" applyBorder="1" applyAlignment="1">
      <alignment horizontal="center" vertical="center"/>
    </xf>
    <xf numFmtId="0" fontId="25" fillId="0" borderId="4" xfId="0" applyFont="1" applyBorder="1">
      <alignment vertical="center"/>
    </xf>
    <xf numFmtId="0" fontId="25" fillId="5" borderId="30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10" borderId="43" xfId="0" applyFont="1" applyFill="1" applyBorder="1">
      <alignment vertical="center"/>
    </xf>
    <xf numFmtId="0" fontId="10" fillId="10" borderId="44" xfId="0" applyFont="1" applyFill="1" applyBorder="1">
      <alignment vertical="center"/>
    </xf>
    <xf numFmtId="0" fontId="25" fillId="2" borderId="30" xfId="0" applyFont="1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25" fillId="0" borderId="4" xfId="0" applyFont="1" applyBorder="1" applyAlignment="1">
      <alignment horizontal="right" vertical="center"/>
    </xf>
    <xf numFmtId="0" fontId="0" fillId="2" borderId="47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11" fillId="10" borderId="51" xfId="0" applyFont="1" applyFill="1" applyBorder="1" applyAlignment="1">
      <alignment horizontal="center" vertical="center"/>
    </xf>
    <xf numFmtId="0" fontId="10" fillId="10" borderId="52" xfId="0" applyFont="1" applyFill="1" applyBorder="1">
      <alignment vertical="center"/>
    </xf>
    <xf numFmtId="0" fontId="10" fillId="10" borderId="53" xfId="0" applyFont="1" applyFill="1" applyBorder="1">
      <alignment vertical="center"/>
    </xf>
    <xf numFmtId="0" fontId="29" fillId="7" borderId="30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0" fillId="6" borderId="30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31" fillId="6" borderId="30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0" fontId="32" fillId="0" borderId="5" xfId="0" applyFont="1" applyBorder="1" applyAlignment="1">
      <alignment horizontal="left"/>
    </xf>
    <xf numFmtId="0" fontId="32" fillId="0" borderId="0" xfId="0" applyFont="1" applyAlignment="1">
      <alignment horizontal="left"/>
    </xf>
    <xf numFmtId="0" fontId="0" fillId="0" borderId="0" xfId="0" applyAlignment="1"/>
    <xf numFmtId="0" fontId="32" fillId="0" borderId="4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" xfId="0" applyFont="1" applyBorder="1" applyAlignment="1"/>
    <xf numFmtId="0" fontId="32" fillId="0" borderId="0" xfId="0" applyFont="1" applyAlignment="1"/>
    <xf numFmtId="0" fontId="32" fillId="0" borderId="0" xfId="0" applyFont="1">
      <alignment vertical="center"/>
    </xf>
    <xf numFmtId="0" fontId="28" fillId="0" borderId="4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28" fillId="0" borderId="4" xfId="0" applyFont="1" applyBorder="1" applyAlignment="1"/>
    <xf numFmtId="0" fontId="28" fillId="0" borderId="0" xfId="0" applyFont="1" applyAlignment="1">
      <alignment horizontal="center"/>
    </xf>
    <xf numFmtId="0" fontId="33" fillId="5" borderId="31" xfId="0" applyFont="1" applyFill="1" applyBorder="1">
      <alignment vertical="center"/>
    </xf>
    <xf numFmtId="0" fontId="34" fillId="5" borderId="32" xfId="0" applyFont="1" applyFill="1" applyBorder="1">
      <alignment vertical="center"/>
    </xf>
    <xf numFmtId="0" fontId="33" fillId="6" borderId="31" xfId="0" applyFont="1" applyFill="1" applyBorder="1">
      <alignment vertical="center"/>
    </xf>
    <xf numFmtId="0" fontId="34" fillId="6" borderId="32" xfId="0" applyFont="1" applyFill="1" applyBorder="1">
      <alignment vertical="center"/>
    </xf>
    <xf numFmtId="0" fontId="33" fillId="8" borderId="31" xfId="0" applyFont="1" applyFill="1" applyBorder="1">
      <alignment vertical="center"/>
    </xf>
    <xf numFmtId="0" fontId="34" fillId="8" borderId="32" xfId="0" applyFont="1" applyFill="1" applyBorder="1">
      <alignment vertical="center"/>
    </xf>
    <xf numFmtId="0" fontId="10" fillId="0" borderId="30" xfId="0" applyFont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79" fontId="0" fillId="0" borderId="17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179" fontId="0" fillId="0" borderId="54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0" fontId="0" fillId="4" borderId="7" xfId="0" applyFill="1" applyBorder="1" applyAlignment="1">
      <alignment horizontal="right" vertical="center"/>
    </xf>
    <xf numFmtId="0" fontId="0" fillId="4" borderId="8" xfId="0" applyFill="1" applyBorder="1" applyAlignment="1">
      <alignment horizontal="right" vertical="center"/>
    </xf>
    <xf numFmtId="183" fontId="0" fillId="4" borderId="2" xfId="0" applyNumberFormat="1" applyFill="1" applyBorder="1" applyAlignment="1">
      <alignment horizontal="right" vertical="center"/>
    </xf>
    <xf numFmtId="0" fontId="0" fillId="4" borderId="0" xfId="0" applyFill="1">
      <alignment vertical="center"/>
    </xf>
    <xf numFmtId="179" fontId="0" fillId="4" borderId="0" xfId="0" applyNumberFormat="1" applyFill="1">
      <alignment vertical="center"/>
    </xf>
    <xf numFmtId="184" fontId="0" fillId="4" borderId="2" xfId="0" applyNumberFormat="1" applyFill="1" applyBorder="1" applyAlignment="1">
      <alignment horizontal="right" vertical="center"/>
    </xf>
    <xf numFmtId="0" fontId="24" fillId="3" borderId="0" xfId="0" applyFont="1" applyFill="1">
      <alignment vertical="center"/>
    </xf>
    <xf numFmtId="0" fontId="15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0" fontId="0" fillId="2" borderId="30" xfId="0" applyFill="1" applyBorder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3" borderId="0" xfId="0" applyFill="1" applyAlignment="1">
      <alignment horizontal="right" vertical="center"/>
    </xf>
    <xf numFmtId="179" fontId="0" fillId="2" borderId="0" xfId="0" applyNumberFormat="1" applyFill="1">
      <alignment vertical="center"/>
    </xf>
    <xf numFmtId="186" fontId="0" fillId="11" borderId="0" xfId="0" applyNumberFormat="1" applyFill="1" applyAlignment="1">
      <alignment horizontal="right" vertical="center"/>
    </xf>
    <xf numFmtId="186" fontId="0" fillId="0" borderId="0" xfId="0" applyNumberFormat="1" applyAlignment="1">
      <alignment horizontal="right" vertical="center"/>
    </xf>
    <xf numFmtId="186" fontId="0" fillId="2" borderId="0" xfId="0" applyNumberFormat="1" applyFill="1" applyAlignment="1">
      <alignment horizontal="right" vertical="center"/>
    </xf>
    <xf numFmtId="187" fontId="0" fillId="0" borderId="0" xfId="0" applyNumberFormat="1">
      <alignment vertical="center"/>
    </xf>
    <xf numFmtId="182" fontId="0" fillId="0" borderId="0" xfId="0" applyNumberFormat="1" applyAlignment="1">
      <alignment horizontal="right" vertical="center"/>
    </xf>
    <xf numFmtId="0" fontId="0" fillId="2" borderId="55" xfId="0" applyFill="1" applyBorder="1">
      <alignment vertical="center"/>
    </xf>
    <xf numFmtId="0" fontId="0" fillId="0" borderId="56" xfId="0" applyBorder="1" applyAlignment="1">
      <alignment horizontal="right" vertical="center"/>
    </xf>
    <xf numFmtId="180" fontId="0" fillId="0" borderId="56" xfId="0" applyNumberFormat="1" applyBorder="1">
      <alignment vertical="center"/>
    </xf>
    <xf numFmtId="0" fontId="0" fillId="0" borderId="56" xfId="0" applyBorder="1">
      <alignment vertical="center"/>
    </xf>
    <xf numFmtId="0" fontId="0" fillId="2" borderId="56" xfId="0" applyFill="1" applyBorder="1">
      <alignment vertical="center"/>
    </xf>
    <xf numFmtId="0" fontId="0" fillId="0" borderId="57" xfId="0" applyBorder="1">
      <alignment vertical="center"/>
    </xf>
    <xf numFmtId="187" fontId="0" fillId="2" borderId="0" xfId="0" applyNumberFormat="1" applyFill="1">
      <alignment vertical="center"/>
    </xf>
    <xf numFmtId="0" fontId="0" fillId="0" borderId="59" xfId="0" applyBorder="1">
      <alignment vertical="center"/>
    </xf>
    <xf numFmtId="178" fontId="0" fillId="0" borderId="0" xfId="0" applyNumberFormat="1" applyAlignment="1">
      <alignment horizontal="right" vertical="center"/>
    </xf>
    <xf numFmtId="179" fontId="0" fillId="3" borderId="0" xfId="0" applyNumberFormat="1" applyFill="1" applyAlignment="1">
      <alignment horizontal="right" vertical="center"/>
    </xf>
    <xf numFmtId="186" fontId="0" fillId="0" borderId="0" xfId="0" applyNumberFormat="1" applyAlignment="1">
      <alignment horizontal="left" vertical="center"/>
    </xf>
    <xf numFmtId="186" fontId="0" fillId="0" borderId="0" xfId="0" applyNumberFormat="1">
      <alignment vertical="center"/>
    </xf>
    <xf numFmtId="0" fontId="23" fillId="2" borderId="60" xfId="0" applyFont="1" applyFill="1" applyBorder="1">
      <alignment vertical="center"/>
    </xf>
    <xf numFmtId="0" fontId="23" fillId="2" borderId="61" xfId="0" applyFont="1" applyFill="1" applyBorder="1" applyAlignment="1">
      <alignment horizontal="left" vertical="center"/>
    </xf>
    <xf numFmtId="179" fontId="23" fillId="2" borderId="61" xfId="0" applyNumberFormat="1" applyFont="1" applyFill="1" applyBorder="1">
      <alignment vertical="center"/>
    </xf>
    <xf numFmtId="0" fontId="23" fillId="2" borderId="61" xfId="0" applyFont="1" applyFill="1" applyBorder="1">
      <alignment vertical="center"/>
    </xf>
    <xf numFmtId="0" fontId="23" fillId="2" borderId="62" xfId="0" applyFont="1" applyFill="1" applyBorder="1">
      <alignment vertical="center"/>
    </xf>
    <xf numFmtId="0" fontId="0" fillId="2" borderId="58" xfId="0" quotePrefix="1" applyFill="1" applyBorder="1">
      <alignment vertical="center"/>
    </xf>
    <xf numFmtId="0" fontId="0" fillId="2" borderId="0" xfId="0" quotePrefix="1" applyFill="1">
      <alignment vertical="center"/>
    </xf>
    <xf numFmtId="0" fontId="23" fillId="2" borderId="0" xfId="0" applyFont="1" applyFill="1" applyAlignment="1">
      <alignment horizontal="left" vertical="center"/>
    </xf>
    <xf numFmtId="0" fontId="0" fillId="2" borderId="18" xfId="0" applyFill="1" applyBorder="1">
      <alignment vertical="center"/>
    </xf>
    <xf numFmtId="0" fontId="0" fillId="11" borderId="0" xfId="0" applyFill="1" applyAlignment="1">
      <alignment horizontal="right" vertical="center"/>
    </xf>
    <xf numFmtId="179" fontId="0" fillId="11" borderId="0" xfId="0" applyNumberFormat="1" applyFill="1" applyAlignment="1">
      <alignment horizontal="right" vertical="center"/>
    </xf>
    <xf numFmtId="179" fontId="0" fillId="11" borderId="0" xfId="0" applyNumberFormat="1" applyFill="1">
      <alignment vertical="center"/>
    </xf>
    <xf numFmtId="0" fontId="15" fillId="11" borderId="0" xfId="0" applyFont="1" applyFill="1" applyAlignment="1">
      <alignment horizontal="right" vertical="center"/>
    </xf>
    <xf numFmtId="185" fontId="15" fillId="11" borderId="0" xfId="0" applyNumberFormat="1" applyFont="1" applyFill="1" applyAlignment="1">
      <alignment horizontal="right" vertical="center"/>
    </xf>
    <xf numFmtId="180" fontId="15" fillId="11" borderId="0" xfId="0" applyNumberFormat="1" applyFont="1" applyFill="1" applyAlignment="1">
      <alignment horizontal="right" vertical="center"/>
    </xf>
    <xf numFmtId="185" fontId="0" fillId="11" borderId="0" xfId="0" applyNumberFormat="1" applyFill="1" applyAlignment="1">
      <alignment horizontal="right" vertical="center"/>
    </xf>
    <xf numFmtId="188" fontId="0" fillId="0" borderId="0" xfId="0" applyNumberForma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26" fillId="4" borderId="30" xfId="0" applyFont="1" applyFill="1" applyBorder="1" applyAlignment="1">
      <alignment horizontal="center" vertical="center" shrinkToFit="1"/>
    </xf>
    <xf numFmtId="0" fontId="10" fillId="0" borderId="0" xfId="0" quotePrefix="1" applyFont="1">
      <alignment vertical="center"/>
    </xf>
    <xf numFmtId="0" fontId="46" fillId="12" borderId="0" xfId="0" applyFont="1" applyFill="1">
      <alignment vertical="center"/>
    </xf>
    <xf numFmtId="0" fontId="15" fillId="0" borderId="0" xfId="0" quotePrefix="1" applyFont="1">
      <alignment vertical="center"/>
    </xf>
    <xf numFmtId="0" fontId="38" fillId="2" borderId="63" xfId="0" applyFont="1" applyFill="1" applyBorder="1" applyAlignment="1">
      <alignment horizontal="center" vertical="center"/>
    </xf>
    <xf numFmtId="0" fontId="23" fillId="2" borderId="63" xfId="0" applyFont="1" applyFill="1" applyBorder="1" applyAlignment="1">
      <alignment horizontal="center" vertical="center"/>
    </xf>
    <xf numFmtId="0" fontId="49" fillId="2" borderId="21" xfId="0" applyFont="1" applyFill="1" applyBorder="1" applyAlignment="1">
      <alignment horizontal="center" vertical="center"/>
    </xf>
    <xf numFmtId="0" fontId="50" fillId="2" borderId="63" xfId="0" applyFont="1" applyFill="1" applyBorder="1" applyAlignment="1">
      <alignment horizontal="center" vertical="center"/>
    </xf>
    <xf numFmtId="0" fontId="51" fillId="2" borderId="63" xfId="0" applyFont="1" applyFill="1" applyBorder="1" applyAlignment="1">
      <alignment horizontal="center" vertical="center"/>
    </xf>
    <xf numFmtId="0" fontId="52" fillId="2" borderId="29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179" fontId="0" fillId="2" borderId="0" xfId="0" applyNumberFormat="1" applyFill="1" applyAlignment="1">
      <alignment horizontal="right" vertical="center"/>
    </xf>
    <xf numFmtId="0" fontId="0" fillId="4" borderId="30" xfId="0" applyFill="1" applyBorder="1" applyAlignment="1">
      <alignment horizontal="right" vertical="center"/>
    </xf>
    <xf numFmtId="0" fontId="0" fillId="4" borderId="30" xfId="0" quotePrefix="1" applyFill="1" applyBorder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52" fillId="0" borderId="0" xfId="0" applyFont="1" applyAlignment="1">
      <alignment horizontal="left" vertical="center"/>
    </xf>
    <xf numFmtId="189" fontId="0" fillId="0" borderId="0" xfId="0" applyNumberFormat="1" applyAlignment="1">
      <alignment horizontal="right" vertical="center"/>
    </xf>
    <xf numFmtId="189" fontId="0" fillId="4" borderId="0" xfId="0" applyNumberFormat="1" applyFill="1">
      <alignment vertical="center"/>
    </xf>
    <xf numFmtId="186" fontId="0" fillId="4" borderId="0" xfId="0" applyNumberFormat="1" applyFill="1">
      <alignment vertical="center"/>
    </xf>
    <xf numFmtId="0" fontId="54" fillId="13" borderId="0" xfId="0" applyFont="1" applyFill="1" applyAlignment="1">
      <alignment horizontal="left" vertical="center"/>
    </xf>
    <xf numFmtId="0" fontId="54" fillId="13" borderId="0" xfId="0" applyFont="1" applyFill="1" applyAlignment="1">
      <alignment horizontal="right" vertical="center"/>
    </xf>
    <xf numFmtId="0" fontId="53" fillId="13" borderId="0" xfId="0" applyFont="1" applyFill="1" applyAlignment="1">
      <alignment horizontal="right" vertical="center"/>
    </xf>
    <xf numFmtId="189" fontId="0" fillId="2" borderId="0" xfId="0" applyNumberFormat="1" applyFill="1" applyAlignment="1">
      <alignment horizontal="right" vertical="center"/>
    </xf>
    <xf numFmtId="0" fontId="0" fillId="2" borderId="7" xfId="0" applyFill="1" applyBorder="1" applyAlignment="1">
      <alignment horizontal="right" vertical="center"/>
    </xf>
    <xf numFmtId="179" fontId="0" fillId="0" borderId="5" xfId="0" applyNumberFormat="1" applyBorder="1">
      <alignment vertical="center"/>
    </xf>
    <xf numFmtId="179" fontId="0" fillId="3" borderId="8" xfId="0" applyNumberFormat="1" applyFill="1" applyBorder="1">
      <alignment vertical="center"/>
    </xf>
    <xf numFmtId="0" fontId="0" fillId="2" borderId="18" xfId="0" applyFill="1" applyBorder="1" applyAlignment="1">
      <alignment horizontal="right" vertical="center"/>
    </xf>
    <xf numFmtId="179" fontId="0" fillId="3" borderId="17" xfId="0" applyNumberFormat="1" applyFill="1" applyBorder="1">
      <alignment vertical="center"/>
    </xf>
    <xf numFmtId="0" fontId="0" fillId="2" borderId="6" xfId="0" applyFill="1" applyBorder="1" applyAlignment="1">
      <alignment horizontal="right" vertical="center"/>
    </xf>
    <xf numFmtId="179" fontId="0" fillId="0" borderId="4" xfId="0" applyNumberFormat="1" applyBorder="1">
      <alignment vertical="center"/>
    </xf>
    <xf numFmtId="179" fontId="0" fillId="3" borderId="1" xfId="0" applyNumberFormat="1" applyFill="1" applyBorder="1">
      <alignment vertical="center"/>
    </xf>
    <xf numFmtId="0" fontId="56" fillId="2" borderId="0" xfId="0" applyFont="1" applyFill="1" applyAlignment="1">
      <alignment horizontal="right" vertical="center"/>
    </xf>
    <xf numFmtId="186" fontId="0" fillId="3" borderId="0" xfId="0" applyNumberFormat="1" applyFill="1" applyAlignment="1">
      <alignment horizontal="right" vertical="center"/>
    </xf>
    <xf numFmtId="0" fontId="54" fillId="13" borderId="31" xfId="0" applyFont="1" applyFill="1" applyBorder="1" applyAlignment="1">
      <alignment horizontal="right" vertical="center"/>
    </xf>
    <xf numFmtId="0" fontId="54" fillId="13" borderId="9" xfId="0" applyFont="1" applyFill="1" applyBorder="1" applyAlignment="1">
      <alignment horizontal="right" vertical="center"/>
    </xf>
    <xf numFmtId="0" fontId="54" fillId="13" borderId="32" xfId="0" applyFont="1" applyFill="1" applyBorder="1" applyAlignment="1">
      <alignment horizontal="right" vertical="center"/>
    </xf>
    <xf numFmtId="190" fontId="0" fillId="3" borderId="0" xfId="0" applyNumberFormat="1" applyFill="1">
      <alignment vertical="center"/>
    </xf>
    <xf numFmtId="190" fontId="0" fillId="2" borderId="0" xfId="0" applyNumberFormat="1" applyFill="1" applyAlignment="1">
      <alignment horizontal="right" vertical="center"/>
    </xf>
    <xf numFmtId="0" fontId="10" fillId="2" borderId="31" xfId="0" applyFont="1" applyFill="1" applyBorder="1" applyAlignment="1">
      <alignment horizontal="center" vertical="center"/>
    </xf>
    <xf numFmtId="191" fontId="10" fillId="2" borderId="9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54" fillId="13" borderId="31" xfId="0" applyFont="1" applyFill="1" applyBorder="1" applyAlignment="1">
      <alignment horizontal="left" vertical="center"/>
    </xf>
    <xf numFmtId="0" fontId="54" fillId="13" borderId="32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64" xfId="0" applyFont="1" applyFill="1" applyBorder="1" applyAlignment="1">
      <alignment horizontal="center" vertical="center"/>
    </xf>
    <xf numFmtId="191" fontId="10" fillId="2" borderId="65" xfId="0" applyNumberFormat="1" applyFont="1" applyFill="1" applyBorder="1" applyAlignment="1">
      <alignment horizontal="center" vertical="center"/>
    </xf>
    <xf numFmtId="0" fontId="10" fillId="2" borderId="65" xfId="0" applyFont="1" applyFill="1" applyBorder="1" applyAlignment="1">
      <alignment horizontal="center" vertical="center"/>
    </xf>
    <xf numFmtId="192" fontId="10" fillId="2" borderId="66" xfId="0" applyNumberFormat="1" applyFont="1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191" fontId="0" fillId="2" borderId="65" xfId="0" applyNumberFormat="1" applyFill="1" applyBorder="1" applyAlignment="1">
      <alignment horizontal="center" vertical="center"/>
    </xf>
    <xf numFmtId="0" fontId="0" fillId="2" borderId="65" xfId="0" applyFill="1" applyBorder="1" applyAlignment="1">
      <alignment horizontal="center" vertical="center"/>
    </xf>
    <xf numFmtId="192" fontId="0" fillId="2" borderId="66" xfId="0" applyNumberFormat="1" applyFill="1" applyBorder="1" applyAlignment="1">
      <alignment horizontal="center" vertical="center"/>
    </xf>
    <xf numFmtId="0" fontId="0" fillId="8" borderId="64" xfId="0" applyFill="1" applyBorder="1" applyAlignment="1">
      <alignment horizontal="center" vertical="center"/>
    </xf>
    <xf numFmtId="191" fontId="0" fillId="8" borderId="65" xfId="0" applyNumberFormat="1" applyFill="1" applyBorder="1" applyAlignment="1">
      <alignment horizontal="center" vertical="center"/>
    </xf>
    <xf numFmtId="0" fontId="0" fillId="8" borderId="65" xfId="0" applyFill="1" applyBorder="1" applyAlignment="1">
      <alignment horizontal="center" vertical="center"/>
    </xf>
    <xf numFmtId="192" fontId="0" fillId="8" borderId="66" xfId="0" applyNumberFormat="1" applyFill="1" applyBorder="1" applyAlignment="1">
      <alignment horizontal="center" vertical="center"/>
    </xf>
    <xf numFmtId="189" fontId="0" fillId="2" borderId="0" xfId="0" applyNumberFormat="1" applyFill="1">
      <alignment vertical="center"/>
    </xf>
    <xf numFmtId="0" fontId="56" fillId="2" borderId="0" xfId="0" applyFont="1" applyFill="1">
      <alignment vertical="center"/>
    </xf>
    <xf numFmtId="0" fontId="0" fillId="0" borderId="10" xfId="0" applyBorder="1" applyAlignment="1">
      <alignment horizontal="left" vertical="center"/>
    </xf>
    <xf numFmtId="179" fontId="0" fillId="3" borderId="0" xfId="0" applyNumberFormat="1" applyFill="1">
      <alignment vertical="center"/>
    </xf>
    <xf numFmtId="0" fontId="0" fillId="2" borderId="25" xfId="0" applyFill="1" applyBorder="1" applyAlignment="1">
      <alignment horizontal="right" vertical="center"/>
    </xf>
    <xf numFmtId="179" fontId="0" fillId="0" borderId="23" xfId="0" applyNumberFormat="1" applyBorder="1">
      <alignment vertical="center"/>
    </xf>
    <xf numFmtId="179" fontId="0" fillId="3" borderId="23" xfId="0" applyNumberFormat="1" applyFill="1" applyBorder="1">
      <alignment vertical="center"/>
    </xf>
    <xf numFmtId="179" fontId="0" fillId="0" borderId="27" xfId="0" applyNumberFormat="1" applyBorder="1">
      <alignment vertical="center"/>
    </xf>
    <xf numFmtId="0" fontId="0" fillId="2" borderId="28" xfId="0" applyFill="1" applyBorder="1" applyAlignment="1">
      <alignment horizontal="right" vertical="center"/>
    </xf>
    <xf numFmtId="179" fontId="0" fillId="0" borderId="24" xfId="0" applyNumberFormat="1" applyBorder="1">
      <alignment vertical="center"/>
    </xf>
    <xf numFmtId="0" fontId="0" fillId="2" borderId="20" xfId="0" applyFill="1" applyBorder="1" applyAlignment="1">
      <alignment horizontal="right" vertical="center"/>
    </xf>
    <xf numFmtId="179" fontId="0" fillId="0" borderId="19" xfId="0" applyNumberFormat="1" applyBorder="1">
      <alignment vertical="center"/>
    </xf>
    <xf numFmtId="179" fontId="0" fillId="3" borderId="19" xfId="0" applyNumberFormat="1" applyFill="1" applyBorder="1">
      <alignment vertical="center"/>
    </xf>
    <xf numFmtId="179" fontId="0" fillId="0" borderId="22" xfId="0" applyNumberFormat="1" applyBorder="1">
      <alignment vertical="center"/>
    </xf>
    <xf numFmtId="0" fontId="1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5" fillId="0" borderId="0" xfId="0" quotePrefix="1" applyFont="1" applyAlignment="1">
      <alignment horizontal="right" vertical="center"/>
    </xf>
    <xf numFmtId="180" fontId="0" fillId="8" borderId="0" xfId="0" applyNumberFormat="1" applyFill="1">
      <alignment vertical="center"/>
    </xf>
    <xf numFmtId="180" fontId="57" fillId="4" borderId="0" xfId="0" applyNumberFormat="1" applyFont="1" applyFill="1">
      <alignment vertical="center"/>
    </xf>
    <xf numFmtId="194" fontId="10" fillId="0" borderId="0" xfId="0" applyNumberFormat="1" applyFont="1">
      <alignment vertical="center"/>
    </xf>
    <xf numFmtId="194" fontId="0" fillId="0" borderId="0" xfId="0" applyNumberFormat="1">
      <alignment vertical="center"/>
    </xf>
    <xf numFmtId="194" fontId="0" fillId="6" borderId="0" xfId="0" applyNumberFormat="1" applyFill="1">
      <alignment vertical="center"/>
    </xf>
    <xf numFmtId="0" fontId="10" fillId="8" borderId="0" xfId="0" applyFont="1" applyFill="1">
      <alignment vertical="center"/>
    </xf>
    <xf numFmtId="183" fontId="0" fillId="0" borderId="0" xfId="0" applyNumberFormat="1" applyAlignment="1">
      <alignment horizontal="right" vertical="center"/>
    </xf>
    <xf numFmtId="0" fontId="15" fillId="2" borderId="30" xfId="0" applyFont="1" applyFill="1" applyBorder="1" applyAlignment="1">
      <alignment horizontal="right" vertical="center"/>
    </xf>
    <xf numFmtId="0" fontId="15" fillId="0" borderId="0" xfId="0" quotePrefix="1" applyFont="1" applyAlignment="1">
      <alignment horizontal="left" vertical="center"/>
    </xf>
    <xf numFmtId="0" fontId="34" fillId="0" borderId="0" xfId="0" applyFont="1" applyAlignment="1">
      <alignment horizontal="right" vertical="center"/>
    </xf>
    <xf numFmtId="0" fontId="34" fillId="0" borderId="0" xfId="0" applyFont="1">
      <alignment vertical="center"/>
    </xf>
    <xf numFmtId="0" fontId="34" fillId="0" borderId="0" xfId="0" applyFont="1" applyAlignment="1">
      <alignment horizontal="left" vertical="center"/>
    </xf>
    <xf numFmtId="0" fontId="34" fillId="0" borderId="4" xfId="0" applyFont="1" applyBorder="1">
      <alignment vertical="center"/>
    </xf>
    <xf numFmtId="0" fontId="34" fillId="4" borderId="2" xfId="0" applyFont="1" applyFill="1" applyBorder="1">
      <alignment vertical="center"/>
    </xf>
    <xf numFmtId="0" fontId="34" fillId="4" borderId="4" xfId="0" applyFont="1" applyFill="1" applyBorder="1">
      <alignment vertical="center"/>
    </xf>
    <xf numFmtId="0" fontId="34" fillId="0" borderId="2" xfId="0" applyFont="1" applyBorder="1">
      <alignment vertical="center"/>
    </xf>
    <xf numFmtId="0" fontId="34" fillId="4" borderId="14" xfId="0" applyFont="1" applyFill="1" applyBorder="1">
      <alignment vertical="center"/>
    </xf>
    <xf numFmtId="0" fontId="34" fillId="4" borderId="10" xfId="0" applyFont="1" applyFill="1" applyBorder="1">
      <alignment vertical="center"/>
    </xf>
    <xf numFmtId="0" fontId="34" fillId="4" borderId="0" xfId="0" applyFont="1" applyFill="1">
      <alignment vertical="center"/>
    </xf>
    <xf numFmtId="0" fontId="34" fillId="4" borderId="13" xfId="0" applyFont="1" applyFill="1" applyBorder="1">
      <alignment vertical="center"/>
    </xf>
    <xf numFmtId="0" fontId="34" fillId="0" borderId="10" xfId="0" applyFont="1" applyBorder="1">
      <alignment vertical="center"/>
    </xf>
    <xf numFmtId="0" fontId="34" fillId="0" borderId="13" xfId="0" applyFont="1" applyBorder="1">
      <alignment vertical="center"/>
    </xf>
    <xf numFmtId="193" fontId="34" fillId="4" borderId="10" xfId="0" applyNumberFormat="1" applyFont="1" applyFill="1" applyBorder="1" applyAlignment="1">
      <alignment horizontal="center" vertical="center"/>
    </xf>
    <xf numFmtId="193" fontId="34" fillId="4" borderId="0" xfId="0" applyNumberFormat="1" applyFont="1" applyFill="1" applyAlignment="1">
      <alignment horizontal="center" vertical="center"/>
    </xf>
    <xf numFmtId="193" fontId="34" fillId="4" borderId="13" xfId="0" applyNumberFormat="1" applyFont="1" applyFill="1" applyBorder="1" applyAlignment="1">
      <alignment horizontal="center" vertical="center"/>
    </xf>
    <xf numFmtId="193" fontId="34" fillId="0" borderId="10" xfId="0" applyNumberFormat="1" applyFont="1" applyBorder="1" applyAlignment="1">
      <alignment horizontal="center" vertical="center"/>
    </xf>
    <xf numFmtId="193" fontId="34" fillId="0" borderId="0" xfId="0" applyNumberFormat="1" applyFont="1" applyAlignment="1">
      <alignment horizontal="center" vertical="center"/>
    </xf>
    <xf numFmtId="193" fontId="34" fillId="0" borderId="13" xfId="0" applyNumberFormat="1" applyFont="1" applyBorder="1" applyAlignment="1">
      <alignment horizontal="center" vertical="center"/>
    </xf>
    <xf numFmtId="185" fontId="34" fillId="0" borderId="0" xfId="0" applyNumberFormat="1" applyFont="1" applyAlignment="1">
      <alignment horizontal="center" vertical="center"/>
    </xf>
    <xf numFmtId="0" fontId="10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right" vertical="center"/>
    </xf>
    <xf numFmtId="0" fontId="10" fillId="7" borderId="0" xfId="0" applyFont="1" applyFill="1">
      <alignment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4" borderId="3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4" borderId="30" xfId="0" applyFont="1" applyFill="1" applyBorder="1" applyAlignment="1">
      <alignment horizontal="center" vertical="top" wrapText="1"/>
    </xf>
    <xf numFmtId="0" fontId="10" fillId="9" borderId="0" xfId="0" applyFont="1" applyFill="1" applyAlignment="1">
      <alignment vertical="top"/>
    </xf>
    <xf numFmtId="0" fontId="3" fillId="0" borderId="30" xfId="0" applyFont="1" applyBorder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0" fontId="65" fillId="0" borderId="0" xfId="0" applyFont="1" applyAlignment="1">
      <alignment horizontal="right" vertical="center"/>
    </xf>
    <xf numFmtId="0" fontId="65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66" fillId="0" borderId="4" xfId="0" applyFont="1" applyBorder="1" applyAlignment="1">
      <alignment horizontal="right" vertical="center"/>
    </xf>
    <xf numFmtId="0" fontId="66" fillId="0" borderId="7" xfId="0" applyFont="1" applyBorder="1" applyAlignment="1">
      <alignment horizontal="left" vertical="center"/>
    </xf>
    <xf numFmtId="0" fontId="25" fillId="0" borderId="6" xfId="0" applyFont="1" applyBorder="1" applyAlignment="1">
      <alignment horizontal="left" vertical="center"/>
    </xf>
    <xf numFmtId="0" fontId="67" fillId="0" borderId="4" xfId="0" applyFont="1" applyBorder="1" applyAlignment="1">
      <alignment horizontal="right" vertical="center"/>
    </xf>
    <xf numFmtId="0" fontId="66" fillId="0" borderId="7" xfId="0" applyFont="1" applyBorder="1">
      <alignment vertical="center"/>
    </xf>
    <xf numFmtId="0" fontId="25" fillId="0" borderId="6" xfId="0" applyFont="1" applyBorder="1">
      <alignment vertical="center"/>
    </xf>
    <xf numFmtId="0" fontId="67" fillId="0" borderId="4" xfId="0" applyFont="1" applyBorder="1">
      <alignment vertical="center"/>
    </xf>
    <xf numFmtId="0" fontId="0" fillId="0" borderId="10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66" fillId="0" borderId="7" xfId="0" applyFont="1" applyBorder="1" applyAlignment="1">
      <alignment horizontal="right" vertical="center"/>
    </xf>
    <xf numFmtId="0" fontId="66" fillId="0" borderId="6" xfId="0" applyFont="1" applyBorder="1" applyAlignment="1">
      <alignment horizontal="right" vertical="center"/>
    </xf>
    <xf numFmtId="0" fontId="66" fillId="0" borderId="1" xfId="0" applyFont="1" applyBorder="1" applyAlignment="1">
      <alignment horizontal="right" vertical="center"/>
    </xf>
    <xf numFmtId="0" fontId="66" fillId="0" borderId="2" xfId="0" applyFont="1" applyBorder="1" applyAlignment="1">
      <alignment horizontal="right" vertical="center"/>
    </xf>
    <xf numFmtId="0" fontId="0" fillId="0" borderId="10" xfId="0" applyBorder="1">
      <alignment vertical="center"/>
    </xf>
    <xf numFmtId="0" fontId="0" fillId="4" borderId="31" xfId="0" applyFill="1" applyBorder="1" applyAlignment="1">
      <alignment horizontal="right" vertical="center"/>
    </xf>
    <xf numFmtId="0" fontId="0" fillId="4" borderId="9" xfId="0" applyFill="1" applyBorder="1" applyAlignment="1">
      <alignment horizontal="right" vertical="center"/>
    </xf>
    <xf numFmtId="0" fontId="0" fillId="2" borderId="9" xfId="0" applyFill="1" applyBorder="1">
      <alignment vertical="center"/>
    </xf>
    <xf numFmtId="0" fontId="0" fillId="4" borderId="31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32" xfId="0" applyFill="1" applyBorder="1">
      <alignment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12" xfId="0" applyBorder="1">
      <alignment vertical="center"/>
    </xf>
    <xf numFmtId="0" fontId="11" fillId="4" borderId="9" xfId="0" applyFont="1" applyFill="1" applyBorder="1">
      <alignment vertical="center"/>
    </xf>
    <xf numFmtId="0" fontId="0" fillId="0" borderId="5" xfId="0" applyBorder="1" applyAlignment="1">
      <alignment horizontal="right" vertical="center"/>
    </xf>
    <xf numFmtId="0" fontId="0" fillId="0" borderId="13" xfId="0" applyBorder="1">
      <alignment vertical="center"/>
    </xf>
    <xf numFmtId="0" fontId="0" fillId="0" borderId="68" xfId="0" applyBorder="1" applyAlignment="1">
      <alignment horizontal="right" vertical="center"/>
    </xf>
    <xf numFmtId="0" fontId="0" fillId="4" borderId="69" xfId="0" applyFill="1" applyBorder="1" applyAlignment="1">
      <alignment horizontal="right" vertical="center"/>
    </xf>
    <xf numFmtId="0" fontId="0" fillId="4" borderId="70" xfId="0" applyFill="1" applyBorder="1" applyAlignment="1">
      <alignment horizontal="right" vertical="center"/>
    </xf>
    <xf numFmtId="0" fontId="0" fillId="4" borderId="71" xfId="0" applyFill="1" applyBorder="1" applyAlignment="1">
      <alignment horizontal="right" vertical="center"/>
    </xf>
    <xf numFmtId="0" fontId="0" fillId="2" borderId="69" xfId="0" applyFill="1" applyBorder="1">
      <alignment vertical="center"/>
    </xf>
    <xf numFmtId="0" fontId="0" fillId="2" borderId="70" xfId="0" applyFill="1" applyBorder="1">
      <alignment vertical="center"/>
    </xf>
    <xf numFmtId="0" fontId="0" fillId="2" borderId="71" xfId="0" applyFill="1" applyBorder="1">
      <alignment vertical="center"/>
    </xf>
    <xf numFmtId="0" fontId="0" fillId="4" borderId="69" xfId="0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0" borderId="72" xfId="0" applyBorder="1">
      <alignment vertical="center"/>
    </xf>
    <xf numFmtId="0" fontId="0" fillId="0" borderId="68" xfId="0" applyBorder="1">
      <alignment vertical="center"/>
    </xf>
    <xf numFmtId="0" fontId="0" fillId="0" borderId="73" xfId="0" applyBorder="1" applyAlignment="1">
      <alignment horizontal="right" vertical="center"/>
    </xf>
    <xf numFmtId="0" fontId="0" fillId="0" borderId="74" xfId="0" applyBorder="1" applyAlignment="1">
      <alignment horizontal="right" vertical="center"/>
    </xf>
    <xf numFmtId="0" fontId="0" fillId="0" borderId="75" xfId="0" applyBorder="1" applyAlignment="1">
      <alignment horizontal="right" vertical="center"/>
    </xf>
    <xf numFmtId="0" fontId="0" fillId="4" borderId="32" xfId="0" applyFill="1" applyBorder="1" applyAlignment="1">
      <alignment horizontal="right" vertical="center"/>
    </xf>
    <xf numFmtId="0" fontId="0" fillId="0" borderId="76" xfId="0" applyBorder="1" applyAlignment="1">
      <alignment horizontal="right" vertical="center"/>
    </xf>
    <xf numFmtId="0" fontId="0" fillId="0" borderId="74" xfId="0" applyBorder="1">
      <alignment vertical="center"/>
    </xf>
    <xf numFmtId="0" fontId="0" fillId="0" borderId="75" xfId="0" applyBorder="1">
      <alignment vertical="center"/>
    </xf>
    <xf numFmtId="0" fontId="11" fillId="4" borderId="70" xfId="0" applyFont="1" applyFill="1" applyBorder="1">
      <alignment vertical="center"/>
    </xf>
    <xf numFmtId="0" fontId="11" fillId="4" borderId="71" xfId="0" applyFont="1" applyFill="1" applyBorder="1">
      <alignment vertical="center"/>
    </xf>
    <xf numFmtId="0" fontId="0" fillId="0" borderId="77" xfId="0" applyBorder="1" applyAlignment="1">
      <alignment horizontal="right" vertical="center"/>
    </xf>
    <xf numFmtId="0" fontId="0" fillId="0" borderId="78" xfId="0" applyBorder="1" applyAlignment="1">
      <alignment horizontal="right" vertical="center"/>
    </xf>
    <xf numFmtId="0" fontId="0" fillId="0" borderId="79" xfId="0" applyBorder="1" applyAlignment="1">
      <alignment horizontal="right" vertical="center"/>
    </xf>
    <xf numFmtId="0" fontId="0" fillId="0" borderId="80" xfId="0" applyBorder="1" applyAlignment="1">
      <alignment horizontal="right" vertical="center"/>
    </xf>
    <xf numFmtId="0" fontId="0" fillId="0" borderId="81" xfId="0" applyBorder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67" fillId="0" borderId="0" xfId="0" applyFont="1" applyAlignment="1">
      <alignment horizontal="right" vertical="center"/>
    </xf>
    <xf numFmtId="0" fontId="67" fillId="0" borderId="0" xfId="0" applyFont="1">
      <alignment vertical="center"/>
    </xf>
    <xf numFmtId="0" fontId="0" fillId="0" borderId="2" xfId="0" applyBorder="1" applyAlignment="1">
      <alignment horizontal="right" vertical="center"/>
    </xf>
    <xf numFmtId="0" fontId="0" fillId="2" borderId="31" xfId="0" applyFill="1" applyBorder="1" applyAlignment="1">
      <alignment horizontal="right" vertical="center"/>
    </xf>
    <xf numFmtId="0" fontId="0" fillId="2" borderId="9" xfId="0" applyFill="1" applyBorder="1" applyAlignment="1">
      <alignment horizontal="right" vertical="center"/>
    </xf>
    <xf numFmtId="0" fontId="67" fillId="4" borderId="32" xfId="0" applyFont="1" applyFill="1" applyBorder="1" applyAlignment="1">
      <alignment horizontal="right" vertical="center"/>
    </xf>
    <xf numFmtId="0" fontId="0" fillId="0" borderId="77" xfId="0" applyBorder="1">
      <alignment vertical="center"/>
    </xf>
    <xf numFmtId="0" fontId="0" fillId="2" borderId="32" xfId="0" applyFill="1" applyBorder="1" applyAlignment="1">
      <alignment horizontal="right" vertical="center"/>
    </xf>
    <xf numFmtId="0" fontId="0" fillId="0" borderId="82" xfId="0" applyBorder="1" applyAlignment="1">
      <alignment horizontal="right" vertical="center"/>
    </xf>
    <xf numFmtId="0" fontId="0" fillId="0" borderId="14" xfId="0" applyBorder="1">
      <alignment vertical="center"/>
    </xf>
    <xf numFmtId="0" fontId="0" fillId="2" borderId="23" xfId="0" applyFill="1" applyBorder="1" applyAlignment="1">
      <alignment horizontal="right" vertical="center"/>
    </xf>
    <xf numFmtId="0" fontId="0" fillId="2" borderId="27" xfId="0" applyFill="1" applyBorder="1" applyAlignment="1">
      <alignment horizontal="right" vertical="center"/>
    </xf>
    <xf numFmtId="0" fontId="0" fillId="2" borderId="19" xfId="0" applyFill="1" applyBorder="1" applyAlignment="1">
      <alignment horizontal="right" vertical="center"/>
    </xf>
    <xf numFmtId="0" fontId="0" fillId="2" borderId="22" xfId="0" applyFill="1" applyBorder="1" applyAlignment="1">
      <alignment horizontal="right" vertical="center"/>
    </xf>
    <xf numFmtId="0" fontId="0" fillId="7" borderId="20" xfId="0" applyFill="1" applyBorder="1" applyAlignment="1">
      <alignment horizontal="right" vertical="center"/>
    </xf>
    <xf numFmtId="0" fontId="0" fillId="7" borderId="19" xfId="0" applyFill="1" applyBorder="1" applyAlignment="1">
      <alignment horizontal="right" vertical="center"/>
    </xf>
    <xf numFmtId="195" fontId="0" fillId="0" borderId="0" xfId="0" applyNumberFormat="1" applyAlignment="1">
      <alignment horizontal="right" vertical="center"/>
    </xf>
    <xf numFmtId="195" fontId="0" fillId="0" borderId="0" xfId="0" applyNumberFormat="1">
      <alignment vertical="center"/>
    </xf>
    <xf numFmtId="10" fontId="0" fillId="0" borderId="0" xfId="0" applyNumberFormat="1" applyAlignment="1">
      <alignment horizontal="right" vertical="center"/>
    </xf>
    <xf numFmtId="188" fontId="0" fillId="0" borderId="0" xfId="0" applyNumberFormat="1">
      <alignment vertical="center"/>
    </xf>
    <xf numFmtId="196" fontId="0" fillId="0" borderId="0" xfId="0" applyNumberFormat="1">
      <alignment vertical="center"/>
    </xf>
    <xf numFmtId="197" fontId="0" fillId="0" borderId="0" xfId="0" applyNumberFormat="1">
      <alignment vertical="center"/>
    </xf>
    <xf numFmtId="193" fontId="0" fillId="0" borderId="0" xfId="0" applyNumberFormat="1">
      <alignment vertical="center"/>
    </xf>
    <xf numFmtId="0" fontId="0" fillId="11" borderId="0" xfId="0" applyFill="1">
      <alignment vertical="center"/>
    </xf>
    <xf numFmtId="188" fontId="0" fillId="3" borderId="0" xfId="0" applyNumberFormat="1" applyFill="1">
      <alignment vertical="center"/>
    </xf>
    <xf numFmtId="10" fontId="0" fillId="0" borderId="0" xfId="0" applyNumberFormat="1">
      <alignment vertical="center"/>
    </xf>
    <xf numFmtId="195" fontId="0" fillId="3" borderId="0" xfId="0" applyNumberFormat="1" applyFill="1" applyAlignment="1">
      <alignment horizontal="right" vertical="center"/>
    </xf>
    <xf numFmtId="183" fontId="0" fillId="0" borderId="0" xfId="0" applyNumberFormat="1">
      <alignment vertical="center"/>
    </xf>
    <xf numFmtId="195" fontId="0" fillId="11" borderId="0" xfId="0" applyNumberFormat="1" applyFill="1">
      <alignment vertical="center"/>
    </xf>
    <xf numFmtId="196" fontId="0" fillId="0" borderId="0" xfId="0" applyNumberFormat="1" applyAlignment="1">
      <alignment horizontal="right" vertical="center"/>
    </xf>
    <xf numFmtId="0" fontId="0" fillId="17" borderId="0" xfId="0" applyFill="1">
      <alignment vertical="center"/>
    </xf>
    <xf numFmtId="0" fontId="0" fillId="17" borderId="0" xfId="0" applyFill="1" applyAlignment="1">
      <alignment horizontal="right" vertical="center"/>
    </xf>
    <xf numFmtId="178" fontId="0" fillId="11" borderId="0" xfId="0" applyNumberFormat="1" applyFill="1" applyAlignment="1">
      <alignment horizontal="right" vertical="center"/>
    </xf>
    <xf numFmtId="179" fontId="0" fillId="17" borderId="0" xfId="0" applyNumberFormat="1" applyFill="1" applyAlignment="1">
      <alignment horizontal="right" vertical="center"/>
    </xf>
    <xf numFmtId="188" fontId="0" fillId="17" borderId="0" xfId="0" applyNumberFormat="1" applyFill="1" applyAlignment="1">
      <alignment horizontal="right" vertical="center"/>
    </xf>
    <xf numFmtId="0" fontId="10" fillId="17" borderId="0" xfId="0" applyFont="1" applyFill="1" applyAlignment="1">
      <alignment horizontal="right" vertical="center"/>
    </xf>
    <xf numFmtId="0" fontId="15" fillId="2" borderId="0" xfId="0" applyFont="1" applyFill="1">
      <alignment vertical="center"/>
    </xf>
    <xf numFmtId="178" fontId="10" fillId="11" borderId="0" xfId="0" applyNumberFormat="1" applyFont="1" applyFill="1" applyAlignment="1">
      <alignment horizontal="right" vertical="center"/>
    </xf>
    <xf numFmtId="0" fontId="68" fillId="2" borderId="0" xfId="0" quotePrefix="1" applyFont="1" applyFill="1" applyAlignment="1">
      <alignment horizontal="right" vertical="center"/>
    </xf>
    <xf numFmtId="0" fontId="62" fillId="2" borderId="0" xfId="0" applyFont="1" applyFill="1" applyAlignment="1">
      <alignment horizontal="right" vertical="center"/>
    </xf>
    <xf numFmtId="0" fontId="68" fillId="2" borderId="0" xfId="0" applyFont="1" applyFill="1" applyAlignment="1">
      <alignment horizontal="right" vertical="center"/>
    </xf>
    <xf numFmtId="179" fontId="17" fillId="17" borderId="0" xfId="0" applyNumberFormat="1" applyFont="1" applyFill="1" applyAlignment="1">
      <alignment horizontal="right" vertical="center"/>
    </xf>
    <xf numFmtId="0" fontId="54" fillId="17" borderId="0" xfId="0" applyFont="1" applyFill="1" applyAlignment="1">
      <alignment horizontal="right" vertical="center"/>
    </xf>
    <xf numFmtId="178" fontId="0" fillId="17" borderId="0" xfId="0" applyNumberFormat="1" applyFill="1" applyAlignment="1">
      <alignment horizontal="right" vertical="center"/>
    </xf>
    <xf numFmtId="0" fontId="0" fillId="2" borderId="0" xfId="0" quotePrefix="1" applyFill="1" applyAlignment="1">
      <alignment horizontal="right" vertical="center"/>
    </xf>
    <xf numFmtId="0" fontId="70" fillId="17" borderId="0" xfId="0" applyFont="1" applyFill="1" applyAlignment="1">
      <alignment horizontal="right" vertical="center"/>
    </xf>
    <xf numFmtId="179" fontId="70" fillId="17" borderId="0" xfId="0" applyNumberFormat="1" applyFont="1" applyFill="1" applyAlignment="1">
      <alignment horizontal="right" vertical="center"/>
    </xf>
    <xf numFmtId="0" fontId="17" fillId="17" borderId="0" xfId="0" applyFont="1" applyFill="1" applyAlignment="1">
      <alignment horizontal="right" vertical="center"/>
    </xf>
    <xf numFmtId="10" fontId="15" fillId="2" borderId="0" xfId="0" applyNumberFormat="1" applyFont="1" applyFill="1" applyAlignment="1">
      <alignment horizontal="right" vertical="center"/>
    </xf>
    <xf numFmtId="10" fontId="16" fillId="2" borderId="0" xfId="0" applyNumberFormat="1" applyFont="1" applyFill="1" applyAlignment="1">
      <alignment horizontal="right" vertical="center"/>
    </xf>
    <xf numFmtId="0" fontId="15" fillId="2" borderId="60" xfId="0" applyFont="1" applyFill="1" applyBorder="1" applyAlignment="1">
      <alignment horizontal="right" vertical="center"/>
    </xf>
    <xf numFmtId="0" fontId="15" fillId="2" borderId="61" xfId="0" applyFont="1" applyFill="1" applyBorder="1" applyAlignment="1">
      <alignment horizontal="left" vertical="center"/>
    </xf>
    <xf numFmtId="0" fontId="15" fillId="2" borderId="61" xfId="0" applyFont="1" applyFill="1" applyBorder="1" applyAlignment="1">
      <alignment horizontal="right" vertical="center"/>
    </xf>
    <xf numFmtId="0" fontId="15" fillId="2" borderId="62" xfId="0" applyFont="1" applyFill="1" applyBorder="1" applyAlignment="1">
      <alignment horizontal="right" vertical="center"/>
    </xf>
    <xf numFmtId="0" fontId="3" fillId="0" borderId="33" xfId="0" applyFont="1" applyBorder="1" applyAlignment="1">
      <alignment horizontal="left" vertical="top" wrapText="1"/>
    </xf>
    <xf numFmtId="0" fontId="3" fillId="0" borderId="33" xfId="0" applyFont="1" applyBorder="1" applyAlignment="1">
      <alignment vertical="top" wrapText="1"/>
    </xf>
    <xf numFmtId="0" fontId="3" fillId="0" borderId="33" xfId="0" applyFont="1" applyBorder="1" applyAlignment="1">
      <alignment horizontal="left" vertical="top"/>
    </xf>
    <xf numFmtId="189" fontId="0" fillId="0" borderId="0" xfId="0" applyNumberFormat="1">
      <alignment vertical="center"/>
    </xf>
    <xf numFmtId="0" fontId="3" fillId="0" borderId="30" xfId="0" applyFont="1" applyBorder="1">
      <alignment vertical="center"/>
    </xf>
    <xf numFmtId="0" fontId="0" fillId="2" borderId="2" xfId="0" applyFill="1" applyBorder="1" applyAlignment="1">
      <alignment horizontal="right" vertical="center"/>
    </xf>
    <xf numFmtId="0" fontId="0" fillId="0" borderId="2" xfId="0" quotePrefix="1" applyBorder="1">
      <alignment vertical="center"/>
    </xf>
    <xf numFmtId="0" fontId="0" fillId="2" borderId="3" xfId="0" applyFill="1" applyBorder="1" applyAlignment="1">
      <alignment horizontal="right" vertical="center"/>
    </xf>
    <xf numFmtId="0" fontId="0" fillId="0" borderId="3" xfId="0" applyBorder="1">
      <alignment vertical="center"/>
    </xf>
    <xf numFmtId="0" fontId="1" fillId="0" borderId="3" xfId="0" applyFont="1" applyBorder="1">
      <alignment vertical="center"/>
    </xf>
    <xf numFmtId="0" fontId="0" fillId="0" borderId="2" xfId="0" applyBorder="1">
      <alignment vertical="center"/>
    </xf>
    <xf numFmtId="0" fontId="0" fillId="2" borderId="54" xfId="0" applyFill="1" applyBorder="1" applyAlignment="1">
      <alignment horizontal="right" vertical="center"/>
    </xf>
    <xf numFmtId="0" fontId="0" fillId="3" borderId="54" xfId="0" applyFill="1" applyBorder="1">
      <alignment vertical="center"/>
    </xf>
    <xf numFmtId="0" fontId="0" fillId="0" borderId="54" xfId="0" applyBorder="1">
      <alignment vertical="center"/>
    </xf>
    <xf numFmtId="0" fontId="0" fillId="3" borderId="3" xfId="0" applyFill="1" applyBorder="1">
      <alignment vertical="center"/>
    </xf>
    <xf numFmtId="0" fontId="0" fillId="3" borderId="18" xfId="0" quotePrefix="1" applyFill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3" borderId="18" xfId="0" applyFill="1" applyBorder="1">
      <alignment vertical="center"/>
    </xf>
    <xf numFmtId="191" fontId="0" fillId="0" borderId="0" xfId="0" applyNumberFormat="1" applyAlignment="1">
      <alignment horizontal="right" vertical="center"/>
    </xf>
    <xf numFmtId="192" fontId="0" fillId="0" borderId="0" xfId="0" applyNumberFormat="1" applyAlignment="1">
      <alignment horizontal="right" vertical="center"/>
    </xf>
    <xf numFmtId="0" fontId="0" fillId="6" borderId="0" xfId="0" quotePrefix="1" applyFill="1" applyAlignment="1">
      <alignment horizontal="right" vertical="center"/>
    </xf>
    <xf numFmtId="0" fontId="0" fillId="7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center" vertical="center"/>
    </xf>
    <xf numFmtId="0" fontId="57" fillId="4" borderId="30" xfId="0" applyFont="1" applyFill="1" applyBorder="1" applyAlignment="1">
      <alignment horizontal="center" vertical="center"/>
    </xf>
    <xf numFmtId="0" fontId="57" fillId="4" borderId="0" xfId="0" applyFont="1" applyFill="1" applyAlignment="1">
      <alignment horizontal="right" vertical="center"/>
    </xf>
    <xf numFmtId="0" fontId="57" fillId="4" borderId="0" xfId="0" applyFont="1" applyFill="1" applyAlignment="1">
      <alignment horizontal="center" vertical="center"/>
    </xf>
    <xf numFmtId="0" fontId="57" fillId="4" borderId="0" xfId="0" applyFont="1" applyFill="1" applyAlignment="1">
      <alignment horizontal="left" vertical="top" wrapText="1"/>
    </xf>
    <xf numFmtId="0" fontId="57" fillId="9" borderId="0" xfId="0" applyFont="1" applyFill="1">
      <alignment vertical="center"/>
    </xf>
    <xf numFmtId="0" fontId="57" fillId="0" borderId="33" xfId="0" applyFont="1" applyBorder="1" applyAlignment="1">
      <alignment horizontal="left" vertical="top" wrapText="1"/>
    </xf>
    <xf numFmtId="0" fontId="57" fillId="0" borderId="0" xfId="0" applyFont="1">
      <alignment vertical="center"/>
    </xf>
    <xf numFmtId="0" fontId="57" fillId="0" borderId="67" xfId="0" applyFont="1" applyBorder="1" applyAlignment="1">
      <alignment horizontal="left" vertical="top" wrapText="1"/>
    </xf>
    <xf numFmtId="0" fontId="58" fillId="0" borderId="0" xfId="0" applyFont="1" applyAlignment="1">
      <alignment horizontal="right" vertical="center"/>
    </xf>
    <xf numFmtId="0" fontId="20" fillId="0" borderId="33" xfId="0" applyFont="1" applyBorder="1" applyAlignment="1">
      <alignment horizontal="left" vertical="top" wrapText="1"/>
    </xf>
    <xf numFmtId="0" fontId="20" fillId="0" borderId="0" xfId="0" applyFont="1">
      <alignment vertical="center"/>
    </xf>
    <xf numFmtId="0" fontId="10" fillId="0" borderId="30" xfId="0" applyFont="1" applyBorder="1" applyAlignment="1">
      <alignment horizontal="center" vertical="center" shrinkToFit="1"/>
    </xf>
    <xf numFmtId="0" fontId="57" fillId="0" borderId="0" xfId="0" applyFont="1" applyAlignment="1">
      <alignment horizontal="left" vertical="top"/>
    </xf>
    <xf numFmtId="0" fontId="18" fillId="4" borderId="30" xfId="0" applyFont="1" applyFill="1" applyBorder="1" applyAlignment="1">
      <alignment horizontal="center" vertical="center"/>
    </xf>
    <xf numFmtId="178" fontId="0" fillId="14" borderId="0" xfId="0" applyNumberFormat="1" applyFill="1" applyAlignment="1">
      <alignment horizontal="right" vertical="center"/>
    </xf>
    <xf numFmtId="0" fontId="57" fillId="0" borderId="0" xfId="0" applyFont="1" applyAlignment="1">
      <alignment vertical="top"/>
    </xf>
    <xf numFmtId="0" fontId="74" fillId="0" borderId="0" xfId="0" applyFont="1" applyAlignment="1">
      <alignment horizontal="center" vertical="center"/>
    </xf>
    <xf numFmtId="0" fontId="74" fillId="0" borderId="30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10" fontId="0" fillId="3" borderId="0" xfId="0" applyNumberFormat="1" applyFill="1" applyAlignment="1">
      <alignment horizontal="right" vertical="center"/>
    </xf>
    <xf numFmtId="176" fontId="0" fillId="3" borderId="0" xfId="0" applyNumberFormat="1" applyFill="1">
      <alignment vertical="center"/>
    </xf>
    <xf numFmtId="0" fontId="34" fillId="9" borderId="0" xfId="0" applyFont="1" applyFill="1" applyAlignment="1">
      <alignment horizontal="right" vertical="center"/>
    </xf>
    <xf numFmtId="0" fontId="34" fillId="9" borderId="0" xfId="0" applyFont="1" applyFill="1">
      <alignment vertical="center"/>
    </xf>
    <xf numFmtId="180" fontId="18" fillId="9" borderId="0" xfId="0" applyNumberFormat="1" applyFont="1" applyFill="1">
      <alignment vertical="center"/>
    </xf>
    <xf numFmtId="180" fontId="10" fillId="9" borderId="0" xfId="0" applyNumberFormat="1" applyFont="1" applyFill="1">
      <alignment vertical="center"/>
    </xf>
    <xf numFmtId="0" fontId="3" fillId="18" borderId="3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right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180" fontId="0" fillId="0" borderId="0" xfId="0" applyNumberFormat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0" fontId="15" fillId="4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180" fontId="0" fillId="4" borderId="0" xfId="0" applyNumberFormat="1" applyFill="1" applyAlignment="1">
      <alignment horizontal="right" vertical="center"/>
    </xf>
    <xf numFmtId="0" fontId="0" fillId="2" borderId="2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1" xfId="0" applyFill="1" applyBorder="1" applyAlignment="1">
      <alignment horizontal="right" vertical="center"/>
    </xf>
    <xf numFmtId="188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6" fontId="0" fillId="7" borderId="0" xfId="0" applyNumberFormat="1" applyFill="1" applyAlignment="1">
      <alignment horizontal="right" vertical="center"/>
    </xf>
    <xf numFmtId="179" fontId="0" fillId="2" borderId="0" xfId="0" applyNumberFormat="1" applyFill="1" applyAlignment="1">
      <alignment horizontal="center" vertical="center"/>
    </xf>
    <xf numFmtId="195" fontId="0" fillId="2" borderId="0" xfId="0" applyNumberFormat="1" applyFill="1" applyAlignment="1">
      <alignment horizontal="center" vertical="center"/>
    </xf>
    <xf numFmtId="195" fontId="0" fillId="0" borderId="0" xfId="0" applyNumberFormat="1" applyAlignment="1">
      <alignment horizontal="center" vertical="center"/>
    </xf>
    <xf numFmtId="195" fontId="0" fillId="3" borderId="0" xfId="0" applyNumberFormat="1" applyFill="1" applyAlignment="1">
      <alignment horizontal="center" vertical="center"/>
    </xf>
    <xf numFmtId="195" fontId="0" fillId="4" borderId="0" xfId="0" applyNumberFormat="1" applyFill="1" applyAlignment="1">
      <alignment horizontal="center" vertical="center"/>
    </xf>
    <xf numFmtId="195" fontId="76" fillId="4" borderId="0" xfId="0" applyNumberFormat="1" applyFont="1" applyFill="1" applyAlignment="1">
      <alignment horizontal="center" vertical="center"/>
    </xf>
    <xf numFmtId="195" fontId="0" fillId="2" borderId="0" xfId="0" applyNumberFormat="1" applyFill="1" applyAlignment="1">
      <alignment horizontal="right" vertical="center"/>
    </xf>
    <xf numFmtId="182" fontId="0" fillId="2" borderId="0" xfId="0" applyNumberFormat="1" applyFill="1" applyAlignment="1">
      <alignment horizontal="right" vertical="center"/>
    </xf>
    <xf numFmtId="179" fontId="76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8" fillId="2" borderId="0" xfId="0" applyFont="1" applyFill="1">
      <alignment vertical="center"/>
    </xf>
    <xf numFmtId="0" fontId="18" fillId="2" borderId="0" xfId="0" applyFont="1" applyFill="1" applyAlignment="1">
      <alignment horizontal="right" vertical="center"/>
    </xf>
    <xf numFmtId="180" fontId="25" fillId="0" borderId="0" xfId="0" applyNumberFormat="1" applyFont="1" applyAlignment="1">
      <alignment horizontal="right" vertical="center"/>
    </xf>
    <xf numFmtId="0" fontId="25" fillId="4" borderId="0" xfId="0" applyFont="1" applyFill="1" applyAlignment="1">
      <alignment horizontal="right" vertical="center"/>
    </xf>
    <xf numFmtId="180" fontId="25" fillId="4" borderId="0" xfId="0" applyNumberFormat="1" applyFont="1" applyFill="1" applyAlignment="1">
      <alignment horizontal="right" vertical="center"/>
    </xf>
    <xf numFmtId="180" fontId="18" fillId="2" borderId="0" xfId="0" applyNumberFormat="1" applyFont="1" applyFill="1" applyAlignment="1">
      <alignment horizontal="right" vertical="center"/>
    </xf>
    <xf numFmtId="180" fontId="25" fillId="4" borderId="0" xfId="0" applyNumberFormat="1" applyFont="1" applyFill="1" applyAlignment="1">
      <alignment horizontal="left" vertical="center"/>
    </xf>
    <xf numFmtId="182" fontId="25" fillId="4" borderId="0" xfId="0" applyNumberFormat="1" applyFont="1" applyFill="1" applyAlignment="1">
      <alignment horizontal="right" vertical="center"/>
    </xf>
    <xf numFmtId="0" fontId="25" fillId="9" borderId="0" xfId="0" applyFont="1" applyFill="1">
      <alignment vertical="center"/>
    </xf>
    <xf numFmtId="0" fontId="0" fillId="8" borderId="0" xfId="0" applyFill="1" applyAlignment="1">
      <alignment horizontal="right" vertical="center"/>
    </xf>
    <xf numFmtId="179" fontId="0" fillId="8" borderId="0" xfId="0" applyNumberFormat="1" applyFill="1" applyAlignment="1">
      <alignment horizontal="right" vertical="center"/>
    </xf>
    <xf numFmtId="0" fontId="37" fillId="9" borderId="0" xfId="0" applyFont="1" applyFill="1">
      <alignment vertical="center"/>
    </xf>
    <xf numFmtId="0" fontId="0" fillId="9" borderId="0" xfId="0" applyFill="1" applyAlignment="1">
      <alignment horizontal="right" vertical="center"/>
    </xf>
    <xf numFmtId="0" fontId="19" fillId="9" borderId="0" xfId="0" applyFont="1" applyFill="1">
      <alignment vertical="center"/>
    </xf>
    <xf numFmtId="0" fontId="18" fillId="9" borderId="0" xfId="0" applyFont="1" applyFill="1">
      <alignment vertical="center"/>
    </xf>
    <xf numFmtId="0" fontId="0" fillId="9" borderId="0" xfId="0" applyFill="1">
      <alignment vertical="center"/>
    </xf>
    <xf numFmtId="0" fontId="18" fillId="9" borderId="0" xfId="0" applyFont="1" applyFill="1" applyAlignment="1">
      <alignment horizontal="right" vertical="center"/>
    </xf>
    <xf numFmtId="0" fontId="19" fillId="9" borderId="0" xfId="0" applyFont="1" applyFill="1" applyAlignment="1">
      <alignment horizontal="right" vertical="center"/>
    </xf>
    <xf numFmtId="180" fontId="18" fillId="9" borderId="0" xfId="0" applyNumberFormat="1" applyFont="1" applyFill="1" applyAlignment="1">
      <alignment horizontal="right" vertical="center"/>
    </xf>
    <xf numFmtId="180" fontId="18" fillId="2" borderId="0" xfId="0" applyNumberFormat="1" applyFont="1" applyFill="1">
      <alignment vertical="center"/>
    </xf>
    <xf numFmtId="0" fontId="25" fillId="5" borderId="0" xfId="0" applyFont="1" applyFill="1" applyAlignment="1">
      <alignment horizontal="right" vertical="center"/>
    </xf>
    <xf numFmtId="0" fontId="25" fillId="19" borderId="0" xfId="0" applyFont="1" applyFill="1" applyAlignment="1">
      <alignment horizontal="right" vertical="center"/>
    </xf>
    <xf numFmtId="0" fontId="25" fillId="7" borderId="0" xfId="0" applyFont="1" applyFill="1" applyAlignment="1">
      <alignment horizontal="right" vertical="center"/>
    </xf>
    <xf numFmtId="182" fontId="76" fillId="0" borderId="0" xfId="0" applyNumberFormat="1" applyFont="1" applyAlignment="1">
      <alignment horizontal="center" vertical="center"/>
    </xf>
    <xf numFmtId="180" fontId="18" fillId="8" borderId="0" xfId="0" applyNumberFormat="1" applyFont="1" applyFill="1" applyAlignment="1">
      <alignment horizontal="right" vertical="center"/>
    </xf>
    <xf numFmtId="0" fontId="25" fillId="7" borderId="83" xfId="0" applyFont="1" applyFill="1" applyBorder="1" applyAlignment="1">
      <alignment horizontal="right" vertical="center"/>
    </xf>
    <xf numFmtId="182" fontId="25" fillId="4" borderId="84" xfId="0" applyNumberFormat="1" applyFont="1" applyFill="1" applyBorder="1" applyAlignment="1">
      <alignment horizontal="right" vertical="center"/>
    </xf>
    <xf numFmtId="0" fontId="0" fillId="2" borderId="3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32" fillId="0" borderId="5" xfId="0" applyFont="1" applyBorder="1" applyAlignment="1">
      <alignment horizontal="left"/>
    </xf>
    <xf numFmtId="0" fontId="32" fillId="0" borderId="5" xfId="0" applyFont="1" applyBorder="1" applyAlignment="1">
      <alignment horizontal="left" vertical="center"/>
    </xf>
    <xf numFmtId="0" fontId="32" fillId="0" borderId="0" xfId="0" applyFont="1" applyAlignment="1">
      <alignment horizontal="left"/>
    </xf>
    <xf numFmtId="0" fontId="0" fillId="10" borderId="41" xfId="0" applyFill="1" applyBorder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0" fontId="0" fillId="10" borderId="3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28" fillId="0" borderId="4" xfId="0" applyFont="1" applyBorder="1" applyAlignment="1">
      <alignment horizontal="center"/>
    </xf>
    <xf numFmtId="0" fontId="33" fillId="5" borderId="31" xfId="0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4" fillId="5" borderId="32" xfId="0" applyFont="1" applyFill="1" applyBorder="1" applyAlignment="1">
      <alignment horizontal="center" vertical="center"/>
    </xf>
    <xf numFmtId="0" fontId="33" fillId="6" borderId="31" xfId="0" applyFont="1" applyFill="1" applyBorder="1" applyAlignment="1">
      <alignment horizontal="center" vertical="center"/>
    </xf>
    <xf numFmtId="0" fontId="34" fillId="6" borderId="9" xfId="0" applyFont="1" applyFill="1" applyBorder="1" applyAlignment="1">
      <alignment horizontal="center" vertical="center"/>
    </xf>
    <xf numFmtId="0" fontId="34" fillId="6" borderId="32" xfId="0" applyFont="1" applyFill="1" applyBorder="1" applyAlignment="1">
      <alignment horizontal="center" vertical="center"/>
    </xf>
    <xf numFmtId="0" fontId="33" fillId="8" borderId="31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2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5" borderId="9" xfId="0" applyFont="1" applyFill="1" applyBorder="1" applyAlignment="1">
      <alignment horizontal="center" vertical="center"/>
    </xf>
    <xf numFmtId="0" fontId="33" fillId="5" borderId="32" xfId="0" applyFont="1" applyFill="1" applyBorder="1" applyAlignment="1">
      <alignment horizontal="center" vertical="center"/>
    </xf>
    <xf numFmtId="0" fontId="33" fillId="6" borderId="9" xfId="0" applyFont="1" applyFill="1" applyBorder="1" applyAlignment="1">
      <alignment horizontal="center" vertical="center"/>
    </xf>
    <xf numFmtId="0" fontId="33" fillId="6" borderId="32" xfId="0" applyFont="1" applyFill="1" applyBorder="1" applyAlignment="1">
      <alignment horizontal="center" vertical="center"/>
    </xf>
    <xf numFmtId="0" fontId="33" fillId="8" borderId="9" xfId="0" applyFont="1" applyFill="1" applyBorder="1" applyAlignment="1">
      <alignment horizontal="center" vertical="center"/>
    </xf>
    <xf numFmtId="0" fontId="33" fillId="8" borderId="32" xfId="0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33" fillId="8" borderId="30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10" fillId="10" borderId="38" xfId="0" applyFont="1" applyFill="1" applyBorder="1" applyAlignment="1">
      <alignment horizontal="center" vertical="center"/>
    </xf>
    <xf numFmtId="0" fontId="10" fillId="10" borderId="39" xfId="0" applyFont="1" applyFill="1" applyBorder="1" applyAlignment="1">
      <alignment horizontal="center" vertical="center"/>
    </xf>
    <xf numFmtId="0" fontId="10" fillId="10" borderId="40" xfId="0" applyFont="1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0" borderId="44" xfId="0" applyFill="1" applyBorder="1" applyAlignment="1">
      <alignment horizontal="center" vertical="center"/>
    </xf>
    <xf numFmtId="0" fontId="11" fillId="4" borderId="37" xfId="0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/>
    </xf>
    <xf numFmtId="0" fontId="10" fillId="4" borderId="44" xfId="0" applyFont="1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10" borderId="43" xfId="0" applyFont="1" applyFill="1" applyBorder="1" applyAlignment="1">
      <alignment horizontal="center" vertical="center"/>
    </xf>
    <xf numFmtId="0" fontId="10" fillId="10" borderId="44" xfId="0" applyFont="1" applyFill="1" applyBorder="1" applyAlignment="1">
      <alignment horizontal="center" vertical="center"/>
    </xf>
    <xf numFmtId="0" fontId="30" fillId="5" borderId="31" xfId="0" applyFont="1" applyFill="1" applyBorder="1" applyAlignment="1">
      <alignment horizontal="center" vertical="center"/>
    </xf>
    <xf numFmtId="0" fontId="30" fillId="5" borderId="9" xfId="0" applyFont="1" applyFill="1" applyBorder="1" applyAlignment="1">
      <alignment horizontal="center" vertical="center"/>
    </xf>
    <xf numFmtId="0" fontId="30" fillId="5" borderId="3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93" fontId="34" fillId="4" borderId="10" xfId="0" applyNumberFormat="1" applyFont="1" applyFill="1" applyBorder="1" applyAlignment="1">
      <alignment horizontal="center" vertical="center"/>
    </xf>
    <xf numFmtId="193" fontId="34" fillId="4" borderId="0" xfId="0" applyNumberFormat="1" applyFont="1" applyFill="1" applyAlignment="1">
      <alignment horizontal="center" vertical="center"/>
    </xf>
    <xf numFmtId="193" fontId="34" fillId="4" borderId="13" xfId="0" applyNumberFormat="1" applyFont="1" applyFill="1" applyBorder="1" applyAlignment="1">
      <alignment horizontal="center" vertical="center"/>
    </xf>
    <xf numFmtId="193" fontId="34" fillId="0" borderId="10" xfId="0" applyNumberFormat="1" applyFont="1" applyBorder="1" applyAlignment="1">
      <alignment horizontal="center" vertical="center"/>
    </xf>
    <xf numFmtId="193" fontId="34" fillId="0" borderId="0" xfId="0" applyNumberFormat="1" applyFont="1" applyAlignment="1">
      <alignment horizontal="center" vertical="center"/>
    </xf>
    <xf numFmtId="193" fontId="34" fillId="0" borderId="13" xfId="0" applyNumberFormat="1" applyFont="1" applyBorder="1" applyAlignment="1">
      <alignment horizontal="center" vertical="center"/>
    </xf>
    <xf numFmtId="0" fontId="34" fillId="4" borderId="10" xfId="0" applyFont="1" applyFill="1" applyBorder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34" fillId="4" borderId="13" xfId="0" applyFont="1" applyFill="1" applyBorder="1" applyAlignment="1">
      <alignment horizontal="center" vertical="center"/>
    </xf>
    <xf numFmtId="0" fontId="26" fillId="16" borderId="10" xfId="0" applyFont="1" applyFill="1" applyBorder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6" fillId="16" borderId="13" xfId="0" applyFont="1" applyFill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183" fontId="34" fillId="15" borderId="10" xfId="0" applyNumberFormat="1" applyFont="1" applyFill="1" applyBorder="1" applyAlignment="1">
      <alignment horizontal="center" vertical="center"/>
    </xf>
    <xf numFmtId="183" fontId="34" fillId="15" borderId="0" xfId="0" applyNumberFormat="1" applyFont="1" applyFill="1" applyAlignment="1">
      <alignment horizontal="center" vertical="center"/>
    </xf>
    <xf numFmtId="183" fontId="34" fillId="15" borderId="13" xfId="0" applyNumberFormat="1" applyFont="1" applyFill="1" applyBorder="1" applyAlignment="1">
      <alignment horizontal="center" vertical="center"/>
    </xf>
    <xf numFmtId="193" fontId="34" fillId="16" borderId="10" xfId="0" applyNumberFormat="1" applyFont="1" applyFill="1" applyBorder="1" applyAlignment="1">
      <alignment horizontal="center" vertical="center"/>
    </xf>
    <xf numFmtId="193" fontId="34" fillId="16" borderId="0" xfId="0" applyNumberFormat="1" applyFont="1" applyFill="1" applyAlignment="1">
      <alignment horizontal="center" vertical="center"/>
    </xf>
    <xf numFmtId="193" fontId="34" fillId="16" borderId="13" xfId="0" applyNumberFormat="1" applyFont="1" applyFill="1" applyBorder="1" applyAlignment="1">
      <alignment horizontal="center" vertical="center"/>
    </xf>
    <xf numFmtId="180" fontId="34" fillId="16" borderId="10" xfId="0" applyNumberFormat="1" applyFont="1" applyFill="1" applyBorder="1" applyAlignment="1">
      <alignment horizontal="center" vertical="center"/>
    </xf>
    <xf numFmtId="180" fontId="34" fillId="16" borderId="0" xfId="0" applyNumberFormat="1" applyFont="1" applyFill="1" applyAlignment="1">
      <alignment horizontal="center" vertical="center"/>
    </xf>
    <xf numFmtId="180" fontId="34" fillId="16" borderId="13" xfId="0" applyNumberFormat="1" applyFont="1" applyFill="1" applyBorder="1" applyAlignment="1">
      <alignment horizontal="center" vertical="center"/>
    </xf>
    <xf numFmtId="0" fontId="34" fillId="16" borderId="0" xfId="0" applyFont="1" applyFill="1" applyAlignment="1">
      <alignment horizontal="center" vertical="center"/>
    </xf>
    <xf numFmtId="0" fontId="34" fillId="16" borderId="13" xfId="0" applyFont="1" applyFill="1" applyBorder="1" applyAlignment="1">
      <alignment horizontal="center" vertical="center"/>
    </xf>
    <xf numFmtId="183" fontId="34" fillId="4" borderId="10" xfId="0" applyNumberFormat="1" applyFont="1" applyFill="1" applyBorder="1" applyAlignment="1">
      <alignment horizontal="center" vertical="center"/>
    </xf>
    <xf numFmtId="183" fontId="34" fillId="4" borderId="0" xfId="0" applyNumberFormat="1" applyFont="1" applyFill="1" applyAlignment="1">
      <alignment horizontal="center" vertical="center"/>
    </xf>
    <xf numFmtId="183" fontId="34" fillId="4" borderId="13" xfId="0" applyNumberFormat="1" applyFont="1" applyFill="1" applyBorder="1" applyAlignment="1">
      <alignment horizontal="center" vertical="center"/>
    </xf>
    <xf numFmtId="0" fontId="34" fillId="16" borderId="10" xfId="0" applyFont="1" applyFill="1" applyBorder="1" applyAlignment="1">
      <alignment horizontal="center" vertical="center"/>
    </xf>
    <xf numFmtId="193" fontId="58" fillId="16" borderId="10" xfId="0" applyNumberFormat="1" applyFont="1" applyFill="1" applyBorder="1" applyAlignment="1">
      <alignment horizontal="center" vertical="center"/>
    </xf>
    <xf numFmtId="193" fontId="58" fillId="16" borderId="0" xfId="0" applyNumberFormat="1" applyFont="1" applyFill="1" applyAlignment="1">
      <alignment horizontal="center" vertical="center"/>
    </xf>
    <xf numFmtId="193" fontId="58" fillId="16" borderId="13" xfId="0" applyNumberFormat="1" applyFont="1" applyFill="1" applyBorder="1" applyAlignment="1">
      <alignment horizontal="center" vertical="center"/>
    </xf>
    <xf numFmtId="0" fontId="58" fillId="16" borderId="10" xfId="0" applyFont="1" applyFill="1" applyBorder="1" applyAlignment="1">
      <alignment horizontal="center" vertical="center"/>
    </xf>
    <xf numFmtId="0" fontId="58" fillId="16" borderId="0" xfId="0" applyFont="1" applyFill="1" applyAlignment="1">
      <alignment horizontal="center" vertical="center"/>
    </xf>
    <xf numFmtId="0" fontId="58" fillId="16" borderId="13" xfId="0" applyFont="1" applyFill="1" applyBorder="1" applyAlignment="1">
      <alignment horizontal="center" vertical="center"/>
    </xf>
    <xf numFmtId="178" fontId="34" fillId="9" borderId="0" xfId="0" applyNumberFormat="1" applyFont="1" applyFill="1" applyAlignment="1">
      <alignment horizontal="center" vertical="center"/>
    </xf>
    <xf numFmtId="178" fontId="31" fillId="9" borderId="0" xfId="0" applyNumberFormat="1" applyFont="1" applyFill="1" applyAlignment="1">
      <alignment horizontal="center" vertical="center"/>
    </xf>
    <xf numFmtId="178" fontId="58" fillId="9" borderId="0" xfId="0" applyNumberFormat="1" applyFont="1" applyFill="1" applyAlignment="1">
      <alignment horizontal="center" vertical="center"/>
    </xf>
    <xf numFmtId="178" fontId="75" fillId="9" borderId="0" xfId="0" applyNumberFormat="1" applyFont="1" applyFill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0" fontId="74" fillId="4" borderId="31" xfId="0" applyFont="1" applyFill="1" applyBorder="1" applyAlignment="1">
      <alignment horizontal="center" vertical="center"/>
    </xf>
    <xf numFmtId="0" fontId="74" fillId="4" borderId="9" xfId="0" applyFont="1" applyFill="1" applyBorder="1" applyAlignment="1">
      <alignment horizontal="center" vertical="center"/>
    </xf>
    <xf numFmtId="0" fontId="74" fillId="4" borderId="32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32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top" wrapText="1"/>
    </xf>
    <xf numFmtId="0" fontId="3" fillId="4" borderId="32" xfId="0" applyFont="1" applyFill="1" applyBorder="1" applyAlignment="1">
      <alignment horizontal="center" vertical="top"/>
    </xf>
    <xf numFmtId="0" fontId="3" fillId="4" borderId="9" xfId="0" applyFont="1" applyFill="1" applyBorder="1" applyAlignment="1">
      <alignment horizontal="center" vertical="top" wrapText="1"/>
    </xf>
    <xf numFmtId="0" fontId="3" fillId="4" borderId="32" xfId="0" applyFont="1" applyFill="1" applyBorder="1" applyAlignment="1">
      <alignment horizontal="center" vertical="top" wrapText="1"/>
    </xf>
    <xf numFmtId="0" fontId="57" fillId="4" borderId="31" xfId="0" applyFont="1" applyFill="1" applyBorder="1" applyAlignment="1">
      <alignment horizontal="center" vertical="center"/>
    </xf>
    <xf numFmtId="0" fontId="57" fillId="4" borderId="32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 shrinkToFit="1"/>
    </xf>
    <xf numFmtId="0" fontId="3" fillId="7" borderId="9" xfId="0" applyFont="1" applyFill="1" applyBorder="1" applyAlignment="1">
      <alignment horizontal="center" vertical="center" shrinkToFit="1"/>
    </xf>
    <xf numFmtId="0" fontId="3" fillId="7" borderId="32" xfId="0" applyFont="1" applyFill="1" applyBorder="1" applyAlignment="1">
      <alignment horizontal="center" vertical="center" shrinkToFit="1"/>
    </xf>
    <xf numFmtId="0" fontId="10" fillId="8" borderId="31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0" fillId="10" borderId="31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0" fillId="10" borderId="32" xfId="0" applyFont="1" applyFill="1" applyBorder="1" applyAlignment="1">
      <alignment horizontal="center" vertical="center"/>
    </xf>
    <xf numFmtId="0" fontId="10" fillId="10" borderId="31" xfId="0" applyFont="1" applyFill="1" applyBorder="1" applyAlignment="1">
      <alignment horizontal="center" vertical="top" wrapText="1"/>
    </xf>
    <xf numFmtId="0" fontId="10" fillId="10" borderId="9" xfId="0" applyFont="1" applyFill="1" applyBorder="1" applyAlignment="1">
      <alignment horizontal="center" vertical="top"/>
    </xf>
    <xf numFmtId="0" fontId="10" fillId="10" borderId="32" xfId="0" applyFont="1" applyFill="1" applyBorder="1" applyAlignment="1">
      <alignment horizontal="center" vertical="top"/>
    </xf>
    <xf numFmtId="0" fontId="10" fillId="10" borderId="9" xfId="0" applyFont="1" applyFill="1" applyBorder="1" applyAlignment="1">
      <alignment horizontal="center" vertical="top" wrapText="1"/>
    </xf>
    <xf numFmtId="0" fontId="10" fillId="10" borderId="32" xfId="0" applyFont="1" applyFill="1" applyBorder="1" applyAlignment="1">
      <alignment horizontal="center" vertical="top" wrapText="1"/>
    </xf>
    <xf numFmtId="0" fontId="3" fillId="4" borderId="30" xfId="0" applyFont="1" applyFill="1" applyBorder="1" applyAlignment="1">
      <alignment horizontal="center" vertical="center" shrinkToFit="1"/>
    </xf>
    <xf numFmtId="0" fontId="3" fillId="4" borderId="31" xfId="0" applyFont="1" applyFill="1" applyBorder="1" applyAlignment="1">
      <alignment horizontal="center" vertical="center" shrinkToFit="1"/>
    </xf>
    <xf numFmtId="0" fontId="3" fillId="4" borderId="32" xfId="0" applyFont="1" applyFill="1" applyBorder="1" applyAlignment="1">
      <alignment horizontal="center" vertical="center" shrinkToFit="1"/>
    </xf>
    <xf numFmtId="0" fontId="26" fillId="4" borderId="31" xfId="0" applyFont="1" applyFill="1" applyBorder="1" applyAlignment="1">
      <alignment horizontal="center" vertical="center" shrinkToFit="1"/>
    </xf>
    <xf numFmtId="0" fontId="26" fillId="4" borderId="9" xfId="0" applyFont="1" applyFill="1" applyBorder="1" applyAlignment="1">
      <alignment horizontal="center" vertical="center" shrinkToFit="1"/>
    </xf>
    <xf numFmtId="0" fontId="26" fillId="4" borderId="32" xfId="0" applyFont="1" applyFill="1" applyBorder="1" applyAlignment="1">
      <alignment horizontal="center" vertical="center" shrinkToFit="1"/>
    </xf>
    <xf numFmtId="0" fontId="10" fillId="4" borderId="31" xfId="0" applyFont="1" applyFill="1" applyBorder="1" applyAlignment="1">
      <alignment horizontal="center" vertical="top" wrapText="1"/>
    </xf>
    <xf numFmtId="0" fontId="10" fillId="4" borderId="9" xfId="0" applyFont="1" applyFill="1" applyBorder="1" applyAlignment="1">
      <alignment horizontal="center" vertical="top" wrapText="1"/>
    </xf>
    <xf numFmtId="0" fontId="10" fillId="4" borderId="32" xfId="0" applyFont="1" applyFill="1" applyBorder="1" applyAlignment="1">
      <alignment horizontal="center" vertical="top" wrapText="1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48" fillId="4" borderId="31" xfId="0" applyFont="1" applyFill="1" applyBorder="1" applyAlignment="1">
      <alignment horizontal="center" vertical="center"/>
    </xf>
    <xf numFmtId="0" fontId="48" fillId="4" borderId="9" xfId="0" applyFont="1" applyFill="1" applyBorder="1" applyAlignment="1">
      <alignment horizontal="center" vertical="center"/>
    </xf>
    <xf numFmtId="0" fontId="48" fillId="4" borderId="32" xfId="0" applyFont="1" applyFill="1" applyBorder="1" applyAlignment="1">
      <alignment horizontal="center" vertical="center"/>
    </xf>
    <xf numFmtId="0" fontId="57" fillId="4" borderId="9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FF"/>
      <color rgb="FF0000FF"/>
      <color rgb="FFC4E8F8"/>
      <color rgb="FFDFF5FD"/>
      <color rgb="FFFFFFCC"/>
      <color rgb="FF9BDDF7"/>
      <color rgb="FFDDF2FB"/>
      <color rgb="FFEDF8FD"/>
      <color rgb="FFF4FBFE"/>
      <color rgb="FFDFF4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991251093613299"/>
                  <c:y val="-9.722222222222221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dac_vled_mapping!$C$6:$C$34</c:f>
              <c:numCache>
                <c:formatCode>General</c:formatCode>
                <c:ptCount val="29"/>
                <c:pt idx="0">
                  <c:v>3971</c:v>
                </c:pt>
                <c:pt idx="1">
                  <c:v>3847</c:v>
                </c:pt>
                <c:pt idx="2">
                  <c:v>3723</c:v>
                </c:pt>
                <c:pt idx="3">
                  <c:v>3599</c:v>
                </c:pt>
                <c:pt idx="4">
                  <c:v>3475</c:v>
                </c:pt>
                <c:pt idx="5">
                  <c:v>3350</c:v>
                </c:pt>
                <c:pt idx="6">
                  <c:v>3226</c:v>
                </c:pt>
                <c:pt idx="7">
                  <c:v>3102</c:v>
                </c:pt>
                <c:pt idx="8">
                  <c:v>2978</c:v>
                </c:pt>
                <c:pt idx="9">
                  <c:v>2854</c:v>
                </c:pt>
                <c:pt idx="10">
                  <c:v>2730</c:v>
                </c:pt>
                <c:pt idx="11">
                  <c:v>2606</c:v>
                </c:pt>
                <c:pt idx="12">
                  <c:v>2482</c:v>
                </c:pt>
                <c:pt idx="13">
                  <c:v>2358</c:v>
                </c:pt>
                <c:pt idx="14">
                  <c:v>2234</c:v>
                </c:pt>
                <c:pt idx="15">
                  <c:v>2110</c:v>
                </c:pt>
                <c:pt idx="16">
                  <c:v>1985</c:v>
                </c:pt>
                <c:pt idx="17">
                  <c:v>1861</c:v>
                </c:pt>
                <c:pt idx="18">
                  <c:v>1737</c:v>
                </c:pt>
                <c:pt idx="19">
                  <c:v>1613</c:v>
                </c:pt>
                <c:pt idx="20">
                  <c:v>1489</c:v>
                </c:pt>
                <c:pt idx="21">
                  <c:v>1365</c:v>
                </c:pt>
                <c:pt idx="22">
                  <c:v>1241</c:v>
                </c:pt>
                <c:pt idx="23">
                  <c:v>1117</c:v>
                </c:pt>
                <c:pt idx="24">
                  <c:v>993</c:v>
                </c:pt>
                <c:pt idx="25">
                  <c:v>869</c:v>
                </c:pt>
                <c:pt idx="26">
                  <c:v>745</c:v>
                </c:pt>
                <c:pt idx="27">
                  <c:v>620</c:v>
                </c:pt>
                <c:pt idx="28">
                  <c:v>496</c:v>
                </c:pt>
              </c:numCache>
            </c:numRef>
          </c:xVal>
          <c:yVal>
            <c:numRef>
              <c:f>dac_vled_mapping!$D$6:$D$34</c:f>
              <c:numCache>
                <c:formatCode>#,##0.000_ ;[Red]\-#,##0.000\ </c:formatCode>
                <c:ptCount val="29"/>
                <c:pt idx="0">
                  <c:v>3.198</c:v>
                </c:pt>
                <c:pt idx="1">
                  <c:v>3.0979999999999999</c:v>
                </c:pt>
                <c:pt idx="2">
                  <c:v>2.9980000000000002</c:v>
                </c:pt>
                <c:pt idx="3">
                  <c:v>2.899</c:v>
                </c:pt>
                <c:pt idx="4">
                  <c:v>2.7989999999999999</c:v>
                </c:pt>
                <c:pt idx="5">
                  <c:v>2.6989999999999998</c:v>
                </c:pt>
                <c:pt idx="6">
                  <c:v>2.5990000000000002</c:v>
                </c:pt>
                <c:pt idx="7">
                  <c:v>2.5</c:v>
                </c:pt>
                <c:pt idx="8">
                  <c:v>2.4</c:v>
                </c:pt>
                <c:pt idx="9">
                  <c:v>2.2999999999999998</c:v>
                </c:pt>
                <c:pt idx="10">
                  <c:v>2.2000000000000002</c:v>
                </c:pt>
                <c:pt idx="11">
                  <c:v>2.1</c:v>
                </c:pt>
                <c:pt idx="12">
                  <c:v>2</c:v>
                </c:pt>
                <c:pt idx="13">
                  <c:v>1.9</c:v>
                </c:pt>
                <c:pt idx="14">
                  <c:v>1.8029999999999999</c:v>
                </c:pt>
                <c:pt idx="15">
                  <c:v>1.7030000000000001</c:v>
                </c:pt>
                <c:pt idx="16">
                  <c:v>1.603</c:v>
                </c:pt>
                <c:pt idx="17">
                  <c:v>1.5029999999999999</c:v>
                </c:pt>
                <c:pt idx="18">
                  <c:v>1.4039999999999999</c:v>
                </c:pt>
                <c:pt idx="19">
                  <c:v>1.304</c:v>
                </c:pt>
                <c:pt idx="20">
                  <c:v>1.2050000000000001</c:v>
                </c:pt>
                <c:pt idx="21">
                  <c:v>1.1040000000000001</c:v>
                </c:pt>
                <c:pt idx="22">
                  <c:v>1.006</c:v>
                </c:pt>
                <c:pt idx="23">
                  <c:v>0.90700000000000003</c:v>
                </c:pt>
                <c:pt idx="24">
                  <c:v>0.80700000000000005</c:v>
                </c:pt>
                <c:pt idx="25">
                  <c:v>0.70799999999999996</c:v>
                </c:pt>
                <c:pt idx="26">
                  <c:v>0.60799999999999998</c:v>
                </c:pt>
                <c:pt idx="27">
                  <c:v>0.50800000000000001</c:v>
                </c:pt>
                <c:pt idx="28">
                  <c:v>0.40899999999999997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BB-48C2-9F21-92578D786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650720"/>
        <c:axId val="313648800"/>
      </c:scatterChart>
      <c:valAx>
        <c:axId val="31365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3648800"/>
        <c:crosses val="autoZero"/>
        <c:crossBetween val="midCat"/>
      </c:valAx>
      <c:valAx>
        <c:axId val="31364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_ ;[Red]\-#,##0.0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365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/>
              <a:t>VLED</a:t>
            </a:r>
            <a:r>
              <a:rPr lang="en-US" altLang="ko-KR" sz="1200" baseline="0"/>
              <a:t> vs Current</a:t>
            </a:r>
            <a:endParaRPr lang="ko-KR" alt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9685781201979631E-3"/>
                  <c:y val="-0.174261603375527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dac_fomula!$C$31:$C$33</c:f>
              <c:numCache>
                <c:formatCode>General</c:formatCode>
                <c:ptCount val="3"/>
                <c:pt idx="0">
                  <c:v>6.83</c:v>
                </c:pt>
                <c:pt idx="1">
                  <c:v>18.579999999999998</c:v>
                </c:pt>
                <c:pt idx="2">
                  <c:v>25.94</c:v>
                </c:pt>
              </c:numCache>
            </c:numRef>
          </c:xVal>
          <c:yVal>
            <c:numRef>
              <c:f>dac_fomula!$D$31:$D$33</c:f>
              <c:numCache>
                <c:formatCode>0.000_ ;[Red]\-0.000\ </c:formatCode>
                <c:ptCount val="3"/>
                <c:pt idx="0">
                  <c:v>70.36</c:v>
                </c:pt>
                <c:pt idx="1">
                  <c:v>75.459999999999994</c:v>
                </c:pt>
                <c:pt idx="2">
                  <c:v>77.97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13-4DD2-9259-331A7E7DC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762432"/>
        <c:axId val="959759552"/>
      </c:scatterChart>
      <c:valAx>
        <c:axId val="95976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9759552"/>
        <c:crosses val="autoZero"/>
        <c:crossBetween val="midCat"/>
      </c:valAx>
      <c:valAx>
        <c:axId val="95975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;[Red]\-0.0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976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20701258496534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9494681585854401E-2"/>
                  <c:y val="-6.59747832153892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dac_fomula!$B$23:$B$26</c:f>
              <c:numCache>
                <c:formatCode>General</c:formatCode>
                <c:ptCount val="4"/>
                <c:pt idx="0">
                  <c:v>0</c:v>
                </c:pt>
                <c:pt idx="3">
                  <c:v>1023</c:v>
                </c:pt>
              </c:numCache>
            </c:numRef>
          </c:xVal>
          <c:yVal>
            <c:numRef>
              <c:f>dac_fomula!$G$23:$G$26</c:f>
              <c:numCache>
                <c:formatCode>0.00000_ ;[Red]\-0.00000\ </c:formatCode>
                <c:ptCount val="4"/>
                <c:pt idx="0">
                  <c:v>67.833534128262968</c:v>
                </c:pt>
                <c:pt idx="3">
                  <c:v>79.453854128262975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3E-46B4-A330-DFEAA25ED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58303"/>
        <c:axId val="193253983"/>
      </c:scatterChart>
      <c:valAx>
        <c:axId val="19325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253983"/>
        <c:crosses val="autoZero"/>
        <c:crossBetween val="midCat"/>
      </c:valAx>
      <c:valAx>
        <c:axId val="19325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_ ;[Red]\-0.000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25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dac_fomula!$C$54</c:f>
              <c:strCache>
                <c:ptCount val="1"/>
                <c:pt idx="0">
                  <c:v>vled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623332125325339"/>
                  <c:y val="-3.33877551020408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dac_fomula!$B$55:$B$59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1023</c:v>
                </c:pt>
              </c:numCache>
            </c:numRef>
          </c:xVal>
          <c:yVal>
            <c:numRef>
              <c:f>dac_fomula!$C$55:$C$59</c:f>
              <c:numCache>
                <c:formatCode>General</c:formatCode>
                <c:ptCount val="5"/>
                <c:pt idx="0">
                  <c:v>68.2</c:v>
                </c:pt>
                <c:pt idx="1">
                  <c:v>71.5</c:v>
                </c:pt>
                <c:pt idx="2">
                  <c:v>74.5</c:v>
                </c:pt>
                <c:pt idx="3">
                  <c:v>77.2</c:v>
                </c:pt>
                <c:pt idx="4">
                  <c:v>79.959999999999994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5-4657-AEA3-41267A6F7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128031"/>
        <c:axId val="1188128511"/>
      </c:scatterChart>
      <c:valAx>
        <c:axId val="118812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8128511"/>
        <c:crosses val="autoZero"/>
        <c:crossBetween val="midCat"/>
      </c:valAx>
      <c:valAx>
        <c:axId val="118812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812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25400</xdr:colOff>
      <xdr:row>48</xdr:row>
      <xdr:rowOff>114300</xdr:rowOff>
    </xdr:from>
    <xdr:to>
      <xdr:col>39</xdr:col>
      <xdr:colOff>0</xdr:colOff>
      <xdr:row>48</xdr:row>
      <xdr:rowOff>114300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9F2A4327-D69B-439D-8C55-F92C7B16FCF5}"/>
            </a:ext>
          </a:extLst>
        </xdr:cNvPr>
        <xdr:cNvCxnSpPr/>
      </xdr:nvCxnSpPr>
      <xdr:spPr>
        <a:xfrm>
          <a:off x="9417050" y="10502900"/>
          <a:ext cx="180340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6350</xdr:colOff>
      <xdr:row>48</xdr:row>
      <xdr:rowOff>95250</xdr:rowOff>
    </xdr:from>
    <xdr:to>
      <xdr:col>119</xdr:col>
      <xdr:colOff>97655</xdr:colOff>
      <xdr:row>48</xdr:row>
      <xdr:rowOff>95250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B81D1910-2035-46D9-A3D5-818D064A5CFE}"/>
            </a:ext>
          </a:extLst>
        </xdr:cNvPr>
        <xdr:cNvCxnSpPr/>
      </xdr:nvCxnSpPr>
      <xdr:spPr>
        <a:xfrm>
          <a:off x="12649200" y="10483850"/>
          <a:ext cx="67969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50</xdr:row>
      <xdr:rowOff>88900</xdr:rowOff>
    </xdr:from>
    <xdr:to>
      <xdr:col>67</xdr:col>
      <xdr:colOff>12700</xdr:colOff>
      <xdr:row>50</xdr:row>
      <xdr:rowOff>88900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A460C92B-9C70-47EB-A1B5-62CCCE5B388C}"/>
            </a:ext>
          </a:extLst>
        </xdr:cNvPr>
        <xdr:cNvCxnSpPr/>
      </xdr:nvCxnSpPr>
      <xdr:spPr>
        <a:xfrm>
          <a:off x="9467850" y="10909300"/>
          <a:ext cx="461010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52</xdr:row>
      <xdr:rowOff>101600</xdr:rowOff>
    </xdr:from>
    <xdr:to>
      <xdr:col>94</xdr:col>
      <xdr:colOff>95250</xdr:colOff>
      <xdr:row>52</xdr:row>
      <xdr:rowOff>101600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6A26C862-7F8D-47D2-A65E-1D99B0447CA0}"/>
            </a:ext>
          </a:extLst>
        </xdr:cNvPr>
        <xdr:cNvCxnSpPr/>
      </xdr:nvCxnSpPr>
      <xdr:spPr>
        <a:xfrm flipV="1">
          <a:off x="9448800" y="11353800"/>
          <a:ext cx="745490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12700</xdr:colOff>
      <xdr:row>50</xdr:row>
      <xdr:rowOff>107950</xdr:rowOff>
    </xdr:from>
    <xdr:to>
      <xdr:col>119</xdr:col>
      <xdr:colOff>100178</xdr:colOff>
      <xdr:row>50</xdr:row>
      <xdr:rowOff>107950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11A61A50-9D74-4543-BEE2-B0A9125C3ED1}"/>
            </a:ext>
          </a:extLst>
        </xdr:cNvPr>
        <xdr:cNvCxnSpPr/>
      </xdr:nvCxnSpPr>
      <xdr:spPr>
        <a:xfrm>
          <a:off x="15500350" y="10928350"/>
          <a:ext cx="3948278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52</xdr:row>
      <xdr:rowOff>107950</xdr:rowOff>
    </xdr:from>
    <xdr:to>
      <xdr:col>119</xdr:col>
      <xdr:colOff>83652</xdr:colOff>
      <xdr:row>52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5B202EBE-C309-422C-AE48-84CF96B5126D}"/>
            </a:ext>
          </a:extLst>
        </xdr:cNvPr>
        <xdr:cNvCxnSpPr/>
      </xdr:nvCxnSpPr>
      <xdr:spPr>
        <a:xfrm>
          <a:off x="18332450" y="11360150"/>
          <a:ext cx="10996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31750</xdr:colOff>
      <xdr:row>47</xdr:row>
      <xdr:rowOff>133350</xdr:rowOff>
    </xdr:from>
    <xdr:ext cx="371384" cy="248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72BBAE-46F8-4560-8BB4-994444A797D8}"/>
            </a:ext>
          </a:extLst>
        </xdr:cNvPr>
        <xdr:cNvSpPr txBox="1"/>
      </xdr:nvSpPr>
      <xdr:spPr>
        <a:xfrm>
          <a:off x="12674600" y="10306050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80</xdr:col>
      <xdr:colOff>95250</xdr:colOff>
      <xdr:row>49</xdr:row>
      <xdr:rowOff>133350</xdr:rowOff>
    </xdr:from>
    <xdr:ext cx="371384" cy="24885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1AA289-D5E5-4A2A-945F-2E2CDE1EE199}"/>
            </a:ext>
          </a:extLst>
        </xdr:cNvPr>
        <xdr:cNvSpPr txBox="1"/>
      </xdr:nvSpPr>
      <xdr:spPr>
        <a:xfrm>
          <a:off x="15481300" y="10737850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109</xdr:col>
      <xdr:colOff>6350</xdr:colOff>
      <xdr:row>51</xdr:row>
      <xdr:rowOff>133350</xdr:rowOff>
    </xdr:from>
    <xdr:ext cx="371384" cy="24885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E6E5D01-F2EF-4181-85DC-8DC7FC817AAE}"/>
            </a:ext>
          </a:extLst>
        </xdr:cNvPr>
        <xdr:cNvSpPr txBox="1"/>
      </xdr:nvSpPr>
      <xdr:spPr>
        <a:xfrm>
          <a:off x="18338800" y="11169650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852686</xdr:colOff>
      <xdr:row>20</xdr:row>
      <xdr:rowOff>169839</xdr:rowOff>
    </xdr:from>
    <xdr:to>
      <xdr:col>16</xdr:col>
      <xdr:colOff>99943</xdr:colOff>
      <xdr:row>27</xdr:row>
      <xdr:rowOff>194966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494AD967-2F88-480D-998B-BD56F0F6DF64}"/>
            </a:ext>
          </a:extLst>
        </xdr:cNvPr>
        <xdr:cNvGrpSpPr/>
      </xdr:nvGrpSpPr>
      <xdr:grpSpPr>
        <a:xfrm>
          <a:off x="1505678" y="4614839"/>
          <a:ext cx="5550690" cy="1584052"/>
          <a:chOff x="22408176" y="528751"/>
          <a:chExt cx="5714593" cy="1522897"/>
        </a:xfrm>
      </xdr:grpSpPr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D9A6647F-54DE-88B5-10AD-FCA9E9DE7B1E}"/>
              </a:ext>
            </a:extLst>
          </xdr:cNvPr>
          <xdr:cNvSpPr/>
        </xdr:nvSpPr>
        <xdr:spPr>
          <a:xfrm>
            <a:off x="23464834" y="802426"/>
            <a:ext cx="889452" cy="97008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95370938-7A95-523A-BC6A-96D9CFD3DEE8}"/>
              </a:ext>
            </a:extLst>
          </xdr:cNvPr>
          <xdr:cNvSpPr/>
        </xdr:nvSpPr>
        <xdr:spPr>
          <a:xfrm>
            <a:off x="25342056" y="808728"/>
            <a:ext cx="890113" cy="970081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B37923AF-3302-15B5-D6CC-43ABF238F3EC}"/>
              </a:ext>
            </a:extLst>
          </xdr:cNvPr>
          <xdr:cNvSpPr/>
        </xdr:nvSpPr>
        <xdr:spPr>
          <a:xfrm>
            <a:off x="27232656" y="802426"/>
            <a:ext cx="890113" cy="970081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dev#3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A01904E5-2BBE-060D-8ADF-100870A29049}"/>
              </a:ext>
            </a:extLst>
          </xdr:cNvPr>
          <xdr:cNvCxnSpPr/>
        </xdr:nvCxnSpPr>
        <xdr:spPr>
          <a:xfrm flipV="1">
            <a:off x="22800118" y="922178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직선 화살표 연결선 15">
            <a:extLst>
              <a:ext uri="{FF2B5EF4-FFF2-40B4-BE49-F238E27FC236}">
                <a16:creationId xmlns:a16="http://schemas.microsoft.com/office/drawing/2014/main" id="{099E1966-06D4-75AB-5C22-36B7DB556235}"/>
              </a:ext>
            </a:extLst>
          </xdr:cNvPr>
          <xdr:cNvCxnSpPr/>
        </xdr:nvCxnSpPr>
        <xdr:spPr>
          <a:xfrm flipV="1">
            <a:off x="23088630" y="549815"/>
            <a:ext cx="373569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7439878-6859-C6FD-B256-BD3A9C42B35E}"/>
              </a:ext>
            </a:extLst>
          </xdr:cNvPr>
          <xdr:cNvSpPr txBox="1"/>
        </xdr:nvSpPr>
        <xdr:spPr>
          <a:xfrm>
            <a:off x="22486834" y="827636"/>
            <a:ext cx="275222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nSCS</a:t>
            </a:r>
            <a:endParaRPr lang="ko-KR" altLang="en-US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5D2A8A0-FBFA-90B0-E4C8-C3D8C9CA2502}"/>
              </a:ext>
            </a:extLst>
          </xdr:cNvPr>
          <xdr:cNvSpPr txBox="1"/>
        </xdr:nvSpPr>
        <xdr:spPr>
          <a:xfrm>
            <a:off x="22499550" y="1082901"/>
            <a:ext cx="268948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SCLK</a:t>
            </a:r>
            <a:endParaRPr lang="ko-KR" alt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DF19B8BF-FF40-7370-7BAC-F5CBC2084615}"/>
              </a:ext>
            </a:extLst>
          </xdr:cNvPr>
          <xdr:cNvSpPr txBox="1"/>
        </xdr:nvSpPr>
        <xdr:spPr>
          <a:xfrm>
            <a:off x="22468171" y="1334514"/>
            <a:ext cx="310201" cy="1722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MOSI</a:t>
            </a:r>
            <a:endParaRPr lang="ko-KR" altLang="en-US" sz="1100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B2F4012D-B434-DD38-4E60-83BFC2C7CD29}"/>
              </a:ext>
            </a:extLst>
          </xdr:cNvPr>
          <xdr:cNvSpPr txBox="1"/>
        </xdr:nvSpPr>
        <xdr:spPr>
          <a:xfrm>
            <a:off x="23072115" y="1472676"/>
            <a:ext cx="380857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MISO1</a:t>
            </a:r>
            <a:endParaRPr lang="ko-KR" altLang="en-US" sz="1100"/>
          </a:p>
        </xdr:txBody>
      </xdr:sp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2A30E966-710C-8F09-FDB0-25194A373CA9}"/>
              </a:ext>
            </a:extLst>
          </xdr:cNvPr>
          <xdr:cNvCxnSpPr/>
        </xdr:nvCxnSpPr>
        <xdr:spPr>
          <a:xfrm flipV="1">
            <a:off x="22806393" y="1181920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직선 화살표 연결선 21">
            <a:extLst>
              <a:ext uri="{FF2B5EF4-FFF2-40B4-BE49-F238E27FC236}">
                <a16:creationId xmlns:a16="http://schemas.microsoft.com/office/drawing/2014/main" id="{50DA235B-E75C-D64B-2FBE-9E0D756F2A04}"/>
              </a:ext>
            </a:extLst>
          </xdr:cNvPr>
          <xdr:cNvCxnSpPr/>
        </xdr:nvCxnSpPr>
        <xdr:spPr>
          <a:xfrm flipV="1">
            <a:off x="22800118" y="1422753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37633D81-D3B1-24CC-1DF5-2557109CAC52}"/>
              </a:ext>
            </a:extLst>
          </xdr:cNvPr>
          <xdr:cNvCxnSpPr/>
        </xdr:nvCxnSpPr>
        <xdr:spPr>
          <a:xfrm flipV="1">
            <a:off x="24902436" y="922178"/>
            <a:ext cx="42726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직선 화살표 연결선 23">
            <a:extLst>
              <a:ext uri="{FF2B5EF4-FFF2-40B4-BE49-F238E27FC236}">
                <a16:creationId xmlns:a16="http://schemas.microsoft.com/office/drawing/2014/main" id="{F96048C2-D123-1760-09B8-851BBC4A3BD1}"/>
              </a:ext>
            </a:extLst>
          </xdr:cNvPr>
          <xdr:cNvCxnSpPr/>
        </xdr:nvCxnSpPr>
        <xdr:spPr>
          <a:xfrm>
            <a:off x="24354286" y="1220220"/>
            <a:ext cx="98777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화살표 연결선 24">
            <a:extLst>
              <a:ext uri="{FF2B5EF4-FFF2-40B4-BE49-F238E27FC236}">
                <a16:creationId xmlns:a16="http://schemas.microsoft.com/office/drawing/2014/main" id="{62D845E8-05EB-B636-E387-356F4E749903}"/>
              </a:ext>
            </a:extLst>
          </xdr:cNvPr>
          <xdr:cNvCxnSpPr/>
        </xdr:nvCxnSpPr>
        <xdr:spPr>
          <a:xfrm>
            <a:off x="24360561" y="1421909"/>
            <a:ext cx="98777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화살표 연결선 25">
            <a:extLst>
              <a:ext uri="{FF2B5EF4-FFF2-40B4-BE49-F238E27FC236}">
                <a16:creationId xmlns:a16="http://schemas.microsoft.com/office/drawing/2014/main" id="{9220DF92-E69C-1100-7599-85152BFE5323}"/>
              </a:ext>
            </a:extLst>
          </xdr:cNvPr>
          <xdr:cNvCxnSpPr/>
        </xdr:nvCxnSpPr>
        <xdr:spPr>
          <a:xfrm>
            <a:off x="26238445" y="1181076"/>
            <a:ext cx="98793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화살표 연결선 26">
            <a:extLst>
              <a:ext uri="{FF2B5EF4-FFF2-40B4-BE49-F238E27FC236}">
                <a16:creationId xmlns:a16="http://schemas.microsoft.com/office/drawing/2014/main" id="{2D620D9E-B075-CD2F-E649-33A71D182E65}"/>
              </a:ext>
            </a:extLst>
          </xdr:cNvPr>
          <xdr:cNvCxnSpPr/>
        </xdr:nvCxnSpPr>
        <xdr:spPr>
          <a:xfrm>
            <a:off x="26238445" y="1421909"/>
            <a:ext cx="98793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927D4FAF-5A95-E0C5-378C-A3B813AD088F}"/>
              </a:ext>
            </a:extLst>
          </xdr:cNvPr>
          <xdr:cNvSpPr txBox="1"/>
        </xdr:nvSpPr>
        <xdr:spPr>
          <a:xfrm>
            <a:off x="24418721" y="1036956"/>
            <a:ext cx="432923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SCLKO1</a:t>
            </a:r>
            <a:endParaRPr lang="ko-KR" alt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1601D16B-4DEB-C510-B387-E921C6A4CA35}"/>
              </a:ext>
            </a:extLst>
          </xdr:cNvPr>
          <xdr:cNvSpPr txBox="1"/>
        </xdr:nvSpPr>
        <xdr:spPr>
          <a:xfrm>
            <a:off x="24424997" y="1252578"/>
            <a:ext cx="313347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SDO1</a:t>
            </a:r>
            <a:endParaRPr lang="ko-KR" alt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4BD75D5-D005-63C2-DFB6-080C2AA558F6}"/>
              </a:ext>
            </a:extLst>
          </xdr:cNvPr>
          <xdr:cNvSpPr txBox="1"/>
        </xdr:nvSpPr>
        <xdr:spPr>
          <a:xfrm>
            <a:off x="26334589" y="1011744"/>
            <a:ext cx="432428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SCLKO2</a:t>
            </a:r>
            <a:endParaRPr lang="ko-KR" altLang="en-US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4AE26C10-18EA-5CFA-8677-732B0334EE0D}"/>
              </a:ext>
            </a:extLst>
          </xdr:cNvPr>
          <xdr:cNvSpPr txBox="1"/>
        </xdr:nvSpPr>
        <xdr:spPr>
          <a:xfrm>
            <a:off x="26340864" y="1252578"/>
            <a:ext cx="312852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SDO2</a:t>
            </a:r>
            <a:endParaRPr lang="ko-KR" altLang="en-US" sz="1100"/>
          </a:p>
        </xdr:txBody>
      </xdr:sp>
      <xdr:cxnSp macro="">
        <xdr:nvCxnSpPr>
          <xdr:cNvPr id="32" name="직선 화살표 연결선 31">
            <a:extLst>
              <a:ext uri="{FF2B5EF4-FFF2-40B4-BE49-F238E27FC236}">
                <a16:creationId xmlns:a16="http://schemas.microsoft.com/office/drawing/2014/main" id="{74A51628-ABAF-D715-5490-737E78931DB0}"/>
              </a:ext>
            </a:extLst>
          </xdr:cNvPr>
          <xdr:cNvCxnSpPr/>
        </xdr:nvCxnSpPr>
        <xdr:spPr>
          <a:xfrm flipV="1">
            <a:off x="26811862" y="922178"/>
            <a:ext cx="42726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직선 화살표 연결선 32">
            <a:extLst>
              <a:ext uri="{FF2B5EF4-FFF2-40B4-BE49-F238E27FC236}">
                <a16:creationId xmlns:a16="http://schemas.microsoft.com/office/drawing/2014/main" id="{96EF2B83-8C3B-FF69-A67A-7720E596682B}"/>
              </a:ext>
            </a:extLst>
          </xdr:cNvPr>
          <xdr:cNvCxnSpPr/>
        </xdr:nvCxnSpPr>
        <xdr:spPr>
          <a:xfrm flipV="1">
            <a:off x="24908711" y="553962"/>
            <a:ext cx="0" cy="35997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직선 화살표 연결선 33">
            <a:extLst>
              <a:ext uri="{FF2B5EF4-FFF2-40B4-BE49-F238E27FC236}">
                <a16:creationId xmlns:a16="http://schemas.microsoft.com/office/drawing/2014/main" id="{7884A9CA-D07B-E456-EAD7-2A59E8F5AD3F}"/>
              </a:ext>
            </a:extLst>
          </xdr:cNvPr>
          <xdr:cNvCxnSpPr/>
        </xdr:nvCxnSpPr>
        <xdr:spPr>
          <a:xfrm flipV="1">
            <a:off x="26818138" y="553962"/>
            <a:ext cx="0" cy="35997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직선 화살표 연결선 34">
            <a:extLst>
              <a:ext uri="{FF2B5EF4-FFF2-40B4-BE49-F238E27FC236}">
                <a16:creationId xmlns:a16="http://schemas.microsoft.com/office/drawing/2014/main" id="{70947671-CE0F-7F65-9EC3-E3D1847A3757}"/>
              </a:ext>
            </a:extLst>
          </xdr:cNvPr>
          <xdr:cNvCxnSpPr/>
        </xdr:nvCxnSpPr>
        <xdr:spPr>
          <a:xfrm flipV="1">
            <a:off x="23095070" y="557610"/>
            <a:ext cx="0" cy="358651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타원 35">
            <a:extLst>
              <a:ext uri="{FF2B5EF4-FFF2-40B4-BE49-F238E27FC236}">
                <a16:creationId xmlns:a16="http://schemas.microsoft.com/office/drawing/2014/main" id="{ABB0BE8F-ECCE-324D-AAB0-B2D6A4C3FD52}"/>
              </a:ext>
            </a:extLst>
          </xdr:cNvPr>
          <xdr:cNvSpPr/>
        </xdr:nvSpPr>
        <xdr:spPr>
          <a:xfrm>
            <a:off x="23063692" y="890664"/>
            <a:ext cx="71156" cy="71465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타원 36">
            <a:extLst>
              <a:ext uri="{FF2B5EF4-FFF2-40B4-BE49-F238E27FC236}">
                <a16:creationId xmlns:a16="http://schemas.microsoft.com/office/drawing/2014/main" id="{23A1285A-3EA1-760D-706A-04FABDC9ED9C}"/>
              </a:ext>
            </a:extLst>
          </xdr:cNvPr>
          <xdr:cNvSpPr/>
        </xdr:nvSpPr>
        <xdr:spPr>
          <a:xfrm>
            <a:off x="24871058" y="528751"/>
            <a:ext cx="71156" cy="7279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8" name="직선 화살표 연결선 37">
            <a:extLst>
              <a:ext uri="{FF2B5EF4-FFF2-40B4-BE49-F238E27FC236}">
                <a16:creationId xmlns:a16="http://schemas.microsoft.com/office/drawing/2014/main" id="{5E0CADC9-19ED-CAF1-340E-A9569D094EB3}"/>
              </a:ext>
            </a:extLst>
          </xdr:cNvPr>
          <xdr:cNvCxnSpPr/>
        </xdr:nvCxnSpPr>
        <xdr:spPr>
          <a:xfrm flipV="1">
            <a:off x="22806393" y="1652306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직선 화살표 연결선 38">
            <a:extLst>
              <a:ext uri="{FF2B5EF4-FFF2-40B4-BE49-F238E27FC236}">
                <a16:creationId xmlns:a16="http://schemas.microsoft.com/office/drawing/2014/main" id="{74B4DE59-5EFF-44A2-EB69-61CD237812C4}"/>
              </a:ext>
            </a:extLst>
          </xdr:cNvPr>
          <xdr:cNvCxnSpPr/>
        </xdr:nvCxnSpPr>
        <xdr:spPr>
          <a:xfrm flipV="1">
            <a:off x="24945738" y="1652306"/>
            <a:ext cx="391688" cy="0"/>
          </a:xfrm>
          <a:prstGeom prst="straightConnector1">
            <a:avLst/>
          </a:prstGeom>
          <a:ln w="3175">
            <a:solidFill>
              <a:schemeClr val="tx1"/>
            </a:solidFill>
            <a:headEnd type="non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직선 화살표 연결선 39">
            <a:extLst>
              <a:ext uri="{FF2B5EF4-FFF2-40B4-BE49-F238E27FC236}">
                <a16:creationId xmlns:a16="http://schemas.microsoft.com/office/drawing/2014/main" id="{B417239C-3FEA-114A-9A49-617AE5F7D1B6}"/>
              </a:ext>
            </a:extLst>
          </xdr:cNvPr>
          <xdr:cNvCxnSpPr/>
        </xdr:nvCxnSpPr>
        <xdr:spPr>
          <a:xfrm flipV="1">
            <a:off x="26836965" y="1652306"/>
            <a:ext cx="391688" cy="0"/>
          </a:xfrm>
          <a:prstGeom prst="straightConnector1">
            <a:avLst/>
          </a:prstGeom>
          <a:ln w="3175">
            <a:solidFill>
              <a:schemeClr val="tx1"/>
            </a:solidFill>
            <a:headEnd type="non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51404060-E2FB-4816-91F1-FF7D7D35CE66}"/>
              </a:ext>
            </a:extLst>
          </xdr:cNvPr>
          <xdr:cNvSpPr txBox="1"/>
        </xdr:nvSpPr>
        <xdr:spPr>
          <a:xfrm>
            <a:off x="24927538" y="1474502"/>
            <a:ext cx="381682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MISO2</a:t>
            </a:r>
            <a:endParaRPr lang="ko-KR" altLang="en-US" sz="1100"/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2D50FC6-8EE5-64A7-92D4-359448AE3B1E}"/>
              </a:ext>
            </a:extLst>
          </xdr:cNvPr>
          <xdr:cNvSpPr txBox="1"/>
        </xdr:nvSpPr>
        <xdr:spPr>
          <a:xfrm>
            <a:off x="26799311" y="1474502"/>
            <a:ext cx="381352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MISO3</a:t>
            </a:r>
            <a:endParaRPr lang="ko-KR" altLang="en-US" sz="1100"/>
          </a:p>
        </xdr:txBody>
      </xdr:sp>
      <xdr:cxnSp macro="">
        <xdr:nvCxnSpPr>
          <xdr:cNvPr id="43" name="직선 화살표 연결선 42">
            <a:extLst>
              <a:ext uri="{FF2B5EF4-FFF2-40B4-BE49-F238E27FC236}">
                <a16:creationId xmlns:a16="http://schemas.microsoft.com/office/drawing/2014/main" id="{64589A3F-7878-ED6F-A2A0-60B213F22617}"/>
              </a:ext>
            </a:extLst>
          </xdr:cNvPr>
          <xdr:cNvCxnSpPr/>
        </xdr:nvCxnSpPr>
        <xdr:spPr>
          <a:xfrm flipV="1">
            <a:off x="24945904" y="1656231"/>
            <a:ext cx="0" cy="36033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직선 화살표 연결선 43">
            <a:extLst>
              <a:ext uri="{FF2B5EF4-FFF2-40B4-BE49-F238E27FC236}">
                <a16:creationId xmlns:a16="http://schemas.microsoft.com/office/drawing/2014/main" id="{549E4AEF-9600-6A8D-CABD-560AAD94C9A0}"/>
              </a:ext>
            </a:extLst>
          </xdr:cNvPr>
          <xdr:cNvCxnSpPr/>
        </xdr:nvCxnSpPr>
        <xdr:spPr>
          <a:xfrm flipV="1">
            <a:off x="26826093" y="1649913"/>
            <a:ext cx="0" cy="36033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직선 화살표 연결선 44">
            <a:extLst>
              <a:ext uri="{FF2B5EF4-FFF2-40B4-BE49-F238E27FC236}">
                <a16:creationId xmlns:a16="http://schemas.microsoft.com/office/drawing/2014/main" id="{58742D86-7003-5D67-CBCF-D1C15FDD6AC0}"/>
              </a:ext>
            </a:extLst>
          </xdr:cNvPr>
          <xdr:cNvCxnSpPr/>
        </xdr:nvCxnSpPr>
        <xdr:spPr>
          <a:xfrm flipV="1">
            <a:off x="23053781" y="2005286"/>
            <a:ext cx="377921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타원 45">
            <a:extLst>
              <a:ext uri="{FF2B5EF4-FFF2-40B4-BE49-F238E27FC236}">
                <a16:creationId xmlns:a16="http://schemas.microsoft.com/office/drawing/2014/main" id="{0C0D4B87-2691-6466-CA8B-32F8F5EFC7A5}"/>
              </a:ext>
            </a:extLst>
          </xdr:cNvPr>
          <xdr:cNvSpPr/>
        </xdr:nvSpPr>
        <xdr:spPr>
          <a:xfrm>
            <a:off x="24913532" y="1980015"/>
            <a:ext cx="70332" cy="7163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7" name="직선 화살표 연결선 46">
            <a:extLst>
              <a:ext uri="{FF2B5EF4-FFF2-40B4-BE49-F238E27FC236}">
                <a16:creationId xmlns:a16="http://schemas.microsoft.com/office/drawing/2014/main" id="{2EEF8418-CEF3-346C-959C-7CC8E264EBAD}"/>
              </a:ext>
            </a:extLst>
          </xdr:cNvPr>
          <xdr:cNvCxnSpPr/>
        </xdr:nvCxnSpPr>
        <xdr:spPr>
          <a:xfrm flipV="1">
            <a:off x="23053246" y="1651159"/>
            <a:ext cx="0" cy="36033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타원 47">
            <a:extLst>
              <a:ext uri="{FF2B5EF4-FFF2-40B4-BE49-F238E27FC236}">
                <a16:creationId xmlns:a16="http://schemas.microsoft.com/office/drawing/2014/main" id="{4FD2D030-9ECB-B52D-C223-66DA792F3162}"/>
              </a:ext>
            </a:extLst>
          </xdr:cNvPr>
          <xdr:cNvSpPr/>
        </xdr:nvSpPr>
        <xdr:spPr>
          <a:xfrm>
            <a:off x="23015042" y="1623641"/>
            <a:ext cx="72197" cy="7380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A14AA01A-96E9-0FDD-D069-6A44AA71A4E1}"/>
              </a:ext>
            </a:extLst>
          </xdr:cNvPr>
          <xdr:cNvSpPr txBox="1"/>
        </xdr:nvSpPr>
        <xdr:spPr>
          <a:xfrm>
            <a:off x="22408176" y="1601293"/>
            <a:ext cx="314020" cy="1735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</a:t>
            </a:r>
            <a:endParaRPr lang="ko-KR" altLang="en-US" sz="1100"/>
          </a:p>
        </xdr:txBody>
      </xdr:sp>
    </xdr:grpSp>
    <xdr:clientData/>
  </xdr:twoCellAnchor>
  <xdr:twoCellAnchor>
    <xdr:from>
      <xdr:col>21</xdr:col>
      <xdr:colOff>25400</xdr:colOff>
      <xdr:row>70</xdr:row>
      <xdr:rowOff>114300</xdr:rowOff>
    </xdr:from>
    <xdr:to>
      <xdr:col>33</xdr:col>
      <xdr:colOff>6414</xdr:colOff>
      <xdr:row>70</xdr:row>
      <xdr:rowOff>115455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89C641CF-0683-46A3-92C0-D313933C39A0}"/>
            </a:ext>
          </a:extLst>
        </xdr:cNvPr>
        <xdr:cNvCxnSpPr/>
      </xdr:nvCxnSpPr>
      <xdr:spPr>
        <a:xfrm>
          <a:off x="9417050" y="15252700"/>
          <a:ext cx="1200214" cy="1155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12828</xdr:colOff>
      <xdr:row>70</xdr:row>
      <xdr:rowOff>95250</xdr:rowOff>
    </xdr:from>
    <xdr:to>
      <xdr:col>120</xdr:col>
      <xdr:colOff>480</xdr:colOff>
      <xdr:row>70</xdr:row>
      <xdr:rowOff>96212</xdr:rowOff>
    </xdr:to>
    <xdr:cxnSp macro="">
      <xdr:nvCxnSpPr>
        <xdr:cNvPr id="51" name="직선 연결선 50">
          <a:extLst>
            <a:ext uri="{FF2B5EF4-FFF2-40B4-BE49-F238E27FC236}">
              <a16:creationId xmlns:a16="http://schemas.microsoft.com/office/drawing/2014/main" id="{400A422C-11A1-42E8-8729-210507C68B0D}"/>
            </a:ext>
          </a:extLst>
        </xdr:cNvPr>
        <xdr:cNvCxnSpPr/>
      </xdr:nvCxnSpPr>
      <xdr:spPr>
        <a:xfrm flipV="1">
          <a:off x="11436478" y="15233650"/>
          <a:ext cx="8014052" cy="962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72</xdr:row>
      <xdr:rowOff>88900</xdr:rowOff>
    </xdr:from>
    <xdr:to>
      <xdr:col>49</xdr:col>
      <xdr:colOff>102626</xdr:colOff>
      <xdr:row>72</xdr:row>
      <xdr:rowOff>88900</xdr:rowOff>
    </xdr:to>
    <xdr:cxnSp macro="">
      <xdr:nvCxnSpPr>
        <xdr:cNvPr id="52" name="직선 연결선 51">
          <a:extLst>
            <a:ext uri="{FF2B5EF4-FFF2-40B4-BE49-F238E27FC236}">
              <a16:creationId xmlns:a16="http://schemas.microsoft.com/office/drawing/2014/main" id="{EDFAA0B7-B651-4B2C-963E-77F00D06AF1D}"/>
            </a:ext>
          </a:extLst>
        </xdr:cNvPr>
        <xdr:cNvCxnSpPr/>
      </xdr:nvCxnSpPr>
      <xdr:spPr>
        <a:xfrm>
          <a:off x="9467850" y="15659100"/>
          <a:ext cx="287122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74</xdr:row>
      <xdr:rowOff>101600</xdr:rowOff>
    </xdr:from>
    <xdr:to>
      <xdr:col>89</xdr:col>
      <xdr:colOff>94403</xdr:colOff>
      <xdr:row>74</xdr:row>
      <xdr:rowOff>101600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9E9C6DEC-77A4-47D3-9CFB-5037441DF809}"/>
            </a:ext>
          </a:extLst>
        </xdr:cNvPr>
        <xdr:cNvCxnSpPr/>
      </xdr:nvCxnSpPr>
      <xdr:spPr>
        <a:xfrm flipV="1">
          <a:off x="9448800" y="16103600"/>
          <a:ext cx="694605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6415</xdr:colOff>
      <xdr:row>72</xdr:row>
      <xdr:rowOff>107950</xdr:rowOff>
    </xdr:from>
    <xdr:to>
      <xdr:col>120</xdr:col>
      <xdr:colOff>21893</xdr:colOff>
      <xdr:row>72</xdr:row>
      <xdr:rowOff>107950</xdr:rowOff>
    </xdr:to>
    <xdr:cxnSp macro="">
      <xdr:nvCxnSpPr>
        <xdr:cNvPr id="54" name="직선 연결선 53">
          <a:extLst>
            <a:ext uri="{FF2B5EF4-FFF2-40B4-BE49-F238E27FC236}">
              <a16:creationId xmlns:a16="http://schemas.microsoft.com/office/drawing/2014/main" id="{A51FD9AA-B769-44A3-9124-7236B72C330E}"/>
            </a:ext>
          </a:extLst>
        </xdr:cNvPr>
        <xdr:cNvCxnSpPr/>
      </xdr:nvCxnSpPr>
      <xdr:spPr>
        <a:xfrm flipV="1">
          <a:off x="15595665" y="15678150"/>
          <a:ext cx="3876278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6414</xdr:colOff>
      <xdr:row>74</xdr:row>
      <xdr:rowOff>107950</xdr:rowOff>
    </xdr:from>
    <xdr:to>
      <xdr:col>120</xdr:col>
      <xdr:colOff>8327</xdr:colOff>
      <xdr:row>74</xdr:row>
      <xdr:rowOff>109041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FF89FB99-6313-41F6-B36A-9EBF1D4C9C97}"/>
            </a:ext>
          </a:extLst>
        </xdr:cNvPr>
        <xdr:cNvCxnSpPr/>
      </xdr:nvCxnSpPr>
      <xdr:spPr>
        <a:xfrm flipV="1">
          <a:off x="18034064" y="16109950"/>
          <a:ext cx="1424313" cy="1091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18921</xdr:colOff>
      <xdr:row>69</xdr:row>
      <xdr:rowOff>101279</xdr:rowOff>
    </xdr:from>
    <xdr:ext cx="371384" cy="248851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EECAF7C-CCE7-4340-A323-6AEE10563C89}"/>
            </a:ext>
          </a:extLst>
        </xdr:cNvPr>
        <xdr:cNvSpPr txBox="1"/>
      </xdr:nvSpPr>
      <xdr:spPr>
        <a:xfrm>
          <a:off x="11442571" y="15023779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82</xdr:col>
      <xdr:colOff>24696</xdr:colOff>
      <xdr:row>71</xdr:row>
      <xdr:rowOff>120522</xdr:rowOff>
    </xdr:from>
    <xdr:ext cx="371384" cy="248851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65EAF91-58C5-4EAF-BC2B-A83C83DE7646}"/>
            </a:ext>
          </a:extLst>
        </xdr:cNvPr>
        <xdr:cNvSpPr txBox="1"/>
      </xdr:nvSpPr>
      <xdr:spPr>
        <a:xfrm>
          <a:off x="15613946" y="15474822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106</xdr:col>
      <xdr:colOff>32007</xdr:colOff>
      <xdr:row>73</xdr:row>
      <xdr:rowOff>120522</xdr:rowOff>
    </xdr:from>
    <xdr:ext cx="371384" cy="248851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167F09D-87F5-4B6B-8C69-DF9C2459B2D4}"/>
            </a:ext>
          </a:extLst>
        </xdr:cNvPr>
        <xdr:cNvSpPr txBox="1"/>
      </xdr:nvSpPr>
      <xdr:spPr>
        <a:xfrm>
          <a:off x="18059657" y="15906622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twoCellAnchor>
    <xdr:from>
      <xdr:col>31</xdr:col>
      <xdr:colOff>12829</xdr:colOff>
      <xdr:row>4</xdr:row>
      <xdr:rowOff>51313</xdr:rowOff>
    </xdr:from>
    <xdr:to>
      <xdr:col>31</xdr:col>
      <xdr:colOff>84829</xdr:colOff>
      <xdr:row>5</xdr:row>
      <xdr:rowOff>13232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BD6B21B2-DF82-42DF-93DE-CED714600210}"/>
            </a:ext>
          </a:extLst>
        </xdr:cNvPr>
        <xdr:cNvGrpSpPr/>
      </xdr:nvGrpSpPr>
      <xdr:grpSpPr>
        <a:xfrm>
          <a:off x="10032071" y="937138"/>
          <a:ext cx="78350" cy="184169"/>
          <a:chOff x="8889969" y="717550"/>
          <a:chExt cx="95415" cy="260350"/>
        </a:xfrm>
      </xdr:grpSpPr>
      <xdr:sp macro="" textlink="">
        <xdr:nvSpPr>
          <xdr:cNvPr id="60" name="자유형: 도형 59">
            <a:extLst>
              <a:ext uri="{FF2B5EF4-FFF2-40B4-BE49-F238E27FC236}">
                <a16:creationId xmlns:a16="http://schemas.microsoft.com/office/drawing/2014/main" id="{B5917A47-9FE5-FC45-9609-F897E516B06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" name="자유형: 도형 60">
            <a:extLst>
              <a:ext uri="{FF2B5EF4-FFF2-40B4-BE49-F238E27FC236}">
                <a16:creationId xmlns:a16="http://schemas.microsoft.com/office/drawing/2014/main" id="{D451AF92-658E-734D-86FF-B5D658CBEF7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24119</xdr:colOff>
      <xdr:row>4</xdr:row>
      <xdr:rowOff>49774</xdr:rowOff>
    </xdr:from>
    <xdr:to>
      <xdr:col>45</xdr:col>
      <xdr:colOff>96119</xdr:colOff>
      <xdr:row>5</xdr:row>
      <xdr:rowOff>11693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3A16BB9D-B478-4412-A0B8-20B002EEA27C}"/>
            </a:ext>
          </a:extLst>
        </xdr:cNvPr>
        <xdr:cNvGrpSpPr/>
      </xdr:nvGrpSpPr>
      <xdr:grpSpPr>
        <a:xfrm>
          <a:off x="11235044" y="935599"/>
          <a:ext cx="59300" cy="184169"/>
          <a:chOff x="8889969" y="717550"/>
          <a:chExt cx="95415" cy="260350"/>
        </a:xfrm>
      </xdr:grpSpPr>
      <xdr:sp macro="" textlink="">
        <xdr:nvSpPr>
          <xdr:cNvPr id="63" name="자유형: 도형 62">
            <a:extLst>
              <a:ext uri="{FF2B5EF4-FFF2-40B4-BE49-F238E27FC236}">
                <a16:creationId xmlns:a16="http://schemas.microsoft.com/office/drawing/2014/main" id="{911F2EEC-310C-950F-FDC9-17CD61DE3A9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" name="자유형: 도형 63">
            <a:extLst>
              <a:ext uri="{FF2B5EF4-FFF2-40B4-BE49-F238E27FC236}">
                <a16:creationId xmlns:a16="http://schemas.microsoft.com/office/drawing/2014/main" id="{BB5E917B-5E6E-649C-E1AE-746F5458760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59</xdr:col>
      <xdr:colOff>22580</xdr:colOff>
      <xdr:row>4</xdr:row>
      <xdr:rowOff>41820</xdr:rowOff>
    </xdr:from>
    <xdr:to>
      <xdr:col>59</xdr:col>
      <xdr:colOff>94580</xdr:colOff>
      <xdr:row>5</xdr:row>
      <xdr:rowOff>3739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63105A1-686F-417A-B104-D123E330941F}"/>
            </a:ext>
          </a:extLst>
        </xdr:cNvPr>
        <xdr:cNvGrpSpPr/>
      </xdr:nvGrpSpPr>
      <xdr:grpSpPr>
        <a:xfrm>
          <a:off x="12418838" y="933995"/>
          <a:ext cx="59300" cy="184169"/>
          <a:chOff x="8889969" y="717550"/>
          <a:chExt cx="95415" cy="260350"/>
        </a:xfrm>
      </xdr:grpSpPr>
      <xdr:sp macro="" textlink="">
        <xdr:nvSpPr>
          <xdr:cNvPr id="66" name="자유형: 도형 65">
            <a:extLst>
              <a:ext uri="{FF2B5EF4-FFF2-40B4-BE49-F238E27FC236}">
                <a16:creationId xmlns:a16="http://schemas.microsoft.com/office/drawing/2014/main" id="{B16C475B-0083-079E-FF6E-C76D9604A4D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" name="자유형: 도형 66">
            <a:extLst>
              <a:ext uri="{FF2B5EF4-FFF2-40B4-BE49-F238E27FC236}">
                <a16:creationId xmlns:a16="http://schemas.microsoft.com/office/drawing/2014/main" id="{64800E45-F5BA-DE5D-1176-71E9E4C3190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73</xdr:col>
      <xdr:colOff>27455</xdr:colOff>
      <xdr:row>4</xdr:row>
      <xdr:rowOff>40281</xdr:rowOff>
    </xdr:from>
    <xdr:to>
      <xdr:col>73</xdr:col>
      <xdr:colOff>99455</xdr:colOff>
      <xdr:row>5</xdr:row>
      <xdr:rowOff>2200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4CF935F4-562B-4D6A-A9E7-98173C8BB612}"/>
            </a:ext>
          </a:extLst>
        </xdr:cNvPr>
        <xdr:cNvGrpSpPr/>
      </xdr:nvGrpSpPr>
      <xdr:grpSpPr>
        <a:xfrm>
          <a:off x="13609047" y="929281"/>
          <a:ext cx="52950" cy="184169"/>
          <a:chOff x="8889969" y="717550"/>
          <a:chExt cx="95415" cy="260350"/>
        </a:xfrm>
      </xdr:grpSpPr>
      <xdr:sp macro="" textlink="">
        <xdr:nvSpPr>
          <xdr:cNvPr id="69" name="자유형: 도형 68">
            <a:extLst>
              <a:ext uri="{FF2B5EF4-FFF2-40B4-BE49-F238E27FC236}">
                <a16:creationId xmlns:a16="http://schemas.microsoft.com/office/drawing/2014/main" id="{B2F2AE2A-5EE9-3E66-2BEB-A31734C8AC7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자유형: 도형 69">
            <a:extLst>
              <a:ext uri="{FF2B5EF4-FFF2-40B4-BE49-F238E27FC236}">
                <a16:creationId xmlns:a16="http://schemas.microsoft.com/office/drawing/2014/main" id="{9FF3DF25-169A-FBEC-9CAF-3D7C7597173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87</xdr:col>
      <xdr:colOff>13088</xdr:colOff>
      <xdr:row>4</xdr:row>
      <xdr:rowOff>45156</xdr:rowOff>
    </xdr:from>
    <xdr:to>
      <xdr:col>87</xdr:col>
      <xdr:colOff>85088</xdr:colOff>
      <xdr:row>5</xdr:row>
      <xdr:rowOff>7075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358F748D-F3DF-4B47-821D-AC808EB95CB5}"/>
            </a:ext>
          </a:extLst>
        </xdr:cNvPr>
        <xdr:cNvGrpSpPr/>
      </xdr:nvGrpSpPr>
      <xdr:grpSpPr>
        <a:xfrm>
          <a:off x="14773663" y="937331"/>
          <a:ext cx="78350" cy="184169"/>
          <a:chOff x="8889969" y="717550"/>
          <a:chExt cx="95415" cy="260350"/>
        </a:xfrm>
      </xdr:grpSpPr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3BB82946-F99F-246D-AD89-BE36A0D5091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" name="자유형: 도형 72">
            <a:extLst>
              <a:ext uri="{FF2B5EF4-FFF2-40B4-BE49-F238E27FC236}">
                <a16:creationId xmlns:a16="http://schemas.microsoft.com/office/drawing/2014/main" id="{0D6C966A-01DF-86E2-035B-6FC9F17F80C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17962</xdr:colOff>
      <xdr:row>4</xdr:row>
      <xdr:rowOff>43617</xdr:rowOff>
    </xdr:from>
    <xdr:to>
      <xdr:col>101</xdr:col>
      <xdr:colOff>89962</xdr:colOff>
      <xdr:row>5</xdr:row>
      <xdr:rowOff>5536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876EC2E0-419D-4042-A9C9-CF2426B385C2}"/>
            </a:ext>
          </a:extLst>
        </xdr:cNvPr>
        <xdr:cNvGrpSpPr/>
      </xdr:nvGrpSpPr>
      <xdr:grpSpPr>
        <a:xfrm>
          <a:off x="15967045" y="935792"/>
          <a:ext cx="68825" cy="184169"/>
          <a:chOff x="8889969" y="717550"/>
          <a:chExt cx="95415" cy="260350"/>
        </a:xfrm>
      </xdr:grpSpPr>
      <xdr:sp macro="" textlink="">
        <xdr:nvSpPr>
          <xdr:cNvPr id="75" name="자유형: 도형 74">
            <a:extLst>
              <a:ext uri="{FF2B5EF4-FFF2-40B4-BE49-F238E27FC236}">
                <a16:creationId xmlns:a16="http://schemas.microsoft.com/office/drawing/2014/main" id="{0B7C5B6F-5B67-BAF4-2082-83C46E19C80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자유형: 도형 75">
            <a:extLst>
              <a:ext uri="{FF2B5EF4-FFF2-40B4-BE49-F238E27FC236}">
                <a16:creationId xmlns:a16="http://schemas.microsoft.com/office/drawing/2014/main" id="{242227F0-0F8E-4EAD-DFDC-5952446C649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24119</xdr:colOff>
      <xdr:row>20</xdr:row>
      <xdr:rowOff>43359</xdr:rowOff>
    </xdr:from>
    <xdr:to>
      <xdr:col>29</xdr:col>
      <xdr:colOff>96119</xdr:colOff>
      <xdr:row>21</xdr:row>
      <xdr:rowOff>5278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772C2F8F-F997-4A62-AF0E-6E862A60A3EE}"/>
            </a:ext>
          </a:extLst>
        </xdr:cNvPr>
        <xdr:cNvGrpSpPr/>
      </xdr:nvGrpSpPr>
      <xdr:grpSpPr>
        <a:xfrm>
          <a:off x="9880377" y="4491534"/>
          <a:ext cx="59300" cy="184169"/>
          <a:chOff x="8889969" y="717550"/>
          <a:chExt cx="95415" cy="260350"/>
        </a:xfrm>
      </xdr:grpSpPr>
      <xdr:sp macro="" textlink="">
        <xdr:nvSpPr>
          <xdr:cNvPr id="78" name="자유형: 도형 77">
            <a:extLst>
              <a:ext uri="{FF2B5EF4-FFF2-40B4-BE49-F238E27FC236}">
                <a16:creationId xmlns:a16="http://schemas.microsoft.com/office/drawing/2014/main" id="{E83FE0C3-5094-69B5-8C7F-7C006DFB040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9" name="자유형: 도형 78">
            <a:extLst>
              <a:ext uri="{FF2B5EF4-FFF2-40B4-BE49-F238E27FC236}">
                <a16:creationId xmlns:a16="http://schemas.microsoft.com/office/drawing/2014/main" id="{73E746EF-7837-4522-FCDF-A5CD59E52E0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16166</xdr:colOff>
      <xdr:row>20</xdr:row>
      <xdr:rowOff>41820</xdr:rowOff>
    </xdr:from>
    <xdr:to>
      <xdr:col>37</xdr:col>
      <xdr:colOff>88166</xdr:colOff>
      <xdr:row>21</xdr:row>
      <xdr:rowOff>3739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E523D1C8-9C1D-4DF3-B119-741BB5C80CFC}"/>
            </a:ext>
          </a:extLst>
        </xdr:cNvPr>
        <xdr:cNvGrpSpPr/>
      </xdr:nvGrpSpPr>
      <xdr:grpSpPr>
        <a:xfrm>
          <a:off x="10546583" y="4489995"/>
          <a:ext cx="68825" cy="184169"/>
          <a:chOff x="8889969" y="717550"/>
          <a:chExt cx="95415" cy="260350"/>
        </a:xfrm>
      </xdr:grpSpPr>
      <xdr:sp macro="" textlink="">
        <xdr:nvSpPr>
          <xdr:cNvPr id="81" name="자유형: 도형 80">
            <a:extLst>
              <a:ext uri="{FF2B5EF4-FFF2-40B4-BE49-F238E27FC236}">
                <a16:creationId xmlns:a16="http://schemas.microsoft.com/office/drawing/2014/main" id="{FE19A33B-13A3-C4B6-958C-6ECA40AEE90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2" name="자유형: 도형 81">
            <a:extLst>
              <a:ext uri="{FF2B5EF4-FFF2-40B4-BE49-F238E27FC236}">
                <a16:creationId xmlns:a16="http://schemas.microsoft.com/office/drawing/2014/main" id="{D13097BD-7CE4-09D5-1A51-286C665DA02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27456</xdr:colOff>
      <xdr:row>20</xdr:row>
      <xdr:rowOff>53108</xdr:rowOff>
    </xdr:from>
    <xdr:to>
      <xdr:col>45</xdr:col>
      <xdr:colOff>99456</xdr:colOff>
      <xdr:row>21</xdr:row>
      <xdr:rowOff>15027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7AEF47A0-DD9D-4CEB-916A-F8BC780D54FE}"/>
            </a:ext>
          </a:extLst>
        </xdr:cNvPr>
        <xdr:cNvGrpSpPr/>
      </xdr:nvGrpSpPr>
      <xdr:grpSpPr>
        <a:xfrm>
          <a:off x="11238381" y="4494933"/>
          <a:ext cx="52950" cy="184169"/>
          <a:chOff x="8889969" y="717550"/>
          <a:chExt cx="95415" cy="260350"/>
        </a:xfrm>
      </xdr:grpSpPr>
      <xdr:sp macro="" textlink="">
        <xdr:nvSpPr>
          <xdr:cNvPr id="84" name="자유형: 도형 83">
            <a:extLst>
              <a:ext uri="{FF2B5EF4-FFF2-40B4-BE49-F238E27FC236}">
                <a16:creationId xmlns:a16="http://schemas.microsoft.com/office/drawing/2014/main" id="{83106673-98BB-F44C-EDBF-E79FE56A04B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자유형: 도형 84">
            <a:extLst>
              <a:ext uri="{FF2B5EF4-FFF2-40B4-BE49-F238E27FC236}">
                <a16:creationId xmlns:a16="http://schemas.microsoft.com/office/drawing/2014/main" id="{31629956-F146-062B-AF46-9EA838E7B6E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53</xdr:col>
      <xdr:colOff>32331</xdr:colOff>
      <xdr:row>20</xdr:row>
      <xdr:rowOff>45155</xdr:rowOff>
    </xdr:from>
    <xdr:to>
      <xdr:col>54</xdr:col>
      <xdr:colOff>2731</xdr:colOff>
      <xdr:row>21</xdr:row>
      <xdr:rowOff>7074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ECAEAD06-1862-41DF-A138-2E4784AA56C0}"/>
            </a:ext>
          </a:extLst>
        </xdr:cNvPr>
        <xdr:cNvGrpSpPr/>
      </xdr:nvGrpSpPr>
      <xdr:grpSpPr>
        <a:xfrm>
          <a:off x="11914239" y="4493330"/>
          <a:ext cx="58242" cy="184169"/>
          <a:chOff x="8889969" y="717550"/>
          <a:chExt cx="95415" cy="260350"/>
        </a:xfrm>
      </xdr:grpSpPr>
      <xdr:sp macro="" textlink="">
        <xdr:nvSpPr>
          <xdr:cNvPr id="87" name="자유형: 도형 86">
            <a:extLst>
              <a:ext uri="{FF2B5EF4-FFF2-40B4-BE49-F238E27FC236}">
                <a16:creationId xmlns:a16="http://schemas.microsoft.com/office/drawing/2014/main" id="{DD8D5ED5-B4D1-8CF2-8BA0-C64C0700BBE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" name="자유형: 도형 87">
            <a:extLst>
              <a:ext uri="{FF2B5EF4-FFF2-40B4-BE49-F238E27FC236}">
                <a16:creationId xmlns:a16="http://schemas.microsoft.com/office/drawing/2014/main" id="{8F82A17A-68BF-BE54-1962-EACF1996F1A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24378</xdr:colOff>
      <xdr:row>20</xdr:row>
      <xdr:rowOff>37202</xdr:rowOff>
    </xdr:from>
    <xdr:to>
      <xdr:col>85</xdr:col>
      <xdr:colOff>96378</xdr:colOff>
      <xdr:row>21</xdr:row>
      <xdr:rowOff>1302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EB64B675-C9BE-421D-9F71-96743DA10527}"/>
            </a:ext>
          </a:extLst>
        </xdr:cNvPr>
        <xdr:cNvGrpSpPr/>
      </xdr:nvGrpSpPr>
      <xdr:grpSpPr>
        <a:xfrm>
          <a:off x="14621970" y="4482202"/>
          <a:ext cx="59300" cy="186350"/>
          <a:chOff x="8889969" y="717550"/>
          <a:chExt cx="95415" cy="260350"/>
        </a:xfrm>
      </xdr:grpSpPr>
      <xdr:sp macro="" textlink="">
        <xdr:nvSpPr>
          <xdr:cNvPr id="90" name="자유형: 도형 89">
            <a:extLst>
              <a:ext uri="{FF2B5EF4-FFF2-40B4-BE49-F238E27FC236}">
                <a16:creationId xmlns:a16="http://schemas.microsoft.com/office/drawing/2014/main" id="{54C12426-FAEB-1C77-E021-E872A98131B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자유형: 도형 90">
            <a:extLst>
              <a:ext uri="{FF2B5EF4-FFF2-40B4-BE49-F238E27FC236}">
                <a16:creationId xmlns:a16="http://schemas.microsoft.com/office/drawing/2014/main" id="{4035BF90-5F5A-F1DC-EEDC-09E8461E60F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16424</xdr:colOff>
      <xdr:row>20</xdr:row>
      <xdr:rowOff>42078</xdr:rowOff>
    </xdr:from>
    <xdr:to>
      <xdr:col>101</xdr:col>
      <xdr:colOff>88424</xdr:colOff>
      <xdr:row>21</xdr:row>
      <xdr:rowOff>3997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1453246E-C76E-4E5F-A1C0-B797681FBEFF}"/>
            </a:ext>
          </a:extLst>
        </xdr:cNvPr>
        <xdr:cNvGrpSpPr/>
      </xdr:nvGrpSpPr>
      <xdr:grpSpPr>
        <a:xfrm>
          <a:off x="15965507" y="4490253"/>
          <a:ext cx="68825" cy="184169"/>
          <a:chOff x="8889969" y="717550"/>
          <a:chExt cx="95415" cy="260350"/>
        </a:xfrm>
      </xdr:grpSpPr>
      <xdr:sp macro="" textlink="">
        <xdr:nvSpPr>
          <xdr:cNvPr id="93" name="자유형: 도형 92">
            <a:extLst>
              <a:ext uri="{FF2B5EF4-FFF2-40B4-BE49-F238E27FC236}">
                <a16:creationId xmlns:a16="http://schemas.microsoft.com/office/drawing/2014/main" id="{C3F3148F-E03E-AAE9-4793-CB57773039C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" name="자유형: 도형 93">
            <a:extLst>
              <a:ext uri="{FF2B5EF4-FFF2-40B4-BE49-F238E27FC236}">
                <a16:creationId xmlns:a16="http://schemas.microsoft.com/office/drawing/2014/main" id="{9A83D79D-17FA-9CF0-9BD7-EADC1EE49BB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9751</xdr:colOff>
      <xdr:row>36</xdr:row>
      <xdr:rowOff>41820</xdr:rowOff>
    </xdr:from>
    <xdr:to>
      <xdr:col>31</xdr:col>
      <xdr:colOff>81751</xdr:colOff>
      <xdr:row>37</xdr:row>
      <xdr:rowOff>3739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626547F1-7A34-4689-A42F-A5E865E8D667}"/>
            </a:ext>
          </a:extLst>
        </xdr:cNvPr>
        <xdr:cNvGrpSpPr/>
      </xdr:nvGrpSpPr>
      <xdr:grpSpPr>
        <a:xfrm>
          <a:off x="10028993" y="8045995"/>
          <a:ext cx="78350" cy="184169"/>
          <a:chOff x="8889969" y="717550"/>
          <a:chExt cx="95415" cy="260350"/>
        </a:xfrm>
      </xdr:grpSpPr>
      <xdr:sp macro="" textlink="">
        <xdr:nvSpPr>
          <xdr:cNvPr id="96" name="자유형: 도형 95">
            <a:extLst>
              <a:ext uri="{FF2B5EF4-FFF2-40B4-BE49-F238E27FC236}">
                <a16:creationId xmlns:a16="http://schemas.microsoft.com/office/drawing/2014/main" id="{7E90460B-6B60-B247-9BD0-62C8AD8E213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자유형: 도형 96">
            <a:extLst>
              <a:ext uri="{FF2B5EF4-FFF2-40B4-BE49-F238E27FC236}">
                <a16:creationId xmlns:a16="http://schemas.microsoft.com/office/drawing/2014/main" id="{9830ECA7-262B-5439-F658-3AC02DAE204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21041</xdr:colOff>
      <xdr:row>36</xdr:row>
      <xdr:rowOff>40281</xdr:rowOff>
    </xdr:from>
    <xdr:to>
      <xdr:col>45</xdr:col>
      <xdr:colOff>93041</xdr:colOff>
      <xdr:row>37</xdr:row>
      <xdr:rowOff>2200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65533E5E-D695-4470-BF8D-40D1457AE5A4}"/>
            </a:ext>
          </a:extLst>
        </xdr:cNvPr>
        <xdr:cNvGrpSpPr/>
      </xdr:nvGrpSpPr>
      <xdr:grpSpPr>
        <a:xfrm>
          <a:off x="11228791" y="8041281"/>
          <a:ext cx="62475" cy="184169"/>
          <a:chOff x="8889969" y="717550"/>
          <a:chExt cx="95415" cy="260350"/>
        </a:xfrm>
      </xdr:grpSpPr>
      <xdr:sp macro="" textlink="">
        <xdr:nvSpPr>
          <xdr:cNvPr id="99" name="자유형: 도형 98">
            <a:extLst>
              <a:ext uri="{FF2B5EF4-FFF2-40B4-BE49-F238E27FC236}">
                <a16:creationId xmlns:a16="http://schemas.microsoft.com/office/drawing/2014/main" id="{1B142180-5CF9-8A91-AAC0-1D0A027CD76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자유형: 도형 99">
            <a:extLst>
              <a:ext uri="{FF2B5EF4-FFF2-40B4-BE49-F238E27FC236}">
                <a16:creationId xmlns:a16="http://schemas.microsoft.com/office/drawing/2014/main" id="{49AE63C9-BD94-E70C-FC1D-0C46C46D350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59</xdr:col>
      <xdr:colOff>19502</xdr:colOff>
      <xdr:row>36</xdr:row>
      <xdr:rowOff>32327</xdr:rowOff>
    </xdr:from>
    <xdr:to>
      <xdr:col>59</xdr:col>
      <xdr:colOff>91502</xdr:colOff>
      <xdr:row>36</xdr:row>
      <xdr:rowOff>212327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DCA012B8-BB02-444D-95B5-E97343DF68D1}"/>
            </a:ext>
          </a:extLst>
        </xdr:cNvPr>
        <xdr:cNvGrpSpPr/>
      </xdr:nvGrpSpPr>
      <xdr:grpSpPr>
        <a:xfrm>
          <a:off x="12412585" y="8030152"/>
          <a:ext cx="68825" cy="183175"/>
          <a:chOff x="8889969" y="717550"/>
          <a:chExt cx="95415" cy="260350"/>
        </a:xfrm>
      </xdr:grpSpPr>
      <xdr:sp macro="" textlink="">
        <xdr:nvSpPr>
          <xdr:cNvPr id="102" name="자유형: 도형 101">
            <a:extLst>
              <a:ext uri="{FF2B5EF4-FFF2-40B4-BE49-F238E27FC236}">
                <a16:creationId xmlns:a16="http://schemas.microsoft.com/office/drawing/2014/main" id="{D9AD2A17-DA80-44DA-4043-E91B1C87759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자유형: 도형 102">
            <a:extLst>
              <a:ext uri="{FF2B5EF4-FFF2-40B4-BE49-F238E27FC236}">
                <a16:creationId xmlns:a16="http://schemas.microsoft.com/office/drawing/2014/main" id="{BDB75272-587A-A116-00AB-8728BD2EF4E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73</xdr:col>
      <xdr:colOff>24377</xdr:colOff>
      <xdr:row>36</xdr:row>
      <xdr:rowOff>30788</xdr:rowOff>
    </xdr:from>
    <xdr:to>
      <xdr:col>73</xdr:col>
      <xdr:colOff>96377</xdr:colOff>
      <xdr:row>36</xdr:row>
      <xdr:rowOff>210788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E191D645-32A0-4F12-8FC6-54070D90C312}"/>
            </a:ext>
          </a:extLst>
        </xdr:cNvPr>
        <xdr:cNvGrpSpPr/>
      </xdr:nvGrpSpPr>
      <xdr:grpSpPr>
        <a:xfrm>
          <a:off x="13605969" y="8028613"/>
          <a:ext cx="59300" cy="183175"/>
          <a:chOff x="8889969" y="717550"/>
          <a:chExt cx="95415" cy="260350"/>
        </a:xfrm>
      </xdr:grpSpPr>
      <xdr:sp macro="" textlink="">
        <xdr:nvSpPr>
          <xdr:cNvPr id="105" name="자유형: 도형 104">
            <a:extLst>
              <a:ext uri="{FF2B5EF4-FFF2-40B4-BE49-F238E27FC236}">
                <a16:creationId xmlns:a16="http://schemas.microsoft.com/office/drawing/2014/main" id="{84097E04-880C-FACF-238D-DE63B421244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자유형: 도형 105">
            <a:extLst>
              <a:ext uri="{FF2B5EF4-FFF2-40B4-BE49-F238E27FC236}">
                <a16:creationId xmlns:a16="http://schemas.microsoft.com/office/drawing/2014/main" id="{3EE996DE-A369-C638-7965-AF804B95B16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87</xdr:col>
      <xdr:colOff>10010</xdr:colOff>
      <xdr:row>36</xdr:row>
      <xdr:rowOff>35663</xdr:rowOff>
    </xdr:from>
    <xdr:to>
      <xdr:col>87</xdr:col>
      <xdr:colOff>82010</xdr:colOff>
      <xdr:row>36</xdr:row>
      <xdr:rowOff>215663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42B12BAB-F5BF-428D-B5E6-49EF09C2C92C}"/>
            </a:ext>
          </a:extLst>
        </xdr:cNvPr>
        <xdr:cNvGrpSpPr/>
      </xdr:nvGrpSpPr>
      <xdr:grpSpPr>
        <a:xfrm>
          <a:off x="14770585" y="8036663"/>
          <a:ext cx="78350" cy="183175"/>
          <a:chOff x="8889969" y="717550"/>
          <a:chExt cx="95415" cy="260350"/>
        </a:xfrm>
      </xdr:grpSpPr>
      <xdr:sp macro="" textlink="">
        <xdr:nvSpPr>
          <xdr:cNvPr id="108" name="자유형: 도형 107">
            <a:extLst>
              <a:ext uri="{FF2B5EF4-FFF2-40B4-BE49-F238E27FC236}">
                <a16:creationId xmlns:a16="http://schemas.microsoft.com/office/drawing/2014/main" id="{FFF30D81-E3AB-C335-E46E-D123ABEED1A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9" name="자유형: 도형 108">
            <a:extLst>
              <a:ext uri="{FF2B5EF4-FFF2-40B4-BE49-F238E27FC236}">
                <a16:creationId xmlns:a16="http://schemas.microsoft.com/office/drawing/2014/main" id="{EF195AFA-6F7D-970C-8478-289D1C8F1DA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14884</xdr:colOff>
      <xdr:row>36</xdr:row>
      <xdr:rowOff>34124</xdr:rowOff>
    </xdr:from>
    <xdr:to>
      <xdr:col>101</xdr:col>
      <xdr:colOff>86884</xdr:colOff>
      <xdr:row>36</xdr:row>
      <xdr:rowOff>214124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9A02756-7DD5-4C6A-A102-383494E0574C}"/>
            </a:ext>
          </a:extLst>
        </xdr:cNvPr>
        <xdr:cNvGrpSpPr/>
      </xdr:nvGrpSpPr>
      <xdr:grpSpPr>
        <a:xfrm>
          <a:off x="15960792" y="8031949"/>
          <a:ext cx="72000" cy="186350"/>
          <a:chOff x="8889969" y="717550"/>
          <a:chExt cx="95415" cy="260350"/>
        </a:xfrm>
      </xdr:grpSpPr>
      <xdr:sp macro="" textlink="">
        <xdr:nvSpPr>
          <xdr:cNvPr id="111" name="자유형: 도형 110">
            <a:extLst>
              <a:ext uri="{FF2B5EF4-FFF2-40B4-BE49-F238E27FC236}">
                <a16:creationId xmlns:a16="http://schemas.microsoft.com/office/drawing/2014/main" id="{2725A458-FFDB-EA55-EE1E-9C7B509B79D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2" name="자유형: 도형 111">
            <a:extLst>
              <a:ext uri="{FF2B5EF4-FFF2-40B4-BE49-F238E27FC236}">
                <a16:creationId xmlns:a16="http://schemas.microsoft.com/office/drawing/2014/main" id="{85A6D4BE-DAAF-03CF-5836-409FB0C45F6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21299</xdr:colOff>
      <xdr:row>20</xdr:row>
      <xdr:rowOff>53367</xdr:rowOff>
    </xdr:from>
    <xdr:to>
      <xdr:col>93</xdr:col>
      <xdr:colOff>93299</xdr:colOff>
      <xdr:row>21</xdr:row>
      <xdr:rowOff>15286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86181A78-4907-4DF9-811B-CB9E7609BE7E}"/>
            </a:ext>
          </a:extLst>
        </xdr:cNvPr>
        <xdr:cNvGrpSpPr/>
      </xdr:nvGrpSpPr>
      <xdr:grpSpPr>
        <a:xfrm>
          <a:off x="15293049" y="4495192"/>
          <a:ext cx="62475" cy="184169"/>
          <a:chOff x="8889969" y="717550"/>
          <a:chExt cx="95415" cy="260350"/>
        </a:xfrm>
      </xdr:grpSpPr>
      <xdr:sp macro="" textlink="">
        <xdr:nvSpPr>
          <xdr:cNvPr id="114" name="자유형: 도형 113">
            <a:extLst>
              <a:ext uri="{FF2B5EF4-FFF2-40B4-BE49-F238E27FC236}">
                <a16:creationId xmlns:a16="http://schemas.microsoft.com/office/drawing/2014/main" id="{CC8EFD77-5A6C-0BC2-E057-87726ED12AE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B6CFC83E-3F53-75E0-A457-78F099743C7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77</xdr:col>
      <xdr:colOff>26175</xdr:colOff>
      <xdr:row>20</xdr:row>
      <xdr:rowOff>45413</xdr:rowOff>
    </xdr:from>
    <xdr:to>
      <xdr:col>77</xdr:col>
      <xdr:colOff>98175</xdr:colOff>
      <xdr:row>21</xdr:row>
      <xdr:rowOff>7332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435BC014-D3AF-46B0-B79E-F3242F642118}"/>
            </a:ext>
          </a:extLst>
        </xdr:cNvPr>
        <xdr:cNvGrpSpPr/>
      </xdr:nvGrpSpPr>
      <xdr:grpSpPr>
        <a:xfrm>
          <a:off x="13946433" y="4493588"/>
          <a:ext cx="59300" cy="184169"/>
          <a:chOff x="8889969" y="717550"/>
          <a:chExt cx="95415" cy="260350"/>
        </a:xfrm>
      </xdr:grpSpPr>
      <xdr:sp macro="" textlink="">
        <xdr:nvSpPr>
          <xdr:cNvPr id="117" name="자유형: 도형 116">
            <a:extLst>
              <a:ext uri="{FF2B5EF4-FFF2-40B4-BE49-F238E27FC236}">
                <a16:creationId xmlns:a16="http://schemas.microsoft.com/office/drawing/2014/main" id="{1FD754F3-CBDE-D2E0-98A9-0F088578BA1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691FF948-8E15-815F-D694-AC7A442AEA2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61</xdr:col>
      <xdr:colOff>31049</xdr:colOff>
      <xdr:row>20</xdr:row>
      <xdr:rowOff>43874</xdr:rowOff>
    </xdr:from>
    <xdr:to>
      <xdr:col>62</xdr:col>
      <xdr:colOff>1449</xdr:colOff>
      <xdr:row>21</xdr:row>
      <xdr:rowOff>5793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1CF888E6-27D6-45FC-9CA3-4537077A04CA}"/>
            </a:ext>
          </a:extLst>
        </xdr:cNvPr>
        <xdr:cNvGrpSpPr/>
      </xdr:nvGrpSpPr>
      <xdr:grpSpPr>
        <a:xfrm>
          <a:off x="12590291" y="4492049"/>
          <a:ext cx="58241" cy="184169"/>
          <a:chOff x="8889969" y="717550"/>
          <a:chExt cx="95415" cy="260350"/>
        </a:xfrm>
      </xdr:grpSpPr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1D04230B-60BB-569F-7139-2E7F19DA404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1" name="자유형: 도형 120">
            <a:extLst>
              <a:ext uri="{FF2B5EF4-FFF2-40B4-BE49-F238E27FC236}">
                <a16:creationId xmlns:a16="http://schemas.microsoft.com/office/drawing/2014/main" id="{7882EB25-1F03-A60F-93F1-2D4AFA82B2E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23096</xdr:colOff>
      <xdr:row>20</xdr:row>
      <xdr:rowOff>42335</xdr:rowOff>
    </xdr:from>
    <xdr:to>
      <xdr:col>69</xdr:col>
      <xdr:colOff>95096</xdr:colOff>
      <xdr:row>21</xdr:row>
      <xdr:rowOff>4254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D48B961D-9F0A-4EF0-A56F-041FC17713F1}"/>
            </a:ext>
          </a:extLst>
        </xdr:cNvPr>
        <xdr:cNvGrpSpPr/>
      </xdr:nvGrpSpPr>
      <xdr:grpSpPr>
        <a:xfrm>
          <a:off x="13266021" y="4490510"/>
          <a:ext cx="59300" cy="184169"/>
          <a:chOff x="8889969" y="717550"/>
          <a:chExt cx="95415" cy="260350"/>
        </a:xfrm>
      </xdr:grpSpPr>
      <xdr:sp macro="" textlink="">
        <xdr:nvSpPr>
          <xdr:cNvPr id="123" name="자유형: 도형 122">
            <a:extLst>
              <a:ext uri="{FF2B5EF4-FFF2-40B4-BE49-F238E27FC236}">
                <a16:creationId xmlns:a16="http://schemas.microsoft.com/office/drawing/2014/main" id="{BFE56ED5-0559-96E2-3FF3-461D6176C12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E4F17997-E2F5-62AE-B223-34873BE50BA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22579</xdr:colOff>
      <xdr:row>58</xdr:row>
      <xdr:rowOff>41820</xdr:rowOff>
    </xdr:from>
    <xdr:to>
      <xdr:col>29</xdr:col>
      <xdr:colOff>94579</xdr:colOff>
      <xdr:row>59</xdr:row>
      <xdr:rowOff>3739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EF15E402-CA00-4E23-892B-D8E91D170799}"/>
            </a:ext>
          </a:extLst>
        </xdr:cNvPr>
        <xdr:cNvGrpSpPr/>
      </xdr:nvGrpSpPr>
      <xdr:grpSpPr>
        <a:xfrm>
          <a:off x="9878837" y="12935495"/>
          <a:ext cx="59300" cy="184169"/>
          <a:chOff x="8889969" y="717550"/>
          <a:chExt cx="95415" cy="260350"/>
        </a:xfrm>
      </xdr:grpSpPr>
      <xdr:sp macro="" textlink="">
        <xdr:nvSpPr>
          <xdr:cNvPr id="126" name="자유형: 도형 125">
            <a:extLst>
              <a:ext uri="{FF2B5EF4-FFF2-40B4-BE49-F238E27FC236}">
                <a16:creationId xmlns:a16="http://schemas.microsoft.com/office/drawing/2014/main" id="{0FD81B1F-5FC5-3A41-CF31-A171ADE5F84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7" name="자유형: 도형 126">
            <a:extLst>
              <a:ext uri="{FF2B5EF4-FFF2-40B4-BE49-F238E27FC236}">
                <a16:creationId xmlns:a16="http://schemas.microsoft.com/office/drawing/2014/main" id="{7AE43A00-E34C-F544-F7DE-D6CCBB35658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14626</xdr:colOff>
      <xdr:row>58</xdr:row>
      <xdr:rowOff>40281</xdr:rowOff>
    </xdr:from>
    <xdr:to>
      <xdr:col>37</xdr:col>
      <xdr:colOff>86626</xdr:colOff>
      <xdr:row>59</xdr:row>
      <xdr:rowOff>2200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CC3FC4B0-0471-4B38-8634-F7DB8732AAFE}"/>
            </a:ext>
          </a:extLst>
        </xdr:cNvPr>
        <xdr:cNvGrpSpPr/>
      </xdr:nvGrpSpPr>
      <xdr:grpSpPr>
        <a:xfrm>
          <a:off x="10541868" y="12930781"/>
          <a:ext cx="72000" cy="184169"/>
          <a:chOff x="8889969" y="717550"/>
          <a:chExt cx="95415" cy="260350"/>
        </a:xfrm>
      </xdr:grpSpPr>
      <xdr:sp macro="" textlink="">
        <xdr:nvSpPr>
          <xdr:cNvPr id="129" name="자유형: 도형 128">
            <a:extLst>
              <a:ext uri="{FF2B5EF4-FFF2-40B4-BE49-F238E27FC236}">
                <a16:creationId xmlns:a16="http://schemas.microsoft.com/office/drawing/2014/main" id="{7BDE9370-4E5D-76BC-7986-80B08C3361D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0" name="자유형: 도형 129">
            <a:extLst>
              <a:ext uri="{FF2B5EF4-FFF2-40B4-BE49-F238E27FC236}">
                <a16:creationId xmlns:a16="http://schemas.microsoft.com/office/drawing/2014/main" id="{4FE0E1AE-9FCE-31D3-0DED-0604250B5CF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25916</xdr:colOff>
      <xdr:row>58</xdr:row>
      <xdr:rowOff>51569</xdr:rowOff>
    </xdr:from>
    <xdr:to>
      <xdr:col>45</xdr:col>
      <xdr:colOff>97916</xdr:colOff>
      <xdr:row>59</xdr:row>
      <xdr:rowOff>13488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2D3F5065-49C1-40AF-9924-E98B106D5CA9}"/>
            </a:ext>
          </a:extLst>
        </xdr:cNvPr>
        <xdr:cNvGrpSpPr/>
      </xdr:nvGrpSpPr>
      <xdr:grpSpPr>
        <a:xfrm>
          <a:off x="11236841" y="12938894"/>
          <a:ext cx="59300" cy="184169"/>
          <a:chOff x="8889969" y="717550"/>
          <a:chExt cx="95415" cy="260350"/>
        </a:xfrm>
      </xdr:grpSpPr>
      <xdr:sp macro="" textlink="">
        <xdr:nvSpPr>
          <xdr:cNvPr id="132" name="자유형: 도형 131">
            <a:extLst>
              <a:ext uri="{FF2B5EF4-FFF2-40B4-BE49-F238E27FC236}">
                <a16:creationId xmlns:a16="http://schemas.microsoft.com/office/drawing/2014/main" id="{173BAA84-F8AA-C979-8ACF-09C298DA68C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자유형: 도형 132">
            <a:extLst>
              <a:ext uri="{FF2B5EF4-FFF2-40B4-BE49-F238E27FC236}">
                <a16:creationId xmlns:a16="http://schemas.microsoft.com/office/drawing/2014/main" id="{A2CA997C-ADAA-FC1C-29B7-A88DC0882DD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53</xdr:col>
      <xdr:colOff>30791</xdr:colOff>
      <xdr:row>58</xdr:row>
      <xdr:rowOff>43616</xdr:rowOff>
    </xdr:from>
    <xdr:to>
      <xdr:col>54</xdr:col>
      <xdr:colOff>1191</xdr:colOff>
      <xdr:row>59</xdr:row>
      <xdr:rowOff>5535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78F4E62A-FE8D-49CC-B383-5B8C1B5D3B30}"/>
            </a:ext>
          </a:extLst>
        </xdr:cNvPr>
        <xdr:cNvGrpSpPr/>
      </xdr:nvGrpSpPr>
      <xdr:grpSpPr>
        <a:xfrm>
          <a:off x="11912699" y="12937291"/>
          <a:ext cx="58242" cy="184169"/>
          <a:chOff x="8889969" y="717550"/>
          <a:chExt cx="95415" cy="260350"/>
        </a:xfrm>
      </xdr:grpSpPr>
      <xdr:sp macro="" textlink="">
        <xdr:nvSpPr>
          <xdr:cNvPr id="135" name="자유형: 도형 134">
            <a:extLst>
              <a:ext uri="{FF2B5EF4-FFF2-40B4-BE49-F238E27FC236}">
                <a16:creationId xmlns:a16="http://schemas.microsoft.com/office/drawing/2014/main" id="{05D37281-1643-F2BE-C8B5-E74BBBE3268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6" name="자유형: 도형 135">
            <a:extLst>
              <a:ext uri="{FF2B5EF4-FFF2-40B4-BE49-F238E27FC236}">
                <a16:creationId xmlns:a16="http://schemas.microsoft.com/office/drawing/2014/main" id="{F200278E-C0E6-156C-BF8F-D8364BD8D95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22838</xdr:colOff>
      <xdr:row>58</xdr:row>
      <xdr:rowOff>35663</xdr:rowOff>
    </xdr:from>
    <xdr:to>
      <xdr:col>85</xdr:col>
      <xdr:colOff>94838</xdr:colOff>
      <xdr:row>58</xdr:row>
      <xdr:rowOff>215663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C24B7421-96CD-4200-A41F-14E9026ABA3E}"/>
            </a:ext>
          </a:extLst>
        </xdr:cNvPr>
        <xdr:cNvGrpSpPr/>
      </xdr:nvGrpSpPr>
      <xdr:grpSpPr>
        <a:xfrm>
          <a:off x="14620430" y="12926163"/>
          <a:ext cx="59300" cy="183175"/>
          <a:chOff x="8889969" y="717550"/>
          <a:chExt cx="95415" cy="260350"/>
        </a:xfrm>
      </xdr:grpSpPr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0415649E-EDB7-867C-4E79-D9BBDFD1F20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자유형: 도형 138">
            <a:extLst>
              <a:ext uri="{FF2B5EF4-FFF2-40B4-BE49-F238E27FC236}">
                <a16:creationId xmlns:a16="http://schemas.microsoft.com/office/drawing/2014/main" id="{91E9E556-23AA-A138-BE2C-3C5FCDCE35D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14884</xdr:colOff>
      <xdr:row>58</xdr:row>
      <xdr:rowOff>40539</xdr:rowOff>
    </xdr:from>
    <xdr:to>
      <xdr:col>101</xdr:col>
      <xdr:colOff>86884</xdr:colOff>
      <xdr:row>59</xdr:row>
      <xdr:rowOff>2458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9BD2BF90-7663-474D-AE82-FE66D42200FF}"/>
            </a:ext>
          </a:extLst>
        </xdr:cNvPr>
        <xdr:cNvGrpSpPr/>
      </xdr:nvGrpSpPr>
      <xdr:grpSpPr>
        <a:xfrm>
          <a:off x="15960792" y="12931039"/>
          <a:ext cx="72000" cy="184169"/>
          <a:chOff x="8889969" y="717550"/>
          <a:chExt cx="95415" cy="260350"/>
        </a:xfrm>
      </xdr:grpSpPr>
      <xdr:sp macro="" textlink="">
        <xdr:nvSpPr>
          <xdr:cNvPr id="141" name="자유형: 도형 140">
            <a:extLst>
              <a:ext uri="{FF2B5EF4-FFF2-40B4-BE49-F238E27FC236}">
                <a16:creationId xmlns:a16="http://schemas.microsoft.com/office/drawing/2014/main" id="{43E2A3EC-A1B0-C236-6CE4-57D3789AE72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73135809-0EF8-225A-85E6-C7B48AFD37A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19759</xdr:colOff>
      <xdr:row>58</xdr:row>
      <xdr:rowOff>51828</xdr:rowOff>
    </xdr:from>
    <xdr:to>
      <xdr:col>93</xdr:col>
      <xdr:colOff>91759</xdr:colOff>
      <xdr:row>59</xdr:row>
      <xdr:rowOff>13747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CAE6B747-0184-48DF-B55C-9A4A3BA08494}"/>
            </a:ext>
          </a:extLst>
        </xdr:cNvPr>
        <xdr:cNvGrpSpPr/>
      </xdr:nvGrpSpPr>
      <xdr:grpSpPr>
        <a:xfrm>
          <a:off x="15291509" y="12939153"/>
          <a:ext cx="68825" cy="184169"/>
          <a:chOff x="8889969" y="717550"/>
          <a:chExt cx="95415" cy="260350"/>
        </a:xfrm>
      </xdr:grpSpPr>
      <xdr:sp macro="" textlink="">
        <xdr:nvSpPr>
          <xdr:cNvPr id="144" name="자유형: 도형 143">
            <a:extLst>
              <a:ext uri="{FF2B5EF4-FFF2-40B4-BE49-F238E27FC236}">
                <a16:creationId xmlns:a16="http://schemas.microsoft.com/office/drawing/2014/main" id="{268072D2-B127-B90B-3EB0-9E0FA17C0DF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5" name="자유형: 도형 144">
            <a:extLst>
              <a:ext uri="{FF2B5EF4-FFF2-40B4-BE49-F238E27FC236}">
                <a16:creationId xmlns:a16="http://schemas.microsoft.com/office/drawing/2014/main" id="{A2292364-6AAB-5CF0-3357-071A92A0D8C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77</xdr:col>
      <xdr:colOff>24635</xdr:colOff>
      <xdr:row>58</xdr:row>
      <xdr:rowOff>43874</xdr:rowOff>
    </xdr:from>
    <xdr:to>
      <xdr:col>77</xdr:col>
      <xdr:colOff>96635</xdr:colOff>
      <xdr:row>59</xdr:row>
      <xdr:rowOff>5793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724602C1-3FCF-4751-944D-82140B35E461}"/>
            </a:ext>
          </a:extLst>
        </xdr:cNvPr>
        <xdr:cNvGrpSpPr/>
      </xdr:nvGrpSpPr>
      <xdr:grpSpPr>
        <a:xfrm>
          <a:off x="13944893" y="12937549"/>
          <a:ext cx="59300" cy="184169"/>
          <a:chOff x="8889969" y="717550"/>
          <a:chExt cx="95415" cy="260350"/>
        </a:xfrm>
      </xdr:grpSpPr>
      <xdr:sp macro="" textlink="">
        <xdr:nvSpPr>
          <xdr:cNvPr id="147" name="자유형: 도형 146">
            <a:extLst>
              <a:ext uri="{FF2B5EF4-FFF2-40B4-BE49-F238E27FC236}">
                <a16:creationId xmlns:a16="http://schemas.microsoft.com/office/drawing/2014/main" id="{B188CF6A-B338-56F5-709C-5CFDA06D013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8" name="자유형: 도형 147">
            <a:extLst>
              <a:ext uri="{FF2B5EF4-FFF2-40B4-BE49-F238E27FC236}">
                <a16:creationId xmlns:a16="http://schemas.microsoft.com/office/drawing/2014/main" id="{DE9AF9CA-8232-8AD9-3693-CA4E184B5B2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61</xdr:col>
      <xdr:colOff>29509</xdr:colOff>
      <xdr:row>58</xdr:row>
      <xdr:rowOff>42335</xdr:rowOff>
    </xdr:from>
    <xdr:to>
      <xdr:col>61</xdr:col>
      <xdr:colOff>101509</xdr:colOff>
      <xdr:row>59</xdr:row>
      <xdr:rowOff>4254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F8963233-A55A-403A-B6DD-BC41FDDD7F01}"/>
            </a:ext>
          </a:extLst>
        </xdr:cNvPr>
        <xdr:cNvGrpSpPr/>
      </xdr:nvGrpSpPr>
      <xdr:grpSpPr>
        <a:xfrm>
          <a:off x="12588751" y="12936010"/>
          <a:ext cx="59300" cy="184169"/>
          <a:chOff x="8889969" y="717550"/>
          <a:chExt cx="95415" cy="260350"/>
        </a:xfrm>
      </xdr:grpSpPr>
      <xdr:sp macro="" textlink="">
        <xdr:nvSpPr>
          <xdr:cNvPr id="150" name="자유형: 도형 149">
            <a:extLst>
              <a:ext uri="{FF2B5EF4-FFF2-40B4-BE49-F238E27FC236}">
                <a16:creationId xmlns:a16="http://schemas.microsoft.com/office/drawing/2014/main" id="{64212A47-DC89-049A-9DC9-DF3E6A2E97E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1" name="자유형: 도형 150">
            <a:extLst>
              <a:ext uri="{FF2B5EF4-FFF2-40B4-BE49-F238E27FC236}">
                <a16:creationId xmlns:a16="http://schemas.microsoft.com/office/drawing/2014/main" id="{1C93A496-1F7A-644C-7BD1-37CBDE48D44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21556</xdr:colOff>
      <xdr:row>58</xdr:row>
      <xdr:rowOff>40796</xdr:rowOff>
    </xdr:from>
    <xdr:to>
      <xdr:col>69</xdr:col>
      <xdr:colOff>93556</xdr:colOff>
      <xdr:row>59</xdr:row>
      <xdr:rowOff>2715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8E23590C-B2BB-44F9-8B91-C3BD18FD8D4F}"/>
            </a:ext>
          </a:extLst>
        </xdr:cNvPr>
        <xdr:cNvGrpSpPr/>
      </xdr:nvGrpSpPr>
      <xdr:grpSpPr>
        <a:xfrm>
          <a:off x="13261306" y="12931296"/>
          <a:ext cx="62475" cy="184169"/>
          <a:chOff x="8889969" y="717550"/>
          <a:chExt cx="95415" cy="260350"/>
        </a:xfrm>
      </xdr:grpSpPr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7FE39665-E6CF-4F12-3ACE-E1E1E48C168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4" name="자유형: 도형 153">
            <a:extLst>
              <a:ext uri="{FF2B5EF4-FFF2-40B4-BE49-F238E27FC236}">
                <a16:creationId xmlns:a16="http://schemas.microsoft.com/office/drawing/2014/main" id="{10FB06D0-FE8E-C2AB-0610-C13880C6D63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41</xdr:col>
      <xdr:colOff>7553</xdr:colOff>
      <xdr:row>80</xdr:row>
      <xdr:rowOff>33209</xdr:rowOff>
    </xdr:from>
    <xdr:to>
      <xdr:col>41</xdr:col>
      <xdr:colOff>79553</xdr:colOff>
      <xdr:row>81</xdr:row>
      <xdr:rowOff>2858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FB629CB2-A8D3-49B3-B5E7-355A09F3E259}"/>
            </a:ext>
          </a:extLst>
        </xdr:cNvPr>
        <xdr:cNvGrpSpPr/>
      </xdr:nvGrpSpPr>
      <xdr:grpSpPr>
        <a:xfrm>
          <a:off x="10879811" y="17810034"/>
          <a:ext cx="72000" cy="195074"/>
          <a:chOff x="8889969" y="717550"/>
          <a:chExt cx="95415" cy="260350"/>
        </a:xfrm>
      </xdr:grpSpPr>
      <xdr:sp macro="" textlink="">
        <xdr:nvSpPr>
          <xdr:cNvPr id="156" name="자유형: 도형 155">
            <a:extLst>
              <a:ext uri="{FF2B5EF4-FFF2-40B4-BE49-F238E27FC236}">
                <a16:creationId xmlns:a16="http://schemas.microsoft.com/office/drawing/2014/main" id="{02F85A68-2917-921E-E56A-72CA4410FC7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7" name="자유형: 도형 156">
            <a:extLst>
              <a:ext uri="{FF2B5EF4-FFF2-40B4-BE49-F238E27FC236}">
                <a16:creationId xmlns:a16="http://schemas.microsoft.com/office/drawing/2014/main" id="{3021478B-4FD0-63B8-83DF-7416226300E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67</xdr:col>
      <xdr:colOff>7553</xdr:colOff>
      <xdr:row>80</xdr:row>
      <xdr:rowOff>33209</xdr:rowOff>
    </xdr:from>
    <xdr:to>
      <xdr:col>67</xdr:col>
      <xdr:colOff>79553</xdr:colOff>
      <xdr:row>81</xdr:row>
      <xdr:rowOff>2858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6F491910-780E-465E-84E9-EB3D1DFA2BE7}"/>
            </a:ext>
          </a:extLst>
        </xdr:cNvPr>
        <xdr:cNvGrpSpPr/>
      </xdr:nvGrpSpPr>
      <xdr:grpSpPr>
        <a:xfrm>
          <a:off x="13081145" y="17810034"/>
          <a:ext cx="72000" cy="195074"/>
          <a:chOff x="8889969" y="717550"/>
          <a:chExt cx="95415" cy="260350"/>
        </a:xfrm>
      </xdr:grpSpPr>
      <xdr:sp macro="" textlink="">
        <xdr:nvSpPr>
          <xdr:cNvPr id="159" name="자유형: 도형 158">
            <a:extLst>
              <a:ext uri="{FF2B5EF4-FFF2-40B4-BE49-F238E27FC236}">
                <a16:creationId xmlns:a16="http://schemas.microsoft.com/office/drawing/2014/main" id="{4EB7B7C3-9254-9052-B32B-6F4769FA183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0" name="자유형: 도형 159">
            <a:extLst>
              <a:ext uri="{FF2B5EF4-FFF2-40B4-BE49-F238E27FC236}">
                <a16:creationId xmlns:a16="http://schemas.microsoft.com/office/drawing/2014/main" id="{49E44696-E6F6-7A3B-58F5-AD3CBAEC2D7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7553</xdr:colOff>
      <xdr:row>80</xdr:row>
      <xdr:rowOff>33209</xdr:rowOff>
    </xdr:from>
    <xdr:to>
      <xdr:col>93</xdr:col>
      <xdr:colOff>79553</xdr:colOff>
      <xdr:row>81</xdr:row>
      <xdr:rowOff>2858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A306E711-1949-4FDB-876D-083959B231A6}"/>
            </a:ext>
          </a:extLst>
        </xdr:cNvPr>
        <xdr:cNvGrpSpPr/>
      </xdr:nvGrpSpPr>
      <xdr:grpSpPr>
        <a:xfrm>
          <a:off x="15282478" y="17810034"/>
          <a:ext cx="72000" cy="195074"/>
          <a:chOff x="8889969" y="717550"/>
          <a:chExt cx="95415" cy="260350"/>
        </a:xfrm>
      </xdr:grpSpPr>
      <xdr:sp macro="" textlink="">
        <xdr:nvSpPr>
          <xdr:cNvPr id="162" name="자유형: 도형 161">
            <a:extLst>
              <a:ext uri="{FF2B5EF4-FFF2-40B4-BE49-F238E27FC236}">
                <a16:creationId xmlns:a16="http://schemas.microsoft.com/office/drawing/2014/main" id="{CB15D8AD-90CB-2BEF-FD31-D59DD272410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3" name="자유형: 도형 162">
            <a:extLst>
              <a:ext uri="{FF2B5EF4-FFF2-40B4-BE49-F238E27FC236}">
                <a16:creationId xmlns:a16="http://schemas.microsoft.com/office/drawing/2014/main" id="{113A1001-CA61-9611-DB68-88D8E1F27D9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67</xdr:col>
      <xdr:colOff>7553</xdr:colOff>
      <xdr:row>84</xdr:row>
      <xdr:rowOff>33209</xdr:rowOff>
    </xdr:from>
    <xdr:to>
      <xdr:col>67</xdr:col>
      <xdr:colOff>79553</xdr:colOff>
      <xdr:row>85</xdr:row>
      <xdr:rowOff>2858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5204EF8-DE26-42D2-9553-B5317CA01906}"/>
            </a:ext>
          </a:extLst>
        </xdr:cNvPr>
        <xdr:cNvGrpSpPr/>
      </xdr:nvGrpSpPr>
      <xdr:grpSpPr>
        <a:xfrm>
          <a:off x="13081145" y="18699034"/>
          <a:ext cx="72000" cy="195074"/>
          <a:chOff x="8889969" y="717550"/>
          <a:chExt cx="95415" cy="260350"/>
        </a:xfrm>
      </xdr:grpSpPr>
      <xdr:sp macro="" textlink="">
        <xdr:nvSpPr>
          <xdr:cNvPr id="165" name="자유형: 도형 164">
            <a:extLst>
              <a:ext uri="{FF2B5EF4-FFF2-40B4-BE49-F238E27FC236}">
                <a16:creationId xmlns:a16="http://schemas.microsoft.com/office/drawing/2014/main" id="{730F73EC-A017-4EDB-7350-E45AF43AA19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6" name="자유형: 도형 165">
            <a:extLst>
              <a:ext uri="{FF2B5EF4-FFF2-40B4-BE49-F238E27FC236}">
                <a16:creationId xmlns:a16="http://schemas.microsoft.com/office/drawing/2014/main" id="{4BF2D62D-409A-DB40-851C-ACC40B2C8C6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7553</xdr:colOff>
      <xdr:row>84</xdr:row>
      <xdr:rowOff>33209</xdr:rowOff>
    </xdr:from>
    <xdr:to>
      <xdr:col>93</xdr:col>
      <xdr:colOff>79553</xdr:colOff>
      <xdr:row>85</xdr:row>
      <xdr:rowOff>2858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BEC8EE2E-BAE3-4456-8B14-117E142B9F81}"/>
            </a:ext>
          </a:extLst>
        </xdr:cNvPr>
        <xdr:cNvGrpSpPr/>
      </xdr:nvGrpSpPr>
      <xdr:grpSpPr>
        <a:xfrm>
          <a:off x="15282478" y="18699034"/>
          <a:ext cx="72000" cy="195074"/>
          <a:chOff x="8889969" y="717550"/>
          <a:chExt cx="95415" cy="260350"/>
        </a:xfrm>
      </xdr:grpSpPr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95820F7E-00D5-7425-B288-D1CD7D2CD34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9" name="자유형: 도형 168">
            <a:extLst>
              <a:ext uri="{FF2B5EF4-FFF2-40B4-BE49-F238E27FC236}">
                <a16:creationId xmlns:a16="http://schemas.microsoft.com/office/drawing/2014/main" id="{96A04992-789D-D29E-70FB-5044C1991F8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7553</xdr:colOff>
      <xdr:row>88</xdr:row>
      <xdr:rowOff>33209</xdr:rowOff>
    </xdr:from>
    <xdr:to>
      <xdr:col>93</xdr:col>
      <xdr:colOff>79553</xdr:colOff>
      <xdr:row>89</xdr:row>
      <xdr:rowOff>2858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67E4BC3F-2C00-4732-8D35-44C52B0EF18A}"/>
            </a:ext>
          </a:extLst>
        </xdr:cNvPr>
        <xdr:cNvGrpSpPr/>
      </xdr:nvGrpSpPr>
      <xdr:grpSpPr>
        <a:xfrm>
          <a:off x="15282478" y="19588034"/>
          <a:ext cx="72000" cy="195074"/>
          <a:chOff x="8889969" y="717550"/>
          <a:chExt cx="95415" cy="260350"/>
        </a:xfrm>
      </xdr:grpSpPr>
      <xdr:sp macro="" textlink="">
        <xdr:nvSpPr>
          <xdr:cNvPr id="171" name="자유형: 도형 170">
            <a:extLst>
              <a:ext uri="{FF2B5EF4-FFF2-40B4-BE49-F238E27FC236}">
                <a16:creationId xmlns:a16="http://schemas.microsoft.com/office/drawing/2014/main" id="{3B5242E9-2B3F-A430-FDDA-70770F04709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66F19546-7CDA-F4D6-23D1-E2D3135ADEF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24119</xdr:colOff>
      <xdr:row>101</xdr:row>
      <xdr:rowOff>43359</xdr:rowOff>
    </xdr:from>
    <xdr:to>
      <xdr:col>29</xdr:col>
      <xdr:colOff>96119</xdr:colOff>
      <xdr:row>102</xdr:row>
      <xdr:rowOff>5278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2EC81040-56C6-4710-ADB7-7D3098756FE1}"/>
            </a:ext>
          </a:extLst>
        </xdr:cNvPr>
        <xdr:cNvGrpSpPr/>
      </xdr:nvGrpSpPr>
      <xdr:grpSpPr>
        <a:xfrm>
          <a:off x="9880377" y="22493784"/>
          <a:ext cx="59300" cy="184169"/>
          <a:chOff x="8889969" y="717550"/>
          <a:chExt cx="95415" cy="260350"/>
        </a:xfrm>
      </xdr:grpSpPr>
      <xdr:sp macro="" textlink="">
        <xdr:nvSpPr>
          <xdr:cNvPr id="174" name="자유형: 도형 173">
            <a:extLst>
              <a:ext uri="{FF2B5EF4-FFF2-40B4-BE49-F238E27FC236}">
                <a16:creationId xmlns:a16="http://schemas.microsoft.com/office/drawing/2014/main" id="{C1B6D360-7A2E-2155-A1F1-F53B06E28F9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7FD0FFAE-80E5-67AC-D8E4-1C1383B3C2B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16166</xdr:colOff>
      <xdr:row>101</xdr:row>
      <xdr:rowOff>41820</xdr:rowOff>
    </xdr:from>
    <xdr:to>
      <xdr:col>37</xdr:col>
      <xdr:colOff>88166</xdr:colOff>
      <xdr:row>102</xdr:row>
      <xdr:rowOff>3739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A6EB39C7-EB38-4143-A033-450D8581DB26}"/>
            </a:ext>
          </a:extLst>
        </xdr:cNvPr>
        <xdr:cNvGrpSpPr/>
      </xdr:nvGrpSpPr>
      <xdr:grpSpPr>
        <a:xfrm>
          <a:off x="10546583" y="22492245"/>
          <a:ext cx="68825" cy="184169"/>
          <a:chOff x="8889969" y="717550"/>
          <a:chExt cx="95415" cy="260350"/>
        </a:xfrm>
      </xdr:grpSpPr>
      <xdr:sp macro="" textlink="">
        <xdr:nvSpPr>
          <xdr:cNvPr id="177" name="자유형: 도형 176">
            <a:extLst>
              <a:ext uri="{FF2B5EF4-FFF2-40B4-BE49-F238E27FC236}">
                <a16:creationId xmlns:a16="http://schemas.microsoft.com/office/drawing/2014/main" id="{972DBBA8-1688-2051-072F-E285E6B135C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8" name="자유형: 도형 177">
            <a:extLst>
              <a:ext uri="{FF2B5EF4-FFF2-40B4-BE49-F238E27FC236}">
                <a16:creationId xmlns:a16="http://schemas.microsoft.com/office/drawing/2014/main" id="{B3AD20E4-BF9B-CD00-86B9-9CD8D6EC4FA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42</xdr:col>
      <xdr:colOff>48714</xdr:colOff>
      <xdr:row>101</xdr:row>
      <xdr:rowOff>46758</xdr:rowOff>
    </xdr:from>
    <xdr:to>
      <xdr:col>43</xdr:col>
      <xdr:colOff>10279</xdr:colOff>
      <xdr:row>102</xdr:row>
      <xdr:rowOff>8677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76BC6CEE-F94B-49EB-B0D6-7B41F727CB53}"/>
            </a:ext>
          </a:extLst>
        </xdr:cNvPr>
        <xdr:cNvGrpSpPr/>
      </xdr:nvGrpSpPr>
      <xdr:grpSpPr>
        <a:xfrm>
          <a:off x="10999289" y="22497183"/>
          <a:ext cx="46232" cy="184169"/>
          <a:chOff x="8889969" y="717550"/>
          <a:chExt cx="95415" cy="260350"/>
        </a:xfrm>
      </xdr:grpSpPr>
      <xdr:sp macro="" textlink="">
        <xdr:nvSpPr>
          <xdr:cNvPr id="180" name="자유형: 도형 179">
            <a:extLst>
              <a:ext uri="{FF2B5EF4-FFF2-40B4-BE49-F238E27FC236}">
                <a16:creationId xmlns:a16="http://schemas.microsoft.com/office/drawing/2014/main" id="{C1A7E826-E982-9278-F711-A43B14CA0A0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F90D84AC-5378-B4BC-18DA-3DC5BFDC878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42</xdr:col>
      <xdr:colOff>14756</xdr:colOff>
      <xdr:row>107</xdr:row>
      <xdr:rowOff>26603</xdr:rowOff>
    </xdr:from>
    <xdr:to>
      <xdr:col>42</xdr:col>
      <xdr:colOff>86756</xdr:colOff>
      <xdr:row>107</xdr:row>
      <xdr:rowOff>202489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9D86974E-910D-42C5-84A2-80499B52DD10}"/>
            </a:ext>
          </a:extLst>
        </xdr:cNvPr>
        <xdr:cNvGrpSpPr/>
      </xdr:nvGrpSpPr>
      <xdr:grpSpPr>
        <a:xfrm>
          <a:off x="10965331" y="23810528"/>
          <a:ext cx="72000" cy="169536"/>
          <a:chOff x="8889969" y="717550"/>
          <a:chExt cx="95415" cy="260350"/>
        </a:xfrm>
      </xdr:grpSpPr>
      <xdr:sp macro="" textlink="">
        <xdr:nvSpPr>
          <xdr:cNvPr id="183" name="자유형: 도형 182">
            <a:extLst>
              <a:ext uri="{FF2B5EF4-FFF2-40B4-BE49-F238E27FC236}">
                <a16:creationId xmlns:a16="http://schemas.microsoft.com/office/drawing/2014/main" id="{1161E851-0081-14C6-2243-74A75E796E7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4" name="자유형: 도형 183">
            <a:extLst>
              <a:ext uri="{FF2B5EF4-FFF2-40B4-BE49-F238E27FC236}">
                <a16:creationId xmlns:a16="http://schemas.microsoft.com/office/drawing/2014/main" id="{386654F5-33FB-32C5-C169-F739F612AAC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15308</xdr:colOff>
      <xdr:row>107</xdr:row>
      <xdr:rowOff>20253</xdr:rowOff>
    </xdr:from>
    <xdr:to>
      <xdr:col>69</xdr:col>
      <xdr:colOff>87308</xdr:colOff>
      <xdr:row>107</xdr:row>
      <xdr:rowOff>196139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33FDC398-34BB-44C8-A2D9-B0F36289E83D}"/>
            </a:ext>
          </a:extLst>
        </xdr:cNvPr>
        <xdr:cNvGrpSpPr/>
      </xdr:nvGrpSpPr>
      <xdr:grpSpPr>
        <a:xfrm>
          <a:off x="13251883" y="23801003"/>
          <a:ext cx="72000" cy="179061"/>
          <a:chOff x="8889969" y="717550"/>
          <a:chExt cx="95415" cy="260350"/>
        </a:xfrm>
      </xdr:grpSpPr>
      <xdr:sp macro="" textlink="">
        <xdr:nvSpPr>
          <xdr:cNvPr id="186" name="자유형: 도형 185">
            <a:extLst>
              <a:ext uri="{FF2B5EF4-FFF2-40B4-BE49-F238E27FC236}">
                <a16:creationId xmlns:a16="http://schemas.microsoft.com/office/drawing/2014/main" id="{3E2DA3D6-FF21-F2FE-00B2-8C252CE9123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7" name="자유형: 도형 186">
            <a:extLst>
              <a:ext uri="{FF2B5EF4-FFF2-40B4-BE49-F238E27FC236}">
                <a16:creationId xmlns:a16="http://schemas.microsoft.com/office/drawing/2014/main" id="{584491AD-19AC-5273-EB3E-121AC29D631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15860</xdr:colOff>
      <xdr:row>107</xdr:row>
      <xdr:rowOff>7001</xdr:rowOff>
    </xdr:from>
    <xdr:to>
      <xdr:col>96</xdr:col>
      <xdr:colOff>87860</xdr:colOff>
      <xdr:row>107</xdr:row>
      <xdr:rowOff>182887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D1C256B5-9880-44D6-900F-2604AA356D5D}"/>
            </a:ext>
          </a:extLst>
        </xdr:cNvPr>
        <xdr:cNvGrpSpPr/>
      </xdr:nvGrpSpPr>
      <xdr:grpSpPr>
        <a:xfrm>
          <a:off x="15538435" y="23790926"/>
          <a:ext cx="72000" cy="169536"/>
          <a:chOff x="8889969" y="717550"/>
          <a:chExt cx="95415" cy="260350"/>
        </a:xfrm>
      </xdr:grpSpPr>
      <xdr:sp macro="" textlink="">
        <xdr:nvSpPr>
          <xdr:cNvPr id="189" name="자유형: 도형 188">
            <a:extLst>
              <a:ext uri="{FF2B5EF4-FFF2-40B4-BE49-F238E27FC236}">
                <a16:creationId xmlns:a16="http://schemas.microsoft.com/office/drawing/2014/main" id="{E055CDB8-AED6-FE30-8580-15DA0B57152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5261A3D4-534C-A403-381E-E4A2313CCCE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48</xdr:col>
      <xdr:colOff>7853</xdr:colOff>
      <xdr:row>101</xdr:row>
      <xdr:rowOff>26604</xdr:rowOff>
    </xdr:from>
    <xdr:to>
      <xdr:col>48</xdr:col>
      <xdr:colOff>79853</xdr:colOff>
      <xdr:row>101</xdr:row>
      <xdr:rowOff>202490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330EB19E-B5CF-4339-B72B-AE5D899586D5}"/>
            </a:ext>
          </a:extLst>
        </xdr:cNvPr>
        <xdr:cNvGrpSpPr/>
      </xdr:nvGrpSpPr>
      <xdr:grpSpPr>
        <a:xfrm>
          <a:off x="11472778" y="22477029"/>
          <a:ext cx="72000" cy="169536"/>
          <a:chOff x="8889969" y="717550"/>
          <a:chExt cx="95415" cy="260350"/>
        </a:xfrm>
      </xdr:grpSpPr>
      <xdr:sp macro="" textlink="">
        <xdr:nvSpPr>
          <xdr:cNvPr id="192" name="자유형: 도형 191">
            <a:extLst>
              <a:ext uri="{FF2B5EF4-FFF2-40B4-BE49-F238E27FC236}">
                <a16:creationId xmlns:a16="http://schemas.microsoft.com/office/drawing/2014/main" id="{6AD25A02-B5A4-9C1E-37D5-6FAC1763CA3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3" name="자유형: 도형 192">
            <a:extLst>
              <a:ext uri="{FF2B5EF4-FFF2-40B4-BE49-F238E27FC236}">
                <a16:creationId xmlns:a16="http://schemas.microsoft.com/office/drawing/2014/main" id="{9323DD92-B08B-EB30-CFEF-462796F6334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56</xdr:col>
      <xdr:colOff>22210</xdr:colOff>
      <xdr:row>101</xdr:row>
      <xdr:rowOff>27156</xdr:rowOff>
    </xdr:from>
    <xdr:to>
      <xdr:col>56</xdr:col>
      <xdr:colOff>94210</xdr:colOff>
      <xdr:row>101</xdr:row>
      <xdr:rowOff>203042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30212E1A-8F8A-4036-9251-56A0A309F55F}"/>
            </a:ext>
          </a:extLst>
        </xdr:cNvPr>
        <xdr:cNvGrpSpPr/>
      </xdr:nvGrpSpPr>
      <xdr:grpSpPr>
        <a:xfrm>
          <a:off x="12161293" y="22477581"/>
          <a:ext cx="62475" cy="169536"/>
          <a:chOff x="8889969" y="717550"/>
          <a:chExt cx="95415" cy="260350"/>
        </a:xfrm>
      </xdr:grpSpPr>
      <xdr:sp macro="" textlink="">
        <xdr:nvSpPr>
          <xdr:cNvPr id="195" name="자유형: 도형 194">
            <a:extLst>
              <a:ext uri="{FF2B5EF4-FFF2-40B4-BE49-F238E27FC236}">
                <a16:creationId xmlns:a16="http://schemas.microsoft.com/office/drawing/2014/main" id="{03CE66CC-5BDC-D690-CDAD-04E1DA4B2D1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6" name="자유형: 도형 195">
            <a:extLst>
              <a:ext uri="{FF2B5EF4-FFF2-40B4-BE49-F238E27FC236}">
                <a16:creationId xmlns:a16="http://schemas.microsoft.com/office/drawing/2014/main" id="{21E5407A-915F-4C3E-B4FE-8528BB99F2D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64</xdr:col>
      <xdr:colOff>22762</xdr:colOff>
      <xdr:row>101</xdr:row>
      <xdr:rowOff>20806</xdr:rowOff>
    </xdr:from>
    <xdr:to>
      <xdr:col>64</xdr:col>
      <xdr:colOff>94762</xdr:colOff>
      <xdr:row>101</xdr:row>
      <xdr:rowOff>196692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161002FC-EED1-4709-9730-4B5343147695}"/>
            </a:ext>
          </a:extLst>
        </xdr:cNvPr>
        <xdr:cNvGrpSpPr/>
      </xdr:nvGrpSpPr>
      <xdr:grpSpPr>
        <a:xfrm>
          <a:off x="12842354" y="22468056"/>
          <a:ext cx="59300" cy="179061"/>
          <a:chOff x="8889969" y="717550"/>
          <a:chExt cx="95415" cy="260350"/>
        </a:xfrm>
      </xdr:grpSpPr>
      <xdr:sp macro="" textlink="">
        <xdr:nvSpPr>
          <xdr:cNvPr id="198" name="자유형: 도형 197">
            <a:extLst>
              <a:ext uri="{FF2B5EF4-FFF2-40B4-BE49-F238E27FC236}">
                <a16:creationId xmlns:a16="http://schemas.microsoft.com/office/drawing/2014/main" id="{87C7D47B-D701-B777-6DB8-44C86B3C54A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9" name="자유형: 도형 198">
            <a:extLst>
              <a:ext uri="{FF2B5EF4-FFF2-40B4-BE49-F238E27FC236}">
                <a16:creationId xmlns:a16="http://schemas.microsoft.com/office/drawing/2014/main" id="{2A37FAB2-A890-4F56-A00D-47E227BDBE3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57825</xdr:colOff>
      <xdr:row>101</xdr:row>
      <xdr:rowOff>35162</xdr:rowOff>
    </xdr:from>
    <xdr:to>
      <xdr:col>70</xdr:col>
      <xdr:colOff>19390</xdr:colOff>
      <xdr:row>101</xdr:row>
      <xdr:rowOff>211048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FDD512EE-ABB0-4F13-8FE8-8CBFD7DFB46C}"/>
            </a:ext>
          </a:extLst>
        </xdr:cNvPr>
        <xdr:cNvGrpSpPr/>
      </xdr:nvGrpSpPr>
      <xdr:grpSpPr>
        <a:xfrm>
          <a:off x="13297575" y="22482412"/>
          <a:ext cx="46232" cy="175886"/>
          <a:chOff x="8889969" y="717550"/>
          <a:chExt cx="95415" cy="260350"/>
        </a:xfrm>
      </xdr:grpSpPr>
      <xdr:sp macro="" textlink="">
        <xdr:nvSpPr>
          <xdr:cNvPr id="201" name="자유형: 도형 200">
            <a:extLst>
              <a:ext uri="{FF2B5EF4-FFF2-40B4-BE49-F238E27FC236}">
                <a16:creationId xmlns:a16="http://schemas.microsoft.com/office/drawing/2014/main" id="{FAA2B68F-96C3-AC0B-F2E8-C8D03710FB6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2" name="자유형: 도형 201">
            <a:extLst>
              <a:ext uri="{FF2B5EF4-FFF2-40B4-BE49-F238E27FC236}">
                <a16:creationId xmlns:a16="http://schemas.microsoft.com/office/drawing/2014/main" id="{F6D8AC8C-11F0-936E-A983-7B0DF54A2FE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16964</xdr:colOff>
      <xdr:row>101</xdr:row>
      <xdr:rowOff>28812</xdr:rowOff>
    </xdr:from>
    <xdr:to>
      <xdr:col>75</xdr:col>
      <xdr:colOff>88964</xdr:colOff>
      <xdr:row>101</xdr:row>
      <xdr:rowOff>204698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4E25E657-5B9C-4044-99CF-08CD3CEF5F6B}"/>
            </a:ext>
          </a:extLst>
        </xdr:cNvPr>
        <xdr:cNvGrpSpPr/>
      </xdr:nvGrpSpPr>
      <xdr:grpSpPr>
        <a:xfrm>
          <a:off x="13764714" y="22472887"/>
          <a:ext cx="68825" cy="175886"/>
          <a:chOff x="8889969" y="717550"/>
          <a:chExt cx="95415" cy="260350"/>
        </a:xfrm>
      </xdr:grpSpPr>
      <xdr:sp macro="" textlink="">
        <xdr:nvSpPr>
          <xdr:cNvPr id="204" name="자유형: 도형 203">
            <a:extLst>
              <a:ext uri="{FF2B5EF4-FFF2-40B4-BE49-F238E27FC236}">
                <a16:creationId xmlns:a16="http://schemas.microsoft.com/office/drawing/2014/main" id="{C7A72D02-E063-830F-C4EF-A1BE74F6CFA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5" name="자유형: 도형 204">
            <a:extLst>
              <a:ext uri="{FF2B5EF4-FFF2-40B4-BE49-F238E27FC236}">
                <a16:creationId xmlns:a16="http://schemas.microsoft.com/office/drawing/2014/main" id="{F78E876A-FC56-963B-B61F-31203905CF6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83</xdr:col>
      <xdr:colOff>17517</xdr:colOff>
      <xdr:row>101</xdr:row>
      <xdr:rowOff>29363</xdr:rowOff>
    </xdr:from>
    <xdr:to>
      <xdr:col>83</xdr:col>
      <xdr:colOff>89517</xdr:colOff>
      <xdr:row>101</xdr:row>
      <xdr:rowOff>205249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AB3CBCC2-8968-43C7-AFDF-854550D60175}"/>
            </a:ext>
          </a:extLst>
        </xdr:cNvPr>
        <xdr:cNvGrpSpPr/>
      </xdr:nvGrpSpPr>
      <xdr:grpSpPr>
        <a:xfrm>
          <a:off x="14442600" y="22473438"/>
          <a:ext cx="68825" cy="175886"/>
          <a:chOff x="8889969" y="717550"/>
          <a:chExt cx="95415" cy="260350"/>
        </a:xfrm>
      </xdr:grpSpPr>
      <xdr:sp macro="" textlink="">
        <xdr:nvSpPr>
          <xdr:cNvPr id="207" name="자유형: 도형 206">
            <a:extLst>
              <a:ext uri="{FF2B5EF4-FFF2-40B4-BE49-F238E27FC236}">
                <a16:creationId xmlns:a16="http://schemas.microsoft.com/office/drawing/2014/main" id="{58354027-EBCD-E401-7B81-30489E5BE9D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8" name="자유형: 도형 207">
            <a:extLst>
              <a:ext uri="{FF2B5EF4-FFF2-40B4-BE49-F238E27FC236}">
                <a16:creationId xmlns:a16="http://schemas.microsoft.com/office/drawing/2014/main" id="{BA308068-382A-3DC3-487C-3E3174018AC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91</xdr:col>
      <xdr:colOff>31874</xdr:colOff>
      <xdr:row>101</xdr:row>
      <xdr:rowOff>23013</xdr:rowOff>
    </xdr:from>
    <xdr:to>
      <xdr:col>92</xdr:col>
      <xdr:colOff>2274</xdr:colOff>
      <xdr:row>101</xdr:row>
      <xdr:rowOff>198899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20558869-8A17-459E-98E0-A15368955B03}"/>
            </a:ext>
          </a:extLst>
        </xdr:cNvPr>
        <xdr:cNvGrpSpPr/>
      </xdr:nvGrpSpPr>
      <xdr:grpSpPr>
        <a:xfrm>
          <a:off x="15131116" y="22473438"/>
          <a:ext cx="58241" cy="175886"/>
          <a:chOff x="8889969" y="717550"/>
          <a:chExt cx="95415" cy="260350"/>
        </a:xfrm>
      </xdr:grpSpPr>
      <xdr:sp macro="" textlink="">
        <xdr:nvSpPr>
          <xdr:cNvPr id="210" name="자유형: 도형 209">
            <a:extLst>
              <a:ext uri="{FF2B5EF4-FFF2-40B4-BE49-F238E27FC236}">
                <a16:creationId xmlns:a16="http://schemas.microsoft.com/office/drawing/2014/main" id="{FCB881AD-AC2C-B83C-F669-16D430453F3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1" name="자유형: 도형 210">
            <a:extLst>
              <a:ext uri="{FF2B5EF4-FFF2-40B4-BE49-F238E27FC236}">
                <a16:creationId xmlns:a16="http://schemas.microsoft.com/office/drawing/2014/main" id="{42F031F4-5134-BD26-640C-8751D8827CD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101447</xdr:colOff>
      <xdr:row>101</xdr:row>
      <xdr:rowOff>23565</xdr:rowOff>
    </xdr:from>
    <xdr:to>
      <xdr:col>97</xdr:col>
      <xdr:colOff>63012</xdr:colOff>
      <xdr:row>101</xdr:row>
      <xdr:rowOff>199451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8006B8F5-68D5-40C1-B7B6-DF580FAF6A27}"/>
            </a:ext>
          </a:extLst>
        </xdr:cNvPr>
        <xdr:cNvGrpSpPr/>
      </xdr:nvGrpSpPr>
      <xdr:grpSpPr>
        <a:xfrm>
          <a:off x="15611322" y="22473990"/>
          <a:ext cx="65282" cy="175886"/>
          <a:chOff x="8889969" y="717550"/>
          <a:chExt cx="95415" cy="260350"/>
        </a:xfrm>
      </xdr:grpSpPr>
      <xdr:sp macro="" textlink="">
        <xdr:nvSpPr>
          <xdr:cNvPr id="213" name="자유형: 도형 212">
            <a:extLst>
              <a:ext uri="{FF2B5EF4-FFF2-40B4-BE49-F238E27FC236}">
                <a16:creationId xmlns:a16="http://schemas.microsoft.com/office/drawing/2014/main" id="{CBC77850-8957-A320-6FE6-FD5607E6BB4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4" name="자유형: 도형 213">
            <a:extLst>
              <a:ext uri="{FF2B5EF4-FFF2-40B4-BE49-F238E27FC236}">
                <a16:creationId xmlns:a16="http://schemas.microsoft.com/office/drawing/2014/main" id="{45318CB2-E4F3-DFA8-E0DA-B376E42821D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102</xdr:col>
      <xdr:colOff>5368</xdr:colOff>
      <xdr:row>101</xdr:row>
      <xdr:rowOff>31020</xdr:rowOff>
    </xdr:from>
    <xdr:to>
      <xdr:col>102</xdr:col>
      <xdr:colOff>77368</xdr:colOff>
      <xdr:row>101</xdr:row>
      <xdr:rowOff>206906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E54CC40-DE98-411C-ACDE-9C2CE65679B6}"/>
            </a:ext>
          </a:extLst>
        </xdr:cNvPr>
        <xdr:cNvGrpSpPr/>
      </xdr:nvGrpSpPr>
      <xdr:grpSpPr>
        <a:xfrm>
          <a:off x="16042293" y="22475095"/>
          <a:ext cx="68825" cy="179061"/>
          <a:chOff x="8889969" y="717550"/>
          <a:chExt cx="95415" cy="260350"/>
        </a:xfrm>
      </xdr:grpSpPr>
      <xdr:sp macro="" textlink="">
        <xdr:nvSpPr>
          <xdr:cNvPr id="216" name="자유형: 도형 215">
            <a:extLst>
              <a:ext uri="{FF2B5EF4-FFF2-40B4-BE49-F238E27FC236}">
                <a16:creationId xmlns:a16="http://schemas.microsoft.com/office/drawing/2014/main" id="{B206FE4E-13AE-402A-8FD3-7DF8729A75F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7" name="자유형: 도형 216">
            <a:extLst>
              <a:ext uri="{FF2B5EF4-FFF2-40B4-BE49-F238E27FC236}">
                <a16:creationId xmlns:a16="http://schemas.microsoft.com/office/drawing/2014/main" id="{82889A7A-D2AC-DE13-67BB-6AAE4291B9D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22210</xdr:colOff>
      <xdr:row>111</xdr:row>
      <xdr:rowOff>6449</xdr:rowOff>
    </xdr:from>
    <xdr:to>
      <xdr:col>69</xdr:col>
      <xdr:colOff>94210</xdr:colOff>
      <xdr:row>111</xdr:row>
      <xdr:rowOff>182335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20CB6545-A1D8-4BCF-9C06-60F070D5D0A1}"/>
            </a:ext>
          </a:extLst>
        </xdr:cNvPr>
        <xdr:cNvGrpSpPr/>
      </xdr:nvGrpSpPr>
      <xdr:grpSpPr>
        <a:xfrm>
          <a:off x="13261960" y="24679374"/>
          <a:ext cx="62475" cy="169536"/>
          <a:chOff x="8889969" y="717550"/>
          <a:chExt cx="95415" cy="260350"/>
        </a:xfrm>
      </xdr:grpSpPr>
      <xdr:sp macro="" textlink="">
        <xdr:nvSpPr>
          <xdr:cNvPr id="219" name="자유형: 도형 218">
            <a:extLst>
              <a:ext uri="{FF2B5EF4-FFF2-40B4-BE49-F238E27FC236}">
                <a16:creationId xmlns:a16="http://schemas.microsoft.com/office/drawing/2014/main" id="{C515170F-A07C-51CA-2F4E-C4222FBA1EC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0" name="자유형: 도형 219">
            <a:extLst>
              <a:ext uri="{FF2B5EF4-FFF2-40B4-BE49-F238E27FC236}">
                <a16:creationId xmlns:a16="http://schemas.microsoft.com/office/drawing/2014/main" id="{D5146DB9-86E9-0E82-A3D8-034CFA41D3C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29664</xdr:colOff>
      <xdr:row>111</xdr:row>
      <xdr:rowOff>7002</xdr:rowOff>
    </xdr:from>
    <xdr:to>
      <xdr:col>97</xdr:col>
      <xdr:colOff>64</xdr:colOff>
      <xdr:row>111</xdr:row>
      <xdr:rowOff>182888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4D391435-B988-46B0-A420-106FA4741D64}"/>
            </a:ext>
          </a:extLst>
        </xdr:cNvPr>
        <xdr:cNvGrpSpPr/>
      </xdr:nvGrpSpPr>
      <xdr:grpSpPr>
        <a:xfrm>
          <a:off x="15552239" y="24679927"/>
          <a:ext cx="58242" cy="169536"/>
          <a:chOff x="8889969" y="717550"/>
          <a:chExt cx="95415" cy="260350"/>
        </a:xfrm>
      </xdr:grpSpPr>
      <xdr:sp macro="" textlink="">
        <xdr:nvSpPr>
          <xdr:cNvPr id="222" name="자유형: 도형 221">
            <a:extLst>
              <a:ext uri="{FF2B5EF4-FFF2-40B4-BE49-F238E27FC236}">
                <a16:creationId xmlns:a16="http://schemas.microsoft.com/office/drawing/2014/main" id="{11738553-0D57-2794-45DC-F6176267F4E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3" name="자유형: 도형 222">
            <a:extLst>
              <a:ext uri="{FF2B5EF4-FFF2-40B4-BE49-F238E27FC236}">
                <a16:creationId xmlns:a16="http://schemas.microsoft.com/office/drawing/2014/main" id="{FA525ED2-6AE3-98A1-4676-8F3C66CAE34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56</xdr:col>
      <xdr:colOff>22210</xdr:colOff>
      <xdr:row>109</xdr:row>
      <xdr:rowOff>27156</xdr:rowOff>
    </xdr:from>
    <xdr:to>
      <xdr:col>56</xdr:col>
      <xdr:colOff>94210</xdr:colOff>
      <xdr:row>109</xdr:row>
      <xdr:rowOff>203042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D16D3441-C71B-4997-BBF5-72DD565C94B6}"/>
            </a:ext>
          </a:extLst>
        </xdr:cNvPr>
        <xdr:cNvGrpSpPr/>
      </xdr:nvGrpSpPr>
      <xdr:grpSpPr>
        <a:xfrm>
          <a:off x="12161293" y="24255581"/>
          <a:ext cx="62475" cy="169536"/>
          <a:chOff x="8889969" y="717550"/>
          <a:chExt cx="95415" cy="260350"/>
        </a:xfrm>
      </xdr:grpSpPr>
      <xdr:sp macro="" textlink="">
        <xdr:nvSpPr>
          <xdr:cNvPr id="225" name="자유형: 도형 224">
            <a:extLst>
              <a:ext uri="{FF2B5EF4-FFF2-40B4-BE49-F238E27FC236}">
                <a16:creationId xmlns:a16="http://schemas.microsoft.com/office/drawing/2014/main" id="{57BB7A2E-E016-D1CB-C304-5275456C19A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6" name="자유형: 도형 225">
            <a:extLst>
              <a:ext uri="{FF2B5EF4-FFF2-40B4-BE49-F238E27FC236}">
                <a16:creationId xmlns:a16="http://schemas.microsoft.com/office/drawing/2014/main" id="{186DE749-004F-6108-5413-12723B33C0B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64</xdr:col>
      <xdr:colOff>22762</xdr:colOff>
      <xdr:row>109</xdr:row>
      <xdr:rowOff>20806</xdr:rowOff>
    </xdr:from>
    <xdr:to>
      <xdr:col>64</xdr:col>
      <xdr:colOff>94762</xdr:colOff>
      <xdr:row>109</xdr:row>
      <xdr:rowOff>196692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4C33A2F1-DC20-4AA1-95FB-175BEDE22D0D}"/>
            </a:ext>
          </a:extLst>
        </xdr:cNvPr>
        <xdr:cNvGrpSpPr/>
      </xdr:nvGrpSpPr>
      <xdr:grpSpPr>
        <a:xfrm>
          <a:off x="12842354" y="24246056"/>
          <a:ext cx="59300" cy="179061"/>
          <a:chOff x="8889969" y="717550"/>
          <a:chExt cx="95415" cy="260350"/>
        </a:xfrm>
      </xdr:grpSpPr>
      <xdr:sp macro="" textlink="">
        <xdr:nvSpPr>
          <xdr:cNvPr id="228" name="자유형: 도형 227">
            <a:extLst>
              <a:ext uri="{FF2B5EF4-FFF2-40B4-BE49-F238E27FC236}">
                <a16:creationId xmlns:a16="http://schemas.microsoft.com/office/drawing/2014/main" id="{EDB0F308-EAFD-9126-EA29-82E857DBC76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9" name="자유형: 도형 228">
            <a:extLst>
              <a:ext uri="{FF2B5EF4-FFF2-40B4-BE49-F238E27FC236}">
                <a16:creationId xmlns:a16="http://schemas.microsoft.com/office/drawing/2014/main" id="{5251B8DF-A80F-132E-CB30-1AEA9ED9204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57825</xdr:colOff>
      <xdr:row>109</xdr:row>
      <xdr:rowOff>35162</xdr:rowOff>
    </xdr:from>
    <xdr:to>
      <xdr:col>70</xdr:col>
      <xdr:colOff>19390</xdr:colOff>
      <xdr:row>109</xdr:row>
      <xdr:rowOff>211048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919D3EEA-7DDD-4412-AE8B-FC0D9979B3A8}"/>
            </a:ext>
          </a:extLst>
        </xdr:cNvPr>
        <xdr:cNvGrpSpPr/>
      </xdr:nvGrpSpPr>
      <xdr:grpSpPr>
        <a:xfrm>
          <a:off x="13297575" y="24260412"/>
          <a:ext cx="46232" cy="175886"/>
          <a:chOff x="8889969" y="717550"/>
          <a:chExt cx="95415" cy="260350"/>
        </a:xfrm>
      </xdr:grpSpPr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2E9AC2F1-EA7E-7C59-F7C6-C08A34078C7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2" name="자유형: 도형 231">
            <a:extLst>
              <a:ext uri="{FF2B5EF4-FFF2-40B4-BE49-F238E27FC236}">
                <a16:creationId xmlns:a16="http://schemas.microsoft.com/office/drawing/2014/main" id="{0CAC5507-EA00-0E0C-5DC1-C0C44573787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16964</xdr:colOff>
      <xdr:row>109</xdr:row>
      <xdr:rowOff>28812</xdr:rowOff>
    </xdr:from>
    <xdr:to>
      <xdr:col>75</xdr:col>
      <xdr:colOff>88964</xdr:colOff>
      <xdr:row>109</xdr:row>
      <xdr:rowOff>204698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39DB1179-10AC-4F29-868A-47CEC7F6D48E}"/>
            </a:ext>
          </a:extLst>
        </xdr:cNvPr>
        <xdr:cNvGrpSpPr/>
      </xdr:nvGrpSpPr>
      <xdr:grpSpPr>
        <a:xfrm>
          <a:off x="13764714" y="24250887"/>
          <a:ext cx="68825" cy="175886"/>
          <a:chOff x="8889969" y="717550"/>
          <a:chExt cx="95415" cy="260350"/>
        </a:xfrm>
      </xdr:grpSpPr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C735E3BA-93AD-E261-D541-6774BD38A17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5" name="자유형: 도형 234">
            <a:extLst>
              <a:ext uri="{FF2B5EF4-FFF2-40B4-BE49-F238E27FC236}">
                <a16:creationId xmlns:a16="http://schemas.microsoft.com/office/drawing/2014/main" id="{9B4934CB-13B3-1806-BEC8-FED5B4AE1B1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83</xdr:col>
      <xdr:colOff>17517</xdr:colOff>
      <xdr:row>109</xdr:row>
      <xdr:rowOff>29363</xdr:rowOff>
    </xdr:from>
    <xdr:to>
      <xdr:col>83</xdr:col>
      <xdr:colOff>89517</xdr:colOff>
      <xdr:row>109</xdr:row>
      <xdr:rowOff>205249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615F9664-BAA1-49F5-84F1-C76EFE995365}"/>
            </a:ext>
          </a:extLst>
        </xdr:cNvPr>
        <xdr:cNvGrpSpPr/>
      </xdr:nvGrpSpPr>
      <xdr:grpSpPr>
        <a:xfrm>
          <a:off x="14442600" y="24251438"/>
          <a:ext cx="68825" cy="175886"/>
          <a:chOff x="8889969" y="717550"/>
          <a:chExt cx="95415" cy="260350"/>
        </a:xfrm>
      </xdr:grpSpPr>
      <xdr:sp macro="" textlink="">
        <xdr:nvSpPr>
          <xdr:cNvPr id="237" name="자유형: 도형 236">
            <a:extLst>
              <a:ext uri="{FF2B5EF4-FFF2-40B4-BE49-F238E27FC236}">
                <a16:creationId xmlns:a16="http://schemas.microsoft.com/office/drawing/2014/main" id="{3490DBC0-C6D8-9351-53E9-381A5F603FE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8" name="자유형: 도형 237">
            <a:extLst>
              <a:ext uri="{FF2B5EF4-FFF2-40B4-BE49-F238E27FC236}">
                <a16:creationId xmlns:a16="http://schemas.microsoft.com/office/drawing/2014/main" id="{5DE40B8C-93D7-E727-AE45-627D882A09A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91</xdr:col>
      <xdr:colOff>31874</xdr:colOff>
      <xdr:row>109</xdr:row>
      <xdr:rowOff>23013</xdr:rowOff>
    </xdr:from>
    <xdr:to>
      <xdr:col>92</xdr:col>
      <xdr:colOff>2274</xdr:colOff>
      <xdr:row>109</xdr:row>
      <xdr:rowOff>198899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C2D3ECD1-FE38-4F2B-9517-E1C1C0CF9AB8}"/>
            </a:ext>
          </a:extLst>
        </xdr:cNvPr>
        <xdr:cNvGrpSpPr/>
      </xdr:nvGrpSpPr>
      <xdr:grpSpPr>
        <a:xfrm>
          <a:off x="15131116" y="24251438"/>
          <a:ext cx="58241" cy="175886"/>
          <a:chOff x="8889969" y="717550"/>
          <a:chExt cx="95415" cy="260350"/>
        </a:xfrm>
      </xdr:grpSpPr>
      <xdr:sp macro="" textlink="">
        <xdr:nvSpPr>
          <xdr:cNvPr id="240" name="자유형: 도형 239">
            <a:extLst>
              <a:ext uri="{FF2B5EF4-FFF2-40B4-BE49-F238E27FC236}">
                <a16:creationId xmlns:a16="http://schemas.microsoft.com/office/drawing/2014/main" id="{B96DC2C2-08EC-62E7-AEA3-EAE1B75A0EA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1" name="자유형: 도형 240">
            <a:extLst>
              <a:ext uri="{FF2B5EF4-FFF2-40B4-BE49-F238E27FC236}">
                <a16:creationId xmlns:a16="http://schemas.microsoft.com/office/drawing/2014/main" id="{B5D486C4-9DD0-F3A2-CFDB-BA2E101FDE8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101447</xdr:colOff>
      <xdr:row>109</xdr:row>
      <xdr:rowOff>23565</xdr:rowOff>
    </xdr:from>
    <xdr:to>
      <xdr:col>97</xdr:col>
      <xdr:colOff>63012</xdr:colOff>
      <xdr:row>109</xdr:row>
      <xdr:rowOff>199451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9D38AB77-DF99-427C-A8A2-6A7BAD14BD3F}"/>
            </a:ext>
          </a:extLst>
        </xdr:cNvPr>
        <xdr:cNvGrpSpPr/>
      </xdr:nvGrpSpPr>
      <xdr:grpSpPr>
        <a:xfrm>
          <a:off x="15611322" y="24251990"/>
          <a:ext cx="65282" cy="175886"/>
          <a:chOff x="8889969" y="717550"/>
          <a:chExt cx="95415" cy="260350"/>
        </a:xfrm>
      </xdr:grpSpPr>
      <xdr:sp macro="" textlink="">
        <xdr:nvSpPr>
          <xdr:cNvPr id="243" name="자유형: 도형 242">
            <a:extLst>
              <a:ext uri="{FF2B5EF4-FFF2-40B4-BE49-F238E27FC236}">
                <a16:creationId xmlns:a16="http://schemas.microsoft.com/office/drawing/2014/main" id="{2B4D767C-6023-1CF6-BC57-C8CF6BA7827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4" name="자유형: 도형 243">
            <a:extLst>
              <a:ext uri="{FF2B5EF4-FFF2-40B4-BE49-F238E27FC236}">
                <a16:creationId xmlns:a16="http://schemas.microsoft.com/office/drawing/2014/main" id="{C3DDABBE-F972-F66C-CFB7-BF540488478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102</xdr:col>
      <xdr:colOff>5368</xdr:colOff>
      <xdr:row>109</xdr:row>
      <xdr:rowOff>31020</xdr:rowOff>
    </xdr:from>
    <xdr:to>
      <xdr:col>102</xdr:col>
      <xdr:colOff>77368</xdr:colOff>
      <xdr:row>109</xdr:row>
      <xdr:rowOff>206906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6E3E2EE2-313E-4A21-B92D-A21B32A93974}"/>
            </a:ext>
          </a:extLst>
        </xdr:cNvPr>
        <xdr:cNvGrpSpPr/>
      </xdr:nvGrpSpPr>
      <xdr:grpSpPr>
        <a:xfrm>
          <a:off x="16042293" y="24253095"/>
          <a:ext cx="68825" cy="179061"/>
          <a:chOff x="8889969" y="717550"/>
          <a:chExt cx="95415" cy="260350"/>
        </a:xfrm>
      </xdr:grpSpPr>
      <xdr:sp macro="" textlink="">
        <xdr:nvSpPr>
          <xdr:cNvPr id="246" name="자유형: 도형 245">
            <a:extLst>
              <a:ext uri="{FF2B5EF4-FFF2-40B4-BE49-F238E27FC236}">
                <a16:creationId xmlns:a16="http://schemas.microsoft.com/office/drawing/2014/main" id="{9C3136EB-428D-1279-9046-7F0DE1E0915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7" name="자유형: 도형 246">
            <a:extLst>
              <a:ext uri="{FF2B5EF4-FFF2-40B4-BE49-F238E27FC236}">
                <a16:creationId xmlns:a16="http://schemas.microsoft.com/office/drawing/2014/main" id="{9493E003-F2EB-14C9-AB95-EBCF1008F1C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22762</xdr:colOff>
      <xdr:row>115</xdr:row>
      <xdr:rowOff>99</xdr:rowOff>
    </xdr:from>
    <xdr:to>
      <xdr:col>96</xdr:col>
      <xdr:colOff>94762</xdr:colOff>
      <xdr:row>115</xdr:row>
      <xdr:rowOff>175985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83BA1456-2F9C-4EB2-8A57-332FE0BDEC22}"/>
            </a:ext>
          </a:extLst>
        </xdr:cNvPr>
        <xdr:cNvGrpSpPr/>
      </xdr:nvGrpSpPr>
      <xdr:grpSpPr>
        <a:xfrm>
          <a:off x="15551687" y="25558849"/>
          <a:ext cx="59300" cy="179061"/>
          <a:chOff x="8889969" y="717550"/>
          <a:chExt cx="95415" cy="260350"/>
        </a:xfrm>
      </xdr:grpSpPr>
      <xdr:sp macro="" textlink="">
        <xdr:nvSpPr>
          <xdr:cNvPr id="249" name="자유형: 도형 248">
            <a:extLst>
              <a:ext uri="{FF2B5EF4-FFF2-40B4-BE49-F238E27FC236}">
                <a16:creationId xmlns:a16="http://schemas.microsoft.com/office/drawing/2014/main" id="{C1BBCA7A-EA5D-F567-9B62-374CD17143B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0" name="자유형: 도형 249">
            <a:extLst>
              <a:ext uri="{FF2B5EF4-FFF2-40B4-BE49-F238E27FC236}">
                <a16:creationId xmlns:a16="http://schemas.microsoft.com/office/drawing/2014/main" id="{A01BA076-F8E9-5A21-BD8D-3C48D8C0A03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83</xdr:col>
      <xdr:colOff>17517</xdr:colOff>
      <xdr:row>113</xdr:row>
      <xdr:rowOff>29363</xdr:rowOff>
    </xdr:from>
    <xdr:to>
      <xdr:col>83</xdr:col>
      <xdr:colOff>89517</xdr:colOff>
      <xdr:row>113</xdr:row>
      <xdr:rowOff>205249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F0731B29-9B77-4363-A232-3AC0B51D853E}"/>
            </a:ext>
          </a:extLst>
        </xdr:cNvPr>
        <xdr:cNvGrpSpPr/>
      </xdr:nvGrpSpPr>
      <xdr:grpSpPr>
        <a:xfrm>
          <a:off x="14442600" y="25140438"/>
          <a:ext cx="68825" cy="175886"/>
          <a:chOff x="8889969" y="717550"/>
          <a:chExt cx="95415" cy="260350"/>
        </a:xfrm>
      </xdr:grpSpPr>
      <xdr:sp macro="" textlink="">
        <xdr:nvSpPr>
          <xdr:cNvPr id="252" name="자유형: 도형 251">
            <a:extLst>
              <a:ext uri="{FF2B5EF4-FFF2-40B4-BE49-F238E27FC236}">
                <a16:creationId xmlns:a16="http://schemas.microsoft.com/office/drawing/2014/main" id="{2DCC2CD1-BFF8-55B9-8D61-6BC3966AABB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3" name="자유형: 도형 252">
            <a:extLst>
              <a:ext uri="{FF2B5EF4-FFF2-40B4-BE49-F238E27FC236}">
                <a16:creationId xmlns:a16="http://schemas.microsoft.com/office/drawing/2014/main" id="{5E845BE3-140E-8EB5-0298-7C7A2A14A54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91</xdr:col>
      <xdr:colOff>31874</xdr:colOff>
      <xdr:row>113</xdr:row>
      <xdr:rowOff>23013</xdr:rowOff>
    </xdr:from>
    <xdr:to>
      <xdr:col>92</xdr:col>
      <xdr:colOff>2274</xdr:colOff>
      <xdr:row>113</xdr:row>
      <xdr:rowOff>198899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7853A252-16F3-4E7A-B1F6-F4652337F17C}"/>
            </a:ext>
          </a:extLst>
        </xdr:cNvPr>
        <xdr:cNvGrpSpPr/>
      </xdr:nvGrpSpPr>
      <xdr:grpSpPr>
        <a:xfrm>
          <a:off x="15131116" y="25140438"/>
          <a:ext cx="58241" cy="175886"/>
          <a:chOff x="8889969" y="717550"/>
          <a:chExt cx="95415" cy="260350"/>
        </a:xfrm>
      </xdr:grpSpPr>
      <xdr:sp macro="" textlink="">
        <xdr:nvSpPr>
          <xdr:cNvPr id="255" name="자유형: 도형 254">
            <a:extLst>
              <a:ext uri="{FF2B5EF4-FFF2-40B4-BE49-F238E27FC236}">
                <a16:creationId xmlns:a16="http://schemas.microsoft.com/office/drawing/2014/main" id="{6476E9A7-7483-BCCC-6CCA-9F2E7CFB356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6" name="자유형: 도형 255">
            <a:extLst>
              <a:ext uri="{FF2B5EF4-FFF2-40B4-BE49-F238E27FC236}">
                <a16:creationId xmlns:a16="http://schemas.microsoft.com/office/drawing/2014/main" id="{80D809AC-3081-7374-24BC-0AE88F7780E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101447</xdr:colOff>
      <xdr:row>113</xdr:row>
      <xdr:rowOff>23565</xdr:rowOff>
    </xdr:from>
    <xdr:to>
      <xdr:col>97</xdr:col>
      <xdr:colOff>63012</xdr:colOff>
      <xdr:row>113</xdr:row>
      <xdr:rowOff>199451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2BAAA082-EFE3-4ED5-B925-C270DA8951C9}"/>
            </a:ext>
          </a:extLst>
        </xdr:cNvPr>
        <xdr:cNvGrpSpPr/>
      </xdr:nvGrpSpPr>
      <xdr:grpSpPr>
        <a:xfrm>
          <a:off x="15611322" y="25140990"/>
          <a:ext cx="65282" cy="175886"/>
          <a:chOff x="8889969" y="717550"/>
          <a:chExt cx="95415" cy="260350"/>
        </a:xfrm>
      </xdr:grpSpPr>
      <xdr:sp macro="" textlink="">
        <xdr:nvSpPr>
          <xdr:cNvPr id="258" name="자유형: 도형 257">
            <a:extLst>
              <a:ext uri="{FF2B5EF4-FFF2-40B4-BE49-F238E27FC236}">
                <a16:creationId xmlns:a16="http://schemas.microsoft.com/office/drawing/2014/main" id="{19B25302-8F81-B44A-4E75-ACDA41E2748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9" name="자유형: 도형 258">
            <a:extLst>
              <a:ext uri="{FF2B5EF4-FFF2-40B4-BE49-F238E27FC236}">
                <a16:creationId xmlns:a16="http://schemas.microsoft.com/office/drawing/2014/main" id="{9045675B-86B1-6EA8-4541-9040DFD85E1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102</xdr:col>
      <xdr:colOff>5368</xdr:colOff>
      <xdr:row>113</xdr:row>
      <xdr:rowOff>31020</xdr:rowOff>
    </xdr:from>
    <xdr:to>
      <xdr:col>102</xdr:col>
      <xdr:colOff>77368</xdr:colOff>
      <xdr:row>113</xdr:row>
      <xdr:rowOff>206906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E51A0618-1D36-4F79-ABBB-0BB4749F337A}"/>
            </a:ext>
          </a:extLst>
        </xdr:cNvPr>
        <xdr:cNvGrpSpPr/>
      </xdr:nvGrpSpPr>
      <xdr:grpSpPr>
        <a:xfrm>
          <a:off x="16042293" y="25142095"/>
          <a:ext cx="68825" cy="179061"/>
          <a:chOff x="8889969" y="717550"/>
          <a:chExt cx="95415" cy="260350"/>
        </a:xfrm>
      </xdr:grpSpPr>
      <xdr:sp macro="" textlink="">
        <xdr:nvSpPr>
          <xdr:cNvPr id="261" name="자유형: 도형 260">
            <a:extLst>
              <a:ext uri="{FF2B5EF4-FFF2-40B4-BE49-F238E27FC236}">
                <a16:creationId xmlns:a16="http://schemas.microsoft.com/office/drawing/2014/main" id="{1CB69FD1-B8DC-2354-1E89-956AD382A12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2" name="자유형: 도형 261">
            <a:extLst>
              <a:ext uri="{FF2B5EF4-FFF2-40B4-BE49-F238E27FC236}">
                <a16:creationId xmlns:a16="http://schemas.microsoft.com/office/drawing/2014/main" id="{D33F21F1-73C7-B9AC-C0D5-BF540DBD62B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23131</xdr:colOff>
      <xdr:row>62</xdr:row>
      <xdr:rowOff>21666</xdr:rowOff>
    </xdr:from>
    <xdr:to>
      <xdr:col>45</xdr:col>
      <xdr:colOff>95131</xdr:colOff>
      <xdr:row>62</xdr:row>
      <xdr:rowOff>197552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852A57EC-D8E2-4119-BD87-24D96788DA8C}"/>
            </a:ext>
          </a:extLst>
        </xdr:cNvPr>
        <xdr:cNvGrpSpPr/>
      </xdr:nvGrpSpPr>
      <xdr:grpSpPr>
        <a:xfrm>
          <a:off x="11234056" y="13801166"/>
          <a:ext cx="59300" cy="179061"/>
          <a:chOff x="8889969" y="717550"/>
          <a:chExt cx="95415" cy="260350"/>
        </a:xfrm>
      </xdr:grpSpPr>
      <xdr:sp macro="" textlink="">
        <xdr:nvSpPr>
          <xdr:cNvPr id="264" name="자유형: 도형 263">
            <a:extLst>
              <a:ext uri="{FF2B5EF4-FFF2-40B4-BE49-F238E27FC236}">
                <a16:creationId xmlns:a16="http://schemas.microsoft.com/office/drawing/2014/main" id="{426BD796-6C77-DFAC-3444-21E819A4CEA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5" name="자유형: 도형 264">
            <a:extLst>
              <a:ext uri="{FF2B5EF4-FFF2-40B4-BE49-F238E27FC236}">
                <a16:creationId xmlns:a16="http://schemas.microsoft.com/office/drawing/2014/main" id="{C59C5CBD-2DBC-507D-C868-CF283D8EF65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53</xdr:col>
      <xdr:colOff>23682</xdr:colOff>
      <xdr:row>62</xdr:row>
      <xdr:rowOff>42924</xdr:rowOff>
    </xdr:from>
    <xdr:to>
      <xdr:col>53</xdr:col>
      <xdr:colOff>95682</xdr:colOff>
      <xdr:row>63</xdr:row>
      <xdr:rowOff>4842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73C7FC54-358A-46E1-9A82-8627DB721014}"/>
            </a:ext>
          </a:extLst>
        </xdr:cNvPr>
        <xdr:cNvGrpSpPr/>
      </xdr:nvGrpSpPr>
      <xdr:grpSpPr>
        <a:xfrm>
          <a:off x="11911940" y="13825599"/>
          <a:ext cx="59300" cy="184168"/>
          <a:chOff x="8889969" y="717550"/>
          <a:chExt cx="95415" cy="260350"/>
        </a:xfrm>
      </xdr:grpSpPr>
      <xdr:sp macro="" textlink="">
        <xdr:nvSpPr>
          <xdr:cNvPr id="267" name="자유형: 도형 266">
            <a:extLst>
              <a:ext uri="{FF2B5EF4-FFF2-40B4-BE49-F238E27FC236}">
                <a16:creationId xmlns:a16="http://schemas.microsoft.com/office/drawing/2014/main" id="{B895A870-98D3-FDAD-31D8-D595EE3AE27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8" name="자유형: 도형 267">
            <a:extLst>
              <a:ext uri="{FF2B5EF4-FFF2-40B4-BE49-F238E27FC236}">
                <a16:creationId xmlns:a16="http://schemas.microsoft.com/office/drawing/2014/main" id="{DFEA38A2-9299-AA85-554B-20509EC5AE3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61</xdr:col>
      <xdr:colOff>24235</xdr:colOff>
      <xdr:row>62</xdr:row>
      <xdr:rowOff>43476</xdr:rowOff>
    </xdr:from>
    <xdr:to>
      <xdr:col>61</xdr:col>
      <xdr:colOff>96235</xdr:colOff>
      <xdr:row>63</xdr:row>
      <xdr:rowOff>5394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22A01B3D-C2FB-4AE0-8BCB-34099BD7E7F3}"/>
            </a:ext>
          </a:extLst>
        </xdr:cNvPr>
        <xdr:cNvGrpSpPr/>
      </xdr:nvGrpSpPr>
      <xdr:grpSpPr>
        <a:xfrm>
          <a:off x="12589827" y="13826151"/>
          <a:ext cx="59300" cy="184168"/>
          <a:chOff x="8889969" y="717550"/>
          <a:chExt cx="95415" cy="260350"/>
        </a:xfrm>
      </xdr:grpSpPr>
      <xdr:sp macro="" textlink="">
        <xdr:nvSpPr>
          <xdr:cNvPr id="270" name="자유형: 도형 269">
            <a:extLst>
              <a:ext uri="{FF2B5EF4-FFF2-40B4-BE49-F238E27FC236}">
                <a16:creationId xmlns:a16="http://schemas.microsoft.com/office/drawing/2014/main" id="{0F2CC7C3-7392-9F11-CB1B-FEBA586FBB9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1" name="자유형: 도형 270">
            <a:extLst>
              <a:ext uri="{FF2B5EF4-FFF2-40B4-BE49-F238E27FC236}">
                <a16:creationId xmlns:a16="http://schemas.microsoft.com/office/drawing/2014/main" id="{1486195D-3ECA-1D22-59C6-BB3D92CB037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10983</xdr:colOff>
      <xdr:row>62</xdr:row>
      <xdr:rowOff>37126</xdr:rowOff>
    </xdr:from>
    <xdr:to>
      <xdr:col>69</xdr:col>
      <xdr:colOff>82983</xdr:colOff>
      <xdr:row>62</xdr:row>
      <xdr:rowOff>213012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27F95F2B-3944-4ADB-94D3-B6403AE95DE6}"/>
            </a:ext>
          </a:extLst>
        </xdr:cNvPr>
        <xdr:cNvGrpSpPr/>
      </xdr:nvGrpSpPr>
      <xdr:grpSpPr>
        <a:xfrm>
          <a:off x="13247558" y="13816626"/>
          <a:ext cx="78350" cy="179061"/>
          <a:chOff x="8889969" y="717550"/>
          <a:chExt cx="95415" cy="260350"/>
        </a:xfrm>
      </xdr:grpSpPr>
      <xdr:sp macro="" textlink="">
        <xdr:nvSpPr>
          <xdr:cNvPr id="273" name="자유형: 도형 272">
            <a:extLst>
              <a:ext uri="{FF2B5EF4-FFF2-40B4-BE49-F238E27FC236}">
                <a16:creationId xmlns:a16="http://schemas.microsoft.com/office/drawing/2014/main" id="{54588C8B-E0FC-2CBB-9F4B-D22ECDF20E5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4" name="자유형: 도형 273">
            <a:extLst>
              <a:ext uri="{FF2B5EF4-FFF2-40B4-BE49-F238E27FC236}">
                <a16:creationId xmlns:a16="http://schemas.microsoft.com/office/drawing/2014/main" id="{79242567-F52D-59DC-C454-1CD80D435D8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77</xdr:col>
      <xdr:colOff>11535</xdr:colOff>
      <xdr:row>62</xdr:row>
      <xdr:rowOff>37679</xdr:rowOff>
    </xdr:from>
    <xdr:to>
      <xdr:col>77</xdr:col>
      <xdr:colOff>83535</xdr:colOff>
      <xdr:row>62</xdr:row>
      <xdr:rowOff>213565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1F169DA1-C098-4142-92F5-901DADCF3D8A}"/>
            </a:ext>
          </a:extLst>
        </xdr:cNvPr>
        <xdr:cNvGrpSpPr/>
      </xdr:nvGrpSpPr>
      <xdr:grpSpPr>
        <a:xfrm>
          <a:off x="13925443" y="13817179"/>
          <a:ext cx="78350" cy="179061"/>
          <a:chOff x="8889969" y="717550"/>
          <a:chExt cx="95415" cy="260350"/>
        </a:xfrm>
      </xdr:grpSpPr>
      <xdr:sp macro="" textlink="">
        <xdr:nvSpPr>
          <xdr:cNvPr id="276" name="자유형: 도형 275">
            <a:extLst>
              <a:ext uri="{FF2B5EF4-FFF2-40B4-BE49-F238E27FC236}">
                <a16:creationId xmlns:a16="http://schemas.microsoft.com/office/drawing/2014/main" id="{E8737D0B-9795-9E2F-AD48-730E3C7AFB9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7" name="자유형: 도형 276">
            <a:extLst>
              <a:ext uri="{FF2B5EF4-FFF2-40B4-BE49-F238E27FC236}">
                <a16:creationId xmlns:a16="http://schemas.microsoft.com/office/drawing/2014/main" id="{74878E13-1648-B70B-F88D-894402CAF2D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84</xdr:col>
      <xdr:colOff>94912</xdr:colOff>
      <xdr:row>62</xdr:row>
      <xdr:rowOff>31329</xdr:rowOff>
    </xdr:from>
    <xdr:to>
      <xdr:col>85</xdr:col>
      <xdr:colOff>56477</xdr:colOff>
      <xdr:row>62</xdr:row>
      <xdr:rowOff>207215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B35053D3-3B1B-4591-9064-E7CA9EE9DD31}"/>
            </a:ext>
          </a:extLst>
        </xdr:cNvPr>
        <xdr:cNvGrpSpPr/>
      </xdr:nvGrpSpPr>
      <xdr:grpSpPr>
        <a:xfrm>
          <a:off x="14595137" y="13807654"/>
          <a:ext cx="55757" cy="179061"/>
          <a:chOff x="8889969" y="717550"/>
          <a:chExt cx="95415" cy="260350"/>
        </a:xfrm>
      </xdr:grpSpPr>
      <xdr:sp macro="" textlink="">
        <xdr:nvSpPr>
          <xdr:cNvPr id="279" name="자유형: 도형 278">
            <a:extLst>
              <a:ext uri="{FF2B5EF4-FFF2-40B4-BE49-F238E27FC236}">
                <a16:creationId xmlns:a16="http://schemas.microsoft.com/office/drawing/2014/main" id="{DAABECB3-9203-7CAE-37CD-B23EFB8089E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0" name="자유형: 도형 279">
            <a:extLst>
              <a:ext uri="{FF2B5EF4-FFF2-40B4-BE49-F238E27FC236}">
                <a16:creationId xmlns:a16="http://schemas.microsoft.com/office/drawing/2014/main" id="{A3DAE299-4C29-0301-F664-BF3D26A9305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12638</xdr:colOff>
      <xdr:row>62</xdr:row>
      <xdr:rowOff>45686</xdr:rowOff>
    </xdr:from>
    <xdr:to>
      <xdr:col>93</xdr:col>
      <xdr:colOff>84638</xdr:colOff>
      <xdr:row>63</xdr:row>
      <xdr:rowOff>7604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988DC3AE-C8CE-456C-9694-5113956D2D4D}"/>
            </a:ext>
          </a:extLst>
        </xdr:cNvPr>
        <xdr:cNvGrpSpPr/>
      </xdr:nvGrpSpPr>
      <xdr:grpSpPr>
        <a:xfrm>
          <a:off x="15281213" y="13828361"/>
          <a:ext cx="78350" cy="184168"/>
          <a:chOff x="8889969" y="717550"/>
          <a:chExt cx="95415" cy="260350"/>
        </a:xfrm>
      </xdr:grpSpPr>
      <xdr:sp macro="" textlink="">
        <xdr:nvSpPr>
          <xdr:cNvPr id="282" name="자유형: 도형 281">
            <a:extLst>
              <a:ext uri="{FF2B5EF4-FFF2-40B4-BE49-F238E27FC236}">
                <a16:creationId xmlns:a16="http://schemas.microsoft.com/office/drawing/2014/main" id="{87F413B1-EF68-3C5C-5157-F5B0E6F3606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3" name="자유형: 도형 282">
            <a:extLst>
              <a:ext uri="{FF2B5EF4-FFF2-40B4-BE49-F238E27FC236}">
                <a16:creationId xmlns:a16="http://schemas.microsoft.com/office/drawing/2014/main" id="{8B1846D1-1931-9F2B-5527-36AE78521BB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1871</xdr:colOff>
      <xdr:row>62</xdr:row>
      <xdr:rowOff>39335</xdr:rowOff>
    </xdr:from>
    <xdr:to>
      <xdr:col>101</xdr:col>
      <xdr:colOff>71386</xdr:colOff>
      <xdr:row>63</xdr:row>
      <xdr:rowOff>1253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320DF0FD-5C1F-4716-A6AE-593185882329}"/>
            </a:ext>
          </a:extLst>
        </xdr:cNvPr>
        <xdr:cNvGrpSpPr/>
      </xdr:nvGrpSpPr>
      <xdr:grpSpPr>
        <a:xfrm>
          <a:off x="15950954" y="13818835"/>
          <a:ext cx="66340" cy="184168"/>
          <a:chOff x="8889969" y="717550"/>
          <a:chExt cx="95415" cy="260350"/>
        </a:xfrm>
      </xdr:grpSpPr>
      <xdr:sp macro="" textlink="">
        <xdr:nvSpPr>
          <xdr:cNvPr id="285" name="자유형: 도형 284">
            <a:extLst>
              <a:ext uri="{FF2B5EF4-FFF2-40B4-BE49-F238E27FC236}">
                <a16:creationId xmlns:a16="http://schemas.microsoft.com/office/drawing/2014/main" id="{0EBB9EB3-F06A-F5DC-7BD7-49F180373BB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6" name="자유형: 도형 285">
            <a:extLst>
              <a:ext uri="{FF2B5EF4-FFF2-40B4-BE49-F238E27FC236}">
                <a16:creationId xmlns:a16="http://schemas.microsoft.com/office/drawing/2014/main" id="{788A358C-32BE-1EEB-AF3E-0248BF77AD0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24787</xdr:colOff>
      <xdr:row>66</xdr:row>
      <xdr:rowOff>23321</xdr:rowOff>
    </xdr:from>
    <xdr:to>
      <xdr:col>85</xdr:col>
      <xdr:colOff>96787</xdr:colOff>
      <xdr:row>66</xdr:row>
      <xdr:rowOff>199207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B373B98D-9393-4506-B677-DA45DC25AA7E}"/>
            </a:ext>
          </a:extLst>
        </xdr:cNvPr>
        <xdr:cNvGrpSpPr/>
      </xdr:nvGrpSpPr>
      <xdr:grpSpPr>
        <a:xfrm>
          <a:off x="14622379" y="14694996"/>
          <a:ext cx="59300" cy="175886"/>
          <a:chOff x="8889969" y="717550"/>
          <a:chExt cx="95415" cy="260350"/>
        </a:xfrm>
      </xdr:grpSpPr>
      <xdr:sp macro="" textlink="">
        <xdr:nvSpPr>
          <xdr:cNvPr id="288" name="자유형: 도형 287">
            <a:extLst>
              <a:ext uri="{FF2B5EF4-FFF2-40B4-BE49-F238E27FC236}">
                <a16:creationId xmlns:a16="http://schemas.microsoft.com/office/drawing/2014/main" id="{5811A785-730B-15FE-A001-663EE99B6D8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9" name="자유형: 도형 288">
            <a:extLst>
              <a:ext uri="{FF2B5EF4-FFF2-40B4-BE49-F238E27FC236}">
                <a16:creationId xmlns:a16="http://schemas.microsoft.com/office/drawing/2014/main" id="{E3738752-7310-DAB4-C824-9756AA4DF9E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18437</xdr:colOff>
      <xdr:row>66</xdr:row>
      <xdr:rowOff>30775</xdr:rowOff>
    </xdr:from>
    <xdr:to>
      <xdr:col>93</xdr:col>
      <xdr:colOff>90437</xdr:colOff>
      <xdr:row>66</xdr:row>
      <xdr:rowOff>206661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5E1D1CBE-BBEC-4D5B-A0F9-5E066683D6E1}"/>
            </a:ext>
          </a:extLst>
        </xdr:cNvPr>
        <xdr:cNvGrpSpPr/>
      </xdr:nvGrpSpPr>
      <xdr:grpSpPr>
        <a:xfrm>
          <a:off x="15290187" y="14696100"/>
          <a:ext cx="68825" cy="179061"/>
          <a:chOff x="8889969" y="717550"/>
          <a:chExt cx="95415" cy="260350"/>
        </a:xfrm>
      </xdr:grpSpPr>
      <xdr:sp macro="" textlink="">
        <xdr:nvSpPr>
          <xdr:cNvPr id="291" name="자유형: 도형 290">
            <a:extLst>
              <a:ext uri="{FF2B5EF4-FFF2-40B4-BE49-F238E27FC236}">
                <a16:creationId xmlns:a16="http://schemas.microsoft.com/office/drawing/2014/main" id="{DE0F337F-2F79-F46E-0E6F-E8ABF9FD721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2" name="자유형: 도형 291">
            <a:extLst>
              <a:ext uri="{FF2B5EF4-FFF2-40B4-BE49-F238E27FC236}">
                <a16:creationId xmlns:a16="http://schemas.microsoft.com/office/drawing/2014/main" id="{A656B8A4-2BFD-12FB-947F-9BD43314792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5185</xdr:colOff>
      <xdr:row>66</xdr:row>
      <xdr:rowOff>10621</xdr:rowOff>
    </xdr:from>
    <xdr:to>
      <xdr:col>101</xdr:col>
      <xdr:colOff>77185</xdr:colOff>
      <xdr:row>66</xdr:row>
      <xdr:rowOff>186507</xdr:rowOff>
    </xdr:to>
    <xdr:grpSp>
      <xdr:nvGrpSpPr>
        <xdr:cNvPr id="293" name="그룹 292">
          <a:extLst>
            <a:ext uri="{FF2B5EF4-FFF2-40B4-BE49-F238E27FC236}">
              <a16:creationId xmlns:a16="http://schemas.microsoft.com/office/drawing/2014/main" id="{FEC1C45A-A43C-485F-B72D-7B83FEB5294B}"/>
            </a:ext>
          </a:extLst>
        </xdr:cNvPr>
        <xdr:cNvGrpSpPr/>
      </xdr:nvGrpSpPr>
      <xdr:grpSpPr>
        <a:xfrm>
          <a:off x="15957443" y="14675946"/>
          <a:ext cx="68825" cy="175886"/>
          <a:chOff x="8889969" y="717550"/>
          <a:chExt cx="95415" cy="260350"/>
        </a:xfrm>
      </xdr:grpSpPr>
      <xdr:sp macro="" textlink="">
        <xdr:nvSpPr>
          <xdr:cNvPr id="294" name="자유형: 도형 293">
            <a:extLst>
              <a:ext uri="{FF2B5EF4-FFF2-40B4-BE49-F238E27FC236}">
                <a16:creationId xmlns:a16="http://schemas.microsoft.com/office/drawing/2014/main" id="{DFB7FCD3-1788-BFDA-9221-C8F64005677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5" name="자유형: 도형 294">
            <a:extLst>
              <a:ext uri="{FF2B5EF4-FFF2-40B4-BE49-F238E27FC236}">
                <a16:creationId xmlns:a16="http://schemas.microsoft.com/office/drawing/2014/main" id="{55B37372-3606-4777-4058-F3D41103BC5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32</xdr:col>
      <xdr:colOff>10076</xdr:colOff>
      <xdr:row>103</xdr:row>
      <xdr:rowOff>196991</xdr:rowOff>
    </xdr:from>
    <xdr:ext cx="3640420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9BAA6752-8E3A-42C5-81A4-749FD21AFBFD}"/>
            </a:ext>
          </a:extLst>
        </xdr:cNvPr>
        <xdr:cNvSpPr txBox="1"/>
      </xdr:nvSpPr>
      <xdr:spPr>
        <a:xfrm>
          <a:off x="10519326" y="22460091"/>
          <a:ext cx="36404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</a:rPr>
            <a:t>= ch_size </a:t>
          </a:r>
          <a:r>
            <a:rPr lang="en-US" altLang="ko-KR" sz="1100" baseline="0">
              <a:solidFill>
                <a:sysClr val="windowText" lastClr="000000"/>
              </a:solidFill>
            </a:rPr>
            <a:t>* (pam 12-bit + pwm 12-bit) @ld_width=00, 01, 10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33</xdr:col>
      <xdr:colOff>1</xdr:colOff>
      <xdr:row>103</xdr:row>
      <xdr:rowOff>165654</xdr:rowOff>
    </xdr:from>
    <xdr:to>
      <xdr:col>51</xdr:col>
      <xdr:colOff>100175</xdr:colOff>
      <xdr:row>103</xdr:row>
      <xdr:rowOff>165654</xdr:rowOff>
    </xdr:to>
    <xdr:cxnSp macro="">
      <xdr:nvCxnSpPr>
        <xdr:cNvPr id="297" name="직선 화살표 연결선 296">
          <a:extLst>
            <a:ext uri="{FF2B5EF4-FFF2-40B4-BE49-F238E27FC236}">
              <a16:creationId xmlns:a16="http://schemas.microsoft.com/office/drawing/2014/main" id="{778EE0B6-4BE5-4753-92D0-C87806431D78}"/>
            </a:ext>
          </a:extLst>
        </xdr:cNvPr>
        <xdr:cNvCxnSpPr/>
      </xdr:nvCxnSpPr>
      <xdr:spPr>
        <a:xfrm flipV="1">
          <a:off x="10610851" y="22428754"/>
          <a:ext cx="1928974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89727</xdr:colOff>
      <xdr:row>102</xdr:row>
      <xdr:rowOff>165651</xdr:rowOff>
    </xdr:from>
    <xdr:ext cx="93532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660085BC-2036-4A16-BF13-9288E6ADBD82}"/>
            </a:ext>
          </a:extLst>
        </xdr:cNvPr>
        <xdr:cNvSpPr txBox="1"/>
      </xdr:nvSpPr>
      <xdr:spPr>
        <a:xfrm>
          <a:off x="11106977" y="22212851"/>
          <a:ext cx="9353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burst size = 1</a:t>
          </a:r>
          <a:endParaRPr lang="ko-KR" altLang="en-US" sz="1100"/>
        </a:p>
      </xdr:txBody>
    </xdr:sp>
    <xdr:clientData/>
  </xdr:oneCellAnchor>
  <xdr:oneCellAnchor>
    <xdr:from>
      <xdr:col>32</xdr:col>
      <xdr:colOff>11181</xdr:colOff>
      <xdr:row>104</xdr:row>
      <xdr:rowOff>162480</xdr:rowOff>
    </xdr:from>
    <xdr:ext cx="3234988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A434D81A-4004-46B5-A853-DE23844119E4}"/>
            </a:ext>
          </a:extLst>
        </xdr:cNvPr>
        <xdr:cNvSpPr txBox="1"/>
      </xdr:nvSpPr>
      <xdr:spPr>
        <a:xfrm>
          <a:off x="10520431" y="22641480"/>
          <a:ext cx="32349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</a:rPr>
            <a:t>= ch_size </a:t>
          </a:r>
          <a:r>
            <a:rPr lang="en-US" altLang="ko-KR" sz="1100" baseline="0">
              <a:solidFill>
                <a:sysClr val="windowText" lastClr="000000"/>
              </a:solidFill>
            </a:rPr>
            <a:t>* (ld 16-bit)                               @ld_width=11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32084</xdr:colOff>
      <xdr:row>9</xdr:row>
      <xdr:rowOff>16043</xdr:rowOff>
    </xdr:from>
    <xdr:to>
      <xdr:col>55</xdr:col>
      <xdr:colOff>104084</xdr:colOff>
      <xdr:row>9</xdr:row>
      <xdr:rowOff>209875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B2C1C7A-294E-4B08-A481-E5C1E6734CEB}"/>
            </a:ext>
          </a:extLst>
        </xdr:cNvPr>
        <xdr:cNvGrpSpPr/>
      </xdr:nvGrpSpPr>
      <xdr:grpSpPr>
        <a:xfrm>
          <a:off x="27365659" y="1975472"/>
          <a:ext cx="78350" cy="193832"/>
          <a:chOff x="8889969" y="717550"/>
          <a:chExt cx="95415" cy="260350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460C60FE-F14F-CBF7-DA48-60AA7826C1A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811BA92D-DBCC-29C1-934F-E78BC6142C9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11</xdr:row>
      <xdr:rowOff>40107</xdr:rowOff>
    </xdr:from>
    <xdr:to>
      <xdr:col>55</xdr:col>
      <xdr:colOff>104084</xdr:colOff>
      <xdr:row>12</xdr:row>
      <xdr:rowOff>1328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6F6C085B-52C0-47D0-9240-AFE7C2420DE3}"/>
            </a:ext>
          </a:extLst>
        </xdr:cNvPr>
        <xdr:cNvGrpSpPr/>
      </xdr:nvGrpSpPr>
      <xdr:grpSpPr>
        <a:xfrm>
          <a:off x="27365659" y="2434964"/>
          <a:ext cx="78350" cy="178935"/>
          <a:chOff x="8889969" y="717550"/>
          <a:chExt cx="95415" cy="260350"/>
        </a:xfrm>
      </xdr:grpSpPr>
      <xdr:sp macro="" textlink="">
        <xdr:nvSpPr>
          <xdr:cNvPr id="6" name="자유형: 도형 5">
            <a:extLst>
              <a:ext uri="{FF2B5EF4-FFF2-40B4-BE49-F238E27FC236}">
                <a16:creationId xmlns:a16="http://schemas.microsoft.com/office/drawing/2014/main" id="{7D64C764-1F56-5C6E-DCF8-D025EC8716C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FC5FDFE7-96CC-F235-D1B7-475DCEAE696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13</xdr:row>
      <xdr:rowOff>48128</xdr:rowOff>
    </xdr:from>
    <xdr:to>
      <xdr:col>55</xdr:col>
      <xdr:colOff>96063</xdr:colOff>
      <xdr:row>14</xdr:row>
      <xdr:rowOff>9349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A2EF436C-87BD-4AB2-BA08-F1ADFE950764}"/>
            </a:ext>
          </a:extLst>
        </xdr:cNvPr>
        <xdr:cNvGrpSpPr/>
      </xdr:nvGrpSpPr>
      <xdr:grpSpPr>
        <a:xfrm>
          <a:off x="27363988" y="2875239"/>
          <a:ext cx="68825" cy="185285"/>
          <a:chOff x="8889969" y="717550"/>
          <a:chExt cx="95415" cy="260350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C9A6B6B0-F903-0D28-2D1A-0E6848948D2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0EA1E626-FE89-DC08-957E-D65E5BBCD89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15</xdr:row>
      <xdr:rowOff>32086</xdr:rowOff>
    </xdr:from>
    <xdr:to>
      <xdr:col>55</xdr:col>
      <xdr:colOff>104084</xdr:colOff>
      <xdr:row>16</xdr:row>
      <xdr:rowOff>1328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6B1E537A-5E50-492C-ADDA-BEB42518F9EF}"/>
            </a:ext>
          </a:extLst>
        </xdr:cNvPr>
        <xdr:cNvGrpSpPr/>
      </xdr:nvGrpSpPr>
      <xdr:grpSpPr>
        <a:xfrm>
          <a:off x="27365659" y="3294625"/>
          <a:ext cx="78350" cy="190132"/>
          <a:chOff x="8889969" y="717550"/>
          <a:chExt cx="95415" cy="260350"/>
        </a:xfrm>
      </xdr:grpSpPr>
      <xdr:sp macro="" textlink="">
        <xdr:nvSpPr>
          <xdr:cNvPr id="12" name="자유형: 도형 11">
            <a:extLst>
              <a:ext uri="{FF2B5EF4-FFF2-40B4-BE49-F238E27FC236}">
                <a16:creationId xmlns:a16="http://schemas.microsoft.com/office/drawing/2014/main" id="{E84C9998-2178-C775-9906-CF30B770130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자유형: 도형 12">
            <a:extLst>
              <a:ext uri="{FF2B5EF4-FFF2-40B4-BE49-F238E27FC236}">
                <a16:creationId xmlns:a16="http://schemas.microsoft.com/office/drawing/2014/main" id="{F65198B0-D118-1450-6593-7C95838EE93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17</xdr:row>
      <xdr:rowOff>24065</xdr:rowOff>
    </xdr:from>
    <xdr:to>
      <xdr:col>55</xdr:col>
      <xdr:colOff>96063</xdr:colOff>
      <xdr:row>17</xdr:row>
      <xdr:rowOff>217897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DEBA97CF-0DCC-4008-8CA6-C85FADD5ECCC}"/>
            </a:ext>
          </a:extLst>
        </xdr:cNvPr>
        <xdr:cNvGrpSpPr/>
      </xdr:nvGrpSpPr>
      <xdr:grpSpPr>
        <a:xfrm>
          <a:off x="27363988" y="3728383"/>
          <a:ext cx="68825" cy="193832"/>
          <a:chOff x="8889969" y="717550"/>
          <a:chExt cx="95415" cy="260350"/>
        </a:xfrm>
      </xdr:grpSpPr>
      <xdr:sp macro="" textlink="">
        <xdr:nvSpPr>
          <xdr:cNvPr id="15" name="자유형: 도형 14">
            <a:extLst>
              <a:ext uri="{FF2B5EF4-FFF2-40B4-BE49-F238E27FC236}">
                <a16:creationId xmlns:a16="http://schemas.microsoft.com/office/drawing/2014/main" id="{42686117-8570-1817-FDA5-AE15BE2F8BD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10D03C17-DA2C-520B-A633-3459085156C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9</xdr:row>
      <xdr:rowOff>25400</xdr:rowOff>
    </xdr:from>
    <xdr:to>
      <xdr:col>63</xdr:col>
      <xdr:colOff>102748</xdr:colOff>
      <xdr:row>9</xdr:row>
      <xdr:rowOff>208538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927F5E9C-B2D4-46E7-A250-66D57590DA06}"/>
            </a:ext>
          </a:extLst>
        </xdr:cNvPr>
        <xdr:cNvGrpSpPr/>
      </xdr:nvGrpSpPr>
      <xdr:grpSpPr>
        <a:xfrm>
          <a:off x="31160716" y="1988004"/>
          <a:ext cx="78350" cy="179963"/>
          <a:chOff x="8889969" y="717550"/>
          <a:chExt cx="95415" cy="260350"/>
        </a:xfrm>
      </xdr:grpSpPr>
      <xdr:sp macro="" textlink="">
        <xdr:nvSpPr>
          <xdr:cNvPr id="18" name="자유형: 도형 17">
            <a:extLst>
              <a:ext uri="{FF2B5EF4-FFF2-40B4-BE49-F238E27FC236}">
                <a16:creationId xmlns:a16="http://schemas.microsoft.com/office/drawing/2014/main" id="{CB89D8F7-2313-1555-6F22-B3D97661E98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자유형: 도형 18">
            <a:extLst>
              <a:ext uri="{FF2B5EF4-FFF2-40B4-BE49-F238E27FC236}">
                <a16:creationId xmlns:a16="http://schemas.microsoft.com/office/drawing/2014/main" id="{279C5DD8-DDB4-757E-7287-9BB0EA5AA8F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11</xdr:row>
      <xdr:rowOff>49464</xdr:rowOff>
    </xdr:from>
    <xdr:to>
      <xdr:col>63</xdr:col>
      <xdr:colOff>102748</xdr:colOff>
      <xdr:row>12</xdr:row>
      <xdr:rowOff>10685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868906C9-5CA0-4864-A9B0-F4437F272E73}"/>
            </a:ext>
          </a:extLst>
        </xdr:cNvPr>
        <xdr:cNvGrpSpPr/>
      </xdr:nvGrpSpPr>
      <xdr:grpSpPr>
        <a:xfrm>
          <a:off x="31160716" y="2441146"/>
          <a:ext cx="78350" cy="178935"/>
          <a:chOff x="8889969" y="717550"/>
          <a:chExt cx="95415" cy="260350"/>
        </a:xfrm>
      </xdr:grpSpPr>
      <xdr:sp macro="" textlink="">
        <xdr:nvSpPr>
          <xdr:cNvPr id="21" name="자유형: 도형 20">
            <a:extLst>
              <a:ext uri="{FF2B5EF4-FFF2-40B4-BE49-F238E27FC236}">
                <a16:creationId xmlns:a16="http://schemas.microsoft.com/office/drawing/2014/main" id="{B9C06512-1806-425B-F833-52234DA179D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" name="자유형: 도형 21">
            <a:extLst>
              <a:ext uri="{FF2B5EF4-FFF2-40B4-BE49-F238E27FC236}">
                <a16:creationId xmlns:a16="http://schemas.microsoft.com/office/drawing/2014/main" id="{FDD79D3E-D8F8-9A2A-8D04-B3F84892743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13</xdr:row>
      <xdr:rowOff>57485</xdr:rowOff>
    </xdr:from>
    <xdr:to>
      <xdr:col>63</xdr:col>
      <xdr:colOff>94727</xdr:colOff>
      <xdr:row>14</xdr:row>
      <xdr:rowOff>18706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69233420-8687-4B1F-AED1-71908A546F73}"/>
            </a:ext>
          </a:extLst>
        </xdr:cNvPr>
        <xdr:cNvGrpSpPr/>
      </xdr:nvGrpSpPr>
      <xdr:grpSpPr>
        <a:xfrm>
          <a:off x="31159045" y="2887771"/>
          <a:ext cx="68825" cy="178935"/>
          <a:chOff x="8889969" y="717550"/>
          <a:chExt cx="95415" cy="260350"/>
        </a:xfrm>
      </xdr:grpSpPr>
      <xdr:sp macro="" textlink="">
        <xdr:nvSpPr>
          <xdr:cNvPr id="24" name="자유형: 도형 23">
            <a:extLst>
              <a:ext uri="{FF2B5EF4-FFF2-40B4-BE49-F238E27FC236}">
                <a16:creationId xmlns:a16="http://schemas.microsoft.com/office/drawing/2014/main" id="{F3C92292-6FE4-0544-896F-C6F2EC4B8E3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" name="자유형: 도형 24">
            <a:extLst>
              <a:ext uri="{FF2B5EF4-FFF2-40B4-BE49-F238E27FC236}">
                <a16:creationId xmlns:a16="http://schemas.microsoft.com/office/drawing/2014/main" id="{9F96C60B-96F4-1D86-4FB3-186772B012D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15</xdr:row>
      <xdr:rowOff>41443</xdr:rowOff>
    </xdr:from>
    <xdr:to>
      <xdr:col>63</xdr:col>
      <xdr:colOff>102748</xdr:colOff>
      <xdr:row>16</xdr:row>
      <xdr:rowOff>10685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6DC70DF6-D30E-4CAD-8DD6-D650ED89ED54}"/>
            </a:ext>
          </a:extLst>
        </xdr:cNvPr>
        <xdr:cNvGrpSpPr/>
      </xdr:nvGrpSpPr>
      <xdr:grpSpPr>
        <a:xfrm>
          <a:off x="31160716" y="3310332"/>
          <a:ext cx="78350" cy="180607"/>
          <a:chOff x="8889969" y="717550"/>
          <a:chExt cx="95415" cy="260350"/>
        </a:xfrm>
      </xdr:grpSpPr>
      <xdr:sp macro="" textlink="">
        <xdr:nvSpPr>
          <xdr:cNvPr id="27" name="자유형: 도형 26">
            <a:extLst>
              <a:ext uri="{FF2B5EF4-FFF2-40B4-BE49-F238E27FC236}">
                <a16:creationId xmlns:a16="http://schemas.microsoft.com/office/drawing/2014/main" id="{093D4D20-5917-5E01-038C-B8A4488F4C9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8" name="자유형: 도형 27">
            <a:extLst>
              <a:ext uri="{FF2B5EF4-FFF2-40B4-BE49-F238E27FC236}">
                <a16:creationId xmlns:a16="http://schemas.microsoft.com/office/drawing/2014/main" id="{3A57C2B8-35AA-9D7F-5E86-63552B78B95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17</xdr:row>
      <xdr:rowOff>33422</xdr:rowOff>
    </xdr:from>
    <xdr:to>
      <xdr:col>63</xdr:col>
      <xdr:colOff>94727</xdr:colOff>
      <xdr:row>17</xdr:row>
      <xdr:rowOff>215222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1AA4B451-7DD8-4FE5-A0F6-2EAC1ED0C190}"/>
            </a:ext>
          </a:extLst>
        </xdr:cNvPr>
        <xdr:cNvGrpSpPr/>
      </xdr:nvGrpSpPr>
      <xdr:grpSpPr>
        <a:xfrm>
          <a:off x="31159045" y="3731390"/>
          <a:ext cx="68825" cy="188150"/>
          <a:chOff x="8889969" y="717550"/>
          <a:chExt cx="95415" cy="260350"/>
        </a:xfrm>
      </xdr:grpSpPr>
      <xdr:sp macro="" textlink="">
        <xdr:nvSpPr>
          <xdr:cNvPr id="30" name="자유형: 도형 29">
            <a:extLst>
              <a:ext uri="{FF2B5EF4-FFF2-40B4-BE49-F238E27FC236}">
                <a16:creationId xmlns:a16="http://schemas.microsoft.com/office/drawing/2014/main" id="{F2C53B01-D6E1-4265-FAD7-D07813D070C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1" name="자유형: 도형 30">
            <a:extLst>
              <a:ext uri="{FF2B5EF4-FFF2-40B4-BE49-F238E27FC236}">
                <a16:creationId xmlns:a16="http://schemas.microsoft.com/office/drawing/2014/main" id="{D08801DD-17E1-EB3C-F9BF-62B360C9026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9</xdr:row>
      <xdr:rowOff>40106</xdr:rowOff>
    </xdr:from>
    <xdr:to>
      <xdr:col>41</xdr:col>
      <xdr:colOff>112106</xdr:colOff>
      <xdr:row>10</xdr:row>
      <xdr:rowOff>9349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ED5A924E-2FEE-4ED4-AF6A-69AF14463E61}"/>
            </a:ext>
          </a:extLst>
        </xdr:cNvPr>
        <xdr:cNvGrpSpPr/>
      </xdr:nvGrpSpPr>
      <xdr:grpSpPr>
        <a:xfrm>
          <a:off x="20056213" y="1999535"/>
          <a:ext cx="72000" cy="190132"/>
          <a:chOff x="8889969" y="717550"/>
          <a:chExt cx="95415" cy="260350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8E1D8B49-B804-EBD5-0C27-715C04489D0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D8A4E201-9FF5-53AE-4538-FBA46F9D3A9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11</xdr:row>
      <xdr:rowOff>64170</xdr:rowOff>
    </xdr:from>
    <xdr:to>
      <xdr:col>41</xdr:col>
      <xdr:colOff>112106</xdr:colOff>
      <xdr:row>12</xdr:row>
      <xdr:rowOff>25391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A2E8AEB1-1A81-4929-8742-C7C9CBA1BA6A}"/>
            </a:ext>
          </a:extLst>
        </xdr:cNvPr>
        <xdr:cNvGrpSpPr/>
      </xdr:nvGrpSpPr>
      <xdr:grpSpPr>
        <a:xfrm>
          <a:off x="20056213" y="2462202"/>
          <a:ext cx="72000" cy="178935"/>
          <a:chOff x="8889969" y="717550"/>
          <a:chExt cx="95415" cy="260350"/>
        </a:xfrm>
      </xdr:grpSpPr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B6CB6F7F-CDF3-900E-9B16-9EB1C56250E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A5AAC7C7-E856-5787-DEFB-0ED993C2266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13</xdr:row>
      <xdr:rowOff>72191</xdr:rowOff>
    </xdr:from>
    <xdr:to>
      <xdr:col>41</xdr:col>
      <xdr:colOff>104085</xdr:colOff>
      <xdr:row>14</xdr:row>
      <xdr:rowOff>33412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BC351C0E-6AAC-4DDC-BC20-816E6E304D6D}"/>
            </a:ext>
          </a:extLst>
        </xdr:cNvPr>
        <xdr:cNvGrpSpPr/>
      </xdr:nvGrpSpPr>
      <xdr:grpSpPr>
        <a:xfrm>
          <a:off x="20045017" y="2899302"/>
          <a:ext cx="78350" cy="178935"/>
          <a:chOff x="8889969" y="717550"/>
          <a:chExt cx="95415" cy="260350"/>
        </a:xfrm>
      </xdr:grpSpPr>
      <xdr:sp macro="" textlink="">
        <xdr:nvSpPr>
          <xdr:cNvPr id="39" name="자유형: 도형 38">
            <a:extLst>
              <a:ext uri="{FF2B5EF4-FFF2-40B4-BE49-F238E27FC236}">
                <a16:creationId xmlns:a16="http://schemas.microsoft.com/office/drawing/2014/main" id="{409AD693-3839-22C8-069B-C821F0EC7EC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0" name="자유형: 도형 39">
            <a:extLst>
              <a:ext uri="{FF2B5EF4-FFF2-40B4-BE49-F238E27FC236}">
                <a16:creationId xmlns:a16="http://schemas.microsoft.com/office/drawing/2014/main" id="{63227EFF-6520-8606-3E13-66E5D9E6F4A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15</xdr:row>
      <xdr:rowOff>56149</xdr:rowOff>
    </xdr:from>
    <xdr:to>
      <xdr:col>41</xdr:col>
      <xdr:colOff>112106</xdr:colOff>
      <xdr:row>16</xdr:row>
      <xdr:rowOff>25391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BE78FBCB-0E3C-49C5-8DAD-8F170A11404D}"/>
            </a:ext>
          </a:extLst>
        </xdr:cNvPr>
        <xdr:cNvGrpSpPr/>
      </xdr:nvGrpSpPr>
      <xdr:grpSpPr>
        <a:xfrm>
          <a:off x="20056213" y="3321863"/>
          <a:ext cx="72000" cy="190132"/>
          <a:chOff x="8889969" y="717550"/>
          <a:chExt cx="95415" cy="260350"/>
        </a:xfrm>
      </xdr:grpSpPr>
      <xdr:sp macro="" textlink="">
        <xdr:nvSpPr>
          <xdr:cNvPr id="42" name="자유형: 도형 41">
            <a:extLst>
              <a:ext uri="{FF2B5EF4-FFF2-40B4-BE49-F238E27FC236}">
                <a16:creationId xmlns:a16="http://schemas.microsoft.com/office/drawing/2014/main" id="{F4EC5290-8CA1-31EF-FDCB-9CA1199A7AF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D1E6859C-B3EA-6F23-F034-9B057AF6A86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17</xdr:row>
      <xdr:rowOff>48128</xdr:rowOff>
    </xdr:from>
    <xdr:to>
      <xdr:col>41</xdr:col>
      <xdr:colOff>104085</xdr:colOff>
      <xdr:row>18</xdr:row>
      <xdr:rowOff>9349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D59E82BF-BADD-40A1-A72A-370668BFB46E}"/>
            </a:ext>
          </a:extLst>
        </xdr:cNvPr>
        <xdr:cNvGrpSpPr/>
      </xdr:nvGrpSpPr>
      <xdr:grpSpPr>
        <a:xfrm>
          <a:off x="20045017" y="3746096"/>
          <a:ext cx="78350" cy="185285"/>
          <a:chOff x="8889969" y="717550"/>
          <a:chExt cx="95415" cy="260350"/>
        </a:xfrm>
      </xdr:grpSpPr>
      <xdr:sp macro="" textlink="">
        <xdr:nvSpPr>
          <xdr:cNvPr id="45" name="자유형: 도형 44">
            <a:extLst>
              <a:ext uri="{FF2B5EF4-FFF2-40B4-BE49-F238E27FC236}">
                <a16:creationId xmlns:a16="http://schemas.microsoft.com/office/drawing/2014/main" id="{85BECA81-1B9C-8245-0C86-313EAD9F423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" name="자유형: 도형 45">
            <a:extLst>
              <a:ext uri="{FF2B5EF4-FFF2-40B4-BE49-F238E27FC236}">
                <a16:creationId xmlns:a16="http://schemas.microsoft.com/office/drawing/2014/main" id="{1E94E7A6-808C-D393-439C-C5E0B9EBE48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49</xdr:col>
      <xdr:colOff>647033</xdr:colOff>
      <xdr:row>6</xdr:row>
      <xdr:rowOff>204536</xdr:rowOff>
    </xdr:from>
    <xdr:to>
      <xdr:col>66</xdr:col>
      <xdr:colOff>20053</xdr:colOff>
      <xdr:row>6</xdr:row>
      <xdr:rowOff>204536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9B234E8E-10E4-4712-AD8F-4278E277E15B}"/>
            </a:ext>
          </a:extLst>
        </xdr:cNvPr>
        <xdr:cNvCxnSpPr/>
      </xdr:nvCxnSpPr>
      <xdr:spPr>
        <a:xfrm>
          <a:off x="24440483" y="1734886"/>
          <a:ext cx="767882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40106</xdr:colOff>
      <xdr:row>23</xdr:row>
      <xdr:rowOff>40106</xdr:rowOff>
    </xdr:from>
    <xdr:to>
      <xdr:col>41</xdr:col>
      <xdr:colOff>112106</xdr:colOff>
      <xdr:row>24</xdr:row>
      <xdr:rowOff>9349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8C87C7AF-C7ED-4DEB-87CB-758BD90DB6AD}"/>
            </a:ext>
          </a:extLst>
        </xdr:cNvPr>
        <xdr:cNvGrpSpPr/>
      </xdr:nvGrpSpPr>
      <xdr:grpSpPr>
        <a:xfrm>
          <a:off x="20056213" y="5047535"/>
          <a:ext cx="72000" cy="190132"/>
          <a:chOff x="8889969" y="717550"/>
          <a:chExt cx="95415" cy="260350"/>
        </a:xfrm>
      </xdr:grpSpPr>
      <xdr:sp macro="" textlink="">
        <xdr:nvSpPr>
          <xdr:cNvPr id="49" name="자유형: 도형 48">
            <a:extLst>
              <a:ext uri="{FF2B5EF4-FFF2-40B4-BE49-F238E27FC236}">
                <a16:creationId xmlns:a16="http://schemas.microsoft.com/office/drawing/2014/main" id="{A0220ED0-B832-DA3C-E860-8FE73767215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0" name="자유형: 도형 49">
            <a:extLst>
              <a:ext uri="{FF2B5EF4-FFF2-40B4-BE49-F238E27FC236}">
                <a16:creationId xmlns:a16="http://schemas.microsoft.com/office/drawing/2014/main" id="{29DBFF03-0BF5-6D81-D55E-DACD53E8A21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25</xdr:row>
      <xdr:rowOff>64170</xdr:rowOff>
    </xdr:from>
    <xdr:to>
      <xdr:col>41</xdr:col>
      <xdr:colOff>112106</xdr:colOff>
      <xdr:row>26</xdr:row>
      <xdr:rowOff>25391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7D4973DB-CB75-40FB-BAD8-DB7D5338C202}"/>
            </a:ext>
          </a:extLst>
        </xdr:cNvPr>
        <xdr:cNvGrpSpPr/>
      </xdr:nvGrpSpPr>
      <xdr:grpSpPr>
        <a:xfrm>
          <a:off x="20056213" y="5510202"/>
          <a:ext cx="72000" cy="178935"/>
          <a:chOff x="8889969" y="717550"/>
          <a:chExt cx="95415" cy="260350"/>
        </a:xfrm>
      </xdr:grpSpPr>
      <xdr:sp macro="" textlink="">
        <xdr:nvSpPr>
          <xdr:cNvPr id="52" name="자유형: 도형 51">
            <a:extLst>
              <a:ext uri="{FF2B5EF4-FFF2-40B4-BE49-F238E27FC236}">
                <a16:creationId xmlns:a16="http://schemas.microsoft.com/office/drawing/2014/main" id="{C39C8473-8B9E-AD66-1922-DE156A490B0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3" name="자유형: 도형 52">
            <a:extLst>
              <a:ext uri="{FF2B5EF4-FFF2-40B4-BE49-F238E27FC236}">
                <a16:creationId xmlns:a16="http://schemas.microsoft.com/office/drawing/2014/main" id="{5451B022-4BFF-723F-5AFC-6B51F803C3D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27</xdr:row>
      <xdr:rowOff>72191</xdr:rowOff>
    </xdr:from>
    <xdr:to>
      <xdr:col>41</xdr:col>
      <xdr:colOff>104085</xdr:colOff>
      <xdr:row>28</xdr:row>
      <xdr:rowOff>33412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44F61FD6-73E5-4849-AFE0-F9A9B587148F}"/>
            </a:ext>
          </a:extLst>
        </xdr:cNvPr>
        <xdr:cNvGrpSpPr/>
      </xdr:nvGrpSpPr>
      <xdr:grpSpPr>
        <a:xfrm>
          <a:off x="20045017" y="5947302"/>
          <a:ext cx="78350" cy="178935"/>
          <a:chOff x="8889969" y="717550"/>
          <a:chExt cx="95415" cy="260350"/>
        </a:xfrm>
      </xdr:grpSpPr>
      <xdr:sp macro="" textlink="">
        <xdr:nvSpPr>
          <xdr:cNvPr id="55" name="자유형: 도형 54">
            <a:extLst>
              <a:ext uri="{FF2B5EF4-FFF2-40B4-BE49-F238E27FC236}">
                <a16:creationId xmlns:a16="http://schemas.microsoft.com/office/drawing/2014/main" id="{E00A8A0F-454E-9CDE-0470-E8951D337E8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6" name="자유형: 도형 55">
            <a:extLst>
              <a:ext uri="{FF2B5EF4-FFF2-40B4-BE49-F238E27FC236}">
                <a16:creationId xmlns:a16="http://schemas.microsoft.com/office/drawing/2014/main" id="{53D43751-D3CE-0EAF-55AD-31C802CF125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29</xdr:row>
      <xdr:rowOff>56149</xdr:rowOff>
    </xdr:from>
    <xdr:to>
      <xdr:col>41</xdr:col>
      <xdr:colOff>112106</xdr:colOff>
      <xdr:row>30</xdr:row>
      <xdr:rowOff>25391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9C129B7D-3214-4C79-8D6B-3FC5323DC7D7}"/>
            </a:ext>
          </a:extLst>
        </xdr:cNvPr>
        <xdr:cNvGrpSpPr/>
      </xdr:nvGrpSpPr>
      <xdr:grpSpPr>
        <a:xfrm>
          <a:off x="20056213" y="6369863"/>
          <a:ext cx="72000" cy="190132"/>
          <a:chOff x="8889969" y="717550"/>
          <a:chExt cx="95415" cy="260350"/>
        </a:xfrm>
      </xdr:grpSpPr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11D0D887-B4FB-5BFA-8266-9E9A759CC21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9" name="자유형: 도형 58">
            <a:extLst>
              <a:ext uri="{FF2B5EF4-FFF2-40B4-BE49-F238E27FC236}">
                <a16:creationId xmlns:a16="http://schemas.microsoft.com/office/drawing/2014/main" id="{FE3FFE4B-D833-FF77-82CC-9305959B7B9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31</xdr:row>
      <xdr:rowOff>48128</xdr:rowOff>
    </xdr:from>
    <xdr:to>
      <xdr:col>41</xdr:col>
      <xdr:colOff>104085</xdr:colOff>
      <xdr:row>32</xdr:row>
      <xdr:rowOff>9349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B23036E8-AF2D-4F86-91DB-B026F8354636}"/>
            </a:ext>
          </a:extLst>
        </xdr:cNvPr>
        <xdr:cNvGrpSpPr/>
      </xdr:nvGrpSpPr>
      <xdr:grpSpPr>
        <a:xfrm>
          <a:off x="20045017" y="6794096"/>
          <a:ext cx="78350" cy="185285"/>
          <a:chOff x="8889969" y="717550"/>
          <a:chExt cx="95415" cy="260350"/>
        </a:xfrm>
      </xdr:grpSpPr>
      <xdr:sp macro="" textlink="">
        <xdr:nvSpPr>
          <xdr:cNvPr id="61" name="자유형: 도형 60">
            <a:extLst>
              <a:ext uri="{FF2B5EF4-FFF2-40B4-BE49-F238E27FC236}">
                <a16:creationId xmlns:a16="http://schemas.microsoft.com/office/drawing/2014/main" id="{BBB61C18-DFE3-0233-CE0C-02E071B5CD6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자유형: 도형 61">
            <a:extLst>
              <a:ext uri="{FF2B5EF4-FFF2-40B4-BE49-F238E27FC236}">
                <a16:creationId xmlns:a16="http://schemas.microsoft.com/office/drawing/2014/main" id="{AE5DF865-4786-FB28-A235-825B74404A6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68329</xdr:colOff>
      <xdr:row>39</xdr:row>
      <xdr:rowOff>28892</xdr:rowOff>
    </xdr:from>
    <xdr:to>
      <xdr:col>35</xdr:col>
      <xdr:colOff>140329</xdr:colOff>
      <xdr:row>39</xdr:row>
      <xdr:rowOff>208835</xdr:rowOff>
    </xdr:to>
    <xdr:grpSp>
      <xdr:nvGrpSpPr>
        <xdr:cNvPr id="63" name="그룹 62">
          <a:extLst>
            <a:ext uri="{FF2B5EF4-FFF2-40B4-BE49-F238E27FC236}">
              <a16:creationId xmlns:a16="http://schemas.microsoft.com/office/drawing/2014/main" id="{559B6552-9733-4404-B55D-AED8BAB34CBC}"/>
            </a:ext>
          </a:extLst>
        </xdr:cNvPr>
        <xdr:cNvGrpSpPr/>
      </xdr:nvGrpSpPr>
      <xdr:grpSpPr>
        <a:xfrm>
          <a:off x="17291797" y="8516574"/>
          <a:ext cx="78350" cy="183118"/>
          <a:chOff x="8889969" y="717550"/>
          <a:chExt cx="95415" cy="260350"/>
        </a:xfrm>
      </xdr:grpSpPr>
      <xdr:sp macro="" textlink="">
        <xdr:nvSpPr>
          <xdr:cNvPr id="64" name="자유형: 도형 63">
            <a:extLst>
              <a:ext uri="{FF2B5EF4-FFF2-40B4-BE49-F238E27FC236}">
                <a16:creationId xmlns:a16="http://schemas.microsoft.com/office/drawing/2014/main" id="{1BB356F2-2C11-4FE1-EE7B-6B8092E23EC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A1D1E118-FF4D-493D-6C76-5F4E9DA2EAC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60308</xdr:colOff>
      <xdr:row>41</xdr:row>
      <xdr:rowOff>36913</xdr:rowOff>
    </xdr:from>
    <xdr:to>
      <xdr:col>35</xdr:col>
      <xdr:colOff>132308</xdr:colOff>
      <xdr:row>42</xdr:row>
      <xdr:rowOff>956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FFA0D671-2DCF-40A9-87C8-774AD217D719}"/>
            </a:ext>
          </a:extLst>
        </xdr:cNvPr>
        <xdr:cNvGrpSpPr/>
      </xdr:nvGrpSpPr>
      <xdr:grpSpPr>
        <a:xfrm>
          <a:off x="17286951" y="8963199"/>
          <a:ext cx="72000" cy="181757"/>
          <a:chOff x="8889969" y="717550"/>
          <a:chExt cx="95415" cy="260350"/>
        </a:xfrm>
      </xdr:grpSpPr>
      <xdr:sp macro="" textlink="">
        <xdr:nvSpPr>
          <xdr:cNvPr id="67" name="자유형: 도형 66">
            <a:extLst>
              <a:ext uri="{FF2B5EF4-FFF2-40B4-BE49-F238E27FC236}">
                <a16:creationId xmlns:a16="http://schemas.microsoft.com/office/drawing/2014/main" id="{EF49496C-6C29-5368-4378-853E4D3C4B6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8" name="자유형: 도형 67">
            <a:extLst>
              <a:ext uri="{FF2B5EF4-FFF2-40B4-BE49-F238E27FC236}">
                <a16:creationId xmlns:a16="http://schemas.microsoft.com/office/drawing/2014/main" id="{13C5872C-D6B8-782A-4EC4-510B7BAD549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68329</xdr:colOff>
      <xdr:row>43</xdr:row>
      <xdr:rowOff>20871</xdr:rowOff>
    </xdr:from>
    <xdr:to>
      <xdr:col>35</xdr:col>
      <xdr:colOff>140329</xdr:colOff>
      <xdr:row>43</xdr:row>
      <xdr:rowOff>208835</xdr:rowOff>
    </xdr:to>
    <xdr:grpSp>
      <xdr:nvGrpSpPr>
        <xdr:cNvPr id="69" name="그룹 68">
          <a:extLst>
            <a:ext uri="{FF2B5EF4-FFF2-40B4-BE49-F238E27FC236}">
              <a16:creationId xmlns:a16="http://schemas.microsoft.com/office/drawing/2014/main" id="{89834FE9-FCB9-4DD3-B012-D2F3455282F6}"/>
            </a:ext>
          </a:extLst>
        </xdr:cNvPr>
        <xdr:cNvGrpSpPr/>
      </xdr:nvGrpSpPr>
      <xdr:grpSpPr>
        <a:xfrm>
          <a:off x="17291797" y="9382585"/>
          <a:ext cx="78350" cy="187964"/>
          <a:chOff x="8889969" y="717550"/>
          <a:chExt cx="95415" cy="260350"/>
        </a:xfrm>
      </xdr:grpSpPr>
      <xdr:sp macro="" textlink="">
        <xdr:nvSpPr>
          <xdr:cNvPr id="70" name="자유형: 도형 69">
            <a:extLst>
              <a:ext uri="{FF2B5EF4-FFF2-40B4-BE49-F238E27FC236}">
                <a16:creationId xmlns:a16="http://schemas.microsoft.com/office/drawing/2014/main" id="{4ED68E7D-BED6-D8C1-A103-C512A7CC7CA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1" name="자유형: 도형 70">
            <a:extLst>
              <a:ext uri="{FF2B5EF4-FFF2-40B4-BE49-F238E27FC236}">
                <a16:creationId xmlns:a16="http://schemas.microsoft.com/office/drawing/2014/main" id="{D9F9FCAF-4F03-5D55-75F7-DB351498C58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60308</xdr:colOff>
      <xdr:row>45</xdr:row>
      <xdr:rowOff>12850</xdr:rowOff>
    </xdr:from>
    <xdr:to>
      <xdr:col>35</xdr:col>
      <xdr:colOff>132308</xdr:colOff>
      <xdr:row>45</xdr:row>
      <xdr:rowOff>192793</xdr:rowOff>
    </xdr:to>
    <xdr:grpSp>
      <xdr:nvGrpSpPr>
        <xdr:cNvPr id="72" name="그룹 71">
          <a:extLst>
            <a:ext uri="{FF2B5EF4-FFF2-40B4-BE49-F238E27FC236}">
              <a16:creationId xmlns:a16="http://schemas.microsoft.com/office/drawing/2014/main" id="{B4523201-B924-4C93-A5D4-579F06CD51B3}"/>
            </a:ext>
          </a:extLst>
        </xdr:cNvPr>
        <xdr:cNvGrpSpPr/>
      </xdr:nvGrpSpPr>
      <xdr:grpSpPr>
        <a:xfrm>
          <a:off x="17286951" y="9806818"/>
          <a:ext cx="72000" cy="183118"/>
          <a:chOff x="8889969" y="717550"/>
          <a:chExt cx="95415" cy="260350"/>
        </a:xfrm>
      </xdr:grpSpPr>
      <xdr:sp macro="" textlink="">
        <xdr:nvSpPr>
          <xdr:cNvPr id="73" name="자유형: 도형 72">
            <a:extLst>
              <a:ext uri="{FF2B5EF4-FFF2-40B4-BE49-F238E27FC236}">
                <a16:creationId xmlns:a16="http://schemas.microsoft.com/office/drawing/2014/main" id="{C98AA9F4-0C74-58FB-D912-B986D2F1A3D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4" name="자유형: 도형 73">
            <a:extLst>
              <a:ext uri="{FF2B5EF4-FFF2-40B4-BE49-F238E27FC236}">
                <a16:creationId xmlns:a16="http://schemas.microsoft.com/office/drawing/2014/main" id="{FB2AC7CA-766A-DD02-C0D9-533F36D68D0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9</xdr:row>
      <xdr:rowOff>24064</xdr:rowOff>
    </xdr:from>
    <xdr:to>
      <xdr:col>73</xdr:col>
      <xdr:colOff>96064</xdr:colOff>
      <xdr:row>10</xdr:row>
      <xdr:rowOff>1996</xdr:rowOff>
    </xdr:to>
    <xdr:grpSp>
      <xdr:nvGrpSpPr>
        <xdr:cNvPr id="75" name="그룹 74">
          <a:extLst>
            <a:ext uri="{FF2B5EF4-FFF2-40B4-BE49-F238E27FC236}">
              <a16:creationId xmlns:a16="http://schemas.microsoft.com/office/drawing/2014/main" id="{322DA05D-B566-403F-BAE7-E685E6915178}"/>
            </a:ext>
          </a:extLst>
        </xdr:cNvPr>
        <xdr:cNvGrpSpPr/>
      </xdr:nvGrpSpPr>
      <xdr:grpSpPr>
        <a:xfrm>
          <a:off x="36331096" y="1986668"/>
          <a:ext cx="68825" cy="192471"/>
          <a:chOff x="8889969" y="717550"/>
          <a:chExt cx="95415" cy="260350"/>
        </a:xfrm>
      </xdr:grpSpPr>
      <xdr:sp macro="" textlink="">
        <xdr:nvSpPr>
          <xdr:cNvPr id="76" name="자유형: 도형 75">
            <a:extLst>
              <a:ext uri="{FF2B5EF4-FFF2-40B4-BE49-F238E27FC236}">
                <a16:creationId xmlns:a16="http://schemas.microsoft.com/office/drawing/2014/main" id="{9CB90BB3-8C79-DF83-EFBA-AD1A16AAA4B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자유형: 도형 76">
            <a:extLst>
              <a:ext uri="{FF2B5EF4-FFF2-40B4-BE49-F238E27FC236}">
                <a16:creationId xmlns:a16="http://schemas.microsoft.com/office/drawing/2014/main" id="{4D2EEFCC-44FE-8BB6-47BB-7C578379E8A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11</xdr:row>
      <xdr:rowOff>48128</xdr:rowOff>
    </xdr:from>
    <xdr:to>
      <xdr:col>73</xdr:col>
      <xdr:colOff>96064</xdr:colOff>
      <xdr:row>12</xdr:row>
      <xdr:rowOff>9349</xdr:rowOff>
    </xdr:to>
    <xdr:grpSp>
      <xdr:nvGrpSpPr>
        <xdr:cNvPr id="78" name="그룹 77">
          <a:extLst>
            <a:ext uri="{FF2B5EF4-FFF2-40B4-BE49-F238E27FC236}">
              <a16:creationId xmlns:a16="http://schemas.microsoft.com/office/drawing/2014/main" id="{1275675E-F630-4FCF-9C3F-9F6380E929FA}"/>
            </a:ext>
          </a:extLst>
        </xdr:cNvPr>
        <xdr:cNvGrpSpPr/>
      </xdr:nvGrpSpPr>
      <xdr:grpSpPr>
        <a:xfrm>
          <a:off x="36331096" y="2439810"/>
          <a:ext cx="68825" cy="185285"/>
          <a:chOff x="8889969" y="717550"/>
          <a:chExt cx="95415" cy="260350"/>
        </a:xfrm>
      </xdr:grpSpPr>
      <xdr:sp macro="" textlink="">
        <xdr:nvSpPr>
          <xdr:cNvPr id="79" name="자유형: 도형 78">
            <a:extLst>
              <a:ext uri="{FF2B5EF4-FFF2-40B4-BE49-F238E27FC236}">
                <a16:creationId xmlns:a16="http://schemas.microsoft.com/office/drawing/2014/main" id="{C012655F-3E36-AB3F-A103-3B69F4F83D5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0" name="자유형: 도형 79">
            <a:extLst>
              <a:ext uri="{FF2B5EF4-FFF2-40B4-BE49-F238E27FC236}">
                <a16:creationId xmlns:a16="http://schemas.microsoft.com/office/drawing/2014/main" id="{9F849381-2D25-3AC5-D889-C8604D16AF1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16043</xdr:colOff>
      <xdr:row>13</xdr:row>
      <xdr:rowOff>56149</xdr:rowOff>
    </xdr:from>
    <xdr:to>
      <xdr:col>73</xdr:col>
      <xdr:colOff>88043</xdr:colOff>
      <xdr:row>14</xdr:row>
      <xdr:rowOff>17370</xdr:rowOff>
    </xdr:to>
    <xdr:grpSp>
      <xdr:nvGrpSpPr>
        <xdr:cNvPr id="81" name="그룹 80">
          <a:extLst>
            <a:ext uri="{FF2B5EF4-FFF2-40B4-BE49-F238E27FC236}">
              <a16:creationId xmlns:a16="http://schemas.microsoft.com/office/drawing/2014/main" id="{32D0864D-AC71-42A0-A46C-F9615E9491DA}"/>
            </a:ext>
          </a:extLst>
        </xdr:cNvPr>
        <xdr:cNvGrpSpPr/>
      </xdr:nvGrpSpPr>
      <xdr:grpSpPr>
        <a:xfrm>
          <a:off x="36319900" y="2886435"/>
          <a:ext cx="68825" cy="178935"/>
          <a:chOff x="8889969" y="717550"/>
          <a:chExt cx="95415" cy="260350"/>
        </a:xfrm>
      </xdr:grpSpPr>
      <xdr:sp macro="" textlink="">
        <xdr:nvSpPr>
          <xdr:cNvPr id="82" name="자유형: 도형 81">
            <a:extLst>
              <a:ext uri="{FF2B5EF4-FFF2-40B4-BE49-F238E27FC236}">
                <a16:creationId xmlns:a16="http://schemas.microsoft.com/office/drawing/2014/main" id="{3B91F45D-D7D5-448A-3FEB-3F0D5B3D8E2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자유형: 도형 82">
            <a:extLst>
              <a:ext uri="{FF2B5EF4-FFF2-40B4-BE49-F238E27FC236}">
                <a16:creationId xmlns:a16="http://schemas.microsoft.com/office/drawing/2014/main" id="{C4C49CB9-B9E2-AB02-CFFE-73147E74360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15</xdr:row>
      <xdr:rowOff>40107</xdr:rowOff>
    </xdr:from>
    <xdr:to>
      <xdr:col>73</xdr:col>
      <xdr:colOff>96064</xdr:colOff>
      <xdr:row>16</xdr:row>
      <xdr:rowOff>9349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4D9132E9-F3BD-4045-8D19-2199947689F1}"/>
            </a:ext>
          </a:extLst>
        </xdr:cNvPr>
        <xdr:cNvGrpSpPr/>
      </xdr:nvGrpSpPr>
      <xdr:grpSpPr>
        <a:xfrm>
          <a:off x="36331096" y="3305821"/>
          <a:ext cx="68825" cy="190132"/>
          <a:chOff x="8889969" y="717550"/>
          <a:chExt cx="95415" cy="260350"/>
        </a:xfrm>
      </xdr:grpSpPr>
      <xdr:sp macro="" textlink="">
        <xdr:nvSpPr>
          <xdr:cNvPr id="85" name="자유형: 도형 84">
            <a:extLst>
              <a:ext uri="{FF2B5EF4-FFF2-40B4-BE49-F238E27FC236}">
                <a16:creationId xmlns:a16="http://schemas.microsoft.com/office/drawing/2014/main" id="{AE9A4C22-25A9-708A-A012-E49CB4030F0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6" name="자유형: 도형 85">
            <a:extLst>
              <a:ext uri="{FF2B5EF4-FFF2-40B4-BE49-F238E27FC236}">
                <a16:creationId xmlns:a16="http://schemas.microsoft.com/office/drawing/2014/main" id="{21A556BC-D631-0E2B-C036-C731A3EF63F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16043</xdr:colOff>
      <xdr:row>17</xdr:row>
      <xdr:rowOff>32086</xdr:rowOff>
    </xdr:from>
    <xdr:to>
      <xdr:col>73</xdr:col>
      <xdr:colOff>88043</xdr:colOff>
      <xdr:row>17</xdr:row>
      <xdr:rowOff>219568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6A6AE489-3AA9-431A-B442-94B3E7E18C72}"/>
            </a:ext>
          </a:extLst>
        </xdr:cNvPr>
        <xdr:cNvGrpSpPr/>
      </xdr:nvGrpSpPr>
      <xdr:grpSpPr>
        <a:xfrm>
          <a:off x="36319900" y="3730054"/>
          <a:ext cx="68825" cy="187482"/>
          <a:chOff x="8889969" y="717550"/>
          <a:chExt cx="95415" cy="260350"/>
        </a:xfrm>
      </xdr:grpSpPr>
      <xdr:sp macro="" textlink="">
        <xdr:nvSpPr>
          <xdr:cNvPr id="88" name="자유형: 도형 87">
            <a:extLst>
              <a:ext uri="{FF2B5EF4-FFF2-40B4-BE49-F238E27FC236}">
                <a16:creationId xmlns:a16="http://schemas.microsoft.com/office/drawing/2014/main" id="{286D0C63-C2EF-75A7-C4B6-2834554E8DF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9" name="자유형: 도형 88">
            <a:extLst>
              <a:ext uri="{FF2B5EF4-FFF2-40B4-BE49-F238E27FC236}">
                <a16:creationId xmlns:a16="http://schemas.microsoft.com/office/drawing/2014/main" id="{CE5F9AD9-B75C-4187-53A6-4AEEB891BB6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23</xdr:row>
      <xdr:rowOff>25400</xdr:rowOff>
    </xdr:from>
    <xdr:to>
      <xdr:col>63</xdr:col>
      <xdr:colOff>102748</xdr:colOff>
      <xdr:row>24</xdr:row>
      <xdr:rowOff>909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C8BADC99-0048-418C-979C-245B66681272}"/>
            </a:ext>
          </a:extLst>
        </xdr:cNvPr>
        <xdr:cNvGrpSpPr/>
      </xdr:nvGrpSpPr>
      <xdr:grpSpPr>
        <a:xfrm>
          <a:off x="31160716" y="5036004"/>
          <a:ext cx="78350" cy="190048"/>
          <a:chOff x="8889969" y="717550"/>
          <a:chExt cx="95415" cy="260350"/>
        </a:xfrm>
      </xdr:grpSpPr>
      <xdr:sp macro="" textlink="">
        <xdr:nvSpPr>
          <xdr:cNvPr id="91" name="자유형: 도형 90">
            <a:extLst>
              <a:ext uri="{FF2B5EF4-FFF2-40B4-BE49-F238E27FC236}">
                <a16:creationId xmlns:a16="http://schemas.microsoft.com/office/drawing/2014/main" id="{E2F77A1C-0081-1333-C612-F892B81D4EF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2" name="자유형: 도형 91">
            <a:extLst>
              <a:ext uri="{FF2B5EF4-FFF2-40B4-BE49-F238E27FC236}">
                <a16:creationId xmlns:a16="http://schemas.microsoft.com/office/drawing/2014/main" id="{B98E2911-1EA2-9060-5A46-EB606693347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25</xdr:row>
      <xdr:rowOff>49464</xdr:rowOff>
    </xdr:from>
    <xdr:to>
      <xdr:col>63</xdr:col>
      <xdr:colOff>102748</xdr:colOff>
      <xdr:row>26</xdr:row>
      <xdr:rowOff>10685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1FDBD4B4-2314-4DC7-8288-09F3EACDDAA9}"/>
            </a:ext>
          </a:extLst>
        </xdr:cNvPr>
        <xdr:cNvGrpSpPr/>
      </xdr:nvGrpSpPr>
      <xdr:grpSpPr>
        <a:xfrm>
          <a:off x="31160716" y="5489146"/>
          <a:ext cx="78350" cy="178935"/>
          <a:chOff x="8889969" y="717550"/>
          <a:chExt cx="95415" cy="260350"/>
        </a:xfrm>
      </xdr:grpSpPr>
      <xdr:sp macro="" textlink="">
        <xdr:nvSpPr>
          <xdr:cNvPr id="94" name="자유형: 도형 93">
            <a:extLst>
              <a:ext uri="{FF2B5EF4-FFF2-40B4-BE49-F238E27FC236}">
                <a16:creationId xmlns:a16="http://schemas.microsoft.com/office/drawing/2014/main" id="{89C0E36A-E165-F78E-BC23-9ABFE9C753A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5" name="자유형: 도형 94">
            <a:extLst>
              <a:ext uri="{FF2B5EF4-FFF2-40B4-BE49-F238E27FC236}">
                <a16:creationId xmlns:a16="http://schemas.microsoft.com/office/drawing/2014/main" id="{C472A1C3-4A05-3CCA-5FEF-BB3306654F4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27</xdr:row>
      <xdr:rowOff>57485</xdr:rowOff>
    </xdr:from>
    <xdr:to>
      <xdr:col>63</xdr:col>
      <xdr:colOff>94727</xdr:colOff>
      <xdr:row>28</xdr:row>
      <xdr:rowOff>18706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A1DA411E-D765-4C72-8CDE-23A71EC0D671}"/>
            </a:ext>
          </a:extLst>
        </xdr:cNvPr>
        <xdr:cNvGrpSpPr/>
      </xdr:nvGrpSpPr>
      <xdr:grpSpPr>
        <a:xfrm>
          <a:off x="31159045" y="5935771"/>
          <a:ext cx="68825" cy="178935"/>
          <a:chOff x="8889969" y="717550"/>
          <a:chExt cx="95415" cy="260350"/>
        </a:xfrm>
      </xdr:grpSpPr>
      <xdr:sp macro="" textlink="">
        <xdr:nvSpPr>
          <xdr:cNvPr id="97" name="자유형: 도형 96">
            <a:extLst>
              <a:ext uri="{FF2B5EF4-FFF2-40B4-BE49-F238E27FC236}">
                <a16:creationId xmlns:a16="http://schemas.microsoft.com/office/drawing/2014/main" id="{B50F40E7-BCA5-714A-4E46-9E8761DA49D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8" name="자유형: 도형 97">
            <a:extLst>
              <a:ext uri="{FF2B5EF4-FFF2-40B4-BE49-F238E27FC236}">
                <a16:creationId xmlns:a16="http://schemas.microsoft.com/office/drawing/2014/main" id="{9F72A3BD-C093-9E43-351D-2EB9E625E87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29</xdr:row>
      <xdr:rowOff>41443</xdr:rowOff>
    </xdr:from>
    <xdr:to>
      <xdr:col>63</xdr:col>
      <xdr:colOff>102748</xdr:colOff>
      <xdr:row>30</xdr:row>
      <xdr:rowOff>10685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D6C1CA89-3F8F-44AF-AC47-3DD2AFB96393}"/>
            </a:ext>
          </a:extLst>
        </xdr:cNvPr>
        <xdr:cNvGrpSpPr/>
      </xdr:nvGrpSpPr>
      <xdr:grpSpPr>
        <a:xfrm>
          <a:off x="31160716" y="6358332"/>
          <a:ext cx="78350" cy="180607"/>
          <a:chOff x="8889969" y="717550"/>
          <a:chExt cx="95415" cy="260350"/>
        </a:xfrm>
      </xdr:grpSpPr>
      <xdr:sp macro="" textlink="">
        <xdr:nvSpPr>
          <xdr:cNvPr id="100" name="자유형: 도형 99">
            <a:extLst>
              <a:ext uri="{FF2B5EF4-FFF2-40B4-BE49-F238E27FC236}">
                <a16:creationId xmlns:a16="http://schemas.microsoft.com/office/drawing/2014/main" id="{C68C0279-2F8F-6017-0BBF-7A78C8989AF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1" name="자유형: 도형 100">
            <a:extLst>
              <a:ext uri="{FF2B5EF4-FFF2-40B4-BE49-F238E27FC236}">
                <a16:creationId xmlns:a16="http://schemas.microsoft.com/office/drawing/2014/main" id="{98EBC794-A28E-B21E-251C-7D2474332B0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31</xdr:row>
      <xdr:rowOff>33422</xdr:rowOff>
    </xdr:from>
    <xdr:to>
      <xdr:col>63</xdr:col>
      <xdr:colOff>94727</xdr:colOff>
      <xdr:row>31</xdr:row>
      <xdr:rowOff>208538</xdr:rowOff>
    </xdr:to>
    <xdr:grpSp>
      <xdr:nvGrpSpPr>
        <xdr:cNvPr id="102" name="그룹 101">
          <a:extLst>
            <a:ext uri="{FF2B5EF4-FFF2-40B4-BE49-F238E27FC236}">
              <a16:creationId xmlns:a16="http://schemas.microsoft.com/office/drawing/2014/main" id="{C9152DFE-B3BE-4628-8859-97B76FDE4586}"/>
            </a:ext>
          </a:extLst>
        </xdr:cNvPr>
        <xdr:cNvGrpSpPr/>
      </xdr:nvGrpSpPr>
      <xdr:grpSpPr>
        <a:xfrm>
          <a:off x="31159045" y="6779390"/>
          <a:ext cx="68825" cy="178291"/>
          <a:chOff x="8889969" y="717550"/>
          <a:chExt cx="95415" cy="260350"/>
        </a:xfrm>
      </xdr:grpSpPr>
      <xdr:sp macro="" textlink="">
        <xdr:nvSpPr>
          <xdr:cNvPr id="103" name="자유형: 도형 102">
            <a:extLst>
              <a:ext uri="{FF2B5EF4-FFF2-40B4-BE49-F238E27FC236}">
                <a16:creationId xmlns:a16="http://schemas.microsoft.com/office/drawing/2014/main" id="{C13E5B6B-9DA7-FD27-8CC8-3F638C4E8E4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4" name="자유형: 도형 103">
            <a:extLst>
              <a:ext uri="{FF2B5EF4-FFF2-40B4-BE49-F238E27FC236}">
                <a16:creationId xmlns:a16="http://schemas.microsoft.com/office/drawing/2014/main" id="{52E08966-718D-D1EB-7B28-C25E9107634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51</xdr:col>
      <xdr:colOff>630434</xdr:colOff>
      <xdr:row>7</xdr:row>
      <xdr:rowOff>76736</xdr:rowOff>
    </xdr:from>
    <xdr:ext cx="162352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801A4009-C962-496E-90BA-6C2CDFCCA570}"/>
            </a:ext>
          </a:extLst>
        </xdr:cNvPr>
        <xdr:cNvSpPr txBox="1"/>
      </xdr:nvSpPr>
      <xdr:spPr>
        <a:xfrm>
          <a:off x="25820884" y="1822986"/>
          <a:ext cx="16235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daised_dev_ch_size [4:0]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50</xdr:col>
      <xdr:colOff>747290</xdr:colOff>
      <xdr:row>8</xdr:row>
      <xdr:rowOff>62832</xdr:rowOff>
    </xdr:from>
    <xdr:to>
      <xdr:col>57</xdr:col>
      <xdr:colOff>688133</xdr:colOff>
      <xdr:row>8</xdr:row>
      <xdr:rowOff>62832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9AB51C3F-8D05-4613-9B4F-BDB9C1E872C0}"/>
            </a:ext>
          </a:extLst>
        </xdr:cNvPr>
        <xdr:cNvCxnSpPr/>
      </xdr:nvCxnSpPr>
      <xdr:spPr>
        <a:xfrm>
          <a:off x="25188440" y="2031332"/>
          <a:ext cx="307774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32084</xdr:colOff>
      <xdr:row>23</xdr:row>
      <xdr:rowOff>16043</xdr:rowOff>
    </xdr:from>
    <xdr:to>
      <xdr:col>55</xdr:col>
      <xdr:colOff>104084</xdr:colOff>
      <xdr:row>23</xdr:row>
      <xdr:rowOff>209875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1C4655EE-1F33-4F8D-807A-93C7C54A21E5}"/>
            </a:ext>
          </a:extLst>
        </xdr:cNvPr>
        <xdr:cNvGrpSpPr/>
      </xdr:nvGrpSpPr>
      <xdr:grpSpPr>
        <a:xfrm>
          <a:off x="27365659" y="5023472"/>
          <a:ext cx="78350" cy="193832"/>
          <a:chOff x="8889969" y="717550"/>
          <a:chExt cx="95415" cy="260350"/>
        </a:xfrm>
      </xdr:grpSpPr>
      <xdr:sp macro="" textlink="">
        <xdr:nvSpPr>
          <xdr:cNvPr id="108" name="자유형: 도형 107">
            <a:extLst>
              <a:ext uri="{FF2B5EF4-FFF2-40B4-BE49-F238E27FC236}">
                <a16:creationId xmlns:a16="http://schemas.microsoft.com/office/drawing/2014/main" id="{BD6E78EA-785C-0B63-301D-725B9029527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9" name="자유형: 도형 108">
            <a:extLst>
              <a:ext uri="{FF2B5EF4-FFF2-40B4-BE49-F238E27FC236}">
                <a16:creationId xmlns:a16="http://schemas.microsoft.com/office/drawing/2014/main" id="{62EB53B4-AC72-2514-3A31-598087DBE34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25</xdr:row>
      <xdr:rowOff>40107</xdr:rowOff>
    </xdr:from>
    <xdr:to>
      <xdr:col>55</xdr:col>
      <xdr:colOff>104084</xdr:colOff>
      <xdr:row>26</xdr:row>
      <xdr:rowOff>1328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91F0D31F-C6CF-4933-8F56-B68B275D8D48}"/>
            </a:ext>
          </a:extLst>
        </xdr:cNvPr>
        <xdr:cNvGrpSpPr/>
      </xdr:nvGrpSpPr>
      <xdr:grpSpPr>
        <a:xfrm>
          <a:off x="27365659" y="5482964"/>
          <a:ext cx="78350" cy="178935"/>
          <a:chOff x="8889969" y="717550"/>
          <a:chExt cx="95415" cy="260350"/>
        </a:xfrm>
      </xdr:grpSpPr>
      <xdr:sp macro="" textlink="">
        <xdr:nvSpPr>
          <xdr:cNvPr id="111" name="자유형: 도형 110">
            <a:extLst>
              <a:ext uri="{FF2B5EF4-FFF2-40B4-BE49-F238E27FC236}">
                <a16:creationId xmlns:a16="http://schemas.microsoft.com/office/drawing/2014/main" id="{609F17C9-BF58-EE67-19B2-54E0DD9A06F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2" name="자유형: 도형 111">
            <a:extLst>
              <a:ext uri="{FF2B5EF4-FFF2-40B4-BE49-F238E27FC236}">
                <a16:creationId xmlns:a16="http://schemas.microsoft.com/office/drawing/2014/main" id="{226395E0-5C4D-EA08-3A87-F5430FA7C0B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27</xdr:row>
      <xdr:rowOff>48128</xdr:rowOff>
    </xdr:from>
    <xdr:to>
      <xdr:col>55</xdr:col>
      <xdr:colOff>96063</xdr:colOff>
      <xdr:row>28</xdr:row>
      <xdr:rowOff>9349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B0056B81-0A97-40E5-9ACF-60A46D985EE5}"/>
            </a:ext>
          </a:extLst>
        </xdr:cNvPr>
        <xdr:cNvGrpSpPr/>
      </xdr:nvGrpSpPr>
      <xdr:grpSpPr>
        <a:xfrm>
          <a:off x="27363988" y="5923239"/>
          <a:ext cx="68825" cy="185285"/>
          <a:chOff x="8889969" y="717550"/>
          <a:chExt cx="95415" cy="260350"/>
        </a:xfrm>
      </xdr:grpSpPr>
      <xdr:sp macro="" textlink="">
        <xdr:nvSpPr>
          <xdr:cNvPr id="114" name="자유형: 도형 113">
            <a:extLst>
              <a:ext uri="{FF2B5EF4-FFF2-40B4-BE49-F238E27FC236}">
                <a16:creationId xmlns:a16="http://schemas.microsoft.com/office/drawing/2014/main" id="{28EF6213-341B-BE85-0BC1-39B932BB640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5B0F18FF-EB6A-A3F3-D898-9727041D686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29</xdr:row>
      <xdr:rowOff>32086</xdr:rowOff>
    </xdr:from>
    <xdr:to>
      <xdr:col>55</xdr:col>
      <xdr:colOff>104084</xdr:colOff>
      <xdr:row>30</xdr:row>
      <xdr:rowOff>1328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9DB21213-3C7F-48E9-8D56-BA453AA9C536}"/>
            </a:ext>
          </a:extLst>
        </xdr:cNvPr>
        <xdr:cNvGrpSpPr/>
      </xdr:nvGrpSpPr>
      <xdr:grpSpPr>
        <a:xfrm>
          <a:off x="27365659" y="6342625"/>
          <a:ext cx="78350" cy="190132"/>
          <a:chOff x="8889969" y="717550"/>
          <a:chExt cx="95415" cy="260350"/>
        </a:xfrm>
      </xdr:grpSpPr>
      <xdr:sp macro="" textlink="">
        <xdr:nvSpPr>
          <xdr:cNvPr id="117" name="자유형: 도형 116">
            <a:extLst>
              <a:ext uri="{FF2B5EF4-FFF2-40B4-BE49-F238E27FC236}">
                <a16:creationId xmlns:a16="http://schemas.microsoft.com/office/drawing/2014/main" id="{233B7E60-0B0B-96FD-C795-DDFFEC8B874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D9E59BFD-C714-67FB-5C88-B3D0D442C7F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31</xdr:row>
      <xdr:rowOff>24065</xdr:rowOff>
    </xdr:from>
    <xdr:to>
      <xdr:col>55</xdr:col>
      <xdr:colOff>96063</xdr:colOff>
      <xdr:row>32</xdr:row>
      <xdr:rowOff>4002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B8940BA9-5831-4C28-9812-D8806D1671FE}"/>
            </a:ext>
          </a:extLst>
        </xdr:cNvPr>
        <xdr:cNvGrpSpPr/>
      </xdr:nvGrpSpPr>
      <xdr:grpSpPr>
        <a:xfrm>
          <a:off x="27363988" y="6776383"/>
          <a:ext cx="68825" cy="197651"/>
          <a:chOff x="8889969" y="717550"/>
          <a:chExt cx="95415" cy="260350"/>
        </a:xfrm>
      </xdr:grpSpPr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A05E0295-BAD5-D8F3-30FD-B7B9434521C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1" name="자유형: 도형 120">
            <a:extLst>
              <a:ext uri="{FF2B5EF4-FFF2-40B4-BE49-F238E27FC236}">
                <a16:creationId xmlns:a16="http://schemas.microsoft.com/office/drawing/2014/main" id="{B368FF70-9046-6C2F-0079-4D30A3A18A5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55</xdr:col>
      <xdr:colOff>96031</xdr:colOff>
      <xdr:row>5</xdr:row>
      <xdr:rowOff>215628</xdr:rowOff>
    </xdr:from>
    <xdr:ext cx="1038169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BD24AC04-107B-477E-8392-85F2EAADAE7A}"/>
            </a:ext>
          </a:extLst>
        </xdr:cNvPr>
        <xdr:cNvSpPr txBox="1"/>
      </xdr:nvSpPr>
      <xdr:spPr>
        <a:xfrm>
          <a:off x="27432781" y="1523728"/>
          <a:ext cx="10381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</a:rPr>
            <a:t>block_size_chx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76</xdr:col>
      <xdr:colOff>0</xdr:colOff>
      <xdr:row>8</xdr:row>
      <xdr:rowOff>125413</xdr:rowOff>
    </xdr:from>
    <xdr:to>
      <xdr:col>76</xdr:col>
      <xdr:colOff>0</xdr:colOff>
      <xdr:row>18</xdr:row>
      <xdr:rowOff>174600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21EDC2D5-46A9-4F09-9BFB-477DF8434F98}"/>
            </a:ext>
          </a:extLst>
        </xdr:cNvPr>
        <xdr:cNvCxnSpPr/>
      </xdr:nvCxnSpPr>
      <xdr:spPr>
        <a:xfrm flipH="1">
          <a:off x="37801550" y="2093913"/>
          <a:ext cx="0" cy="2252637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70</xdr:col>
      <xdr:colOff>1091406</xdr:colOff>
      <xdr:row>18</xdr:row>
      <xdr:rowOff>42995</xdr:rowOff>
    </xdr:from>
    <xdr:ext cx="2992009" cy="508473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C3709256-140C-4B7B-AFF7-A68B60FEFA0D}"/>
            </a:ext>
          </a:extLst>
        </xdr:cNvPr>
        <xdr:cNvSpPr txBox="1"/>
      </xdr:nvSpPr>
      <xdr:spPr>
        <a:xfrm>
          <a:off x="34854356" y="4214945"/>
          <a:ext cx="2992009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US" altLang="ko-KR" sz="1100">
              <a:solidFill>
                <a:sysClr val="windowText" lastClr="000000"/>
              </a:solidFill>
            </a:rPr>
            <a:t>sync time @ driver-side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en-US" altLang="ko-KR" sz="1100">
              <a:solidFill>
                <a:sysClr val="windowText" lastClr="000000"/>
              </a:solidFill>
            </a:rPr>
            <a:t>(internally gen. a</a:t>
          </a:r>
          <a:r>
            <a:rPr lang="en-US" altLang="ko-KR" sz="1100" baseline="0">
              <a:solidFill>
                <a:sysClr val="windowText" lastClr="000000"/>
              </a:solidFill>
            </a:rPr>
            <a:t> vsync)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start bit time</a:t>
          </a:r>
          <a:r>
            <a:rPr lang="ko-KR" altLang="en-US" sz="1100" baseline="0">
              <a:solidFill>
                <a:sysClr val="windowText" lastClr="000000"/>
              </a:solidFill>
            </a:rPr>
            <a:t>에서 </a:t>
          </a:r>
          <a:r>
            <a:rPr lang="en-US" altLang="ko-KR" sz="1100" baseline="0">
              <a:solidFill>
                <a:sysClr val="windowText" lastClr="000000"/>
              </a:solidFill>
            </a:rPr>
            <a:t>'0' </a:t>
          </a:r>
          <a:r>
            <a:rPr lang="ko-KR" altLang="en-US" sz="1100" baseline="0">
              <a:solidFill>
                <a:sysClr val="windowText" lastClr="000000"/>
              </a:solidFill>
            </a:rPr>
            <a:t>감지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44</xdr:col>
      <xdr:colOff>606331</xdr:colOff>
      <xdr:row>22</xdr:row>
      <xdr:rowOff>112450</xdr:rowOff>
    </xdr:from>
    <xdr:to>
      <xdr:col>44</xdr:col>
      <xdr:colOff>606331</xdr:colOff>
      <xdr:row>32</xdr:row>
      <xdr:rowOff>105793</xdr:rowOff>
    </xdr:to>
    <xdr:cxnSp macro="">
      <xdr:nvCxnSpPr>
        <xdr:cNvPr id="125" name="직선 연결선 124">
          <a:extLst>
            <a:ext uri="{FF2B5EF4-FFF2-40B4-BE49-F238E27FC236}">
              <a16:creationId xmlns:a16="http://schemas.microsoft.com/office/drawing/2014/main" id="{495FDC87-A3C6-47BC-80D0-A0C463C6D65C}"/>
            </a:ext>
          </a:extLst>
        </xdr:cNvPr>
        <xdr:cNvCxnSpPr/>
      </xdr:nvCxnSpPr>
      <xdr:spPr>
        <a:xfrm flipH="1">
          <a:off x="21993131" y="5167050"/>
          <a:ext cx="0" cy="2196793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592324</xdr:colOff>
      <xdr:row>31</xdr:row>
      <xdr:rowOff>215239</xdr:rowOff>
    </xdr:from>
    <xdr:ext cx="1976695" cy="508473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8F433076-11FC-405D-90A5-75FB30098C25}"/>
            </a:ext>
          </a:extLst>
        </xdr:cNvPr>
        <xdr:cNvSpPr txBox="1"/>
      </xdr:nvSpPr>
      <xdr:spPr>
        <a:xfrm>
          <a:off x="20855174" y="7251039"/>
          <a:ext cx="1976695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receive</a:t>
          </a:r>
          <a:r>
            <a:rPr lang="en-US" altLang="ko-KR" sz="1100" baseline="0">
              <a:solidFill>
                <a:sysClr val="windowText" lastClr="000000"/>
              </a:solidFill>
            </a:rPr>
            <a:t> complete </a:t>
          </a:r>
          <a:r>
            <a:rPr lang="en-US" altLang="ko-KR" sz="1100">
              <a:solidFill>
                <a:sysClr val="windowText" lastClr="000000"/>
              </a:solidFill>
            </a:rPr>
            <a:t>@ driver-side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start bit time</a:t>
          </a:r>
          <a:r>
            <a:rPr lang="ko-KR" altLang="en-US" sz="1100" baseline="0">
              <a:solidFill>
                <a:sysClr val="windowText" lastClr="000000"/>
              </a:solidFill>
            </a:rPr>
            <a:t>에서 </a:t>
          </a:r>
          <a:r>
            <a:rPr lang="en-US" altLang="ko-KR" sz="1100" baseline="0">
              <a:solidFill>
                <a:sysClr val="windowText" lastClr="000000"/>
              </a:solidFill>
            </a:rPr>
            <a:t>'0' </a:t>
          </a:r>
          <a:r>
            <a:rPr lang="ko-KR" altLang="en-US" sz="1100" baseline="0">
              <a:solidFill>
                <a:sysClr val="windowText" lastClr="000000"/>
              </a:solidFill>
            </a:rPr>
            <a:t>감지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31</xdr:col>
      <xdr:colOff>259</xdr:colOff>
      <xdr:row>38</xdr:row>
      <xdr:rowOff>112722</xdr:rowOff>
    </xdr:from>
    <xdr:to>
      <xdr:col>31</xdr:col>
      <xdr:colOff>259</xdr:colOff>
      <xdr:row>48</xdr:row>
      <xdr:rowOff>17910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1D17DE0C-DF3E-4E0B-87A1-EB5E8DEB2C81}"/>
            </a:ext>
          </a:extLst>
        </xdr:cNvPr>
        <xdr:cNvCxnSpPr/>
      </xdr:nvCxnSpPr>
      <xdr:spPr>
        <a:xfrm flipH="1">
          <a:off x="14757659" y="8678872"/>
          <a:ext cx="0" cy="2064188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258200</xdr:colOff>
      <xdr:row>46</xdr:row>
      <xdr:rowOff>56753</xdr:rowOff>
    </xdr:from>
    <xdr:ext cx="2936445" cy="508473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3B0F91A2-53D0-4113-BE77-075C582FCDA4}"/>
            </a:ext>
          </a:extLst>
        </xdr:cNvPr>
        <xdr:cNvSpPr txBox="1"/>
      </xdr:nvSpPr>
      <xdr:spPr>
        <a:xfrm>
          <a:off x="14742550" y="10350103"/>
          <a:ext cx="2936445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driving read data out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en-US" altLang="ko-KR" sz="1100">
              <a:solidFill>
                <a:sysClr val="windowText" lastClr="000000"/>
              </a:solidFill>
            </a:rPr>
            <a:t>@ driver-side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id=1 </a:t>
          </a:r>
          <a:r>
            <a:rPr lang="ko-KR" altLang="en-US" sz="1100" baseline="0">
              <a:solidFill>
                <a:sysClr val="windowText" lastClr="000000"/>
              </a:solidFill>
            </a:rPr>
            <a:t>부터 </a:t>
          </a:r>
          <a:r>
            <a:rPr lang="en-US" altLang="ko-KR" sz="1100" baseline="0">
              <a:solidFill>
                <a:sysClr val="windowText" lastClr="000000"/>
              </a:solidFill>
            </a:rPr>
            <a:t>start (dev #n</a:t>
          </a:r>
          <a:r>
            <a:rPr lang="ko-KR" altLang="en-US" sz="1100" baseline="0">
              <a:solidFill>
                <a:sysClr val="windowText" lastClr="000000"/>
              </a:solidFill>
            </a:rPr>
            <a:t>의 </a:t>
          </a:r>
          <a:r>
            <a:rPr lang="en-US" altLang="ko-KR" sz="1100" baseline="0">
              <a:solidFill>
                <a:sysClr val="windowText" lastClr="000000"/>
              </a:solidFill>
            </a:rPr>
            <a:t>id = 0) and self driving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34</xdr:col>
      <xdr:colOff>2199</xdr:colOff>
      <xdr:row>10</xdr:row>
      <xdr:rowOff>19845</xdr:rowOff>
    </xdr:from>
    <xdr:to>
      <xdr:col>34</xdr:col>
      <xdr:colOff>2199</xdr:colOff>
      <xdr:row>13</xdr:row>
      <xdr:rowOff>35772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D5462BC8-1C58-4FD1-9FF2-ED321CF6FAC8}"/>
            </a:ext>
          </a:extLst>
        </xdr:cNvPr>
        <xdr:cNvCxnSpPr/>
      </xdr:nvCxnSpPr>
      <xdr:spPr>
        <a:xfrm>
          <a:off x="16969399" y="2426495"/>
          <a:ext cx="0" cy="676327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1089018</xdr:colOff>
      <xdr:row>12</xdr:row>
      <xdr:rowOff>178593</xdr:rowOff>
    </xdr:from>
    <xdr:to>
      <xdr:col>37</xdr:col>
      <xdr:colOff>249612</xdr:colOff>
      <xdr:row>12</xdr:row>
      <xdr:rowOff>178593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B967CED0-D818-4795-B0B0-48F3BDFDD985}"/>
            </a:ext>
          </a:extLst>
        </xdr:cNvPr>
        <xdr:cNvCxnSpPr/>
      </xdr:nvCxnSpPr>
      <xdr:spPr>
        <a:xfrm flipH="1">
          <a:off x="16970368" y="3029743"/>
          <a:ext cx="836994" cy="0"/>
        </a:xfrm>
        <a:prstGeom prst="line">
          <a:avLst/>
        </a:prstGeom>
        <a:ln w="3175">
          <a:solidFill>
            <a:schemeClr val="tx1"/>
          </a:solidFill>
          <a:prstDash val="dash"/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337341</xdr:colOff>
      <xdr:row>12</xdr:row>
      <xdr:rowOff>36400</xdr:rowOff>
    </xdr:from>
    <xdr:ext cx="1488283" cy="344453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27B2912C-B371-4B93-B0B4-A4465DC04CF3}"/>
            </a:ext>
          </a:extLst>
        </xdr:cNvPr>
        <xdr:cNvSpPr txBox="1"/>
      </xdr:nvSpPr>
      <xdr:spPr>
        <a:xfrm>
          <a:off x="17895091" y="2887550"/>
          <a:ext cx="1488283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dev#1 bypass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dev#2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driving output low</a:t>
          </a:r>
          <a:endParaRPr lang="ko-KR" altLang="ko-KR">
            <a:solidFill>
              <a:sysClr val="windowText" lastClr="000000"/>
            </a:solidFill>
            <a:effectLst/>
          </a:endParaRPr>
        </a:p>
      </xdr:txBody>
    </xdr:sp>
    <xdr:clientData/>
  </xdr:oneCellAnchor>
  <xdr:oneCellAnchor>
    <xdr:from>
      <xdr:col>28</xdr:col>
      <xdr:colOff>30909</xdr:colOff>
      <xdr:row>46</xdr:row>
      <xdr:rowOff>63633</xdr:rowOff>
    </xdr:from>
    <xdr:ext cx="1489126" cy="436786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D6C64ED-BFE2-4E12-86E2-2C8290EC6438}"/>
            </a:ext>
          </a:extLst>
        </xdr:cNvPr>
        <xdr:cNvSpPr txBox="1"/>
      </xdr:nvSpPr>
      <xdr:spPr>
        <a:xfrm>
          <a:off x="13327809" y="10356983"/>
          <a:ext cx="148912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en-US" altLang="ko-KR" sz="1100">
              <a:solidFill>
                <a:sysClr val="windowText" lastClr="000000"/>
              </a:solidFill>
            </a:rPr>
            <a:t>all dev</a:t>
          </a:r>
          <a:r>
            <a:rPr lang="en-US" altLang="ko-KR" sz="1100" baseline="0">
              <a:solidFill>
                <a:sysClr val="windowText" lastClr="000000"/>
              </a:solidFill>
            </a:rPr>
            <a:t> ready to bypass</a:t>
          </a:r>
        </a:p>
        <a:p>
          <a:pPr algn="r"/>
          <a:r>
            <a:rPr lang="en-US" altLang="ko-KR" sz="1100" baseline="0">
              <a:solidFill>
                <a:sysClr val="windowText" lastClr="000000"/>
              </a:solidFill>
            </a:rPr>
            <a:t>&amp; driving output low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88</xdr:col>
      <xdr:colOff>63058</xdr:colOff>
      <xdr:row>18</xdr:row>
      <xdr:rowOff>22047</xdr:rowOff>
    </xdr:from>
    <xdr:ext cx="4173803" cy="304272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2E372817-C492-413E-A837-574D438DF401}"/>
            </a:ext>
          </a:extLst>
        </xdr:cNvPr>
        <xdr:cNvSpPr txBox="1"/>
      </xdr:nvSpPr>
      <xdr:spPr>
        <a:xfrm>
          <a:off x="43554208" y="4193997"/>
          <a:ext cx="4173803" cy="3042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re-driving command 4-bit + result 4-bit (</a:t>
          </a:r>
          <a:r>
            <a:rPr lang="ko-KR" altLang="en-US" sz="1100">
              <a:solidFill>
                <a:sysClr val="windowText" lastClr="000000"/>
              </a:solidFill>
            </a:rPr>
            <a:t>수신 </a:t>
          </a:r>
          <a:r>
            <a:rPr lang="en-US" altLang="ko-KR" sz="1100">
              <a:solidFill>
                <a:sysClr val="windowText" lastClr="000000"/>
              </a:solidFill>
            </a:rPr>
            <a:t>4-bit | </a:t>
          </a:r>
          <a:r>
            <a:rPr lang="ko-KR" altLang="en-US" sz="1100">
              <a:solidFill>
                <a:sysClr val="windowText" lastClr="000000"/>
              </a:solidFill>
            </a:rPr>
            <a:t>자신 </a:t>
          </a:r>
          <a:r>
            <a:rPr lang="en-US" altLang="ko-KR" sz="1100">
              <a:solidFill>
                <a:sysClr val="windowText" lastClr="000000"/>
              </a:solidFill>
            </a:rPr>
            <a:t>status 4-bit)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83</xdr:col>
      <xdr:colOff>22922</xdr:colOff>
      <xdr:row>9</xdr:row>
      <xdr:rowOff>25736</xdr:rowOff>
    </xdr:from>
    <xdr:to>
      <xdr:col>83</xdr:col>
      <xdr:colOff>94922</xdr:colOff>
      <xdr:row>9</xdr:row>
      <xdr:rowOff>213218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49158685-DA6F-469B-BA1C-05D1864A6C52}"/>
            </a:ext>
          </a:extLst>
        </xdr:cNvPr>
        <xdr:cNvGrpSpPr/>
      </xdr:nvGrpSpPr>
      <xdr:grpSpPr>
        <a:xfrm>
          <a:off x="41895276" y="1988340"/>
          <a:ext cx="68825" cy="187482"/>
          <a:chOff x="8889969" y="717550"/>
          <a:chExt cx="95415" cy="260350"/>
        </a:xfrm>
      </xdr:grpSpPr>
      <xdr:sp macro="" textlink="">
        <xdr:nvSpPr>
          <xdr:cNvPr id="135" name="자유형: 도형 134">
            <a:extLst>
              <a:ext uri="{FF2B5EF4-FFF2-40B4-BE49-F238E27FC236}">
                <a16:creationId xmlns:a16="http://schemas.microsoft.com/office/drawing/2014/main" id="{616B7B71-A1E0-8E38-4320-6022D327A4A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6" name="자유형: 도형 135">
            <a:extLst>
              <a:ext uri="{FF2B5EF4-FFF2-40B4-BE49-F238E27FC236}">
                <a16:creationId xmlns:a16="http://schemas.microsoft.com/office/drawing/2014/main" id="{1D49D5FB-6971-19D4-6BF4-0ECF92D70F8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29802</xdr:colOff>
      <xdr:row>11</xdr:row>
      <xdr:rowOff>52458</xdr:rowOff>
    </xdr:from>
    <xdr:to>
      <xdr:col>83</xdr:col>
      <xdr:colOff>101802</xdr:colOff>
      <xdr:row>12</xdr:row>
      <xdr:rowOff>15045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D1FE439D-375D-474B-B5E2-E91029B30ACC}"/>
            </a:ext>
          </a:extLst>
        </xdr:cNvPr>
        <xdr:cNvGrpSpPr/>
      </xdr:nvGrpSpPr>
      <xdr:grpSpPr>
        <a:xfrm>
          <a:off x="41895806" y="2444140"/>
          <a:ext cx="78350" cy="180301"/>
          <a:chOff x="8889969" y="717550"/>
          <a:chExt cx="95415" cy="260350"/>
        </a:xfrm>
      </xdr:grpSpPr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9491F67C-2572-56FE-F47E-6E9E47FB32C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9" name="자유형: 도형 138">
            <a:extLst>
              <a:ext uri="{FF2B5EF4-FFF2-40B4-BE49-F238E27FC236}">
                <a16:creationId xmlns:a16="http://schemas.microsoft.com/office/drawing/2014/main" id="{B284BAAD-9365-AF26-BE66-4C580C31D3A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23452</xdr:colOff>
      <xdr:row>13</xdr:row>
      <xdr:rowOff>52722</xdr:rowOff>
    </xdr:from>
    <xdr:to>
      <xdr:col>83</xdr:col>
      <xdr:colOff>95452</xdr:colOff>
      <xdr:row>14</xdr:row>
      <xdr:rowOff>15309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AECF91C8-C89F-488A-8D3E-2E0DE6D9020C}"/>
            </a:ext>
          </a:extLst>
        </xdr:cNvPr>
        <xdr:cNvGrpSpPr/>
      </xdr:nvGrpSpPr>
      <xdr:grpSpPr>
        <a:xfrm>
          <a:off x="41895806" y="2879833"/>
          <a:ext cx="68825" cy="180301"/>
          <a:chOff x="8889969" y="717550"/>
          <a:chExt cx="95415" cy="260350"/>
        </a:xfrm>
      </xdr:grpSpPr>
      <xdr:sp macro="" textlink="">
        <xdr:nvSpPr>
          <xdr:cNvPr id="141" name="자유형: 도형 140">
            <a:extLst>
              <a:ext uri="{FF2B5EF4-FFF2-40B4-BE49-F238E27FC236}">
                <a16:creationId xmlns:a16="http://schemas.microsoft.com/office/drawing/2014/main" id="{87111C6D-8CDE-64CA-2E3C-5715C17574A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EEBC14CF-F8E1-A075-0DD6-4CA1139E29C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17102</xdr:colOff>
      <xdr:row>15</xdr:row>
      <xdr:rowOff>33144</xdr:rowOff>
    </xdr:from>
    <xdr:to>
      <xdr:col>83</xdr:col>
      <xdr:colOff>89102</xdr:colOff>
      <xdr:row>16</xdr:row>
      <xdr:rowOff>2344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FC21536F-EC78-4230-8F43-EC0E8A74A3A7}"/>
            </a:ext>
          </a:extLst>
        </xdr:cNvPr>
        <xdr:cNvGrpSpPr/>
      </xdr:nvGrpSpPr>
      <xdr:grpSpPr>
        <a:xfrm>
          <a:off x="41886281" y="3295683"/>
          <a:ext cx="68825" cy="190090"/>
          <a:chOff x="8889969" y="717550"/>
          <a:chExt cx="95415" cy="260350"/>
        </a:xfrm>
      </xdr:grpSpPr>
      <xdr:sp macro="" textlink="">
        <xdr:nvSpPr>
          <xdr:cNvPr id="144" name="자유형: 도형 143">
            <a:extLst>
              <a:ext uri="{FF2B5EF4-FFF2-40B4-BE49-F238E27FC236}">
                <a16:creationId xmlns:a16="http://schemas.microsoft.com/office/drawing/2014/main" id="{F38CD237-3826-6440-15F9-1A40601D56A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5" name="자유형: 도형 144">
            <a:extLst>
              <a:ext uri="{FF2B5EF4-FFF2-40B4-BE49-F238E27FC236}">
                <a16:creationId xmlns:a16="http://schemas.microsoft.com/office/drawing/2014/main" id="{6508BA69-FF0C-CFE3-1616-47B29E3991D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30595</xdr:colOff>
      <xdr:row>17</xdr:row>
      <xdr:rowOff>53252</xdr:rowOff>
    </xdr:from>
    <xdr:to>
      <xdr:col>83</xdr:col>
      <xdr:colOff>102595</xdr:colOff>
      <xdr:row>18</xdr:row>
      <xdr:rowOff>15838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14FAE6CB-81FF-4575-B9C1-0A26F555B5AF}"/>
            </a:ext>
          </a:extLst>
        </xdr:cNvPr>
        <xdr:cNvGrpSpPr/>
      </xdr:nvGrpSpPr>
      <xdr:grpSpPr>
        <a:xfrm>
          <a:off x="41896599" y="3751220"/>
          <a:ext cx="78350" cy="180300"/>
          <a:chOff x="8889969" y="717550"/>
          <a:chExt cx="95415" cy="260350"/>
        </a:xfrm>
      </xdr:grpSpPr>
      <xdr:sp macro="" textlink="">
        <xdr:nvSpPr>
          <xdr:cNvPr id="147" name="자유형: 도형 146">
            <a:extLst>
              <a:ext uri="{FF2B5EF4-FFF2-40B4-BE49-F238E27FC236}">
                <a16:creationId xmlns:a16="http://schemas.microsoft.com/office/drawing/2014/main" id="{3CA7962C-EC5C-A029-EE4C-177C0706362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8" name="자유형: 도형 147">
            <a:extLst>
              <a:ext uri="{FF2B5EF4-FFF2-40B4-BE49-F238E27FC236}">
                <a16:creationId xmlns:a16="http://schemas.microsoft.com/office/drawing/2014/main" id="{A0F1B5ED-9338-A6A1-E945-9C629C69C81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31</xdr:col>
      <xdr:colOff>220495</xdr:colOff>
      <xdr:row>3</xdr:row>
      <xdr:rowOff>182824</xdr:rowOff>
    </xdr:from>
    <xdr:to>
      <xdr:col>43</xdr:col>
      <xdr:colOff>1046152</xdr:colOff>
      <xdr:row>6</xdr:row>
      <xdr:rowOff>199082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98FB47DF-E92B-4C3A-B7A8-6C2BB5CD003E}"/>
            </a:ext>
          </a:extLst>
        </xdr:cNvPr>
        <xdr:cNvGrpSpPr/>
      </xdr:nvGrpSpPr>
      <xdr:grpSpPr>
        <a:xfrm>
          <a:off x="15062713" y="832792"/>
          <a:ext cx="6326118" cy="675751"/>
          <a:chOff x="14395105" y="606156"/>
          <a:chExt cx="5846574" cy="686536"/>
        </a:xfrm>
      </xdr:grpSpPr>
      <xdr:sp macro="" textlink="">
        <xdr:nvSpPr>
          <xdr:cNvPr id="150" name="직사각형 149">
            <a:extLst>
              <a:ext uri="{FF2B5EF4-FFF2-40B4-BE49-F238E27FC236}">
                <a16:creationId xmlns:a16="http://schemas.microsoft.com/office/drawing/2014/main" id="{3AF6C6A9-A42A-5AB3-6D4B-386B575E15D0}"/>
              </a:ext>
            </a:extLst>
          </xdr:cNvPr>
          <xdr:cNvSpPr/>
        </xdr:nvSpPr>
        <xdr:spPr>
          <a:xfrm>
            <a:off x="15473510" y="608692"/>
            <a:ext cx="684000" cy="68400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A683B5A2-7C2C-A1B6-4E4D-762956FB62A9}"/>
              </a:ext>
            </a:extLst>
          </xdr:cNvPr>
          <xdr:cNvSpPr/>
        </xdr:nvSpPr>
        <xdr:spPr>
          <a:xfrm>
            <a:off x="17189072" y="606156"/>
            <a:ext cx="684000" cy="68400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2" name="직사각형 151">
            <a:extLst>
              <a:ext uri="{FF2B5EF4-FFF2-40B4-BE49-F238E27FC236}">
                <a16:creationId xmlns:a16="http://schemas.microsoft.com/office/drawing/2014/main" id="{F59B3141-4581-9110-7B69-8E1243365C8B}"/>
              </a:ext>
            </a:extLst>
          </xdr:cNvPr>
          <xdr:cNvSpPr/>
        </xdr:nvSpPr>
        <xdr:spPr>
          <a:xfrm>
            <a:off x="19100543" y="608692"/>
            <a:ext cx="684000" cy="6840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3" name="직선 화살표 연결선 152">
            <a:extLst>
              <a:ext uri="{FF2B5EF4-FFF2-40B4-BE49-F238E27FC236}">
                <a16:creationId xmlns:a16="http://schemas.microsoft.com/office/drawing/2014/main" id="{7C486B6E-3DC0-8BD8-4B35-2F0BB7A4BF6C}"/>
              </a:ext>
            </a:extLst>
          </xdr:cNvPr>
          <xdr:cNvCxnSpPr>
            <a:stCxn id="158" idx="3"/>
            <a:endCxn id="150" idx="1"/>
          </xdr:cNvCxnSpPr>
        </xdr:nvCxnSpPr>
        <xdr:spPr>
          <a:xfrm>
            <a:off x="14835884" y="950575"/>
            <a:ext cx="637626" cy="117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직선 화살표 연결선 153">
            <a:extLst>
              <a:ext uri="{FF2B5EF4-FFF2-40B4-BE49-F238E27FC236}">
                <a16:creationId xmlns:a16="http://schemas.microsoft.com/office/drawing/2014/main" id="{3E6E9FA2-94F0-1AD2-1144-CC70A14C96E0}"/>
              </a:ext>
            </a:extLst>
          </xdr:cNvPr>
          <xdr:cNvCxnSpPr>
            <a:cxnSpLocks/>
            <a:stCxn id="152" idx="3"/>
          </xdr:cNvCxnSpPr>
        </xdr:nvCxnSpPr>
        <xdr:spPr>
          <a:xfrm>
            <a:off x="19784543" y="950692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직선 화살표 연결선 154">
            <a:extLst>
              <a:ext uri="{FF2B5EF4-FFF2-40B4-BE49-F238E27FC236}">
                <a16:creationId xmlns:a16="http://schemas.microsoft.com/office/drawing/2014/main" id="{7F51B034-99F2-6412-7374-DBFFE3D88698}"/>
              </a:ext>
            </a:extLst>
          </xdr:cNvPr>
          <xdr:cNvCxnSpPr>
            <a:stCxn id="150" idx="3"/>
            <a:endCxn id="151" idx="1"/>
          </xdr:cNvCxnSpPr>
        </xdr:nvCxnSpPr>
        <xdr:spPr>
          <a:xfrm flipV="1">
            <a:off x="16157510" y="948156"/>
            <a:ext cx="1031562" cy="2536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직선 화살표 연결선 155">
            <a:extLst>
              <a:ext uri="{FF2B5EF4-FFF2-40B4-BE49-F238E27FC236}">
                <a16:creationId xmlns:a16="http://schemas.microsoft.com/office/drawing/2014/main" id="{135196CA-6C30-12B2-1589-7A6B5E4EC288}"/>
              </a:ext>
            </a:extLst>
          </xdr:cNvPr>
          <xdr:cNvCxnSpPr>
            <a:stCxn id="151" idx="3"/>
          </xdr:cNvCxnSpPr>
        </xdr:nvCxnSpPr>
        <xdr:spPr>
          <a:xfrm flipV="1">
            <a:off x="17873071" y="945444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직선 화살표 연결선 156">
            <a:extLst>
              <a:ext uri="{FF2B5EF4-FFF2-40B4-BE49-F238E27FC236}">
                <a16:creationId xmlns:a16="http://schemas.microsoft.com/office/drawing/2014/main" id="{5EA9AFE7-C13F-13DD-2CFA-792DB28E7D28}"/>
              </a:ext>
            </a:extLst>
          </xdr:cNvPr>
          <xdr:cNvCxnSpPr/>
        </xdr:nvCxnSpPr>
        <xdr:spPr>
          <a:xfrm>
            <a:off x="18704285" y="945445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FC05A774-88C4-931B-8D76-B01D3774C2B7}"/>
              </a:ext>
            </a:extLst>
          </xdr:cNvPr>
          <xdr:cNvSpPr txBox="1"/>
        </xdr:nvSpPr>
        <xdr:spPr>
          <a:xfrm>
            <a:off x="14395105" y="859672"/>
            <a:ext cx="440779" cy="181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  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chx</a:t>
            </a:r>
            <a:endParaRPr lang="ko-KR" altLang="en-US" sz="1100" baseline="-250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F698E255-7B1F-1260-BFDC-1A250A203905}"/>
              </a:ext>
            </a:extLst>
          </xdr:cNvPr>
          <xdr:cNvSpPr txBox="1"/>
        </xdr:nvSpPr>
        <xdr:spPr>
          <a:xfrm>
            <a:off x="15021278" y="719666"/>
            <a:ext cx="4862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7AFD2C06-167D-BC5E-A544-58C5A5ACE681}"/>
              </a:ext>
            </a:extLst>
          </xdr:cNvPr>
          <xdr:cNvSpPr txBox="1"/>
        </xdr:nvSpPr>
        <xdr:spPr>
          <a:xfrm>
            <a:off x="18637961" y="716842"/>
            <a:ext cx="533736" cy="2779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1" name="TextBox 160">
            <a:extLst>
              <a:ext uri="{FF2B5EF4-FFF2-40B4-BE49-F238E27FC236}">
                <a16:creationId xmlns:a16="http://schemas.microsoft.com/office/drawing/2014/main" id="{F1D29E26-9C23-A07E-A728-4E4B1298B963}"/>
              </a:ext>
            </a:extLst>
          </xdr:cNvPr>
          <xdr:cNvSpPr txBox="1"/>
        </xdr:nvSpPr>
        <xdr:spPr>
          <a:xfrm>
            <a:off x="16730139" y="721075"/>
            <a:ext cx="4862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EB33F7A6-0A70-59AC-00ED-298958E1176B}"/>
              </a:ext>
            </a:extLst>
          </xdr:cNvPr>
          <xdr:cNvSpPr txBox="1"/>
        </xdr:nvSpPr>
        <xdr:spPr>
          <a:xfrm>
            <a:off x="19721693" y="721077"/>
            <a:ext cx="5199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3" name="TextBox 162">
            <a:extLst>
              <a:ext uri="{FF2B5EF4-FFF2-40B4-BE49-F238E27FC236}">
                <a16:creationId xmlns:a16="http://schemas.microsoft.com/office/drawing/2014/main" id="{E58E4C85-6A96-40B9-E771-7046F10E3938}"/>
              </a:ext>
            </a:extLst>
          </xdr:cNvPr>
          <xdr:cNvSpPr txBox="1"/>
        </xdr:nvSpPr>
        <xdr:spPr>
          <a:xfrm>
            <a:off x="17806814" y="718254"/>
            <a:ext cx="5175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4" name="TextBox 163">
            <a:extLst>
              <a:ext uri="{FF2B5EF4-FFF2-40B4-BE49-F238E27FC236}">
                <a16:creationId xmlns:a16="http://schemas.microsoft.com/office/drawing/2014/main" id="{32A5879D-B8BC-ACA6-90C1-865745E3BB9D}"/>
              </a:ext>
            </a:extLst>
          </xdr:cNvPr>
          <xdr:cNvSpPr txBox="1"/>
        </xdr:nvSpPr>
        <xdr:spPr>
          <a:xfrm>
            <a:off x="16089488" y="722488"/>
            <a:ext cx="5175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9</xdr:row>
      <xdr:rowOff>63575</xdr:rowOff>
    </xdr:from>
    <xdr:to>
      <xdr:col>91</xdr:col>
      <xdr:colOff>87596</xdr:colOff>
      <xdr:row>10</xdr:row>
      <xdr:rowOff>38685</xdr:rowOff>
    </xdr:to>
    <xdr:grpSp>
      <xdr:nvGrpSpPr>
        <xdr:cNvPr id="165" name="그룹 164">
          <a:extLst>
            <a:ext uri="{FF2B5EF4-FFF2-40B4-BE49-F238E27FC236}">
              <a16:creationId xmlns:a16="http://schemas.microsoft.com/office/drawing/2014/main" id="{CC5FBA15-071F-4D0B-AFEC-9CEB3845111D}"/>
            </a:ext>
          </a:extLst>
        </xdr:cNvPr>
        <xdr:cNvGrpSpPr/>
      </xdr:nvGrpSpPr>
      <xdr:grpSpPr>
        <a:xfrm>
          <a:off x="44907828" y="2026179"/>
          <a:ext cx="52950" cy="189649"/>
          <a:chOff x="8889969" y="717550"/>
          <a:chExt cx="95415" cy="260350"/>
        </a:xfrm>
      </xdr:grpSpPr>
      <xdr:sp macro="" textlink="">
        <xdr:nvSpPr>
          <xdr:cNvPr id="166" name="자유형: 도형 165">
            <a:extLst>
              <a:ext uri="{FF2B5EF4-FFF2-40B4-BE49-F238E27FC236}">
                <a16:creationId xmlns:a16="http://schemas.microsoft.com/office/drawing/2014/main" id="{E570AE6D-5B4D-AA48-BF24-F633F69C71A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7" name="자유형: 도형 166">
            <a:extLst>
              <a:ext uri="{FF2B5EF4-FFF2-40B4-BE49-F238E27FC236}">
                <a16:creationId xmlns:a16="http://schemas.microsoft.com/office/drawing/2014/main" id="{D3147B69-A3FF-B427-0918-AEA1254D15E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11</xdr:row>
      <xdr:rowOff>87639</xdr:rowOff>
    </xdr:from>
    <xdr:to>
      <xdr:col>91</xdr:col>
      <xdr:colOff>87596</xdr:colOff>
      <xdr:row>12</xdr:row>
      <xdr:rowOff>48860</xdr:rowOff>
    </xdr:to>
    <xdr:grpSp>
      <xdr:nvGrpSpPr>
        <xdr:cNvPr id="168" name="그룹 167">
          <a:extLst>
            <a:ext uri="{FF2B5EF4-FFF2-40B4-BE49-F238E27FC236}">
              <a16:creationId xmlns:a16="http://schemas.microsoft.com/office/drawing/2014/main" id="{A6CE6AD4-5C59-4A83-A8A6-7B4A3AA62600}"/>
            </a:ext>
          </a:extLst>
        </xdr:cNvPr>
        <xdr:cNvGrpSpPr/>
      </xdr:nvGrpSpPr>
      <xdr:grpSpPr>
        <a:xfrm>
          <a:off x="44907828" y="2479321"/>
          <a:ext cx="52950" cy="178935"/>
          <a:chOff x="8889969" y="717550"/>
          <a:chExt cx="95415" cy="260350"/>
        </a:xfrm>
      </xdr:grpSpPr>
      <xdr:sp macro="" textlink="">
        <xdr:nvSpPr>
          <xdr:cNvPr id="169" name="자유형: 도형 168">
            <a:extLst>
              <a:ext uri="{FF2B5EF4-FFF2-40B4-BE49-F238E27FC236}">
                <a16:creationId xmlns:a16="http://schemas.microsoft.com/office/drawing/2014/main" id="{E96B6E84-614A-DBAA-9792-ED7FF025153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0" name="자유형: 도형 169">
            <a:extLst>
              <a:ext uri="{FF2B5EF4-FFF2-40B4-BE49-F238E27FC236}">
                <a16:creationId xmlns:a16="http://schemas.microsoft.com/office/drawing/2014/main" id="{972ED602-C534-93D2-357A-D58C6BB4977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20275</xdr:colOff>
      <xdr:row>13</xdr:row>
      <xdr:rowOff>95660</xdr:rowOff>
    </xdr:from>
    <xdr:to>
      <xdr:col>91</xdr:col>
      <xdr:colOff>85925</xdr:colOff>
      <xdr:row>14</xdr:row>
      <xdr:rowOff>56881</xdr:rowOff>
    </xdr:to>
    <xdr:grpSp>
      <xdr:nvGrpSpPr>
        <xdr:cNvPr id="171" name="그룹 170">
          <a:extLst>
            <a:ext uri="{FF2B5EF4-FFF2-40B4-BE49-F238E27FC236}">
              <a16:creationId xmlns:a16="http://schemas.microsoft.com/office/drawing/2014/main" id="{6FA0A5F7-7EA1-491D-8B06-7A6EC1E46DE9}"/>
            </a:ext>
          </a:extLst>
        </xdr:cNvPr>
        <xdr:cNvGrpSpPr/>
      </xdr:nvGrpSpPr>
      <xdr:grpSpPr>
        <a:xfrm>
          <a:off x="44896632" y="2925946"/>
          <a:ext cx="62475" cy="178935"/>
          <a:chOff x="8889969" y="717550"/>
          <a:chExt cx="95415" cy="260350"/>
        </a:xfrm>
      </xdr:grpSpPr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7B357771-791F-7E41-4891-3F7C5FAD67B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3" name="자유형: 도형 172">
            <a:extLst>
              <a:ext uri="{FF2B5EF4-FFF2-40B4-BE49-F238E27FC236}">
                <a16:creationId xmlns:a16="http://schemas.microsoft.com/office/drawing/2014/main" id="{D37B986F-FAE7-270F-8953-DB3615DB7F7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15</xdr:row>
      <xdr:rowOff>79618</xdr:rowOff>
    </xdr:from>
    <xdr:to>
      <xdr:col>91</xdr:col>
      <xdr:colOff>87596</xdr:colOff>
      <xdr:row>16</xdr:row>
      <xdr:rowOff>48860</xdr:rowOff>
    </xdr:to>
    <xdr:grpSp>
      <xdr:nvGrpSpPr>
        <xdr:cNvPr id="174" name="그룹 173">
          <a:extLst>
            <a:ext uri="{FF2B5EF4-FFF2-40B4-BE49-F238E27FC236}">
              <a16:creationId xmlns:a16="http://schemas.microsoft.com/office/drawing/2014/main" id="{577E0CD1-13D7-4E16-A21E-7454FF9F1848}"/>
            </a:ext>
          </a:extLst>
        </xdr:cNvPr>
        <xdr:cNvGrpSpPr/>
      </xdr:nvGrpSpPr>
      <xdr:grpSpPr>
        <a:xfrm>
          <a:off x="44907828" y="3348507"/>
          <a:ext cx="52950" cy="180607"/>
          <a:chOff x="8889969" y="717550"/>
          <a:chExt cx="95415" cy="260350"/>
        </a:xfrm>
      </xdr:grpSpPr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8D63D636-64A2-CE0E-C895-34E48EC638B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6" name="자유형: 도형 175">
            <a:extLst>
              <a:ext uri="{FF2B5EF4-FFF2-40B4-BE49-F238E27FC236}">
                <a16:creationId xmlns:a16="http://schemas.microsoft.com/office/drawing/2014/main" id="{D5BB8BFA-DCB2-1860-62C7-89E63559F51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20275</xdr:colOff>
      <xdr:row>17</xdr:row>
      <xdr:rowOff>71597</xdr:rowOff>
    </xdr:from>
    <xdr:to>
      <xdr:col>91</xdr:col>
      <xdr:colOff>85925</xdr:colOff>
      <xdr:row>18</xdr:row>
      <xdr:rowOff>33302</xdr:rowOff>
    </xdr:to>
    <xdr:grpSp>
      <xdr:nvGrpSpPr>
        <xdr:cNvPr id="177" name="그룹 176">
          <a:extLst>
            <a:ext uri="{FF2B5EF4-FFF2-40B4-BE49-F238E27FC236}">
              <a16:creationId xmlns:a16="http://schemas.microsoft.com/office/drawing/2014/main" id="{DFCB0343-F343-4781-8B18-A56483CFCB0A}"/>
            </a:ext>
          </a:extLst>
        </xdr:cNvPr>
        <xdr:cNvGrpSpPr/>
      </xdr:nvGrpSpPr>
      <xdr:grpSpPr>
        <a:xfrm>
          <a:off x="44896632" y="3769565"/>
          <a:ext cx="62475" cy="179419"/>
          <a:chOff x="8889969" y="717550"/>
          <a:chExt cx="95415" cy="260350"/>
        </a:xfrm>
      </xdr:grpSpPr>
      <xdr:sp macro="" textlink="">
        <xdr:nvSpPr>
          <xdr:cNvPr id="178" name="자유형: 도형 177">
            <a:extLst>
              <a:ext uri="{FF2B5EF4-FFF2-40B4-BE49-F238E27FC236}">
                <a16:creationId xmlns:a16="http://schemas.microsoft.com/office/drawing/2014/main" id="{3AA651E3-4DE3-6D6B-180B-90E3D317A34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9" name="자유형: 도형 178">
            <a:extLst>
              <a:ext uri="{FF2B5EF4-FFF2-40B4-BE49-F238E27FC236}">
                <a16:creationId xmlns:a16="http://schemas.microsoft.com/office/drawing/2014/main" id="{B3F802FC-4AD6-7EF9-E35E-A569A196696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9</xdr:row>
      <xdr:rowOff>39586</xdr:rowOff>
    </xdr:from>
    <xdr:to>
      <xdr:col>87</xdr:col>
      <xdr:colOff>111588</xdr:colOff>
      <xdr:row>10</xdr:row>
      <xdr:rowOff>14696</xdr:rowOff>
    </xdr:to>
    <xdr:grpSp>
      <xdr:nvGrpSpPr>
        <xdr:cNvPr id="180" name="그룹 179">
          <a:extLst>
            <a:ext uri="{FF2B5EF4-FFF2-40B4-BE49-F238E27FC236}">
              <a16:creationId xmlns:a16="http://schemas.microsoft.com/office/drawing/2014/main" id="{5D043357-F1A4-43D8-89BF-A24752543F6F}"/>
            </a:ext>
          </a:extLst>
        </xdr:cNvPr>
        <xdr:cNvGrpSpPr/>
      </xdr:nvGrpSpPr>
      <xdr:grpSpPr>
        <a:xfrm>
          <a:off x="43337517" y="1999015"/>
          <a:ext cx="72000" cy="189649"/>
          <a:chOff x="8889969" y="717550"/>
          <a:chExt cx="95415" cy="260350"/>
        </a:xfrm>
      </xdr:grpSpPr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D80071D3-7074-FBD8-17D5-34C75D406C8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2" name="자유형: 도형 181">
            <a:extLst>
              <a:ext uri="{FF2B5EF4-FFF2-40B4-BE49-F238E27FC236}">
                <a16:creationId xmlns:a16="http://schemas.microsoft.com/office/drawing/2014/main" id="{9FAA07F5-0333-AFA1-A96E-4D90343ECC6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11</xdr:row>
      <xdr:rowOff>63650</xdr:rowOff>
    </xdr:from>
    <xdr:to>
      <xdr:col>87</xdr:col>
      <xdr:colOff>111588</xdr:colOff>
      <xdr:row>12</xdr:row>
      <xdr:rowOff>24871</xdr:rowOff>
    </xdr:to>
    <xdr:grpSp>
      <xdr:nvGrpSpPr>
        <xdr:cNvPr id="183" name="그룹 182">
          <a:extLst>
            <a:ext uri="{FF2B5EF4-FFF2-40B4-BE49-F238E27FC236}">
              <a16:creationId xmlns:a16="http://schemas.microsoft.com/office/drawing/2014/main" id="{0E38EDAF-B780-4D8B-90C4-4255FA81F0EE}"/>
            </a:ext>
          </a:extLst>
        </xdr:cNvPr>
        <xdr:cNvGrpSpPr/>
      </xdr:nvGrpSpPr>
      <xdr:grpSpPr>
        <a:xfrm>
          <a:off x="43337517" y="2461682"/>
          <a:ext cx="72000" cy="178935"/>
          <a:chOff x="8889969" y="717550"/>
          <a:chExt cx="95415" cy="260350"/>
        </a:xfrm>
      </xdr:grpSpPr>
      <xdr:sp macro="" textlink="">
        <xdr:nvSpPr>
          <xdr:cNvPr id="184" name="자유형: 도형 183">
            <a:extLst>
              <a:ext uri="{FF2B5EF4-FFF2-40B4-BE49-F238E27FC236}">
                <a16:creationId xmlns:a16="http://schemas.microsoft.com/office/drawing/2014/main" id="{622D5421-7551-2728-6632-2558D9FEE85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5" name="자유형: 도형 184">
            <a:extLst>
              <a:ext uri="{FF2B5EF4-FFF2-40B4-BE49-F238E27FC236}">
                <a16:creationId xmlns:a16="http://schemas.microsoft.com/office/drawing/2014/main" id="{9704EE0F-3787-5015-61F9-56E8D470767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31567</xdr:colOff>
      <xdr:row>13</xdr:row>
      <xdr:rowOff>71671</xdr:rowOff>
    </xdr:from>
    <xdr:to>
      <xdr:col>87</xdr:col>
      <xdr:colOff>103567</xdr:colOff>
      <xdr:row>14</xdr:row>
      <xdr:rowOff>32892</xdr:rowOff>
    </xdr:to>
    <xdr:grpSp>
      <xdr:nvGrpSpPr>
        <xdr:cNvPr id="186" name="그룹 185">
          <a:extLst>
            <a:ext uri="{FF2B5EF4-FFF2-40B4-BE49-F238E27FC236}">
              <a16:creationId xmlns:a16="http://schemas.microsoft.com/office/drawing/2014/main" id="{06F6D24B-1E4E-4B7A-AE94-99C644592572}"/>
            </a:ext>
          </a:extLst>
        </xdr:cNvPr>
        <xdr:cNvGrpSpPr/>
      </xdr:nvGrpSpPr>
      <xdr:grpSpPr>
        <a:xfrm>
          <a:off x="43326321" y="2898782"/>
          <a:ext cx="78350" cy="178935"/>
          <a:chOff x="8889969" y="717550"/>
          <a:chExt cx="95415" cy="260350"/>
        </a:xfrm>
      </xdr:grpSpPr>
      <xdr:sp macro="" textlink="">
        <xdr:nvSpPr>
          <xdr:cNvPr id="187" name="자유형: 도형 186">
            <a:extLst>
              <a:ext uri="{FF2B5EF4-FFF2-40B4-BE49-F238E27FC236}">
                <a16:creationId xmlns:a16="http://schemas.microsoft.com/office/drawing/2014/main" id="{62F61A57-0BC1-6C80-FE0D-6DED452F643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8" name="자유형: 도형 187">
            <a:extLst>
              <a:ext uri="{FF2B5EF4-FFF2-40B4-BE49-F238E27FC236}">
                <a16:creationId xmlns:a16="http://schemas.microsoft.com/office/drawing/2014/main" id="{2F2A8F9A-EE79-9E73-ED68-56A77F59649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15</xdr:row>
      <xdr:rowOff>55629</xdr:rowOff>
    </xdr:from>
    <xdr:to>
      <xdr:col>87</xdr:col>
      <xdr:colOff>111588</xdr:colOff>
      <xdr:row>16</xdr:row>
      <xdr:rowOff>24871</xdr:rowOff>
    </xdr:to>
    <xdr:grpSp>
      <xdr:nvGrpSpPr>
        <xdr:cNvPr id="189" name="그룹 188">
          <a:extLst>
            <a:ext uri="{FF2B5EF4-FFF2-40B4-BE49-F238E27FC236}">
              <a16:creationId xmlns:a16="http://schemas.microsoft.com/office/drawing/2014/main" id="{8BB4F34B-621E-41A1-9A45-C0015113AA82}"/>
            </a:ext>
          </a:extLst>
        </xdr:cNvPr>
        <xdr:cNvGrpSpPr/>
      </xdr:nvGrpSpPr>
      <xdr:grpSpPr>
        <a:xfrm>
          <a:off x="43337517" y="3321343"/>
          <a:ext cx="72000" cy="190132"/>
          <a:chOff x="8889969" y="717550"/>
          <a:chExt cx="95415" cy="260350"/>
        </a:xfrm>
      </xdr:grpSpPr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FC9AC600-6A66-B1C7-D040-F50FEE3EFC4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1" name="자유형: 도형 190">
            <a:extLst>
              <a:ext uri="{FF2B5EF4-FFF2-40B4-BE49-F238E27FC236}">
                <a16:creationId xmlns:a16="http://schemas.microsoft.com/office/drawing/2014/main" id="{90A000D0-B5DC-58B6-3566-E0B2181BB79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31567</xdr:colOff>
      <xdr:row>17</xdr:row>
      <xdr:rowOff>47608</xdr:rowOff>
    </xdr:from>
    <xdr:to>
      <xdr:col>87</xdr:col>
      <xdr:colOff>103567</xdr:colOff>
      <xdr:row>18</xdr:row>
      <xdr:rowOff>9313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2A3EE0A0-D54F-46CB-81A2-B8F056C37188}"/>
            </a:ext>
          </a:extLst>
        </xdr:cNvPr>
        <xdr:cNvGrpSpPr/>
      </xdr:nvGrpSpPr>
      <xdr:grpSpPr>
        <a:xfrm>
          <a:off x="43326321" y="3751926"/>
          <a:ext cx="78350" cy="179419"/>
          <a:chOff x="8889969" y="717550"/>
          <a:chExt cx="95415" cy="260350"/>
        </a:xfrm>
      </xdr:grpSpPr>
      <xdr:sp macro="" textlink="">
        <xdr:nvSpPr>
          <xdr:cNvPr id="193" name="자유형: 도형 192">
            <a:extLst>
              <a:ext uri="{FF2B5EF4-FFF2-40B4-BE49-F238E27FC236}">
                <a16:creationId xmlns:a16="http://schemas.microsoft.com/office/drawing/2014/main" id="{2A2440A1-AF9C-DE3C-3F3C-19B53573838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4" name="자유형: 도형 193">
            <a:extLst>
              <a:ext uri="{FF2B5EF4-FFF2-40B4-BE49-F238E27FC236}">
                <a16:creationId xmlns:a16="http://schemas.microsoft.com/office/drawing/2014/main" id="{E8EDAC45-8712-B14F-F3D9-A195E8931D0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89</xdr:col>
      <xdr:colOff>1763</xdr:colOff>
      <xdr:row>9</xdr:row>
      <xdr:rowOff>77345</xdr:rowOff>
    </xdr:from>
    <xdr:to>
      <xdr:col>89</xdr:col>
      <xdr:colOff>1763</xdr:colOff>
      <xdr:row>19</xdr:row>
      <xdr:rowOff>133587</xdr:rowOff>
    </xdr:to>
    <xdr:cxnSp macro="">
      <xdr:nvCxnSpPr>
        <xdr:cNvPr id="195" name="직선 연결선 194">
          <a:extLst>
            <a:ext uri="{FF2B5EF4-FFF2-40B4-BE49-F238E27FC236}">
              <a16:creationId xmlns:a16="http://schemas.microsoft.com/office/drawing/2014/main" id="{A746BA22-D438-4BF2-8B57-2ED4B99DC871}"/>
            </a:ext>
          </a:extLst>
        </xdr:cNvPr>
        <xdr:cNvCxnSpPr/>
      </xdr:nvCxnSpPr>
      <xdr:spPr>
        <a:xfrm flipH="1">
          <a:off x="43613563" y="2268095"/>
          <a:ext cx="0" cy="2253342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733179</xdr:colOff>
      <xdr:row>22</xdr:row>
      <xdr:rowOff>64155</xdr:rowOff>
    </xdr:from>
    <xdr:to>
      <xdr:col>57</xdr:col>
      <xdr:colOff>674022</xdr:colOff>
      <xdr:row>22</xdr:row>
      <xdr:rowOff>64155</xdr:rowOff>
    </xdr:to>
    <xdr:cxnSp macro="">
      <xdr:nvCxnSpPr>
        <xdr:cNvPr id="196" name="직선 화살표 연결선 195">
          <a:extLst>
            <a:ext uri="{FF2B5EF4-FFF2-40B4-BE49-F238E27FC236}">
              <a16:creationId xmlns:a16="http://schemas.microsoft.com/office/drawing/2014/main" id="{8F340AEC-F029-4669-AF4B-2AB5105F7E34}"/>
            </a:ext>
          </a:extLst>
        </xdr:cNvPr>
        <xdr:cNvCxnSpPr/>
      </xdr:nvCxnSpPr>
      <xdr:spPr>
        <a:xfrm>
          <a:off x="25174329" y="5118755"/>
          <a:ext cx="307774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51</xdr:col>
      <xdr:colOff>641723</xdr:colOff>
      <xdr:row>21</xdr:row>
      <xdr:rowOff>52746</xdr:rowOff>
    </xdr:from>
    <xdr:ext cx="162352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27CDD41C-EE76-466A-8958-6E13E2A52EB7}"/>
            </a:ext>
          </a:extLst>
        </xdr:cNvPr>
        <xdr:cNvSpPr txBox="1"/>
      </xdr:nvSpPr>
      <xdr:spPr>
        <a:xfrm>
          <a:off x="25832173" y="4885096"/>
          <a:ext cx="16235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daised_dev_ch_size [4:0]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85</xdr:col>
      <xdr:colOff>1068915</xdr:colOff>
      <xdr:row>9</xdr:row>
      <xdr:rowOff>88457</xdr:rowOff>
    </xdr:from>
    <xdr:to>
      <xdr:col>85</xdr:col>
      <xdr:colOff>1068915</xdr:colOff>
      <xdr:row>19</xdr:row>
      <xdr:rowOff>144699</xdr:rowOff>
    </xdr:to>
    <xdr:cxnSp macro="">
      <xdr:nvCxnSpPr>
        <xdr:cNvPr id="198" name="직선 연결선 197">
          <a:extLst>
            <a:ext uri="{FF2B5EF4-FFF2-40B4-BE49-F238E27FC236}">
              <a16:creationId xmlns:a16="http://schemas.microsoft.com/office/drawing/2014/main" id="{91ECF522-E774-4FE7-A8E1-BD7658E1A196}"/>
            </a:ext>
          </a:extLst>
        </xdr:cNvPr>
        <xdr:cNvCxnSpPr/>
      </xdr:nvCxnSpPr>
      <xdr:spPr>
        <a:xfrm flipH="1">
          <a:off x="43251965" y="2279207"/>
          <a:ext cx="0" cy="2253342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381000</xdr:colOff>
      <xdr:row>13</xdr:row>
      <xdr:rowOff>5773</xdr:rowOff>
    </xdr:from>
    <xdr:to>
      <xdr:col>25</xdr:col>
      <xdr:colOff>650009</xdr:colOff>
      <xdr:row>15</xdr:row>
      <xdr:rowOff>5973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944539B-949E-4BF4-A271-C339926ABF88}"/>
            </a:ext>
          </a:extLst>
        </xdr:cNvPr>
        <xdr:cNvSpPr/>
      </xdr:nvSpPr>
      <xdr:spPr>
        <a:xfrm>
          <a:off x="11537950" y="2812473"/>
          <a:ext cx="3583709" cy="43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48 lines = </a:t>
          </a:r>
        </a:p>
        <a:p>
          <a:pPr algn="ctr"/>
          <a:r>
            <a:rPr lang="en-US" altLang="ko-KR" sz="1100">
              <a:solidFill>
                <a:schemeClr val="tx1"/>
              </a:solidFill>
            </a:rPr>
            <a:t>1,642.6us 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508487</xdr:colOff>
      <xdr:row>15</xdr:row>
      <xdr:rowOff>75623</xdr:rowOff>
    </xdr:from>
    <xdr:to>
      <xdr:col>26</xdr:col>
      <xdr:colOff>259105</xdr:colOff>
      <xdr:row>17</xdr:row>
      <xdr:rowOff>72160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D40F589-40BB-49D0-BA56-5DB9620A31F3}"/>
            </a:ext>
          </a:extLst>
        </xdr:cNvPr>
        <xdr:cNvSpPr/>
      </xdr:nvSpPr>
      <xdr:spPr>
        <a:xfrm>
          <a:off x="12217887" y="3314123"/>
          <a:ext cx="3173268" cy="44738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48 lines = </a:t>
          </a:r>
        </a:p>
        <a:p>
          <a:pPr algn="ctr"/>
          <a:r>
            <a:rPr lang="en-US" altLang="ko-KR" sz="1100">
              <a:solidFill>
                <a:schemeClr val="tx1"/>
              </a:solidFill>
            </a:rPr>
            <a:t>1425.6us 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381000</xdr:colOff>
      <xdr:row>15</xdr:row>
      <xdr:rowOff>75623</xdr:rowOff>
    </xdr:from>
    <xdr:to>
      <xdr:col>20</xdr:col>
      <xdr:colOff>508000</xdr:colOff>
      <xdr:row>17</xdr:row>
      <xdr:rowOff>72160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BC27F575-79AD-4D1C-9564-80BC22DC869B}"/>
            </a:ext>
          </a:extLst>
        </xdr:cNvPr>
        <xdr:cNvSpPr/>
      </xdr:nvSpPr>
      <xdr:spPr>
        <a:xfrm>
          <a:off x="11537950" y="3314123"/>
          <a:ext cx="679450" cy="447387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10 lines = </a:t>
          </a:r>
        </a:p>
        <a:p>
          <a:pPr algn="ctr"/>
          <a:r>
            <a:rPr lang="en-US" altLang="ko-KR" sz="1100">
              <a:solidFill>
                <a:schemeClr val="tx1"/>
              </a:solidFill>
            </a:rPr>
            <a:t>344.4us 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383279</xdr:colOff>
      <xdr:row>10</xdr:row>
      <xdr:rowOff>211576</xdr:rowOff>
    </xdr:from>
    <xdr:to>
      <xdr:col>19</xdr:col>
      <xdr:colOff>383279</xdr:colOff>
      <xdr:row>17</xdr:row>
      <xdr:rowOff>189663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968C3A0D-956E-4B5B-821C-E4C772E5727F}"/>
            </a:ext>
          </a:extLst>
        </xdr:cNvPr>
        <xdr:cNvCxnSpPr/>
      </xdr:nvCxnSpPr>
      <xdr:spPr>
        <a:xfrm>
          <a:off x="11540229" y="2370576"/>
          <a:ext cx="0" cy="1508437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340014</xdr:colOff>
      <xdr:row>13</xdr:row>
      <xdr:rowOff>12123</xdr:rowOff>
    </xdr:from>
    <xdr:to>
      <xdr:col>19</xdr:col>
      <xdr:colOff>195418</xdr:colOff>
      <xdr:row>15</xdr:row>
      <xdr:rowOff>12323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E0408920-86C1-4E6F-9127-D3E6F7147829}"/>
            </a:ext>
          </a:extLst>
        </xdr:cNvPr>
        <xdr:cNvSpPr/>
      </xdr:nvSpPr>
      <xdr:spPr>
        <a:xfrm>
          <a:off x="10703214" y="2818823"/>
          <a:ext cx="649154" cy="43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SPI </a:t>
          </a:r>
        </a:p>
        <a:p>
          <a:pPr algn="ctr"/>
          <a:r>
            <a:rPr lang="en-US" altLang="ko-KR" sz="1100">
              <a:solidFill>
                <a:schemeClr val="tx1"/>
              </a:solidFill>
            </a:rPr>
            <a:t>Thruput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340014</xdr:colOff>
      <xdr:row>15</xdr:row>
      <xdr:rowOff>94673</xdr:rowOff>
    </xdr:from>
    <xdr:to>
      <xdr:col>19</xdr:col>
      <xdr:colOff>195418</xdr:colOff>
      <xdr:row>17</xdr:row>
      <xdr:rowOff>66010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8DDC1A6-E967-41C3-ACA2-E318C1961BDD}"/>
            </a:ext>
          </a:extLst>
        </xdr:cNvPr>
        <xdr:cNvSpPr/>
      </xdr:nvSpPr>
      <xdr:spPr>
        <a:xfrm>
          <a:off x="10703214" y="3333173"/>
          <a:ext cx="649154" cy="42218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Serializing</a:t>
          </a:r>
        </a:p>
        <a:p>
          <a:pPr algn="ctr"/>
          <a:r>
            <a:rPr lang="en-US" altLang="ko-KR" sz="1100">
              <a:solidFill>
                <a:schemeClr val="tx1"/>
              </a:solidFill>
            </a:rPr>
            <a:t>Thruput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381000</xdr:colOff>
      <xdr:row>17</xdr:row>
      <xdr:rowOff>186460</xdr:rowOff>
    </xdr:from>
    <xdr:to>
      <xdr:col>26</xdr:col>
      <xdr:colOff>541859</xdr:colOff>
      <xdr:row>17</xdr:row>
      <xdr:rowOff>186460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4B2EF334-B811-4D05-A92B-8D0DCF9466F7}"/>
            </a:ext>
          </a:extLst>
        </xdr:cNvPr>
        <xdr:cNvCxnSpPr/>
      </xdr:nvCxnSpPr>
      <xdr:spPr>
        <a:xfrm>
          <a:off x="11537950" y="3875810"/>
          <a:ext cx="4135959" cy="0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586509</xdr:colOff>
      <xdr:row>17</xdr:row>
      <xdr:rowOff>99275</xdr:rowOff>
    </xdr:from>
    <xdr:ext cx="489621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5E6979-6562-491E-9102-9872663304E6}"/>
            </a:ext>
          </a:extLst>
        </xdr:cNvPr>
        <xdr:cNvSpPr txBox="1"/>
      </xdr:nvSpPr>
      <xdr:spPr>
        <a:xfrm>
          <a:off x="15718559" y="3788625"/>
          <a:ext cx="489621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time [us]</a:t>
          </a:r>
          <a:endParaRPr lang="ko-KR" altLang="en-US" sz="1100"/>
        </a:p>
      </xdr:txBody>
    </xdr:sp>
    <xdr:clientData/>
  </xdr:oneCellAnchor>
  <xdr:twoCellAnchor>
    <xdr:from>
      <xdr:col>19</xdr:col>
      <xdr:colOff>381957</xdr:colOff>
      <xdr:row>11</xdr:row>
      <xdr:rowOff>94313</xdr:rowOff>
    </xdr:from>
    <xdr:to>
      <xdr:col>25</xdr:col>
      <xdr:colOff>630599</xdr:colOff>
      <xdr:row>11</xdr:row>
      <xdr:rowOff>94313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7494202C-61C5-487C-954E-07153E521C6E}"/>
            </a:ext>
          </a:extLst>
        </xdr:cNvPr>
        <xdr:cNvCxnSpPr/>
      </xdr:nvCxnSpPr>
      <xdr:spPr>
        <a:xfrm>
          <a:off x="11538907" y="2469213"/>
          <a:ext cx="3563342" cy="0"/>
        </a:xfrm>
        <a:prstGeom prst="line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498655</xdr:colOff>
      <xdr:row>11</xdr:row>
      <xdr:rowOff>92</xdr:rowOff>
    </xdr:from>
    <xdr:ext cx="528671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90E551F-B3FE-40AD-A97B-41C0C33947AC}"/>
            </a:ext>
          </a:extLst>
        </xdr:cNvPr>
        <xdr:cNvSpPr txBox="1"/>
      </xdr:nvSpPr>
      <xdr:spPr>
        <a:xfrm>
          <a:off x="13274855" y="2374992"/>
          <a:ext cx="528671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1642.6us</a:t>
          </a:r>
          <a:endParaRPr lang="ko-KR" altLang="en-US" sz="1100"/>
        </a:p>
      </xdr:txBody>
    </xdr:sp>
    <xdr:clientData/>
  </xdr:oneCellAnchor>
  <xdr:twoCellAnchor>
    <xdr:from>
      <xdr:col>25</xdr:col>
      <xdr:colOff>638867</xdr:colOff>
      <xdr:row>11</xdr:row>
      <xdr:rowOff>93954</xdr:rowOff>
    </xdr:from>
    <xdr:to>
      <xdr:col>26</xdr:col>
      <xdr:colOff>268776</xdr:colOff>
      <xdr:row>11</xdr:row>
      <xdr:rowOff>93954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AFDB82DB-0694-4BAB-8114-59371F3C34BD}"/>
            </a:ext>
          </a:extLst>
        </xdr:cNvPr>
        <xdr:cNvCxnSpPr/>
      </xdr:nvCxnSpPr>
      <xdr:spPr>
        <a:xfrm>
          <a:off x="15110517" y="2468854"/>
          <a:ext cx="290309" cy="0"/>
        </a:xfrm>
        <a:prstGeom prst="line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596853</xdr:colOff>
      <xdr:row>10</xdr:row>
      <xdr:rowOff>97431</xdr:rowOff>
    </xdr:from>
    <xdr:ext cx="483530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DF4F718-8BC7-4535-A27F-8940DDC3E563}"/>
            </a:ext>
          </a:extLst>
        </xdr:cNvPr>
        <xdr:cNvSpPr txBox="1"/>
      </xdr:nvSpPr>
      <xdr:spPr>
        <a:xfrm>
          <a:off x="15068503" y="2256431"/>
          <a:ext cx="483530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rgbClr val="0033CC"/>
              </a:solidFill>
            </a:rPr>
            <a:t>127.4us </a:t>
          </a:r>
          <a:endParaRPr lang="ko-KR" altLang="en-US" sz="1100">
            <a:solidFill>
              <a:srgbClr val="0033CC"/>
            </a:solidFill>
          </a:endParaRPr>
        </a:p>
      </xdr:txBody>
    </xdr:sp>
    <xdr:clientData/>
  </xdr:oneCellAnchor>
  <xdr:twoCellAnchor>
    <xdr:from>
      <xdr:col>25</xdr:col>
      <xdr:colOff>636949</xdr:colOff>
      <xdr:row>10</xdr:row>
      <xdr:rowOff>164523</xdr:rowOff>
    </xdr:from>
    <xdr:to>
      <xdr:col>25</xdr:col>
      <xdr:colOff>636949</xdr:colOff>
      <xdr:row>12</xdr:row>
      <xdr:rowOff>165202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362D82AB-E048-4EFD-9055-72D0D1D5EA1F}"/>
            </a:ext>
          </a:extLst>
        </xdr:cNvPr>
        <xdr:cNvCxnSpPr/>
      </xdr:nvCxnSpPr>
      <xdr:spPr>
        <a:xfrm>
          <a:off x="15108599" y="2323523"/>
          <a:ext cx="0" cy="4324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268683</xdr:colOff>
      <xdr:row>10</xdr:row>
      <xdr:rowOff>162489</xdr:rowOff>
    </xdr:from>
    <xdr:to>
      <xdr:col>26</xdr:col>
      <xdr:colOff>268683</xdr:colOff>
      <xdr:row>15</xdr:row>
      <xdr:rowOff>56187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9451D526-BF34-4F04-A5EA-3554DD0C88D6}"/>
            </a:ext>
          </a:extLst>
        </xdr:cNvPr>
        <xdr:cNvCxnSpPr/>
      </xdr:nvCxnSpPr>
      <xdr:spPr>
        <a:xfrm>
          <a:off x="15400733" y="2321489"/>
          <a:ext cx="0" cy="97319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501541</xdr:colOff>
      <xdr:row>17</xdr:row>
      <xdr:rowOff>84386</xdr:rowOff>
    </xdr:from>
    <xdr:to>
      <xdr:col>20</xdr:col>
      <xdr:colOff>503115</xdr:colOff>
      <xdr:row>20</xdr:row>
      <xdr:rowOff>14211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CAB90E6D-53C2-4EF5-9EFF-94F39B83410D}"/>
            </a:ext>
          </a:extLst>
        </xdr:cNvPr>
        <xdr:cNvCxnSpPr/>
      </xdr:nvCxnSpPr>
      <xdr:spPr>
        <a:xfrm flipH="1" flipV="1">
          <a:off x="12210941" y="3773736"/>
          <a:ext cx="1574" cy="367975"/>
        </a:xfrm>
        <a:prstGeom prst="line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453365</xdr:colOff>
      <xdr:row>20</xdr:row>
      <xdr:rowOff>38128</xdr:rowOff>
    </xdr:from>
    <xdr:ext cx="1968359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DD852BF-B11C-4774-9BDD-F439A8D8A7BA}"/>
            </a:ext>
          </a:extLst>
        </xdr:cNvPr>
        <xdr:cNvSpPr txBox="1"/>
      </xdr:nvSpPr>
      <xdr:spPr>
        <a:xfrm>
          <a:off x="11610315" y="4165628"/>
          <a:ext cx="196835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rgbClr val="FF00FF"/>
              </a:solidFill>
            </a:rPr>
            <a:t>LD-TRANSFER</a:t>
          </a:r>
          <a:r>
            <a:rPr lang="en-US" altLang="ko-KR" sz="1100" baseline="0">
              <a:solidFill>
                <a:srgbClr val="FF00FF"/>
              </a:solidFill>
            </a:rPr>
            <a:t> START POINTER = 10</a:t>
          </a:r>
          <a:endParaRPr lang="ko-KR" altLang="en-US" sz="1100">
            <a:solidFill>
              <a:srgbClr val="FF00FF"/>
            </a:solidFill>
          </a:endParaRPr>
        </a:p>
      </xdr:txBody>
    </xdr:sp>
    <xdr:clientData/>
  </xdr:oneCellAnchor>
  <xdr:oneCellAnchor>
    <xdr:from>
      <xdr:col>25</xdr:col>
      <xdr:colOff>388309</xdr:colOff>
      <xdr:row>9</xdr:row>
      <xdr:rowOff>143998</xdr:rowOff>
    </xdr:from>
    <xdr:ext cx="869212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8E1DF44-54D3-4FA8-B59D-D6201207F29A}"/>
            </a:ext>
          </a:extLst>
        </xdr:cNvPr>
        <xdr:cNvSpPr txBox="1"/>
      </xdr:nvSpPr>
      <xdr:spPr>
        <a:xfrm>
          <a:off x="14859959" y="2087098"/>
          <a:ext cx="86921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rgbClr val="0033CC"/>
              </a:solidFill>
            </a:rPr>
            <a:t>margine=4lines</a:t>
          </a:r>
          <a:endParaRPr lang="ko-KR" altLang="en-US" sz="1100">
            <a:solidFill>
              <a:srgbClr val="0033CC"/>
            </a:solidFill>
          </a:endParaRPr>
        </a:p>
      </xdr:txBody>
    </xdr:sp>
    <xdr:clientData/>
  </xdr:oneCellAnchor>
  <xdr:twoCellAnchor>
    <xdr:from>
      <xdr:col>19</xdr:col>
      <xdr:colOff>387350</xdr:colOff>
      <xdr:row>25</xdr:row>
      <xdr:rowOff>196593</xdr:rowOff>
    </xdr:from>
    <xdr:to>
      <xdr:col>25</xdr:col>
      <xdr:colOff>656359</xdr:colOff>
      <xdr:row>27</xdr:row>
      <xdr:rowOff>196793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62522F7C-A854-44A9-994F-7866A9A31DB6}"/>
            </a:ext>
          </a:extLst>
        </xdr:cNvPr>
        <xdr:cNvSpPr/>
      </xdr:nvSpPr>
      <xdr:spPr>
        <a:xfrm>
          <a:off x="11544300" y="5403593"/>
          <a:ext cx="3583709" cy="43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48 lines = </a:t>
          </a:r>
        </a:p>
        <a:p>
          <a:pPr algn="ctr"/>
          <a:r>
            <a:rPr lang="en-US" altLang="ko-KR" sz="1100">
              <a:solidFill>
                <a:schemeClr val="tx1"/>
              </a:solidFill>
            </a:rPr>
            <a:t>1232us 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450273</xdr:colOff>
      <xdr:row>28</xdr:row>
      <xdr:rowOff>52853</xdr:rowOff>
    </xdr:from>
    <xdr:to>
      <xdr:col>26</xdr:col>
      <xdr:colOff>398318</xdr:colOff>
      <xdr:row>30</xdr:row>
      <xdr:rowOff>78254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F7164F9A-8EC1-4492-BFB8-838E4A6489A5}"/>
            </a:ext>
          </a:extLst>
        </xdr:cNvPr>
        <xdr:cNvSpPr/>
      </xdr:nvSpPr>
      <xdr:spPr>
        <a:xfrm>
          <a:off x="12159673" y="5907553"/>
          <a:ext cx="3370695" cy="45720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48 lines = </a:t>
          </a:r>
        </a:p>
        <a:p>
          <a:pPr algn="ctr"/>
          <a:r>
            <a:rPr lang="en-US" altLang="ko-KR" sz="1100">
              <a:solidFill>
                <a:schemeClr val="tx1"/>
              </a:solidFill>
            </a:rPr>
            <a:t>1,188us 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387350</xdr:colOff>
      <xdr:row>28</xdr:row>
      <xdr:rowOff>52852</xdr:rowOff>
    </xdr:from>
    <xdr:to>
      <xdr:col>20</xdr:col>
      <xdr:colOff>445168</xdr:colOff>
      <xdr:row>30</xdr:row>
      <xdr:rowOff>78253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FCF16DAC-47C3-4EDE-A333-9C80F51425C8}"/>
            </a:ext>
          </a:extLst>
        </xdr:cNvPr>
        <xdr:cNvSpPr/>
      </xdr:nvSpPr>
      <xdr:spPr>
        <a:xfrm>
          <a:off x="11544300" y="5907552"/>
          <a:ext cx="610268" cy="457201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chemeClr val="bg1"/>
              </a:solidFill>
            </a:rPr>
            <a:t>6 lines = </a:t>
          </a:r>
        </a:p>
        <a:p>
          <a:pPr algn="ctr"/>
          <a:r>
            <a:rPr lang="en-US" altLang="ko-KR" sz="1100">
              <a:solidFill>
                <a:schemeClr val="bg1"/>
              </a:solidFill>
            </a:rPr>
            <a:t>105.5us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389629</xdr:colOff>
      <xdr:row>23</xdr:row>
      <xdr:rowOff>188805</xdr:rowOff>
    </xdr:from>
    <xdr:to>
      <xdr:col>19</xdr:col>
      <xdr:colOff>389629</xdr:colOff>
      <xdr:row>30</xdr:row>
      <xdr:rowOff>195756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771D6C0D-8B60-458B-AD25-65E0013E8491}"/>
            </a:ext>
          </a:extLst>
        </xdr:cNvPr>
        <xdr:cNvCxnSpPr/>
      </xdr:nvCxnSpPr>
      <xdr:spPr>
        <a:xfrm>
          <a:off x="11546579" y="4964005"/>
          <a:ext cx="0" cy="1518251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346364</xdr:colOff>
      <xdr:row>25</xdr:row>
      <xdr:rowOff>202943</xdr:rowOff>
    </xdr:from>
    <xdr:to>
      <xdr:col>19</xdr:col>
      <xdr:colOff>201768</xdr:colOff>
      <xdr:row>27</xdr:row>
      <xdr:rowOff>203143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FE6BBFD0-712B-4EC9-B8FB-F5E4EE9DCD21}"/>
            </a:ext>
          </a:extLst>
        </xdr:cNvPr>
        <xdr:cNvSpPr/>
      </xdr:nvSpPr>
      <xdr:spPr>
        <a:xfrm>
          <a:off x="10709564" y="5409943"/>
          <a:ext cx="649154" cy="43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SPI </a:t>
          </a:r>
        </a:p>
        <a:p>
          <a:pPr algn="ctr"/>
          <a:r>
            <a:rPr lang="en-US" altLang="ko-KR" sz="1100">
              <a:solidFill>
                <a:schemeClr val="tx1"/>
              </a:solidFill>
            </a:rPr>
            <a:t>Thruput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346364</xdr:colOff>
      <xdr:row>28</xdr:row>
      <xdr:rowOff>71902</xdr:rowOff>
    </xdr:from>
    <xdr:to>
      <xdr:col>19</xdr:col>
      <xdr:colOff>201768</xdr:colOff>
      <xdr:row>30</xdr:row>
      <xdr:rowOff>72103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BA80EFC8-16F0-48D6-8C46-73F8B8EFE803}"/>
            </a:ext>
          </a:extLst>
        </xdr:cNvPr>
        <xdr:cNvSpPr/>
      </xdr:nvSpPr>
      <xdr:spPr>
        <a:xfrm>
          <a:off x="10709564" y="5926602"/>
          <a:ext cx="649154" cy="43200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Serializing</a:t>
          </a:r>
        </a:p>
        <a:p>
          <a:pPr algn="ctr"/>
          <a:r>
            <a:rPr lang="en-US" altLang="ko-KR" sz="1100">
              <a:solidFill>
                <a:schemeClr val="tx1"/>
              </a:solidFill>
            </a:rPr>
            <a:t>Thruput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387350</xdr:colOff>
      <xdr:row>30</xdr:row>
      <xdr:rowOff>192553</xdr:rowOff>
    </xdr:from>
    <xdr:to>
      <xdr:col>27</xdr:col>
      <xdr:colOff>35850</xdr:colOff>
      <xdr:row>30</xdr:row>
      <xdr:rowOff>192553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FA45EC56-E36D-4838-A2A9-5AAB052FC98A}"/>
            </a:ext>
          </a:extLst>
        </xdr:cNvPr>
        <xdr:cNvCxnSpPr/>
      </xdr:nvCxnSpPr>
      <xdr:spPr>
        <a:xfrm>
          <a:off x="11544300" y="6479053"/>
          <a:ext cx="4284000" cy="0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73313</xdr:colOff>
      <xdr:row>30</xdr:row>
      <xdr:rowOff>105368</xdr:rowOff>
    </xdr:from>
    <xdr:ext cx="489621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C9DA343-07BF-4E32-91E4-F0AA0119A969}"/>
            </a:ext>
          </a:extLst>
        </xdr:cNvPr>
        <xdr:cNvSpPr txBox="1"/>
      </xdr:nvSpPr>
      <xdr:spPr>
        <a:xfrm>
          <a:off x="15865763" y="6391868"/>
          <a:ext cx="489621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time [us]</a:t>
          </a:r>
          <a:endParaRPr lang="ko-KR" altLang="en-US" sz="1100"/>
        </a:p>
      </xdr:txBody>
    </xdr:sp>
    <xdr:clientData/>
  </xdr:oneCellAnchor>
  <xdr:twoCellAnchor>
    <xdr:from>
      <xdr:col>25</xdr:col>
      <xdr:colOff>645217</xdr:colOff>
      <xdr:row>24</xdr:row>
      <xdr:rowOff>71183</xdr:rowOff>
    </xdr:from>
    <xdr:to>
      <xdr:col>26</xdr:col>
      <xdr:colOff>419126</xdr:colOff>
      <xdr:row>24</xdr:row>
      <xdr:rowOff>71183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82F8FEF1-DBEE-4800-998B-4ABB94ECFB5E}"/>
            </a:ext>
          </a:extLst>
        </xdr:cNvPr>
        <xdr:cNvCxnSpPr/>
      </xdr:nvCxnSpPr>
      <xdr:spPr>
        <a:xfrm>
          <a:off x="15116867" y="5062283"/>
          <a:ext cx="434309" cy="0"/>
        </a:xfrm>
        <a:prstGeom prst="line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632068</xdr:colOff>
      <xdr:row>23</xdr:row>
      <xdr:rowOff>74660</xdr:rowOff>
    </xdr:from>
    <xdr:ext cx="412036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C0A839E-86F9-4CF5-A5EB-C11039C5A10E}"/>
            </a:ext>
          </a:extLst>
        </xdr:cNvPr>
        <xdr:cNvSpPr txBox="1"/>
      </xdr:nvSpPr>
      <xdr:spPr>
        <a:xfrm>
          <a:off x="15103718" y="4849860"/>
          <a:ext cx="412036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rgbClr val="0033CC"/>
              </a:solidFill>
            </a:rPr>
            <a:t>61.5us </a:t>
          </a:r>
          <a:endParaRPr lang="ko-KR" altLang="en-US" sz="1100">
            <a:solidFill>
              <a:srgbClr val="0033CC"/>
            </a:solidFill>
          </a:endParaRPr>
        </a:p>
      </xdr:txBody>
    </xdr:sp>
    <xdr:clientData/>
  </xdr:oneCellAnchor>
  <xdr:twoCellAnchor>
    <xdr:from>
      <xdr:col>25</xdr:col>
      <xdr:colOff>643299</xdr:colOff>
      <xdr:row>23</xdr:row>
      <xdr:rowOff>141752</xdr:rowOff>
    </xdr:from>
    <xdr:to>
      <xdr:col>25</xdr:col>
      <xdr:colOff>643299</xdr:colOff>
      <xdr:row>25</xdr:row>
      <xdr:rowOff>142431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7D38BC1E-17CF-4DD3-9B87-29A75CDC7D21}"/>
            </a:ext>
          </a:extLst>
        </xdr:cNvPr>
        <xdr:cNvCxnSpPr/>
      </xdr:nvCxnSpPr>
      <xdr:spPr>
        <a:xfrm>
          <a:off x="15114949" y="4916952"/>
          <a:ext cx="0" cy="4324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407806</xdr:colOff>
      <xdr:row>23</xdr:row>
      <xdr:rowOff>162807</xdr:rowOff>
    </xdr:from>
    <xdr:to>
      <xdr:col>26</xdr:col>
      <xdr:colOff>407806</xdr:colOff>
      <xdr:row>28</xdr:row>
      <xdr:rowOff>56505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7FD856FF-9D67-4BF1-AE41-3300E35B4AE8}"/>
            </a:ext>
          </a:extLst>
        </xdr:cNvPr>
        <xdr:cNvCxnSpPr/>
      </xdr:nvCxnSpPr>
      <xdr:spPr>
        <a:xfrm>
          <a:off x="15539856" y="4938007"/>
          <a:ext cx="0" cy="97319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507891</xdr:colOff>
      <xdr:row>30</xdr:row>
      <xdr:rowOff>90477</xdr:rowOff>
    </xdr:from>
    <xdr:to>
      <xdr:col>21</xdr:col>
      <xdr:colOff>509465</xdr:colOff>
      <xdr:row>32</xdr:row>
      <xdr:rowOff>31847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49031B5A-0F96-4672-B581-4BB3F912A84F}"/>
            </a:ext>
          </a:extLst>
        </xdr:cNvPr>
        <xdr:cNvCxnSpPr/>
      </xdr:nvCxnSpPr>
      <xdr:spPr>
        <a:xfrm flipH="1" flipV="1">
          <a:off x="12769741" y="6376977"/>
          <a:ext cx="1574" cy="373170"/>
        </a:xfrm>
        <a:prstGeom prst="line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182620</xdr:colOff>
      <xdr:row>32</xdr:row>
      <xdr:rowOff>49991</xdr:rowOff>
    </xdr:from>
    <xdr:ext cx="1968359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E01DCCB-9191-4DFD-89FC-751552803BF5}"/>
            </a:ext>
          </a:extLst>
        </xdr:cNvPr>
        <xdr:cNvSpPr txBox="1"/>
      </xdr:nvSpPr>
      <xdr:spPr>
        <a:xfrm>
          <a:off x="11892020" y="6768291"/>
          <a:ext cx="196835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rgbClr val="FF00FF"/>
              </a:solidFill>
            </a:rPr>
            <a:t>LD-TRANSFER</a:t>
          </a:r>
          <a:r>
            <a:rPr lang="en-US" altLang="ko-KR" sz="1100" baseline="0">
              <a:solidFill>
                <a:srgbClr val="FF00FF"/>
              </a:solidFill>
            </a:rPr>
            <a:t> START POINTER = 6</a:t>
          </a:r>
          <a:endParaRPr lang="ko-KR" altLang="en-US" sz="1100">
            <a:solidFill>
              <a:srgbClr val="FF00FF"/>
            </a:solidFill>
          </a:endParaRPr>
        </a:p>
      </xdr:txBody>
    </xdr:sp>
    <xdr:clientData/>
  </xdr:oneCellAnchor>
  <xdr:oneCellAnchor>
    <xdr:from>
      <xdr:col>25</xdr:col>
      <xdr:colOff>394659</xdr:colOff>
      <xdr:row>22</xdr:row>
      <xdr:rowOff>121227</xdr:rowOff>
    </xdr:from>
    <xdr:ext cx="1038554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418D424-D83E-4D00-B995-23271D889345}"/>
            </a:ext>
          </a:extLst>
        </xdr:cNvPr>
        <xdr:cNvSpPr txBox="1"/>
      </xdr:nvSpPr>
      <xdr:spPr>
        <a:xfrm>
          <a:off x="14866309" y="4680527"/>
          <a:ext cx="1038554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rgbClr val="0033CC"/>
              </a:solidFill>
            </a:rPr>
            <a:t>margine=3~4</a:t>
          </a:r>
          <a:r>
            <a:rPr lang="en-US" altLang="ko-KR" sz="1100" baseline="0">
              <a:solidFill>
                <a:srgbClr val="0033CC"/>
              </a:solidFill>
            </a:rPr>
            <a:t> </a:t>
          </a:r>
          <a:r>
            <a:rPr lang="en-US" altLang="ko-KR" sz="1100">
              <a:solidFill>
                <a:srgbClr val="0033CC"/>
              </a:solidFill>
            </a:rPr>
            <a:t>lines</a:t>
          </a:r>
          <a:endParaRPr lang="ko-KR" altLang="en-US" sz="1100">
            <a:solidFill>
              <a:srgbClr val="0033CC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133350</xdr:colOff>
      <xdr:row>25</xdr:row>
      <xdr:rowOff>192368</xdr:rowOff>
    </xdr:from>
    <xdr:ext cx="3409950" cy="2439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756862-93D1-46CA-A18C-8DD290697967}"/>
            </a:ext>
          </a:extLst>
        </xdr:cNvPr>
        <xdr:cNvSpPr txBox="1"/>
      </xdr:nvSpPr>
      <xdr:spPr>
        <a:xfrm>
          <a:off x="2768600" y="5589868"/>
          <a:ext cx="3409950" cy="243913"/>
        </a:xfrm>
        <a:prstGeom prst="rect">
          <a:avLst/>
        </a:prstGeom>
        <a:solidFill>
          <a:srgbClr val="FFFF00">
            <a:alpha val="33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100">
              <a:latin typeface="+mn-ea"/>
              <a:ea typeface="+mn-ea"/>
            </a:rPr>
            <a:t>transaction</a:t>
          </a:r>
          <a:r>
            <a:rPr lang="en-US" altLang="ko-KR" sz="1100" baseline="0">
              <a:latin typeface="+mn-ea"/>
              <a:ea typeface="+mn-ea"/>
            </a:rPr>
            <a:t> </a:t>
          </a:r>
          <a:r>
            <a:rPr lang="ko-KR" altLang="en-US" sz="1100" baseline="0">
              <a:latin typeface="+mn-ea"/>
              <a:ea typeface="+mn-ea"/>
            </a:rPr>
            <a:t>회수가 클수록 변화 감지 둔감 </a:t>
          </a:r>
          <a:r>
            <a:rPr lang="en-US" altLang="ko-KR" sz="1100" baseline="0">
              <a:latin typeface="+mn-ea"/>
              <a:ea typeface="+mn-ea"/>
            </a:rPr>
            <a:t>(10</a:t>
          </a:r>
          <a:r>
            <a:rPr lang="ko-KR" altLang="en-US" sz="1100" baseline="0">
              <a:latin typeface="+mn-ea"/>
              <a:ea typeface="+mn-ea"/>
            </a:rPr>
            <a:t>회 양호</a:t>
          </a:r>
          <a:r>
            <a:rPr lang="en-US" altLang="ko-KR" sz="1100" baseline="0">
              <a:latin typeface="+mn-ea"/>
              <a:ea typeface="+mn-ea"/>
            </a:rPr>
            <a:t>)</a:t>
          </a:r>
          <a:endParaRPr lang="ko-KR" altLang="en-US" sz="1100">
            <a:latin typeface="+mn-ea"/>
            <a:ea typeface="+mn-ea"/>
          </a:endParaRPr>
        </a:p>
      </xdr:txBody>
    </xdr:sp>
    <xdr:clientData/>
  </xdr:oneCellAnchor>
  <xdr:oneCellAnchor>
    <xdr:from>
      <xdr:col>5</xdr:col>
      <xdr:colOff>6350</xdr:colOff>
      <xdr:row>49</xdr:row>
      <xdr:rowOff>208243</xdr:rowOff>
    </xdr:from>
    <xdr:ext cx="1308100" cy="2439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FDDAFE-E08F-4883-AD90-1D8D4B27BF0B}"/>
            </a:ext>
          </a:extLst>
        </xdr:cNvPr>
        <xdr:cNvSpPr txBox="1"/>
      </xdr:nvSpPr>
      <xdr:spPr>
        <a:xfrm>
          <a:off x="2781300" y="10787343"/>
          <a:ext cx="1308100" cy="243913"/>
        </a:xfrm>
        <a:prstGeom prst="rect">
          <a:avLst/>
        </a:prstGeom>
        <a:solidFill>
          <a:srgbClr val="FFFF00">
            <a:alpha val="33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100">
              <a:latin typeface="+mn-ea"/>
              <a:ea typeface="+mn-ea"/>
            </a:rPr>
            <a:t>1</a:t>
          </a:r>
          <a:r>
            <a:rPr lang="ko-KR" altLang="en-US" sz="1100">
              <a:latin typeface="+mn-ea"/>
              <a:ea typeface="+mn-ea"/>
            </a:rPr>
            <a:t>안이 </a:t>
          </a:r>
          <a:r>
            <a:rPr lang="en-US" altLang="ko-KR" sz="1100">
              <a:latin typeface="+mn-ea"/>
              <a:ea typeface="+mn-ea"/>
            </a:rPr>
            <a:t>2</a:t>
          </a:r>
          <a:r>
            <a:rPr lang="ko-KR" altLang="en-US" sz="1100">
              <a:latin typeface="+mn-ea"/>
              <a:ea typeface="+mn-ea"/>
            </a:rPr>
            <a:t>안보다 좋음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103</xdr:col>
      <xdr:colOff>57150</xdr:colOff>
      <xdr:row>27</xdr:row>
      <xdr:rowOff>14568</xdr:rowOff>
    </xdr:from>
    <xdr:ext cx="3409950" cy="2439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96F106-38D5-4B78-A756-6047E0FA91D1}"/>
            </a:ext>
          </a:extLst>
        </xdr:cNvPr>
        <xdr:cNvSpPr txBox="1"/>
      </xdr:nvSpPr>
      <xdr:spPr>
        <a:xfrm>
          <a:off x="16503650" y="5843868"/>
          <a:ext cx="3409950" cy="243913"/>
        </a:xfrm>
        <a:prstGeom prst="rect">
          <a:avLst/>
        </a:prstGeom>
        <a:solidFill>
          <a:srgbClr val="FFFF00">
            <a:alpha val="33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100">
              <a:latin typeface="+mn-ea"/>
              <a:ea typeface="+mn-ea"/>
            </a:rPr>
            <a:t>transaction</a:t>
          </a:r>
          <a:r>
            <a:rPr lang="en-US" altLang="ko-KR" sz="1100" baseline="0">
              <a:latin typeface="+mn-ea"/>
              <a:ea typeface="+mn-ea"/>
            </a:rPr>
            <a:t> </a:t>
          </a:r>
          <a:r>
            <a:rPr lang="ko-KR" altLang="en-US" sz="1100" baseline="0">
              <a:latin typeface="+mn-ea"/>
              <a:ea typeface="+mn-ea"/>
            </a:rPr>
            <a:t>회수가 클수록 변화 감지 둔감 </a:t>
          </a:r>
          <a:r>
            <a:rPr lang="en-US" altLang="ko-KR" sz="1100" baseline="0">
              <a:latin typeface="+mn-ea"/>
              <a:ea typeface="+mn-ea"/>
            </a:rPr>
            <a:t>(10</a:t>
          </a:r>
          <a:r>
            <a:rPr lang="ko-KR" altLang="en-US" sz="1100" baseline="0">
              <a:latin typeface="+mn-ea"/>
              <a:ea typeface="+mn-ea"/>
            </a:rPr>
            <a:t>회 양호</a:t>
          </a:r>
          <a:r>
            <a:rPr lang="en-US" altLang="ko-KR" sz="1100" baseline="0">
              <a:latin typeface="+mn-ea"/>
              <a:ea typeface="+mn-ea"/>
            </a:rPr>
            <a:t>)</a:t>
          </a:r>
          <a:endParaRPr lang="ko-KR" altLang="en-US" sz="1100">
            <a:latin typeface="+mn-ea"/>
            <a:ea typeface="+mn-ea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15</xdr:row>
      <xdr:rowOff>196850</xdr:rowOff>
    </xdr:from>
    <xdr:to>
      <xdr:col>16</xdr:col>
      <xdr:colOff>292100</xdr:colOff>
      <xdr:row>28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AF31436-ED7F-97C7-5006-7AE85533F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723900</xdr:colOff>
      <xdr:row>35</xdr:row>
      <xdr:rowOff>57150</xdr:rowOff>
    </xdr:from>
    <xdr:to>
      <xdr:col>8</xdr:col>
      <xdr:colOff>0</xdr:colOff>
      <xdr:row>40</xdr:row>
      <xdr:rowOff>133985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DA36C57E-A383-4353-A754-496C7D58B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1650" y="11118850"/>
          <a:ext cx="2946400" cy="1143000"/>
        </a:xfrm>
        <a:prstGeom prst="rect">
          <a:avLst/>
        </a:prstGeom>
      </xdr:spPr>
    </xdr:pic>
    <xdr:clientData/>
  </xdr:twoCellAnchor>
  <xdr:twoCellAnchor>
    <xdr:from>
      <xdr:col>0</xdr:col>
      <xdr:colOff>650875</xdr:colOff>
      <xdr:row>35</xdr:row>
      <xdr:rowOff>63500</xdr:rowOff>
    </xdr:from>
    <xdr:to>
      <xdr:col>3</xdr:col>
      <xdr:colOff>692150</xdr:colOff>
      <xdr:row>42</xdr:row>
      <xdr:rowOff>57150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985284FC-27CA-413C-A09B-9BA8D2DF6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79375</xdr:colOff>
      <xdr:row>19</xdr:row>
      <xdr:rowOff>0</xdr:rowOff>
    </xdr:from>
    <xdr:to>
      <xdr:col>14</xdr:col>
      <xdr:colOff>0</xdr:colOff>
      <xdr:row>28</xdr:row>
      <xdr:rowOff>50800</xdr:rowOff>
    </xdr:to>
    <xdr:graphicFrame macro="">
      <xdr:nvGraphicFramePr>
        <xdr:cNvPr id="53" name="차트 52">
          <a:extLst>
            <a:ext uri="{FF2B5EF4-FFF2-40B4-BE49-F238E27FC236}">
              <a16:creationId xmlns:a16="http://schemas.microsoft.com/office/drawing/2014/main" id="{B7897A93-F7A1-5260-AB05-F048AB26E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29</xdr:row>
      <xdr:rowOff>95250</xdr:rowOff>
    </xdr:from>
    <xdr:to>
      <xdr:col>15</xdr:col>
      <xdr:colOff>298653</xdr:colOff>
      <xdr:row>33</xdr:row>
      <xdr:rowOff>133396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1438287-279F-DBB7-89AF-348B545F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08700" y="6400800"/>
          <a:ext cx="3943553" cy="901746"/>
        </a:xfrm>
        <a:prstGeom prst="rect">
          <a:avLst/>
        </a:prstGeom>
        <a:ln w="25400">
          <a:solidFill>
            <a:schemeClr val="tx1"/>
          </a:solidFill>
        </a:ln>
      </xdr:spPr>
    </xdr:pic>
    <xdr:clientData/>
  </xdr:twoCellAnchor>
  <xdr:twoCellAnchor>
    <xdr:from>
      <xdr:col>8</xdr:col>
      <xdr:colOff>6350</xdr:colOff>
      <xdr:row>54</xdr:row>
      <xdr:rowOff>101600</xdr:rowOff>
    </xdr:from>
    <xdr:to>
      <xdr:col>14</xdr:col>
      <xdr:colOff>234950</xdr:colOff>
      <xdr:row>61</xdr:row>
      <xdr:rowOff>146050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142D350-3161-4E86-C05A-D2A2558F2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38673</xdr:colOff>
      <xdr:row>54</xdr:row>
      <xdr:rowOff>199616</xdr:rowOff>
    </xdr:from>
    <xdr:to>
      <xdr:col>52</xdr:col>
      <xdr:colOff>18173</xdr:colOff>
      <xdr:row>58</xdr:row>
      <xdr:rowOff>12463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C667B9-DD23-4011-B2CA-8C090ED85578}"/>
            </a:ext>
          </a:extLst>
        </xdr:cNvPr>
        <xdr:cNvSpPr txBox="1"/>
      </xdr:nvSpPr>
      <xdr:spPr>
        <a:xfrm>
          <a:off x="1867473" y="11858216"/>
          <a:ext cx="6012000" cy="67644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 - prev_tgt_dac</a:t>
          </a:r>
          <a:r>
            <a:rPr lang="ko-KR" altLang="en-US"/>
            <a:t> </a:t>
          </a:r>
          <a:r>
            <a:rPr lang="en-US" altLang="ko-KR" baseline="0"/>
            <a:t>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 - curr_dac</a:t>
          </a:r>
        </a:p>
      </xdr:txBody>
    </xdr:sp>
    <xdr:clientData/>
  </xdr:twoCellAnchor>
  <xdr:twoCellAnchor>
    <xdr:from>
      <xdr:col>2</xdr:col>
      <xdr:colOff>40430</xdr:colOff>
      <xdr:row>22</xdr:row>
      <xdr:rowOff>29251</xdr:rowOff>
    </xdr:from>
    <xdr:to>
      <xdr:col>52</xdr:col>
      <xdr:colOff>19930</xdr:colOff>
      <xdr:row>37</xdr:row>
      <xdr:rowOff>162560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A5963A-E720-4990-A072-8C6588539995}"/>
            </a:ext>
          </a:extLst>
        </xdr:cNvPr>
        <xdr:cNvSpPr txBox="1"/>
      </xdr:nvSpPr>
      <xdr:spPr>
        <a:xfrm>
          <a:off x="1869230" y="4779051"/>
          <a:ext cx="6012000" cy="3371809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: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시점에 실행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(r1 &lt;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else if (r1 &gt;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(r1 &lt;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(r1 &lt;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(r1 &lt;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if (curr_dac &lt; (curr_tgt_dac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  <xdr:oneCellAnchor>
    <xdr:from>
      <xdr:col>30</xdr:col>
      <xdr:colOff>3815</xdr:colOff>
      <xdr:row>16</xdr:row>
      <xdr:rowOff>111394</xdr:rowOff>
    </xdr:from>
    <xdr:ext cx="3132000" cy="1800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5C751A-1879-4553-8EDE-82D8398AD446}"/>
            </a:ext>
          </a:extLst>
        </xdr:cNvPr>
        <xdr:cNvSpPr txBox="1"/>
      </xdr:nvSpPr>
      <xdr:spPr>
        <a:xfrm>
          <a:off x="5210815" y="3565794"/>
          <a:ext cx="3132000" cy="1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state transition &amp; dac change</a:t>
          </a:r>
        </a:p>
      </xdr:txBody>
    </xdr:sp>
    <xdr:clientData/>
  </xdr:oneCellAnchor>
  <xdr:oneCellAnchor>
    <xdr:from>
      <xdr:col>30</xdr:col>
      <xdr:colOff>576</xdr:colOff>
      <xdr:row>17</xdr:row>
      <xdr:rowOff>199486</xdr:rowOff>
    </xdr:from>
    <xdr:ext cx="3060000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AC411A-E08B-4605-B006-B25AA67E21D7}"/>
            </a:ext>
          </a:extLst>
        </xdr:cNvPr>
        <xdr:cNvSpPr txBox="1"/>
      </xdr:nvSpPr>
      <xdr:spPr>
        <a:xfrm>
          <a:off x="5207576" y="3869786"/>
          <a:ext cx="3060000" cy="172227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DAC_UP_PRE1</a:t>
          </a:r>
        </a:p>
      </xdr:txBody>
    </xdr:sp>
    <xdr:clientData/>
  </xdr:oneCellAnchor>
  <xdr:twoCellAnchor>
    <xdr:from>
      <xdr:col>2</xdr:col>
      <xdr:colOff>54777</xdr:colOff>
      <xdr:row>38</xdr:row>
      <xdr:rowOff>16676</xdr:rowOff>
    </xdr:from>
    <xdr:to>
      <xdr:col>52</xdr:col>
      <xdr:colOff>34277</xdr:colOff>
      <xdr:row>46</xdr:row>
      <xdr:rowOff>38099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F01D89-5FB3-4F26-943B-B6A109EACA51}"/>
            </a:ext>
          </a:extLst>
        </xdr:cNvPr>
        <xdr:cNvSpPr txBox="1"/>
      </xdr:nvSpPr>
      <xdr:spPr>
        <a:xfrm>
          <a:off x="1883577" y="8220876"/>
          <a:ext cx="6012000" cy="1748623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dac_inc_hold_cnt :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Fault_readout </a:t>
          </a:r>
          <a:r>
            <a:rPr lang="ko-KR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직후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</a:t>
          </a:r>
          <a:r>
            <a:rPr lang="ko-KR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회 실행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(r2 &lt;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_th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(fb=0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(dac_inc_hold_cnt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      dac_inc_hold_cnt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dac_int_hold_cnt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else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dac_inc_hold_cnt ← dac_int_hold_cnt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dac_inc_hold_cnt ← 0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</xdr:col>
      <xdr:colOff>51772</xdr:colOff>
      <xdr:row>46</xdr:row>
      <xdr:rowOff>99333</xdr:rowOff>
    </xdr:from>
    <xdr:to>
      <xdr:col>52</xdr:col>
      <xdr:colOff>31272</xdr:colOff>
      <xdr:row>54</xdr:row>
      <xdr:rowOff>139700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72FA78A-3CD9-4320-8C97-A117EEB2BE8A}"/>
            </a:ext>
          </a:extLst>
        </xdr:cNvPr>
        <xdr:cNvSpPr txBox="1"/>
      </xdr:nvSpPr>
      <xdr:spPr>
        <a:xfrm>
          <a:off x="1880572" y="10030733"/>
          <a:ext cx="6012000" cy="1767567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: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Fault_readout </a:t>
          </a:r>
          <a:r>
            <a:rPr lang="ko-KR" altLang="en-US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직</a:t>
          </a:r>
          <a:r>
            <a:rPr lang="ko-KR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후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</a:t>
          </a:r>
          <a:r>
            <a:rPr lang="ko-KR" altLang="en-US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회 </a:t>
          </a:r>
          <a:r>
            <a:rPr lang="ko-KR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실행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(fb=0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(dac_inc1_wait_cnt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      dac_inc1_wait_cnt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else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dac_inc1_wait_cnt ← 0</a:t>
          </a:r>
        </a:p>
      </xdr:txBody>
    </xdr:sp>
    <xdr:clientData/>
  </xdr:twoCellAnchor>
  <xdr:twoCellAnchor>
    <xdr:from>
      <xdr:col>34</xdr:col>
      <xdr:colOff>17189</xdr:colOff>
      <xdr:row>4</xdr:row>
      <xdr:rowOff>30764</xdr:rowOff>
    </xdr:from>
    <xdr:to>
      <xdr:col>34</xdr:col>
      <xdr:colOff>112220</xdr:colOff>
      <xdr:row>4</xdr:row>
      <xdr:rowOff>215242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00E599A-C7BA-4C78-8F41-660A77F24D8C}"/>
            </a:ext>
          </a:extLst>
        </xdr:cNvPr>
        <xdr:cNvSpPr/>
      </xdr:nvSpPr>
      <xdr:spPr>
        <a:xfrm>
          <a:off x="5706789" y="894364"/>
          <a:ext cx="95031" cy="184478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73791</xdr:colOff>
      <xdr:row>4</xdr:row>
      <xdr:rowOff>37224</xdr:rowOff>
    </xdr:from>
    <xdr:to>
      <xdr:col>43</xdr:col>
      <xdr:colOff>48610</xdr:colOff>
      <xdr:row>5</xdr:row>
      <xdr:rowOff>5474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A2FCA9E-F38E-4F27-B541-700EF76D8F73}"/>
            </a:ext>
          </a:extLst>
        </xdr:cNvPr>
        <xdr:cNvSpPr/>
      </xdr:nvSpPr>
      <xdr:spPr>
        <a:xfrm>
          <a:off x="6728591" y="900824"/>
          <a:ext cx="95469" cy="184150"/>
        </a:xfrm>
        <a:prstGeom prst="rect">
          <a:avLst/>
        </a:prstGeom>
        <a:solidFill>
          <a:srgbClr val="00B0F0">
            <a:alpha val="3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17189</xdr:colOff>
      <xdr:row>4</xdr:row>
      <xdr:rowOff>30764</xdr:rowOff>
    </xdr:from>
    <xdr:to>
      <xdr:col>60</xdr:col>
      <xdr:colOff>112220</xdr:colOff>
      <xdr:row>4</xdr:row>
      <xdr:rowOff>215242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F8F1CC0-95DA-496D-913E-FC5F248E9342}"/>
            </a:ext>
          </a:extLst>
        </xdr:cNvPr>
        <xdr:cNvSpPr/>
      </xdr:nvSpPr>
      <xdr:spPr>
        <a:xfrm>
          <a:off x="8843689" y="894364"/>
          <a:ext cx="95031" cy="184478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68</xdr:col>
      <xdr:colOff>73791</xdr:colOff>
      <xdr:row>4</xdr:row>
      <xdr:rowOff>37224</xdr:rowOff>
    </xdr:from>
    <xdr:to>
      <xdr:col>69</xdr:col>
      <xdr:colOff>48610</xdr:colOff>
      <xdr:row>5</xdr:row>
      <xdr:rowOff>5474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4713AA03-56EF-4DEB-8B3C-11240DA1E977}"/>
            </a:ext>
          </a:extLst>
        </xdr:cNvPr>
        <xdr:cNvSpPr/>
      </xdr:nvSpPr>
      <xdr:spPr>
        <a:xfrm>
          <a:off x="9865491" y="900824"/>
          <a:ext cx="95469" cy="184150"/>
        </a:xfrm>
        <a:prstGeom prst="rect">
          <a:avLst/>
        </a:prstGeom>
        <a:solidFill>
          <a:srgbClr val="00B0F0">
            <a:alpha val="3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86</xdr:col>
      <xdr:colOff>17189</xdr:colOff>
      <xdr:row>4</xdr:row>
      <xdr:rowOff>30764</xdr:rowOff>
    </xdr:from>
    <xdr:to>
      <xdr:col>86</xdr:col>
      <xdr:colOff>112220</xdr:colOff>
      <xdr:row>4</xdr:row>
      <xdr:rowOff>215242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1FE41E33-09C2-499D-9B42-905B2A617623}"/>
            </a:ext>
          </a:extLst>
        </xdr:cNvPr>
        <xdr:cNvSpPr/>
      </xdr:nvSpPr>
      <xdr:spPr>
        <a:xfrm>
          <a:off x="11980589" y="894364"/>
          <a:ext cx="95031" cy="184478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73791</xdr:colOff>
      <xdr:row>4</xdr:row>
      <xdr:rowOff>37224</xdr:rowOff>
    </xdr:from>
    <xdr:to>
      <xdr:col>95</xdr:col>
      <xdr:colOff>48610</xdr:colOff>
      <xdr:row>5</xdr:row>
      <xdr:rowOff>5474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98425231-9143-4F27-A6A1-CDE2A29C087D}"/>
            </a:ext>
          </a:extLst>
        </xdr:cNvPr>
        <xdr:cNvSpPr/>
      </xdr:nvSpPr>
      <xdr:spPr>
        <a:xfrm>
          <a:off x="13002391" y="900824"/>
          <a:ext cx="95469" cy="184150"/>
        </a:xfrm>
        <a:prstGeom prst="rect">
          <a:avLst/>
        </a:prstGeom>
        <a:solidFill>
          <a:srgbClr val="00B0F0">
            <a:alpha val="3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4</xdr:col>
      <xdr:colOff>8212</xdr:colOff>
      <xdr:row>15</xdr:row>
      <xdr:rowOff>92451</xdr:rowOff>
    </xdr:from>
    <xdr:ext cx="3117520" cy="1800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49DF463-67D6-4843-A444-3132EA8C9FF0}"/>
            </a:ext>
          </a:extLst>
        </xdr:cNvPr>
        <xdr:cNvSpPr txBox="1"/>
      </xdr:nvSpPr>
      <xdr:spPr>
        <a:xfrm>
          <a:off x="2078312" y="3330951"/>
          <a:ext cx="3117520" cy="18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ana &amp; ld to XC, then serializing to XD</a:t>
          </a:r>
        </a:p>
      </xdr:txBody>
    </xdr:sp>
    <xdr:clientData/>
  </xdr:oneCellAnchor>
  <xdr:oneCellAnchor>
    <xdr:from>
      <xdr:col>29</xdr:col>
      <xdr:colOff>114958</xdr:colOff>
      <xdr:row>15</xdr:row>
      <xdr:rowOff>94312</xdr:rowOff>
    </xdr:from>
    <xdr:ext cx="3139418" cy="18000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241E731-3BFA-4C64-B30A-50AA3EC549FE}"/>
            </a:ext>
          </a:extLst>
        </xdr:cNvPr>
        <xdr:cNvSpPr txBox="1"/>
      </xdr:nvSpPr>
      <xdr:spPr>
        <a:xfrm>
          <a:off x="5201308" y="3332812"/>
          <a:ext cx="3139418" cy="1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XD dimming</a:t>
          </a:r>
        </a:p>
      </xdr:txBody>
    </xdr:sp>
    <xdr:clientData/>
  </xdr:oneCellAnchor>
  <xdr:twoCellAnchor>
    <xdr:from>
      <xdr:col>112</xdr:col>
      <xdr:colOff>17189</xdr:colOff>
      <xdr:row>4</xdr:row>
      <xdr:rowOff>30764</xdr:rowOff>
    </xdr:from>
    <xdr:to>
      <xdr:col>112</xdr:col>
      <xdr:colOff>112220</xdr:colOff>
      <xdr:row>4</xdr:row>
      <xdr:rowOff>215242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B59F4C3A-5C46-4CA9-A715-497F065ACA1F}"/>
            </a:ext>
          </a:extLst>
        </xdr:cNvPr>
        <xdr:cNvSpPr/>
      </xdr:nvSpPr>
      <xdr:spPr>
        <a:xfrm>
          <a:off x="15117489" y="894364"/>
          <a:ext cx="95031" cy="184478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120</xdr:col>
      <xdr:colOff>73791</xdr:colOff>
      <xdr:row>4</xdr:row>
      <xdr:rowOff>37224</xdr:rowOff>
    </xdr:from>
    <xdr:to>
      <xdr:col>121</xdr:col>
      <xdr:colOff>48610</xdr:colOff>
      <xdr:row>5</xdr:row>
      <xdr:rowOff>5474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BEB43E6-16A9-4DE3-98F6-67B9D6ACC7F4}"/>
            </a:ext>
          </a:extLst>
        </xdr:cNvPr>
        <xdr:cNvSpPr/>
      </xdr:nvSpPr>
      <xdr:spPr>
        <a:xfrm>
          <a:off x="16139291" y="900824"/>
          <a:ext cx="95469" cy="184150"/>
        </a:xfrm>
        <a:prstGeom prst="rect">
          <a:avLst/>
        </a:prstGeom>
        <a:solidFill>
          <a:srgbClr val="00B0F0">
            <a:alpha val="3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134</xdr:col>
      <xdr:colOff>3737</xdr:colOff>
      <xdr:row>17</xdr:row>
      <xdr:rowOff>206824</xdr:rowOff>
    </xdr:from>
    <xdr:ext cx="3060000" cy="1800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3E7E2BB-81D3-4D38-B21A-B2E8B7588B51}"/>
            </a:ext>
          </a:extLst>
        </xdr:cNvPr>
        <xdr:cNvSpPr txBox="1"/>
      </xdr:nvSpPr>
      <xdr:spPr>
        <a:xfrm>
          <a:off x="17758337" y="3877124"/>
          <a:ext cx="3060000" cy="180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DAC_FIT</a:t>
          </a:r>
        </a:p>
      </xdr:txBody>
    </xdr:sp>
    <xdr:clientData/>
  </xdr:oneCellAnchor>
  <xdr:oneCellAnchor>
    <xdr:from>
      <xdr:col>9</xdr:col>
      <xdr:colOff>76849</xdr:colOff>
      <xdr:row>0</xdr:row>
      <xdr:rowOff>149974</xdr:rowOff>
    </xdr:from>
    <xdr:ext cx="1828150" cy="324704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265DF02-C1A1-4C75-A5F4-99868EA040B7}"/>
            </a:ext>
          </a:extLst>
        </xdr:cNvPr>
        <xdr:cNvSpPr txBox="1"/>
      </xdr:nvSpPr>
      <xdr:spPr>
        <a:xfrm>
          <a:off x="2750199" y="149974"/>
          <a:ext cx="1828150" cy="3247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CURR_DAC[15:0] ← spi wr</a:t>
          </a: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latin typeface="+mn-ea"/>
              <a:ea typeface="+mn-ea"/>
            </a:rPr>
            <a:t> PREV_DAC[15:0]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CURR_DAC</a:t>
          </a:r>
          <a:endParaRPr lang="en-US" altLang="ko-KR" sz="100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17</xdr:col>
      <xdr:colOff>17319</xdr:colOff>
      <xdr:row>2</xdr:row>
      <xdr:rowOff>51954</xdr:rowOff>
    </xdr:from>
    <xdr:to>
      <xdr:col>17</xdr:col>
      <xdr:colOff>17319</xdr:colOff>
      <xdr:row>3</xdr:row>
      <xdr:rowOff>18363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B79D92C5-DFA2-4A8D-A91B-F0B825678494}"/>
            </a:ext>
          </a:extLst>
        </xdr:cNvPr>
        <xdr:cNvCxnSpPr/>
      </xdr:nvCxnSpPr>
      <xdr:spPr>
        <a:xfrm flipH="1">
          <a:off x="3655869" y="483754"/>
          <a:ext cx="0" cy="182309"/>
        </a:xfrm>
        <a:prstGeom prst="straightConnector1">
          <a:avLst/>
        </a:prstGeom>
        <a:ln w="3175">
          <a:solidFill>
            <a:schemeClr val="tx1"/>
          </a:solidFill>
          <a:headEnd w="sm" len="sm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17189</xdr:colOff>
      <xdr:row>4</xdr:row>
      <xdr:rowOff>30764</xdr:rowOff>
    </xdr:from>
    <xdr:to>
      <xdr:col>112</xdr:col>
      <xdr:colOff>112220</xdr:colOff>
      <xdr:row>4</xdr:row>
      <xdr:rowOff>215242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265F617F-0DAD-4330-94E9-68579734DD59}"/>
            </a:ext>
          </a:extLst>
        </xdr:cNvPr>
        <xdr:cNvSpPr/>
      </xdr:nvSpPr>
      <xdr:spPr>
        <a:xfrm>
          <a:off x="15117489" y="894364"/>
          <a:ext cx="95031" cy="184478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120</xdr:col>
      <xdr:colOff>73791</xdr:colOff>
      <xdr:row>4</xdr:row>
      <xdr:rowOff>37224</xdr:rowOff>
    </xdr:from>
    <xdr:to>
      <xdr:col>121</xdr:col>
      <xdr:colOff>48610</xdr:colOff>
      <xdr:row>5</xdr:row>
      <xdr:rowOff>5474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B93A94BC-6CA4-4E80-B089-A08106BB87FE}"/>
            </a:ext>
          </a:extLst>
        </xdr:cNvPr>
        <xdr:cNvSpPr/>
      </xdr:nvSpPr>
      <xdr:spPr>
        <a:xfrm>
          <a:off x="16139291" y="900824"/>
          <a:ext cx="95469" cy="184150"/>
        </a:xfrm>
        <a:prstGeom prst="rect">
          <a:avLst/>
        </a:prstGeom>
        <a:solidFill>
          <a:srgbClr val="00B0F0">
            <a:alpha val="3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138</xdr:col>
      <xdr:colOff>17189</xdr:colOff>
      <xdr:row>4</xdr:row>
      <xdr:rowOff>30764</xdr:rowOff>
    </xdr:from>
    <xdr:to>
      <xdr:col>138</xdr:col>
      <xdr:colOff>112220</xdr:colOff>
      <xdr:row>4</xdr:row>
      <xdr:rowOff>215242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1CB4DEBD-1BE6-46FE-A1A0-C97107BB78D3}"/>
            </a:ext>
          </a:extLst>
        </xdr:cNvPr>
        <xdr:cNvSpPr/>
      </xdr:nvSpPr>
      <xdr:spPr>
        <a:xfrm>
          <a:off x="18254389" y="894364"/>
          <a:ext cx="95031" cy="184478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146</xdr:col>
      <xdr:colOff>73791</xdr:colOff>
      <xdr:row>4</xdr:row>
      <xdr:rowOff>37224</xdr:rowOff>
    </xdr:from>
    <xdr:to>
      <xdr:col>147</xdr:col>
      <xdr:colOff>48610</xdr:colOff>
      <xdr:row>5</xdr:row>
      <xdr:rowOff>5474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90A4F977-AFBE-4061-A1CF-2E90FEFED642}"/>
            </a:ext>
          </a:extLst>
        </xdr:cNvPr>
        <xdr:cNvSpPr/>
      </xdr:nvSpPr>
      <xdr:spPr>
        <a:xfrm>
          <a:off x="19276191" y="900824"/>
          <a:ext cx="95469" cy="184150"/>
        </a:xfrm>
        <a:prstGeom prst="rect">
          <a:avLst/>
        </a:prstGeom>
        <a:solidFill>
          <a:srgbClr val="00B0F0">
            <a:alpha val="3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82</xdr:col>
      <xdr:colOff>7204</xdr:colOff>
      <xdr:row>18</xdr:row>
      <xdr:rowOff>2082</xdr:rowOff>
    </xdr:from>
    <xdr:ext cx="3060000" cy="1800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97F444E-2449-48BD-88CB-8009383E304C}"/>
            </a:ext>
          </a:extLst>
        </xdr:cNvPr>
        <xdr:cNvSpPr txBox="1"/>
      </xdr:nvSpPr>
      <xdr:spPr>
        <a:xfrm>
          <a:off x="11488004" y="3888282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</a:t>
          </a:r>
        </a:p>
      </xdr:txBody>
    </xdr:sp>
    <xdr:clientData/>
  </xdr:oneCellAnchor>
  <xdr:oneCellAnchor>
    <xdr:from>
      <xdr:col>56</xdr:col>
      <xdr:colOff>5430</xdr:colOff>
      <xdr:row>17</xdr:row>
      <xdr:rowOff>210742</xdr:rowOff>
    </xdr:from>
    <xdr:ext cx="3060000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87920B9-4288-4BA6-BD5C-061499D118EA}"/>
            </a:ext>
          </a:extLst>
        </xdr:cNvPr>
        <xdr:cNvSpPr txBox="1"/>
      </xdr:nvSpPr>
      <xdr:spPr>
        <a:xfrm>
          <a:off x="8349330" y="3881042"/>
          <a:ext cx="3060000" cy="172227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DAC_UP_PRE2</a:t>
          </a:r>
        </a:p>
      </xdr:txBody>
    </xdr:sp>
    <xdr:clientData/>
  </xdr:oneCellAnchor>
  <xdr:twoCellAnchor>
    <xdr:from>
      <xdr:col>8</xdr:col>
      <xdr:colOff>103902</xdr:colOff>
      <xdr:row>3</xdr:row>
      <xdr:rowOff>150090</xdr:rowOff>
    </xdr:from>
    <xdr:to>
      <xdr:col>8</xdr:col>
      <xdr:colOff>103902</xdr:colOff>
      <xdr:row>15</xdr:row>
      <xdr:rowOff>63499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889FA212-A6DA-4123-B37F-0E2C2AFBEFC2}"/>
            </a:ext>
          </a:extLst>
        </xdr:cNvPr>
        <xdr:cNvCxnSpPr/>
      </xdr:nvCxnSpPr>
      <xdr:spPr>
        <a:xfrm flipH="1">
          <a:off x="2656602" y="797790"/>
          <a:ext cx="0" cy="2504209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17189</xdr:colOff>
      <xdr:row>4</xdr:row>
      <xdr:rowOff>30764</xdr:rowOff>
    </xdr:from>
    <xdr:to>
      <xdr:col>8</xdr:col>
      <xdr:colOff>112220</xdr:colOff>
      <xdr:row>4</xdr:row>
      <xdr:rowOff>215242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2D22508D-1DB9-49E9-9EE8-979E138A62BF}"/>
            </a:ext>
          </a:extLst>
        </xdr:cNvPr>
        <xdr:cNvSpPr/>
      </xdr:nvSpPr>
      <xdr:spPr>
        <a:xfrm>
          <a:off x="2569889" y="894364"/>
          <a:ext cx="95031" cy="184478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73791</xdr:colOff>
      <xdr:row>4</xdr:row>
      <xdr:rowOff>37224</xdr:rowOff>
    </xdr:from>
    <xdr:to>
      <xdr:col>17</xdr:col>
      <xdr:colOff>48610</xdr:colOff>
      <xdr:row>5</xdr:row>
      <xdr:rowOff>5474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FFAD01A-C6A6-4769-872C-799B2126D7D2}"/>
            </a:ext>
          </a:extLst>
        </xdr:cNvPr>
        <xdr:cNvSpPr/>
      </xdr:nvSpPr>
      <xdr:spPr>
        <a:xfrm>
          <a:off x="3591691" y="900824"/>
          <a:ext cx="95469" cy="184150"/>
        </a:xfrm>
        <a:prstGeom prst="rect">
          <a:avLst/>
        </a:prstGeom>
        <a:solidFill>
          <a:srgbClr val="00B0F0">
            <a:alpha val="3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98138</xdr:colOff>
      <xdr:row>13</xdr:row>
      <xdr:rowOff>138546</xdr:rowOff>
    </xdr:from>
    <xdr:to>
      <xdr:col>10</xdr:col>
      <xdr:colOff>117229</xdr:colOff>
      <xdr:row>13</xdr:row>
      <xdr:rowOff>138546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75C25B0E-FD9C-4864-9714-A3CD512AAEF5}"/>
            </a:ext>
          </a:extLst>
        </xdr:cNvPr>
        <xdr:cNvCxnSpPr/>
      </xdr:nvCxnSpPr>
      <xdr:spPr>
        <a:xfrm>
          <a:off x="24095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98138</xdr:colOff>
      <xdr:row>13</xdr:row>
      <xdr:rowOff>138546</xdr:rowOff>
    </xdr:from>
    <xdr:to>
      <xdr:col>36</xdr:col>
      <xdr:colOff>117229</xdr:colOff>
      <xdr:row>13</xdr:row>
      <xdr:rowOff>138546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2A972FEE-9BFA-485D-99A3-D7A1ECCD27F2}"/>
            </a:ext>
          </a:extLst>
        </xdr:cNvPr>
        <xdr:cNvCxnSpPr/>
      </xdr:nvCxnSpPr>
      <xdr:spPr>
        <a:xfrm>
          <a:off x="55464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98138</xdr:colOff>
      <xdr:row>13</xdr:row>
      <xdr:rowOff>138546</xdr:rowOff>
    </xdr:from>
    <xdr:to>
      <xdr:col>62</xdr:col>
      <xdr:colOff>117229</xdr:colOff>
      <xdr:row>13</xdr:row>
      <xdr:rowOff>138546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68C1325E-EB06-4247-9E3D-86FE5009E7A5}"/>
            </a:ext>
          </a:extLst>
        </xdr:cNvPr>
        <xdr:cNvCxnSpPr/>
      </xdr:nvCxnSpPr>
      <xdr:spPr>
        <a:xfrm>
          <a:off x="86833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98138</xdr:colOff>
      <xdr:row>13</xdr:row>
      <xdr:rowOff>138546</xdr:rowOff>
    </xdr:from>
    <xdr:to>
      <xdr:col>88</xdr:col>
      <xdr:colOff>117229</xdr:colOff>
      <xdr:row>13</xdr:row>
      <xdr:rowOff>138546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C3EC4BE5-CE0E-4B50-9D40-7B655821312F}"/>
            </a:ext>
          </a:extLst>
        </xdr:cNvPr>
        <xdr:cNvCxnSpPr/>
      </xdr:nvCxnSpPr>
      <xdr:spPr>
        <a:xfrm>
          <a:off x="118202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98138</xdr:colOff>
      <xdr:row>13</xdr:row>
      <xdr:rowOff>138546</xdr:rowOff>
    </xdr:from>
    <xdr:to>
      <xdr:col>114</xdr:col>
      <xdr:colOff>117229</xdr:colOff>
      <xdr:row>13</xdr:row>
      <xdr:rowOff>138546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145B9049-DEC1-4FCC-9F54-DC27AE1E66D3}"/>
            </a:ext>
          </a:extLst>
        </xdr:cNvPr>
        <xdr:cNvCxnSpPr/>
      </xdr:nvCxnSpPr>
      <xdr:spPr>
        <a:xfrm>
          <a:off x="149571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98138</xdr:colOff>
      <xdr:row>13</xdr:row>
      <xdr:rowOff>138546</xdr:rowOff>
    </xdr:from>
    <xdr:to>
      <xdr:col>140</xdr:col>
      <xdr:colOff>117229</xdr:colOff>
      <xdr:row>13</xdr:row>
      <xdr:rowOff>138546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75FB2D4F-ACEB-4C64-A7AE-7AAF49CA64B4}"/>
            </a:ext>
          </a:extLst>
        </xdr:cNvPr>
        <xdr:cNvCxnSpPr/>
      </xdr:nvCxnSpPr>
      <xdr:spPr>
        <a:xfrm>
          <a:off x="180940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2301</xdr:colOff>
      <xdr:row>13</xdr:row>
      <xdr:rowOff>77354</xdr:rowOff>
    </xdr:from>
    <xdr:to>
      <xdr:col>90</xdr:col>
      <xdr:colOff>2301</xdr:colOff>
      <xdr:row>18</xdr:row>
      <xdr:rowOff>125400</xdr:rowOff>
    </xdr:to>
    <xdr:cxnSp macro="">
      <xdr:nvCxnSpPr>
        <xdr:cNvPr id="37" name="직선 연결선 36">
          <a:extLst>
            <a:ext uri="{FF2B5EF4-FFF2-40B4-BE49-F238E27FC236}">
              <a16:creationId xmlns:a16="http://schemas.microsoft.com/office/drawing/2014/main" id="{1B47B003-FE5E-4AA2-8B5A-F9F2E4680744}"/>
            </a:ext>
          </a:extLst>
        </xdr:cNvPr>
        <xdr:cNvCxnSpPr/>
      </xdr:nvCxnSpPr>
      <xdr:spPr>
        <a:xfrm flipH="1">
          <a:off x="12448301" y="2884054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120064</xdr:colOff>
      <xdr:row>13</xdr:row>
      <xdr:rowOff>96981</xdr:rowOff>
    </xdr:from>
    <xdr:to>
      <xdr:col>115</xdr:col>
      <xdr:colOff>120064</xdr:colOff>
      <xdr:row>18</xdr:row>
      <xdr:rowOff>145027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5EB61A13-B135-46FF-911C-FDD645A7D491}"/>
            </a:ext>
          </a:extLst>
        </xdr:cNvPr>
        <xdr:cNvCxnSpPr/>
      </xdr:nvCxnSpPr>
      <xdr:spPr>
        <a:xfrm flipH="1">
          <a:off x="15582314" y="2903681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1146</xdr:colOff>
      <xdr:row>13</xdr:row>
      <xdr:rowOff>87744</xdr:rowOff>
    </xdr:from>
    <xdr:to>
      <xdr:col>142</xdr:col>
      <xdr:colOff>1146</xdr:colOff>
      <xdr:row>18</xdr:row>
      <xdr:rowOff>135790</xdr:rowOff>
    </xdr:to>
    <xdr:cxnSp macro="">
      <xdr:nvCxnSpPr>
        <xdr:cNvPr id="39" name="직선 연결선 38">
          <a:extLst>
            <a:ext uri="{FF2B5EF4-FFF2-40B4-BE49-F238E27FC236}">
              <a16:creationId xmlns:a16="http://schemas.microsoft.com/office/drawing/2014/main" id="{AAD7C60B-77A2-4043-961E-1BC68F50A309}"/>
            </a:ext>
          </a:extLst>
        </xdr:cNvPr>
        <xdr:cNvCxnSpPr/>
      </xdr:nvCxnSpPr>
      <xdr:spPr>
        <a:xfrm flipH="1">
          <a:off x="18720946" y="2894444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2584</xdr:colOff>
      <xdr:row>16</xdr:row>
      <xdr:rowOff>186464</xdr:rowOff>
    </xdr:from>
    <xdr:ext cx="3168000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2AD1D67-CAC0-487F-8A2B-9613B41BDF95}"/>
            </a:ext>
          </a:extLst>
        </xdr:cNvPr>
        <xdr:cNvSpPr txBox="1"/>
      </xdr:nvSpPr>
      <xdr:spPr>
        <a:xfrm>
          <a:off x="15585484" y="3640864"/>
          <a:ext cx="3168000" cy="17222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dac_fb_assert=1</a:t>
          </a:r>
        </a:p>
      </xdr:txBody>
    </xdr:sp>
    <xdr:clientData/>
  </xdr:oneCellAnchor>
  <xdr:oneCellAnchor>
    <xdr:from>
      <xdr:col>108</xdr:col>
      <xdr:colOff>9514</xdr:colOff>
      <xdr:row>17</xdr:row>
      <xdr:rowOff>212210</xdr:rowOff>
    </xdr:from>
    <xdr:ext cx="3060000" cy="18000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1430244-9FE2-495A-A887-FF9C4E57747A}"/>
            </a:ext>
          </a:extLst>
        </xdr:cNvPr>
        <xdr:cNvSpPr txBox="1"/>
      </xdr:nvSpPr>
      <xdr:spPr>
        <a:xfrm>
          <a:off x="14627214" y="3882510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</a:t>
          </a:r>
        </a:p>
      </xdr:txBody>
    </xdr:sp>
    <xdr:clientData/>
  </xdr:oneCellAnchor>
  <xdr:twoCellAnchor>
    <xdr:from>
      <xdr:col>89</xdr:col>
      <xdr:colOff>111988</xdr:colOff>
      <xdr:row>19</xdr:row>
      <xdr:rowOff>2309</xdr:rowOff>
    </xdr:from>
    <xdr:to>
      <xdr:col>107</xdr:col>
      <xdr:colOff>576</xdr:colOff>
      <xdr:row>20</xdr:row>
      <xdr:rowOff>171450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A2DE534-CA39-4729-9C75-1F106DA6E980}"/>
            </a:ext>
          </a:extLst>
        </xdr:cNvPr>
        <xdr:cNvSpPr txBox="1"/>
      </xdr:nvSpPr>
      <xdr:spPr>
        <a:xfrm>
          <a:off x="12437338" y="4104409"/>
          <a:ext cx="2060288" cy="385041"/>
        </a:xfrm>
        <a:prstGeom prst="rect">
          <a:avLst/>
        </a:prstGeom>
        <a:solidFill>
          <a:srgbClr val="FFFF00">
            <a:alpha val="3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=  +dac_inc2</a:t>
          </a:r>
        </a:p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ince_dac =  +dac_inc2</a:t>
          </a:r>
        </a:p>
      </xdr:txBody>
    </xdr:sp>
    <xdr:clientData/>
  </xdr:twoCellAnchor>
  <xdr:twoCellAnchor>
    <xdr:from>
      <xdr:col>29</xdr:col>
      <xdr:colOff>120070</xdr:colOff>
      <xdr:row>18</xdr:row>
      <xdr:rowOff>190500</xdr:rowOff>
    </xdr:from>
    <xdr:to>
      <xdr:col>89</xdr:col>
      <xdr:colOff>40409</xdr:colOff>
      <xdr:row>20</xdr:row>
      <xdr:rowOff>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5049487-DE93-4370-B1EB-8C24F3045534}"/>
            </a:ext>
          </a:extLst>
        </xdr:cNvPr>
        <xdr:cNvSpPr txBox="1"/>
      </xdr:nvSpPr>
      <xdr:spPr>
        <a:xfrm>
          <a:off x="5206420" y="4076700"/>
          <a:ext cx="7159339" cy="241300"/>
        </a:xfrm>
        <a:prstGeom prst="rect">
          <a:avLst/>
        </a:prstGeom>
        <a:solidFill>
          <a:srgbClr val="FFFF00">
            <a:alpha val="3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ince_dac= +dac_inc2</a:t>
          </a:r>
        </a:p>
      </xdr:txBody>
    </xdr:sp>
    <xdr:clientData/>
  </xdr:twoCellAnchor>
  <xdr:twoCellAnchor>
    <xdr:from>
      <xdr:col>108</xdr:col>
      <xdr:colOff>4172</xdr:colOff>
      <xdr:row>38</xdr:row>
      <xdr:rowOff>102721</xdr:rowOff>
    </xdr:from>
    <xdr:to>
      <xdr:col>135</xdr:col>
      <xdr:colOff>13276</xdr:colOff>
      <xdr:row>47</xdr:row>
      <xdr:rowOff>54264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E1AA13F9-AC64-657A-06EB-E486B1718AE1}"/>
            </a:ext>
          </a:extLst>
        </xdr:cNvPr>
        <xdr:cNvGrpSpPr/>
      </xdr:nvGrpSpPr>
      <xdr:grpSpPr>
        <a:xfrm>
          <a:off x="14961597" y="8430746"/>
          <a:ext cx="3346029" cy="1920043"/>
          <a:chOff x="15053672" y="8306921"/>
          <a:chExt cx="3266654" cy="1894643"/>
        </a:xfrm>
      </xdr:grpSpPr>
      <xdr:grpSp>
        <xdr:nvGrpSpPr>
          <xdr:cNvPr id="45" name="그룹 44">
            <a:extLst>
              <a:ext uri="{FF2B5EF4-FFF2-40B4-BE49-F238E27FC236}">
                <a16:creationId xmlns:a16="http://schemas.microsoft.com/office/drawing/2014/main" id="{E3172EF8-3189-4463-A9CC-8BFBA322F9DA}"/>
              </a:ext>
            </a:extLst>
          </xdr:cNvPr>
          <xdr:cNvGrpSpPr/>
        </xdr:nvGrpSpPr>
        <xdr:grpSpPr>
          <a:xfrm>
            <a:off x="15053672" y="8306921"/>
            <a:ext cx="2570595" cy="1894643"/>
            <a:chOff x="15111977" y="7791994"/>
            <a:chExt cx="2582717" cy="1873861"/>
          </a:xfrm>
        </xdr:grpSpPr>
        <xdr:cxnSp macro="">
          <xdr:nvCxnSpPr>
            <xdr:cNvPr id="46" name="직선 연결선 45">
              <a:extLst>
                <a:ext uri="{FF2B5EF4-FFF2-40B4-BE49-F238E27FC236}">
                  <a16:creationId xmlns:a16="http://schemas.microsoft.com/office/drawing/2014/main" id="{DC267093-8255-F455-F7CD-C27A26C451D2}"/>
                </a:ext>
              </a:extLst>
            </xdr:cNvPr>
            <xdr:cNvCxnSpPr/>
          </xdr:nvCxnSpPr>
          <xdr:spPr>
            <a:xfrm>
              <a:off x="15111977" y="7962876"/>
              <a:ext cx="696190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>
              <a:extLst>
                <a:ext uri="{FF2B5EF4-FFF2-40B4-BE49-F238E27FC236}">
                  <a16:creationId xmlns:a16="http://schemas.microsoft.com/office/drawing/2014/main" id="{812AF03D-145D-3CBD-0E01-F5C95559E482}"/>
                </a:ext>
              </a:extLst>
            </xdr:cNvPr>
            <xdr:cNvCxnSpPr/>
          </xdr:nvCxnSpPr>
          <xdr:spPr>
            <a:xfrm>
              <a:off x="15805385" y="7961747"/>
              <a:ext cx="1200727" cy="1696027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>
              <a:extLst>
                <a:ext uri="{FF2B5EF4-FFF2-40B4-BE49-F238E27FC236}">
                  <a16:creationId xmlns:a16="http://schemas.microsoft.com/office/drawing/2014/main" id="{5E72C629-4CA6-1AFD-2917-2C77867FBB8E}"/>
                </a:ext>
              </a:extLst>
            </xdr:cNvPr>
            <xdr:cNvCxnSpPr/>
          </xdr:nvCxnSpPr>
          <xdr:spPr>
            <a:xfrm>
              <a:off x="16999081" y="9652080"/>
              <a:ext cx="695613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17A4D8CA-02E7-210A-5412-540F8221DDB8}"/>
                </a:ext>
              </a:extLst>
            </xdr:cNvPr>
            <xdr:cNvSpPr txBox="1"/>
          </xdr:nvSpPr>
          <xdr:spPr>
            <a:xfrm>
              <a:off x="15157017" y="7791994"/>
              <a:ext cx="518456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1000</a:t>
              </a:r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E2715E7-5264-5D98-C0E9-A0A6F886C1C6}"/>
                </a:ext>
              </a:extLst>
            </xdr:cNvPr>
            <xdr:cNvSpPr txBox="1"/>
          </xdr:nvSpPr>
          <xdr:spPr>
            <a:xfrm>
              <a:off x="17151350" y="9485746"/>
              <a:ext cx="518626" cy="1801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3000</a:t>
              </a:r>
            </a:p>
          </xdr:txBody>
        </xdr:sp>
      </xdr:grpSp>
      <xdr:grpSp>
        <xdr:nvGrpSpPr>
          <xdr:cNvPr id="51" name="그룹 50">
            <a:extLst>
              <a:ext uri="{FF2B5EF4-FFF2-40B4-BE49-F238E27FC236}">
                <a16:creationId xmlns:a16="http://schemas.microsoft.com/office/drawing/2014/main" id="{0F527592-9E34-49BD-AFA0-CE717F31364E}"/>
              </a:ext>
            </a:extLst>
          </xdr:cNvPr>
          <xdr:cNvGrpSpPr/>
        </xdr:nvGrpSpPr>
        <xdr:grpSpPr>
          <a:xfrm>
            <a:off x="15618929" y="8583468"/>
            <a:ext cx="2088918" cy="227445"/>
            <a:chOff x="15897170" y="8499892"/>
            <a:chExt cx="2098883" cy="225136"/>
          </a:xfrm>
        </xdr:grpSpPr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42B73BAA-FB9B-3362-844D-2F114DD3D00B}"/>
                </a:ext>
              </a:extLst>
            </xdr:cNvPr>
            <xdr:cNvSpPr txBox="1"/>
          </xdr:nvSpPr>
          <xdr:spPr>
            <a:xfrm>
              <a:off x="16598475" y="8499892"/>
              <a:ext cx="1397578" cy="2251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curr_tgt_dac = 1500</a:t>
              </a:r>
            </a:p>
          </xdr:txBody>
        </xdr:sp>
        <xdr:cxnSp macro="">
          <xdr:nvCxnSpPr>
            <xdr:cNvPr id="53" name="직선 연결선 52">
              <a:extLst>
                <a:ext uri="{FF2B5EF4-FFF2-40B4-BE49-F238E27FC236}">
                  <a16:creationId xmlns:a16="http://schemas.microsoft.com/office/drawing/2014/main" id="{C54BD56F-282C-D29F-9AD6-BD9D60A18AE9}"/>
                </a:ext>
              </a:extLst>
            </xdr:cNvPr>
            <xdr:cNvCxnSpPr/>
          </xdr:nvCxnSpPr>
          <xdr:spPr>
            <a:xfrm>
              <a:off x="15897170" y="8622147"/>
              <a:ext cx="720000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4" name="그룹 53">
            <a:extLst>
              <a:ext uri="{FF2B5EF4-FFF2-40B4-BE49-F238E27FC236}">
                <a16:creationId xmlns:a16="http://schemas.microsoft.com/office/drawing/2014/main" id="{18FFC8C6-2421-4220-8573-B15B3B7CE1DC}"/>
              </a:ext>
            </a:extLst>
          </xdr:cNvPr>
          <xdr:cNvGrpSpPr/>
        </xdr:nvGrpSpPr>
        <xdr:grpSpPr>
          <a:xfrm>
            <a:off x="16264315" y="9594848"/>
            <a:ext cx="2056011" cy="227445"/>
            <a:chOff x="16267202" y="8997949"/>
            <a:chExt cx="2065825" cy="225136"/>
          </a:xfrm>
        </xdr:grpSpPr>
        <xdr:cxnSp macro="">
          <xdr:nvCxnSpPr>
            <xdr:cNvPr id="55" name="직선 연결선 54">
              <a:extLst>
                <a:ext uri="{FF2B5EF4-FFF2-40B4-BE49-F238E27FC236}">
                  <a16:creationId xmlns:a16="http://schemas.microsoft.com/office/drawing/2014/main" id="{66B9BA95-98F0-EB43-DF62-7A000F21BB21}"/>
                </a:ext>
              </a:extLst>
            </xdr:cNvPr>
            <xdr:cNvCxnSpPr/>
          </xdr:nvCxnSpPr>
          <xdr:spPr>
            <a:xfrm>
              <a:off x="16267202" y="9119755"/>
              <a:ext cx="720000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04BF7E45-8559-EA2B-9CF4-437036703C30}"/>
                </a:ext>
              </a:extLst>
            </xdr:cNvPr>
            <xdr:cNvSpPr txBox="1"/>
          </xdr:nvSpPr>
          <xdr:spPr>
            <a:xfrm>
              <a:off x="16936026" y="8997949"/>
              <a:ext cx="1397001" cy="2251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prev_tgt_dac = 2500</a:t>
              </a:r>
            </a:p>
          </xdr:txBody>
        </xdr:sp>
      </xdr:grpSp>
      <xdr:cxnSp macro="">
        <xdr:nvCxnSpPr>
          <xdr:cNvPr id="57" name="직선 연결선 56">
            <a:extLst>
              <a:ext uri="{FF2B5EF4-FFF2-40B4-BE49-F238E27FC236}">
                <a16:creationId xmlns:a16="http://schemas.microsoft.com/office/drawing/2014/main" id="{ECB75A8D-729C-4EF4-804F-D22B438C225B}"/>
              </a:ext>
            </a:extLst>
          </xdr:cNvPr>
          <xdr:cNvCxnSpPr/>
        </xdr:nvCxnSpPr>
        <xdr:spPr>
          <a:xfrm>
            <a:off x="15857338" y="9109941"/>
            <a:ext cx="764309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직선 연결선 57">
            <a:extLst>
              <a:ext uri="{FF2B5EF4-FFF2-40B4-BE49-F238E27FC236}">
                <a16:creationId xmlns:a16="http://schemas.microsoft.com/office/drawing/2014/main" id="{F6A2A4BF-81B8-4BDA-BEB3-36CA7FED2683}"/>
              </a:ext>
            </a:extLst>
          </xdr:cNvPr>
          <xdr:cNvCxnSpPr/>
        </xdr:nvCxnSpPr>
        <xdr:spPr>
          <a:xfrm>
            <a:off x="15476339" y="8590971"/>
            <a:ext cx="764309" cy="0"/>
          </a:xfrm>
          <a:prstGeom prst="line">
            <a:avLst/>
          </a:prstGeom>
          <a:ln w="3175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D3F6E80F-90CD-42FA-83E0-04B50AA6FF01}"/>
              </a:ext>
            </a:extLst>
          </xdr:cNvPr>
          <xdr:cNvCxnSpPr/>
        </xdr:nvCxnSpPr>
        <xdr:spPr>
          <a:xfrm>
            <a:off x="16066888" y="9408391"/>
            <a:ext cx="764309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151E0A4B-8FFD-4FEB-9556-58FD189F5DEB}"/>
              </a:ext>
            </a:extLst>
          </xdr:cNvPr>
          <xdr:cNvSpPr txBox="1"/>
        </xdr:nvSpPr>
        <xdr:spPr>
          <a:xfrm>
            <a:off x="16482529" y="8837469"/>
            <a:ext cx="713271" cy="192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SOA_N2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F41B6335-E815-4599-B428-611F5BD26DB2}"/>
              </a:ext>
            </a:extLst>
          </xdr:cNvPr>
          <xdr:cNvSpPr txBox="1"/>
        </xdr:nvSpPr>
        <xdr:spPr>
          <a:xfrm>
            <a:off x="16819079" y="9434369"/>
            <a:ext cx="738671" cy="1858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SOA_P2</a:t>
            </a:r>
          </a:p>
        </xdr:txBody>
      </xdr:sp>
    </xdr:grpSp>
    <xdr:clientData/>
  </xdr:twoCellAnchor>
  <xdr:oneCellAnchor>
    <xdr:from>
      <xdr:col>34</xdr:col>
      <xdr:colOff>38749</xdr:colOff>
      <xdr:row>0</xdr:row>
      <xdr:rowOff>137274</xdr:rowOff>
    </xdr:from>
    <xdr:ext cx="1828150" cy="324704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1DAB1DA-4642-4EEF-84DC-1ED07B827618}"/>
            </a:ext>
          </a:extLst>
        </xdr:cNvPr>
        <xdr:cNvSpPr txBox="1"/>
      </xdr:nvSpPr>
      <xdr:spPr>
        <a:xfrm>
          <a:off x="5728349" y="137274"/>
          <a:ext cx="1828150" cy="3247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CURR_DAC[15:0] ← spi wr</a:t>
          </a: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latin typeface="+mn-ea"/>
              <a:ea typeface="+mn-ea"/>
            </a:rPr>
            <a:t> PREV_DAC[15:0]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CURR_DAC</a:t>
          </a:r>
          <a:endParaRPr lang="en-US" altLang="ko-KR" sz="100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41</xdr:col>
      <xdr:colOff>99869</xdr:colOff>
      <xdr:row>2</xdr:row>
      <xdr:rowOff>39254</xdr:rowOff>
    </xdr:from>
    <xdr:to>
      <xdr:col>41</xdr:col>
      <xdr:colOff>99869</xdr:colOff>
      <xdr:row>3</xdr:row>
      <xdr:rowOff>5663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61293B26-9CA9-4CDC-9E52-E584BEBC8990}"/>
            </a:ext>
          </a:extLst>
        </xdr:cNvPr>
        <xdr:cNvCxnSpPr/>
      </xdr:nvCxnSpPr>
      <xdr:spPr>
        <a:xfrm flipH="1">
          <a:off x="6634019" y="471054"/>
          <a:ext cx="0" cy="182309"/>
        </a:xfrm>
        <a:prstGeom prst="straightConnector1">
          <a:avLst/>
        </a:prstGeom>
        <a:ln w="3175">
          <a:solidFill>
            <a:schemeClr val="tx1"/>
          </a:solidFill>
          <a:headEnd w="sm" len="sm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58</xdr:row>
      <xdr:rowOff>76200</xdr:rowOff>
    </xdr:from>
    <xdr:to>
      <xdr:col>52</xdr:col>
      <xdr:colOff>8075</xdr:colOff>
      <xdr:row>64</xdr:row>
      <xdr:rowOff>147958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6F0FD6A-ED3E-405E-8CA2-3E232B1BDFDB}"/>
            </a:ext>
          </a:extLst>
        </xdr:cNvPr>
        <xdr:cNvSpPr txBox="1"/>
      </xdr:nvSpPr>
      <xdr:spPr>
        <a:xfrm>
          <a:off x="1857375" y="12598400"/>
          <a:ext cx="6012000" cy="1367158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 = 4095     prev_target_dac=4095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dac_inc2 = 6                    dac_inc3 = 16                  dac_inc4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 = 0   </a:t>
          </a:r>
          <a:r>
            <a:rPr lang="en-US" altLang="ko-KR" sz="1100" b="0" kern="1200" baseline="0">
              <a:latin typeface="+mn-ea"/>
              <a:ea typeface="+mn-ea"/>
            </a:rPr>
            <a:t>dac_inc_hold_th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SOA_N11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-50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SOA_P1 = 125        SOA_P2 = 300                  SOA_P3 = 500</a:t>
          </a:r>
        </a:p>
      </xdr:txBody>
    </xdr:sp>
    <xdr:clientData/>
  </xdr:twoCellAnchor>
  <xdr:twoCellAnchor>
    <xdr:from>
      <xdr:col>52</xdr:col>
      <xdr:colOff>76200</xdr:colOff>
      <xdr:row>58</xdr:row>
      <xdr:rowOff>76200</xdr:rowOff>
    </xdr:from>
    <xdr:to>
      <xdr:col>102</xdr:col>
      <xdr:colOff>55700</xdr:colOff>
      <xdr:row>81</xdr:row>
      <xdr:rowOff>28577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4727CE-E603-433D-A84F-6E8197516982}"/>
            </a:ext>
          </a:extLst>
        </xdr:cNvPr>
        <xdr:cNvSpPr txBox="1"/>
      </xdr:nvSpPr>
      <xdr:spPr>
        <a:xfrm>
          <a:off x="7937500" y="12598400"/>
          <a:ext cx="6012000" cy="491807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(-10)</a:t>
          </a:r>
        </a:p>
      </xdr:txBody>
    </xdr:sp>
    <xdr:clientData/>
  </xdr:twoCellAnchor>
  <xdr:twoCellAnchor>
    <xdr:from>
      <xdr:col>52</xdr:col>
      <xdr:colOff>82550</xdr:colOff>
      <xdr:row>22</xdr:row>
      <xdr:rowOff>44451</xdr:rowOff>
    </xdr:from>
    <xdr:to>
      <xdr:col>102</xdr:col>
      <xdr:colOff>62050</xdr:colOff>
      <xdr:row>58</xdr:row>
      <xdr:rowOff>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B2E4181-BC6F-4557-A239-D9C3DA8BCE7F}"/>
            </a:ext>
          </a:extLst>
        </xdr:cNvPr>
        <xdr:cNvSpPr txBox="1"/>
      </xdr:nvSpPr>
      <xdr:spPr>
        <a:xfrm>
          <a:off x="7943850" y="4794251"/>
          <a:ext cx="6012000" cy="7727949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 DAC_STATE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실행 직후 실행</a:t>
          </a:r>
          <a:endParaRPr lang="ko-KR" altLang="ko-KR">
            <a:effectLst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 + r1,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 &lt; curr_tgt_dac)  curr_dac ← curr_dac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 ← curr_tgt_dac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(dac_inc_hold_cnt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(fb=1)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 ← curr_dac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+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dac_dec1_acc,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dac_dec1_acc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,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(fb=0)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 &lt; (curr_tgt_dac 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if ((curr_tgt_dac </a:t>
          </a:r>
          <a:r>
            <a:rPr lang="en-US" altLang="ko-KR" sz="1100" b="1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 &lt; (curr_tgt_dac </a:t>
          </a:r>
          <a:r>
            <a:rPr lang="en-US" altLang="ko-KR" sz="1100" b="1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if ((curr_tgt_dac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 &lt; (curr_tgt_dac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dac_dec1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113</xdr:col>
      <xdr:colOff>16872</xdr:colOff>
      <xdr:row>41</xdr:row>
      <xdr:rowOff>26521</xdr:rowOff>
    </xdr:from>
    <xdr:to>
      <xdr:col>119</xdr:col>
      <xdr:colOff>57281</xdr:colOff>
      <xdr:row>41</xdr:row>
      <xdr:rowOff>26521</xdr:rowOff>
    </xdr:to>
    <xdr:cxnSp macro="">
      <xdr:nvCxnSpPr>
        <xdr:cNvPr id="61" name="직선 연결선 60">
          <a:extLst>
            <a:ext uri="{FF2B5EF4-FFF2-40B4-BE49-F238E27FC236}">
              <a16:creationId xmlns:a16="http://schemas.microsoft.com/office/drawing/2014/main" id="{B12B4772-5858-44D0-AC5B-DDC9DFD1E73D}"/>
            </a:ext>
          </a:extLst>
        </xdr:cNvPr>
        <xdr:cNvCxnSpPr/>
      </xdr:nvCxnSpPr>
      <xdr:spPr>
        <a:xfrm>
          <a:off x="15237822" y="8878421"/>
          <a:ext cx="764309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53397</xdr:colOff>
      <xdr:row>79</xdr:row>
      <xdr:rowOff>98710</xdr:rowOff>
    </xdr:from>
    <xdr:to>
      <xdr:col>52</xdr:col>
      <xdr:colOff>32897</xdr:colOff>
      <xdr:row>82</xdr:row>
      <xdr:rowOff>134505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D591EB-23FF-4563-95C4-7B56272BE3C3}"/>
            </a:ext>
          </a:extLst>
        </xdr:cNvPr>
        <xdr:cNvSpPr txBox="1"/>
      </xdr:nvSpPr>
      <xdr:spPr>
        <a:xfrm>
          <a:off x="1882197" y="17154810"/>
          <a:ext cx="6012000" cy="68349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 - prev_tgt_dac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 - curr_dac</a:t>
          </a:r>
        </a:p>
      </xdr:txBody>
    </xdr:sp>
    <xdr:clientData/>
  </xdr:twoCellAnchor>
  <xdr:oneCellAnchor>
    <xdr:from>
      <xdr:col>30</xdr:col>
      <xdr:colOff>3815</xdr:colOff>
      <xdr:row>16</xdr:row>
      <xdr:rowOff>111394</xdr:rowOff>
    </xdr:from>
    <xdr:ext cx="3132000" cy="180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B0C373-4CA2-4354-8EAB-E433CB532BB2}"/>
            </a:ext>
          </a:extLst>
        </xdr:cNvPr>
        <xdr:cNvSpPr txBox="1"/>
      </xdr:nvSpPr>
      <xdr:spPr>
        <a:xfrm>
          <a:off x="5210815" y="3565794"/>
          <a:ext cx="3132000" cy="1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state transition &amp; dac change</a:t>
          </a:r>
        </a:p>
      </xdr:txBody>
    </xdr:sp>
    <xdr:clientData/>
  </xdr:oneCellAnchor>
  <xdr:oneCellAnchor>
    <xdr:from>
      <xdr:col>29</xdr:col>
      <xdr:colOff>121226</xdr:colOff>
      <xdr:row>17</xdr:row>
      <xdr:rowOff>195600</xdr:rowOff>
    </xdr:from>
    <xdr:ext cx="3060000" cy="1800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B9D2F0-F448-4836-8AFF-1CBCE3DBB0B5}"/>
            </a:ext>
          </a:extLst>
        </xdr:cNvPr>
        <xdr:cNvSpPr txBox="1"/>
      </xdr:nvSpPr>
      <xdr:spPr>
        <a:xfrm>
          <a:off x="5207576" y="3865900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DAC_UP_PRE1</a:t>
          </a:r>
        </a:p>
      </xdr:txBody>
    </xdr:sp>
    <xdr:clientData/>
  </xdr:oneCellAnchor>
  <xdr:twoCellAnchor>
    <xdr:from>
      <xdr:col>52</xdr:col>
      <xdr:colOff>111580</xdr:colOff>
      <xdr:row>68</xdr:row>
      <xdr:rowOff>68593</xdr:rowOff>
    </xdr:from>
    <xdr:to>
      <xdr:col>102</xdr:col>
      <xdr:colOff>91080</xdr:colOff>
      <xdr:row>79</xdr:row>
      <xdr:rowOff>33693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17EA6D1-DE57-4232-83B7-66B3DEFF2F59}"/>
            </a:ext>
          </a:extLst>
        </xdr:cNvPr>
        <xdr:cNvSpPr txBox="1"/>
      </xdr:nvSpPr>
      <xdr:spPr>
        <a:xfrm>
          <a:off x="7972880" y="14749793"/>
          <a:ext cx="6012000" cy="234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dac_thermal_off, ~dac_hold_en)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dac_inc_hold_cnt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(r2&lt;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_th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(~dac_f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b)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dac_inc_hold_cnt ← dac_int_hold_cnt + 1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dac_inc_hold_cnt ← dac_int_hold_cnt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dac_inc_hold_cnt ← dac_int_hold_cnt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52</xdr:col>
      <xdr:colOff>101938</xdr:colOff>
      <xdr:row>79</xdr:row>
      <xdr:rowOff>101021</xdr:rowOff>
    </xdr:from>
    <xdr:to>
      <xdr:col>102</xdr:col>
      <xdr:colOff>81438</xdr:colOff>
      <xdr:row>89</xdr:row>
      <xdr:rowOff>66021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8D5F325-1C15-4626-8EE9-98A24704D2E4}"/>
            </a:ext>
          </a:extLst>
        </xdr:cNvPr>
        <xdr:cNvSpPr txBox="1"/>
      </xdr:nvSpPr>
      <xdr:spPr>
        <a:xfrm>
          <a:off x="7963238" y="17157121"/>
          <a:ext cx="6012000" cy="2124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dac_inc1_wait_cnt ← dac_inc1_wait_cnt </a:t>
          </a:r>
        </a:p>
      </xdr:txBody>
    </xdr:sp>
    <xdr:clientData/>
  </xdr:twoCellAnchor>
  <xdr:twoCellAnchor>
    <xdr:from>
      <xdr:col>34</xdr:col>
      <xdr:colOff>20999</xdr:colOff>
      <xdr:row>4</xdr:row>
      <xdr:rowOff>39423</xdr:rowOff>
    </xdr:from>
    <xdr:to>
      <xdr:col>34</xdr:col>
      <xdr:colOff>112220</xdr:colOff>
      <xdr:row>5</xdr:row>
      <xdr:rowOff>7424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D4DA1C67-F86E-4137-90EF-F196570450CA}"/>
            </a:ext>
          </a:extLst>
        </xdr:cNvPr>
        <xdr:cNvSpPr/>
      </xdr:nvSpPr>
      <xdr:spPr>
        <a:xfrm>
          <a:off x="5710599" y="903023"/>
          <a:ext cx="91221" cy="18390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20999</xdr:colOff>
      <xdr:row>4</xdr:row>
      <xdr:rowOff>37518</xdr:rowOff>
    </xdr:from>
    <xdr:to>
      <xdr:col>60</xdr:col>
      <xdr:colOff>112220</xdr:colOff>
      <xdr:row>5</xdr:row>
      <xdr:rowOff>3614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F5B50E30-C420-453C-AD2C-981E729C6AED}"/>
            </a:ext>
          </a:extLst>
        </xdr:cNvPr>
        <xdr:cNvSpPr/>
      </xdr:nvSpPr>
      <xdr:spPr>
        <a:xfrm>
          <a:off x="88474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86</xdr:col>
      <xdr:colOff>20999</xdr:colOff>
      <xdr:row>4</xdr:row>
      <xdr:rowOff>37518</xdr:rowOff>
    </xdr:from>
    <xdr:to>
      <xdr:col>86</xdr:col>
      <xdr:colOff>112220</xdr:colOff>
      <xdr:row>5</xdr:row>
      <xdr:rowOff>3614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F1913BD5-4029-4DB9-9A24-D8D1CB70EF2F}"/>
            </a:ext>
          </a:extLst>
        </xdr:cNvPr>
        <xdr:cNvSpPr/>
      </xdr:nvSpPr>
      <xdr:spPr>
        <a:xfrm>
          <a:off x="119843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4</xdr:col>
      <xdr:colOff>8212</xdr:colOff>
      <xdr:row>15</xdr:row>
      <xdr:rowOff>92451</xdr:rowOff>
    </xdr:from>
    <xdr:ext cx="3117520" cy="1800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87DDE4E-F184-4263-95E8-30CC0846B8BA}"/>
            </a:ext>
          </a:extLst>
        </xdr:cNvPr>
        <xdr:cNvSpPr txBox="1"/>
      </xdr:nvSpPr>
      <xdr:spPr>
        <a:xfrm>
          <a:off x="2078312" y="3330951"/>
          <a:ext cx="3117520" cy="18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ana &amp; ld to XC, then serializing to XD</a:t>
          </a:r>
        </a:p>
      </xdr:txBody>
    </xdr:sp>
    <xdr:clientData/>
  </xdr:oneCellAnchor>
  <xdr:oneCellAnchor>
    <xdr:from>
      <xdr:col>29</xdr:col>
      <xdr:colOff>114958</xdr:colOff>
      <xdr:row>15</xdr:row>
      <xdr:rowOff>94312</xdr:rowOff>
    </xdr:from>
    <xdr:ext cx="3139418" cy="1800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323E660-1422-4786-B260-10E72BF2348F}"/>
            </a:ext>
          </a:extLst>
        </xdr:cNvPr>
        <xdr:cNvSpPr txBox="1"/>
      </xdr:nvSpPr>
      <xdr:spPr>
        <a:xfrm>
          <a:off x="5201308" y="3332812"/>
          <a:ext cx="3139418" cy="1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XD dimming</a:t>
          </a:r>
        </a:p>
      </xdr:txBody>
    </xdr:sp>
    <xdr:clientData/>
  </xdr:oneCellAnchor>
  <xdr:twoCellAnchor>
    <xdr:from>
      <xdr:col>112</xdr:col>
      <xdr:colOff>17189</xdr:colOff>
      <xdr:row>4</xdr:row>
      <xdr:rowOff>30764</xdr:rowOff>
    </xdr:from>
    <xdr:to>
      <xdr:col>112</xdr:col>
      <xdr:colOff>112220</xdr:colOff>
      <xdr:row>4</xdr:row>
      <xdr:rowOff>215242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86AEC40-6229-4FC6-9A3C-9FE5852C6A5C}"/>
            </a:ext>
          </a:extLst>
        </xdr:cNvPr>
        <xdr:cNvSpPr/>
      </xdr:nvSpPr>
      <xdr:spPr>
        <a:xfrm>
          <a:off x="15117489" y="894364"/>
          <a:ext cx="95031" cy="184478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134</xdr:col>
      <xdr:colOff>3737</xdr:colOff>
      <xdr:row>17</xdr:row>
      <xdr:rowOff>206824</xdr:rowOff>
    </xdr:from>
    <xdr:ext cx="3060000" cy="1800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7216C21-6A4B-4DD7-A0AB-69B958B4F72B}"/>
            </a:ext>
          </a:extLst>
        </xdr:cNvPr>
        <xdr:cNvSpPr txBox="1"/>
      </xdr:nvSpPr>
      <xdr:spPr>
        <a:xfrm>
          <a:off x="17758337" y="3877124"/>
          <a:ext cx="3060000" cy="180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DAC_FIT</a:t>
          </a:r>
        </a:p>
      </xdr:txBody>
    </xdr:sp>
    <xdr:clientData/>
  </xdr:oneCellAnchor>
  <xdr:oneCellAnchor>
    <xdr:from>
      <xdr:col>8</xdr:col>
      <xdr:colOff>47987</xdr:colOff>
      <xdr:row>0</xdr:row>
      <xdr:rowOff>144201</xdr:rowOff>
    </xdr:from>
    <xdr:ext cx="2122560" cy="324704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9AE3F9B-ABCB-4F5F-A18B-7E6506EFA71E}"/>
            </a:ext>
          </a:extLst>
        </xdr:cNvPr>
        <xdr:cNvSpPr txBox="1"/>
      </xdr:nvSpPr>
      <xdr:spPr>
        <a:xfrm>
          <a:off x="2600687" y="144201"/>
          <a:ext cx="2122560" cy="3247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curr_tgt_dac [15:0] ← spi wr</a:t>
          </a: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latin typeface="+mn-ea"/>
              <a:ea typeface="+mn-ea"/>
            </a:rPr>
            <a:t> prev_tgt_dac [15:0]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curr_tgt_dac</a:t>
          </a:r>
          <a:endParaRPr lang="en-US" altLang="ko-KR" sz="100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17</xdr:col>
      <xdr:colOff>17319</xdr:colOff>
      <xdr:row>2</xdr:row>
      <xdr:rowOff>51954</xdr:rowOff>
    </xdr:from>
    <xdr:to>
      <xdr:col>17</xdr:col>
      <xdr:colOff>17319</xdr:colOff>
      <xdr:row>3</xdr:row>
      <xdr:rowOff>18363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38206C13-C7D3-4F4E-A29B-8AD49E7DF301}"/>
            </a:ext>
          </a:extLst>
        </xdr:cNvPr>
        <xdr:cNvCxnSpPr/>
      </xdr:nvCxnSpPr>
      <xdr:spPr>
        <a:xfrm flipH="1">
          <a:off x="3655869" y="483754"/>
          <a:ext cx="0" cy="182309"/>
        </a:xfrm>
        <a:prstGeom prst="straightConnector1">
          <a:avLst/>
        </a:prstGeom>
        <a:ln w="3175">
          <a:solidFill>
            <a:schemeClr val="tx1"/>
          </a:solidFill>
          <a:headEnd w="sm" len="sm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20999</xdr:colOff>
      <xdr:row>4</xdr:row>
      <xdr:rowOff>37518</xdr:rowOff>
    </xdr:from>
    <xdr:to>
      <xdr:col>112</xdr:col>
      <xdr:colOff>112220</xdr:colOff>
      <xdr:row>5</xdr:row>
      <xdr:rowOff>3614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AF842334-3EEE-42FB-8669-22CE69997A9B}"/>
            </a:ext>
          </a:extLst>
        </xdr:cNvPr>
        <xdr:cNvSpPr/>
      </xdr:nvSpPr>
      <xdr:spPr>
        <a:xfrm>
          <a:off x="151212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138</xdr:col>
      <xdr:colOff>20999</xdr:colOff>
      <xdr:row>4</xdr:row>
      <xdr:rowOff>37518</xdr:rowOff>
    </xdr:from>
    <xdr:to>
      <xdr:col>138</xdr:col>
      <xdr:colOff>112220</xdr:colOff>
      <xdr:row>5</xdr:row>
      <xdr:rowOff>3614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8984CE61-ECCB-44FF-AB6D-B95CB52B6905}"/>
            </a:ext>
          </a:extLst>
        </xdr:cNvPr>
        <xdr:cNvSpPr/>
      </xdr:nvSpPr>
      <xdr:spPr>
        <a:xfrm>
          <a:off x="182581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82</xdr:col>
      <xdr:colOff>7204</xdr:colOff>
      <xdr:row>18</xdr:row>
      <xdr:rowOff>2082</xdr:rowOff>
    </xdr:from>
    <xdr:ext cx="3060000" cy="1800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B340719-C785-4B88-8833-717AC3DA362F}"/>
            </a:ext>
          </a:extLst>
        </xdr:cNvPr>
        <xdr:cNvSpPr txBox="1"/>
      </xdr:nvSpPr>
      <xdr:spPr>
        <a:xfrm>
          <a:off x="11488004" y="3888282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</a:t>
          </a:r>
        </a:p>
      </xdr:txBody>
    </xdr:sp>
    <xdr:clientData/>
  </xdr:oneCellAnchor>
  <xdr:oneCellAnchor>
    <xdr:from>
      <xdr:col>56</xdr:col>
      <xdr:colOff>5430</xdr:colOff>
      <xdr:row>17</xdr:row>
      <xdr:rowOff>206856</xdr:rowOff>
    </xdr:from>
    <xdr:ext cx="3060000" cy="1800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FBB29D9-1487-4211-B6A6-D5A3A36021D2}"/>
            </a:ext>
          </a:extLst>
        </xdr:cNvPr>
        <xdr:cNvSpPr txBox="1"/>
      </xdr:nvSpPr>
      <xdr:spPr>
        <a:xfrm>
          <a:off x="8349330" y="3877156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DAC_UP_PRE2</a:t>
          </a:r>
        </a:p>
      </xdr:txBody>
    </xdr:sp>
    <xdr:clientData/>
  </xdr:oneCellAnchor>
  <xdr:twoCellAnchor>
    <xdr:from>
      <xdr:col>2</xdr:col>
      <xdr:colOff>59827</xdr:colOff>
      <xdr:row>38</xdr:row>
      <xdr:rowOff>12295</xdr:rowOff>
    </xdr:from>
    <xdr:to>
      <xdr:col>52</xdr:col>
      <xdr:colOff>39327</xdr:colOff>
      <xdr:row>71</xdr:row>
      <xdr:rowOff>87595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B389713-603B-4432-967B-C1EE75E75F36}"/>
            </a:ext>
          </a:extLst>
        </xdr:cNvPr>
        <xdr:cNvSpPr txBox="1"/>
      </xdr:nvSpPr>
      <xdr:spPr>
        <a:xfrm>
          <a:off x="1888627" y="8216495"/>
          <a:ext cx="6012000" cy="720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dac_fb_valid_cnt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dac_fb_valid_cnt ← dac_fb_valid_cnt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 = (int_fb_source &amp;&amp; ~dac_fb_mode) || (FBI_lat &amp;&amp; dac_fb_mode)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~dac_fb_mode)  FBI_lat ← 0,  FBI_lat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FBI_lat ← 0,  FBI_lat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(FBI_lat_cnt &lt; 5)  FBI_lat_cnt ← FBI_lat_cnt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FBI_lat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(FBI_lat_cnt = 5)  FBI_lat_cnt ← FBI_lat_cnt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FBI_lat ← 1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FBI_lat_cnt ← 0,  FBI_lat ← FBI_lat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103902</xdr:colOff>
      <xdr:row>3</xdr:row>
      <xdr:rowOff>150090</xdr:rowOff>
    </xdr:from>
    <xdr:to>
      <xdr:col>8</xdr:col>
      <xdr:colOff>103902</xdr:colOff>
      <xdr:row>15</xdr:row>
      <xdr:rowOff>63499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957463A0-84A9-4A0B-AA21-6721AC73E438}"/>
            </a:ext>
          </a:extLst>
        </xdr:cNvPr>
        <xdr:cNvCxnSpPr/>
      </xdr:nvCxnSpPr>
      <xdr:spPr>
        <a:xfrm flipH="1">
          <a:off x="2656602" y="797790"/>
          <a:ext cx="0" cy="2504209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20999</xdr:colOff>
      <xdr:row>4</xdr:row>
      <xdr:rowOff>39423</xdr:rowOff>
    </xdr:from>
    <xdr:to>
      <xdr:col>8</xdr:col>
      <xdr:colOff>112220</xdr:colOff>
      <xdr:row>5</xdr:row>
      <xdr:rowOff>7424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610DB363-0D6F-4421-9424-CD18397A84B0}"/>
            </a:ext>
          </a:extLst>
        </xdr:cNvPr>
        <xdr:cNvSpPr/>
      </xdr:nvSpPr>
      <xdr:spPr>
        <a:xfrm>
          <a:off x="2573699" y="903023"/>
          <a:ext cx="91221" cy="18390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98138</xdr:colOff>
      <xdr:row>13</xdr:row>
      <xdr:rowOff>138546</xdr:rowOff>
    </xdr:from>
    <xdr:to>
      <xdr:col>10</xdr:col>
      <xdr:colOff>117229</xdr:colOff>
      <xdr:row>13</xdr:row>
      <xdr:rowOff>138546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9155ADE3-6ACE-43A3-9DFC-EBFF5FA4CEF7}"/>
            </a:ext>
          </a:extLst>
        </xdr:cNvPr>
        <xdr:cNvCxnSpPr/>
      </xdr:nvCxnSpPr>
      <xdr:spPr>
        <a:xfrm>
          <a:off x="24095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98138</xdr:colOff>
      <xdr:row>13</xdr:row>
      <xdr:rowOff>138546</xdr:rowOff>
    </xdr:from>
    <xdr:to>
      <xdr:col>36</xdr:col>
      <xdr:colOff>117229</xdr:colOff>
      <xdr:row>13</xdr:row>
      <xdr:rowOff>138546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B89E5528-E230-4EEA-A1D7-C6AA80EC8573}"/>
            </a:ext>
          </a:extLst>
        </xdr:cNvPr>
        <xdr:cNvCxnSpPr/>
      </xdr:nvCxnSpPr>
      <xdr:spPr>
        <a:xfrm>
          <a:off x="55464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98138</xdr:colOff>
      <xdr:row>13</xdr:row>
      <xdr:rowOff>138546</xdr:rowOff>
    </xdr:from>
    <xdr:to>
      <xdr:col>62</xdr:col>
      <xdr:colOff>117229</xdr:colOff>
      <xdr:row>13</xdr:row>
      <xdr:rowOff>138546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54B9945-7322-4AE8-8E1F-7C270033E0A5}"/>
            </a:ext>
          </a:extLst>
        </xdr:cNvPr>
        <xdr:cNvCxnSpPr/>
      </xdr:nvCxnSpPr>
      <xdr:spPr>
        <a:xfrm>
          <a:off x="86833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98138</xdr:colOff>
      <xdr:row>13</xdr:row>
      <xdr:rowOff>138546</xdr:rowOff>
    </xdr:from>
    <xdr:to>
      <xdr:col>88</xdr:col>
      <xdr:colOff>117229</xdr:colOff>
      <xdr:row>13</xdr:row>
      <xdr:rowOff>138546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D1F44596-C727-477E-B631-65103B594BA5}"/>
            </a:ext>
          </a:extLst>
        </xdr:cNvPr>
        <xdr:cNvCxnSpPr/>
      </xdr:nvCxnSpPr>
      <xdr:spPr>
        <a:xfrm>
          <a:off x="118202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98138</xdr:colOff>
      <xdr:row>13</xdr:row>
      <xdr:rowOff>138546</xdr:rowOff>
    </xdr:from>
    <xdr:to>
      <xdr:col>114</xdr:col>
      <xdr:colOff>117229</xdr:colOff>
      <xdr:row>13</xdr:row>
      <xdr:rowOff>138546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914B274F-AA5F-4F56-8D07-07909996F0D7}"/>
            </a:ext>
          </a:extLst>
        </xdr:cNvPr>
        <xdr:cNvCxnSpPr/>
      </xdr:nvCxnSpPr>
      <xdr:spPr>
        <a:xfrm>
          <a:off x="149571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98138</xdr:colOff>
      <xdr:row>13</xdr:row>
      <xdr:rowOff>138546</xdr:rowOff>
    </xdr:from>
    <xdr:to>
      <xdr:col>140</xdr:col>
      <xdr:colOff>117229</xdr:colOff>
      <xdr:row>13</xdr:row>
      <xdr:rowOff>138546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A2FAEEC2-4CC3-43CA-81A9-5B8C973DD481}"/>
            </a:ext>
          </a:extLst>
        </xdr:cNvPr>
        <xdr:cNvCxnSpPr/>
      </xdr:nvCxnSpPr>
      <xdr:spPr>
        <a:xfrm>
          <a:off x="180940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2301</xdr:colOff>
      <xdr:row>13</xdr:row>
      <xdr:rowOff>77354</xdr:rowOff>
    </xdr:from>
    <xdr:to>
      <xdr:col>90</xdr:col>
      <xdr:colOff>2301</xdr:colOff>
      <xdr:row>18</xdr:row>
      <xdr:rowOff>125400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ED7F119B-6D06-4D5D-9B72-24FF1AEDB408}"/>
            </a:ext>
          </a:extLst>
        </xdr:cNvPr>
        <xdr:cNvCxnSpPr/>
      </xdr:nvCxnSpPr>
      <xdr:spPr>
        <a:xfrm flipH="1">
          <a:off x="12448301" y="2884054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120064</xdr:colOff>
      <xdr:row>13</xdr:row>
      <xdr:rowOff>96981</xdr:rowOff>
    </xdr:from>
    <xdr:to>
      <xdr:col>115</xdr:col>
      <xdr:colOff>120064</xdr:colOff>
      <xdr:row>18</xdr:row>
      <xdr:rowOff>145027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A704370B-2D08-4267-80A2-7816D5A2A365}"/>
            </a:ext>
          </a:extLst>
        </xdr:cNvPr>
        <xdr:cNvCxnSpPr/>
      </xdr:nvCxnSpPr>
      <xdr:spPr>
        <a:xfrm flipH="1">
          <a:off x="15582314" y="2903681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1146</xdr:colOff>
      <xdr:row>13</xdr:row>
      <xdr:rowOff>87744</xdr:rowOff>
    </xdr:from>
    <xdr:to>
      <xdr:col>142</xdr:col>
      <xdr:colOff>1146</xdr:colOff>
      <xdr:row>18</xdr:row>
      <xdr:rowOff>135790</xdr:rowOff>
    </xdr:to>
    <xdr:cxnSp macro="">
      <xdr:nvCxnSpPr>
        <xdr:cNvPr id="33" name="직선 연결선 32">
          <a:extLst>
            <a:ext uri="{FF2B5EF4-FFF2-40B4-BE49-F238E27FC236}">
              <a16:creationId xmlns:a16="http://schemas.microsoft.com/office/drawing/2014/main" id="{5823A234-F2A0-4553-AE8C-A178168FE8D3}"/>
            </a:ext>
          </a:extLst>
        </xdr:cNvPr>
        <xdr:cNvCxnSpPr/>
      </xdr:nvCxnSpPr>
      <xdr:spPr>
        <a:xfrm flipH="1">
          <a:off x="18720946" y="2894444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2584</xdr:colOff>
      <xdr:row>16</xdr:row>
      <xdr:rowOff>186464</xdr:rowOff>
    </xdr:from>
    <xdr:ext cx="3168000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0ED0CB5-D086-4007-AF0F-E40B5659E309}"/>
            </a:ext>
          </a:extLst>
        </xdr:cNvPr>
        <xdr:cNvSpPr txBox="1"/>
      </xdr:nvSpPr>
      <xdr:spPr>
        <a:xfrm>
          <a:off x="15585484" y="3640864"/>
          <a:ext cx="3168000" cy="17222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dac_fb_assert=1</a:t>
          </a:r>
        </a:p>
      </xdr:txBody>
    </xdr:sp>
    <xdr:clientData/>
  </xdr:oneCellAnchor>
  <xdr:oneCellAnchor>
    <xdr:from>
      <xdr:col>108</xdr:col>
      <xdr:colOff>9514</xdr:colOff>
      <xdr:row>17</xdr:row>
      <xdr:rowOff>212210</xdr:rowOff>
    </xdr:from>
    <xdr:ext cx="3060000" cy="1800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9DCE6BE-DC4A-404D-AE73-F09DD43840EF}"/>
            </a:ext>
          </a:extLst>
        </xdr:cNvPr>
        <xdr:cNvSpPr txBox="1"/>
      </xdr:nvSpPr>
      <xdr:spPr>
        <a:xfrm>
          <a:off x="14627214" y="3882510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</a:t>
          </a:r>
        </a:p>
      </xdr:txBody>
    </xdr:sp>
    <xdr:clientData/>
  </xdr:oneCellAnchor>
  <xdr:twoCellAnchor>
    <xdr:from>
      <xdr:col>89</xdr:col>
      <xdr:colOff>111988</xdr:colOff>
      <xdr:row>19</xdr:row>
      <xdr:rowOff>2309</xdr:rowOff>
    </xdr:from>
    <xdr:to>
      <xdr:col>106</xdr:col>
      <xdr:colOff>121226</xdr:colOff>
      <xdr:row>20</xdr:row>
      <xdr:rowOff>178955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21D8587-5A8A-4692-B79B-059529301999}"/>
            </a:ext>
          </a:extLst>
        </xdr:cNvPr>
        <xdr:cNvSpPr txBox="1"/>
      </xdr:nvSpPr>
      <xdr:spPr>
        <a:xfrm>
          <a:off x="12437338" y="4104409"/>
          <a:ext cx="2060288" cy="392546"/>
        </a:xfrm>
        <a:prstGeom prst="rect">
          <a:avLst/>
        </a:prstGeom>
        <a:solidFill>
          <a:srgbClr val="FFFF00">
            <a:alpha val="3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=  +dac_inc2</a:t>
          </a:r>
        </a:p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ince_dac =  +dac_inc2</a:t>
          </a:r>
        </a:p>
      </xdr:txBody>
    </xdr:sp>
    <xdr:clientData/>
  </xdr:twoCellAnchor>
  <xdr:twoCellAnchor>
    <xdr:from>
      <xdr:col>29</xdr:col>
      <xdr:colOff>120070</xdr:colOff>
      <xdr:row>18</xdr:row>
      <xdr:rowOff>190500</xdr:rowOff>
    </xdr:from>
    <xdr:to>
      <xdr:col>89</xdr:col>
      <xdr:colOff>40409</xdr:colOff>
      <xdr:row>20</xdr:row>
      <xdr:rowOff>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69BCD19-7FE3-4F9D-A97E-D74890095B58}"/>
            </a:ext>
          </a:extLst>
        </xdr:cNvPr>
        <xdr:cNvSpPr txBox="1"/>
      </xdr:nvSpPr>
      <xdr:spPr>
        <a:xfrm>
          <a:off x="5206420" y="4076700"/>
          <a:ext cx="7159339" cy="241300"/>
        </a:xfrm>
        <a:prstGeom prst="rect">
          <a:avLst/>
        </a:prstGeom>
        <a:solidFill>
          <a:srgbClr val="FFFF00">
            <a:alpha val="3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ince_dac= +dac_inc2</a:t>
          </a:r>
        </a:p>
      </xdr:txBody>
    </xdr:sp>
    <xdr:clientData/>
  </xdr:twoCellAnchor>
  <xdr:twoCellAnchor>
    <xdr:from>
      <xdr:col>2</xdr:col>
      <xdr:colOff>42713</xdr:colOff>
      <xdr:row>89</xdr:row>
      <xdr:rowOff>130403</xdr:rowOff>
    </xdr:from>
    <xdr:to>
      <xdr:col>52</xdr:col>
      <xdr:colOff>22213</xdr:colOff>
      <xdr:row>94</xdr:row>
      <xdr:rowOff>201468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7E8744E-CB8E-4ED7-B941-B08C6728CC22}"/>
            </a:ext>
          </a:extLst>
        </xdr:cNvPr>
        <xdr:cNvSpPr txBox="1"/>
      </xdr:nvSpPr>
      <xdr:spPr>
        <a:xfrm>
          <a:off x="1871513" y="19345503"/>
          <a:ext cx="6012000" cy="115056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 (open_drain)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 &lt;- FBO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*XC 1ea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사용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FBI - FBO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*XC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여러개 사용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 master XC FBI &lt;- all XC FBO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 slave XC FBI 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(XC DACO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dac_auto disable)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</xdr:col>
      <xdr:colOff>57805</xdr:colOff>
      <xdr:row>71</xdr:row>
      <xdr:rowOff>155862</xdr:rowOff>
    </xdr:from>
    <xdr:to>
      <xdr:col>52</xdr:col>
      <xdr:colOff>37305</xdr:colOff>
      <xdr:row>79</xdr:row>
      <xdr:rowOff>48661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FD57722-0CA3-4330-9565-C1AAEAA15F09}"/>
            </a:ext>
          </a:extLst>
        </xdr:cNvPr>
        <xdr:cNvSpPr txBox="1"/>
      </xdr:nvSpPr>
      <xdr:spPr>
        <a:xfrm>
          <a:off x="1886605" y="15484762"/>
          <a:ext cx="6012000" cy="1619999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 [11:0] to analog part 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dac_out min/max limitation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 ← d'4095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~dac_auto)  dac_out ← curr_tgt_dac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(dac_auto)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(curr_dac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    else  dac_out ← curr_dac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dac_out ← dac_out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oneCellAnchor>
    <xdr:from>
      <xdr:col>33</xdr:col>
      <xdr:colOff>15659</xdr:colOff>
      <xdr:row>0</xdr:row>
      <xdr:rowOff>129192</xdr:rowOff>
    </xdr:from>
    <xdr:ext cx="2122560" cy="324704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D6F97A0-97BF-410F-9E4C-6CD48785F743}"/>
            </a:ext>
          </a:extLst>
        </xdr:cNvPr>
        <xdr:cNvSpPr txBox="1"/>
      </xdr:nvSpPr>
      <xdr:spPr>
        <a:xfrm>
          <a:off x="5584609" y="129192"/>
          <a:ext cx="2122560" cy="3247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curr_tgt_dac [15:0] ← spi wr</a:t>
          </a: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latin typeface="+mn-ea"/>
              <a:ea typeface="+mn-ea"/>
            </a:rPr>
            <a:t> prev_tgt_dac [15:0]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curr_tgt_dac</a:t>
          </a:r>
          <a:endParaRPr lang="en-US" altLang="ko-KR" sz="100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41</xdr:col>
      <xdr:colOff>106219</xdr:colOff>
      <xdr:row>2</xdr:row>
      <xdr:rowOff>36945</xdr:rowOff>
    </xdr:from>
    <xdr:to>
      <xdr:col>41</xdr:col>
      <xdr:colOff>106219</xdr:colOff>
      <xdr:row>3</xdr:row>
      <xdr:rowOff>3354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E85B2DE2-F056-409D-8F5E-EC43A67DA6DF}"/>
            </a:ext>
          </a:extLst>
        </xdr:cNvPr>
        <xdr:cNvCxnSpPr/>
      </xdr:nvCxnSpPr>
      <xdr:spPr>
        <a:xfrm flipH="1">
          <a:off x="6640369" y="468745"/>
          <a:ext cx="0" cy="182309"/>
        </a:xfrm>
        <a:prstGeom prst="straightConnector1">
          <a:avLst/>
        </a:prstGeom>
        <a:ln w="3175">
          <a:solidFill>
            <a:schemeClr val="tx1"/>
          </a:solidFill>
          <a:headEnd w="sm" len="sm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55995</xdr:colOff>
      <xdr:row>21</xdr:row>
      <xdr:rowOff>17434</xdr:rowOff>
    </xdr:from>
    <xdr:to>
      <xdr:col>52</xdr:col>
      <xdr:colOff>35495</xdr:colOff>
      <xdr:row>37</xdr:row>
      <xdr:rowOff>163034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C04FCC8-DE2D-4F29-B83B-F15A9EEAF7AE}"/>
            </a:ext>
          </a:extLst>
        </xdr:cNvPr>
        <xdr:cNvSpPr txBox="1"/>
      </xdr:nvSpPr>
      <xdr:spPr>
        <a:xfrm>
          <a:off x="1884795" y="4551334"/>
          <a:ext cx="6012000" cy="360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THERMAL &amp;&amp; dac_thermal_off)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else if (r1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(r1 &lt;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(r1 &lt;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(r1 &lt;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if (curr_dac &lt; (curr_tgt_dac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108</xdr:col>
      <xdr:colOff>102870</xdr:colOff>
      <xdr:row>31</xdr:row>
      <xdr:rowOff>125730</xdr:rowOff>
    </xdr:from>
    <xdr:to>
      <xdr:col>130</xdr:col>
      <xdr:colOff>21271</xdr:colOff>
      <xdr:row>40</xdr:row>
      <xdr:rowOff>79178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FA3539E0-1962-8A6C-5B86-64E402CA2E1D}"/>
            </a:ext>
          </a:extLst>
        </xdr:cNvPr>
        <xdr:cNvGrpSpPr/>
      </xdr:nvGrpSpPr>
      <xdr:grpSpPr>
        <a:xfrm>
          <a:off x="15060295" y="6913880"/>
          <a:ext cx="2639376" cy="1928298"/>
          <a:chOff x="15111977" y="7791994"/>
          <a:chExt cx="2582717" cy="1873861"/>
        </a:xfrm>
      </xdr:grpSpPr>
      <xdr:cxnSp macro="">
        <xdr:nvCxnSpPr>
          <xdr:cNvPr id="58" name="직선 연결선 57">
            <a:extLst>
              <a:ext uri="{FF2B5EF4-FFF2-40B4-BE49-F238E27FC236}">
                <a16:creationId xmlns:a16="http://schemas.microsoft.com/office/drawing/2014/main" id="{455DD821-E9DC-C39B-8949-C0660B66D4E6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직선 연결선 58">
            <a:extLst>
              <a:ext uri="{FF2B5EF4-FFF2-40B4-BE49-F238E27FC236}">
                <a16:creationId xmlns:a16="http://schemas.microsoft.com/office/drawing/2014/main" id="{140CC1F4-9BF1-5DD8-F775-3C123BD6821C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직선 연결선 59">
            <a:extLst>
              <a:ext uri="{FF2B5EF4-FFF2-40B4-BE49-F238E27FC236}">
                <a16:creationId xmlns:a16="http://schemas.microsoft.com/office/drawing/2014/main" id="{08871C68-0BDB-2020-A623-6DEE9A9DF901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81A2ED3B-75AF-D1D3-79CC-4EEE32051936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887A8B81-2E5A-AB4E-0FA4-6FB263648DF1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113</xdr:col>
      <xdr:colOff>64825</xdr:colOff>
      <xdr:row>32</xdr:row>
      <xdr:rowOff>187651</xdr:rowOff>
    </xdr:from>
    <xdr:to>
      <xdr:col>130</xdr:col>
      <xdr:colOff>107191</xdr:colOff>
      <xdr:row>33</xdr:row>
      <xdr:rowOff>199680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8ED3F173-5E6D-E8F4-E363-DD4CC7A9C8F8}"/>
            </a:ext>
          </a:extLst>
        </xdr:cNvPr>
        <xdr:cNvGrpSpPr/>
      </xdr:nvGrpSpPr>
      <xdr:grpSpPr>
        <a:xfrm>
          <a:off x="15641375" y="7198051"/>
          <a:ext cx="2141041" cy="234279"/>
          <a:chOff x="15897170" y="8499892"/>
          <a:chExt cx="2098883" cy="225136"/>
        </a:xfrm>
      </xdr:grpSpPr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3117E3C7-0027-51D9-E738-C51680D4980E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 = 1500</a:t>
            </a:r>
          </a:p>
        </xdr:txBody>
      </xdr:sp>
      <xdr:cxnSp macro="">
        <xdr:nvCxnSpPr>
          <xdr:cNvPr id="57" name="직선 연결선 56">
            <a:extLst>
              <a:ext uri="{FF2B5EF4-FFF2-40B4-BE49-F238E27FC236}">
                <a16:creationId xmlns:a16="http://schemas.microsoft.com/office/drawing/2014/main" id="{849CD963-53A0-A4FD-A4F0-172820EF2CDC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109151</xdr:colOff>
      <xdr:row>37</xdr:row>
      <xdr:rowOff>119926</xdr:rowOff>
    </xdr:from>
    <xdr:to>
      <xdr:col>135</xdr:col>
      <xdr:colOff>117689</xdr:colOff>
      <xdr:row>38</xdr:row>
      <xdr:rowOff>131955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3F72D41B-2EFE-89FB-DFC4-6F84EE0072AC}"/>
            </a:ext>
          </a:extLst>
        </xdr:cNvPr>
        <xdr:cNvGrpSpPr/>
      </xdr:nvGrpSpPr>
      <xdr:grpSpPr>
        <a:xfrm>
          <a:off x="16298476" y="8228876"/>
          <a:ext cx="2119913" cy="227929"/>
          <a:chOff x="16267202" y="8997949"/>
          <a:chExt cx="2065825" cy="225136"/>
        </a:xfrm>
      </xdr:grpSpPr>
      <xdr:cxnSp macro="">
        <xdr:nvCxnSpPr>
          <xdr:cNvPr id="54" name="직선 연결선 53">
            <a:extLst>
              <a:ext uri="{FF2B5EF4-FFF2-40B4-BE49-F238E27FC236}">
                <a16:creationId xmlns:a16="http://schemas.microsoft.com/office/drawing/2014/main" id="{9DB48EC0-99A7-5E33-9583-88F0437F3B5B}"/>
              </a:ext>
            </a:extLst>
          </xdr:cNvPr>
          <xdr:cNvCxnSpPr/>
        </xdr:nvCxnSpPr>
        <xdr:spPr>
          <a:xfrm>
            <a:off x="16267202" y="9119755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883B72F3-005A-4B46-2831-F8769D62B01E}"/>
              </a:ext>
            </a:extLst>
          </xdr:cNvPr>
          <xdr:cNvSpPr txBox="1"/>
        </xdr:nvSpPr>
        <xdr:spPr>
          <a:xfrm>
            <a:off x="16936026" y="8997949"/>
            <a:ext cx="1397001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prev_tgt_dac = 2500</a:t>
            </a:r>
          </a:p>
        </xdr:txBody>
      </xdr:sp>
    </xdr:grpSp>
    <xdr:clientData/>
  </xdr:twoCellAnchor>
  <xdr:twoCellAnchor>
    <xdr:from>
      <xdr:col>115</xdr:col>
      <xdr:colOff>62257</xdr:colOff>
      <xdr:row>35</xdr:row>
      <xdr:rowOff>65369</xdr:rowOff>
    </xdr:from>
    <xdr:to>
      <xdr:col>121</xdr:col>
      <xdr:colOff>105010</xdr:colOff>
      <xdr:row>35</xdr:row>
      <xdr:rowOff>65369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54D9CFCA-B139-0C93-6153-593003BC696C}"/>
            </a:ext>
          </a:extLst>
        </xdr:cNvPr>
        <xdr:cNvCxnSpPr/>
      </xdr:nvCxnSpPr>
      <xdr:spPr>
        <a:xfrm>
          <a:off x="15883282" y="7732994"/>
          <a:ext cx="78570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42068</xdr:colOff>
      <xdr:row>32</xdr:row>
      <xdr:rowOff>195275</xdr:rowOff>
    </xdr:from>
    <xdr:to>
      <xdr:col>118</xdr:col>
      <xdr:colOff>84821</xdr:colOff>
      <xdr:row>32</xdr:row>
      <xdr:rowOff>195275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14F7C3A1-5D4C-C864-D269-6148ABADA9F7}"/>
            </a:ext>
          </a:extLst>
        </xdr:cNvPr>
        <xdr:cNvCxnSpPr/>
      </xdr:nvCxnSpPr>
      <xdr:spPr>
        <a:xfrm>
          <a:off x="15491618" y="7205675"/>
          <a:ext cx="785703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30023</xdr:colOff>
      <xdr:row>36</xdr:row>
      <xdr:rowOff>149545</xdr:rowOff>
    </xdr:from>
    <xdr:to>
      <xdr:col>123</xdr:col>
      <xdr:colOff>72776</xdr:colOff>
      <xdr:row>36</xdr:row>
      <xdr:rowOff>149545</xdr:rowOff>
    </xdr:to>
    <xdr:cxnSp macro="">
      <xdr:nvCxnSpPr>
        <xdr:cNvPr id="51" name="직선 연결선 50">
          <a:extLst>
            <a:ext uri="{FF2B5EF4-FFF2-40B4-BE49-F238E27FC236}">
              <a16:creationId xmlns:a16="http://schemas.microsoft.com/office/drawing/2014/main" id="{C33832F6-CCF3-F44E-F514-9B8F9DFE9BE5}"/>
            </a:ext>
          </a:extLst>
        </xdr:cNvPr>
        <xdr:cNvCxnSpPr/>
      </xdr:nvCxnSpPr>
      <xdr:spPr>
        <a:xfrm>
          <a:off x="16098698" y="8036245"/>
          <a:ext cx="78570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85823</xdr:colOff>
      <xdr:row>34</xdr:row>
      <xdr:rowOff>7588</xdr:rowOff>
    </xdr:from>
    <xdr:to>
      <xdr:col>126</xdr:col>
      <xdr:colOff>76110</xdr:colOff>
      <xdr:row>34</xdr:row>
      <xdr:rowOff>202912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86F5DA1-29E1-7740-9C20-9EFE4E7FE2DF}"/>
            </a:ext>
          </a:extLst>
        </xdr:cNvPr>
        <xdr:cNvSpPr txBox="1"/>
      </xdr:nvSpPr>
      <xdr:spPr>
        <a:xfrm>
          <a:off x="16525973" y="7456138"/>
          <a:ext cx="733237" cy="1953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SOA_N2</a:t>
          </a:r>
        </a:p>
      </xdr:txBody>
    </xdr:sp>
    <xdr:clientData/>
  </xdr:twoCellAnchor>
  <xdr:twoCellAnchor>
    <xdr:from>
      <xdr:col>123</xdr:col>
      <xdr:colOff>60319</xdr:colOff>
      <xdr:row>36</xdr:row>
      <xdr:rowOff>175941</xdr:rowOff>
    </xdr:from>
    <xdr:to>
      <xdr:col>129</xdr:col>
      <xdr:colOff>76717</xdr:colOff>
      <xdr:row>37</xdr:row>
      <xdr:rowOff>145737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7157D80-F5A0-EB1E-D3D2-BEC4363997C0}"/>
            </a:ext>
          </a:extLst>
        </xdr:cNvPr>
        <xdr:cNvSpPr txBox="1"/>
      </xdr:nvSpPr>
      <xdr:spPr>
        <a:xfrm>
          <a:off x="16871944" y="8062641"/>
          <a:ext cx="759348" cy="188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2</xdr:col>
      <xdr:colOff>43873</xdr:colOff>
      <xdr:row>82</xdr:row>
      <xdr:rowOff>172317</xdr:rowOff>
    </xdr:from>
    <xdr:to>
      <xdr:col>52</xdr:col>
      <xdr:colOff>23373</xdr:colOff>
      <xdr:row>89</xdr:row>
      <xdr:rowOff>65017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A549E94-BA7E-47C1-9912-7527CA891B2D}"/>
            </a:ext>
          </a:extLst>
        </xdr:cNvPr>
        <xdr:cNvSpPr txBox="1"/>
      </xdr:nvSpPr>
      <xdr:spPr>
        <a:xfrm>
          <a:off x="1872673" y="17876117"/>
          <a:ext cx="6012000" cy="14040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 = 4095     prev_target_dac=4095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dac_inc2 = 6                   dac_inc3 = 16                  dac_inc4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 = 0   </a:t>
          </a:r>
          <a:r>
            <a:rPr lang="en-US" altLang="ko-KR" sz="1100" b="0" kern="1200" baseline="0">
              <a:latin typeface="+mn-ea"/>
              <a:ea typeface="+mn-ea"/>
            </a:rPr>
            <a:t>dac_inc_hold_th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SOA_N11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-50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SOA_P1 = 125       SOA_P2 = 300                  SOA_P3 = 500</a:t>
          </a:r>
        </a:p>
      </xdr:txBody>
    </xdr:sp>
    <xdr:clientData/>
  </xdr:twoCellAnchor>
  <xdr:twoCellAnchor>
    <xdr:from>
      <xdr:col>52</xdr:col>
      <xdr:colOff>95827</xdr:colOff>
      <xdr:row>89</xdr:row>
      <xdr:rowOff>118918</xdr:rowOff>
    </xdr:from>
    <xdr:to>
      <xdr:col>102</xdr:col>
      <xdr:colOff>75327</xdr:colOff>
      <xdr:row>112</xdr:row>
      <xdr:rowOff>73604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CB6A64-37E8-449E-AD5F-9EE5F1E95B25}"/>
            </a:ext>
          </a:extLst>
        </xdr:cNvPr>
        <xdr:cNvSpPr txBox="1"/>
      </xdr:nvSpPr>
      <xdr:spPr>
        <a:xfrm>
          <a:off x="7957127" y="19334018"/>
          <a:ext cx="6012000" cy="492038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(0)</a:t>
          </a:r>
        </a:p>
      </xdr:txBody>
    </xdr:sp>
    <xdr:clientData/>
  </xdr:twoCellAnchor>
  <xdr:twoCellAnchor>
    <xdr:from>
      <xdr:col>53</xdr:col>
      <xdr:colOff>0</xdr:colOff>
      <xdr:row>21</xdr:row>
      <xdr:rowOff>44452</xdr:rowOff>
    </xdr:from>
    <xdr:to>
      <xdr:col>102</xdr:col>
      <xdr:colOff>100150</xdr:colOff>
      <xdr:row>67</xdr:row>
      <xdr:rowOff>193052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1887D1E-FBC7-433B-83CE-46FD961AD912}"/>
            </a:ext>
          </a:extLst>
        </xdr:cNvPr>
        <xdr:cNvSpPr txBox="1"/>
      </xdr:nvSpPr>
      <xdr:spPr>
        <a:xfrm>
          <a:off x="7981950" y="4578352"/>
          <a:ext cx="6012000" cy="1008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d'4095,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(int_thermal_source &amp;&amp; dac_thermal_off)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d'4095,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(dac_out_en)</a:t>
          </a: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 + r1,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 &lt; curr_tgt_dac)  curr_dac ← curr_dac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 ← curr_tgt_dac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 ← curr_dac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+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dac_dec1_acc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(~dac_dec1_mode)  dac_dec1_acc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dac_dec1_acc ← dac_dec1_acc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 &lt; (curr_tgt_dac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 &lt; (curr_tgt_dac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 &lt; (curr_tgt_dac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60323</xdr:colOff>
      <xdr:row>79</xdr:row>
      <xdr:rowOff>76195</xdr:rowOff>
    </xdr:from>
    <xdr:to>
      <xdr:col>52</xdr:col>
      <xdr:colOff>39823</xdr:colOff>
      <xdr:row>82</xdr:row>
      <xdr:rowOff>102970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B3FDA0-04E9-4AF0-B0A0-151D95B2399D}"/>
            </a:ext>
          </a:extLst>
        </xdr:cNvPr>
        <xdr:cNvSpPr txBox="1"/>
      </xdr:nvSpPr>
      <xdr:spPr>
        <a:xfrm>
          <a:off x="1889123" y="17132295"/>
          <a:ext cx="6012000" cy="6744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 - prev_tgt_dac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 - curr_dac</a:t>
          </a:r>
        </a:p>
      </xdr:txBody>
    </xdr:sp>
    <xdr:clientData/>
  </xdr:twoCellAnchor>
  <xdr:oneCellAnchor>
    <xdr:from>
      <xdr:col>30</xdr:col>
      <xdr:colOff>3815</xdr:colOff>
      <xdr:row>16</xdr:row>
      <xdr:rowOff>111394</xdr:rowOff>
    </xdr:from>
    <xdr:ext cx="3132000" cy="180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A970AF5-0FEE-4A3B-9C9F-DCBA3DD93A55}"/>
            </a:ext>
          </a:extLst>
        </xdr:cNvPr>
        <xdr:cNvSpPr txBox="1"/>
      </xdr:nvSpPr>
      <xdr:spPr>
        <a:xfrm>
          <a:off x="5301620" y="3616594"/>
          <a:ext cx="3132000" cy="1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state transition &amp; dac change</a:t>
          </a:r>
        </a:p>
      </xdr:txBody>
    </xdr:sp>
    <xdr:clientData/>
  </xdr:oneCellAnchor>
  <xdr:oneCellAnchor>
    <xdr:from>
      <xdr:col>29</xdr:col>
      <xdr:colOff>121226</xdr:colOff>
      <xdr:row>17</xdr:row>
      <xdr:rowOff>195600</xdr:rowOff>
    </xdr:from>
    <xdr:ext cx="3060000" cy="180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B70B30-8F9C-4B9D-9415-F33F1A66B6D1}"/>
            </a:ext>
          </a:extLst>
        </xdr:cNvPr>
        <xdr:cNvSpPr txBox="1"/>
      </xdr:nvSpPr>
      <xdr:spPr>
        <a:xfrm>
          <a:off x="5295206" y="3921780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DAC_UP_PRE1</a:t>
          </a:r>
        </a:p>
      </xdr:txBody>
    </xdr:sp>
    <xdr:clientData/>
  </xdr:oneCellAnchor>
  <xdr:twoCellAnchor>
    <xdr:from>
      <xdr:col>53</xdr:col>
      <xdr:colOff>12577</xdr:colOff>
      <xdr:row>68</xdr:row>
      <xdr:rowOff>65936</xdr:rowOff>
    </xdr:from>
    <xdr:to>
      <xdr:col>102</xdr:col>
      <xdr:colOff>112727</xdr:colOff>
      <xdr:row>79</xdr:row>
      <xdr:rowOff>31036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683F743-41E7-480A-85D1-5268AC885E86}"/>
            </a:ext>
          </a:extLst>
        </xdr:cNvPr>
        <xdr:cNvSpPr txBox="1"/>
      </xdr:nvSpPr>
      <xdr:spPr>
        <a:xfrm>
          <a:off x="7994527" y="14747136"/>
          <a:ext cx="6012000" cy="234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dac_thermal_off, ~dac_hold_en)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dac_inc_hold_cnt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(r2&lt;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_th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(~dac_f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b)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dac_inc_hold_cnt ← dac_int_hold_cnt + 1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dac_inc_hold_cnt ← dac_int_hold_cnt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dac_inc_hold_cnt ← dac_int_hold_cnt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53</xdr:col>
      <xdr:colOff>3570</xdr:colOff>
      <xdr:row>79</xdr:row>
      <xdr:rowOff>83184</xdr:rowOff>
    </xdr:from>
    <xdr:to>
      <xdr:col>102</xdr:col>
      <xdr:colOff>103720</xdr:colOff>
      <xdr:row>89</xdr:row>
      <xdr:rowOff>48184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BDF651-5E49-4671-8E7D-1368A456D7C6}"/>
            </a:ext>
          </a:extLst>
        </xdr:cNvPr>
        <xdr:cNvSpPr txBox="1"/>
      </xdr:nvSpPr>
      <xdr:spPr>
        <a:xfrm>
          <a:off x="7985520" y="17139284"/>
          <a:ext cx="6012000" cy="2124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dac_inc1_wait_cnt ← dac_inc1_wait_cnt </a:t>
          </a:r>
        </a:p>
      </xdr:txBody>
    </xdr:sp>
    <xdr:clientData/>
  </xdr:twoCellAnchor>
  <xdr:twoCellAnchor>
    <xdr:from>
      <xdr:col>53</xdr:col>
      <xdr:colOff>5122</xdr:colOff>
      <xdr:row>21</xdr:row>
      <xdr:rowOff>57899</xdr:rowOff>
    </xdr:from>
    <xdr:to>
      <xdr:col>102</xdr:col>
      <xdr:colOff>105272</xdr:colOff>
      <xdr:row>67</xdr:row>
      <xdr:rowOff>206499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371CE15-101B-46E1-B1E2-7051772DD06D}"/>
            </a:ext>
          </a:extLst>
        </xdr:cNvPr>
        <xdr:cNvSpPr txBox="1"/>
      </xdr:nvSpPr>
      <xdr:spPr>
        <a:xfrm>
          <a:off x="7987072" y="4591799"/>
          <a:ext cx="6012000" cy="1008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d'4095,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(int_thermal_source &amp;&amp; dac_thermal_off)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d'4095,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(dac_out_en)</a:t>
          </a: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 + r1,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 &lt; curr_tgt_dac)  curr_dac ← curr_dac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 ← curr_tgt_dac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 ← curr_dac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(~dac_dec1_mode)  dac_dec1_acc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dac_dec1_acc ← dac_dec1_acc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 &lt; (curr_tgt_dac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 &lt; (curr_tgt_dac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 &lt; (curr_tgt_dac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34</xdr:col>
      <xdr:colOff>20999</xdr:colOff>
      <xdr:row>4</xdr:row>
      <xdr:rowOff>39423</xdr:rowOff>
    </xdr:from>
    <xdr:to>
      <xdr:col>34</xdr:col>
      <xdr:colOff>112220</xdr:colOff>
      <xdr:row>5</xdr:row>
      <xdr:rowOff>7424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5FA30E35-39B3-487B-81ED-EBAD3A9B4187}"/>
            </a:ext>
          </a:extLst>
        </xdr:cNvPr>
        <xdr:cNvSpPr/>
      </xdr:nvSpPr>
      <xdr:spPr>
        <a:xfrm>
          <a:off x="5808389" y="915723"/>
          <a:ext cx="95031" cy="18898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20999</xdr:colOff>
      <xdr:row>4</xdr:row>
      <xdr:rowOff>37518</xdr:rowOff>
    </xdr:from>
    <xdr:to>
      <xdr:col>60</xdr:col>
      <xdr:colOff>112220</xdr:colOff>
      <xdr:row>5</xdr:row>
      <xdr:rowOff>3614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3CD3DC2-B2E7-4BDE-B232-C0A04B1EF94D}"/>
            </a:ext>
          </a:extLst>
        </xdr:cNvPr>
        <xdr:cNvSpPr/>
      </xdr:nvSpPr>
      <xdr:spPr>
        <a:xfrm>
          <a:off x="9027839" y="913818"/>
          <a:ext cx="95031" cy="18517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86</xdr:col>
      <xdr:colOff>20999</xdr:colOff>
      <xdr:row>4</xdr:row>
      <xdr:rowOff>37518</xdr:rowOff>
    </xdr:from>
    <xdr:to>
      <xdr:col>86</xdr:col>
      <xdr:colOff>112220</xdr:colOff>
      <xdr:row>5</xdr:row>
      <xdr:rowOff>3614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10DE2198-EA6B-41EA-8579-72731C8B366B}"/>
            </a:ext>
          </a:extLst>
        </xdr:cNvPr>
        <xdr:cNvSpPr/>
      </xdr:nvSpPr>
      <xdr:spPr>
        <a:xfrm>
          <a:off x="12247289" y="913818"/>
          <a:ext cx="95031" cy="18517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4</xdr:col>
      <xdr:colOff>8212</xdr:colOff>
      <xdr:row>15</xdr:row>
      <xdr:rowOff>92451</xdr:rowOff>
    </xdr:from>
    <xdr:ext cx="3117520" cy="1800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68646F9-9B37-4B14-8F2A-D73E6BF2C814}"/>
            </a:ext>
          </a:extLst>
        </xdr:cNvPr>
        <xdr:cNvSpPr txBox="1"/>
      </xdr:nvSpPr>
      <xdr:spPr>
        <a:xfrm>
          <a:off x="2086567" y="3382386"/>
          <a:ext cx="3117520" cy="18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ana &amp; ld to XC, then serializing to XD</a:t>
          </a:r>
        </a:p>
      </xdr:txBody>
    </xdr:sp>
    <xdr:clientData/>
  </xdr:oneCellAnchor>
  <xdr:oneCellAnchor>
    <xdr:from>
      <xdr:col>29</xdr:col>
      <xdr:colOff>114958</xdr:colOff>
      <xdr:row>15</xdr:row>
      <xdr:rowOff>94312</xdr:rowOff>
    </xdr:from>
    <xdr:ext cx="3139418" cy="1800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732B1A1-8929-47A0-AE85-4C2FCB96A06F}"/>
            </a:ext>
          </a:extLst>
        </xdr:cNvPr>
        <xdr:cNvSpPr txBox="1"/>
      </xdr:nvSpPr>
      <xdr:spPr>
        <a:xfrm>
          <a:off x="5287033" y="3384247"/>
          <a:ext cx="3139418" cy="1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XD dimming</a:t>
          </a:r>
        </a:p>
      </xdr:txBody>
    </xdr:sp>
    <xdr:clientData/>
  </xdr:oneCellAnchor>
  <xdr:twoCellAnchor>
    <xdr:from>
      <xdr:col>112</xdr:col>
      <xdr:colOff>17189</xdr:colOff>
      <xdr:row>4</xdr:row>
      <xdr:rowOff>30764</xdr:rowOff>
    </xdr:from>
    <xdr:to>
      <xdr:col>112</xdr:col>
      <xdr:colOff>112220</xdr:colOff>
      <xdr:row>4</xdr:row>
      <xdr:rowOff>215242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EF36E8C1-B434-4AB7-A5DB-C0D5A0EB281B}"/>
            </a:ext>
          </a:extLst>
        </xdr:cNvPr>
        <xdr:cNvSpPr/>
      </xdr:nvSpPr>
      <xdr:spPr>
        <a:xfrm>
          <a:off x="15470549" y="905159"/>
          <a:ext cx="91221" cy="182573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134</xdr:col>
      <xdr:colOff>3737</xdr:colOff>
      <xdr:row>17</xdr:row>
      <xdr:rowOff>206824</xdr:rowOff>
    </xdr:from>
    <xdr:ext cx="3060000" cy="1800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65DEA27-4D1C-45AC-AAC5-A457FC9C3AF6}"/>
            </a:ext>
          </a:extLst>
        </xdr:cNvPr>
        <xdr:cNvSpPr txBox="1"/>
      </xdr:nvSpPr>
      <xdr:spPr>
        <a:xfrm>
          <a:off x="18177437" y="3934909"/>
          <a:ext cx="3060000" cy="180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DAC_FIT</a:t>
          </a:r>
        </a:p>
      </xdr:txBody>
    </xdr:sp>
    <xdr:clientData/>
  </xdr:oneCellAnchor>
  <xdr:oneCellAnchor>
    <xdr:from>
      <xdr:col>8</xdr:col>
      <xdr:colOff>47987</xdr:colOff>
      <xdr:row>0</xdr:row>
      <xdr:rowOff>144201</xdr:rowOff>
    </xdr:from>
    <xdr:ext cx="2122560" cy="324704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C0529C0-362C-42D5-90A1-DED5F226ED9C}"/>
            </a:ext>
          </a:extLst>
        </xdr:cNvPr>
        <xdr:cNvSpPr txBox="1"/>
      </xdr:nvSpPr>
      <xdr:spPr>
        <a:xfrm>
          <a:off x="2621642" y="142296"/>
          <a:ext cx="2122560" cy="3247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curr_tgt_dac [15:0] ← spi wr</a:t>
          </a: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latin typeface="+mn-ea"/>
              <a:ea typeface="+mn-ea"/>
            </a:rPr>
            <a:t> prev_tgt_dac [15:0]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curr_tgt_dac</a:t>
          </a:r>
          <a:endParaRPr lang="en-US" altLang="ko-KR" sz="100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17</xdr:col>
      <xdr:colOff>17319</xdr:colOff>
      <xdr:row>2</xdr:row>
      <xdr:rowOff>51954</xdr:rowOff>
    </xdr:from>
    <xdr:to>
      <xdr:col>17</xdr:col>
      <xdr:colOff>17319</xdr:colOff>
      <xdr:row>3</xdr:row>
      <xdr:rowOff>18363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B101E237-4480-4CB4-A190-9E52C8D6E47F}"/>
            </a:ext>
          </a:extLst>
        </xdr:cNvPr>
        <xdr:cNvCxnSpPr/>
      </xdr:nvCxnSpPr>
      <xdr:spPr>
        <a:xfrm flipH="1">
          <a:off x="3707304" y="493914"/>
          <a:ext cx="0" cy="185484"/>
        </a:xfrm>
        <a:prstGeom prst="straightConnector1">
          <a:avLst/>
        </a:prstGeom>
        <a:ln w="3175">
          <a:solidFill>
            <a:schemeClr val="tx1"/>
          </a:solidFill>
          <a:headEnd w="sm" len="sm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20999</xdr:colOff>
      <xdr:row>4</xdr:row>
      <xdr:rowOff>37518</xdr:rowOff>
    </xdr:from>
    <xdr:to>
      <xdr:col>112</xdr:col>
      <xdr:colOff>112220</xdr:colOff>
      <xdr:row>5</xdr:row>
      <xdr:rowOff>3614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0E8EDF8-4C45-47EF-ABD9-38F032C03047}"/>
            </a:ext>
          </a:extLst>
        </xdr:cNvPr>
        <xdr:cNvSpPr/>
      </xdr:nvSpPr>
      <xdr:spPr>
        <a:xfrm>
          <a:off x="15466739" y="913818"/>
          <a:ext cx="95031" cy="18517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138</xdr:col>
      <xdr:colOff>20999</xdr:colOff>
      <xdr:row>4</xdr:row>
      <xdr:rowOff>37518</xdr:rowOff>
    </xdr:from>
    <xdr:to>
      <xdr:col>138</xdr:col>
      <xdr:colOff>112220</xdr:colOff>
      <xdr:row>5</xdr:row>
      <xdr:rowOff>3614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420D8AE-B5B7-4A14-9F26-234D99B91E4A}"/>
            </a:ext>
          </a:extLst>
        </xdr:cNvPr>
        <xdr:cNvSpPr/>
      </xdr:nvSpPr>
      <xdr:spPr>
        <a:xfrm>
          <a:off x="18686189" y="913818"/>
          <a:ext cx="95031" cy="18517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82</xdr:col>
      <xdr:colOff>7204</xdr:colOff>
      <xdr:row>18</xdr:row>
      <xdr:rowOff>2082</xdr:rowOff>
    </xdr:from>
    <xdr:ext cx="3060000" cy="1800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869398E-ECD9-4A57-8028-57477F4CC488}"/>
            </a:ext>
          </a:extLst>
        </xdr:cNvPr>
        <xdr:cNvSpPr txBox="1"/>
      </xdr:nvSpPr>
      <xdr:spPr>
        <a:xfrm>
          <a:off x="11743909" y="3945432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</a:t>
          </a:r>
        </a:p>
      </xdr:txBody>
    </xdr:sp>
    <xdr:clientData/>
  </xdr:oneCellAnchor>
  <xdr:oneCellAnchor>
    <xdr:from>
      <xdr:col>56</xdr:col>
      <xdr:colOff>5430</xdr:colOff>
      <xdr:row>17</xdr:row>
      <xdr:rowOff>206856</xdr:rowOff>
    </xdr:from>
    <xdr:ext cx="3060000" cy="1800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922D7B3-CA6B-47A3-8EE2-466F62BD7AD3}"/>
            </a:ext>
          </a:extLst>
        </xdr:cNvPr>
        <xdr:cNvSpPr txBox="1"/>
      </xdr:nvSpPr>
      <xdr:spPr>
        <a:xfrm>
          <a:off x="8522685" y="3934941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DAC_UP_PRE2</a:t>
          </a:r>
        </a:p>
      </xdr:txBody>
    </xdr:sp>
    <xdr:clientData/>
  </xdr:oneCellAnchor>
  <xdr:twoCellAnchor>
    <xdr:from>
      <xdr:col>2</xdr:col>
      <xdr:colOff>78877</xdr:colOff>
      <xdr:row>38</xdr:row>
      <xdr:rowOff>5944</xdr:rowOff>
    </xdr:from>
    <xdr:to>
      <xdr:col>52</xdr:col>
      <xdr:colOff>58377</xdr:colOff>
      <xdr:row>71</xdr:row>
      <xdr:rowOff>81244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7EA1DCA-150E-4F12-9E6B-7CC7C4F0911E}"/>
            </a:ext>
          </a:extLst>
        </xdr:cNvPr>
        <xdr:cNvSpPr txBox="1"/>
      </xdr:nvSpPr>
      <xdr:spPr>
        <a:xfrm>
          <a:off x="1907677" y="8210144"/>
          <a:ext cx="6012000" cy="720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dac_fb_valid_cnt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dac_fb_valid_cnt ← dac_fb_valid_cnt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 = (int_fb_source &amp;&amp; ~dac_fb_mode) || (FBI_lat &amp;&amp; dac_fb_mode)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~dac_fb_mode)  FBI_lat ← 0,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FBI_lat ← 0,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(FBI_lat_cnt &lt; 5)  FBI_lat_cnt ← FBI_lat_cnt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(FBI_lat_cnt = 5)  FBI_lat_cnt ← FBI_lat_cnt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FBI_lat ←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FBI_lat_cnt ← 0,  FBI_lat ← FBI_lat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103902</xdr:colOff>
      <xdr:row>3</xdr:row>
      <xdr:rowOff>150090</xdr:rowOff>
    </xdr:from>
    <xdr:to>
      <xdr:col>8</xdr:col>
      <xdr:colOff>103902</xdr:colOff>
      <xdr:row>15</xdr:row>
      <xdr:rowOff>63499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B971AAE6-A83F-4AE7-AE75-50EFA810BFEB}"/>
            </a:ext>
          </a:extLst>
        </xdr:cNvPr>
        <xdr:cNvCxnSpPr/>
      </xdr:nvCxnSpPr>
      <xdr:spPr>
        <a:xfrm flipH="1">
          <a:off x="2673747" y="807315"/>
          <a:ext cx="0" cy="2538499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20999</xdr:colOff>
      <xdr:row>4</xdr:row>
      <xdr:rowOff>39423</xdr:rowOff>
    </xdr:from>
    <xdr:to>
      <xdr:col>8</xdr:col>
      <xdr:colOff>112220</xdr:colOff>
      <xdr:row>5</xdr:row>
      <xdr:rowOff>7424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D268CC2D-E590-49AA-97D0-E63B75231BED}"/>
            </a:ext>
          </a:extLst>
        </xdr:cNvPr>
        <xdr:cNvSpPr/>
      </xdr:nvSpPr>
      <xdr:spPr>
        <a:xfrm>
          <a:off x="2588939" y="915723"/>
          <a:ext cx="95031" cy="18898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98138</xdr:colOff>
      <xdr:row>13</xdr:row>
      <xdr:rowOff>138546</xdr:rowOff>
    </xdr:from>
    <xdr:to>
      <xdr:col>10</xdr:col>
      <xdr:colOff>117229</xdr:colOff>
      <xdr:row>13</xdr:row>
      <xdr:rowOff>138546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917124EF-7D0F-4812-8B4A-2E6FF8C9DAD8}"/>
            </a:ext>
          </a:extLst>
        </xdr:cNvPr>
        <xdr:cNvCxnSpPr/>
      </xdr:nvCxnSpPr>
      <xdr:spPr>
        <a:xfrm>
          <a:off x="2418428" y="2982711"/>
          <a:ext cx="51820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98138</xdr:colOff>
      <xdr:row>13</xdr:row>
      <xdr:rowOff>138546</xdr:rowOff>
    </xdr:from>
    <xdr:to>
      <xdr:col>36</xdr:col>
      <xdr:colOff>117229</xdr:colOff>
      <xdr:row>13</xdr:row>
      <xdr:rowOff>138546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10EBE785-C596-44ED-A88F-2D8E3B896066}"/>
            </a:ext>
          </a:extLst>
        </xdr:cNvPr>
        <xdr:cNvCxnSpPr/>
      </xdr:nvCxnSpPr>
      <xdr:spPr>
        <a:xfrm>
          <a:off x="5637878" y="2982711"/>
          <a:ext cx="51820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98138</xdr:colOff>
      <xdr:row>13</xdr:row>
      <xdr:rowOff>138546</xdr:rowOff>
    </xdr:from>
    <xdr:to>
      <xdr:col>62</xdr:col>
      <xdr:colOff>117229</xdr:colOff>
      <xdr:row>13</xdr:row>
      <xdr:rowOff>138546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D9F99614-3611-4FDC-976A-C3DF359C55FE}"/>
            </a:ext>
          </a:extLst>
        </xdr:cNvPr>
        <xdr:cNvCxnSpPr/>
      </xdr:nvCxnSpPr>
      <xdr:spPr>
        <a:xfrm>
          <a:off x="8857328" y="2982711"/>
          <a:ext cx="51820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98138</xdr:colOff>
      <xdr:row>13</xdr:row>
      <xdr:rowOff>138546</xdr:rowOff>
    </xdr:from>
    <xdr:to>
      <xdr:col>88</xdr:col>
      <xdr:colOff>117229</xdr:colOff>
      <xdr:row>13</xdr:row>
      <xdr:rowOff>138546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48754EE1-2407-47B9-886A-0DEB199C1A26}"/>
            </a:ext>
          </a:extLst>
        </xdr:cNvPr>
        <xdr:cNvCxnSpPr/>
      </xdr:nvCxnSpPr>
      <xdr:spPr>
        <a:xfrm>
          <a:off x="12076778" y="2982711"/>
          <a:ext cx="51820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98138</xdr:colOff>
      <xdr:row>13</xdr:row>
      <xdr:rowOff>138546</xdr:rowOff>
    </xdr:from>
    <xdr:to>
      <xdr:col>114</xdr:col>
      <xdr:colOff>117229</xdr:colOff>
      <xdr:row>13</xdr:row>
      <xdr:rowOff>138546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42D02A88-4B34-4155-BC87-867E54A750F2}"/>
            </a:ext>
          </a:extLst>
        </xdr:cNvPr>
        <xdr:cNvCxnSpPr/>
      </xdr:nvCxnSpPr>
      <xdr:spPr>
        <a:xfrm>
          <a:off x="15296228" y="2982711"/>
          <a:ext cx="51820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98138</xdr:colOff>
      <xdr:row>13</xdr:row>
      <xdr:rowOff>138546</xdr:rowOff>
    </xdr:from>
    <xdr:to>
      <xdr:col>140</xdr:col>
      <xdr:colOff>117229</xdr:colOff>
      <xdr:row>13</xdr:row>
      <xdr:rowOff>138546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724AC228-F5F9-4A90-8113-4E686A849B38}"/>
            </a:ext>
          </a:extLst>
        </xdr:cNvPr>
        <xdr:cNvCxnSpPr/>
      </xdr:nvCxnSpPr>
      <xdr:spPr>
        <a:xfrm>
          <a:off x="18515678" y="2982711"/>
          <a:ext cx="51820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2301</xdr:colOff>
      <xdr:row>13</xdr:row>
      <xdr:rowOff>77354</xdr:rowOff>
    </xdr:from>
    <xdr:to>
      <xdr:col>90</xdr:col>
      <xdr:colOff>2301</xdr:colOff>
      <xdr:row>18</xdr:row>
      <xdr:rowOff>125400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2CBA9FF4-6AA4-4540-AB6A-72807882A97F}"/>
            </a:ext>
          </a:extLst>
        </xdr:cNvPr>
        <xdr:cNvCxnSpPr/>
      </xdr:nvCxnSpPr>
      <xdr:spPr>
        <a:xfrm flipH="1">
          <a:off x="12727701" y="2925329"/>
          <a:ext cx="0" cy="114532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120064</xdr:colOff>
      <xdr:row>13</xdr:row>
      <xdr:rowOff>96981</xdr:rowOff>
    </xdr:from>
    <xdr:to>
      <xdr:col>115</xdr:col>
      <xdr:colOff>120064</xdr:colOff>
      <xdr:row>18</xdr:row>
      <xdr:rowOff>145027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B0E51A2A-5588-43DA-AAA9-D21B9707E7DD}"/>
            </a:ext>
          </a:extLst>
        </xdr:cNvPr>
        <xdr:cNvCxnSpPr/>
      </xdr:nvCxnSpPr>
      <xdr:spPr>
        <a:xfrm flipH="1">
          <a:off x="15942994" y="2941146"/>
          <a:ext cx="0" cy="114532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1146</xdr:colOff>
      <xdr:row>13</xdr:row>
      <xdr:rowOff>87744</xdr:rowOff>
    </xdr:from>
    <xdr:to>
      <xdr:col>142</xdr:col>
      <xdr:colOff>1146</xdr:colOff>
      <xdr:row>18</xdr:row>
      <xdr:rowOff>135790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E3C929DE-E7E2-4649-A57F-E0AF64C832A7}"/>
            </a:ext>
          </a:extLst>
        </xdr:cNvPr>
        <xdr:cNvCxnSpPr/>
      </xdr:nvCxnSpPr>
      <xdr:spPr>
        <a:xfrm flipH="1">
          <a:off x="19165446" y="2939529"/>
          <a:ext cx="0" cy="1135801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2584</xdr:colOff>
      <xdr:row>16</xdr:row>
      <xdr:rowOff>186464</xdr:rowOff>
    </xdr:from>
    <xdr:ext cx="3168000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1C4C880-6EEA-4FD1-8C82-D2E6060148DC}"/>
            </a:ext>
          </a:extLst>
        </xdr:cNvPr>
        <xdr:cNvSpPr txBox="1"/>
      </xdr:nvSpPr>
      <xdr:spPr>
        <a:xfrm>
          <a:off x="15947434" y="3689759"/>
          <a:ext cx="3168000" cy="17222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dac_fb_assert=1</a:t>
          </a:r>
        </a:p>
      </xdr:txBody>
    </xdr:sp>
    <xdr:clientData/>
  </xdr:oneCellAnchor>
  <xdr:oneCellAnchor>
    <xdr:from>
      <xdr:col>108</xdr:col>
      <xdr:colOff>9514</xdr:colOff>
      <xdr:row>17</xdr:row>
      <xdr:rowOff>212210</xdr:rowOff>
    </xdr:from>
    <xdr:ext cx="3060000" cy="18000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DD27FA1-02AA-49A7-8366-5564D850737F}"/>
            </a:ext>
          </a:extLst>
        </xdr:cNvPr>
        <xdr:cNvSpPr txBox="1"/>
      </xdr:nvSpPr>
      <xdr:spPr>
        <a:xfrm>
          <a:off x="14965669" y="3932675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</a:t>
          </a:r>
        </a:p>
      </xdr:txBody>
    </xdr:sp>
    <xdr:clientData/>
  </xdr:oneCellAnchor>
  <xdr:twoCellAnchor>
    <xdr:from>
      <xdr:col>89</xdr:col>
      <xdr:colOff>111988</xdr:colOff>
      <xdr:row>19</xdr:row>
      <xdr:rowOff>2309</xdr:rowOff>
    </xdr:from>
    <xdr:to>
      <xdr:col>106</xdr:col>
      <xdr:colOff>121226</xdr:colOff>
      <xdr:row>20</xdr:row>
      <xdr:rowOff>178955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19C555D-8172-4A1F-A74E-B0B8DD6013F9}"/>
            </a:ext>
          </a:extLst>
        </xdr:cNvPr>
        <xdr:cNvSpPr txBox="1"/>
      </xdr:nvSpPr>
      <xdr:spPr>
        <a:xfrm>
          <a:off x="12713563" y="4164734"/>
          <a:ext cx="2116168" cy="391911"/>
        </a:xfrm>
        <a:prstGeom prst="rect">
          <a:avLst/>
        </a:prstGeom>
        <a:solidFill>
          <a:srgbClr val="FFFF00">
            <a:alpha val="3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=  +dac_inc2</a:t>
          </a:r>
        </a:p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ince_dac =  +dac_inc2</a:t>
          </a:r>
        </a:p>
      </xdr:txBody>
    </xdr:sp>
    <xdr:clientData/>
  </xdr:twoCellAnchor>
  <xdr:twoCellAnchor>
    <xdr:from>
      <xdr:col>29</xdr:col>
      <xdr:colOff>120070</xdr:colOff>
      <xdr:row>18</xdr:row>
      <xdr:rowOff>190500</xdr:rowOff>
    </xdr:from>
    <xdr:to>
      <xdr:col>89</xdr:col>
      <xdr:colOff>40409</xdr:colOff>
      <xdr:row>20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6CB09CF-4DB5-41C5-90A4-D4D48A80EE94}"/>
            </a:ext>
          </a:extLst>
        </xdr:cNvPr>
        <xdr:cNvSpPr txBox="1"/>
      </xdr:nvSpPr>
      <xdr:spPr>
        <a:xfrm>
          <a:off x="5294050" y="4133850"/>
          <a:ext cx="7347934" cy="247650"/>
        </a:xfrm>
        <a:prstGeom prst="rect">
          <a:avLst/>
        </a:prstGeom>
        <a:solidFill>
          <a:srgbClr val="FFFF00">
            <a:alpha val="3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ince_dac= +dac_inc2</a:t>
          </a:r>
        </a:p>
      </xdr:txBody>
    </xdr:sp>
    <xdr:clientData/>
  </xdr:twoCellAnchor>
  <xdr:twoCellAnchor>
    <xdr:from>
      <xdr:col>2</xdr:col>
      <xdr:colOff>61071</xdr:colOff>
      <xdr:row>89</xdr:row>
      <xdr:rowOff>100790</xdr:rowOff>
    </xdr:from>
    <xdr:to>
      <xdr:col>52</xdr:col>
      <xdr:colOff>40571</xdr:colOff>
      <xdr:row>94</xdr:row>
      <xdr:rowOff>173759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D16492C-717A-494C-981F-58F4BF97DEB5}"/>
            </a:ext>
          </a:extLst>
        </xdr:cNvPr>
        <xdr:cNvSpPr txBox="1"/>
      </xdr:nvSpPr>
      <xdr:spPr>
        <a:xfrm>
          <a:off x="1889871" y="19315890"/>
          <a:ext cx="6012000" cy="115246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 (open_drain)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 &lt;- FBO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*XC 1ea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사용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FBI - FBO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*XC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여러개 사용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 master XC FBI &lt;- all XC FBO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 slave XC FBI 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(XC DACO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dac_auto disable)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</xdr:col>
      <xdr:colOff>66464</xdr:colOff>
      <xdr:row>71</xdr:row>
      <xdr:rowOff>132190</xdr:rowOff>
    </xdr:from>
    <xdr:to>
      <xdr:col>52</xdr:col>
      <xdr:colOff>45964</xdr:colOff>
      <xdr:row>79</xdr:row>
      <xdr:rowOff>24990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ABE8081-ED7A-40F7-AC75-6A456162E437}"/>
            </a:ext>
          </a:extLst>
        </xdr:cNvPr>
        <xdr:cNvSpPr txBox="1"/>
      </xdr:nvSpPr>
      <xdr:spPr>
        <a:xfrm>
          <a:off x="1895264" y="15461090"/>
          <a:ext cx="6012000" cy="162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 [11:0] to analog part 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dac_out min/max limitation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 ← d'4095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~dac_auto)  dac_out ← curr_tgt_dac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(dac_auto)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(curr_dac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    else  dac_out ← curr_dac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dac_out ← dac_out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oneCellAnchor>
    <xdr:from>
      <xdr:col>33</xdr:col>
      <xdr:colOff>15659</xdr:colOff>
      <xdr:row>0</xdr:row>
      <xdr:rowOff>129192</xdr:rowOff>
    </xdr:from>
    <xdr:ext cx="2122560" cy="324704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5EA92C8-7196-4E7A-BFF0-DD69423C1ABD}"/>
            </a:ext>
          </a:extLst>
        </xdr:cNvPr>
        <xdr:cNvSpPr txBox="1"/>
      </xdr:nvSpPr>
      <xdr:spPr>
        <a:xfrm>
          <a:off x="5686844" y="133002"/>
          <a:ext cx="2122560" cy="3247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curr_tgt_dac [15:0] ← spi wr</a:t>
          </a: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latin typeface="+mn-ea"/>
              <a:ea typeface="+mn-ea"/>
            </a:rPr>
            <a:t> prev_tgt_dac [15:0]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curr_tgt_dac</a:t>
          </a:r>
          <a:endParaRPr lang="en-US" altLang="ko-KR" sz="100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41</xdr:col>
      <xdr:colOff>106219</xdr:colOff>
      <xdr:row>2</xdr:row>
      <xdr:rowOff>36945</xdr:rowOff>
    </xdr:from>
    <xdr:to>
      <xdr:col>41</xdr:col>
      <xdr:colOff>106219</xdr:colOff>
      <xdr:row>3</xdr:row>
      <xdr:rowOff>3354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4361C1F1-1D8A-48E3-A1A5-CAD0DD4542CE}"/>
            </a:ext>
          </a:extLst>
        </xdr:cNvPr>
        <xdr:cNvCxnSpPr/>
      </xdr:nvCxnSpPr>
      <xdr:spPr>
        <a:xfrm flipH="1">
          <a:off x="6762289" y="475095"/>
          <a:ext cx="0" cy="185484"/>
        </a:xfrm>
        <a:prstGeom prst="straightConnector1">
          <a:avLst/>
        </a:prstGeom>
        <a:ln w="3175">
          <a:solidFill>
            <a:schemeClr val="tx1"/>
          </a:solidFill>
          <a:headEnd w="sm" len="sm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75045</xdr:colOff>
      <xdr:row>21</xdr:row>
      <xdr:rowOff>17434</xdr:rowOff>
    </xdr:from>
    <xdr:to>
      <xdr:col>52</xdr:col>
      <xdr:colOff>54545</xdr:colOff>
      <xdr:row>37</xdr:row>
      <xdr:rowOff>163034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FFD064A-5E07-4765-A0C1-EEDDBDB43E3A}"/>
            </a:ext>
          </a:extLst>
        </xdr:cNvPr>
        <xdr:cNvSpPr txBox="1"/>
      </xdr:nvSpPr>
      <xdr:spPr>
        <a:xfrm>
          <a:off x="1903845" y="4551334"/>
          <a:ext cx="6012000" cy="360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THERMAL &amp;&amp; dac_thermal_off)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else if (r1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if (curr_dac &lt; (curr_tgt_dac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64190</xdr:colOff>
      <xdr:row>82</xdr:row>
      <xdr:rowOff>155397</xdr:rowOff>
    </xdr:from>
    <xdr:to>
      <xdr:col>52</xdr:col>
      <xdr:colOff>43690</xdr:colOff>
      <xdr:row>89</xdr:row>
      <xdr:rowOff>48097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63B21E5-72E6-4913-8800-79B82DAD9669}"/>
            </a:ext>
          </a:extLst>
        </xdr:cNvPr>
        <xdr:cNvSpPr txBox="1"/>
      </xdr:nvSpPr>
      <xdr:spPr>
        <a:xfrm>
          <a:off x="1892990" y="17859197"/>
          <a:ext cx="6012000" cy="14040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 = 4095     prev_target_dac=4095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dac_inc2 = 6                   dac_inc3 = 16                  dac_inc4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 = 0   </a:t>
          </a:r>
          <a:r>
            <a:rPr lang="en-US" altLang="ko-KR" sz="1100" b="0" kern="1200" baseline="0">
              <a:latin typeface="+mn-ea"/>
              <a:ea typeface="+mn-ea"/>
            </a:rPr>
            <a:t>dac_inc_hold_th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SOA_P1 = 125       SOA_P2 = 300                  SOA_P3 = 500</a:t>
          </a:r>
        </a:p>
      </xdr:txBody>
    </xdr:sp>
    <xdr:clientData/>
  </xdr:twoCellAnchor>
  <xdr:twoCellAnchor>
    <xdr:from>
      <xdr:col>108</xdr:col>
      <xdr:colOff>100965</xdr:colOff>
      <xdr:row>31</xdr:row>
      <xdr:rowOff>129540</xdr:rowOff>
    </xdr:from>
    <xdr:to>
      <xdr:col>130</xdr:col>
      <xdr:colOff>17461</xdr:colOff>
      <xdr:row>40</xdr:row>
      <xdr:rowOff>79178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03DFEE34-95B2-47CB-8D20-8572D3193AB3}"/>
            </a:ext>
          </a:extLst>
        </xdr:cNvPr>
        <xdr:cNvGrpSpPr/>
      </xdr:nvGrpSpPr>
      <xdr:grpSpPr>
        <a:xfrm>
          <a:off x="15058390" y="6917690"/>
          <a:ext cx="2637471" cy="1924488"/>
          <a:chOff x="15111977" y="7791994"/>
          <a:chExt cx="2582717" cy="1873861"/>
        </a:xfrm>
      </xdr:grpSpPr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D8EF2339-4017-421F-6009-260D479E0A3B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7E186551-F5C0-E7B0-2B9F-7C198A46DBDD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F0CDAF2F-C4EA-3E01-043A-DE0B760FD676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32F5975A-308E-D49E-BA41-A5BFAFCA0259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81120DC6-D4F5-E33C-698A-52931052A4C7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113</xdr:col>
      <xdr:colOff>62920</xdr:colOff>
      <xdr:row>32</xdr:row>
      <xdr:rowOff>187651</xdr:rowOff>
    </xdr:from>
    <xdr:to>
      <xdr:col>130</xdr:col>
      <xdr:colOff>105286</xdr:colOff>
      <xdr:row>33</xdr:row>
      <xdr:rowOff>201585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6BF93288-3064-4AC2-A4AE-AC1838DE55B4}"/>
            </a:ext>
          </a:extLst>
        </xdr:cNvPr>
        <xdr:cNvGrpSpPr/>
      </xdr:nvGrpSpPr>
      <xdr:grpSpPr>
        <a:xfrm>
          <a:off x="15639470" y="7198051"/>
          <a:ext cx="2141041" cy="229834"/>
          <a:chOff x="15897170" y="8499892"/>
          <a:chExt cx="2098883" cy="225136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EF8460D9-A382-BA46-5A7C-FCF2D0FE3CEB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 = 1500</a:t>
            </a: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D6F9597B-4155-C809-672C-A9F7811FC267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107246</xdr:colOff>
      <xdr:row>37</xdr:row>
      <xdr:rowOff>121831</xdr:rowOff>
    </xdr:from>
    <xdr:to>
      <xdr:col>135</xdr:col>
      <xdr:colOff>117689</xdr:colOff>
      <xdr:row>38</xdr:row>
      <xdr:rowOff>135765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02A03CF2-5410-4FC4-B44B-4F65EC8CFCF9}"/>
            </a:ext>
          </a:extLst>
        </xdr:cNvPr>
        <xdr:cNvGrpSpPr/>
      </xdr:nvGrpSpPr>
      <xdr:grpSpPr>
        <a:xfrm>
          <a:off x="16296571" y="8230781"/>
          <a:ext cx="2121818" cy="229834"/>
          <a:chOff x="16267202" y="8997949"/>
          <a:chExt cx="2065825" cy="225136"/>
        </a:xfrm>
      </xdr:grpSpPr>
      <xdr:cxnSp macro="">
        <xdr:nvCxnSpPr>
          <xdr:cNvPr id="53" name="직선 연결선 52">
            <a:extLst>
              <a:ext uri="{FF2B5EF4-FFF2-40B4-BE49-F238E27FC236}">
                <a16:creationId xmlns:a16="http://schemas.microsoft.com/office/drawing/2014/main" id="{2A52EF47-04A6-C4C5-0A11-97A28EBA8D4F}"/>
              </a:ext>
            </a:extLst>
          </xdr:cNvPr>
          <xdr:cNvCxnSpPr/>
        </xdr:nvCxnSpPr>
        <xdr:spPr>
          <a:xfrm>
            <a:off x="16267202" y="9119755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728FF37A-5F1C-322E-6AF8-10DBD1C09F96}"/>
              </a:ext>
            </a:extLst>
          </xdr:cNvPr>
          <xdr:cNvSpPr txBox="1"/>
        </xdr:nvSpPr>
        <xdr:spPr>
          <a:xfrm>
            <a:off x="16936026" y="8997949"/>
            <a:ext cx="1397001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prev_tgt_dac = 2500</a:t>
            </a:r>
          </a:p>
        </xdr:txBody>
      </xdr:sp>
    </xdr:grpSp>
    <xdr:clientData/>
  </xdr:twoCellAnchor>
  <xdr:twoCellAnchor>
    <xdr:from>
      <xdr:col>115</xdr:col>
      <xdr:colOff>62257</xdr:colOff>
      <xdr:row>35</xdr:row>
      <xdr:rowOff>65369</xdr:rowOff>
    </xdr:from>
    <xdr:to>
      <xdr:col>121</xdr:col>
      <xdr:colOff>105010</xdr:colOff>
      <xdr:row>35</xdr:row>
      <xdr:rowOff>65369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0E61EFCE-7F31-46BC-BD82-BED22388D16A}"/>
            </a:ext>
          </a:extLst>
        </xdr:cNvPr>
        <xdr:cNvCxnSpPr/>
      </xdr:nvCxnSpPr>
      <xdr:spPr>
        <a:xfrm>
          <a:off x="15879472" y="7731089"/>
          <a:ext cx="78760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72548</xdr:colOff>
      <xdr:row>32</xdr:row>
      <xdr:rowOff>178130</xdr:rowOff>
    </xdr:from>
    <xdr:to>
      <xdr:col>118</xdr:col>
      <xdr:colOff>115301</xdr:colOff>
      <xdr:row>32</xdr:row>
      <xdr:rowOff>178130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E32A0BB5-62D4-4DA0-BC69-9FC537D51044}"/>
            </a:ext>
          </a:extLst>
        </xdr:cNvPr>
        <xdr:cNvCxnSpPr/>
      </xdr:nvCxnSpPr>
      <xdr:spPr>
        <a:xfrm>
          <a:off x="15522098" y="7188530"/>
          <a:ext cx="785703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30023</xdr:colOff>
      <xdr:row>36</xdr:row>
      <xdr:rowOff>149545</xdr:rowOff>
    </xdr:from>
    <xdr:to>
      <xdr:col>123</xdr:col>
      <xdr:colOff>72776</xdr:colOff>
      <xdr:row>36</xdr:row>
      <xdr:rowOff>149545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1BE4A51D-BA22-4D4F-B16D-68B937CE4F85}"/>
            </a:ext>
          </a:extLst>
        </xdr:cNvPr>
        <xdr:cNvCxnSpPr/>
      </xdr:nvCxnSpPr>
      <xdr:spPr>
        <a:xfrm>
          <a:off x="16096793" y="8036245"/>
          <a:ext cx="78760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7718</xdr:colOff>
      <xdr:row>46</xdr:row>
      <xdr:rowOff>49498</xdr:rowOff>
    </xdr:from>
    <xdr:to>
      <xdr:col>127</xdr:col>
      <xdr:colOff>1815</xdr:colOff>
      <xdr:row>47</xdr:row>
      <xdr:rowOff>21937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B69549F-0C1A-4873-AAC9-D0BC9E8738FC}"/>
            </a:ext>
          </a:extLst>
        </xdr:cNvPr>
        <xdr:cNvSpPr txBox="1"/>
      </xdr:nvSpPr>
      <xdr:spPr>
        <a:xfrm>
          <a:off x="16571693" y="10126948"/>
          <a:ext cx="737047" cy="191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122</xdr:col>
      <xdr:colOff>96514</xdr:colOff>
      <xdr:row>47</xdr:row>
      <xdr:rowOff>95931</xdr:rowOff>
    </xdr:from>
    <xdr:to>
      <xdr:col>128</xdr:col>
      <xdr:colOff>112912</xdr:colOff>
      <xdr:row>48</xdr:row>
      <xdr:rowOff>73347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C9A5E7F-464F-4735-8A0A-AD3564D095E9}"/>
            </a:ext>
          </a:extLst>
        </xdr:cNvPr>
        <xdr:cNvSpPr txBox="1"/>
      </xdr:nvSpPr>
      <xdr:spPr>
        <a:xfrm>
          <a:off x="16784314" y="10392456"/>
          <a:ext cx="759348" cy="1964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53</xdr:col>
      <xdr:colOff>5078</xdr:colOff>
      <xdr:row>89</xdr:row>
      <xdr:rowOff>126998</xdr:rowOff>
    </xdr:from>
    <xdr:to>
      <xdr:col>102</xdr:col>
      <xdr:colOff>105228</xdr:colOff>
      <xdr:row>112</xdr:row>
      <xdr:rowOff>79375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C77F9C9-9A85-4505-9EE4-62EEF9B2D60F}"/>
            </a:ext>
          </a:extLst>
        </xdr:cNvPr>
        <xdr:cNvSpPr txBox="1"/>
      </xdr:nvSpPr>
      <xdr:spPr>
        <a:xfrm>
          <a:off x="7987028" y="19342098"/>
          <a:ext cx="6012000" cy="491807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</xdr:txBody>
    </xdr:sp>
    <xdr:clientData/>
  </xdr:twoCellAnchor>
  <xdr:twoCellAnchor>
    <xdr:from>
      <xdr:col>109</xdr:col>
      <xdr:colOff>81915</xdr:colOff>
      <xdr:row>43</xdr:row>
      <xdr:rowOff>196215</xdr:rowOff>
    </xdr:from>
    <xdr:to>
      <xdr:col>131</xdr:col>
      <xdr:colOff>9841</xdr:colOff>
      <xdr:row>52</xdr:row>
      <xdr:rowOff>153473</xdr:rowOff>
    </xdr:to>
    <xdr:grpSp>
      <xdr:nvGrpSpPr>
        <xdr:cNvPr id="72" name="그룹 71">
          <a:extLst>
            <a:ext uri="{FF2B5EF4-FFF2-40B4-BE49-F238E27FC236}">
              <a16:creationId xmlns:a16="http://schemas.microsoft.com/office/drawing/2014/main" id="{89D97E64-E8A4-463A-A7F0-CB3C422FDEFB}"/>
            </a:ext>
          </a:extLst>
        </xdr:cNvPr>
        <xdr:cNvGrpSpPr/>
      </xdr:nvGrpSpPr>
      <xdr:grpSpPr>
        <a:xfrm>
          <a:off x="15163165" y="9619615"/>
          <a:ext cx="2645726" cy="1925758"/>
          <a:chOff x="15111977" y="7791994"/>
          <a:chExt cx="2582717" cy="1873861"/>
        </a:xfrm>
      </xdr:grpSpPr>
      <xdr:cxnSp macro="">
        <xdr:nvCxnSpPr>
          <xdr:cNvPr id="73" name="직선 연결선 72">
            <a:extLst>
              <a:ext uri="{FF2B5EF4-FFF2-40B4-BE49-F238E27FC236}">
                <a16:creationId xmlns:a16="http://schemas.microsoft.com/office/drawing/2014/main" id="{C2611162-87BA-DC6E-6C29-1FAE409130CA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직선 연결선 73">
            <a:extLst>
              <a:ext uri="{FF2B5EF4-FFF2-40B4-BE49-F238E27FC236}">
                <a16:creationId xmlns:a16="http://schemas.microsoft.com/office/drawing/2014/main" id="{E07EB786-F352-624F-1015-DBD92334A696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직선 연결선 74">
            <a:extLst>
              <a:ext uri="{FF2B5EF4-FFF2-40B4-BE49-F238E27FC236}">
                <a16:creationId xmlns:a16="http://schemas.microsoft.com/office/drawing/2014/main" id="{9E1B5044-CD93-60AB-B05F-AE6230D4BEAB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DF09A2B9-DE75-FA4D-A8ED-884DFD599772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B13713E7-F96A-2964-9C34-329D1FBAB0F0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119</xdr:col>
      <xdr:colOff>43870</xdr:colOff>
      <xdr:row>49</xdr:row>
      <xdr:rowOff>132406</xdr:rowOff>
    </xdr:from>
    <xdr:to>
      <xdr:col>136</xdr:col>
      <xdr:colOff>86236</xdr:colOff>
      <xdr:row>50</xdr:row>
      <xdr:rowOff>142530</xdr:rowOff>
    </xdr:to>
    <xdr:grpSp>
      <xdr:nvGrpSpPr>
        <xdr:cNvPr id="78" name="그룹 77">
          <a:extLst>
            <a:ext uri="{FF2B5EF4-FFF2-40B4-BE49-F238E27FC236}">
              <a16:creationId xmlns:a16="http://schemas.microsoft.com/office/drawing/2014/main" id="{E75BE6C3-730B-4E5E-B62C-D3D737E79671}"/>
            </a:ext>
          </a:extLst>
        </xdr:cNvPr>
        <xdr:cNvGrpSpPr/>
      </xdr:nvGrpSpPr>
      <xdr:grpSpPr>
        <a:xfrm>
          <a:off x="16363370" y="10867081"/>
          <a:ext cx="2141041" cy="232374"/>
          <a:chOff x="15897170" y="8499892"/>
          <a:chExt cx="2098883" cy="225136"/>
        </a:xfrm>
      </xdr:grpSpPr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343A4D44-3950-EBD1-6277-4B0C7EFAE110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80" name="직선 연결선 79">
            <a:extLst>
              <a:ext uri="{FF2B5EF4-FFF2-40B4-BE49-F238E27FC236}">
                <a16:creationId xmlns:a16="http://schemas.microsoft.com/office/drawing/2014/main" id="{437334AD-8C2D-6F8B-2D4B-D4F72DC632F1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114</xdr:col>
      <xdr:colOff>104318</xdr:colOff>
      <xdr:row>46</xdr:row>
      <xdr:rowOff>140020</xdr:rowOff>
    </xdr:from>
    <xdr:to>
      <xdr:col>121</xdr:col>
      <xdr:colOff>17531</xdr:colOff>
      <xdr:row>46</xdr:row>
      <xdr:rowOff>140020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92443906-548E-4CA8-A3A7-179F97EBF40D}"/>
            </a:ext>
          </a:extLst>
        </xdr:cNvPr>
        <xdr:cNvCxnSpPr/>
      </xdr:nvCxnSpPr>
      <xdr:spPr>
        <a:xfrm>
          <a:off x="15801518" y="10217470"/>
          <a:ext cx="77998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83363</xdr:colOff>
      <xdr:row>47</xdr:row>
      <xdr:rowOff>202885</xdr:rowOff>
    </xdr:from>
    <xdr:to>
      <xdr:col>122</xdr:col>
      <xdr:colOff>116591</xdr:colOff>
      <xdr:row>47</xdr:row>
      <xdr:rowOff>202885</xdr:rowOff>
    </xdr:to>
    <xdr:cxnSp macro="">
      <xdr:nvCxnSpPr>
        <xdr:cNvPr id="82" name="직선 연결선 81">
          <a:extLst>
            <a:ext uri="{FF2B5EF4-FFF2-40B4-BE49-F238E27FC236}">
              <a16:creationId xmlns:a16="http://schemas.microsoft.com/office/drawing/2014/main" id="{56F77A50-872C-4A36-BC96-527B27EC495B}"/>
            </a:ext>
          </a:extLst>
        </xdr:cNvPr>
        <xdr:cNvCxnSpPr/>
      </xdr:nvCxnSpPr>
      <xdr:spPr>
        <a:xfrm>
          <a:off x="16028213" y="10499410"/>
          <a:ext cx="77617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26213</xdr:colOff>
      <xdr:row>49</xdr:row>
      <xdr:rowOff>27625</xdr:rowOff>
    </xdr:from>
    <xdr:to>
      <xdr:col>124</xdr:col>
      <xdr:colOff>63251</xdr:colOff>
      <xdr:row>49</xdr:row>
      <xdr:rowOff>27625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6B14C92A-017D-474A-8BFA-BE46AAA501C1}"/>
            </a:ext>
          </a:extLst>
        </xdr:cNvPr>
        <xdr:cNvCxnSpPr/>
      </xdr:nvCxnSpPr>
      <xdr:spPr>
        <a:xfrm>
          <a:off x="16218713" y="10762300"/>
          <a:ext cx="77998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122078</xdr:colOff>
      <xdr:row>45</xdr:row>
      <xdr:rowOff>162890</xdr:rowOff>
    </xdr:from>
    <xdr:to>
      <xdr:col>120</xdr:col>
      <xdr:colOff>41006</xdr:colOff>
      <xdr:row>45</xdr:row>
      <xdr:rowOff>162890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6CC8BE7E-32A5-4EEB-BA2B-AE613D0E68D6}"/>
            </a:ext>
          </a:extLst>
        </xdr:cNvPr>
        <xdr:cNvCxnSpPr/>
      </xdr:nvCxnSpPr>
      <xdr:spPr>
        <a:xfrm>
          <a:off x="15695453" y="10021265"/>
          <a:ext cx="785703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45818</xdr:colOff>
      <xdr:row>56</xdr:row>
      <xdr:rowOff>190468</xdr:rowOff>
    </xdr:from>
    <xdr:to>
      <xdr:col>138</xdr:col>
      <xdr:colOff>41820</xdr:colOff>
      <xdr:row>57</xdr:row>
      <xdr:rowOff>159097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9F444A6-66E7-4318-8DB7-1858AB191B5B}"/>
            </a:ext>
          </a:extLst>
        </xdr:cNvPr>
        <xdr:cNvSpPr txBox="1"/>
      </xdr:nvSpPr>
      <xdr:spPr>
        <a:xfrm>
          <a:off x="17971868" y="12458668"/>
          <a:ext cx="738952" cy="1877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133</xdr:col>
      <xdr:colOff>45079</xdr:colOff>
      <xdr:row>58</xdr:row>
      <xdr:rowOff>107361</xdr:rowOff>
    </xdr:from>
    <xdr:to>
      <xdr:col>139</xdr:col>
      <xdr:colOff>72907</xdr:colOff>
      <xdr:row>59</xdr:row>
      <xdr:rowOff>92397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E0CB2D93-720C-47F1-BB43-A7211D4D2141}"/>
            </a:ext>
          </a:extLst>
        </xdr:cNvPr>
        <xdr:cNvSpPr txBox="1"/>
      </xdr:nvSpPr>
      <xdr:spPr>
        <a:xfrm>
          <a:off x="18094954" y="12813711"/>
          <a:ext cx="770778" cy="204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110</xdr:col>
      <xdr:colOff>55245</xdr:colOff>
      <xdr:row>55</xdr:row>
      <xdr:rowOff>192405</xdr:rowOff>
    </xdr:from>
    <xdr:to>
      <xdr:col>131</xdr:col>
      <xdr:colOff>106996</xdr:colOff>
      <xdr:row>64</xdr:row>
      <xdr:rowOff>145853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CF2D2CBF-7AFB-4619-9771-F23EA6392F83}"/>
            </a:ext>
          </a:extLst>
        </xdr:cNvPr>
        <xdr:cNvGrpSpPr/>
      </xdr:nvGrpSpPr>
      <xdr:grpSpPr>
        <a:xfrm>
          <a:off x="15257145" y="12241530"/>
          <a:ext cx="2648901" cy="1921948"/>
          <a:chOff x="15111977" y="7791994"/>
          <a:chExt cx="2582717" cy="1873861"/>
        </a:xfrm>
      </xdr:grpSpPr>
      <xdr:cxnSp macro="">
        <xdr:nvCxnSpPr>
          <xdr:cNvPr id="88" name="직선 연결선 87">
            <a:extLst>
              <a:ext uri="{FF2B5EF4-FFF2-40B4-BE49-F238E27FC236}">
                <a16:creationId xmlns:a16="http://schemas.microsoft.com/office/drawing/2014/main" id="{385C6857-6D38-7A0B-C5CC-B0A5D5E10FAC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" name="직선 연결선 88">
            <a:extLst>
              <a:ext uri="{FF2B5EF4-FFF2-40B4-BE49-F238E27FC236}">
                <a16:creationId xmlns:a16="http://schemas.microsoft.com/office/drawing/2014/main" id="{6800B0C9-E675-8509-3F19-A1822A42D828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직선 연결선 89">
            <a:extLst>
              <a:ext uri="{FF2B5EF4-FFF2-40B4-BE49-F238E27FC236}">
                <a16:creationId xmlns:a16="http://schemas.microsoft.com/office/drawing/2014/main" id="{D9BC05A4-CC75-672C-309B-6F9558DAA02F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33A478AE-DE5C-C06D-46BE-F96CF9BA222B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2C7E6684-36C0-4863-CE59-11E9E2617C09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117</xdr:col>
      <xdr:colOff>49585</xdr:colOff>
      <xdr:row>59</xdr:row>
      <xdr:rowOff>98116</xdr:rowOff>
    </xdr:from>
    <xdr:to>
      <xdr:col>134</xdr:col>
      <xdr:colOff>84331</xdr:colOff>
      <xdr:row>60</xdr:row>
      <xdr:rowOff>106335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C844DADA-2721-4895-B433-D02BBF646C55}"/>
            </a:ext>
          </a:extLst>
        </xdr:cNvPr>
        <xdr:cNvGrpSpPr/>
      </xdr:nvGrpSpPr>
      <xdr:grpSpPr>
        <a:xfrm>
          <a:off x="16115085" y="13023541"/>
          <a:ext cx="2146121" cy="224119"/>
          <a:chOff x="15897170" y="8499892"/>
          <a:chExt cx="2098883" cy="225136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7CFB78C8-EC6C-6319-5C0C-435D30425E88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95" name="직선 연결선 94">
            <a:extLst>
              <a:ext uri="{FF2B5EF4-FFF2-40B4-BE49-F238E27FC236}">
                <a16:creationId xmlns:a16="http://schemas.microsoft.com/office/drawing/2014/main" id="{98C956A6-E003-74A6-D4EE-25901833EE2E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129</xdr:col>
      <xdr:colOff>18593</xdr:colOff>
      <xdr:row>57</xdr:row>
      <xdr:rowOff>88585</xdr:rowOff>
    </xdr:from>
    <xdr:to>
      <xdr:col>135</xdr:col>
      <xdr:colOff>65156</xdr:colOff>
      <xdr:row>57</xdr:row>
      <xdr:rowOff>88585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BAF1E58C-43C3-4D9E-93BD-76726205A544}"/>
            </a:ext>
          </a:extLst>
        </xdr:cNvPr>
        <xdr:cNvCxnSpPr/>
      </xdr:nvCxnSpPr>
      <xdr:spPr>
        <a:xfrm>
          <a:off x="17573168" y="12575860"/>
          <a:ext cx="78951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60503</xdr:colOff>
      <xdr:row>58</xdr:row>
      <xdr:rowOff>46675</xdr:rowOff>
    </xdr:from>
    <xdr:to>
      <xdr:col>121</xdr:col>
      <xdr:colOff>82301</xdr:colOff>
      <xdr:row>58</xdr:row>
      <xdr:rowOff>46675</xdr:rowOff>
    </xdr:to>
    <xdr:cxnSp macro="">
      <xdr:nvCxnSpPr>
        <xdr:cNvPr id="97" name="직선 연결선 96">
          <a:extLst>
            <a:ext uri="{FF2B5EF4-FFF2-40B4-BE49-F238E27FC236}">
              <a16:creationId xmlns:a16="http://schemas.microsoft.com/office/drawing/2014/main" id="{CBC367F6-5E8C-4D17-9AA6-13DAA5C5E626}"/>
            </a:ext>
          </a:extLst>
        </xdr:cNvPr>
        <xdr:cNvCxnSpPr/>
      </xdr:nvCxnSpPr>
      <xdr:spPr>
        <a:xfrm>
          <a:off x="15881528" y="12753025"/>
          <a:ext cx="76474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87173</xdr:colOff>
      <xdr:row>59</xdr:row>
      <xdr:rowOff>27625</xdr:rowOff>
    </xdr:from>
    <xdr:to>
      <xdr:col>122</xdr:col>
      <xdr:colOff>122306</xdr:colOff>
      <xdr:row>59</xdr:row>
      <xdr:rowOff>27625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FC25F3B1-7CBB-4173-86D7-AD4C19E402D7}"/>
            </a:ext>
          </a:extLst>
        </xdr:cNvPr>
        <xdr:cNvCxnSpPr/>
      </xdr:nvCxnSpPr>
      <xdr:spPr>
        <a:xfrm>
          <a:off x="16032023" y="12953050"/>
          <a:ext cx="77808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57308</xdr:colOff>
      <xdr:row>57</xdr:row>
      <xdr:rowOff>122885</xdr:rowOff>
    </xdr:from>
    <xdr:to>
      <xdr:col>120</xdr:col>
      <xdr:colOff>96251</xdr:colOff>
      <xdr:row>57</xdr:row>
      <xdr:rowOff>122885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85E65F84-D4BF-4657-8E0B-17678FE80FAF}"/>
            </a:ext>
          </a:extLst>
        </xdr:cNvPr>
        <xdr:cNvCxnSpPr/>
      </xdr:nvCxnSpPr>
      <xdr:spPr>
        <a:xfrm>
          <a:off x="15754508" y="12610160"/>
          <a:ext cx="781893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26029</xdr:colOff>
      <xdr:row>48</xdr:row>
      <xdr:rowOff>158796</xdr:rowOff>
    </xdr:from>
    <xdr:to>
      <xdr:col>130</xdr:col>
      <xdr:colOff>50047</xdr:colOff>
      <xdr:row>49</xdr:row>
      <xdr:rowOff>143832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D7FCFAE-2817-433D-B2B0-468B05899E70}"/>
            </a:ext>
          </a:extLst>
        </xdr:cNvPr>
        <xdr:cNvSpPr txBox="1"/>
      </xdr:nvSpPr>
      <xdr:spPr>
        <a:xfrm>
          <a:off x="16961479" y="10674396"/>
          <a:ext cx="766968" cy="204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SOA_P1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60323</xdr:colOff>
      <xdr:row>79</xdr:row>
      <xdr:rowOff>76195</xdr:rowOff>
    </xdr:from>
    <xdr:to>
      <xdr:col>52</xdr:col>
      <xdr:colOff>39823</xdr:colOff>
      <xdr:row>82</xdr:row>
      <xdr:rowOff>102970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F631A4-4DAF-418A-A80F-6AF87174CD1F}"/>
            </a:ext>
          </a:extLst>
        </xdr:cNvPr>
        <xdr:cNvSpPr txBox="1"/>
      </xdr:nvSpPr>
      <xdr:spPr>
        <a:xfrm>
          <a:off x="1889123" y="17132295"/>
          <a:ext cx="6012000" cy="6744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 - prev_tgt_dac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 - curr_dac</a:t>
          </a:r>
        </a:p>
      </xdr:txBody>
    </xdr:sp>
    <xdr:clientData/>
  </xdr:twoCellAnchor>
  <xdr:oneCellAnchor>
    <xdr:from>
      <xdr:col>30</xdr:col>
      <xdr:colOff>3815</xdr:colOff>
      <xdr:row>16</xdr:row>
      <xdr:rowOff>111394</xdr:rowOff>
    </xdr:from>
    <xdr:ext cx="3132000" cy="180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13EB9A9-5201-425E-8CD5-2163316C641D}"/>
            </a:ext>
          </a:extLst>
        </xdr:cNvPr>
        <xdr:cNvSpPr txBox="1"/>
      </xdr:nvSpPr>
      <xdr:spPr>
        <a:xfrm>
          <a:off x="5210815" y="3565794"/>
          <a:ext cx="3132000" cy="1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state transition &amp; dac change</a:t>
          </a:r>
        </a:p>
      </xdr:txBody>
    </xdr:sp>
    <xdr:clientData/>
  </xdr:oneCellAnchor>
  <xdr:oneCellAnchor>
    <xdr:from>
      <xdr:col>29</xdr:col>
      <xdr:colOff>121226</xdr:colOff>
      <xdr:row>17</xdr:row>
      <xdr:rowOff>195600</xdr:rowOff>
    </xdr:from>
    <xdr:ext cx="3060000" cy="180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C75221-E9E9-4F79-9C48-65A66429359E}"/>
            </a:ext>
          </a:extLst>
        </xdr:cNvPr>
        <xdr:cNvSpPr txBox="1"/>
      </xdr:nvSpPr>
      <xdr:spPr>
        <a:xfrm>
          <a:off x="5207576" y="3865900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DAC_UP_PRE1</a:t>
          </a:r>
        </a:p>
      </xdr:txBody>
    </xdr:sp>
    <xdr:clientData/>
  </xdr:oneCellAnchor>
  <xdr:twoCellAnchor>
    <xdr:from>
      <xdr:col>52</xdr:col>
      <xdr:colOff>101477</xdr:colOff>
      <xdr:row>83</xdr:row>
      <xdr:rowOff>211986</xdr:rowOff>
    </xdr:from>
    <xdr:to>
      <xdr:col>102</xdr:col>
      <xdr:colOff>80977</xdr:colOff>
      <xdr:row>94</xdr:row>
      <xdr:rowOff>177086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6F9CEAB-3114-4F4C-B1A2-B446FD9478B7}"/>
            </a:ext>
          </a:extLst>
        </xdr:cNvPr>
        <xdr:cNvSpPr txBox="1"/>
      </xdr:nvSpPr>
      <xdr:spPr>
        <a:xfrm>
          <a:off x="7962777" y="18131686"/>
          <a:ext cx="6012000" cy="234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dac_thermal_off, ~dac_hold_en)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dac_inc_hold_cnt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(r2&lt;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_th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(~dac_f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b)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dac_inc_hold_cnt ← dac_int_hold_cnt + 1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dac_inc_hold_cnt ← dac_int_hold_cnt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dac_inc_hold_cnt ← dac_int_hold_cnt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52</xdr:col>
      <xdr:colOff>111520</xdr:colOff>
      <xdr:row>95</xdr:row>
      <xdr:rowOff>634</xdr:rowOff>
    </xdr:from>
    <xdr:to>
      <xdr:col>102</xdr:col>
      <xdr:colOff>91020</xdr:colOff>
      <xdr:row>104</xdr:row>
      <xdr:rowOff>181534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39639B-43EE-45C2-9385-FB4E424CF382}"/>
            </a:ext>
          </a:extLst>
        </xdr:cNvPr>
        <xdr:cNvSpPr txBox="1"/>
      </xdr:nvSpPr>
      <xdr:spPr>
        <a:xfrm>
          <a:off x="7972820" y="20511134"/>
          <a:ext cx="6012000" cy="2124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dac_inc1_wait_cnt ← dac_inc1_wait_cnt </a:t>
          </a:r>
        </a:p>
      </xdr:txBody>
    </xdr:sp>
    <xdr:clientData/>
  </xdr:twoCellAnchor>
  <xdr:twoCellAnchor>
    <xdr:from>
      <xdr:col>52</xdr:col>
      <xdr:colOff>106722</xdr:colOff>
      <xdr:row>21</xdr:row>
      <xdr:rowOff>57899</xdr:rowOff>
    </xdr:from>
    <xdr:to>
      <xdr:col>102</xdr:col>
      <xdr:colOff>86222</xdr:colOff>
      <xdr:row>83</xdr:row>
      <xdr:rowOff>158750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F135580-9CB4-423B-BA16-48CC724D82E4}"/>
            </a:ext>
          </a:extLst>
        </xdr:cNvPr>
        <xdr:cNvSpPr txBox="1"/>
      </xdr:nvSpPr>
      <xdr:spPr>
        <a:xfrm>
          <a:off x="7968022" y="4591799"/>
          <a:ext cx="6012000" cy="1348665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(int_thermal_source &amp;&amp; dac_thermal_off)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(dac_out_en)</a:t>
          </a: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 + 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 ← curr_dac + 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 &lt; curr_tgt_dac)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 ← curr_dac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 ← curr_tgt_dac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 - dac_dec1_acc)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(~dac_dec1_mode)  dac_dec1_acc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curr_dac ← curr_dac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dac_dec1_acc ← dac_dec1_acc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 ← curr_dac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 &lt; (curr_tgt_dac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 &lt; (curr_tgt_dac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 &lt; (curr_tgt_dac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dac_dec1_acc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34</xdr:col>
      <xdr:colOff>20999</xdr:colOff>
      <xdr:row>4</xdr:row>
      <xdr:rowOff>39423</xdr:rowOff>
    </xdr:from>
    <xdr:to>
      <xdr:col>34</xdr:col>
      <xdr:colOff>112220</xdr:colOff>
      <xdr:row>5</xdr:row>
      <xdr:rowOff>7424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4FF7C1B-A434-4881-96B8-9DDA5A875153}"/>
            </a:ext>
          </a:extLst>
        </xdr:cNvPr>
        <xdr:cNvSpPr/>
      </xdr:nvSpPr>
      <xdr:spPr>
        <a:xfrm>
          <a:off x="5710599" y="903023"/>
          <a:ext cx="91221" cy="18390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20999</xdr:colOff>
      <xdr:row>4</xdr:row>
      <xdr:rowOff>37518</xdr:rowOff>
    </xdr:from>
    <xdr:to>
      <xdr:col>60</xdr:col>
      <xdr:colOff>112220</xdr:colOff>
      <xdr:row>5</xdr:row>
      <xdr:rowOff>3614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0D626A4-C7BE-470C-9DDE-9D216EB77BCA}"/>
            </a:ext>
          </a:extLst>
        </xdr:cNvPr>
        <xdr:cNvSpPr/>
      </xdr:nvSpPr>
      <xdr:spPr>
        <a:xfrm>
          <a:off x="88474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86</xdr:col>
      <xdr:colOff>20999</xdr:colOff>
      <xdr:row>4</xdr:row>
      <xdr:rowOff>37518</xdr:rowOff>
    </xdr:from>
    <xdr:to>
      <xdr:col>86</xdr:col>
      <xdr:colOff>112220</xdr:colOff>
      <xdr:row>5</xdr:row>
      <xdr:rowOff>3614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AB55679-F61B-4714-B53A-AB2DF3B1596E}"/>
            </a:ext>
          </a:extLst>
        </xdr:cNvPr>
        <xdr:cNvSpPr/>
      </xdr:nvSpPr>
      <xdr:spPr>
        <a:xfrm>
          <a:off x="119843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4</xdr:col>
      <xdr:colOff>8212</xdr:colOff>
      <xdr:row>15</xdr:row>
      <xdr:rowOff>92451</xdr:rowOff>
    </xdr:from>
    <xdr:ext cx="3117520" cy="1800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FD2056D-B96D-4732-8D2A-992764EBCA9D}"/>
            </a:ext>
          </a:extLst>
        </xdr:cNvPr>
        <xdr:cNvSpPr txBox="1"/>
      </xdr:nvSpPr>
      <xdr:spPr>
        <a:xfrm>
          <a:off x="2078312" y="3330951"/>
          <a:ext cx="3117520" cy="18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ana &amp; ld to XC, then serializing to XD</a:t>
          </a:r>
        </a:p>
      </xdr:txBody>
    </xdr:sp>
    <xdr:clientData/>
  </xdr:oneCellAnchor>
  <xdr:oneCellAnchor>
    <xdr:from>
      <xdr:col>29</xdr:col>
      <xdr:colOff>114958</xdr:colOff>
      <xdr:row>15</xdr:row>
      <xdr:rowOff>94312</xdr:rowOff>
    </xdr:from>
    <xdr:ext cx="3139418" cy="1800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74DF749-C43F-4644-A22B-6A71D3EA465F}"/>
            </a:ext>
          </a:extLst>
        </xdr:cNvPr>
        <xdr:cNvSpPr txBox="1"/>
      </xdr:nvSpPr>
      <xdr:spPr>
        <a:xfrm>
          <a:off x="5201308" y="3332812"/>
          <a:ext cx="3139418" cy="1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XD dimming</a:t>
          </a:r>
        </a:p>
      </xdr:txBody>
    </xdr:sp>
    <xdr:clientData/>
  </xdr:oneCellAnchor>
  <xdr:twoCellAnchor>
    <xdr:from>
      <xdr:col>112</xdr:col>
      <xdr:colOff>17189</xdr:colOff>
      <xdr:row>4</xdr:row>
      <xdr:rowOff>30764</xdr:rowOff>
    </xdr:from>
    <xdr:to>
      <xdr:col>112</xdr:col>
      <xdr:colOff>112220</xdr:colOff>
      <xdr:row>4</xdr:row>
      <xdr:rowOff>215242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C9CEA023-42DB-4B7F-9B62-B6A9D10E1FBC}"/>
            </a:ext>
          </a:extLst>
        </xdr:cNvPr>
        <xdr:cNvSpPr/>
      </xdr:nvSpPr>
      <xdr:spPr>
        <a:xfrm>
          <a:off x="15117489" y="894364"/>
          <a:ext cx="95031" cy="184478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134</xdr:col>
      <xdr:colOff>3737</xdr:colOff>
      <xdr:row>17</xdr:row>
      <xdr:rowOff>206824</xdr:rowOff>
    </xdr:from>
    <xdr:ext cx="3060000" cy="1800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AF1413D-E77F-41CC-B0F6-5A0B49BBB01B}"/>
            </a:ext>
          </a:extLst>
        </xdr:cNvPr>
        <xdr:cNvSpPr txBox="1"/>
      </xdr:nvSpPr>
      <xdr:spPr>
        <a:xfrm>
          <a:off x="17758337" y="3877124"/>
          <a:ext cx="3060000" cy="180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DAC_FIT</a:t>
          </a:r>
        </a:p>
      </xdr:txBody>
    </xdr:sp>
    <xdr:clientData/>
  </xdr:oneCellAnchor>
  <xdr:oneCellAnchor>
    <xdr:from>
      <xdr:col>8</xdr:col>
      <xdr:colOff>47987</xdr:colOff>
      <xdr:row>0</xdr:row>
      <xdr:rowOff>144201</xdr:rowOff>
    </xdr:from>
    <xdr:ext cx="2122560" cy="324704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4BAFF1B-BDA2-4A7D-80F5-1000669840C0}"/>
            </a:ext>
          </a:extLst>
        </xdr:cNvPr>
        <xdr:cNvSpPr txBox="1"/>
      </xdr:nvSpPr>
      <xdr:spPr>
        <a:xfrm>
          <a:off x="2600687" y="144201"/>
          <a:ext cx="2122560" cy="3247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curr_tgt_dac [15:0] ← spi wr</a:t>
          </a: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latin typeface="+mn-ea"/>
              <a:ea typeface="+mn-ea"/>
            </a:rPr>
            <a:t> prev_tgt_dac [15:0]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curr_tgt_dac</a:t>
          </a:r>
          <a:endParaRPr lang="en-US" altLang="ko-KR" sz="100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17</xdr:col>
      <xdr:colOff>17319</xdr:colOff>
      <xdr:row>2</xdr:row>
      <xdr:rowOff>51954</xdr:rowOff>
    </xdr:from>
    <xdr:to>
      <xdr:col>17</xdr:col>
      <xdr:colOff>17319</xdr:colOff>
      <xdr:row>3</xdr:row>
      <xdr:rowOff>18363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6C14A3DB-2F5F-4C1A-83AF-FB06919B0533}"/>
            </a:ext>
          </a:extLst>
        </xdr:cNvPr>
        <xdr:cNvCxnSpPr/>
      </xdr:nvCxnSpPr>
      <xdr:spPr>
        <a:xfrm flipH="1">
          <a:off x="3655869" y="483754"/>
          <a:ext cx="0" cy="182309"/>
        </a:xfrm>
        <a:prstGeom prst="straightConnector1">
          <a:avLst/>
        </a:prstGeom>
        <a:ln w="3175">
          <a:solidFill>
            <a:schemeClr val="tx1"/>
          </a:solidFill>
          <a:headEnd w="sm" len="sm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20999</xdr:colOff>
      <xdr:row>4</xdr:row>
      <xdr:rowOff>37518</xdr:rowOff>
    </xdr:from>
    <xdr:to>
      <xdr:col>112</xdr:col>
      <xdr:colOff>112220</xdr:colOff>
      <xdr:row>5</xdr:row>
      <xdr:rowOff>3614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7873089D-EFEB-4A95-AF4E-FDB7CA9E96B7}"/>
            </a:ext>
          </a:extLst>
        </xdr:cNvPr>
        <xdr:cNvSpPr/>
      </xdr:nvSpPr>
      <xdr:spPr>
        <a:xfrm>
          <a:off x="151212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138</xdr:col>
      <xdr:colOff>20999</xdr:colOff>
      <xdr:row>4</xdr:row>
      <xdr:rowOff>37518</xdr:rowOff>
    </xdr:from>
    <xdr:to>
      <xdr:col>138</xdr:col>
      <xdr:colOff>112220</xdr:colOff>
      <xdr:row>5</xdr:row>
      <xdr:rowOff>3614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932B8966-8A3B-482C-95C1-F723599C65BB}"/>
            </a:ext>
          </a:extLst>
        </xdr:cNvPr>
        <xdr:cNvSpPr/>
      </xdr:nvSpPr>
      <xdr:spPr>
        <a:xfrm>
          <a:off x="182581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82</xdr:col>
      <xdr:colOff>7204</xdr:colOff>
      <xdr:row>18</xdr:row>
      <xdr:rowOff>2082</xdr:rowOff>
    </xdr:from>
    <xdr:ext cx="3060000" cy="1800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AA816B2-755B-4E3E-A914-D1B889966377}"/>
            </a:ext>
          </a:extLst>
        </xdr:cNvPr>
        <xdr:cNvSpPr txBox="1"/>
      </xdr:nvSpPr>
      <xdr:spPr>
        <a:xfrm>
          <a:off x="11488004" y="3888282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</a:t>
          </a:r>
        </a:p>
      </xdr:txBody>
    </xdr:sp>
    <xdr:clientData/>
  </xdr:oneCellAnchor>
  <xdr:oneCellAnchor>
    <xdr:from>
      <xdr:col>56</xdr:col>
      <xdr:colOff>5430</xdr:colOff>
      <xdr:row>17</xdr:row>
      <xdr:rowOff>206856</xdr:rowOff>
    </xdr:from>
    <xdr:ext cx="3060000" cy="1800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17D4AC1-D92E-4335-BC4A-642A955D4FE2}"/>
            </a:ext>
          </a:extLst>
        </xdr:cNvPr>
        <xdr:cNvSpPr txBox="1"/>
      </xdr:nvSpPr>
      <xdr:spPr>
        <a:xfrm>
          <a:off x="8349330" y="3877156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DAC_UP_PRE2</a:t>
          </a:r>
        </a:p>
      </xdr:txBody>
    </xdr:sp>
    <xdr:clientData/>
  </xdr:oneCellAnchor>
  <xdr:twoCellAnchor>
    <xdr:from>
      <xdr:col>2</xdr:col>
      <xdr:colOff>78877</xdr:colOff>
      <xdr:row>38</xdr:row>
      <xdr:rowOff>5944</xdr:rowOff>
    </xdr:from>
    <xdr:to>
      <xdr:col>52</xdr:col>
      <xdr:colOff>58377</xdr:colOff>
      <xdr:row>71</xdr:row>
      <xdr:rowOff>81244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6780D2A-CC09-45FA-9AC6-88604E81CD70}"/>
            </a:ext>
          </a:extLst>
        </xdr:cNvPr>
        <xdr:cNvSpPr txBox="1"/>
      </xdr:nvSpPr>
      <xdr:spPr>
        <a:xfrm>
          <a:off x="1907677" y="8210144"/>
          <a:ext cx="6012000" cy="720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dac_fb_valid_cnt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dac_fb_valid_cnt ← dac_fb_valid_cnt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 = (int_fb_source &amp;&amp; ~dac_fb_mode) || (FBI_lat &amp;&amp; dac_fb_mode)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~dac_fb_mode)  FBI_lat ← 0,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FBI_lat ← 0,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(FBI_lat_cnt &lt; 5)  FBI_lat_cnt ← FBI_lat_cnt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(FBI_lat_cnt = 5)  FBI_lat_cnt ← FBI_lat_cnt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FBI_lat ←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FBI_lat_cnt ← 0,  FBI_lat ← FBI_lat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103902</xdr:colOff>
      <xdr:row>3</xdr:row>
      <xdr:rowOff>150090</xdr:rowOff>
    </xdr:from>
    <xdr:to>
      <xdr:col>8</xdr:col>
      <xdr:colOff>103902</xdr:colOff>
      <xdr:row>15</xdr:row>
      <xdr:rowOff>63499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C2F82AE1-6E91-4D41-B387-F80E78CB5A69}"/>
            </a:ext>
          </a:extLst>
        </xdr:cNvPr>
        <xdr:cNvCxnSpPr/>
      </xdr:nvCxnSpPr>
      <xdr:spPr>
        <a:xfrm flipH="1">
          <a:off x="2656602" y="797790"/>
          <a:ext cx="0" cy="2504209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20999</xdr:colOff>
      <xdr:row>4</xdr:row>
      <xdr:rowOff>39423</xdr:rowOff>
    </xdr:from>
    <xdr:to>
      <xdr:col>8</xdr:col>
      <xdr:colOff>112220</xdr:colOff>
      <xdr:row>5</xdr:row>
      <xdr:rowOff>7424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78B9506-F9C1-4795-9AFA-616315DC6363}"/>
            </a:ext>
          </a:extLst>
        </xdr:cNvPr>
        <xdr:cNvSpPr/>
      </xdr:nvSpPr>
      <xdr:spPr>
        <a:xfrm>
          <a:off x="2573699" y="903023"/>
          <a:ext cx="91221" cy="18390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98138</xdr:colOff>
      <xdr:row>13</xdr:row>
      <xdr:rowOff>138546</xdr:rowOff>
    </xdr:from>
    <xdr:to>
      <xdr:col>10</xdr:col>
      <xdr:colOff>117229</xdr:colOff>
      <xdr:row>13</xdr:row>
      <xdr:rowOff>138546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39FCBDD9-55B2-47D6-AF48-C16E5FAD2902}"/>
            </a:ext>
          </a:extLst>
        </xdr:cNvPr>
        <xdr:cNvCxnSpPr/>
      </xdr:nvCxnSpPr>
      <xdr:spPr>
        <a:xfrm>
          <a:off x="24095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98138</xdr:colOff>
      <xdr:row>13</xdr:row>
      <xdr:rowOff>138546</xdr:rowOff>
    </xdr:from>
    <xdr:to>
      <xdr:col>36</xdr:col>
      <xdr:colOff>117229</xdr:colOff>
      <xdr:row>13</xdr:row>
      <xdr:rowOff>138546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A5941A5A-9545-424E-80FE-35B1B5D28D62}"/>
            </a:ext>
          </a:extLst>
        </xdr:cNvPr>
        <xdr:cNvCxnSpPr/>
      </xdr:nvCxnSpPr>
      <xdr:spPr>
        <a:xfrm>
          <a:off x="55464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98138</xdr:colOff>
      <xdr:row>13</xdr:row>
      <xdr:rowOff>138546</xdr:rowOff>
    </xdr:from>
    <xdr:to>
      <xdr:col>62</xdr:col>
      <xdr:colOff>117229</xdr:colOff>
      <xdr:row>13</xdr:row>
      <xdr:rowOff>138546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2798C405-D227-4BF2-AFB1-3670157EB2C2}"/>
            </a:ext>
          </a:extLst>
        </xdr:cNvPr>
        <xdr:cNvCxnSpPr/>
      </xdr:nvCxnSpPr>
      <xdr:spPr>
        <a:xfrm>
          <a:off x="86833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98138</xdr:colOff>
      <xdr:row>13</xdr:row>
      <xdr:rowOff>138546</xdr:rowOff>
    </xdr:from>
    <xdr:to>
      <xdr:col>88</xdr:col>
      <xdr:colOff>117229</xdr:colOff>
      <xdr:row>13</xdr:row>
      <xdr:rowOff>138546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58FD9B1F-D0EA-4927-9421-01980F6D4F19}"/>
            </a:ext>
          </a:extLst>
        </xdr:cNvPr>
        <xdr:cNvCxnSpPr/>
      </xdr:nvCxnSpPr>
      <xdr:spPr>
        <a:xfrm>
          <a:off x="118202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98138</xdr:colOff>
      <xdr:row>13</xdr:row>
      <xdr:rowOff>138546</xdr:rowOff>
    </xdr:from>
    <xdr:to>
      <xdr:col>114</xdr:col>
      <xdr:colOff>117229</xdr:colOff>
      <xdr:row>13</xdr:row>
      <xdr:rowOff>138546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EFFA7C4C-84E9-4E32-84AE-352F4B518883}"/>
            </a:ext>
          </a:extLst>
        </xdr:cNvPr>
        <xdr:cNvCxnSpPr/>
      </xdr:nvCxnSpPr>
      <xdr:spPr>
        <a:xfrm>
          <a:off x="149571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98138</xdr:colOff>
      <xdr:row>13</xdr:row>
      <xdr:rowOff>138546</xdr:rowOff>
    </xdr:from>
    <xdr:to>
      <xdr:col>140</xdr:col>
      <xdr:colOff>117229</xdr:colOff>
      <xdr:row>13</xdr:row>
      <xdr:rowOff>138546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8CEE0EC6-E272-4CA7-AE07-328546730155}"/>
            </a:ext>
          </a:extLst>
        </xdr:cNvPr>
        <xdr:cNvCxnSpPr/>
      </xdr:nvCxnSpPr>
      <xdr:spPr>
        <a:xfrm>
          <a:off x="180940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2301</xdr:colOff>
      <xdr:row>13</xdr:row>
      <xdr:rowOff>77354</xdr:rowOff>
    </xdr:from>
    <xdr:to>
      <xdr:col>90</xdr:col>
      <xdr:colOff>2301</xdr:colOff>
      <xdr:row>18</xdr:row>
      <xdr:rowOff>125400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7E72CB54-C703-48D0-8F84-1A74BBD9B03B}"/>
            </a:ext>
          </a:extLst>
        </xdr:cNvPr>
        <xdr:cNvCxnSpPr/>
      </xdr:nvCxnSpPr>
      <xdr:spPr>
        <a:xfrm flipH="1">
          <a:off x="12448301" y="2884054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120064</xdr:colOff>
      <xdr:row>13</xdr:row>
      <xdr:rowOff>96981</xdr:rowOff>
    </xdr:from>
    <xdr:to>
      <xdr:col>115</xdr:col>
      <xdr:colOff>120064</xdr:colOff>
      <xdr:row>18</xdr:row>
      <xdr:rowOff>145027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9DEF5B13-E74E-417F-95CA-1554E66CFCA6}"/>
            </a:ext>
          </a:extLst>
        </xdr:cNvPr>
        <xdr:cNvCxnSpPr/>
      </xdr:nvCxnSpPr>
      <xdr:spPr>
        <a:xfrm flipH="1">
          <a:off x="15582314" y="2903681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1146</xdr:colOff>
      <xdr:row>13</xdr:row>
      <xdr:rowOff>87744</xdr:rowOff>
    </xdr:from>
    <xdr:to>
      <xdr:col>142</xdr:col>
      <xdr:colOff>1146</xdr:colOff>
      <xdr:row>18</xdr:row>
      <xdr:rowOff>135790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258AE0C0-DA53-4C99-8CDF-97570A4C89FE}"/>
            </a:ext>
          </a:extLst>
        </xdr:cNvPr>
        <xdr:cNvCxnSpPr/>
      </xdr:nvCxnSpPr>
      <xdr:spPr>
        <a:xfrm flipH="1">
          <a:off x="18720946" y="2894444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2584</xdr:colOff>
      <xdr:row>16</xdr:row>
      <xdr:rowOff>186464</xdr:rowOff>
    </xdr:from>
    <xdr:ext cx="3168000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CBD556E-18C4-4FB7-9F93-C5395EB3821A}"/>
            </a:ext>
          </a:extLst>
        </xdr:cNvPr>
        <xdr:cNvSpPr txBox="1"/>
      </xdr:nvSpPr>
      <xdr:spPr>
        <a:xfrm>
          <a:off x="15585484" y="3640864"/>
          <a:ext cx="3168000" cy="17222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dac_fb_assert=1</a:t>
          </a:r>
        </a:p>
      </xdr:txBody>
    </xdr:sp>
    <xdr:clientData/>
  </xdr:oneCellAnchor>
  <xdr:oneCellAnchor>
    <xdr:from>
      <xdr:col>108</xdr:col>
      <xdr:colOff>9514</xdr:colOff>
      <xdr:row>17</xdr:row>
      <xdr:rowOff>212210</xdr:rowOff>
    </xdr:from>
    <xdr:ext cx="3060000" cy="18000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9BF62DD-7650-45CD-8054-163B39D5E3DB}"/>
            </a:ext>
          </a:extLst>
        </xdr:cNvPr>
        <xdr:cNvSpPr txBox="1"/>
      </xdr:nvSpPr>
      <xdr:spPr>
        <a:xfrm>
          <a:off x="14627214" y="3882510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</a:t>
          </a:r>
        </a:p>
      </xdr:txBody>
    </xdr:sp>
    <xdr:clientData/>
  </xdr:oneCellAnchor>
  <xdr:twoCellAnchor>
    <xdr:from>
      <xdr:col>89</xdr:col>
      <xdr:colOff>111988</xdr:colOff>
      <xdr:row>19</xdr:row>
      <xdr:rowOff>2309</xdr:rowOff>
    </xdr:from>
    <xdr:to>
      <xdr:col>106</xdr:col>
      <xdr:colOff>121226</xdr:colOff>
      <xdr:row>20</xdr:row>
      <xdr:rowOff>178955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BEC4BDF-7BD2-4E21-8435-EC0B792FDB7E}"/>
            </a:ext>
          </a:extLst>
        </xdr:cNvPr>
        <xdr:cNvSpPr txBox="1"/>
      </xdr:nvSpPr>
      <xdr:spPr>
        <a:xfrm>
          <a:off x="12437338" y="4104409"/>
          <a:ext cx="2060288" cy="392546"/>
        </a:xfrm>
        <a:prstGeom prst="rect">
          <a:avLst/>
        </a:prstGeom>
        <a:solidFill>
          <a:srgbClr val="FFFF00">
            <a:alpha val="3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=  +dac_inc2</a:t>
          </a:r>
        </a:p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ince_dac =  +dac_inc2</a:t>
          </a:r>
        </a:p>
      </xdr:txBody>
    </xdr:sp>
    <xdr:clientData/>
  </xdr:twoCellAnchor>
  <xdr:twoCellAnchor>
    <xdr:from>
      <xdr:col>29</xdr:col>
      <xdr:colOff>120070</xdr:colOff>
      <xdr:row>18</xdr:row>
      <xdr:rowOff>190500</xdr:rowOff>
    </xdr:from>
    <xdr:to>
      <xdr:col>89</xdr:col>
      <xdr:colOff>40409</xdr:colOff>
      <xdr:row>20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DAC85C2-1642-422D-8C30-239796E2F311}"/>
            </a:ext>
          </a:extLst>
        </xdr:cNvPr>
        <xdr:cNvSpPr txBox="1"/>
      </xdr:nvSpPr>
      <xdr:spPr>
        <a:xfrm>
          <a:off x="5206420" y="4076700"/>
          <a:ext cx="7159339" cy="241300"/>
        </a:xfrm>
        <a:prstGeom prst="rect">
          <a:avLst/>
        </a:prstGeom>
        <a:solidFill>
          <a:srgbClr val="FFFF00">
            <a:alpha val="3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ince_dac= +dac_inc2</a:t>
          </a:r>
        </a:p>
      </xdr:txBody>
    </xdr:sp>
    <xdr:clientData/>
  </xdr:twoCellAnchor>
  <xdr:twoCellAnchor>
    <xdr:from>
      <xdr:col>2</xdr:col>
      <xdr:colOff>61071</xdr:colOff>
      <xdr:row>89</xdr:row>
      <xdr:rowOff>100790</xdr:rowOff>
    </xdr:from>
    <xdr:to>
      <xdr:col>52</xdr:col>
      <xdr:colOff>40571</xdr:colOff>
      <xdr:row>94</xdr:row>
      <xdr:rowOff>173759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BCE01E7-5BFB-4446-8AB7-89F3DF3941F3}"/>
            </a:ext>
          </a:extLst>
        </xdr:cNvPr>
        <xdr:cNvSpPr txBox="1"/>
      </xdr:nvSpPr>
      <xdr:spPr>
        <a:xfrm>
          <a:off x="1889871" y="19315890"/>
          <a:ext cx="6012000" cy="115246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 (open_drain)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 &lt;- FBO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*XC 1ea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사용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FBI - FBO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*XC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여러개 사용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 master XC FBI &lt;- all XC FBO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 slave XC FBI 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(XC DACO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dac_auto disable)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</xdr:col>
      <xdr:colOff>66464</xdr:colOff>
      <xdr:row>71</xdr:row>
      <xdr:rowOff>132190</xdr:rowOff>
    </xdr:from>
    <xdr:to>
      <xdr:col>52</xdr:col>
      <xdr:colOff>45964</xdr:colOff>
      <xdr:row>79</xdr:row>
      <xdr:rowOff>24990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644280B-AB4F-4B54-B409-895AACE2EE3C}"/>
            </a:ext>
          </a:extLst>
        </xdr:cNvPr>
        <xdr:cNvSpPr txBox="1"/>
      </xdr:nvSpPr>
      <xdr:spPr>
        <a:xfrm>
          <a:off x="1895264" y="15461090"/>
          <a:ext cx="6012000" cy="162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DACO_DIRECT) dac_out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~dac_auto)  dac_out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dac_out ← curr_dac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dac_out ← dac_out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oneCellAnchor>
    <xdr:from>
      <xdr:col>33</xdr:col>
      <xdr:colOff>15659</xdr:colOff>
      <xdr:row>0</xdr:row>
      <xdr:rowOff>129192</xdr:rowOff>
    </xdr:from>
    <xdr:ext cx="2122560" cy="324704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CF8A125-CA29-4267-A9D6-BFFA506F1856}"/>
            </a:ext>
          </a:extLst>
        </xdr:cNvPr>
        <xdr:cNvSpPr txBox="1"/>
      </xdr:nvSpPr>
      <xdr:spPr>
        <a:xfrm>
          <a:off x="5584609" y="129192"/>
          <a:ext cx="2122560" cy="3247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curr_tgt_dac [15:0] ← spi wr</a:t>
          </a: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latin typeface="+mn-ea"/>
              <a:ea typeface="+mn-ea"/>
            </a:rPr>
            <a:t> prev_tgt_dac [15:0]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curr_tgt_dac</a:t>
          </a:r>
          <a:endParaRPr lang="en-US" altLang="ko-KR" sz="100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41</xdr:col>
      <xdr:colOff>106219</xdr:colOff>
      <xdr:row>2</xdr:row>
      <xdr:rowOff>36945</xdr:rowOff>
    </xdr:from>
    <xdr:to>
      <xdr:col>41</xdr:col>
      <xdr:colOff>106219</xdr:colOff>
      <xdr:row>3</xdr:row>
      <xdr:rowOff>3354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275D32EC-CC8C-4364-9ECE-2764A1F15532}"/>
            </a:ext>
          </a:extLst>
        </xdr:cNvPr>
        <xdr:cNvCxnSpPr/>
      </xdr:nvCxnSpPr>
      <xdr:spPr>
        <a:xfrm flipH="1">
          <a:off x="6640369" y="468745"/>
          <a:ext cx="0" cy="182309"/>
        </a:xfrm>
        <a:prstGeom prst="straightConnector1">
          <a:avLst/>
        </a:prstGeom>
        <a:ln w="3175">
          <a:solidFill>
            <a:schemeClr val="tx1"/>
          </a:solidFill>
          <a:headEnd w="sm" len="sm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75045</xdr:colOff>
      <xdr:row>21</xdr:row>
      <xdr:rowOff>17434</xdr:rowOff>
    </xdr:from>
    <xdr:to>
      <xdr:col>52</xdr:col>
      <xdr:colOff>54545</xdr:colOff>
      <xdr:row>37</xdr:row>
      <xdr:rowOff>163034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30C371E-BA77-41F0-98BC-41C4A81DDC6E}"/>
            </a:ext>
          </a:extLst>
        </xdr:cNvPr>
        <xdr:cNvSpPr txBox="1"/>
      </xdr:nvSpPr>
      <xdr:spPr>
        <a:xfrm>
          <a:off x="1903845" y="4551334"/>
          <a:ext cx="6012000" cy="360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THERMAL &amp;&amp; dac_thermal_off)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else if (r1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if (curr_dac &lt; (curr_tgt_dac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64190</xdr:colOff>
      <xdr:row>82</xdr:row>
      <xdr:rowOff>155397</xdr:rowOff>
    </xdr:from>
    <xdr:to>
      <xdr:col>52</xdr:col>
      <xdr:colOff>43690</xdr:colOff>
      <xdr:row>89</xdr:row>
      <xdr:rowOff>48097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B8A9319-4992-4B2D-9847-C81A206A26A5}"/>
            </a:ext>
          </a:extLst>
        </xdr:cNvPr>
        <xdr:cNvSpPr txBox="1"/>
      </xdr:nvSpPr>
      <xdr:spPr>
        <a:xfrm>
          <a:off x="1892990" y="17859197"/>
          <a:ext cx="6012000" cy="14040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dac_max_limit</a:t>
          </a:r>
          <a:r>
            <a:rPr lang="en-US" altLang="ko-KR" sz="1100" b="0" kern="1200">
              <a:latin typeface="+mn-ea"/>
              <a:ea typeface="+mn-ea"/>
            </a:rPr>
            <a:t>=4000     prev_target_dac=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dac_inc2 = 6                   dac_inc3 = 16                  dac_inc4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 = 0   </a:t>
          </a:r>
          <a:r>
            <a:rPr lang="en-US" altLang="ko-KR" sz="1100" b="0" kern="1200" baseline="0">
              <a:latin typeface="+mn-ea"/>
              <a:ea typeface="+mn-ea"/>
            </a:rPr>
            <a:t>dac_inc_hold_th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SOA_P1 = 125       SOA_P2 = 300                  SOA_P3 = 500</a:t>
          </a:r>
        </a:p>
      </xdr:txBody>
    </xdr:sp>
    <xdr:clientData/>
  </xdr:twoCellAnchor>
  <xdr:twoCellAnchor>
    <xdr:from>
      <xdr:col>108</xdr:col>
      <xdr:colOff>100965</xdr:colOff>
      <xdr:row>31</xdr:row>
      <xdr:rowOff>129540</xdr:rowOff>
    </xdr:from>
    <xdr:to>
      <xdr:col>130</xdr:col>
      <xdr:colOff>17461</xdr:colOff>
      <xdr:row>40</xdr:row>
      <xdr:rowOff>79178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32FBC338-66DB-4A53-87EF-7AE2E8DB5263}"/>
            </a:ext>
          </a:extLst>
        </xdr:cNvPr>
        <xdr:cNvGrpSpPr/>
      </xdr:nvGrpSpPr>
      <xdr:grpSpPr>
        <a:xfrm>
          <a:off x="15058390" y="6917690"/>
          <a:ext cx="2637471" cy="1924488"/>
          <a:chOff x="15111977" y="7791994"/>
          <a:chExt cx="2582717" cy="1873861"/>
        </a:xfrm>
      </xdr:grpSpPr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95343115-9B7F-6D01-6A7B-356F4A859126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24E00A92-DE4D-AEE3-57EC-1C12C5E38225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D1D9E9F3-6C95-2984-189B-B1B3CE64D05E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27FF9E09-E793-8A2D-E311-404CA9474231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E98A195F-1D01-5EFD-E7BF-70A67363D334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113</xdr:col>
      <xdr:colOff>62920</xdr:colOff>
      <xdr:row>32</xdr:row>
      <xdr:rowOff>187651</xdr:rowOff>
    </xdr:from>
    <xdr:to>
      <xdr:col>130</xdr:col>
      <xdr:colOff>105286</xdr:colOff>
      <xdr:row>33</xdr:row>
      <xdr:rowOff>201585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0F980367-501A-4687-ADA0-5DD6C383562A}"/>
            </a:ext>
          </a:extLst>
        </xdr:cNvPr>
        <xdr:cNvGrpSpPr/>
      </xdr:nvGrpSpPr>
      <xdr:grpSpPr>
        <a:xfrm>
          <a:off x="15639470" y="7198051"/>
          <a:ext cx="2141041" cy="229834"/>
          <a:chOff x="15897170" y="8499892"/>
          <a:chExt cx="2098883" cy="225136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703A1F32-1028-7F39-779C-E9CF3520F3B0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 = 1500</a:t>
            </a: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FBF1DC04-ACB5-DB56-74B3-371C652CCC58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107246</xdr:colOff>
      <xdr:row>37</xdr:row>
      <xdr:rowOff>121831</xdr:rowOff>
    </xdr:from>
    <xdr:to>
      <xdr:col>135</xdr:col>
      <xdr:colOff>117689</xdr:colOff>
      <xdr:row>38</xdr:row>
      <xdr:rowOff>135765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E997CE93-6273-4AC5-A72F-97D1FDE21A3E}"/>
            </a:ext>
          </a:extLst>
        </xdr:cNvPr>
        <xdr:cNvGrpSpPr/>
      </xdr:nvGrpSpPr>
      <xdr:grpSpPr>
        <a:xfrm>
          <a:off x="16296571" y="8230781"/>
          <a:ext cx="2121818" cy="229834"/>
          <a:chOff x="16267202" y="8997949"/>
          <a:chExt cx="2065825" cy="225136"/>
        </a:xfrm>
      </xdr:grpSpPr>
      <xdr:cxnSp macro="">
        <xdr:nvCxnSpPr>
          <xdr:cNvPr id="53" name="직선 연결선 52">
            <a:extLst>
              <a:ext uri="{FF2B5EF4-FFF2-40B4-BE49-F238E27FC236}">
                <a16:creationId xmlns:a16="http://schemas.microsoft.com/office/drawing/2014/main" id="{74BC4FEF-3ABB-4B9A-8B02-4332F3CFD081}"/>
              </a:ext>
            </a:extLst>
          </xdr:cNvPr>
          <xdr:cNvCxnSpPr/>
        </xdr:nvCxnSpPr>
        <xdr:spPr>
          <a:xfrm>
            <a:off x="16267202" y="9119755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B7D2D909-65AA-3B05-A0A5-1F8C26F11D88}"/>
              </a:ext>
            </a:extLst>
          </xdr:cNvPr>
          <xdr:cNvSpPr txBox="1"/>
        </xdr:nvSpPr>
        <xdr:spPr>
          <a:xfrm>
            <a:off x="16936026" y="8997949"/>
            <a:ext cx="1397001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prev_tgt_dac = 2500</a:t>
            </a:r>
          </a:p>
        </xdr:txBody>
      </xdr:sp>
    </xdr:grpSp>
    <xdr:clientData/>
  </xdr:twoCellAnchor>
  <xdr:twoCellAnchor>
    <xdr:from>
      <xdr:col>115</xdr:col>
      <xdr:colOff>62257</xdr:colOff>
      <xdr:row>35</xdr:row>
      <xdr:rowOff>65369</xdr:rowOff>
    </xdr:from>
    <xdr:to>
      <xdr:col>121</xdr:col>
      <xdr:colOff>105010</xdr:colOff>
      <xdr:row>35</xdr:row>
      <xdr:rowOff>65369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F284E276-50AB-4118-ADF6-89D9CE37688D}"/>
            </a:ext>
          </a:extLst>
        </xdr:cNvPr>
        <xdr:cNvCxnSpPr/>
      </xdr:nvCxnSpPr>
      <xdr:spPr>
        <a:xfrm>
          <a:off x="15524507" y="7621869"/>
          <a:ext cx="76665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72548</xdr:colOff>
      <xdr:row>32</xdr:row>
      <xdr:rowOff>178130</xdr:rowOff>
    </xdr:from>
    <xdr:to>
      <xdr:col>118</xdr:col>
      <xdr:colOff>115301</xdr:colOff>
      <xdr:row>32</xdr:row>
      <xdr:rowOff>178130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0292C3BF-AA8E-4B03-99DF-4FAE49EBBB89}"/>
            </a:ext>
          </a:extLst>
        </xdr:cNvPr>
        <xdr:cNvCxnSpPr/>
      </xdr:nvCxnSpPr>
      <xdr:spPr>
        <a:xfrm>
          <a:off x="15172848" y="7086930"/>
          <a:ext cx="766653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30023</xdr:colOff>
      <xdr:row>36</xdr:row>
      <xdr:rowOff>149545</xdr:rowOff>
    </xdr:from>
    <xdr:to>
      <xdr:col>123</xdr:col>
      <xdr:colOff>72776</xdr:colOff>
      <xdr:row>36</xdr:row>
      <xdr:rowOff>149545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984B41FC-9612-4D49-A65B-F2263E603FC0}"/>
            </a:ext>
          </a:extLst>
        </xdr:cNvPr>
        <xdr:cNvCxnSpPr/>
      </xdr:nvCxnSpPr>
      <xdr:spPr>
        <a:xfrm>
          <a:off x="15733573" y="7921945"/>
          <a:ext cx="76665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7718</xdr:colOff>
      <xdr:row>46</xdr:row>
      <xdr:rowOff>49498</xdr:rowOff>
    </xdr:from>
    <xdr:to>
      <xdr:col>127</xdr:col>
      <xdr:colOff>1815</xdr:colOff>
      <xdr:row>47</xdr:row>
      <xdr:rowOff>21937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D45322C-DC8D-4BCF-8C28-1BB1B4F49B69}"/>
            </a:ext>
          </a:extLst>
        </xdr:cNvPr>
        <xdr:cNvSpPr txBox="1"/>
      </xdr:nvSpPr>
      <xdr:spPr>
        <a:xfrm>
          <a:off x="16193868" y="9980898"/>
          <a:ext cx="717997" cy="188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122</xdr:col>
      <xdr:colOff>96514</xdr:colOff>
      <xdr:row>47</xdr:row>
      <xdr:rowOff>95931</xdr:rowOff>
    </xdr:from>
    <xdr:to>
      <xdr:col>128</xdr:col>
      <xdr:colOff>112912</xdr:colOff>
      <xdr:row>48</xdr:row>
      <xdr:rowOff>73347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F3BED3F-16F2-410C-92A3-21F59E9B3732}"/>
            </a:ext>
          </a:extLst>
        </xdr:cNvPr>
        <xdr:cNvSpPr txBox="1"/>
      </xdr:nvSpPr>
      <xdr:spPr>
        <a:xfrm>
          <a:off x="16403314" y="10243231"/>
          <a:ext cx="740298" cy="193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2</xdr:col>
      <xdr:colOff>43178</xdr:colOff>
      <xdr:row>94</xdr:row>
      <xdr:rowOff>209548</xdr:rowOff>
    </xdr:from>
    <xdr:to>
      <xdr:col>52</xdr:col>
      <xdr:colOff>22678</xdr:colOff>
      <xdr:row>123</xdr:row>
      <xdr:rowOff>177800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9253722-17B4-49C5-8022-8607C8601282}"/>
            </a:ext>
          </a:extLst>
        </xdr:cNvPr>
        <xdr:cNvSpPr txBox="1"/>
      </xdr:nvSpPr>
      <xdr:spPr>
        <a:xfrm>
          <a:off x="1871978" y="20504148"/>
          <a:ext cx="6012000" cy="622935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109</xdr:col>
      <xdr:colOff>81915</xdr:colOff>
      <xdr:row>43</xdr:row>
      <xdr:rowOff>196215</xdr:rowOff>
    </xdr:from>
    <xdr:to>
      <xdr:col>131</xdr:col>
      <xdr:colOff>9841</xdr:colOff>
      <xdr:row>52</xdr:row>
      <xdr:rowOff>153473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6F8DEF2B-0C97-4612-90AE-E7EB5C44A0AC}"/>
            </a:ext>
          </a:extLst>
        </xdr:cNvPr>
        <xdr:cNvGrpSpPr/>
      </xdr:nvGrpSpPr>
      <xdr:grpSpPr>
        <a:xfrm>
          <a:off x="15163165" y="9619615"/>
          <a:ext cx="2645726" cy="1925758"/>
          <a:chOff x="15111977" y="7791994"/>
          <a:chExt cx="2582717" cy="1873861"/>
        </a:xfrm>
      </xdr:grpSpPr>
      <xdr:cxnSp macro="">
        <xdr:nvCxnSpPr>
          <xdr:cNvPr id="62" name="직선 연결선 61">
            <a:extLst>
              <a:ext uri="{FF2B5EF4-FFF2-40B4-BE49-F238E27FC236}">
                <a16:creationId xmlns:a16="http://schemas.microsoft.com/office/drawing/2014/main" id="{FD298856-17AE-13C1-FE9A-4B363CD46CF7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직선 연결선 62">
            <a:extLst>
              <a:ext uri="{FF2B5EF4-FFF2-40B4-BE49-F238E27FC236}">
                <a16:creationId xmlns:a16="http://schemas.microsoft.com/office/drawing/2014/main" id="{B48DD6FD-3354-BB88-802A-13B49F23219D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B0B68C89-3BAD-5F2D-12BF-1EFBE4FA2C86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63DE008B-E01C-1E74-918B-328D9EB1B5A4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99CECC1F-32B6-A872-3457-FB4CC7BDFC14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119</xdr:col>
      <xdr:colOff>43870</xdr:colOff>
      <xdr:row>49</xdr:row>
      <xdr:rowOff>132406</xdr:rowOff>
    </xdr:from>
    <xdr:to>
      <xdr:col>136</xdr:col>
      <xdr:colOff>86236</xdr:colOff>
      <xdr:row>50</xdr:row>
      <xdr:rowOff>142530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92558B48-1E2D-498C-B32E-13DBDCD387E7}"/>
            </a:ext>
          </a:extLst>
        </xdr:cNvPr>
        <xdr:cNvGrpSpPr/>
      </xdr:nvGrpSpPr>
      <xdr:grpSpPr>
        <a:xfrm>
          <a:off x="16363370" y="10867081"/>
          <a:ext cx="2141041" cy="232374"/>
          <a:chOff x="15897170" y="8499892"/>
          <a:chExt cx="2098883" cy="225136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F32C25F1-30A4-A409-2A81-9BD69A619150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69" name="직선 연결선 68">
            <a:extLst>
              <a:ext uri="{FF2B5EF4-FFF2-40B4-BE49-F238E27FC236}">
                <a16:creationId xmlns:a16="http://schemas.microsoft.com/office/drawing/2014/main" id="{B5DEA114-4092-709C-33E1-1C0FE9B325BC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114</xdr:col>
      <xdr:colOff>104318</xdr:colOff>
      <xdr:row>46</xdr:row>
      <xdr:rowOff>140020</xdr:rowOff>
    </xdr:from>
    <xdr:to>
      <xdr:col>121</xdr:col>
      <xdr:colOff>17531</xdr:colOff>
      <xdr:row>46</xdr:row>
      <xdr:rowOff>140020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D635C3CE-4CE1-4F84-B70F-20BBF02EB9CE}"/>
            </a:ext>
          </a:extLst>
        </xdr:cNvPr>
        <xdr:cNvCxnSpPr/>
      </xdr:nvCxnSpPr>
      <xdr:spPr>
        <a:xfrm>
          <a:off x="15445918" y="10071420"/>
          <a:ext cx="7577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83363</xdr:colOff>
      <xdr:row>47</xdr:row>
      <xdr:rowOff>202885</xdr:rowOff>
    </xdr:from>
    <xdr:to>
      <xdr:col>122</xdr:col>
      <xdr:colOff>116591</xdr:colOff>
      <xdr:row>47</xdr:row>
      <xdr:rowOff>202885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96E181AC-BB9C-48AA-87CD-B93116EF924A}"/>
            </a:ext>
          </a:extLst>
        </xdr:cNvPr>
        <xdr:cNvCxnSpPr/>
      </xdr:nvCxnSpPr>
      <xdr:spPr>
        <a:xfrm>
          <a:off x="15666263" y="10350185"/>
          <a:ext cx="75712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26213</xdr:colOff>
      <xdr:row>49</xdr:row>
      <xdr:rowOff>27625</xdr:rowOff>
    </xdr:from>
    <xdr:to>
      <xdr:col>124</xdr:col>
      <xdr:colOff>63251</xdr:colOff>
      <xdr:row>49</xdr:row>
      <xdr:rowOff>27625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D8A379B2-9CB1-4FCE-A763-CB1B236DAC21}"/>
            </a:ext>
          </a:extLst>
        </xdr:cNvPr>
        <xdr:cNvCxnSpPr/>
      </xdr:nvCxnSpPr>
      <xdr:spPr>
        <a:xfrm>
          <a:off x="15850413" y="10606725"/>
          <a:ext cx="76093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122078</xdr:colOff>
      <xdr:row>45</xdr:row>
      <xdr:rowOff>162890</xdr:rowOff>
    </xdr:from>
    <xdr:to>
      <xdr:col>120</xdr:col>
      <xdr:colOff>41006</xdr:colOff>
      <xdr:row>45</xdr:row>
      <xdr:rowOff>162890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662700BB-6352-4142-95CB-4A38BE11D170}"/>
            </a:ext>
          </a:extLst>
        </xdr:cNvPr>
        <xdr:cNvCxnSpPr/>
      </xdr:nvCxnSpPr>
      <xdr:spPr>
        <a:xfrm>
          <a:off x="15343028" y="9878390"/>
          <a:ext cx="763478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45818</xdr:colOff>
      <xdr:row>56</xdr:row>
      <xdr:rowOff>190468</xdr:rowOff>
    </xdr:from>
    <xdr:to>
      <xdr:col>138</xdr:col>
      <xdr:colOff>41820</xdr:colOff>
      <xdr:row>57</xdr:row>
      <xdr:rowOff>159097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D9805B55-E474-4E76-9623-61F1C0B78097}"/>
            </a:ext>
          </a:extLst>
        </xdr:cNvPr>
        <xdr:cNvSpPr txBox="1"/>
      </xdr:nvSpPr>
      <xdr:spPr>
        <a:xfrm>
          <a:off x="17559118" y="12280868"/>
          <a:ext cx="719902" cy="1845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133</xdr:col>
      <xdr:colOff>45079</xdr:colOff>
      <xdr:row>58</xdr:row>
      <xdr:rowOff>107361</xdr:rowOff>
    </xdr:from>
    <xdr:to>
      <xdr:col>139</xdr:col>
      <xdr:colOff>72907</xdr:colOff>
      <xdr:row>59</xdr:row>
      <xdr:rowOff>92397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E9D81A46-89C0-4B1A-A347-1A0EC1CBEF93}"/>
            </a:ext>
          </a:extLst>
        </xdr:cNvPr>
        <xdr:cNvSpPr txBox="1"/>
      </xdr:nvSpPr>
      <xdr:spPr>
        <a:xfrm>
          <a:off x="17679029" y="12629561"/>
          <a:ext cx="75172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110</xdr:col>
      <xdr:colOff>55245</xdr:colOff>
      <xdr:row>55</xdr:row>
      <xdr:rowOff>192405</xdr:rowOff>
    </xdr:from>
    <xdr:to>
      <xdr:col>131</xdr:col>
      <xdr:colOff>106996</xdr:colOff>
      <xdr:row>64</xdr:row>
      <xdr:rowOff>145853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46C727BC-1920-4236-AEF6-91CE4895A105}"/>
            </a:ext>
          </a:extLst>
        </xdr:cNvPr>
        <xdr:cNvGrpSpPr/>
      </xdr:nvGrpSpPr>
      <xdr:grpSpPr>
        <a:xfrm>
          <a:off x="15257145" y="12241530"/>
          <a:ext cx="2648901" cy="1921948"/>
          <a:chOff x="15111977" y="7791994"/>
          <a:chExt cx="2582717" cy="1873861"/>
        </a:xfrm>
      </xdr:grpSpPr>
      <xdr:cxnSp macro="">
        <xdr:nvCxnSpPr>
          <xdr:cNvPr id="77" name="직선 연결선 76">
            <a:extLst>
              <a:ext uri="{FF2B5EF4-FFF2-40B4-BE49-F238E27FC236}">
                <a16:creationId xmlns:a16="http://schemas.microsoft.com/office/drawing/2014/main" id="{0FF21083-29B6-A6A5-FE32-0AE08F059D94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직선 연결선 77">
            <a:extLst>
              <a:ext uri="{FF2B5EF4-FFF2-40B4-BE49-F238E27FC236}">
                <a16:creationId xmlns:a16="http://schemas.microsoft.com/office/drawing/2014/main" id="{3968CA38-9A2B-E1B3-B8D1-55E4DCF55777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직선 연결선 78">
            <a:extLst>
              <a:ext uri="{FF2B5EF4-FFF2-40B4-BE49-F238E27FC236}">
                <a16:creationId xmlns:a16="http://schemas.microsoft.com/office/drawing/2014/main" id="{1B4C3DAC-FCE8-3073-A8E8-F57EFE0B06AC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E9B94A1D-BD9D-94F0-0975-7A5D62D818E3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A93B5287-C2D9-F598-9624-911907AFCF2A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117</xdr:col>
      <xdr:colOff>49585</xdr:colOff>
      <xdr:row>59</xdr:row>
      <xdr:rowOff>98116</xdr:rowOff>
    </xdr:from>
    <xdr:to>
      <xdr:col>134</xdr:col>
      <xdr:colOff>84331</xdr:colOff>
      <xdr:row>60</xdr:row>
      <xdr:rowOff>106335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17411D58-EAAD-4466-ADDA-5CEFD47BAA53}"/>
            </a:ext>
          </a:extLst>
        </xdr:cNvPr>
        <xdr:cNvGrpSpPr/>
      </xdr:nvGrpSpPr>
      <xdr:grpSpPr>
        <a:xfrm>
          <a:off x="16115085" y="13023541"/>
          <a:ext cx="2146121" cy="224119"/>
          <a:chOff x="15897170" y="8499892"/>
          <a:chExt cx="2098883" cy="225136"/>
        </a:xfrm>
      </xdr:grpSpPr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E310C37C-A916-D3A4-BFB5-3696947B2498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84" name="직선 연결선 83">
            <a:extLst>
              <a:ext uri="{FF2B5EF4-FFF2-40B4-BE49-F238E27FC236}">
                <a16:creationId xmlns:a16="http://schemas.microsoft.com/office/drawing/2014/main" id="{5D7262BD-1B27-E022-A887-728FCBEBF827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129</xdr:col>
      <xdr:colOff>18593</xdr:colOff>
      <xdr:row>57</xdr:row>
      <xdr:rowOff>88585</xdr:rowOff>
    </xdr:from>
    <xdr:to>
      <xdr:col>135</xdr:col>
      <xdr:colOff>65156</xdr:colOff>
      <xdr:row>57</xdr:row>
      <xdr:rowOff>88585</xdr:rowOff>
    </xdr:to>
    <xdr:cxnSp macro="">
      <xdr:nvCxnSpPr>
        <xdr:cNvPr id="85" name="직선 연결선 84">
          <a:extLst>
            <a:ext uri="{FF2B5EF4-FFF2-40B4-BE49-F238E27FC236}">
              <a16:creationId xmlns:a16="http://schemas.microsoft.com/office/drawing/2014/main" id="{773EAAB1-AA77-4A72-BCE7-E5DF77FF3B8A}"/>
            </a:ext>
          </a:extLst>
        </xdr:cNvPr>
        <xdr:cNvCxnSpPr/>
      </xdr:nvCxnSpPr>
      <xdr:spPr>
        <a:xfrm>
          <a:off x="17169943" y="12394885"/>
          <a:ext cx="7704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60503</xdr:colOff>
      <xdr:row>58</xdr:row>
      <xdr:rowOff>46675</xdr:rowOff>
    </xdr:from>
    <xdr:to>
      <xdr:col>121</xdr:col>
      <xdr:colOff>82301</xdr:colOff>
      <xdr:row>58</xdr:row>
      <xdr:rowOff>46675</xdr:rowOff>
    </xdr:to>
    <xdr:cxnSp macro="">
      <xdr:nvCxnSpPr>
        <xdr:cNvPr id="86" name="직선 연결선 85">
          <a:extLst>
            <a:ext uri="{FF2B5EF4-FFF2-40B4-BE49-F238E27FC236}">
              <a16:creationId xmlns:a16="http://schemas.microsoft.com/office/drawing/2014/main" id="{723361E9-F6CC-4291-ABE0-F9B1F3348BF0}"/>
            </a:ext>
          </a:extLst>
        </xdr:cNvPr>
        <xdr:cNvCxnSpPr/>
      </xdr:nvCxnSpPr>
      <xdr:spPr>
        <a:xfrm>
          <a:off x="15522753" y="12568875"/>
          <a:ext cx="74569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87173</xdr:colOff>
      <xdr:row>59</xdr:row>
      <xdr:rowOff>27625</xdr:rowOff>
    </xdr:from>
    <xdr:to>
      <xdr:col>122</xdr:col>
      <xdr:colOff>122306</xdr:colOff>
      <xdr:row>59</xdr:row>
      <xdr:rowOff>27625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8B9A0CFE-3ABF-4BF8-9722-BED9A8041AA9}"/>
            </a:ext>
          </a:extLst>
        </xdr:cNvPr>
        <xdr:cNvCxnSpPr/>
      </xdr:nvCxnSpPr>
      <xdr:spPr>
        <a:xfrm>
          <a:off x="15670073" y="12765725"/>
          <a:ext cx="75903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57308</xdr:colOff>
      <xdr:row>57</xdr:row>
      <xdr:rowOff>122885</xdr:rowOff>
    </xdr:from>
    <xdr:to>
      <xdr:col>120</xdr:col>
      <xdr:colOff>96251</xdr:colOff>
      <xdr:row>57</xdr:row>
      <xdr:rowOff>122885</xdr:rowOff>
    </xdr:to>
    <xdr:cxnSp macro="">
      <xdr:nvCxnSpPr>
        <xdr:cNvPr id="88" name="직선 연결선 87">
          <a:extLst>
            <a:ext uri="{FF2B5EF4-FFF2-40B4-BE49-F238E27FC236}">
              <a16:creationId xmlns:a16="http://schemas.microsoft.com/office/drawing/2014/main" id="{81F9FABA-426B-4B10-9DD5-E20FF07277E4}"/>
            </a:ext>
          </a:extLst>
        </xdr:cNvPr>
        <xdr:cNvCxnSpPr/>
      </xdr:nvCxnSpPr>
      <xdr:spPr>
        <a:xfrm>
          <a:off x="15398908" y="12429185"/>
          <a:ext cx="762843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26029</xdr:colOff>
      <xdr:row>48</xdr:row>
      <xdr:rowOff>158796</xdr:rowOff>
    </xdr:from>
    <xdr:to>
      <xdr:col>130</xdr:col>
      <xdr:colOff>50047</xdr:colOff>
      <xdr:row>49</xdr:row>
      <xdr:rowOff>143832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67DFEF1-9F28-40CD-B08E-3AA98406FC00}"/>
            </a:ext>
          </a:extLst>
        </xdr:cNvPr>
        <xdr:cNvSpPr txBox="1"/>
      </xdr:nvSpPr>
      <xdr:spPr>
        <a:xfrm>
          <a:off x="16574129" y="10521996"/>
          <a:ext cx="74791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SOA_P1</a:t>
          </a:r>
        </a:p>
      </xdr:txBody>
    </xdr:sp>
    <xdr:clientData/>
  </xdr:twoCellAnchor>
  <xdr:twoCellAnchor>
    <xdr:from>
      <xdr:col>60</xdr:col>
      <xdr:colOff>31750</xdr:colOff>
      <xdr:row>24</xdr:row>
      <xdr:rowOff>127000</xdr:rowOff>
    </xdr:from>
    <xdr:to>
      <xdr:col>75</xdr:col>
      <xdr:colOff>12700</xdr:colOff>
      <xdr:row>25</xdr:row>
      <xdr:rowOff>107950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C9995922-622A-41F1-B10C-0E59D4A92075}"/>
            </a:ext>
          </a:extLst>
        </xdr:cNvPr>
        <xdr:cNvSpPr/>
      </xdr:nvSpPr>
      <xdr:spPr>
        <a:xfrm>
          <a:off x="8858250" y="5308600"/>
          <a:ext cx="1790700" cy="196850"/>
        </a:xfrm>
        <a:prstGeom prst="rect">
          <a:avLst/>
        </a:prstGeom>
        <a:solidFill>
          <a:srgbClr val="FFFF00">
            <a:alpha val="9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107951</xdr:colOff>
      <xdr:row>26</xdr:row>
      <xdr:rowOff>127001</xdr:rowOff>
    </xdr:from>
    <xdr:to>
      <xdr:col>32</xdr:col>
      <xdr:colOff>122516</xdr:colOff>
      <xdr:row>30</xdr:row>
      <xdr:rowOff>190501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B0E74ED-4974-9E24-AAA1-D30FC331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35501" y="5740401"/>
          <a:ext cx="3938865" cy="1790700"/>
        </a:xfrm>
        <a:prstGeom prst="rect">
          <a:avLst/>
        </a:prstGeom>
      </xdr:spPr>
    </xdr:pic>
    <xdr:clientData/>
  </xdr:twoCellAnchor>
  <xdr:twoCellAnchor editAs="oneCell">
    <xdr:from>
      <xdr:col>32</xdr:col>
      <xdr:colOff>279401</xdr:colOff>
      <xdr:row>15</xdr:row>
      <xdr:rowOff>209551</xdr:rowOff>
    </xdr:from>
    <xdr:to>
      <xdr:col>34</xdr:col>
      <xdr:colOff>250799</xdr:colOff>
      <xdr:row>30</xdr:row>
      <xdr:rowOff>177801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51DEA5-9CC7-A88B-7249-F576A1912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31251" y="3448051"/>
          <a:ext cx="1279498" cy="4070350"/>
        </a:xfrm>
        <a:prstGeom prst="rect">
          <a:avLst/>
        </a:prstGeom>
      </xdr:spPr>
    </xdr:pic>
    <xdr:clientData/>
  </xdr:twoCellAnchor>
  <xdr:twoCellAnchor editAs="oneCell">
    <xdr:from>
      <xdr:col>26</xdr:col>
      <xdr:colOff>114300</xdr:colOff>
      <xdr:row>22</xdr:row>
      <xdr:rowOff>12700</xdr:rowOff>
    </xdr:from>
    <xdr:to>
      <xdr:col>31</xdr:col>
      <xdr:colOff>374831</xdr:colOff>
      <xdr:row>26</xdr:row>
      <xdr:rowOff>107999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3488AE9-6EB8-A69B-4898-043F223B4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041850" y="4762500"/>
          <a:ext cx="3530781" cy="95889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21167</xdr:colOff>
      <xdr:row>9</xdr:row>
      <xdr:rowOff>181328</xdr:rowOff>
    </xdr:from>
    <xdr:ext cx="875753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FDDD7B-2394-46F2-80E9-B3CD1081AA5D}"/>
            </a:ext>
          </a:extLst>
        </xdr:cNvPr>
        <xdr:cNvSpPr txBox="1"/>
      </xdr:nvSpPr>
      <xdr:spPr>
        <a:xfrm>
          <a:off x="2618317" y="1895828"/>
          <a:ext cx="87575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DELAY_CH1 = 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31</xdr:col>
      <xdr:colOff>8902</xdr:colOff>
      <xdr:row>8</xdr:row>
      <xdr:rowOff>14658</xdr:rowOff>
    </xdr:from>
    <xdr:ext cx="1198983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150136-E6C3-4179-85C4-A1F4C1C51703}"/>
            </a:ext>
          </a:extLst>
        </xdr:cNvPr>
        <xdr:cNvSpPr txBox="1"/>
      </xdr:nvSpPr>
      <xdr:spPr>
        <a:xfrm>
          <a:off x="4053852" y="1538658"/>
          <a:ext cx="119898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#1 MAX_CURR_VREF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83</xdr:col>
      <xdr:colOff>85224</xdr:colOff>
      <xdr:row>8</xdr:row>
      <xdr:rowOff>8065</xdr:rowOff>
    </xdr:from>
    <xdr:ext cx="1198983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3ECF87-E69B-4CAE-8D0D-DF8312CAA10B}"/>
            </a:ext>
          </a:extLst>
        </xdr:cNvPr>
        <xdr:cNvSpPr txBox="1"/>
      </xdr:nvSpPr>
      <xdr:spPr>
        <a:xfrm>
          <a:off x="8086224" y="1532065"/>
          <a:ext cx="119898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#2 MAX_CURR_VREF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21</xdr:col>
      <xdr:colOff>3086</xdr:colOff>
      <xdr:row>11</xdr:row>
      <xdr:rowOff>14811</xdr:rowOff>
    </xdr:from>
    <xdr:ext cx="904735" cy="15651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151F535-1EB8-48A7-B347-A74BD7AC349F}"/>
            </a:ext>
          </a:extLst>
        </xdr:cNvPr>
        <xdr:cNvSpPr txBox="1"/>
      </xdr:nvSpPr>
      <xdr:spPr>
        <a:xfrm>
          <a:off x="3286036" y="2110311"/>
          <a:ext cx="90473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#1 CH1_LD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40</xdr:col>
      <xdr:colOff>2338</xdr:colOff>
      <xdr:row>11</xdr:row>
      <xdr:rowOff>90631</xdr:rowOff>
    </xdr:from>
    <xdr:to>
      <xdr:col>63</xdr:col>
      <xdr:colOff>71283</xdr:colOff>
      <xdr:row>11</xdr:row>
      <xdr:rowOff>90631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6E73CFED-893A-4D18-A003-D4C2A1F99F5A}"/>
            </a:ext>
          </a:extLst>
        </xdr:cNvPr>
        <xdr:cNvCxnSpPr/>
      </xdr:nvCxnSpPr>
      <xdr:spPr>
        <a:xfrm>
          <a:off x="4733088" y="2186131"/>
          <a:ext cx="182154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64950</xdr:colOff>
      <xdr:row>12</xdr:row>
      <xdr:rowOff>69146</xdr:rowOff>
    </xdr:from>
    <xdr:ext cx="8653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D1E7216-B0DD-4C51-A793-25E8AB3A3EAF}"/>
            </a:ext>
          </a:extLst>
        </xdr:cNvPr>
        <xdr:cNvSpPr txBox="1"/>
      </xdr:nvSpPr>
      <xdr:spPr>
        <a:xfrm>
          <a:off x="2738300" y="2355146"/>
          <a:ext cx="86536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DELAY_CHx = 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70</xdr:col>
      <xdr:colOff>72071</xdr:colOff>
      <xdr:row>11</xdr:row>
      <xdr:rowOff>8689</xdr:rowOff>
    </xdr:from>
    <xdr:ext cx="932499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9BAD4F-624F-45B0-90BF-4356012B9474}"/>
            </a:ext>
          </a:extLst>
        </xdr:cNvPr>
        <xdr:cNvSpPr txBox="1"/>
      </xdr:nvSpPr>
      <xdr:spPr>
        <a:xfrm>
          <a:off x="7088821" y="2104189"/>
          <a:ext cx="93249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#2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CH1_</a:t>
          </a:r>
          <a:r>
            <a:rPr lang="en-US" altLang="ko-KR" sz="1000" baseline="0">
              <a:solidFill>
                <a:sysClr val="windowText" lastClr="000000"/>
              </a:solidFill>
            </a:rPr>
            <a:t>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28</xdr:col>
      <xdr:colOff>85058</xdr:colOff>
      <xdr:row>14</xdr:row>
      <xdr:rowOff>22604</xdr:rowOff>
    </xdr:from>
    <xdr:ext cx="895245" cy="15651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768A7BA-927B-40F1-BFB2-5DB38435CF09}"/>
            </a:ext>
          </a:extLst>
        </xdr:cNvPr>
        <xdr:cNvSpPr txBox="1"/>
      </xdr:nvSpPr>
      <xdr:spPr>
        <a:xfrm>
          <a:off x="3895058" y="2689604"/>
          <a:ext cx="89524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#1 CHx_LD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56</xdr:col>
      <xdr:colOff>57637</xdr:colOff>
      <xdr:row>5</xdr:row>
      <xdr:rowOff>187963</xdr:rowOff>
    </xdr:from>
    <xdr:to>
      <xdr:col>57</xdr:col>
      <xdr:colOff>8762</xdr:colOff>
      <xdr:row>7</xdr:row>
      <xdr:rowOff>19788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C940860E-0655-4BE1-BA88-96BDE52899B9}"/>
            </a:ext>
          </a:extLst>
        </xdr:cNvPr>
        <xdr:cNvGrpSpPr/>
      </xdr:nvGrpSpPr>
      <xdr:grpSpPr>
        <a:xfrm>
          <a:off x="6010762" y="1140463"/>
          <a:ext cx="30500" cy="212825"/>
          <a:chOff x="8889969" y="717550"/>
          <a:chExt cx="95415" cy="260350"/>
        </a:xfrm>
      </xdr:grpSpPr>
      <xdr:sp macro="" textlink="">
        <xdr:nvSpPr>
          <xdr:cNvPr id="11" name="자유형: 도형 10">
            <a:extLst>
              <a:ext uri="{FF2B5EF4-FFF2-40B4-BE49-F238E27FC236}">
                <a16:creationId xmlns:a16="http://schemas.microsoft.com/office/drawing/2014/main" id="{2BF990E7-C127-F0A6-5F4F-169F6B31370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자유형: 도형 11">
            <a:extLst>
              <a:ext uri="{FF2B5EF4-FFF2-40B4-BE49-F238E27FC236}">
                <a16:creationId xmlns:a16="http://schemas.microsoft.com/office/drawing/2014/main" id="{17611204-422B-652C-952F-8CD7DFDF1DF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78</xdr:col>
      <xdr:colOff>68896</xdr:colOff>
      <xdr:row>14</xdr:row>
      <xdr:rowOff>29243</xdr:rowOff>
    </xdr:from>
    <xdr:ext cx="895245" cy="15651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26B38B1-EB02-48C4-A5DA-CF5000833634}"/>
            </a:ext>
          </a:extLst>
        </xdr:cNvPr>
        <xdr:cNvSpPr txBox="1"/>
      </xdr:nvSpPr>
      <xdr:spPr>
        <a:xfrm>
          <a:off x="7695246" y="2696243"/>
          <a:ext cx="89524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#2 CHx_LD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67</xdr:col>
      <xdr:colOff>66423</xdr:colOff>
      <xdr:row>12</xdr:row>
      <xdr:rowOff>114300</xdr:rowOff>
    </xdr:from>
    <xdr:ext cx="8653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4A599BA-9A5F-4ED9-8C72-773B0CA1AAB8}"/>
            </a:ext>
          </a:extLst>
        </xdr:cNvPr>
        <xdr:cNvSpPr txBox="1"/>
      </xdr:nvSpPr>
      <xdr:spPr>
        <a:xfrm>
          <a:off x="6854573" y="2400300"/>
          <a:ext cx="86536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DELAY_CHx = 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12</xdr:col>
      <xdr:colOff>605</xdr:colOff>
      <xdr:row>5</xdr:row>
      <xdr:rowOff>1028</xdr:rowOff>
    </xdr:from>
    <xdr:to>
      <xdr:col>64</xdr:col>
      <xdr:colOff>5067</xdr:colOff>
      <xdr:row>5</xdr:row>
      <xdr:rowOff>1030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D550734-A53E-404F-ABBC-5018C2D5B929}"/>
            </a:ext>
          </a:extLst>
        </xdr:cNvPr>
        <xdr:cNvCxnSpPr/>
      </xdr:nvCxnSpPr>
      <xdr:spPr>
        <a:xfrm>
          <a:off x="2597755" y="953528"/>
          <a:ext cx="3966862" cy="2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75044</xdr:colOff>
      <xdr:row>4</xdr:row>
      <xdr:rowOff>100738</xdr:rowOff>
    </xdr:from>
    <xdr:ext cx="643318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2807582-8704-46D8-BA89-07C822442BCA}"/>
            </a:ext>
          </a:extLst>
        </xdr:cNvPr>
        <xdr:cNvSpPr txBox="1"/>
      </xdr:nvSpPr>
      <xdr:spPr>
        <a:xfrm>
          <a:off x="4272394" y="862738"/>
          <a:ext cx="64331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SF_SIZE = n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64</xdr:col>
      <xdr:colOff>14821</xdr:colOff>
      <xdr:row>9</xdr:row>
      <xdr:rowOff>171450</xdr:rowOff>
    </xdr:from>
    <xdr:ext cx="875753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F92DEF8-27C5-4CC0-A3C9-174CE5C28256}"/>
            </a:ext>
          </a:extLst>
        </xdr:cNvPr>
        <xdr:cNvSpPr txBox="1"/>
      </xdr:nvSpPr>
      <xdr:spPr>
        <a:xfrm>
          <a:off x="6574371" y="1885950"/>
          <a:ext cx="87575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DELAY_CH1 = 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134</xdr:col>
      <xdr:colOff>82049</xdr:colOff>
      <xdr:row>8</xdr:row>
      <xdr:rowOff>20765</xdr:rowOff>
    </xdr:from>
    <xdr:ext cx="1198983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707ACED-C17F-4969-9262-FC5D9B6051FD}"/>
            </a:ext>
          </a:extLst>
        </xdr:cNvPr>
        <xdr:cNvSpPr txBox="1"/>
      </xdr:nvSpPr>
      <xdr:spPr>
        <a:xfrm>
          <a:off x="11969249" y="1544765"/>
          <a:ext cx="119898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#3 MAX_CURR_VREF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125</xdr:col>
      <xdr:colOff>59371</xdr:colOff>
      <xdr:row>11</xdr:row>
      <xdr:rowOff>8689</xdr:rowOff>
    </xdr:from>
    <xdr:ext cx="932499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C29EBF9-1370-4511-8682-8E13F3112D9F}"/>
            </a:ext>
          </a:extLst>
        </xdr:cNvPr>
        <xdr:cNvSpPr txBox="1"/>
      </xdr:nvSpPr>
      <xdr:spPr>
        <a:xfrm>
          <a:off x="11267121" y="2104189"/>
          <a:ext cx="93249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#3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CH1_</a:t>
          </a:r>
          <a:r>
            <a:rPr lang="en-US" altLang="ko-KR" sz="1000" baseline="0">
              <a:solidFill>
                <a:sysClr val="windowText" lastClr="000000"/>
              </a:solidFill>
            </a:rPr>
            <a:t>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108</xdr:col>
      <xdr:colOff>73512</xdr:colOff>
      <xdr:row>5</xdr:row>
      <xdr:rowOff>178438</xdr:rowOff>
    </xdr:from>
    <xdr:to>
      <xdr:col>109</xdr:col>
      <xdr:colOff>30987</xdr:colOff>
      <xdr:row>7</xdr:row>
      <xdr:rowOff>16613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E3AE0C1A-E428-4A36-B890-0FB1A3694DE2}"/>
            </a:ext>
          </a:extLst>
        </xdr:cNvPr>
        <xdr:cNvGrpSpPr/>
      </xdr:nvGrpSpPr>
      <xdr:grpSpPr>
        <a:xfrm>
          <a:off x="9989037" y="1134113"/>
          <a:ext cx="30500" cy="216000"/>
          <a:chOff x="8889969" y="717550"/>
          <a:chExt cx="95415" cy="260350"/>
        </a:xfrm>
      </xdr:grpSpPr>
      <xdr:sp macro="" textlink="">
        <xdr:nvSpPr>
          <xdr:cNvPr id="21" name="자유형: 도형 20">
            <a:extLst>
              <a:ext uri="{FF2B5EF4-FFF2-40B4-BE49-F238E27FC236}">
                <a16:creationId xmlns:a16="http://schemas.microsoft.com/office/drawing/2014/main" id="{DCB7601F-586E-A3BB-3202-3EBF134BE86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자유형: 도형 21">
            <a:extLst>
              <a:ext uri="{FF2B5EF4-FFF2-40B4-BE49-F238E27FC236}">
                <a16:creationId xmlns:a16="http://schemas.microsoft.com/office/drawing/2014/main" id="{122AB5CA-9925-DDB7-CFA1-88AB74D585F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47</xdr:col>
      <xdr:colOff>52916</xdr:colOff>
      <xdr:row>10</xdr:row>
      <xdr:rowOff>170905</xdr:rowOff>
    </xdr:from>
    <xdr:ext cx="699872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B4EFFDD-C0ED-43DE-B821-12507CFF8129}"/>
            </a:ext>
          </a:extLst>
        </xdr:cNvPr>
        <xdr:cNvSpPr txBox="1"/>
      </xdr:nvSpPr>
      <xdr:spPr>
        <a:xfrm>
          <a:off x="5317066" y="2075905"/>
          <a:ext cx="69987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n-7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</xdr:col>
      <xdr:colOff>18571</xdr:colOff>
      <xdr:row>44</xdr:row>
      <xdr:rowOff>163978</xdr:rowOff>
    </xdr:from>
    <xdr:ext cx="875753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FB31A61-2A97-40AE-B6DA-FA2BC1C71429}"/>
            </a:ext>
          </a:extLst>
        </xdr:cNvPr>
        <xdr:cNvSpPr txBox="1"/>
      </xdr:nvSpPr>
      <xdr:spPr>
        <a:xfrm>
          <a:off x="2615721" y="8545978"/>
          <a:ext cx="87575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DELAY_CH1 = 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50</xdr:col>
      <xdr:colOff>57585</xdr:colOff>
      <xdr:row>43</xdr:row>
      <xdr:rowOff>9014</xdr:rowOff>
    </xdr:from>
    <xdr:ext cx="1198983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56E416D-5275-4FED-9FF6-D292D09CF583}"/>
            </a:ext>
          </a:extLst>
        </xdr:cNvPr>
        <xdr:cNvSpPr txBox="1"/>
      </xdr:nvSpPr>
      <xdr:spPr>
        <a:xfrm>
          <a:off x="5550335" y="8200514"/>
          <a:ext cx="119898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#1 MAX_CURR_VREF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134</xdr:col>
      <xdr:colOff>5849</xdr:colOff>
      <xdr:row>43</xdr:row>
      <xdr:rowOff>11240</xdr:rowOff>
    </xdr:from>
    <xdr:ext cx="1198983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0D3E079-5A6A-44DA-8961-8ED6D1C483FA}"/>
            </a:ext>
          </a:extLst>
        </xdr:cNvPr>
        <xdr:cNvSpPr txBox="1"/>
      </xdr:nvSpPr>
      <xdr:spPr>
        <a:xfrm>
          <a:off x="11899399" y="8202740"/>
          <a:ext cx="119898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#2 MAX_CURR_VREF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16</xdr:col>
      <xdr:colOff>76111</xdr:colOff>
      <xdr:row>46</xdr:row>
      <xdr:rowOff>11636</xdr:rowOff>
    </xdr:from>
    <xdr:ext cx="904735" cy="156518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4088219-CEA6-4AEB-962D-B4BCA06C2EB4}"/>
            </a:ext>
          </a:extLst>
        </xdr:cNvPr>
        <xdr:cNvSpPr txBox="1"/>
      </xdr:nvSpPr>
      <xdr:spPr>
        <a:xfrm>
          <a:off x="2978061" y="8774636"/>
          <a:ext cx="90473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#1 CH1_LD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12</xdr:col>
      <xdr:colOff>1288</xdr:colOff>
      <xdr:row>38</xdr:row>
      <xdr:rowOff>45024</xdr:rowOff>
    </xdr:from>
    <xdr:to>
      <xdr:col>36</xdr:col>
      <xdr:colOff>88</xdr:colOff>
      <xdr:row>38</xdr:row>
      <xdr:rowOff>45024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4AE36D65-F762-45F1-B5ED-0D26AA95B41C}"/>
            </a:ext>
          </a:extLst>
        </xdr:cNvPr>
        <xdr:cNvCxnSpPr/>
      </xdr:nvCxnSpPr>
      <xdr:spPr>
        <a:xfrm>
          <a:off x="2598438" y="7284024"/>
          <a:ext cx="18276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24411</xdr:colOff>
      <xdr:row>47</xdr:row>
      <xdr:rowOff>159387</xdr:rowOff>
    </xdr:from>
    <xdr:ext cx="8653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29E7FA8-9639-4B7A-B339-4D976DAD5FE5}"/>
            </a:ext>
          </a:extLst>
        </xdr:cNvPr>
        <xdr:cNvSpPr txBox="1"/>
      </xdr:nvSpPr>
      <xdr:spPr>
        <a:xfrm>
          <a:off x="2850161" y="9112887"/>
          <a:ext cx="86536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DELAY_CHx = 3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120</xdr:col>
      <xdr:colOff>5395</xdr:colOff>
      <xdr:row>46</xdr:row>
      <xdr:rowOff>15965</xdr:rowOff>
    </xdr:from>
    <xdr:ext cx="904735" cy="156518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EA4A0DC-3324-495C-8C4E-69F29014F725}"/>
            </a:ext>
          </a:extLst>
        </xdr:cNvPr>
        <xdr:cNvSpPr txBox="1"/>
      </xdr:nvSpPr>
      <xdr:spPr>
        <a:xfrm>
          <a:off x="10832145" y="8778965"/>
          <a:ext cx="90473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#2 CH1_LD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74916</xdr:colOff>
      <xdr:row>39</xdr:row>
      <xdr:rowOff>151246</xdr:rowOff>
    </xdr:from>
    <xdr:to>
      <xdr:col>117</xdr:col>
      <xdr:colOff>6966</xdr:colOff>
      <xdr:row>39</xdr:row>
      <xdr:rowOff>151246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28A4E1A2-3CCA-461B-AD70-FFC0EEA93C92}"/>
            </a:ext>
          </a:extLst>
        </xdr:cNvPr>
        <xdr:cNvCxnSpPr/>
      </xdr:nvCxnSpPr>
      <xdr:spPr>
        <a:xfrm flipV="1">
          <a:off x="2595866" y="7580746"/>
          <a:ext cx="800925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117</xdr:col>
      <xdr:colOff>20239</xdr:colOff>
      <xdr:row>44</xdr:row>
      <xdr:rowOff>170360</xdr:rowOff>
    </xdr:from>
    <xdr:ext cx="875753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9F7E67A-7FF3-4C42-B2E1-68403DDE2DAE}"/>
            </a:ext>
          </a:extLst>
        </xdr:cNvPr>
        <xdr:cNvSpPr txBox="1"/>
      </xdr:nvSpPr>
      <xdr:spPr>
        <a:xfrm>
          <a:off x="10618389" y="8552360"/>
          <a:ext cx="87575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DELAY_CH1 = 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</xdr:col>
      <xdr:colOff>16219</xdr:colOff>
      <xdr:row>41</xdr:row>
      <xdr:rowOff>28003</xdr:rowOff>
    </xdr:from>
    <xdr:ext cx="58478" cy="140872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2957AF0-4BD1-4EF1-ACFB-5D24440D93A2}"/>
            </a:ext>
          </a:extLst>
        </xdr:cNvPr>
        <xdr:cNvSpPr txBox="1"/>
      </xdr:nvSpPr>
      <xdr:spPr>
        <a:xfrm>
          <a:off x="2613369" y="78385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1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15</xdr:col>
      <xdr:colOff>16219</xdr:colOff>
      <xdr:row>41</xdr:row>
      <xdr:rowOff>28003</xdr:rowOff>
    </xdr:from>
    <xdr:ext cx="58478" cy="140872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A47610C-13A4-4F40-8E3F-8C4513D049B0}"/>
            </a:ext>
          </a:extLst>
        </xdr:cNvPr>
        <xdr:cNvSpPr txBox="1"/>
      </xdr:nvSpPr>
      <xdr:spPr>
        <a:xfrm>
          <a:off x="2841969" y="78385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2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18</xdr:col>
      <xdr:colOff>16219</xdr:colOff>
      <xdr:row>41</xdr:row>
      <xdr:rowOff>28003</xdr:rowOff>
    </xdr:from>
    <xdr:ext cx="58478" cy="140872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CB24D54-50BE-4DDA-8FF6-C35FE36650C1}"/>
            </a:ext>
          </a:extLst>
        </xdr:cNvPr>
        <xdr:cNvSpPr txBox="1"/>
      </xdr:nvSpPr>
      <xdr:spPr>
        <a:xfrm>
          <a:off x="3070569" y="78385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3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24</xdr:col>
      <xdr:colOff>16219</xdr:colOff>
      <xdr:row>41</xdr:row>
      <xdr:rowOff>34353</xdr:rowOff>
    </xdr:from>
    <xdr:ext cx="58478" cy="14087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EE75455-DEAF-4B43-956C-4F3C53285F34}"/>
            </a:ext>
          </a:extLst>
        </xdr:cNvPr>
        <xdr:cNvSpPr txBox="1"/>
      </xdr:nvSpPr>
      <xdr:spPr>
        <a:xfrm>
          <a:off x="3527769" y="784485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5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21</xdr:col>
      <xdr:colOff>16219</xdr:colOff>
      <xdr:row>41</xdr:row>
      <xdr:rowOff>28003</xdr:rowOff>
    </xdr:from>
    <xdr:ext cx="58478" cy="14087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9E79426-D93E-4C67-8C80-0897C49354ED}"/>
            </a:ext>
          </a:extLst>
        </xdr:cNvPr>
        <xdr:cNvSpPr txBox="1"/>
      </xdr:nvSpPr>
      <xdr:spPr>
        <a:xfrm>
          <a:off x="3299169" y="78385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4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27</xdr:col>
      <xdr:colOff>16219</xdr:colOff>
      <xdr:row>41</xdr:row>
      <xdr:rowOff>28003</xdr:rowOff>
    </xdr:from>
    <xdr:ext cx="58478" cy="14087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33D68B9-9727-42B6-AFF6-905906D72E17}"/>
            </a:ext>
          </a:extLst>
        </xdr:cNvPr>
        <xdr:cNvSpPr txBox="1"/>
      </xdr:nvSpPr>
      <xdr:spPr>
        <a:xfrm>
          <a:off x="3756369" y="78385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6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30</xdr:col>
      <xdr:colOff>16219</xdr:colOff>
      <xdr:row>41</xdr:row>
      <xdr:rowOff>28003</xdr:rowOff>
    </xdr:from>
    <xdr:ext cx="58478" cy="14087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7DE8749-AF30-4496-A876-A235E11F4AA9}"/>
            </a:ext>
          </a:extLst>
        </xdr:cNvPr>
        <xdr:cNvSpPr txBox="1"/>
      </xdr:nvSpPr>
      <xdr:spPr>
        <a:xfrm>
          <a:off x="3984969" y="78385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7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33</xdr:col>
      <xdr:colOff>16219</xdr:colOff>
      <xdr:row>41</xdr:row>
      <xdr:rowOff>28003</xdr:rowOff>
    </xdr:from>
    <xdr:ext cx="58478" cy="14087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E1A8E4D-31AD-43CC-B9EB-3BFCE7BB908B}"/>
            </a:ext>
          </a:extLst>
        </xdr:cNvPr>
        <xdr:cNvSpPr txBox="1"/>
      </xdr:nvSpPr>
      <xdr:spPr>
        <a:xfrm>
          <a:off x="4213569" y="78385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8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36</xdr:col>
      <xdr:colOff>16219</xdr:colOff>
      <xdr:row>41</xdr:row>
      <xdr:rowOff>34353</xdr:rowOff>
    </xdr:from>
    <xdr:ext cx="58478" cy="14087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A263C7D-3677-42CF-BEE9-6E95D48E07F3}"/>
            </a:ext>
          </a:extLst>
        </xdr:cNvPr>
        <xdr:cNvSpPr txBox="1"/>
      </xdr:nvSpPr>
      <xdr:spPr>
        <a:xfrm>
          <a:off x="4442169" y="784485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9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117</xdr:col>
      <xdr:colOff>16219</xdr:colOff>
      <xdr:row>41</xdr:row>
      <xdr:rowOff>15303</xdr:rowOff>
    </xdr:from>
    <xdr:ext cx="58478" cy="14087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2D01F64-A461-40A5-B8E6-5BEFEC36F0CB}"/>
            </a:ext>
          </a:extLst>
        </xdr:cNvPr>
        <xdr:cNvSpPr txBox="1"/>
      </xdr:nvSpPr>
      <xdr:spPr>
        <a:xfrm>
          <a:off x="10614369" y="78258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1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120</xdr:col>
      <xdr:colOff>16219</xdr:colOff>
      <xdr:row>41</xdr:row>
      <xdr:rowOff>15303</xdr:rowOff>
    </xdr:from>
    <xdr:ext cx="58478" cy="14087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50985FA-19F6-471B-BCF8-DBD5A1F05A0B}"/>
            </a:ext>
          </a:extLst>
        </xdr:cNvPr>
        <xdr:cNvSpPr txBox="1"/>
      </xdr:nvSpPr>
      <xdr:spPr>
        <a:xfrm>
          <a:off x="10842969" y="78258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2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123</xdr:col>
      <xdr:colOff>16219</xdr:colOff>
      <xdr:row>41</xdr:row>
      <xdr:rowOff>15303</xdr:rowOff>
    </xdr:from>
    <xdr:ext cx="58478" cy="14087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FE85C79-28A9-4E0C-BD33-69ABC501BF55}"/>
            </a:ext>
          </a:extLst>
        </xdr:cNvPr>
        <xdr:cNvSpPr txBox="1"/>
      </xdr:nvSpPr>
      <xdr:spPr>
        <a:xfrm>
          <a:off x="11071569" y="78258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3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129</xdr:col>
      <xdr:colOff>16219</xdr:colOff>
      <xdr:row>41</xdr:row>
      <xdr:rowOff>21653</xdr:rowOff>
    </xdr:from>
    <xdr:ext cx="58478" cy="14087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840B2C9-51FA-4D13-87B4-0875101982EB}"/>
            </a:ext>
          </a:extLst>
        </xdr:cNvPr>
        <xdr:cNvSpPr txBox="1"/>
      </xdr:nvSpPr>
      <xdr:spPr>
        <a:xfrm>
          <a:off x="11528769" y="783215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5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126</xdr:col>
      <xdr:colOff>16219</xdr:colOff>
      <xdr:row>41</xdr:row>
      <xdr:rowOff>15303</xdr:rowOff>
    </xdr:from>
    <xdr:ext cx="58478" cy="14087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C6D3A22-4C2B-4401-9281-3D80950912CE}"/>
            </a:ext>
          </a:extLst>
        </xdr:cNvPr>
        <xdr:cNvSpPr txBox="1"/>
      </xdr:nvSpPr>
      <xdr:spPr>
        <a:xfrm>
          <a:off x="11300169" y="78258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4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132</xdr:col>
      <xdr:colOff>16219</xdr:colOff>
      <xdr:row>41</xdr:row>
      <xdr:rowOff>15303</xdr:rowOff>
    </xdr:from>
    <xdr:ext cx="58478" cy="14087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4A6AA4C-26DE-4713-93D6-EBC8C99B3034}"/>
            </a:ext>
          </a:extLst>
        </xdr:cNvPr>
        <xdr:cNvSpPr txBox="1"/>
      </xdr:nvSpPr>
      <xdr:spPr>
        <a:xfrm>
          <a:off x="11757369" y="78258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6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135</xdr:col>
      <xdr:colOff>16219</xdr:colOff>
      <xdr:row>41</xdr:row>
      <xdr:rowOff>15303</xdr:rowOff>
    </xdr:from>
    <xdr:ext cx="58478" cy="14087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0786612-4A80-4726-B14B-809F01E3C83E}"/>
            </a:ext>
          </a:extLst>
        </xdr:cNvPr>
        <xdr:cNvSpPr txBox="1"/>
      </xdr:nvSpPr>
      <xdr:spPr>
        <a:xfrm>
          <a:off x="11985969" y="78258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7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138</xdr:col>
      <xdr:colOff>16219</xdr:colOff>
      <xdr:row>41</xdr:row>
      <xdr:rowOff>15303</xdr:rowOff>
    </xdr:from>
    <xdr:ext cx="58478" cy="14087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85F9E5D-0DE6-452D-B1EE-39AF42E25F88}"/>
            </a:ext>
          </a:extLst>
        </xdr:cNvPr>
        <xdr:cNvSpPr txBox="1"/>
      </xdr:nvSpPr>
      <xdr:spPr>
        <a:xfrm>
          <a:off x="12214569" y="78258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8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141</xdr:col>
      <xdr:colOff>16219</xdr:colOff>
      <xdr:row>41</xdr:row>
      <xdr:rowOff>21653</xdr:rowOff>
    </xdr:from>
    <xdr:ext cx="58478" cy="14087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B9CEE08-C2BC-4939-BEF6-94F54830D066}"/>
            </a:ext>
          </a:extLst>
        </xdr:cNvPr>
        <xdr:cNvSpPr txBox="1"/>
      </xdr:nvSpPr>
      <xdr:spPr>
        <a:xfrm>
          <a:off x="12443169" y="783215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9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36</xdr:col>
      <xdr:colOff>2442</xdr:colOff>
      <xdr:row>38</xdr:row>
      <xdr:rowOff>45024</xdr:rowOff>
    </xdr:from>
    <xdr:to>
      <xdr:col>60</xdr:col>
      <xdr:colOff>1243</xdr:colOff>
      <xdr:row>38</xdr:row>
      <xdr:rowOff>45024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F383EF7E-4819-4C34-9413-F7B4378F0DA6}"/>
            </a:ext>
          </a:extLst>
        </xdr:cNvPr>
        <xdr:cNvCxnSpPr/>
      </xdr:nvCxnSpPr>
      <xdr:spPr>
        <a:xfrm>
          <a:off x="4428392" y="7284024"/>
          <a:ext cx="182760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1288</xdr:colOff>
      <xdr:row>38</xdr:row>
      <xdr:rowOff>45024</xdr:rowOff>
    </xdr:from>
    <xdr:to>
      <xdr:col>84</xdr:col>
      <xdr:colOff>88</xdr:colOff>
      <xdr:row>38</xdr:row>
      <xdr:rowOff>45024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2265B18C-CD4E-4094-93CE-ABF60E6C307F}"/>
            </a:ext>
          </a:extLst>
        </xdr:cNvPr>
        <xdr:cNvCxnSpPr/>
      </xdr:nvCxnSpPr>
      <xdr:spPr>
        <a:xfrm>
          <a:off x="6256038" y="7284024"/>
          <a:ext cx="18276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2443</xdr:colOff>
      <xdr:row>38</xdr:row>
      <xdr:rowOff>45024</xdr:rowOff>
    </xdr:from>
    <xdr:to>
      <xdr:col>117</xdr:col>
      <xdr:colOff>1243</xdr:colOff>
      <xdr:row>38</xdr:row>
      <xdr:rowOff>45024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EC0840FB-5F52-43E4-BD35-5C9588F5EBA0}"/>
            </a:ext>
          </a:extLst>
        </xdr:cNvPr>
        <xdr:cNvCxnSpPr/>
      </xdr:nvCxnSpPr>
      <xdr:spPr>
        <a:xfrm>
          <a:off x="8771793" y="7284024"/>
          <a:ext cx="18276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0</xdr:colOff>
      <xdr:row>38</xdr:row>
      <xdr:rowOff>47174</xdr:rowOff>
    </xdr:from>
    <xdr:to>
      <xdr:col>89</xdr:col>
      <xdr:colOff>1354</xdr:colOff>
      <xdr:row>38</xdr:row>
      <xdr:rowOff>47174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28FDC7AB-6329-454B-B5A7-7EAD4221C1BD}"/>
            </a:ext>
          </a:extLst>
        </xdr:cNvPr>
        <xdr:cNvCxnSpPr/>
      </xdr:nvCxnSpPr>
      <xdr:spPr>
        <a:xfrm>
          <a:off x="8083550" y="7286174"/>
          <a:ext cx="38235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19050</xdr:colOff>
      <xdr:row>38</xdr:row>
      <xdr:rowOff>40118</xdr:rowOff>
    </xdr:from>
    <xdr:to>
      <xdr:col>93</xdr:col>
      <xdr:colOff>2280</xdr:colOff>
      <xdr:row>38</xdr:row>
      <xdr:rowOff>40118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03FCB893-AB99-4F72-A070-58A6945576F5}"/>
            </a:ext>
          </a:extLst>
        </xdr:cNvPr>
        <xdr:cNvCxnSpPr/>
      </xdr:nvCxnSpPr>
      <xdr:spPr>
        <a:xfrm>
          <a:off x="8636000" y="7279118"/>
          <a:ext cx="13563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non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56</xdr:col>
      <xdr:colOff>36239</xdr:colOff>
      <xdr:row>39</xdr:row>
      <xdr:rowOff>64655</xdr:rowOff>
    </xdr:from>
    <xdr:ext cx="1424877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ED50680-3AA4-4CE4-AD23-2B3D14EBC78A}"/>
            </a:ext>
          </a:extLst>
        </xdr:cNvPr>
        <xdr:cNvSpPr txBox="1"/>
      </xdr:nvSpPr>
      <xdr:spPr>
        <a:xfrm>
          <a:off x="5986189" y="7494155"/>
          <a:ext cx="1424877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SF_SIZE = SF_X8_SIZE * 8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23</xdr:col>
      <xdr:colOff>34730</xdr:colOff>
      <xdr:row>37</xdr:row>
      <xdr:rowOff>136753</xdr:rowOff>
    </xdr:from>
    <xdr:ext cx="160557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61C879C-3AAA-40E0-B370-401F265D602C}"/>
            </a:ext>
          </a:extLst>
        </xdr:cNvPr>
        <xdr:cNvSpPr txBox="1"/>
      </xdr:nvSpPr>
      <xdr:spPr>
        <a:xfrm>
          <a:off x="3470080" y="7185253"/>
          <a:ext cx="160557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1</a:t>
          </a:r>
          <a:r>
            <a:rPr lang="en-US" altLang="ko-KR" sz="1100" baseline="30000">
              <a:solidFill>
                <a:sysClr val="windowText" lastClr="000000"/>
              </a:solidFill>
            </a:rPr>
            <a:t>ST</a:t>
          </a:r>
          <a:endParaRPr lang="ko-KR" altLang="en-US" sz="1100" baseline="30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46</xdr:col>
      <xdr:colOff>65519</xdr:colOff>
      <xdr:row>37</xdr:row>
      <xdr:rowOff>131327</xdr:rowOff>
    </xdr:from>
    <xdr:ext cx="190117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655C410-A19B-4FC4-A964-8AC86BFFCBC8}"/>
            </a:ext>
          </a:extLst>
        </xdr:cNvPr>
        <xdr:cNvSpPr txBox="1"/>
      </xdr:nvSpPr>
      <xdr:spPr>
        <a:xfrm>
          <a:off x="5253469" y="7179827"/>
          <a:ext cx="190117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2</a:t>
          </a:r>
          <a:r>
            <a:rPr lang="en-US" altLang="ko-KR" sz="1100" baseline="30000">
              <a:solidFill>
                <a:sysClr val="windowText" lastClr="000000"/>
              </a:solidFill>
            </a:rPr>
            <a:t>ND</a:t>
          </a:r>
          <a:endParaRPr lang="ko-KR" altLang="en-US" sz="1100" baseline="30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70</xdr:col>
      <xdr:colOff>71869</xdr:colOff>
      <xdr:row>37</xdr:row>
      <xdr:rowOff>118627</xdr:rowOff>
    </xdr:from>
    <xdr:ext cx="180499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C28CBCF-C51B-4931-9C07-5FD87CD06390}"/>
            </a:ext>
          </a:extLst>
        </xdr:cNvPr>
        <xdr:cNvSpPr txBox="1"/>
      </xdr:nvSpPr>
      <xdr:spPr>
        <a:xfrm>
          <a:off x="7088619" y="7167127"/>
          <a:ext cx="18049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3</a:t>
          </a:r>
          <a:r>
            <a:rPr lang="en-US" altLang="ko-KR" sz="1100" baseline="30000">
              <a:solidFill>
                <a:sysClr val="windowText" lastClr="000000"/>
              </a:solidFill>
            </a:rPr>
            <a:t>RD</a:t>
          </a:r>
          <a:endParaRPr lang="ko-KR" altLang="en-US" sz="1100" baseline="30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103</xdr:col>
      <xdr:colOff>68694</xdr:colOff>
      <xdr:row>37</xdr:row>
      <xdr:rowOff>147202</xdr:rowOff>
    </xdr:from>
    <xdr:ext cx="175946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7C9148E-EA96-4171-8EAD-114DE373F73E}"/>
            </a:ext>
          </a:extLst>
        </xdr:cNvPr>
        <xdr:cNvSpPr txBox="1"/>
      </xdr:nvSpPr>
      <xdr:spPr>
        <a:xfrm>
          <a:off x="9600044" y="7195702"/>
          <a:ext cx="175946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8</a:t>
          </a:r>
          <a:r>
            <a:rPr lang="en-US" altLang="ko-KR" sz="1100" baseline="30000">
              <a:solidFill>
                <a:sysClr val="windowText" lastClr="000000"/>
              </a:solidFill>
            </a:rPr>
            <a:t>TH</a:t>
          </a:r>
          <a:endParaRPr lang="ko-KR" altLang="en-US" sz="1100" baseline="30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89</xdr:col>
      <xdr:colOff>73512</xdr:colOff>
      <xdr:row>40</xdr:row>
      <xdr:rowOff>187963</xdr:rowOff>
    </xdr:from>
    <xdr:to>
      <xdr:col>90</xdr:col>
      <xdr:colOff>24637</xdr:colOff>
      <xdr:row>42</xdr:row>
      <xdr:rowOff>19788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451B48EC-FFD1-4D02-9755-FD12BA94CD94}"/>
            </a:ext>
          </a:extLst>
        </xdr:cNvPr>
        <xdr:cNvGrpSpPr/>
      </xdr:nvGrpSpPr>
      <xdr:grpSpPr>
        <a:xfrm>
          <a:off x="8541237" y="7807963"/>
          <a:ext cx="30500" cy="212825"/>
          <a:chOff x="8889969" y="717550"/>
          <a:chExt cx="95415" cy="260350"/>
        </a:xfrm>
        <a:solidFill>
          <a:schemeClr val="bg1"/>
        </a:solidFill>
      </xdr:grpSpPr>
      <xdr:sp macro="" textlink="">
        <xdr:nvSpPr>
          <xdr:cNvPr id="62" name="자유형: 도형 61">
            <a:extLst>
              <a:ext uri="{FF2B5EF4-FFF2-40B4-BE49-F238E27FC236}">
                <a16:creationId xmlns:a16="http://schemas.microsoft.com/office/drawing/2014/main" id="{D1E08BCC-6E75-7565-9A1B-7E22052D7E3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" name="자유형: 도형 62">
            <a:extLst>
              <a:ext uri="{FF2B5EF4-FFF2-40B4-BE49-F238E27FC236}">
                <a16:creationId xmlns:a16="http://schemas.microsoft.com/office/drawing/2014/main" id="{ABA2802A-2DC1-5EF6-5C6D-B8785EA239E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89</xdr:col>
      <xdr:colOff>70337</xdr:colOff>
      <xdr:row>37</xdr:row>
      <xdr:rowOff>116956</xdr:rowOff>
    </xdr:from>
    <xdr:to>
      <xdr:col>90</xdr:col>
      <xdr:colOff>34162</xdr:colOff>
      <xdr:row>38</xdr:row>
      <xdr:rowOff>145631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A34608C2-BCEE-4ECC-BAB7-AA51C2B149A5}"/>
            </a:ext>
          </a:extLst>
        </xdr:cNvPr>
        <xdr:cNvGrpSpPr/>
      </xdr:nvGrpSpPr>
      <xdr:grpSpPr>
        <a:xfrm>
          <a:off x="8534887" y="7165456"/>
          <a:ext cx="40025" cy="216000"/>
          <a:chOff x="8889969" y="717550"/>
          <a:chExt cx="95415" cy="260350"/>
        </a:xfrm>
        <a:solidFill>
          <a:schemeClr val="bg1"/>
        </a:solidFill>
      </xdr:grpSpPr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632E409D-A07D-D9FD-7E1B-44ACD9C8D84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" name="자유형: 도형 65">
            <a:extLst>
              <a:ext uri="{FF2B5EF4-FFF2-40B4-BE49-F238E27FC236}">
                <a16:creationId xmlns:a16="http://schemas.microsoft.com/office/drawing/2014/main" id="{6C1B2510-BB81-5EA6-F785-30796269FA7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89</xdr:col>
      <xdr:colOff>63987</xdr:colOff>
      <xdr:row>42</xdr:row>
      <xdr:rowOff>187963</xdr:rowOff>
    </xdr:from>
    <xdr:to>
      <xdr:col>90</xdr:col>
      <xdr:colOff>24637</xdr:colOff>
      <xdr:row>44</xdr:row>
      <xdr:rowOff>19788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8FF6B366-D3D9-43EB-BFDA-659A0D8975CE}"/>
            </a:ext>
          </a:extLst>
        </xdr:cNvPr>
        <xdr:cNvGrpSpPr/>
      </xdr:nvGrpSpPr>
      <xdr:grpSpPr>
        <a:xfrm>
          <a:off x="8534887" y="8188963"/>
          <a:ext cx="36850" cy="212825"/>
          <a:chOff x="8889969" y="717550"/>
          <a:chExt cx="95415" cy="260350"/>
        </a:xfrm>
        <a:solidFill>
          <a:schemeClr val="bg1"/>
        </a:solidFill>
      </xdr:grpSpPr>
      <xdr:sp macro="" textlink="">
        <xdr:nvSpPr>
          <xdr:cNvPr id="68" name="자유형: 도형 67">
            <a:extLst>
              <a:ext uri="{FF2B5EF4-FFF2-40B4-BE49-F238E27FC236}">
                <a16:creationId xmlns:a16="http://schemas.microsoft.com/office/drawing/2014/main" id="{BF35BF9C-2C9A-ACD5-87AD-B632676897B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자유형: 도형 68">
            <a:extLst>
              <a:ext uri="{FF2B5EF4-FFF2-40B4-BE49-F238E27FC236}">
                <a16:creationId xmlns:a16="http://schemas.microsoft.com/office/drawing/2014/main" id="{B31C08DE-D89D-7209-5869-CE1BE6832B3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89</xdr:col>
      <xdr:colOff>70337</xdr:colOff>
      <xdr:row>45</xdr:row>
      <xdr:rowOff>187963</xdr:rowOff>
    </xdr:from>
    <xdr:to>
      <xdr:col>90</xdr:col>
      <xdr:colOff>30987</xdr:colOff>
      <xdr:row>47</xdr:row>
      <xdr:rowOff>19788</xdr:rowOff>
    </xdr:to>
    <xdr:grpSp>
      <xdr:nvGrpSpPr>
        <xdr:cNvPr id="70" name="그룹 69">
          <a:extLst>
            <a:ext uri="{FF2B5EF4-FFF2-40B4-BE49-F238E27FC236}">
              <a16:creationId xmlns:a16="http://schemas.microsoft.com/office/drawing/2014/main" id="{36C6049A-EA52-486C-8934-78E4756471AD}"/>
            </a:ext>
          </a:extLst>
        </xdr:cNvPr>
        <xdr:cNvGrpSpPr/>
      </xdr:nvGrpSpPr>
      <xdr:grpSpPr>
        <a:xfrm>
          <a:off x="8534887" y="8760463"/>
          <a:ext cx="36850" cy="212825"/>
          <a:chOff x="8889969" y="717550"/>
          <a:chExt cx="95415" cy="260350"/>
        </a:xfrm>
        <a:solidFill>
          <a:schemeClr val="bg1"/>
        </a:solidFill>
      </xdr:grpSpPr>
      <xdr:sp macro="" textlink="">
        <xdr:nvSpPr>
          <xdr:cNvPr id="71" name="자유형: 도형 70">
            <a:extLst>
              <a:ext uri="{FF2B5EF4-FFF2-40B4-BE49-F238E27FC236}">
                <a16:creationId xmlns:a16="http://schemas.microsoft.com/office/drawing/2014/main" id="{485747B2-360F-93F6-9911-01067C927A5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408F306B-6134-86F2-7816-294D17A65E7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33</xdr:col>
      <xdr:colOff>8113</xdr:colOff>
      <xdr:row>46</xdr:row>
      <xdr:rowOff>100414</xdr:rowOff>
    </xdr:from>
    <xdr:to>
      <xdr:col>35</xdr:col>
      <xdr:colOff>68891</xdr:colOff>
      <xdr:row>46</xdr:row>
      <xdr:rowOff>100414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A1E5F5DC-5077-427E-AA53-8BF96A4D760E}"/>
            </a:ext>
          </a:extLst>
        </xdr:cNvPr>
        <xdr:cNvCxnSpPr/>
      </xdr:nvCxnSpPr>
      <xdr:spPr>
        <a:xfrm>
          <a:off x="4205463" y="8863414"/>
          <a:ext cx="213178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14335</xdr:colOff>
      <xdr:row>44</xdr:row>
      <xdr:rowOff>164120</xdr:rowOff>
    </xdr:from>
    <xdr:ext cx="582532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35AE53A6-09D2-4294-ADD3-B89D9EB67CB5}"/>
            </a:ext>
          </a:extLst>
        </xdr:cNvPr>
        <xdr:cNvSpPr txBox="1"/>
      </xdr:nvSpPr>
      <xdr:spPr>
        <a:xfrm>
          <a:off x="3830685" y="8546120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25</xdr:col>
      <xdr:colOff>76111</xdr:colOff>
      <xdr:row>49</xdr:row>
      <xdr:rowOff>11636</xdr:rowOff>
    </xdr:from>
    <xdr:ext cx="895245" cy="156518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9356E4E6-FC5E-4401-A5E3-1D1256B2E12E}"/>
            </a:ext>
          </a:extLst>
        </xdr:cNvPr>
        <xdr:cNvSpPr txBox="1"/>
      </xdr:nvSpPr>
      <xdr:spPr>
        <a:xfrm>
          <a:off x="3663861" y="9346136"/>
          <a:ext cx="89524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#1 CHx_LD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129</xdr:col>
      <xdr:colOff>65720</xdr:colOff>
      <xdr:row>49</xdr:row>
      <xdr:rowOff>19718</xdr:rowOff>
    </xdr:from>
    <xdr:ext cx="904735" cy="156518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2713E10-6C6A-4DF6-8A36-3F6774466A6F}"/>
            </a:ext>
          </a:extLst>
        </xdr:cNvPr>
        <xdr:cNvSpPr txBox="1"/>
      </xdr:nvSpPr>
      <xdr:spPr>
        <a:xfrm>
          <a:off x="11578270" y="9354218"/>
          <a:ext cx="90473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#2 CHx_LD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40</xdr:col>
      <xdr:colOff>76200</xdr:colOff>
      <xdr:row>46</xdr:row>
      <xdr:rowOff>9525</xdr:rowOff>
    </xdr:from>
    <xdr:ext cx="904735" cy="156518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4036713-B90B-4F92-A9CC-19B4526AF535}"/>
            </a:ext>
          </a:extLst>
        </xdr:cNvPr>
        <xdr:cNvSpPr txBox="1"/>
      </xdr:nvSpPr>
      <xdr:spPr>
        <a:xfrm>
          <a:off x="4806950" y="8772525"/>
          <a:ext cx="90473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#1 CH1_LD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50</xdr:col>
      <xdr:colOff>38011</xdr:colOff>
      <xdr:row>49</xdr:row>
      <xdr:rowOff>8461</xdr:rowOff>
    </xdr:from>
    <xdr:ext cx="895245" cy="156518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91C2D1D6-22CF-434C-91F0-55FADF12ADD2}"/>
            </a:ext>
          </a:extLst>
        </xdr:cNvPr>
        <xdr:cNvSpPr txBox="1"/>
      </xdr:nvSpPr>
      <xdr:spPr>
        <a:xfrm>
          <a:off x="5530761" y="9342961"/>
          <a:ext cx="89524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#1 CHx_LD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</xdr:col>
      <xdr:colOff>31634</xdr:colOff>
      <xdr:row>25</xdr:row>
      <xdr:rowOff>139465</xdr:rowOff>
    </xdr:from>
    <xdr:ext cx="875753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C357D77-ED38-43C6-8789-6BB1E129DE5B}"/>
            </a:ext>
          </a:extLst>
        </xdr:cNvPr>
        <xdr:cNvSpPr txBox="1"/>
      </xdr:nvSpPr>
      <xdr:spPr>
        <a:xfrm>
          <a:off x="2628784" y="4901965"/>
          <a:ext cx="87575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DELAY_CH1 = 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31</xdr:col>
      <xdr:colOff>8902</xdr:colOff>
      <xdr:row>24</xdr:row>
      <xdr:rowOff>14658</xdr:rowOff>
    </xdr:from>
    <xdr:ext cx="1198983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7273009-46C6-40CD-A1A9-06513EA08ACF}"/>
            </a:ext>
          </a:extLst>
        </xdr:cNvPr>
        <xdr:cNvSpPr txBox="1"/>
      </xdr:nvSpPr>
      <xdr:spPr>
        <a:xfrm>
          <a:off x="4053852" y="4586658"/>
          <a:ext cx="119898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#1 MAX_CURR_VREF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83</xdr:col>
      <xdr:colOff>85224</xdr:colOff>
      <xdr:row>24</xdr:row>
      <xdr:rowOff>8065</xdr:rowOff>
    </xdr:from>
    <xdr:ext cx="1198983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5FCF3E3-FE7B-400D-A8AB-C0BFFBA11C62}"/>
            </a:ext>
          </a:extLst>
        </xdr:cNvPr>
        <xdr:cNvSpPr txBox="1"/>
      </xdr:nvSpPr>
      <xdr:spPr>
        <a:xfrm>
          <a:off x="8086224" y="4580065"/>
          <a:ext cx="119898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#2 MAX_CURR_VREF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45</xdr:col>
      <xdr:colOff>3086</xdr:colOff>
      <xdr:row>27</xdr:row>
      <xdr:rowOff>14811</xdr:rowOff>
    </xdr:from>
    <xdr:ext cx="904735" cy="156518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FE92291-1FD7-41A8-8EA5-54E264CCFE76}"/>
            </a:ext>
          </a:extLst>
        </xdr:cNvPr>
        <xdr:cNvSpPr txBox="1"/>
      </xdr:nvSpPr>
      <xdr:spPr>
        <a:xfrm>
          <a:off x="5114836" y="5158311"/>
          <a:ext cx="90473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#1 CH1_LD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15</xdr:col>
      <xdr:colOff>1449</xdr:colOff>
      <xdr:row>28</xdr:row>
      <xdr:rowOff>139700</xdr:rowOff>
    </xdr:from>
    <xdr:ext cx="8653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A5B291F4-1DF5-41CC-8EC5-1036FD2857A8}"/>
            </a:ext>
          </a:extLst>
        </xdr:cNvPr>
        <xdr:cNvSpPr txBox="1"/>
      </xdr:nvSpPr>
      <xdr:spPr>
        <a:xfrm>
          <a:off x="2827199" y="5473700"/>
          <a:ext cx="86536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DELAY_CHx = 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97</xdr:col>
      <xdr:colOff>33971</xdr:colOff>
      <xdr:row>27</xdr:row>
      <xdr:rowOff>8689</xdr:rowOff>
    </xdr:from>
    <xdr:ext cx="932499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9A71A88-0337-4DF6-A036-68893AC43FA1}"/>
            </a:ext>
          </a:extLst>
        </xdr:cNvPr>
        <xdr:cNvSpPr txBox="1"/>
      </xdr:nvSpPr>
      <xdr:spPr>
        <a:xfrm>
          <a:off x="9108121" y="5152189"/>
          <a:ext cx="93249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#2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CH1_</a:t>
          </a:r>
          <a:r>
            <a:rPr lang="en-US" altLang="ko-KR" sz="1000" baseline="0">
              <a:solidFill>
                <a:sysClr val="windowText" lastClr="000000"/>
              </a:solidFill>
            </a:rPr>
            <a:t>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52</xdr:col>
      <xdr:colOff>85058</xdr:colOff>
      <xdr:row>30</xdr:row>
      <xdr:rowOff>22604</xdr:rowOff>
    </xdr:from>
    <xdr:ext cx="895245" cy="156518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FB98D4C-6498-4634-8172-280975EEF661}"/>
            </a:ext>
          </a:extLst>
        </xdr:cNvPr>
        <xdr:cNvSpPr txBox="1"/>
      </xdr:nvSpPr>
      <xdr:spPr>
        <a:xfrm>
          <a:off x="5723858" y="5737604"/>
          <a:ext cx="89524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#1 CHx_LD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56</xdr:col>
      <xdr:colOff>57637</xdr:colOff>
      <xdr:row>21</xdr:row>
      <xdr:rowOff>187963</xdr:rowOff>
    </xdr:from>
    <xdr:to>
      <xdr:col>57</xdr:col>
      <xdr:colOff>8762</xdr:colOff>
      <xdr:row>23</xdr:row>
      <xdr:rowOff>19788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5E0146A5-B8DB-40F1-B6E3-E4BF1C397647}"/>
            </a:ext>
          </a:extLst>
        </xdr:cNvPr>
        <xdr:cNvGrpSpPr/>
      </xdr:nvGrpSpPr>
      <xdr:grpSpPr>
        <a:xfrm>
          <a:off x="6010762" y="4188463"/>
          <a:ext cx="30500" cy="212825"/>
          <a:chOff x="8889969" y="717550"/>
          <a:chExt cx="95415" cy="260350"/>
        </a:xfrm>
      </xdr:grpSpPr>
      <xdr:sp macro="" textlink="">
        <xdr:nvSpPr>
          <xdr:cNvPr id="87" name="자유형: 도형 86">
            <a:extLst>
              <a:ext uri="{FF2B5EF4-FFF2-40B4-BE49-F238E27FC236}">
                <a16:creationId xmlns:a16="http://schemas.microsoft.com/office/drawing/2014/main" id="{6F7CDCA6-CD4F-D144-B3FE-FCD0F16534D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" name="자유형: 도형 87">
            <a:extLst>
              <a:ext uri="{FF2B5EF4-FFF2-40B4-BE49-F238E27FC236}">
                <a16:creationId xmlns:a16="http://schemas.microsoft.com/office/drawing/2014/main" id="{76799BE5-A35D-C5F9-2276-A4D7C4451C6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105</xdr:col>
      <xdr:colOff>43496</xdr:colOff>
      <xdr:row>30</xdr:row>
      <xdr:rowOff>29243</xdr:rowOff>
    </xdr:from>
    <xdr:ext cx="895245" cy="156518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C8D537C-E92D-4735-8393-48A0F2929CF0}"/>
            </a:ext>
          </a:extLst>
        </xdr:cNvPr>
        <xdr:cNvSpPr txBox="1"/>
      </xdr:nvSpPr>
      <xdr:spPr>
        <a:xfrm>
          <a:off x="9727246" y="5744243"/>
          <a:ext cx="89524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#2 CHx_LD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67</xdr:col>
      <xdr:colOff>45257</xdr:colOff>
      <xdr:row>28</xdr:row>
      <xdr:rowOff>48683</xdr:rowOff>
    </xdr:from>
    <xdr:ext cx="8653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B59D497-B476-4260-B7B0-D2C57E7C60F0}"/>
            </a:ext>
          </a:extLst>
        </xdr:cNvPr>
        <xdr:cNvSpPr txBox="1"/>
      </xdr:nvSpPr>
      <xdr:spPr>
        <a:xfrm>
          <a:off x="6833407" y="5382683"/>
          <a:ext cx="86536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DELAY_CHx = 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12</xdr:col>
      <xdr:colOff>605</xdr:colOff>
      <xdr:row>20</xdr:row>
      <xdr:rowOff>177416</xdr:rowOff>
    </xdr:from>
    <xdr:to>
      <xdr:col>64</xdr:col>
      <xdr:colOff>5067</xdr:colOff>
      <xdr:row>20</xdr:row>
      <xdr:rowOff>177418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5271E60D-F436-46DD-94BE-B93D559D5EB8}"/>
            </a:ext>
          </a:extLst>
        </xdr:cNvPr>
        <xdr:cNvCxnSpPr/>
      </xdr:nvCxnSpPr>
      <xdr:spPr>
        <a:xfrm>
          <a:off x="2597755" y="3987416"/>
          <a:ext cx="3966862" cy="2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75044</xdr:colOff>
      <xdr:row>20</xdr:row>
      <xdr:rowOff>93680</xdr:rowOff>
    </xdr:from>
    <xdr:ext cx="643318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CBDC0A06-4BFD-45EA-85C8-FC974F761F81}"/>
            </a:ext>
          </a:extLst>
        </xdr:cNvPr>
        <xdr:cNvSpPr txBox="1"/>
      </xdr:nvSpPr>
      <xdr:spPr>
        <a:xfrm>
          <a:off x="4272394" y="3903680"/>
          <a:ext cx="64331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SF_SIZE = n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64</xdr:col>
      <xdr:colOff>28225</xdr:colOff>
      <xdr:row>25</xdr:row>
      <xdr:rowOff>113593</xdr:rowOff>
    </xdr:from>
    <xdr:ext cx="875753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5E584CDA-48C6-4205-BFA4-D8C342CDB068}"/>
            </a:ext>
          </a:extLst>
        </xdr:cNvPr>
        <xdr:cNvSpPr txBox="1"/>
      </xdr:nvSpPr>
      <xdr:spPr>
        <a:xfrm>
          <a:off x="6587775" y="4876093"/>
          <a:ext cx="87575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DELAY_CH1 = 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134</xdr:col>
      <xdr:colOff>82049</xdr:colOff>
      <xdr:row>24</xdr:row>
      <xdr:rowOff>20765</xdr:rowOff>
    </xdr:from>
    <xdr:ext cx="1198983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9A2859EC-A8CA-4F51-BCD5-0730193C7485}"/>
            </a:ext>
          </a:extLst>
        </xdr:cNvPr>
        <xdr:cNvSpPr txBox="1"/>
      </xdr:nvSpPr>
      <xdr:spPr>
        <a:xfrm>
          <a:off x="11969249" y="4592765"/>
          <a:ext cx="119898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#3 MAX_CURR_VREF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138</xdr:col>
      <xdr:colOff>45967</xdr:colOff>
      <xdr:row>27</xdr:row>
      <xdr:rowOff>11629</xdr:rowOff>
    </xdr:from>
    <xdr:ext cx="932499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21A0084-323D-403C-A83D-3B8A65B94E44}"/>
            </a:ext>
          </a:extLst>
        </xdr:cNvPr>
        <xdr:cNvSpPr txBox="1"/>
      </xdr:nvSpPr>
      <xdr:spPr>
        <a:xfrm>
          <a:off x="12244317" y="5155129"/>
          <a:ext cx="93249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#3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CH1_</a:t>
          </a:r>
          <a:r>
            <a:rPr lang="en-US" altLang="ko-KR" sz="1000" baseline="0">
              <a:solidFill>
                <a:sysClr val="windowText" lastClr="000000"/>
              </a:solidFill>
            </a:rPr>
            <a:t>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139</xdr:col>
      <xdr:colOff>4455</xdr:colOff>
      <xdr:row>30</xdr:row>
      <xdr:rowOff>6220</xdr:rowOff>
    </xdr:from>
    <xdr:ext cx="922112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A37888DC-ED17-4730-B2AF-8075BADBA2DD}"/>
            </a:ext>
          </a:extLst>
        </xdr:cNvPr>
        <xdr:cNvSpPr txBox="1"/>
      </xdr:nvSpPr>
      <xdr:spPr>
        <a:xfrm>
          <a:off x="12279005" y="5721220"/>
          <a:ext cx="92211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#3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CHx_</a:t>
          </a:r>
          <a:r>
            <a:rPr lang="en-US" altLang="ko-KR" sz="1000" baseline="0">
              <a:solidFill>
                <a:sysClr val="windowText" lastClr="000000"/>
              </a:solidFill>
            </a:rPr>
            <a:t>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108</xdr:col>
      <xdr:colOff>73512</xdr:colOff>
      <xdr:row>21</xdr:row>
      <xdr:rowOff>178438</xdr:rowOff>
    </xdr:from>
    <xdr:to>
      <xdr:col>109</xdr:col>
      <xdr:colOff>30987</xdr:colOff>
      <xdr:row>23</xdr:row>
      <xdr:rowOff>16613</xdr:rowOff>
    </xdr:to>
    <xdr:grpSp>
      <xdr:nvGrpSpPr>
        <xdr:cNvPr id="97" name="그룹 96">
          <a:extLst>
            <a:ext uri="{FF2B5EF4-FFF2-40B4-BE49-F238E27FC236}">
              <a16:creationId xmlns:a16="http://schemas.microsoft.com/office/drawing/2014/main" id="{F0DB2B9E-895B-4F4E-83B2-4EC9CB8B1241}"/>
            </a:ext>
          </a:extLst>
        </xdr:cNvPr>
        <xdr:cNvGrpSpPr/>
      </xdr:nvGrpSpPr>
      <xdr:grpSpPr>
        <a:xfrm>
          <a:off x="9989037" y="4182113"/>
          <a:ext cx="30500" cy="216000"/>
          <a:chOff x="8889969" y="717550"/>
          <a:chExt cx="95415" cy="260350"/>
        </a:xfrm>
      </xdr:grpSpPr>
      <xdr:sp macro="" textlink="">
        <xdr:nvSpPr>
          <xdr:cNvPr id="98" name="자유형: 도형 97">
            <a:extLst>
              <a:ext uri="{FF2B5EF4-FFF2-40B4-BE49-F238E27FC236}">
                <a16:creationId xmlns:a16="http://schemas.microsoft.com/office/drawing/2014/main" id="{C4C8DB70-145B-3ECD-7192-69F01127F1C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" name="자유형: 도형 98">
            <a:extLst>
              <a:ext uri="{FF2B5EF4-FFF2-40B4-BE49-F238E27FC236}">
                <a16:creationId xmlns:a16="http://schemas.microsoft.com/office/drawing/2014/main" id="{5001ABFF-C23B-7865-09BC-53A136C5894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160</xdr:col>
      <xdr:colOff>57637</xdr:colOff>
      <xdr:row>5</xdr:row>
      <xdr:rowOff>187963</xdr:rowOff>
    </xdr:from>
    <xdr:to>
      <xdr:col>161</xdr:col>
      <xdr:colOff>8762</xdr:colOff>
      <xdr:row>7</xdr:row>
      <xdr:rowOff>19788</xdr:rowOff>
    </xdr:to>
    <xdr:grpSp>
      <xdr:nvGrpSpPr>
        <xdr:cNvPr id="100" name="그룹 99">
          <a:extLst>
            <a:ext uri="{FF2B5EF4-FFF2-40B4-BE49-F238E27FC236}">
              <a16:creationId xmlns:a16="http://schemas.microsoft.com/office/drawing/2014/main" id="{B0683162-F1B1-4554-9EAC-A58537810D54}"/>
            </a:ext>
          </a:extLst>
        </xdr:cNvPr>
        <xdr:cNvGrpSpPr/>
      </xdr:nvGrpSpPr>
      <xdr:grpSpPr>
        <a:xfrm>
          <a:off x="13935562" y="1140463"/>
          <a:ext cx="30500" cy="212825"/>
          <a:chOff x="8889969" y="717550"/>
          <a:chExt cx="95415" cy="260350"/>
        </a:xfrm>
      </xdr:grpSpPr>
      <xdr:sp macro="" textlink="">
        <xdr:nvSpPr>
          <xdr:cNvPr id="101" name="자유형: 도형 100">
            <a:extLst>
              <a:ext uri="{FF2B5EF4-FFF2-40B4-BE49-F238E27FC236}">
                <a16:creationId xmlns:a16="http://schemas.microsoft.com/office/drawing/2014/main" id="{F439FF5C-0CD7-2DBE-1AC2-EE9A6E3D288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자유형: 도형 101">
            <a:extLst>
              <a:ext uri="{FF2B5EF4-FFF2-40B4-BE49-F238E27FC236}">
                <a16:creationId xmlns:a16="http://schemas.microsoft.com/office/drawing/2014/main" id="{DAE11B0F-D24A-5269-AF16-A0BFABC3FFF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160</xdr:col>
      <xdr:colOff>57637</xdr:colOff>
      <xdr:row>21</xdr:row>
      <xdr:rowOff>187963</xdr:rowOff>
    </xdr:from>
    <xdr:to>
      <xdr:col>161</xdr:col>
      <xdr:colOff>8762</xdr:colOff>
      <xdr:row>23</xdr:row>
      <xdr:rowOff>19788</xdr:rowOff>
    </xdr:to>
    <xdr:grpSp>
      <xdr:nvGrpSpPr>
        <xdr:cNvPr id="103" name="그룹 102">
          <a:extLst>
            <a:ext uri="{FF2B5EF4-FFF2-40B4-BE49-F238E27FC236}">
              <a16:creationId xmlns:a16="http://schemas.microsoft.com/office/drawing/2014/main" id="{B47BFADC-C449-4052-825A-1C8DD71100D3}"/>
            </a:ext>
          </a:extLst>
        </xdr:cNvPr>
        <xdr:cNvGrpSpPr/>
      </xdr:nvGrpSpPr>
      <xdr:grpSpPr>
        <a:xfrm>
          <a:off x="13935562" y="4188463"/>
          <a:ext cx="30500" cy="212825"/>
          <a:chOff x="8889969" y="717550"/>
          <a:chExt cx="95415" cy="260350"/>
        </a:xfrm>
      </xdr:grpSpPr>
      <xdr:sp macro="" textlink="">
        <xdr:nvSpPr>
          <xdr:cNvPr id="104" name="자유형: 도형 103">
            <a:extLst>
              <a:ext uri="{FF2B5EF4-FFF2-40B4-BE49-F238E27FC236}">
                <a16:creationId xmlns:a16="http://schemas.microsoft.com/office/drawing/2014/main" id="{673C125A-D34C-9A89-15B8-FCE47386F22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" name="자유형: 도형 104">
            <a:extLst>
              <a:ext uri="{FF2B5EF4-FFF2-40B4-BE49-F238E27FC236}">
                <a16:creationId xmlns:a16="http://schemas.microsoft.com/office/drawing/2014/main" id="{515646AA-4F73-91A8-D253-462AC850EBD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144</xdr:col>
      <xdr:colOff>24245</xdr:colOff>
      <xdr:row>46</xdr:row>
      <xdr:rowOff>21070</xdr:rowOff>
    </xdr:from>
    <xdr:ext cx="904735" cy="156518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4C5592F-EB24-4FC5-A266-0DC019AC4155}"/>
            </a:ext>
          </a:extLst>
        </xdr:cNvPr>
        <xdr:cNvSpPr txBox="1"/>
      </xdr:nvSpPr>
      <xdr:spPr>
        <a:xfrm>
          <a:off x="12679795" y="8784070"/>
          <a:ext cx="90473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#2 CH1_LD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152</xdr:col>
      <xdr:colOff>64655</xdr:colOff>
      <xdr:row>49</xdr:row>
      <xdr:rowOff>9525</xdr:rowOff>
    </xdr:from>
    <xdr:ext cx="895245" cy="156518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30E9F361-C95E-41E5-8C9C-1FAFFBF31E66}"/>
            </a:ext>
          </a:extLst>
        </xdr:cNvPr>
        <xdr:cNvSpPr txBox="1"/>
      </xdr:nvSpPr>
      <xdr:spPr>
        <a:xfrm>
          <a:off x="13329805" y="9344025"/>
          <a:ext cx="89524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#2 CHx_LD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120</xdr:col>
      <xdr:colOff>67130</xdr:colOff>
      <xdr:row>47</xdr:row>
      <xdr:rowOff>138981</xdr:rowOff>
    </xdr:from>
    <xdr:ext cx="8653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EDCBC4C0-98D1-48B5-BE07-32487642748E}"/>
            </a:ext>
          </a:extLst>
        </xdr:cNvPr>
        <xdr:cNvSpPr txBox="1"/>
      </xdr:nvSpPr>
      <xdr:spPr>
        <a:xfrm>
          <a:off x="10893880" y="9092481"/>
          <a:ext cx="86536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DELAY_CHx = 3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</xdr:col>
      <xdr:colOff>17287</xdr:colOff>
      <xdr:row>62</xdr:row>
      <xdr:rowOff>17673</xdr:rowOff>
    </xdr:from>
    <xdr:ext cx="875753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D708D8B-F1BC-488D-A7EA-CA237D3AFC56}"/>
            </a:ext>
          </a:extLst>
        </xdr:cNvPr>
        <xdr:cNvSpPr txBox="1"/>
      </xdr:nvSpPr>
      <xdr:spPr>
        <a:xfrm>
          <a:off x="2614437" y="11828673"/>
          <a:ext cx="87575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DELAY_CH1 = 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50</xdr:col>
      <xdr:colOff>57585</xdr:colOff>
      <xdr:row>61</xdr:row>
      <xdr:rowOff>9014</xdr:rowOff>
    </xdr:from>
    <xdr:ext cx="1198983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1A8C3947-3240-4739-896C-051EFCE051A6}"/>
            </a:ext>
          </a:extLst>
        </xdr:cNvPr>
        <xdr:cNvSpPr txBox="1"/>
      </xdr:nvSpPr>
      <xdr:spPr>
        <a:xfrm>
          <a:off x="5550335" y="11629514"/>
          <a:ext cx="119898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#1 MAX_CURR_VREF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134</xdr:col>
      <xdr:colOff>5849</xdr:colOff>
      <xdr:row>61</xdr:row>
      <xdr:rowOff>11240</xdr:rowOff>
    </xdr:from>
    <xdr:ext cx="1198983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B215673D-5DA7-4B0D-90B8-5FE8CF4429E8}"/>
            </a:ext>
          </a:extLst>
        </xdr:cNvPr>
        <xdr:cNvSpPr txBox="1"/>
      </xdr:nvSpPr>
      <xdr:spPr>
        <a:xfrm>
          <a:off x="11899399" y="11631740"/>
          <a:ext cx="119898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#2 MAX_CURR_VREF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19</xdr:col>
      <xdr:colOff>76111</xdr:colOff>
      <xdr:row>64</xdr:row>
      <xdr:rowOff>11636</xdr:rowOff>
    </xdr:from>
    <xdr:ext cx="904735" cy="156518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C854C0C9-DE3A-4A72-9162-BF442C361FE8}"/>
            </a:ext>
          </a:extLst>
        </xdr:cNvPr>
        <xdr:cNvSpPr txBox="1"/>
      </xdr:nvSpPr>
      <xdr:spPr>
        <a:xfrm>
          <a:off x="3206661" y="12203636"/>
          <a:ext cx="90473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#1 CH1_LD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12</xdr:col>
      <xdr:colOff>1288</xdr:colOff>
      <xdr:row>56</xdr:row>
      <xdr:rowOff>50797</xdr:rowOff>
    </xdr:from>
    <xdr:to>
      <xdr:col>36</xdr:col>
      <xdr:colOff>88</xdr:colOff>
      <xdr:row>56</xdr:row>
      <xdr:rowOff>50797</xdr:rowOff>
    </xdr:to>
    <xdr:cxnSp macro="">
      <xdr:nvCxnSpPr>
        <xdr:cNvPr id="113" name="직선 화살표 연결선 112">
          <a:extLst>
            <a:ext uri="{FF2B5EF4-FFF2-40B4-BE49-F238E27FC236}">
              <a16:creationId xmlns:a16="http://schemas.microsoft.com/office/drawing/2014/main" id="{0D07686B-A266-4F11-A5A2-21423568F9AA}"/>
            </a:ext>
          </a:extLst>
        </xdr:cNvPr>
        <xdr:cNvCxnSpPr/>
      </xdr:nvCxnSpPr>
      <xdr:spPr>
        <a:xfrm>
          <a:off x="2598438" y="10718797"/>
          <a:ext cx="18276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65467</xdr:colOff>
      <xdr:row>65</xdr:row>
      <xdr:rowOff>54172</xdr:rowOff>
    </xdr:from>
    <xdr:ext cx="8653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511D7555-F22C-4ADB-8FBA-AC8BE16023A8}"/>
            </a:ext>
          </a:extLst>
        </xdr:cNvPr>
        <xdr:cNvSpPr txBox="1"/>
      </xdr:nvSpPr>
      <xdr:spPr>
        <a:xfrm>
          <a:off x="2891217" y="12436672"/>
          <a:ext cx="86536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DELAY_CHx = 3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124</xdr:col>
      <xdr:colOff>68897</xdr:colOff>
      <xdr:row>64</xdr:row>
      <xdr:rowOff>13188</xdr:rowOff>
    </xdr:from>
    <xdr:ext cx="904735" cy="156518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75E2F49F-0B39-4E6A-9A46-D0EFC3BEA98E}"/>
            </a:ext>
          </a:extLst>
        </xdr:cNvPr>
        <xdr:cNvSpPr txBox="1"/>
      </xdr:nvSpPr>
      <xdr:spPr>
        <a:xfrm>
          <a:off x="11200447" y="12205188"/>
          <a:ext cx="90473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#2 CH1_LD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12</xdr:col>
      <xdr:colOff>34</xdr:colOff>
      <xdr:row>57</xdr:row>
      <xdr:rowOff>151246</xdr:rowOff>
    </xdr:from>
    <xdr:to>
      <xdr:col>117</xdr:col>
      <xdr:colOff>6966</xdr:colOff>
      <xdr:row>57</xdr:row>
      <xdr:rowOff>151246</xdr:rowOff>
    </xdr:to>
    <xdr:cxnSp macro="">
      <xdr:nvCxnSpPr>
        <xdr:cNvPr id="116" name="직선 화살표 연결선 115">
          <a:extLst>
            <a:ext uri="{FF2B5EF4-FFF2-40B4-BE49-F238E27FC236}">
              <a16:creationId xmlns:a16="http://schemas.microsoft.com/office/drawing/2014/main" id="{789315D5-4090-4A4E-B5CA-11794A83666B}"/>
            </a:ext>
          </a:extLst>
        </xdr:cNvPr>
        <xdr:cNvCxnSpPr/>
      </xdr:nvCxnSpPr>
      <xdr:spPr>
        <a:xfrm flipV="1">
          <a:off x="2597184" y="11009746"/>
          <a:ext cx="8007932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16219</xdr:colOff>
      <xdr:row>59</xdr:row>
      <xdr:rowOff>28003</xdr:rowOff>
    </xdr:from>
    <xdr:ext cx="58478" cy="140872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4E84F29-9469-45C3-A804-889FA288DFD8}"/>
            </a:ext>
          </a:extLst>
        </xdr:cNvPr>
        <xdr:cNvSpPr txBox="1"/>
      </xdr:nvSpPr>
      <xdr:spPr>
        <a:xfrm>
          <a:off x="2613369" y="112675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1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15</xdr:col>
      <xdr:colOff>16219</xdr:colOff>
      <xdr:row>59</xdr:row>
      <xdr:rowOff>28003</xdr:rowOff>
    </xdr:from>
    <xdr:ext cx="58478" cy="140872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2F57AF54-754D-4AFD-9181-85E6A23D5C69}"/>
            </a:ext>
          </a:extLst>
        </xdr:cNvPr>
        <xdr:cNvSpPr txBox="1"/>
      </xdr:nvSpPr>
      <xdr:spPr>
        <a:xfrm>
          <a:off x="2841969" y="112675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2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18</xdr:col>
      <xdr:colOff>16219</xdr:colOff>
      <xdr:row>59</xdr:row>
      <xdr:rowOff>28003</xdr:rowOff>
    </xdr:from>
    <xdr:ext cx="58478" cy="140872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EA016B35-DCF9-4592-B11E-270CE837DD4F}"/>
            </a:ext>
          </a:extLst>
        </xdr:cNvPr>
        <xdr:cNvSpPr txBox="1"/>
      </xdr:nvSpPr>
      <xdr:spPr>
        <a:xfrm>
          <a:off x="3070569" y="112675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3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24</xdr:col>
      <xdr:colOff>16219</xdr:colOff>
      <xdr:row>59</xdr:row>
      <xdr:rowOff>34353</xdr:rowOff>
    </xdr:from>
    <xdr:ext cx="58478" cy="140872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E9FE7EF1-3FDB-4B44-8756-E35B821032C6}"/>
            </a:ext>
          </a:extLst>
        </xdr:cNvPr>
        <xdr:cNvSpPr txBox="1"/>
      </xdr:nvSpPr>
      <xdr:spPr>
        <a:xfrm>
          <a:off x="3527769" y="1127385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5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21</xdr:col>
      <xdr:colOff>16219</xdr:colOff>
      <xdr:row>59</xdr:row>
      <xdr:rowOff>28003</xdr:rowOff>
    </xdr:from>
    <xdr:ext cx="58478" cy="140872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DC115B01-8D76-4131-856C-E0D8E0249F0D}"/>
            </a:ext>
          </a:extLst>
        </xdr:cNvPr>
        <xdr:cNvSpPr txBox="1"/>
      </xdr:nvSpPr>
      <xdr:spPr>
        <a:xfrm>
          <a:off x="3299169" y="112675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4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27</xdr:col>
      <xdr:colOff>16219</xdr:colOff>
      <xdr:row>59</xdr:row>
      <xdr:rowOff>28003</xdr:rowOff>
    </xdr:from>
    <xdr:ext cx="58478" cy="140872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27D441B7-BCFD-4147-BCFC-3655FD693970}"/>
            </a:ext>
          </a:extLst>
        </xdr:cNvPr>
        <xdr:cNvSpPr txBox="1"/>
      </xdr:nvSpPr>
      <xdr:spPr>
        <a:xfrm>
          <a:off x="3756369" y="112675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6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30</xdr:col>
      <xdr:colOff>16219</xdr:colOff>
      <xdr:row>59</xdr:row>
      <xdr:rowOff>28003</xdr:rowOff>
    </xdr:from>
    <xdr:ext cx="58478" cy="140872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513B009B-A8AB-429D-BED0-4B6D00905876}"/>
            </a:ext>
          </a:extLst>
        </xdr:cNvPr>
        <xdr:cNvSpPr txBox="1"/>
      </xdr:nvSpPr>
      <xdr:spPr>
        <a:xfrm>
          <a:off x="3984969" y="112675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7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33</xdr:col>
      <xdr:colOff>16219</xdr:colOff>
      <xdr:row>59</xdr:row>
      <xdr:rowOff>28003</xdr:rowOff>
    </xdr:from>
    <xdr:ext cx="58478" cy="140872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8BCB29-B271-4CF3-875B-F58828CEB62B}"/>
            </a:ext>
          </a:extLst>
        </xdr:cNvPr>
        <xdr:cNvSpPr txBox="1"/>
      </xdr:nvSpPr>
      <xdr:spPr>
        <a:xfrm>
          <a:off x="4213569" y="112675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8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36</xdr:col>
      <xdr:colOff>16219</xdr:colOff>
      <xdr:row>59</xdr:row>
      <xdr:rowOff>34353</xdr:rowOff>
    </xdr:from>
    <xdr:ext cx="58478" cy="140872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17542E5-35A1-4540-9A60-0835D96EAD8F}"/>
            </a:ext>
          </a:extLst>
        </xdr:cNvPr>
        <xdr:cNvSpPr txBox="1"/>
      </xdr:nvSpPr>
      <xdr:spPr>
        <a:xfrm>
          <a:off x="4442169" y="1127385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9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117</xdr:col>
      <xdr:colOff>16219</xdr:colOff>
      <xdr:row>59</xdr:row>
      <xdr:rowOff>15303</xdr:rowOff>
    </xdr:from>
    <xdr:ext cx="58478" cy="140872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97E8380-6532-485B-B545-833D43B5D28C}"/>
            </a:ext>
          </a:extLst>
        </xdr:cNvPr>
        <xdr:cNvSpPr txBox="1"/>
      </xdr:nvSpPr>
      <xdr:spPr>
        <a:xfrm>
          <a:off x="10614369" y="112548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1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120</xdr:col>
      <xdr:colOff>16219</xdr:colOff>
      <xdr:row>59</xdr:row>
      <xdr:rowOff>15303</xdr:rowOff>
    </xdr:from>
    <xdr:ext cx="58478" cy="140872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BBE98F78-8A94-4B1E-BBFE-02151D5480E3}"/>
            </a:ext>
          </a:extLst>
        </xdr:cNvPr>
        <xdr:cNvSpPr txBox="1"/>
      </xdr:nvSpPr>
      <xdr:spPr>
        <a:xfrm>
          <a:off x="10842969" y="112548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2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123</xdr:col>
      <xdr:colOff>16219</xdr:colOff>
      <xdr:row>59</xdr:row>
      <xdr:rowOff>15303</xdr:rowOff>
    </xdr:from>
    <xdr:ext cx="58478" cy="140872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ED2B0EAB-9C91-4A5D-81A8-9064050C7071}"/>
            </a:ext>
          </a:extLst>
        </xdr:cNvPr>
        <xdr:cNvSpPr txBox="1"/>
      </xdr:nvSpPr>
      <xdr:spPr>
        <a:xfrm>
          <a:off x="11071569" y="112548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3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129</xdr:col>
      <xdr:colOff>16219</xdr:colOff>
      <xdr:row>59</xdr:row>
      <xdr:rowOff>21653</xdr:rowOff>
    </xdr:from>
    <xdr:ext cx="58478" cy="140872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19B628D-26BB-4638-A5FE-922B04038CAB}"/>
            </a:ext>
          </a:extLst>
        </xdr:cNvPr>
        <xdr:cNvSpPr txBox="1"/>
      </xdr:nvSpPr>
      <xdr:spPr>
        <a:xfrm>
          <a:off x="11528769" y="1126115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5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126</xdr:col>
      <xdr:colOff>16219</xdr:colOff>
      <xdr:row>59</xdr:row>
      <xdr:rowOff>15303</xdr:rowOff>
    </xdr:from>
    <xdr:ext cx="58478" cy="140872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F2CA6FC-4835-416C-824E-6AC52472C155}"/>
            </a:ext>
          </a:extLst>
        </xdr:cNvPr>
        <xdr:cNvSpPr txBox="1"/>
      </xdr:nvSpPr>
      <xdr:spPr>
        <a:xfrm>
          <a:off x="11300169" y="112548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4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132</xdr:col>
      <xdr:colOff>16219</xdr:colOff>
      <xdr:row>59</xdr:row>
      <xdr:rowOff>15303</xdr:rowOff>
    </xdr:from>
    <xdr:ext cx="58478" cy="140872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5E67FA69-F711-448A-BE23-2924E9E48843}"/>
            </a:ext>
          </a:extLst>
        </xdr:cNvPr>
        <xdr:cNvSpPr txBox="1"/>
      </xdr:nvSpPr>
      <xdr:spPr>
        <a:xfrm>
          <a:off x="11757369" y="112548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6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135</xdr:col>
      <xdr:colOff>16219</xdr:colOff>
      <xdr:row>59</xdr:row>
      <xdr:rowOff>15303</xdr:rowOff>
    </xdr:from>
    <xdr:ext cx="58478" cy="140872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55E75A25-C7BA-46D3-A46B-A50147EDB4D1}"/>
            </a:ext>
          </a:extLst>
        </xdr:cNvPr>
        <xdr:cNvSpPr txBox="1"/>
      </xdr:nvSpPr>
      <xdr:spPr>
        <a:xfrm>
          <a:off x="11985969" y="112548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7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138</xdr:col>
      <xdr:colOff>16219</xdr:colOff>
      <xdr:row>59</xdr:row>
      <xdr:rowOff>15303</xdr:rowOff>
    </xdr:from>
    <xdr:ext cx="58478" cy="140872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41BD12FE-7AD2-41CD-8898-678542A9D5DD}"/>
            </a:ext>
          </a:extLst>
        </xdr:cNvPr>
        <xdr:cNvSpPr txBox="1"/>
      </xdr:nvSpPr>
      <xdr:spPr>
        <a:xfrm>
          <a:off x="12214569" y="1125480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8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141</xdr:col>
      <xdr:colOff>16219</xdr:colOff>
      <xdr:row>59</xdr:row>
      <xdr:rowOff>21653</xdr:rowOff>
    </xdr:from>
    <xdr:ext cx="58478" cy="140872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F75E298-FE0D-444D-AD2F-799A02A998B3}"/>
            </a:ext>
          </a:extLst>
        </xdr:cNvPr>
        <xdr:cNvSpPr txBox="1"/>
      </xdr:nvSpPr>
      <xdr:spPr>
        <a:xfrm>
          <a:off x="12443169" y="11261153"/>
          <a:ext cx="5847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aseline="0">
              <a:solidFill>
                <a:sysClr val="windowText" lastClr="000000"/>
              </a:solidFill>
            </a:rPr>
            <a:t>9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36</xdr:col>
      <xdr:colOff>2442</xdr:colOff>
      <xdr:row>56</xdr:row>
      <xdr:rowOff>50797</xdr:rowOff>
    </xdr:from>
    <xdr:to>
      <xdr:col>60</xdr:col>
      <xdr:colOff>1243</xdr:colOff>
      <xdr:row>56</xdr:row>
      <xdr:rowOff>50797</xdr:rowOff>
    </xdr:to>
    <xdr:cxnSp macro="">
      <xdr:nvCxnSpPr>
        <xdr:cNvPr id="135" name="직선 화살표 연결선 134">
          <a:extLst>
            <a:ext uri="{FF2B5EF4-FFF2-40B4-BE49-F238E27FC236}">
              <a16:creationId xmlns:a16="http://schemas.microsoft.com/office/drawing/2014/main" id="{BB3C657A-804C-49C4-965E-7F897749AA13}"/>
            </a:ext>
          </a:extLst>
        </xdr:cNvPr>
        <xdr:cNvCxnSpPr/>
      </xdr:nvCxnSpPr>
      <xdr:spPr>
        <a:xfrm>
          <a:off x="4428392" y="10718797"/>
          <a:ext cx="182760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1288</xdr:colOff>
      <xdr:row>56</xdr:row>
      <xdr:rowOff>50797</xdr:rowOff>
    </xdr:from>
    <xdr:to>
      <xdr:col>84</xdr:col>
      <xdr:colOff>88</xdr:colOff>
      <xdr:row>56</xdr:row>
      <xdr:rowOff>50797</xdr:rowOff>
    </xdr:to>
    <xdr:cxnSp macro="">
      <xdr:nvCxnSpPr>
        <xdr:cNvPr id="136" name="직선 화살표 연결선 135">
          <a:extLst>
            <a:ext uri="{FF2B5EF4-FFF2-40B4-BE49-F238E27FC236}">
              <a16:creationId xmlns:a16="http://schemas.microsoft.com/office/drawing/2014/main" id="{B06186C4-56A1-4664-AA4A-3B86437DF4BC}"/>
            </a:ext>
          </a:extLst>
        </xdr:cNvPr>
        <xdr:cNvCxnSpPr/>
      </xdr:nvCxnSpPr>
      <xdr:spPr>
        <a:xfrm>
          <a:off x="6256038" y="10718797"/>
          <a:ext cx="18276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2443</xdr:colOff>
      <xdr:row>56</xdr:row>
      <xdr:rowOff>50797</xdr:rowOff>
    </xdr:from>
    <xdr:to>
      <xdr:col>117</xdr:col>
      <xdr:colOff>1243</xdr:colOff>
      <xdr:row>56</xdr:row>
      <xdr:rowOff>50797</xdr:rowOff>
    </xdr:to>
    <xdr:cxnSp macro="">
      <xdr:nvCxnSpPr>
        <xdr:cNvPr id="137" name="직선 화살표 연결선 136">
          <a:extLst>
            <a:ext uri="{FF2B5EF4-FFF2-40B4-BE49-F238E27FC236}">
              <a16:creationId xmlns:a16="http://schemas.microsoft.com/office/drawing/2014/main" id="{BD75755D-83BB-453E-822B-A0DF3680062D}"/>
            </a:ext>
          </a:extLst>
        </xdr:cNvPr>
        <xdr:cNvCxnSpPr/>
      </xdr:nvCxnSpPr>
      <xdr:spPr>
        <a:xfrm>
          <a:off x="8771793" y="10718797"/>
          <a:ext cx="18276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0</xdr:colOff>
      <xdr:row>56</xdr:row>
      <xdr:rowOff>52947</xdr:rowOff>
    </xdr:from>
    <xdr:to>
      <xdr:col>89</xdr:col>
      <xdr:colOff>1354</xdr:colOff>
      <xdr:row>56</xdr:row>
      <xdr:rowOff>52947</xdr:rowOff>
    </xdr:to>
    <xdr:cxnSp macro="">
      <xdr:nvCxnSpPr>
        <xdr:cNvPr id="138" name="직선 화살표 연결선 137">
          <a:extLst>
            <a:ext uri="{FF2B5EF4-FFF2-40B4-BE49-F238E27FC236}">
              <a16:creationId xmlns:a16="http://schemas.microsoft.com/office/drawing/2014/main" id="{CF1DB0F7-B193-4EC8-8610-C5B620D5E8C5}"/>
            </a:ext>
          </a:extLst>
        </xdr:cNvPr>
        <xdr:cNvCxnSpPr/>
      </xdr:nvCxnSpPr>
      <xdr:spPr>
        <a:xfrm>
          <a:off x="8083550" y="10720947"/>
          <a:ext cx="38235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19050</xdr:colOff>
      <xdr:row>56</xdr:row>
      <xdr:rowOff>52947</xdr:rowOff>
    </xdr:from>
    <xdr:to>
      <xdr:col>93</xdr:col>
      <xdr:colOff>2280</xdr:colOff>
      <xdr:row>56</xdr:row>
      <xdr:rowOff>52947</xdr:rowOff>
    </xdr:to>
    <xdr:cxnSp macro="">
      <xdr:nvCxnSpPr>
        <xdr:cNvPr id="139" name="직선 화살표 연결선 138">
          <a:extLst>
            <a:ext uri="{FF2B5EF4-FFF2-40B4-BE49-F238E27FC236}">
              <a16:creationId xmlns:a16="http://schemas.microsoft.com/office/drawing/2014/main" id="{DC5866AA-812D-42CE-8E18-140E4804AF74}"/>
            </a:ext>
          </a:extLst>
        </xdr:cNvPr>
        <xdr:cNvCxnSpPr/>
      </xdr:nvCxnSpPr>
      <xdr:spPr>
        <a:xfrm>
          <a:off x="8636000" y="10720947"/>
          <a:ext cx="13563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non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56</xdr:col>
      <xdr:colOff>36238</xdr:colOff>
      <xdr:row>57</xdr:row>
      <xdr:rowOff>51826</xdr:rowOff>
    </xdr:from>
    <xdr:ext cx="1424877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B98E3BC-1550-434F-8B8E-BFFB507BE67A}"/>
            </a:ext>
          </a:extLst>
        </xdr:cNvPr>
        <xdr:cNvSpPr txBox="1"/>
      </xdr:nvSpPr>
      <xdr:spPr>
        <a:xfrm>
          <a:off x="5986188" y="10910326"/>
          <a:ext cx="1424877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SF_SIZE = SF_X8_SIZE * 8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22</xdr:col>
      <xdr:colOff>44352</xdr:colOff>
      <xdr:row>55</xdr:row>
      <xdr:rowOff>135888</xdr:rowOff>
    </xdr:from>
    <xdr:ext cx="160557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AA671B3F-21DF-4BCE-94CF-22389FE01C4F}"/>
            </a:ext>
          </a:extLst>
        </xdr:cNvPr>
        <xdr:cNvSpPr txBox="1"/>
      </xdr:nvSpPr>
      <xdr:spPr>
        <a:xfrm>
          <a:off x="3403502" y="10613388"/>
          <a:ext cx="160557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1</a:t>
          </a:r>
          <a:r>
            <a:rPr lang="en-US" altLang="ko-KR" sz="1100" baseline="30000">
              <a:solidFill>
                <a:sysClr val="windowText" lastClr="000000"/>
              </a:solidFill>
            </a:rPr>
            <a:t>ST</a:t>
          </a:r>
          <a:endParaRPr lang="ko-KR" altLang="en-US" sz="1100" baseline="30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46</xdr:col>
      <xdr:colOff>65519</xdr:colOff>
      <xdr:row>55</xdr:row>
      <xdr:rowOff>137100</xdr:rowOff>
    </xdr:from>
    <xdr:ext cx="190117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711F8D58-4C56-4D58-9922-C5134389416C}"/>
            </a:ext>
          </a:extLst>
        </xdr:cNvPr>
        <xdr:cNvSpPr txBox="1"/>
      </xdr:nvSpPr>
      <xdr:spPr>
        <a:xfrm>
          <a:off x="5253469" y="10614600"/>
          <a:ext cx="190117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2</a:t>
          </a:r>
          <a:r>
            <a:rPr lang="en-US" altLang="ko-KR" sz="1100" baseline="30000">
              <a:solidFill>
                <a:sysClr val="windowText" lastClr="000000"/>
              </a:solidFill>
            </a:rPr>
            <a:t>ND</a:t>
          </a:r>
          <a:endParaRPr lang="ko-KR" altLang="en-US" sz="1100" baseline="30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70</xdr:col>
      <xdr:colOff>71869</xdr:colOff>
      <xdr:row>55</xdr:row>
      <xdr:rowOff>124400</xdr:rowOff>
    </xdr:from>
    <xdr:ext cx="180499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83164121-861E-411B-8774-8FB58225B824}"/>
            </a:ext>
          </a:extLst>
        </xdr:cNvPr>
        <xdr:cNvSpPr txBox="1"/>
      </xdr:nvSpPr>
      <xdr:spPr>
        <a:xfrm>
          <a:off x="7088619" y="10601900"/>
          <a:ext cx="18049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3</a:t>
          </a:r>
          <a:r>
            <a:rPr lang="en-US" altLang="ko-KR" sz="1100" baseline="30000">
              <a:solidFill>
                <a:sysClr val="windowText" lastClr="000000"/>
              </a:solidFill>
            </a:rPr>
            <a:t>RD</a:t>
          </a:r>
          <a:endParaRPr lang="ko-KR" altLang="en-US" sz="1100" baseline="30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103</xdr:col>
      <xdr:colOff>68694</xdr:colOff>
      <xdr:row>55</xdr:row>
      <xdr:rowOff>152975</xdr:rowOff>
    </xdr:from>
    <xdr:ext cx="175946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DD4B8C2E-B379-4706-A6D0-77D6D38F18A7}"/>
            </a:ext>
          </a:extLst>
        </xdr:cNvPr>
        <xdr:cNvSpPr txBox="1"/>
      </xdr:nvSpPr>
      <xdr:spPr>
        <a:xfrm>
          <a:off x="9600044" y="10630475"/>
          <a:ext cx="175946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8</a:t>
          </a:r>
          <a:r>
            <a:rPr lang="en-US" altLang="ko-KR" sz="1100" baseline="30000">
              <a:solidFill>
                <a:sysClr val="windowText" lastClr="000000"/>
              </a:solidFill>
            </a:rPr>
            <a:t>TH</a:t>
          </a:r>
          <a:endParaRPr lang="ko-KR" altLang="en-US" sz="1100" baseline="30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89</xdr:col>
      <xdr:colOff>73512</xdr:colOff>
      <xdr:row>58</xdr:row>
      <xdr:rowOff>187963</xdr:rowOff>
    </xdr:from>
    <xdr:to>
      <xdr:col>90</xdr:col>
      <xdr:colOff>24637</xdr:colOff>
      <xdr:row>60</xdr:row>
      <xdr:rowOff>19788</xdr:rowOff>
    </xdr:to>
    <xdr:grpSp>
      <xdr:nvGrpSpPr>
        <xdr:cNvPr id="145" name="그룹 144">
          <a:extLst>
            <a:ext uri="{FF2B5EF4-FFF2-40B4-BE49-F238E27FC236}">
              <a16:creationId xmlns:a16="http://schemas.microsoft.com/office/drawing/2014/main" id="{CA4F5A66-F04F-4D05-928F-62209D9961AC}"/>
            </a:ext>
          </a:extLst>
        </xdr:cNvPr>
        <xdr:cNvGrpSpPr/>
      </xdr:nvGrpSpPr>
      <xdr:grpSpPr>
        <a:xfrm>
          <a:off x="8541237" y="11236963"/>
          <a:ext cx="30500" cy="212825"/>
          <a:chOff x="8889969" y="717550"/>
          <a:chExt cx="95415" cy="260350"/>
        </a:xfrm>
        <a:solidFill>
          <a:schemeClr val="bg1"/>
        </a:solidFill>
      </xdr:grpSpPr>
      <xdr:sp macro="" textlink="">
        <xdr:nvSpPr>
          <xdr:cNvPr id="146" name="자유형: 도형 145">
            <a:extLst>
              <a:ext uri="{FF2B5EF4-FFF2-40B4-BE49-F238E27FC236}">
                <a16:creationId xmlns:a16="http://schemas.microsoft.com/office/drawing/2014/main" id="{20395567-F61E-8DC8-53D3-C5C1F3A1237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7" name="자유형: 도형 146">
            <a:extLst>
              <a:ext uri="{FF2B5EF4-FFF2-40B4-BE49-F238E27FC236}">
                <a16:creationId xmlns:a16="http://schemas.microsoft.com/office/drawing/2014/main" id="{51C7FC2B-8141-75B8-FBEE-B22C7506731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89</xdr:col>
      <xdr:colOff>70337</xdr:colOff>
      <xdr:row>55</xdr:row>
      <xdr:rowOff>122729</xdr:rowOff>
    </xdr:from>
    <xdr:to>
      <xdr:col>90</xdr:col>
      <xdr:colOff>34162</xdr:colOff>
      <xdr:row>56</xdr:row>
      <xdr:rowOff>151404</xdr:rowOff>
    </xdr:to>
    <xdr:grpSp>
      <xdr:nvGrpSpPr>
        <xdr:cNvPr id="148" name="그룹 147">
          <a:extLst>
            <a:ext uri="{FF2B5EF4-FFF2-40B4-BE49-F238E27FC236}">
              <a16:creationId xmlns:a16="http://schemas.microsoft.com/office/drawing/2014/main" id="{3C28349C-4EDC-458E-BECF-B8D64886B991}"/>
            </a:ext>
          </a:extLst>
        </xdr:cNvPr>
        <xdr:cNvGrpSpPr/>
      </xdr:nvGrpSpPr>
      <xdr:grpSpPr>
        <a:xfrm>
          <a:off x="8534887" y="10603404"/>
          <a:ext cx="40025" cy="216000"/>
          <a:chOff x="8889969" y="717550"/>
          <a:chExt cx="95415" cy="260350"/>
        </a:xfrm>
        <a:solidFill>
          <a:schemeClr val="bg1"/>
        </a:solidFill>
      </xdr:grpSpPr>
      <xdr:sp macro="" textlink="">
        <xdr:nvSpPr>
          <xdr:cNvPr id="149" name="자유형: 도형 148">
            <a:extLst>
              <a:ext uri="{FF2B5EF4-FFF2-40B4-BE49-F238E27FC236}">
                <a16:creationId xmlns:a16="http://schemas.microsoft.com/office/drawing/2014/main" id="{A0D52372-1660-F01D-1F10-7E2991FB289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자유형: 도형 149">
            <a:extLst>
              <a:ext uri="{FF2B5EF4-FFF2-40B4-BE49-F238E27FC236}">
                <a16:creationId xmlns:a16="http://schemas.microsoft.com/office/drawing/2014/main" id="{BCE3B510-DF14-B646-DA8C-B6B5652F5E5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89</xdr:col>
      <xdr:colOff>63987</xdr:colOff>
      <xdr:row>60</xdr:row>
      <xdr:rowOff>187963</xdr:rowOff>
    </xdr:from>
    <xdr:to>
      <xdr:col>90</xdr:col>
      <xdr:colOff>24637</xdr:colOff>
      <xdr:row>62</xdr:row>
      <xdr:rowOff>19788</xdr:rowOff>
    </xdr:to>
    <xdr:grpSp>
      <xdr:nvGrpSpPr>
        <xdr:cNvPr id="151" name="그룹 150">
          <a:extLst>
            <a:ext uri="{FF2B5EF4-FFF2-40B4-BE49-F238E27FC236}">
              <a16:creationId xmlns:a16="http://schemas.microsoft.com/office/drawing/2014/main" id="{85738152-189F-4808-A5F4-FF9DBE837724}"/>
            </a:ext>
          </a:extLst>
        </xdr:cNvPr>
        <xdr:cNvGrpSpPr/>
      </xdr:nvGrpSpPr>
      <xdr:grpSpPr>
        <a:xfrm>
          <a:off x="8534887" y="11617963"/>
          <a:ext cx="36850" cy="212825"/>
          <a:chOff x="8889969" y="717550"/>
          <a:chExt cx="95415" cy="260350"/>
        </a:xfrm>
        <a:solidFill>
          <a:schemeClr val="bg1"/>
        </a:solidFill>
      </xdr:grpSpPr>
      <xdr:sp macro="" textlink="">
        <xdr:nvSpPr>
          <xdr:cNvPr id="152" name="자유형: 도형 151">
            <a:extLst>
              <a:ext uri="{FF2B5EF4-FFF2-40B4-BE49-F238E27FC236}">
                <a16:creationId xmlns:a16="http://schemas.microsoft.com/office/drawing/2014/main" id="{7EB03B39-0463-D5AE-4BA4-32AABDFECCC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86DA6DD8-C9F9-F9A9-07F1-8EE8976752F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92</xdr:col>
      <xdr:colOff>70337</xdr:colOff>
      <xdr:row>63</xdr:row>
      <xdr:rowOff>187963</xdr:rowOff>
    </xdr:from>
    <xdr:to>
      <xdr:col>93</xdr:col>
      <xdr:colOff>30987</xdr:colOff>
      <xdr:row>65</xdr:row>
      <xdr:rowOff>19788</xdr:rowOff>
    </xdr:to>
    <xdr:grpSp>
      <xdr:nvGrpSpPr>
        <xdr:cNvPr id="154" name="그룹 153">
          <a:extLst>
            <a:ext uri="{FF2B5EF4-FFF2-40B4-BE49-F238E27FC236}">
              <a16:creationId xmlns:a16="http://schemas.microsoft.com/office/drawing/2014/main" id="{94E3AECA-F454-444F-A03C-76275187F7D0}"/>
            </a:ext>
          </a:extLst>
        </xdr:cNvPr>
        <xdr:cNvGrpSpPr/>
      </xdr:nvGrpSpPr>
      <xdr:grpSpPr>
        <a:xfrm>
          <a:off x="8763487" y="12189463"/>
          <a:ext cx="36850" cy="212825"/>
          <a:chOff x="8889969" y="717550"/>
          <a:chExt cx="95415" cy="260350"/>
        </a:xfrm>
        <a:solidFill>
          <a:schemeClr val="bg1"/>
        </a:solidFill>
      </xdr:grpSpPr>
      <xdr:sp macro="" textlink="">
        <xdr:nvSpPr>
          <xdr:cNvPr id="155" name="자유형: 도형 154">
            <a:extLst>
              <a:ext uri="{FF2B5EF4-FFF2-40B4-BE49-F238E27FC236}">
                <a16:creationId xmlns:a16="http://schemas.microsoft.com/office/drawing/2014/main" id="{B504A431-7023-9B6F-AAF0-9A674DDD744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6" name="자유형: 도형 155">
            <a:extLst>
              <a:ext uri="{FF2B5EF4-FFF2-40B4-BE49-F238E27FC236}">
                <a16:creationId xmlns:a16="http://schemas.microsoft.com/office/drawing/2014/main" id="{89B7673E-5134-5D35-1BAB-37CDB3A60C2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28</xdr:col>
      <xdr:colOff>76111</xdr:colOff>
      <xdr:row>67</xdr:row>
      <xdr:rowOff>11636</xdr:rowOff>
    </xdr:from>
    <xdr:ext cx="895245" cy="156518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D3F31630-E969-498F-B396-554B5AB6CCAB}"/>
            </a:ext>
          </a:extLst>
        </xdr:cNvPr>
        <xdr:cNvSpPr txBox="1"/>
      </xdr:nvSpPr>
      <xdr:spPr>
        <a:xfrm>
          <a:off x="3892461" y="12775136"/>
          <a:ext cx="89524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#1 CHx_LD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135</xdr:col>
      <xdr:colOff>35170</xdr:colOff>
      <xdr:row>67</xdr:row>
      <xdr:rowOff>19718</xdr:rowOff>
    </xdr:from>
    <xdr:ext cx="904735" cy="156518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D3DBE11A-7607-4520-AEEE-ABCA139997C4}"/>
            </a:ext>
          </a:extLst>
        </xdr:cNvPr>
        <xdr:cNvSpPr txBox="1"/>
      </xdr:nvSpPr>
      <xdr:spPr>
        <a:xfrm>
          <a:off x="12004920" y="12783218"/>
          <a:ext cx="90473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#2 CHx_LD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92</xdr:col>
      <xdr:colOff>60812</xdr:colOff>
      <xdr:row>66</xdr:row>
      <xdr:rowOff>187964</xdr:rowOff>
    </xdr:from>
    <xdr:to>
      <xdr:col>93</xdr:col>
      <xdr:colOff>24637</xdr:colOff>
      <xdr:row>68</xdr:row>
      <xdr:rowOff>19789</xdr:rowOff>
    </xdr:to>
    <xdr:grpSp>
      <xdr:nvGrpSpPr>
        <xdr:cNvPr id="159" name="그룹 158">
          <a:extLst>
            <a:ext uri="{FF2B5EF4-FFF2-40B4-BE49-F238E27FC236}">
              <a16:creationId xmlns:a16="http://schemas.microsoft.com/office/drawing/2014/main" id="{2775754F-7156-4493-9E44-35C7BE6BE516}"/>
            </a:ext>
          </a:extLst>
        </xdr:cNvPr>
        <xdr:cNvGrpSpPr/>
      </xdr:nvGrpSpPr>
      <xdr:grpSpPr>
        <a:xfrm>
          <a:off x="8760312" y="12760964"/>
          <a:ext cx="40025" cy="212825"/>
          <a:chOff x="8889969" y="717550"/>
          <a:chExt cx="95415" cy="260350"/>
        </a:xfrm>
        <a:solidFill>
          <a:schemeClr val="bg1"/>
        </a:solidFill>
      </xdr:grpSpPr>
      <xdr:sp macro="" textlink="">
        <xdr:nvSpPr>
          <xdr:cNvPr id="160" name="자유형: 도형 159">
            <a:extLst>
              <a:ext uri="{FF2B5EF4-FFF2-40B4-BE49-F238E27FC236}">
                <a16:creationId xmlns:a16="http://schemas.microsoft.com/office/drawing/2014/main" id="{EE3C1EE4-A6E9-7B18-2ED1-8BDF4AB8EE6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1" name="자유형: 도형 160">
            <a:extLst>
              <a:ext uri="{FF2B5EF4-FFF2-40B4-BE49-F238E27FC236}">
                <a16:creationId xmlns:a16="http://schemas.microsoft.com/office/drawing/2014/main" id="{BC8B24B9-A198-7B33-31B5-A810261ED49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43</xdr:col>
      <xdr:colOff>76200</xdr:colOff>
      <xdr:row>64</xdr:row>
      <xdr:rowOff>9525</xdr:rowOff>
    </xdr:from>
    <xdr:ext cx="904735" cy="156518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E0694F7C-EA03-4320-81F8-039286EDD7BE}"/>
            </a:ext>
          </a:extLst>
        </xdr:cNvPr>
        <xdr:cNvSpPr txBox="1"/>
      </xdr:nvSpPr>
      <xdr:spPr>
        <a:xfrm>
          <a:off x="5035550" y="12201525"/>
          <a:ext cx="90473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#1 CH1_LD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53</xdr:col>
      <xdr:colOff>38011</xdr:colOff>
      <xdr:row>67</xdr:row>
      <xdr:rowOff>21161</xdr:rowOff>
    </xdr:from>
    <xdr:ext cx="895245" cy="156518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D901C66B-6826-4674-B7A6-ACA599EC3036}"/>
            </a:ext>
          </a:extLst>
        </xdr:cNvPr>
        <xdr:cNvSpPr txBox="1"/>
      </xdr:nvSpPr>
      <xdr:spPr>
        <a:xfrm>
          <a:off x="5759361" y="12784661"/>
          <a:ext cx="89524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#1 CHx_LD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148</xdr:col>
      <xdr:colOff>76200</xdr:colOff>
      <xdr:row>64</xdr:row>
      <xdr:rowOff>9525</xdr:rowOff>
    </xdr:from>
    <xdr:ext cx="904735" cy="156518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B8A7BFA3-EB59-43D3-AB27-703AB1FEB4FD}"/>
            </a:ext>
          </a:extLst>
        </xdr:cNvPr>
        <xdr:cNvSpPr txBox="1"/>
      </xdr:nvSpPr>
      <xdr:spPr>
        <a:xfrm>
          <a:off x="13036550" y="12201525"/>
          <a:ext cx="90473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#2 CH1_LD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159</xdr:col>
      <xdr:colOff>13299</xdr:colOff>
      <xdr:row>67</xdr:row>
      <xdr:rowOff>30493</xdr:rowOff>
    </xdr:from>
    <xdr:ext cx="895245" cy="156518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3611409A-86DD-4C6E-B7A8-3350A8FACF61}"/>
            </a:ext>
          </a:extLst>
        </xdr:cNvPr>
        <xdr:cNvSpPr txBox="1"/>
      </xdr:nvSpPr>
      <xdr:spPr>
        <a:xfrm>
          <a:off x="13811849" y="12793993"/>
          <a:ext cx="89524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#2 CHx_LD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89</xdr:col>
      <xdr:colOff>60459</xdr:colOff>
      <xdr:row>48</xdr:row>
      <xdr:rowOff>185141</xdr:rowOff>
    </xdr:from>
    <xdr:to>
      <xdr:col>90</xdr:col>
      <xdr:colOff>21109</xdr:colOff>
      <xdr:row>50</xdr:row>
      <xdr:rowOff>16966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E66308DD-3DBF-42C0-8F3E-6CBEFC8ED44D}"/>
            </a:ext>
          </a:extLst>
        </xdr:cNvPr>
        <xdr:cNvGrpSpPr/>
      </xdr:nvGrpSpPr>
      <xdr:grpSpPr>
        <a:xfrm>
          <a:off x="8531359" y="9325966"/>
          <a:ext cx="33675" cy="216000"/>
          <a:chOff x="8889969" y="717550"/>
          <a:chExt cx="95415" cy="260350"/>
        </a:xfrm>
        <a:solidFill>
          <a:schemeClr val="bg1"/>
        </a:solidFill>
      </xdr:grpSpPr>
      <xdr:sp macro="" textlink="">
        <xdr:nvSpPr>
          <xdr:cNvPr id="167" name="자유형: 도형 166">
            <a:extLst>
              <a:ext uri="{FF2B5EF4-FFF2-40B4-BE49-F238E27FC236}">
                <a16:creationId xmlns:a16="http://schemas.microsoft.com/office/drawing/2014/main" id="{2C9F32AF-C778-7CA6-2705-606AD728834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9D74F2F6-7779-32F7-05AB-679D8491FB8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grp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77130</xdr:colOff>
      <xdr:row>27</xdr:row>
      <xdr:rowOff>101920</xdr:rowOff>
    </xdr:from>
    <xdr:to>
      <xdr:col>35</xdr:col>
      <xdr:colOff>68463</xdr:colOff>
      <xdr:row>27</xdr:row>
      <xdr:rowOff>101920</xdr:rowOff>
    </xdr:to>
    <xdr:cxnSp macro="">
      <xdr:nvCxnSpPr>
        <xdr:cNvPr id="169" name="직선 화살표 연결선 168">
          <a:extLst>
            <a:ext uri="{FF2B5EF4-FFF2-40B4-BE49-F238E27FC236}">
              <a16:creationId xmlns:a16="http://schemas.microsoft.com/office/drawing/2014/main" id="{77DC181B-6872-4BA1-95BE-2A4319806F63}"/>
            </a:ext>
          </a:extLst>
        </xdr:cNvPr>
        <xdr:cNvCxnSpPr/>
      </xdr:nvCxnSpPr>
      <xdr:spPr>
        <a:xfrm>
          <a:off x="2598080" y="5245420"/>
          <a:ext cx="1820133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7761</xdr:colOff>
      <xdr:row>27</xdr:row>
      <xdr:rowOff>12862</xdr:rowOff>
    </xdr:from>
    <xdr:ext cx="582532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CF09A0A1-8A54-4766-A44B-03EDC146203F}"/>
            </a:ext>
          </a:extLst>
        </xdr:cNvPr>
        <xdr:cNvSpPr txBox="1"/>
      </xdr:nvSpPr>
      <xdr:spPr>
        <a:xfrm>
          <a:off x="3214511" y="5156362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6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48</xdr:col>
      <xdr:colOff>6571</xdr:colOff>
      <xdr:row>14</xdr:row>
      <xdr:rowOff>101920</xdr:rowOff>
    </xdr:from>
    <xdr:to>
      <xdr:col>71</xdr:col>
      <xdr:colOff>75516</xdr:colOff>
      <xdr:row>14</xdr:row>
      <xdr:rowOff>101920</xdr:rowOff>
    </xdr:to>
    <xdr:cxnSp macro="">
      <xdr:nvCxnSpPr>
        <xdr:cNvPr id="171" name="직선 화살표 연결선 170">
          <a:extLst>
            <a:ext uri="{FF2B5EF4-FFF2-40B4-BE49-F238E27FC236}">
              <a16:creationId xmlns:a16="http://schemas.microsoft.com/office/drawing/2014/main" id="{76F75730-E14C-4A67-8CA5-97FD2EFA230D}"/>
            </a:ext>
          </a:extLst>
        </xdr:cNvPr>
        <xdr:cNvCxnSpPr/>
      </xdr:nvCxnSpPr>
      <xdr:spPr>
        <a:xfrm>
          <a:off x="5346921" y="2768920"/>
          <a:ext cx="182154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52</xdr:col>
      <xdr:colOff>63499</xdr:colOff>
      <xdr:row>13</xdr:row>
      <xdr:rowOff>182194</xdr:rowOff>
    </xdr:from>
    <xdr:ext cx="699872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519AA22B-35F4-43ED-A5D9-CC45E4EB3024}"/>
            </a:ext>
          </a:extLst>
        </xdr:cNvPr>
        <xdr:cNvSpPr txBox="1"/>
      </xdr:nvSpPr>
      <xdr:spPr>
        <a:xfrm>
          <a:off x="5708649" y="2658694"/>
          <a:ext cx="69987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n-7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20</xdr:col>
      <xdr:colOff>4927</xdr:colOff>
      <xdr:row>30</xdr:row>
      <xdr:rowOff>99098</xdr:rowOff>
    </xdr:from>
    <xdr:to>
      <xdr:col>43</xdr:col>
      <xdr:colOff>72695</xdr:colOff>
      <xdr:row>30</xdr:row>
      <xdr:rowOff>99098</xdr:rowOff>
    </xdr:to>
    <xdr:cxnSp macro="">
      <xdr:nvCxnSpPr>
        <xdr:cNvPr id="173" name="직선 화살표 연결선 172">
          <a:extLst>
            <a:ext uri="{FF2B5EF4-FFF2-40B4-BE49-F238E27FC236}">
              <a16:creationId xmlns:a16="http://schemas.microsoft.com/office/drawing/2014/main" id="{2FBD00C8-C6AD-4AEB-9BC0-275990BD8026}"/>
            </a:ext>
          </a:extLst>
        </xdr:cNvPr>
        <xdr:cNvCxnSpPr/>
      </xdr:nvCxnSpPr>
      <xdr:spPr>
        <a:xfrm>
          <a:off x="3211677" y="5814098"/>
          <a:ext cx="1820368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19049</xdr:colOff>
      <xdr:row>30</xdr:row>
      <xdr:rowOff>10040</xdr:rowOff>
    </xdr:from>
    <xdr:ext cx="582532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7B95E2F0-2F75-4724-AEA4-02A0DCB49D77}"/>
            </a:ext>
          </a:extLst>
        </xdr:cNvPr>
        <xdr:cNvSpPr txBox="1"/>
      </xdr:nvSpPr>
      <xdr:spPr>
        <a:xfrm>
          <a:off x="3835399" y="5725040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6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42</xdr:col>
      <xdr:colOff>7329</xdr:colOff>
      <xdr:row>49</xdr:row>
      <xdr:rowOff>97637</xdr:rowOff>
    </xdr:from>
    <xdr:to>
      <xdr:col>44</xdr:col>
      <xdr:colOff>68106</xdr:colOff>
      <xdr:row>49</xdr:row>
      <xdr:rowOff>97637</xdr:rowOff>
    </xdr:to>
    <xdr:cxnSp macro="">
      <xdr:nvCxnSpPr>
        <xdr:cNvPr id="175" name="직선 화살표 연결선 174">
          <a:extLst>
            <a:ext uri="{FF2B5EF4-FFF2-40B4-BE49-F238E27FC236}">
              <a16:creationId xmlns:a16="http://schemas.microsoft.com/office/drawing/2014/main" id="{96C7E975-11E1-465A-90F4-30C362FD5B8D}"/>
            </a:ext>
          </a:extLst>
        </xdr:cNvPr>
        <xdr:cNvCxnSpPr/>
      </xdr:nvCxnSpPr>
      <xdr:spPr>
        <a:xfrm>
          <a:off x="4890479" y="9432137"/>
          <a:ext cx="21317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5000</xdr:colOff>
      <xdr:row>47</xdr:row>
      <xdr:rowOff>167426</xdr:rowOff>
    </xdr:from>
    <xdr:ext cx="582532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BBBAA964-2852-4617-A332-477CBDE201F5}"/>
            </a:ext>
          </a:extLst>
        </xdr:cNvPr>
        <xdr:cNvSpPr txBox="1"/>
      </xdr:nvSpPr>
      <xdr:spPr>
        <a:xfrm>
          <a:off x="4507150" y="9120926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12</xdr:col>
      <xdr:colOff>12317</xdr:colOff>
      <xdr:row>64</xdr:row>
      <xdr:rowOff>95067</xdr:rowOff>
    </xdr:from>
    <xdr:to>
      <xdr:col>14</xdr:col>
      <xdr:colOff>73095</xdr:colOff>
      <xdr:row>64</xdr:row>
      <xdr:rowOff>95067</xdr:rowOff>
    </xdr:to>
    <xdr:cxnSp macro="">
      <xdr:nvCxnSpPr>
        <xdr:cNvPr id="177" name="직선 화살표 연결선 176">
          <a:extLst>
            <a:ext uri="{FF2B5EF4-FFF2-40B4-BE49-F238E27FC236}">
              <a16:creationId xmlns:a16="http://schemas.microsoft.com/office/drawing/2014/main" id="{623B68E0-CF7A-4C4B-88F6-0A3AC304C370}"/>
            </a:ext>
          </a:extLst>
        </xdr:cNvPr>
        <xdr:cNvCxnSpPr/>
      </xdr:nvCxnSpPr>
      <xdr:spPr>
        <a:xfrm>
          <a:off x="2609467" y="12287067"/>
          <a:ext cx="213178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27515</xdr:colOff>
      <xdr:row>63</xdr:row>
      <xdr:rowOff>8426</xdr:rowOff>
    </xdr:from>
    <xdr:ext cx="582532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C6F46E64-23A4-4A37-96A7-EAA51529DB33}"/>
            </a:ext>
          </a:extLst>
        </xdr:cNvPr>
        <xdr:cNvSpPr txBox="1"/>
      </xdr:nvSpPr>
      <xdr:spPr>
        <a:xfrm>
          <a:off x="2624665" y="12009926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21</xdr:col>
      <xdr:colOff>12742</xdr:colOff>
      <xdr:row>67</xdr:row>
      <xdr:rowOff>97846</xdr:rowOff>
    </xdr:from>
    <xdr:to>
      <xdr:col>23</xdr:col>
      <xdr:colOff>73519</xdr:colOff>
      <xdr:row>67</xdr:row>
      <xdr:rowOff>97846</xdr:rowOff>
    </xdr:to>
    <xdr:cxnSp macro="">
      <xdr:nvCxnSpPr>
        <xdr:cNvPr id="179" name="직선 화살표 연결선 178">
          <a:extLst>
            <a:ext uri="{FF2B5EF4-FFF2-40B4-BE49-F238E27FC236}">
              <a16:creationId xmlns:a16="http://schemas.microsoft.com/office/drawing/2014/main" id="{6EC4F8F8-2C37-496E-BB0C-7FBCAB796EC6}"/>
            </a:ext>
          </a:extLst>
        </xdr:cNvPr>
        <xdr:cNvCxnSpPr/>
      </xdr:nvCxnSpPr>
      <xdr:spPr>
        <a:xfrm>
          <a:off x="3295692" y="12861346"/>
          <a:ext cx="21317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4454</xdr:colOff>
      <xdr:row>11</xdr:row>
      <xdr:rowOff>103331</xdr:rowOff>
    </xdr:from>
    <xdr:to>
      <xdr:col>115</xdr:col>
      <xdr:colOff>71054</xdr:colOff>
      <xdr:row>11</xdr:row>
      <xdr:rowOff>103331</xdr:rowOff>
    </xdr:to>
    <xdr:cxnSp macro="">
      <xdr:nvCxnSpPr>
        <xdr:cNvPr id="180" name="직선 화살표 연결선 179">
          <a:extLst>
            <a:ext uri="{FF2B5EF4-FFF2-40B4-BE49-F238E27FC236}">
              <a16:creationId xmlns:a16="http://schemas.microsoft.com/office/drawing/2014/main" id="{A25077F6-0230-4803-AF3B-6E7144745B47}"/>
            </a:ext>
          </a:extLst>
        </xdr:cNvPr>
        <xdr:cNvCxnSpPr/>
      </xdr:nvCxnSpPr>
      <xdr:spPr>
        <a:xfrm>
          <a:off x="8392804" y="2198831"/>
          <a:ext cx="21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99</xdr:col>
      <xdr:colOff>48683</xdr:colOff>
      <xdr:row>10</xdr:row>
      <xdr:rowOff>183605</xdr:rowOff>
    </xdr:from>
    <xdr:ext cx="699872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DDB75F4B-273A-4CD9-A3C6-2AEDAA588F83}"/>
            </a:ext>
          </a:extLst>
        </xdr:cNvPr>
        <xdr:cNvSpPr txBox="1"/>
      </xdr:nvSpPr>
      <xdr:spPr>
        <a:xfrm>
          <a:off x="9275233" y="2088605"/>
          <a:ext cx="69987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n-6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95</xdr:col>
      <xdr:colOff>74304</xdr:colOff>
      <xdr:row>14</xdr:row>
      <xdr:rowOff>109681</xdr:rowOff>
    </xdr:from>
    <xdr:to>
      <xdr:col>123</xdr:col>
      <xdr:colOff>64704</xdr:colOff>
      <xdr:row>14</xdr:row>
      <xdr:rowOff>109681</xdr:rowOff>
    </xdr:to>
    <xdr:cxnSp macro="">
      <xdr:nvCxnSpPr>
        <xdr:cNvPr id="182" name="직선 화살표 연결선 181">
          <a:extLst>
            <a:ext uri="{FF2B5EF4-FFF2-40B4-BE49-F238E27FC236}">
              <a16:creationId xmlns:a16="http://schemas.microsoft.com/office/drawing/2014/main" id="{B14702A4-57F6-4811-AC17-02615802B8FF}"/>
            </a:ext>
          </a:extLst>
        </xdr:cNvPr>
        <xdr:cNvCxnSpPr/>
      </xdr:nvCxnSpPr>
      <xdr:spPr>
        <a:xfrm>
          <a:off x="8996054" y="2776681"/>
          <a:ext cx="21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105</xdr:col>
      <xdr:colOff>16933</xdr:colOff>
      <xdr:row>13</xdr:row>
      <xdr:rowOff>183605</xdr:rowOff>
    </xdr:from>
    <xdr:ext cx="699872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6DB64443-1A28-4734-ABA0-40398BD6B2B3}"/>
            </a:ext>
          </a:extLst>
        </xdr:cNvPr>
        <xdr:cNvSpPr txBox="1"/>
      </xdr:nvSpPr>
      <xdr:spPr>
        <a:xfrm>
          <a:off x="9700683" y="2660105"/>
          <a:ext cx="69987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n-6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133</xdr:col>
      <xdr:colOff>59371</xdr:colOff>
      <xdr:row>14</xdr:row>
      <xdr:rowOff>8689</xdr:rowOff>
    </xdr:from>
    <xdr:ext cx="932499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A84471AB-F495-4C5D-8A9C-0FA10E820968}"/>
            </a:ext>
          </a:extLst>
        </xdr:cNvPr>
        <xdr:cNvSpPr txBox="1"/>
      </xdr:nvSpPr>
      <xdr:spPr>
        <a:xfrm>
          <a:off x="11876721" y="2675689"/>
          <a:ext cx="93249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ysClr val="windowText" lastClr="000000"/>
              </a:solidFill>
            </a:rPr>
            <a:t>#3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CH1_</a:t>
          </a:r>
          <a:r>
            <a:rPr lang="en-US" altLang="ko-KR" sz="1000" baseline="0">
              <a:solidFill>
                <a:sysClr val="windowText" lastClr="000000"/>
              </a:solidFill>
            </a:rPr>
            <a:t>LD [15:0]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64</xdr:col>
      <xdr:colOff>3633</xdr:colOff>
      <xdr:row>27</xdr:row>
      <xdr:rowOff>96629</xdr:rowOff>
    </xdr:from>
    <xdr:to>
      <xdr:col>91</xdr:col>
      <xdr:colOff>63883</xdr:colOff>
      <xdr:row>27</xdr:row>
      <xdr:rowOff>96629</xdr:rowOff>
    </xdr:to>
    <xdr:cxnSp macro="">
      <xdr:nvCxnSpPr>
        <xdr:cNvPr id="185" name="직선 화살표 연결선 184">
          <a:extLst>
            <a:ext uri="{FF2B5EF4-FFF2-40B4-BE49-F238E27FC236}">
              <a16:creationId xmlns:a16="http://schemas.microsoft.com/office/drawing/2014/main" id="{EC08A3DE-DBD0-4493-A66F-49FE70AE4BB5}"/>
            </a:ext>
          </a:extLst>
        </xdr:cNvPr>
        <xdr:cNvCxnSpPr/>
      </xdr:nvCxnSpPr>
      <xdr:spPr>
        <a:xfrm>
          <a:off x="6563183" y="5240129"/>
          <a:ext cx="211765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9512</xdr:colOff>
      <xdr:row>30</xdr:row>
      <xdr:rowOff>99569</xdr:rowOff>
    </xdr:from>
    <xdr:to>
      <xdr:col>99</xdr:col>
      <xdr:colOff>69762</xdr:colOff>
      <xdr:row>30</xdr:row>
      <xdr:rowOff>99569</xdr:rowOff>
    </xdr:to>
    <xdr:cxnSp macro="">
      <xdr:nvCxnSpPr>
        <xdr:cNvPr id="186" name="직선 화살표 연결선 185">
          <a:extLst>
            <a:ext uri="{FF2B5EF4-FFF2-40B4-BE49-F238E27FC236}">
              <a16:creationId xmlns:a16="http://schemas.microsoft.com/office/drawing/2014/main" id="{BEB890E5-6904-4211-A5FE-F72A13A11F1A}"/>
            </a:ext>
          </a:extLst>
        </xdr:cNvPr>
        <xdr:cNvCxnSpPr/>
      </xdr:nvCxnSpPr>
      <xdr:spPr>
        <a:xfrm>
          <a:off x="7178662" y="5814569"/>
          <a:ext cx="211765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74</xdr:col>
      <xdr:colOff>19756</xdr:colOff>
      <xdr:row>27</xdr:row>
      <xdr:rowOff>8746</xdr:rowOff>
    </xdr:from>
    <xdr:ext cx="582532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1DABFA29-BD00-49D4-8822-DC6FB1CEF3C8}"/>
            </a:ext>
          </a:extLst>
        </xdr:cNvPr>
        <xdr:cNvSpPr txBox="1"/>
      </xdr:nvSpPr>
      <xdr:spPr>
        <a:xfrm>
          <a:off x="7341306" y="5152246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7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82</xdr:col>
      <xdr:colOff>31044</xdr:colOff>
      <xdr:row>30</xdr:row>
      <xdr:rowOff>5924</xdr:rowOff>
    </xdr:from>
    <xdr:ext cx="582532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3603ACB2-B73F-46F7-8195-63FE2D20672D}"/>
            </a:ext>
          </a:extLst>
        </xdr:cNvPr>
        <xdr:cNvSpPr txBox="1"/>
      </xdr:nvSpPr>
      <xdr:spPr>
        <a:xfrm>
          <a:off x="7962194" y="5720924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7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19</xdr:col>
      <xdr:colOff>39285</xdr:colOff>
      <xdr:row>38</xdr:row>
      <xdr:rowOff>87338</xdr:rowOff>
    </xdr:from>
    <xdr:ext cx="855683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9D04FEC0-C381-43E9-A6F2-F29C870AC4EF}"/>
            </a:ext>
          </a:extLst>
        </xdr:cNvPr>
        <xdr:cNvSpPr txBox="1"/>
      </xdr:nvSpPr>
      <xdr:spPr>
        <a:xfrm>
          <a:off x="3169835" y="7326338"/>
          <a:ext cx="85568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SF_X8_SIZE = 8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18</xdr:col>
      <xdr:colOff>59347</xdr:colOff>
      <xdr:row>56</xdr:row>
      <xdr:rowOff>99886</xdr:rowOff>
    </xdr:from>
    <xdr:ext cx="855683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F7DCC780-B1D5-4F5A-9907-BD88918805D5}"/>
            </a:ext>
          </a:extLst>
        </xdr:cNvPr>
        <xdr:cNvSpPr txBox="1"/>
      </xdr:nvSpPr>
      <xdr:spPr>
        <a:xfrm>
          <a:off x="3113697" y="10767886"/>
          <a:ext cx="85568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SF_X8_SIZE = 8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57</xdr:col>
      <xdr:colOff>13885</xdr:colOff>
      <xdr:row>46</xdr:row>
      <xdr:rowOff>89101</xdr:rowOff>
    </xdr:from>
    <xdr:to>
      <xdr:col>59</xdr:col>
      <xdr:colOff>74663</xdr:colOff>
      <xdr:row>46</xdr:row>
      <xdr:rowOff>89101</xdr:rowOff>
    </xdr:to>
    <xdr:cxnSp macro="">
      <xdr:nvCxnSpPr>
        <xdr:cNvPr id="191" name="직선 화살표 연결선 190">
          <a:extLst>
            <a:ext uri="{FF2B5EF4-FFF2-40B4-BE49-F238E27FC236}">
              <a16:creationId xmlns:a16="http://schemas.microsoft.com/office/drawing/2014/main" id="{5F82BB19-D088-4DBA-9B75-AC0FC1615D8D}"/>
            </a:ext>
          </a:extLst>
        </xdr:cNvPr>
        <xdr:cNvCxnSpPr/>
      </xdr:nvCxnSpPr>
      <xdr:spPr>
        <a:xfrm>
          <a:off x="6040035" y="8852101"/>
          <a:ext cx="213178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52</xdr:col>
      <xdr:colOff>3007</xdr:colOff>
      <xdr:row>44</xdr:row>
      <xdr:rowOff>170963</xdr:rowOff>
    </xdr:from>
    <xdr:ext cx="582532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7C993745-2E64-4553-8FD0-9995C64DC3D8}"/>
            </a:ext>
          </a:extLst>
        </xdr:cNvPr>
        <xdr:cNvSpPr txBox="1"/>
      </xdr:nvSpPr>
      <xdr:spPr>
        <a:xfrm>
          <a:off x="5648157" y="8552963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66</xdr:col>
      <xdr:colOff>3865</xdr:colOff>
      <xdr:row>49</xdr:row>
      <xdr:rowOff>88401</xdr:rowOff>
    </xdr:from>
    <xdr:to>
      <xdr:col>68</xdr:col>
      <xdr:colOff>64642</xdr:colOff>
      <xdr:row>49</xdr:row>
      <xdr:rowOff>88401</xdr:rowOff>
    </xdr:to>
    <xdr:cxnSp macro="">
      <xdr:nvCxnSpPr>
        <xdr:cNvPr id="193" name="직선 화살표 연결선 192">
          <a:extLst>
            <a:ext uri="{FF2B5EF4-FFF2-40B4-BE49-F238E27FC236}">
              <a16:creationId xmlns:a16="http://schemas.microsoft.com/office/drawing/2014/main" id="{86F4C9EC-4107-46F5-88DA-9FF6F985E114}"/>
            </a:ext>
          </a:extLst>
        </xdr:cNvPr>
        <xdr:cNvCxnSpPr/>
      </xdr:nvCxnSpPr>
      <xdr:spPr>
        <a:xfrm>
          <a:off x="6715815" y="9422901"/>
          <a:ext cx="21317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61</xdr:col>
      <xdr:colOff>1536</xdr:colOff>
      <xdr:row>47</xdr:row>
      <xdr:rowOff>167176</xdr:rowOff>
    </xdr:from>
    <xdr:ext cx="582532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FCA3A494-EC1E-4281-9032-31E85F6FC68A}"/>
            </a:ext>
          </a:extLst>
        </xdr:cNvPr>
        <xdr:cNvSpPr txBox="1"/>
      </xdr:nvSpPr>
      <xdr:spPr>
        <a:xfrm>
          <a:off x="6332486" y="9120676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116</xdr:col>
      <xdr:colOff>72871</xdr:colOff>
      <xdr:row>38</xdr:row>
      <xdr:rowOff>47333</xdr:rowOff>
    </xdr:from>
    <xdr:to>
      <xdr:col>140</xdr:col>
      <xdr:colOff>71671</xdr:colOff>
      <xdr:row>38</xdr:row>
      <xdr:rowOff>47333</xdr:rowOff>
    </xdr:to>
    <xdr:cxnSp macro="">
      <xdr:nvCxnSpPr>
        <xdr:cNvPr id="195" name="직선 화살표 연결선 194">
          <a:extLst>
            <a:ext uri="{FF2B5EF4-FFF2-40B4-BE49-F238E27FC236}">
              <a16:creationId xmlns:a16="http://schemas.microsoft.com/office/drawing/2014/main" id="{AF559C86-8E10-485A-9308-26014CC45A63}"/>
            </a:ext>
          </a:extLst>
        </xdr:cNvPr>
        <xdr:cNvCxnSpPr/>
      </xdr:nvCxnSpPr>
      <xdr:spPr>
        <a:xfrm>
          <a:off x="10594821" y="7286333"/>
          <a:ext cx="18276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128</xdr:col>
      <xdr:colOff>31268</xdr:colOff>
      <xdr:row>37</xdr:row>
      <xdr:rowOff>145052</xdr:rowOff>
    </xdr:from>
    <xdr:ext cx="160557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AEB3612A-8D75-4FFF-BBBE-D381EF90F699}"/>
            </a:ext>
          </a:extLst>
        </xdr:cNvPr>
        <xdr:cNvSpPr txBox="1"/>
      </xdr:nvSpPr>
      <xdr:spPr>
        <a:xfrm>
          <a:off x="11467618" y="7193552"/>
          <a:ext cx="160557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1</a:t>
          </a:r>
          <a:r>
            <a:rPr lang="en-US" altLang="ko-KR" sz="1100" baseline="30000">
              <a:solidFill>
                <a:sysClr val="windowText" lastClr="000000"/>
              </a:solidFill>
            </a:rPr>
            <a:t>ST</a:t>
          </a:r>
          <a:endParaRPr lang="ko-KR" altLang="en-US" sz="1100" baseline="30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134</xdr:col>
      <xdr:colOff>62376</xdr:colOff>
      <xdr:row>46</xdr:row>
      <xdr:rowOff>96951</xdr:rowOff>
    </xdr:from>
    <xdr:to>
      <xdr:col>141</xdr:col>
      <xdr:colOff>5058</xdr:colOff>
      <xdr:row>46</xdr:row>
      <xdr:rowOff>96951</xdr:rowOff>
    </xdr:to>
    <xdr:cxnSp macro="">
      <xdr:nvCxnSpPr>
        <xdr:cNvPr id="197" name="직선 화살표 연결선 196">
          <a:extLst>
            <a:ext uri="{FF2B5EF4-FFF2-40B4-BE49-F238E27FC236}">
              <a16:creationId xmlns:a16="http://schemas.microsoft.com/office/drawing/2014/main" id="{91EF3873-66A6-47ED-B56E-3EEAC75ACA0E}"/>
            </a:ext>
          </a:extLst>
        </xdr:cNvPr>
        <xdr:cNvCxnSpPr/>
      </xdr:nvCxnSpPr>
      <xdr:spPr>
        <a:xfrm>
          <a:off x="11955926" y="8859951"/>
          <a:ext cx="476082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133</xdr:col>
      <xdr:colOff>7221</xdr:colOff>
      <xdr:row>44</xdr:row>
      <xdr:rowOff>170807</xdr:rowOff>
    </xdr:from>
    <xdr:ext cx="582532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76C9915C-AD29-460E-8F95-67DDA556585C}"/>
            </a:ext>
          </a:extLst>
        </xdr:cNvPr>
        <xdr:cNvSpPr txBox="1"/>
      </xdr:nvSpPr>
      <xdr:spPr>
        <a:xfrm>
          <a:off x="11824571" y="8552807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36</xdr:col>
      <xdr:colOff>21160</xdr:colOff>
      <xdr:row>64</xdr:row>
      <xdr:rowOff>103055</xdr:rowOff>
    </xdr:from>
    <xdr:to>
      <xdr:col>39</xdr:col>
      <xdr:colOff>7056</xdr:colOff>
      <xdr:row>64</xdr:row>
      <xdr:rowOff>103055</xdr:rowOff>
    </xdr:to>
    <xdr:cxnSp macro="">
      <xdr:nvCxnSpPr>
        <xdr:cNvPr id="199" name="직선 화살표 연결선 198">
          <a:extLst>
            <a:ext uri="{FF2B5EF4-FFF2-40B4-BE49-F238E27FC236}">
              <a16:creationId xmlns:a16="http://schemas.microsoft.com/office/drawing/2014/main" id="{86C8F1B6-9FDD-436C-B6E2-671A1C2C5150}"/>
            </a:ext>
          </a:extLst>
        </xdr:cNvPr>
        <xdr:cNvCxnSpPr/>
      </xdr:nvCxnSpPr>
      <xdr:spPr>
        <a:xfrm>
          <a:off x="4447110" y="12295055"/>
          <a:ext cx="21449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36</xdr:col>
      <xdr:colOff>18169</xdr:colOff>
      <xdr:row>63</xdr:row>
      <xdr:rowOff>14057</xdr:rowOff>
    </xdr:from>
    <xdr:ext cx="582532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1581A75F-14D5-4CC9-A332-7307D6ABF6A0}"/>
            </a:ext>
          </a:extLst>
        </xdr:cNvPr>
        <xdr:cNvSpPr txBox="1"/>
      </xdr:nvSpPr>
      <xdr:spPr>
        <a:xfrm>
          <a:off x="4444119" y="12015557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21</xdr:col>
      <xdr:colOff>27155</xdr:colOff>
      <xdr:row>66</xdr:row>
      <xdr:rowOff>11062</xdr:rowOff>
    </xdr:from>
    <xdr:ext cx="582532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89CB37BB-4BA8-482B-A773-1A1D29725C13}"/>
            </a:ext>
          </a:extLst>
        </xdr:cNvPr>
        <xdr:cNvSpPr txBox="1"/>
      </xdr:nvSpPr>
      <xdr:spPr>
        <a:xfrm>
          <a:off x="3310105" y="12584062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45</xdr:col>
      <xdr:colOff>5990</xdr:colOff>
      <xdr:row>67</xdr:row>
      <xdr:rowOff>107830</xdr:rowOff>
    </xdr:from>
    <xdr:to>
      <xdr:col>47</xdr:col>
      <xdr:colOff>66767</xdr:colOff>
      <xdr:row>67</xdr:row>
      <xdr:rowOff>107830</xdr:rowOff>
    </xdr:to>
    <xdr:cxnSp macro="">
      <xdr:nvCxnSpPr>
        <xdr:cNvPr id="202" name="직선 화살표 연결선 201">
          <a:extLst>
            <a:ext uri="{FF2B5EF4-FFF2-40B4-BE49-F238E27FC236}">
              <a16:creationId xmlns:a16="http://schemas.microsoft.com/office/drawing/2014/main" id="{78087AE4-23CE-4A0D-8874-A7169E67E602}"/>
            </a:ext>
          </a:extLst>
        </xdr:cNvPr>
        <xdr:cNvCxnSpPr/>
      </xdr:nvCxnSpPr>
      <xdr:spPr>
        <a:xfrm>
          <a:off x="5117740" y="12871330"/>
          <a:ext cx="21317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45</xdr:col>
      <xdr:colOff>32786</xdr:colOff>
      <xdr:row>66</xdr:row>
      <xdr:rowOff>16693</xdr:rowOff>
    </xdr:from>
    <xdr:ext cx="582532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D938011F-7375-42F8-93D1-46C8F6935E46}"/>
            </a:ext>
          </a:extLst>
        </xdr:cNvPr>
        <xdr:cNvSpPr txBox="1"/>
      </xdr:nvSpPr>
      <xdr:spPr>
        <a:xfrm>
          <a:off x="5144536" y="12589693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</xdr:col>
      <xdr:colOff>22257</xdr:colOff>
      <xdr:row>62</xdr:row>
      <xdr:rowOff>17673</xdr:rowOff>
    </xdr:from>
    <xdr:ext cx="875753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58CD7E7-AD19-4A5E-8D0C-8848B1DAC21A}"/>
            </a:ext>
          </a:extLst>
        </xdr:cNvPr>
        <xdr:cNvSpPr txBox="1"/>
      </xdr:nvSpPr>
      <xdr:spPr>
        <a:xfrm>
          <a:off x="2619407" y="11828673"/>
          <a:ext cx="87575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DELAY_CH1 = 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15</xdr:col>
      <xdr:colOff>70437</xdr:colOff>
      <xdr:row>65</xdr:row>
      <xdr:rowOff>54172</xdr:rowOff>
    </xdr:from>
    <xdr:ext cx="8653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2405F4B6-A2E5-4DDD-A9F6-D1D002110F3E}"/>
            </a:ext>
          </a:extLst>
        </xdr:cNvPr>
        <xdr:cNvSpPr txBox="1"/>
      </xdr:nvSpPr>
      <xdr:spPr>
        <a:xfrm>
          <a:off x="2896187" y="12436672"/>
          <a:ext cx="86536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DELAY_CHx = 3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12</xdr:col>
      <xdr:colOff>17287</xdr:colOff>
      <xdr:row>64</xdr:row>
      <xdr:rowOff>95067</xdr:rowOff>
    </xdr:from>
    <xdr:to>
      <xdr:col>15</xdr:col>
      <xdr:colOff>3183</xdr:colOff>
      <xdr:row>64</xdr:row>
      <xdr:rowOff>95067</xdr:rowOff>
    </xdr:to>
    <xdr:cxnSp macro="">
      <xdr:nvCxnSpPr>
        <xdr:cNvPr id="206" name="직선 화살표 연결선 205">
          <a:extLst>
            <a:ext uri="{FF2B5EF4-FFF2-40B4-BE49-F238E27FC236}">
              <a16:creationId xmlns:a16="http://schemas.microsoft.com/office/drawing/2014/main" id="{EF45ECB5-1366-4076-A339-A1D82EEF815E}"/>
            </a:ext>
          </a:extLst>
        </xdr:cNvPr>
        <xdr:cNvCxnSpPr/>
      </xdr:nvCxnSpPr>
      <xdr:spPr>
        <a:xfrm>
          <a:off x="2614437" y="12287067"/>
          <a:ext cx="21449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32485</xdr:colOff>
      <xdr:row>63</xdr:row>
      <xdr:rowOff>8426</xdr:rowOff>
    </xdr:from>
    <xdr:ext cx="582532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3ED15BF9-7276-428B-87D6-D8C98C8E0745}"/>
            </a:ext>
          </a:extLst>
        </xdr:cNvPr>
        <xdr:cNvSpPr txBox="1"/>
      </xdr:nvSpPr>
      <xdr:spPr>
        <a:xfrm>
          <a:off x="2629635" y="12009926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21</xdr:col>
      <xdr:colOff>17712</xdr:colOff>
      <xdr:row>67</xdr:row>
      <xdr:rowOff>97846</xdr:rowOff>
    </xdr:from>
    <xdr:to>
      <xdr:col>24</xdr:col>
      <xdr:colOff>3607</xdr:colOff>
      <xdr:row>67</xdr:row>
      <xdr:rowOff>97846</xdr:rowOff>
    </xdr:to>
    <xdr:cxnSp macro="">
      <xdr:nvCxnSpPr>
        <xdr:cNvPr id="208" name="직선 화살표 연결선 207">
          <a:extLst>
            <a:ext uri="{FF2B5EF4-FFF2-40B4-BE49-F238E27FC236}">
              <a16:creationId xmlns:a16="http://schemas.microsoft.com/office/drawing/2014/main" id="{D1BBF04E-28E8-4741-AFB9-EE4E77C6A612}"/>
            </a:ext>
          </a:extLst>
        </xdr:cNvPr>
        <xdr:cNvCxnSpPr/>
      </xdr:nvCxnSpPr>
      <xdr:spPr>
        <a:xfrm>
          <a:off x="3300662" y="12861346"/>
          <a:ext cx="21449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26130</xdr:colOff>
      <xdr:row>64</xdr:row>
      <xdr:rowOff>103055</xdr:rowOff>
    </xdr:from>
    <xdr:to>
      <xdr:col>39</xdr:col>
      <xdr:colOff>12026</xdr:colOff>
      <xdr:row>64</xdr:row>
      <xdr:rowOff>103055</xdr:rowOff>
    </xdr:to>
    <xdr:cxnSp macro="">
      <xdr:nvCxnSpPr>
        <xdr:cNvPr id="209" name="직선 화살표 연결선 208">
          <a:extLst>
            <a:ext uri="{FF2B5EF4-FFF2-40B4-BE49-F238E27FC236}">
              <a16:creationId xmlns:a16="http://schemas.microsoft.com/office/drawing/2014/main" id="{BD29DC36-B768-49DC-8C5B-B8BB84A58995}"/>
            </a:ext>
          </a:extLst>
        </xdr:cNvPr>
        <xdr:cNvCxnSpPr/>
      </xdr:nvCxnSpPr>
      <xdr:spPr>
        <a:xfrm>
          <a:off x="4452080" y="12295055"/>
          <a:ext cx="21449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36</xdr:col>
      <xdr:colOff>23139</xdr:colOff>
      <xdr:row>63</xdr:row>
      <xdr:rowOff>14057</xdr:rowOff>
    </xdr:from>
    <xdr:ext cx="582532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56A044B-2A00-4D78-A3F5-71DEE6C54B25}"/>
            </a:ext>
          </a:extLst>
        </xdr:cNvPr>
        <xdr:cNvSpPr txBox="1"/>
      </xdr:nvSpPr>
      <xdr:spPr>
        <a:xfrm>
          <a:off x="4449089" y="12015557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21</xdr:col>
      <xdr:colOff>32125</xdr:colOff>
      <xdr:row>66</xdr:row>
      <xdr:rowOff>11062</xdr:rowOff>
    </xdr:from>
    <xdr:ext cx="582532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32D294F2-88A2-4E79-B406-5702A744D2A8}"/>
            </a:ext>
          </a:extLst>
        </xdr:cNvPr>
        <xdr:cNvSpPr txBox="1"/>
      </xdr:nvSpPr>
      <xdr:spPr>
        <a:xfrm>
          <a:off x="3315075" y="12584062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45</xdr:col>
      <xdr:colOff>10960</xdr:colOff>
      <xdr:row>67</xdr:row>
      <xdr:rowOff>107830</xdr:rowOff>
    </xdr:from>
    <xdr:to>
      <xdr:col>47</xdr:col>
      <xdr:colOff>71737</xdr:colOff>
      <xdr:row>67</xdr:row>
      <xdr:rowOff>107830</xdr:rowOff>
    </xdr:to>
    <xdr:cxnSp macro="">
      <xdr:nvCxnSpPr>
        <xdr:cNvPr id="212" name="직선 화살표 연결선 211">
          <a:extLst>
            <a:ext uri="{FF2B5EF4-FFF2-40B4-BE49-F238E27FC236}">
              <a16:creationId xmlns:a16="http://schemas.microsoft.com/office/drawing/2014/main" id="{F1BB9356-5886-4F31-B47B-03121340979D}"/>
            </a:ext>
          </a:extLst>
        </xdr:cNvPr>
        <xdr:cNvCxnSpPr/>
      </xdr:nvCxnSpPr>
      <xdr:spPr>
        <a:xfrm>
          <a:off x="5122710" y="12871330"/>
          <a:ext cx="21317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45</xdr:col>
      <xdr:colOff>37756</xdr:colOff>
      <xdr:row>66</xdr:row>
      <xdr:rowOff>16693</xdr:rowOff>
    </xdr:from>
    <xdr:ext cx="582532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35556EC3-4C42-44E7-B730-20C4CED74EF1}"/>
            </a:ext>
          </a:extLst>
        </xdr:cNvPr>
        <xdr:cNvSpPr txBox="1"/>
      </xdr:nvSpPr>
      <xdr:spPr>
        <a:xfrm>
          <a:off x="5149506" y="12589693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117</xdr:col>
      <xdr:colOff>25936</xdr:colOff>
      <xdr:row>62</xdr:row>
      <xdr:rowOff>17971</xdr:rowOff>
    </xdr:from>
    <xdr:ext cx="875753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14196B16-4417-48C8-A716-957639C5F815}"/>
            </a:ext>
          </a:extLst>
        </xdr:cNvPr>
        <xdr:cNvSpPr txBox="1"/>
      </xdr:nvSpPr>
      <xdr:spPr>
        <a:xfrm>
          <a:off x="10624086" y="11828971"/>
          <a:ext cx="87575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DELAY_CH1 = 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120</xdr:col>
      <xdr:colOff>74116</xdr:colOff>
      <xdr:row>65</xdr:row>
      <xdr:rowOff>54470</xdr:rowOff>
    </xdr:from>
    <xdr:ext cx="8653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4DF75013-6965-43AD-9E12-1232C9CACCEA}"/>
            </a:ext>
          </a:extLst>
        </xdr:cNvPr>
        <xdr:cNvSpPr txBox="1"/>
      </xdr:nvSpPr>
      <xdr:spPr>
        <a:xfrm>
          <a:off x="10900866" y="12436970"/>
          <a:ext cx="86536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DELAY_CHx = 3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117</xdr:col>
      <xdr:colOff>5991</xdr:colOff>
      <xdr:row>64</xdr:row>
      <xdr:rowOff>95365</xdr:rowOff>
    </xdr:from>
    <xdr:to>
      <xdr:col>122</xdr:col>
      <xdr:colOff>63581</xdr:colOff>
      <xdr:row>64</xdr:row>
      <xdr:rowOff>95365</xdr:rowOff>
    </xdr:to>
    <xdr:cxnSp macro="">
      <xdr:nvCxnSpPr>
        <xdr:cNvPr id="216" name="직선 화살표 연결선 215">
          <a:extLst>
            <a:ext uri="{FF2B5EF4-FFF2-40B4-BE49-F238E27FC236}">
              <a16:creationId xmlns:a16="http://schemas.microsoft.com/office/drawing/2014/main" id="{D0B3C9BC-C956-4175-9A3E-A049C440E842}"/>
            </a:ext>
          </a:extLst>
        </xdr:cNvPr>
        <xdr:cNvCxnSpPr/>
      </xdr:nvCxnSpPr>
      <xdr:spPr>
        <a:xfrm>
          <a:off x="10604141" y="12287365"/>
          <a:ext cx="43859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117</xdr:col>
      <xdr:colOff>36164</xdr:colOff>
      <xdr:row>63</xdr:row>
      <xdr:rowOff>8724</xdr:rowOff>
    </xdr:from>
    <xdr:ext cx="582532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AE3751CD-491E-4F53-868F-A145D8B2C976}"/>
            </a:ext>
          </a:extLst>
        </xdr:cNvPr>
        <xdr:cNvSpPr txBox="1"/>
      </xdr:nvSpPr>
      <xdr:spPr>
        <a:xfrm>
          <a:off x="10634314" y="12010224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126</xdr:col>
      <xdr:colOff>6416</xdr:colOff>
      <xdr:row>67</xdr:row>
      <xdr:rowOff>98144</xdr:rowOff>
    </xdr:from>
    <xdr:to>
      <xdr:col>131</xdr:col>
      <xdr:colOff>64006</xdr:colOff>
      <xdr:row>67</xdr:row>
      <xdr:rowOff>98144</xdr:rowOff>
    </xdr:to>
    <xdr:cxnSp macro="">
      <xdr:nvCxnSpPr>
        <xdr:cNvPr id="218" name="직선 화살표 연결선 217">
          <a:extLst>
            <a:ext uri="{FF2B5EF4-FFF2-40B4-BE49-F238E27FC236}">
              <a16:creationId xmlns:a16="http://schemas.microsoft.com/office/drawing/2014/main" id="{5EE4EF8A-3F60-4EC8-BF34-DAAA1266F0F7}"/>
            </a:ext>
          </a:extLst>
        </xdr:cNvPr>
        <xdr:cNvCxnSpPr/>
      </xdr:nvCxnSpPr>
      <xdr:spPr>
        <a:xfrm>
          <a:off x="11290366" y="12861644"/>
          <a:ext cx="43859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5849</xdr:colOff>
      <xdr:row>64</xdr:row>
      <xdr:rowOff>103353</xdr:rowOff>
    </xdr:from>
    <xdr:to>
      <xdr:col>146</xdr:col>
      <xdr:colOff>63439</xdr:colOff>
      <xdr:row>64</xdr:row>
      <xdr:rowOff>103353</xdr:rowOff>
    </xdr:to>
    <xdr:cxnSp macro="">
      <xdr:nvCxnSpPr>
        <xdr:cNvPr id="219" name="직선 화살표 연결선 218">
          <a:extLst>
            <a:ext uri="{FF2B5EF4-FFF2-40B4-BE49-F238E27FC236}">
              <a16:creationId xmlns:a16="http://schemas.microsoft.com/office/drawing/2014/main" id="{06883EAF-9F3E-4D18-97F6-D7D8E53F6673}"/>
            </a:ext>
          </a:extLst>
        </xdr:cNvPr>
        <xdr:cNvCxnSpPr/>
      </xdr:nvCxnSpPr>
      <xdr:spPr>
        <a:xfrm>
          <a:off x="12432799" y="12295353"/>
          <a:ext cx="43859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141</xdr:col>
      <xdr:colOff>26818</xdr:colOff>
      <xdr:row>63</xdr:row>
      <xdr:rowOff>14355</xdr:rowOff>
    </xdr:from>
    <xdr:ext cx="582532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54E3123B-E0E7-46DB-8036-7DCC4B8E2F18}"/>
            </a:ext>
          </a:extLst>
        </xdr:cNvPr>
        <xdr:cNvSpPr txBox="1"/>
      </xdr:nvSpPr>
      <xdr:spPr>
        <a:xfrm>
          <a:off x="12453768" y="12015855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126</xdr:col>
      <xdr:colOff>35804</xdr:colOff>
      <xdr:row>66</xdr:row>
      <xdr:rowOff>11360</xdr:rowOff>
    </xdr:from>
    <xdr:ext cx="582532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AF36E150-B9E5-4FF5-9776-446C01EA3D81}"/>
            </a:ext>
          </a:extLst>
        </xdr:cNvPr>
        <xdr:cNvSpPr txBox="1"/>
      </xdr:nvSpPr>
      <xdr:spPr>
        <a:xfrm>
          <a:off x="11319754" y="12584360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150</xdr:col>
      <xdr:colOff>2660</xdr:colOff>
      <xdr:row>67</xdr:row>
      <xdr:rowOff>108128</xdr:rowOff>
    </xdr:from>
    <xdr:to>
      <xdr:col>155</xdr:col>
      <xdr:colOff>60249</xdr:colOff>
      <xdr:row>67</xdr:row>
      <xdr:rowOff>108128</xdr:rowOff>
    </xdr:to>
    <xdr:cxnSp macro="">
      <xdr:nvCxnSpPr>
        <xdr:cNvPr id="222" name="직선 화살표 연결선 221">
          <a:extLst>
            <a:ext uri="{FF2B5EF4-FFF2-40B4-BE49-F238E27FC236}">
              <a16:creationId xmlns:a16="http://schemas.microsoft.com/office/drawing/2014/main" id="{6F565A5E-81D8-4C89-8B47-6A27A625657F}"/>
            </a:ext>
          </a:extLst>
        </xdr:cNvPr>
        <xdr:cNvCxnSpPr/>
      </xdr:nvCxnSpPr>
      <xdr:spPr>
        <a:xfrm>
          <a:off x="13115410" y="12871628"/>
          <a:ext cx="43858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150</xdr:col>
      <xdr:colOff>41436</xdr:colOff>
      <xdr:row>66</xdr:row>
      <xdr:rowOff>16991</xdr:rowOff>
    </xdr:from>
    <xdr:ext cx="582532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E63D3EC7-12CF-4439-A74B-937CD359F8A1}"/>
            </a:ext>
          </a:extLst>
        </xdr:cNvPr>
        <xdr:cNvSpPr txBox="1"/>
      </xdr:nvSpPr>
      <xdr:spPr>
        <a:xfrm>
          <a:off x="13154186" y="12589991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117</xdr:col>
      <xdr:colOff>210</xdr:colOff>
      <xdr:row>56</xdr:row>
      <xdr:rowOff>50199</xdr:rowOff>
    </xdr:from>
    <xdr:to>
      <xdr:col>140</xdr:col>
      <xdr:colOff>73892</xdr:colOff>
      <xdr:row>56</xdr:row>
      <xdr:rowOff>50199</xdr:rowOff>
    </xdr:to>
    <xdr:cxnSp macro="">
      <xdr:nvCxnSpPr>
        <xdr:cNvPr id="224" name="직선 화살표 연결선 223">
          <a:extLst>
            <a:ext uri="{FF2B5EF4-FFF2-40B4-BE49-F238E27FC236}">
              <a16:creationId xmlns:a16="http://schemas.microsoft.com/office/drawing/2014/main" id="{60CDDBE8-F8C0-464F-8021-625B8E68AD81}"/>
            </a:ext>
          </a:extLst>
        </xdr:cNvPr>
        <xdr:cNvCxnSpPr/>
      </xdr:nvCxnSpPr>
      <xdr:spPr>
        <a:xfrm>
          <a:off x="10598360" y="10718199"/>
          <a:ext cx="1826282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127</xdr:col>
      <xdr:colOff>20031</xdr:colOff>
      <xdr:row>55</xdr:row>
      <xdr:rowOff>159491</xdr:rowOff>
    </xdr:from>
    <xdr:ext cx="160557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76677F53-F646-40E7-BCDB-0FB9CC000CFF}"/>
            </a:ext>
          </a:extLst>
        </xdr:cNvPr>
        <xdr:cNvSpPr txBox="1"/>
      </xdr:nvSpPr>
      <xdr:spPr>
        <a:xfrm>
          <a:off x="11380181" y="10636991"/>
          <a:ext cx="160557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1</a:t>
          </a:r>
          <a:r>
            <a:rPr lang="en-US" altLang="ko-KR" sz="1100" baseline="30000">
              <a:solidFill>
                <a:sysClr val="windowText" lastClr="000000"/>
              </a:solidFill>
            </a:rPr>
            <a:t>ST</a:t>
          </a:r>
          <a:endParaRPr lang="ko-KR" altLang="en-US" sz="1100" baseline="30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123</xdr:col>
      <xdr:colOff>35027</xdr:colOff>
      <xdr:row>56</xdr:row>
      <xdr:rowOff>105517</xdr:rowOff>
    </xdr:from>
    <xdr:ext cx="855683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9107D264-896A-48BD-B2A0-50630711556F}"/>
            </a:ext>
          </a:extLst>
        </xdr:cNvPr>
        <xdr:cNvSpPr txBox="1"/>
      </xdr:nvSpPr>
      <xdr:spPr>
        <a:xfrm>
          <a:off x="11090377" y="10773517"/>
          <a:ext cx="85568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SF_X8_SIZE = 8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142</xdr:col>
      <xdr:colOff>871</xdr:colOff>
      <xdr:row>47</xdr:row>
      <xdr:rowOff>146485</xdr:rowOff>
    </xdr:from>
    <xdr:ext cx="582532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5F4D30DC-CF16-4008-ADE2-473A7E0AA9E7}"/>
            </a:ext>
          </a:extLst>
        </xdr:cNvPr>
        <xdr:cNvSpPr txBox="1"/>
      </xdr:nvSpPr>
      <xdr:spPr>
        <a:xfrm>
          <a:off x="12504021" y="9099985"/>
          <a:ext cx="58253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SF_BFI = 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143</xdr:col>
      <xdr:colOff>69837</xdr:colOff>
      <xdr:row>49</xdr:row>
      <xdr:rowOff>101743</xdr:rowOff>
    </xdr:from>
    <xdr:to>
      <xdr:col>150</xdr:col>
      <xdr:colOff>12520</xdr:colOff>
      <xdr:row>49</xdr:row>
      <xdr:rowOff>101743</xdr:rowOff>
    </xdr:to>
    <xdr:cxnSp macro="">
      <xdr:nvCxnSpPr>
        <xdr:cNvPr id="228" name="직선 화살표 연결선 227">
          <a:extLst>
            <a:ext uri="{FF2B5EF4-FFF2-40B4-BE49-F238E27FC236}">
              <a16:creationId xmlns:a16="http://schemas.microsoft.com/office/drawing/2014/main" id="{DA1DA682-6FEF-49DB-A4E8-E34C3F45F2AF}"/>
            </a:ext>
          </a:extLst>
        </xdr:cNvPr>
        <xdr:cNvCxnSpPr/>
      </xdr:nvCxnSpPr>
      <xdr:spPr>
        <a:xfrm>
          <a:off x="12649187" y="9436243"/>
          <a:ext cx="476083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640182</xdr:colOff>
      <xdr:row>47</xdr:row>
      <xdr:rowOff>24306</xdr:rowOff>
    </xdr:from>
    <xdr:to>
      <xdr:col>10</xdr:col>
      <xdr:colOff>203807</xdr:colOff>
      <xdr:row>47</xdr:row>
      <xdr:rowOff>24306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D91782E9-8EC1-4CF0-9C5A-80EB545766B4}"/>
            </a:ext>
          </a:extLst>
        </xdr:cNvPr>
        <xdr:cNvCxnSpPr>
          <a:cxnSpLocks/>
        </xdr:cNvCxnSpPr>
      </xdr:nvCxnSpPr>
      <xdr:spPr>
        <a:xfrm>
          <a:off x="5270390" y="16048134"/>
          <a:ext cx="1548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331788</xdr:colOff>
      <xdr:row>2</xdr:row>
      <xdr:rowOff>31750</xdr:rowOff>
    </xdr:from>
    <xdr:to>
      <xdr:col>12</xdr:col>
      <xdr:colOff>341827</xdr:colOff>
      <xdr:row>21</xdr:row>
      <xdr:rowOff>12700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F920556F-AB01-3EE6-D2D1-6AE71E5E7B15}"/>
            </a:ext>
          </a:extLst>
        </xdr:cNvPr>
        <xdr:cNvGrpSpPr/>
      </xdr:nvGrpSpPr>
      <xdr:grpSpPr>
        <a:xfrm>
          <a:off x="992188" y="466725"/>
          <a:ext cx="7236339" cy="4143375"/>
          <a:chOff x="992706" y="459403"/>
          <a:chExt cx="7280141" cy="4043654"/>
        </a:xfrm>
      </xdr:grpSpPr>
      <xdr:cxnSp macro="">
        <xdr:nvCxnSpPr>
          <xdr:cNvPr id="103" name="직선 연결선 102">
            <a:extLst>
              <a:ext uri="{FF2B5EF4-FFF2-40B4-BE49-F238E27FC236}">
                <a16:creationId xmlns:a16="http://schemas.microsoft.com/office/drawing/2014/main" id="{4C7CBC6B-819B-409B-AE33-60B691BA8A2A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BCF8A77-2F0E-42E9-9837-6F548B20CBE9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40958062-A1BB-4E37-8834-565629C9ACBC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69D4C975-5FD0-42EE-B6B4-A88985B6D72A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9E79074A-C0CE-4DBF-A2F6-F2201E53E64E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50EAC1B-D797-471D-A435-ECAB79E7FA36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타원 37">
            <a:extLst>
              <a:ext uri="{FF2B5EF4-FFF2-40B4-BE49-F238E27FC236}">
                <a16:creationId xmlns:a16="http://schemas.microsoft.com/office/drawing/2014/main" id="{38CC4E0D-96DB-0F9D-5D4D-BEF2F206727C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FD0B7729-9F71-1FA1-190B-46A8424AFD3A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8751DB95-7795-4680-ADEC-7CE6AB518F59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13C30394-D9BB-4461-83CF-6407454193A7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B8F091FD-FBE4-4A49-97D9-D7AFEB1E11B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이등변 삼각형 51">
            <a:extLst>
              <a:ext uri="{FF2B5EF4-FFF2-40B4-BE49-F238E27FC236}">
                <a16:creationId xmlns:a16="http://schemas.microsoft.com/office/drawing/2014/main" id="{4B09BDA8-5FFD-403F-B0F8-C3DF8FCC2F1F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826E746E-3B93-4149-837F-EF856B395181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71" name="직선 연결선 70">
            <a:extLst>
              <a:ext uri="{FF2B5EF4-FFF2-40B4-BE49-F238E27FC236}">
                <a16:creationId xmlns:a16="http://schemas.microsoft.com/office/drawing/2014/main" id="{D993A98C-2832-43A1-8276-AD89BCAFDBA0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B134F2E9-9AB3-454D-9F77-9C100F88F50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AEA11CAA-B010-4A1D-ACC9-C27CC705BDE2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7FCB816F-BBD0-4DF1-841F-9BFE3D5FA045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99" name="직선 연결선 98">
            <a:extLst>
              <a:ext uri="{FF2B5EF4-FFF2-40B4-BE49-F238E27FC236}">
                <a16:creationId xmlns:a16="http://schemas.microsoft.com/office/drawing/2014/main" id="{FCB192A4-7944-442E-BA18-4D76E6FC6B85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4B4A82C1-DBBB-4F6C-ABEE-E4A914A126CB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8B51C838-5535-4D85-B0B5-33859B952F92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105" name="이등변 삼각형 104">
            <a:extLst>
              <a:ext uri="{FF2B5EF4-FFF2-40B4-BE49-F238E27FC236}">
                <a16:creationId xmlns:a16="http://schemas.microsoft.com/office/drawing/2014/main" id="{938329EE-D351-4A24-AF16-270970526813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타원 105">
            <a:extLst>
              <a:ext uri="{FF2B5EF4-FFF2-40B4-BE49-F238E27FC236}">
                <a16:creationId xmlns:a16="http://schemas.microsoft.com/office/drawing/2014/main" id="{DC59FEF6-AAF7-4D40-9029-BCE8C966E15C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07" name="직선 연결선 106">
            <a:extLst>
              <a:ext uri="{FF2B5EF4-FFF2-40B4-BE49-F238E27FC236}">
                <a16:creationId xmlns:a16="http://schemas.microsoft.com/office/drawing/2014/main" id="{412851C2-F928-4E3D-AE20-F2E5388C39EF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직선 연결선 108">
            <a:extLst>
              <a:ext uri="{FF2B5EF4-FFF2-40B4-BE49-F238E27FC236}">
                <a16:creationId xmlns:a16="http://schemas.microsoft.com/office/drawing/2014/main" id="{D0DF342E-9A40-4FB3-A801-FF1CFD312024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BA17681-3E2B-44ED-AE08-6B37BBDF98B0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112" name="이등변 삼각형 111">
            <a:extLst>
              <a:ext uri="{FF2B5EF4-FFF2-40B4-BE49-F238E27FC236}">
                <a16:creationId xmlns:a16="http://schemas.microsoft.com/office/drawing/2014/main" id="{2977A6DE-0212-422B-AA6F-D4879BDA1C1E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이등변 삼각형 112">
            <a:extLst>
              <a:ext uri="{FF2B5EF4-FFF2-40B4-BE49-F238E27FC236}">
                <a16:creationId xmlns:a16="http://schemas.microsoft.com/office/drawing/2014/main" id="{3A4A7D0B-1D12-4068-B741-47BF2772285D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9EC3F00A-8330-E053-64DC-87D8EEB40EF5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12" name="직선 연결선 11">
              <a:extLst>
                <a:ext uri="{FF2B5EF4-FFF2-40B4-BE49-F238E27FC236}">
                  <a16:creationId xmlns:a16="http://schemas.microsoft.com/office/drawing/2014/main" id="{C5D4A518-01D0-47DB-B8B4-1AC4373DEC42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직선 연결선 12">
              <a:extLst>
                <a:ext uri="{FF2B5EF4-FFF2-40B4-BE49-F238E27FC236}">
                  <a16:creationId xmlns:a16="http://schemas.microsoft.com/office/drawing/2014/main" id="{4B95B465-B60E-435A-AA4A-5279992D894D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직사각형 31">
              <a:extLst>
                <a:ext uri="{FF2B5EF4-FFF2-40B4-BE49-F238E27FC236}">
                  <a16:creationId xmlns:a16="http://schemas.microsoft.com/office/drawing/2014/main" id="{783047A3-76DF-4E50-ACAA-AFB5477C804F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직사각형 113">
              <a:extLst>
                <a:ext uri="{FF2B5EF4-FFF2-40B4-BE49-F238E27FC236}">
                  <a16:creationId xmlns:a16="http://schemas.microsoft.com/office/drawing/2014/main" id="{3371AB4F-D2D8-4C26-97AA-DB755B3C0215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이등변 삼각형 114">
              <a:extLst>
                <a:ext uri="{FF2B5EF4-FFF2-40B4-BE49-F238E27FC236}">
                  <a16:creationId xmlns:a16="http://schemas.microsoft.com/office/drawing/2014/main" id="{93EACF4D-9BCB-4962-B663-F05FF9E44CF9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17" name="타원 116">
            <a:extLst>
              <a:ext uri="{FF2B5EF4-FFF2-40B4-BE49-F238E27FC236}">
                <a16:creationId xmlns:a16="http://schemas.microsoft.com/office/drawing/2014/main" id="{083F0D50-104B-4735-8DCF-47F0ED41A856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743CB054-0899-4E5C-AB07-C3B2EDA03395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7A4CE7F7-CFE3-4C40-9733-EC51CC3175C0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3" name="직선 연결선 122">
            <a:extLst>
              <a:ext uri="{FF2B5EF4-FFF2-40B4-BE49-F238E27FC236}">
                <a16:creationId xmlns:a16="http://schemas.microsoft.com/office/drawing/2014/main" id="{0E0202A5-8D4E-44A1-8642-8D8715087F54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12061D-E21C-47F8-BD25-818975C37BE6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5" name="직선 연결선 124">
            <a:extLst>
              <a:ext uri="{FF2B5EF4-FFF2-40B4-BE49-F238E27FC236}">
                <a16:creationId xmlns:a16="http://schemas.microsoft.com/office/drawing/2014/main" id="{AEA5FDC5-81CA-4071-96DA-6D8FD0E23CC7}"/>
              </a:ext>
            </a:extLst>
          </xdr:cNvPr>
          <xdr:cNvCxnSpPr>
            <a:stCxn id="46" idx="3"/>
            <a:endCxn id="119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직선 연결선 136">
            <a:extLst>
              <a:ext uri="{FF2B5EF4-FFF2-40B4-BE49-F238E27FC236}">
                <a16:creationId xmlns:a16="http://schemas.microsoft.com/office/drawing/2014/main" id="{9531B23A-1323-4101-BB22-71D9D12D14AD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38" name="그룹 137">
            <a:extLst>
              <a:ext uri="{FF2B5EF4-FFF2-40B4-BE49-F238E27FC236}">
                <a16:creationId xmlns:a16="http://schemas.microsoft.com/office/drawing/2014/main" id="{CC69BED8-739C-45A7-9B33-FA3EDF99EC61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139" name="직사각형 138">
              <a:extLst>
                <a:ext uri="{FF2B5EF4-FFF2-40B4-BE49-F238E27FC236}">
                  <a16:creationId xmlns:a16="http://schemas.microsoft.com/office/drawing/2014/main" id="{A7567FF4-7862-A140-29B4-CFC002DB18E4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이등변 삼각형 139">
              <a:extLst>
                <a:ext uri="{FF2B5EF4-FFF2-40B4-BE49-F238E27FC236}">
                  <a16:creationId xmlns:a16="http://schemas.microsoft.com/office/drawing/2014/main" id="{3CC5BB11-021D-6388-AA20-AE32111D2338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EC15D8A6-D421-4EC1-AB38-51CD0999AD01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600820</xdr:colOff>
      <xdr:row>2</xdr:row>
      <xdr:rowOff>35119</xdr:rowOff>
    </xdr:from>
    <xdr:to>
      <xdr:col>22</xdr:col>
      <xdr:colOff>610859</xdr:colOff>
      <xdr:row>21</xdr:row>
      <xdr:rowOff>16069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87B51EC2-C7A8-4326-B2AA-B47D9DC9CABD}"/>
            </a:ext>
          </a:extLst>
        </xdr:cNvPr>
        <xdr:cNvGrpSpPr/>
      </xdr:nvGrpSpPr>
      <xdr:grpSpPr>
        <a:xfrm>
          <a:off x="7827120" y="473269"/>
          <a:ext cx="6871214" cy="4143375"/>
          <a:chOff x="992706" y="459403"/>
          <a:chExt cx="7280141" cy="4043654"/>
        </a:xfrm>
      </xdr:grpSpPr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BBEF7B46-C14D-0D41-01E4-D5D4378CA6B5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445C1389-F352-D683-4BBF-2CA7673D9CDC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E8016370-ADA4-3518-9C73-7D7D18A294ED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F8F1722B-F62F-BEDD-AE0B-054743D689A7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147F008-2F74-CF89-472D-0579D0998198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99593CC6-3474-5EBB-4FDD-3B2D52B93860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타원 16">
            <a:extLst>
              <a:ext uri="{FF2B5EF4-FFF2-40B4-BE49-F238E27FC236}">
                <a16:creationId xmlns:a16="http://schemas.microsoft.com/office/drawing/2014/main" id="{07835999-B714-7A10-8919-3BF863B64B63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16C83768-9662-EE34-0149-EA1C94EAC518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9B29C9C3-98F8-62A9-0CB8-0DACDC025CDC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41BB834-F12B-C674-FB5F-FD83EFA13FE9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E75AE1FB-D829-4F96-3638-D68502AFA57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이등변 삼각형 22">
            <a:extLst>
              <a:ext uri="{FF2B5EF4-FFF2-40B4-BE49-F238E27FC236}">
                <a16:creationId xmlns:a16="http://schemas.microsoft.com/office/drawing/2014/main" id="{BFC03BAD-67BE-365A-7F95-745D28430758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65A6990-20BC-E09C-63AA-F32580135799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9EE97EA6-1A02-72B6-0A45-35F8576C376C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FA5AC1B1-11E8-1C2E-C151-8355D1EF1A8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D30B74A5-8D0A-1420-0CFC-930D36F5D611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6F71F18-1995-ED22-9F6E-E96A24B1581E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84C00F8A-5C92-B83E-68CA-108DBFEA8798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B02AAFE-4FF8-480D-C0C0-A07711DDB240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4E5E10C7-5556-75B2-8274-90BB06BEC428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34" name="이등변 삼각형 33">
            <a:extLst>
              <a:ext uri="{FF2B5EF4-FFF2-40B4-BE49-F238E27FC236}">
                <a16:creationId xmlns:a16="http://schemas.microsoft.com/office/drawing/2014/main" id="{30640010-E971-7516-1C34-A33699C0F812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타원 34">
            <a:extLst>
              <a:ext uri="{FF2B5EF4-FFF2-40B4-BE49-F238E27FC236}">
                <a16:creationId xmlns:a16="http://schemas.microsoft.com/office/drawing/2014/main" id="{D71FB840-6BAA-F79D-C281-C586F8B92BAB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061D02AA-3F18-D3FC-F2F1-635600C49FA6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F7ADD3CA-417D-29F8-0E88-E5A62FE673A8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98670080-C679-2574-B874-89EEAE58C9A5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42" name="이등변 삼각형 41">
            <a:extLst>
              <a:ext uri="{FF2B5EF4-FFF2-40B4-BE49-F238E27FC236}">
                <a16:creationId xmlns:a16="http://schemas.microsoft.com/office/drawing/2014/main" id="{6E006C78-AF40-306B-2B23-54B9978EFA72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AA0D7A34-12EE-95DE-D64F-84CEE63ED39B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AD87D6B5-5B08-14F7-92C8-A3711FC7482C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EB72889F-876C-3A33-D5DE-96A810CB5929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D36F6695-3B0F-B6A7-256C-80E764960FD9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1A9C9988-B40F-F5E2-4DAA-D8DA57279EE7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직사각형 63">
              <a:extLst>
                <a:ext uri="{FF2B5EF4-FFF2-40B4-BE49-F238E27FC236}">
                  <a16:creationId xmlns:a16="http://schemas.microsoft.com/office/drawing/2014/main" id="{5766D4FD-B93B-EBF6-FE7F-BBFA444028B0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이등변 삼각형 64">
              <a:extLst>
                <a:ext uri="{FF2B5EF4-FFF2-40B4-BE49-F238E27FC236}">
                  <a16:creationId xmlns:a16="http://schemas.microsoft.com/office/drawing/2014/main" id="{58186EAE-5F02-7D85-CCDE-BC4841221327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0DC3DBD0-4591-EDD6-C4A5-BB3820C09335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A8BB9002-A697-C39F-692D-7D240D178FE7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CE9E80C-25DA-BC1D-8A02-808347DEBCD7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09D8FAD3-BF6A-728B-D9FE-41D7C2CFE58B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3A600D5C-A4F2-1937-6492-46C6D7277E37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4" name="직선 연결선 53">
            <a:extLst>
              <a:ext uri="{FF2B5EF4-FFF2-40B4-BE49-F238E27FC236}">
                <a16:creationId xmlns:a16="http://schemas.microsoft.com/office/drawing/2014/main" id="{0BD1E690-4950-FB6D-1980-E5F622A5451D}"/>
              </a:ext>
            </a:extLst>
          </xdr:cNvPr>
          <xdr:cNvCxnSpPr>
            <a:stCxn id="21" idx="3"/>
            <a:endCxn id="48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직선 연결선 55">
            <a:extLst>
              <a:ext uri="{FF2B5EF4-FFF2-40B4-BE49-F238E27FC236}">
                <a16:creationId xmlns:a16="http://schemas.microsoft.com/office/drawing/2014/main" id="{C2FD1757-495C-92F1-4E2B-AFEA4F0E9067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BB9F2E72-B1B3-FEB5-0EB5-F11E615238A8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59" name="직사각형 58">
              <a:extLst>
                <a:ext uri="{FF2B5EF4-FFF2-40B4-BE49-F238E27FC236}">
                  <a16:creationId xmlns:a16="http://schemas.microsoft.com/office/drawing/2014/main" id="{41FC8309-15CF-5B0B-9E53-2EC62CFF14D0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이등변 삼각형 59">
              <a:extLst>
                <a:ext uri="{FF2B5EF4-FFF2-40B4-BE49-F238E27FC236}">
                  <a16:creationId xmlns:a16="http://schemas.microsoft.com/office/drawing/2014/main" id="{1A32AD3F-C8E3-7473-3BE8-18AA231C7586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8" name="타원 57">
            <a:extLst>
              <a:ext uri="{FF2B5EF4-FFF2-40B4-BE49-F238E27FC236}">
                <a16:creationId xmlns:a16="http://schemas.microsoft.com/office/drawing/2014/main" id="{C6C43B30-8D49-B6DB-A580-2E8660F23B5F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187908</xdr:colOff>
      <xdr:row>47</xdr:row>
      <xdr:rowOff>19439</xdr:rowOff>
    </xdr:from>
    <xdr:to>
      <xdr:col>3</xdr:col>
      <xdr:colOff>606990</xdr:colOff>
      <xdr:row>47</xdr:row>
      <xdr:rowOff>19439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A6EE1A63-EAD8-401F-BAE5-CA372F277E92}"/>
            </a:ext>
          </a:extLst>
        </xdr:cNvPr>
        <xdr:cNvCxnSpPr/>
      </xdr:nvCxnSpPr>
      <xdr:spPr>
        <a:xfrm>
          <a:off x="1509745" y="15959235"/>
          <a:ext cx="1080000" cy="0"/>
        </a:xfrm>
        <a:prstGeom prst="line">
          <a:avLst/>
        </a:prstGeom>
        <a:ln w="12700">
          <a:solidFill>
            <a:schemeClr val="tx1"/>
          </a:solidFill>
          <a:head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67041</xdr:colOff>
      <xdr:row>37</xdr:row>
      <xdr:rowOff>71277</xdr:rowOff>
    </xdr:from>
    <xdr:to>
      <xdr:col>9</xdr:col>
      <xdr:colOff>402496</xdr:colOff>
      <xdr:row>57</xdr:row>
      <xdr:rowOff>83459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2A8C60B1-A036-4F00-B983-7DB9F42A2D77}"/>
            </a:ext>
          </a:extLst>
        </xdr:cNvPr>
        <xdr:cNvSpPr/>
      </xdr:nvSpPr>
      <xdr:spPr>
        <a:xfrm>
          <a:off x="2041314" y="13856550"/>
          <a:ext cx="4284000" cy="4284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84292</xdr:colOff>
      <xdr:row>47</xdr:row>
      <xdr:rowOff>24043</xdr:rowOff>
    </xdr:from>
    <xdr:to>
      <xdr:col>5</xdr:col>
      <xdr:colOff>178833</xdr:colOff>
      <xdr:row>47</xdr:row>
      <xdr:rowOff>24043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F9BC45B3-BA04-4FB2-AFBA-9EF9DC4AAD15}"/>
            </a:ext>
          </a:extLst>
        </xdr:cNvPr>
        <xdr:cNvCxnSpPr>
          <a:cxnSpLocks/>
          <a:stCxn id="148" idx="3"/>
        </xdr:cNvCxnSpPr>
      </xdr:nvCxnSpPr>
      <xdr:spPr>
        <a:xfrm>
          <a:off x="2730125" y="16047871"/>
          <a:ext cx="756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541285</xdr:colOff>
      <xdr:row>46</xdr:row>
      <xdr:rowOff>65171</xdr:rowOff>
    </xdr:from>
    <xdr:to>
      <xdr:col>3</xdr:col>
      <xdr:colOff>205332</xdr:colOff>
      <xdr:row>47</xdr:row>
      <xdr:rowOff>173110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CE7A4800-6873-4BB9-8534-15307006927B}"/>
            </a:ext>
          </a:extLst>
        </xdr:cNvPr>
        <xdr:cNvSpPr/>
      </xdr:nvSpPr>
      <xdr:spPr>
        <a:xfrm>
          <a:off x="1862085" y="9996571"/>
          <a:ext cx="324447" cy="32383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499918</xdr:colOff>
      <xdr:row>46</xdr:row>
      <xdr:rowOff>50813</xdr:rowOff>
    </xdr:from>
    <xdr:to>
      <xdr:col>3</xdr:col>
      <xdr:colOff>607803</xdr:colOff>
      <xdr:row>46</xdr:row>
      <xdr:rowOff>157855</xdr:rowOff>
    </xdr:to>
    <xdr:sp macro="" textlink="">
      <xdr:nvSpPr>
        <xdr:cNvPr id="144" name="타원 143">
          <a:extLst>
            <a:ext uri="{FF2B5EF4-FFF2-40B4-BE49-F238E27FC236}">
              <a16:creationId xmlns:a16="http://schemas.microsoft.com/office/drawing/2014/main" id="{DD1E27E7-AD53-435E-A7B2-254C8046FA2A}"/>
            </a:ext>
          </a:extLst>
        </xdr:cNvPr>
        <xdr:cNvSpPr/>
      </xdr:nvSpPr>
      <xdr:spPr>
        <a:xfrm>
          <a:off x="2484293" y="15859667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557144</xdr:colOff>
      <xdr:row>44</xdr:row>
      <xdr:rowOff>75055</xdr:rowOff>
    </xdr:from>
    <xdr:to>
      <xdr:col>3</xdr:col>
      <xdr:colOff>557144</xdr:colOff>
      <xdr:row>46</xdr:row>
      <xdr:rowOff>77107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E7036946-0789-4B0D-A7CC-4B0F7CFC5CB2}"/>
            </a:ext>
          </a:extLst>
        </xdr:cNvPr>
        <xdr:cNvCxnSpPr/>
      </xdr:nvCxnSpPr>
      <xdr:spPr>
        <a:xfrm flipV="1">
          <a:off x="2541519" y="15453961"/>
          <a:ext cx="0" cy="43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553703</xdr:colOff>
      <xdr:row>44</xdr:row>
      <xdr:rowOff>80350</xdr:rowOff>
    </xdr:from>
    <xdr:to>
      <xdr:col>4</xdr:col>
      <xdr:colOff>288881</xdr:colOff>
      <xdr:row>44</xdr:row>
      <xdr:rowOff>80350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15EFD8F6-BD95-4F6E-B299-D4934B94E2A3}"/>
            </a:ext>
          </a:extLst>
        </xdr:cNvPr>
        <xdr:cNvCxnSpPr/>
      </xdr:nvCxnSpPr>
      <xdr:spPr>
        <a:xfrm flipV="1">
          <a:off x="2538078" y="15459256"/>
          <a:ext cx="39663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226310</xdr:colOff>
      <xdr:row>43</xdr:row>
      <xdr:rowOff>149114</xdr:rowOff>
    </xdr:from>
    <xdr:to>
      <xdr:col>5</xdr:col>
      <xdr:colOff>350572</xdr:colOff>
      <xdr:row>44</xdr:row>
      <xdr:rowOff>213492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7378B5D-01B7-4B3B-992D-2D8C3272793C}"/>
            </a:ext>
          </a:extLst>
        </xdr:cNvPr>
        <xdr:cNvSpPr txBox="1"/>
      </xdr:nvSpPr>
      <xdr:spPr>
        <a:xfrm>
          <a:off x="2872143" y="15313046"/>
          <a:ext cx="785721" cy="279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FBO_OEN</a:t>
          </a:r>
          <a:endParaRPr lang="ko-KR" altLang="en-US" sz="1200"/>
        </a:p>
      </xdr:txBody>
    </xdr:sp>
    <xdr:clientData/>
  </xdr:twoCellAnchor>
  <xdr:twoCellAnchor>
    <xdr:from>
      <xdr:col>3</xdr:col>
      <xdr:colOff>421037</xdr:colOff>
      <xdr:row>46</xdr:row>
      <xdr:rowOff>69765</xdr:rowOff>
    </xdr:from>
    <xdr:to>
      <xdr:col>4</xdr:col>
      <xdr:colOff>84292</xdr:colOff>
      <xdr:row>47</xdr:row>
      <xdr:rowOff>192149</xdr:rowOff>
    </xdr:to>
    <xdr:sp macro="" textlink="">
      <xdr:nvSpPr>
        <xdr:cNvPr id="148" name="이등변 삼각형 147">
          <a:extLst>
            <a:ext uri="{FF2B5EF4-FFF2-40B4-BE49-F238E27FC236}">
              <a16:creationId xmlns:a16="http://schemas.microsoft.com/office/drawing/2014/main" id="{F71F0BC2-C8C9-49D4-B370-80D827C81946}"/>
            </a:ext>
          </a:extLst>
        </xdr:cNvPr>
        <xdr:cNvSpPr/>
      </xdr:nvSpPr>
      <xdr:spPr>
        <a:xfrm rot="16200000">
          <a:off x="2397773" y="1580175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139298</xdr:colOff>
      <xdr:row>43</xdr:row>
      <xdr:rowOff>35020</xdr:rowOff>
    </xdr:from>
    <xdr:to>
      <xdr:col>9</xdr:col>
      <xdr:colOff>139298</xdr:colOff>
      <xdr:row>50</xdr:row>
      <xdr:rowOff>195883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F06CD020-6992-6612-E591-BFE7A4F497A1}"/>
            </a:ext>
          </a:extLst>
        </xdr:cNvPr>
        <xdr:cNvCxnSpPr/>
      </xdr:nvCxnSpPr>
      <xdr:spPr>
        <a:xfrm flipH="1">
          <a:off x="6062116" y="15101838"/>
          <a:ext cx="0" cy="165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28920</xdr:colOff>
      <xdr:row>43</xdr:row>
      <xdr:rowOff>41736</xdr:rowOff>
    </xdr:from>
    <xdr:to>
      <xdr:col>9</xdr:col>
      <xdr:colOff>237788</xdr:colOff>
      <xdr:row>43</xdr:row>
      <xdr:rowOff>41736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FA87E99-FCA8-688B-7F08-B41559C9DACB}"/>
            </a:ext>
          </a:extLst>
        </xdr:cNvPr>
        <xdr:cNvCxnSpPr/>
      </xdr:nvCxnSpPr>
      <xdr:spPr>
        <a:xfrm flipH="1" flipV="1">
          <a:off x="5982045" y="15205668"/>
          <a:ext cx="20886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63978</xdr:colOff>
      <xdr:row>44</xdr:row>
      <xdr:rowOff>36392</xdr:rowOff>
    </xdr:from>
    <xdr:to>
      <xdr:col>9</xdr:col>
      <xdr:colOff>222018</xdr:colOff>
      <xdr:row>45</xdr:row>
      <xdr:rowOff>181821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D6F7F28D-D6B1-EEBD-8D51-74F50D282CE5}"/>
            </a:ext>
          </a:extLst>
        </xdr:cNvPr>
        <xdr:cNvSpPr/>
      </xdr:nvSpPr>
      <xdr:spPr>
        <a:xfrm>
          <a:off x="6012243" y="15334708"/>
          <a:ext cx="158040" cy="35925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92555</xdr:colOff>
      <xdr:row>46</xdr:row>
      <xdr:rowOff>198333</xdr:rowOff>
    </xdr:from>
    <xdr:to>
      <xdr:col>9</xdr:col>
      <xdr:colOff>164478</xdr:colOff>
      <xdr:row>47</xdr:row>
      <xdr:rowOff>57298</xdr:rowOff>
    </xdr:to>
    <xdr:sp macro="" textlink="">
      <xdr:nvSpPr>
        <xdr:cNvPr id="155" name="타원 154">
          <a:extLst>
            <a:ext uri="{FF2B5EF4-FFF2-40B4-BE49-F238E27FC236}">
              <a16:creationId xmlns:a16="http://schemas.microsoft.com/office/drawing/2014/main" id="{CE2E7049-9B8B-4CAB-B6BC-015B5A3ABBCF}"/>
            </a:ext>
          </a:extLst>
        </xdr:cNvPr>
        <xdr:cNvSpPr/>
      </xdr:nvSpPr>
      <xdr:spPr>
        <a:xfrm>
          <a:off x="6040820" y="15924302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170548</xdr:colOff>
      <xdr:row>46</xdr:row>
      <xdr:rowOff>97562</xdr:rowOff>
    </xdr:from>
    <xdr:to>
      <xdr:col>11</xdr:col>
      <xdr:colOff>487795</xdr:colOff>
      <xdr:row>47</xdr:row>
      <xdr:rowOff>158549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176ED5D-8FC7-45FA-873F-ED8314FF98A7}"/>
            </a:ext>
          </a:extLst>
        </xdr:cNvPr>
        <xdr:cNvSpPr txBox="1"/>
      </xdr:nvSpPr>
      <xdr:spPr>
        <a:xfrm>
          <a:off x="6780321" y="16012971"/>
          <a:ext cx="978224" cy="277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/>
            <a:t>FBI_</a:t>
          </a:r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VSO / VSI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0</xdr:col>
      <xdr:colOff>473365</xdr:colOff>
      <xdr:row>46</xdr:row>
      <xdr:rowOff>92778</xdr:rowOff>
    </xdr:from>
    <xdr:to>
      <xdr:col>2</xdr:col>
      <xdr:colOff>153922</xdr:colOff>
      <xdr:row>47</xdr:row>
      <xdr:rowOff>185021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A7DE564-08D8-4956-879C-F16C0CCFFB25}"/>
            </a:ext>
          </a:extLst>
        </xdr:cNvPr>
        <xdr:cNvSpPr txBox="1"/>
      </xdr:nvSpPr>
      <xdr:spPr>
        <a:xfrm>
          <a:off x="473365" y="16008187"/>
          <a:ext cx="1002512" cy="308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/>
            <a:t>FBO_VSI / FBO</a:t>
          </a:r>
          <a:endParaRPr lang="ko-KR" altLang="en-US" sz="1200"/>
        </a:p>
      </xdr:txBody>
    </xdr:sp>
    <xdr:clientData/>
  </xdr:twoCellAnchor>
  <xdr:twoCellAnchor>
    <xdr:from>
      <xdr:col>5</xdr:col>
      <xdr:colOff>173177</xdr:colOff>
      <xdr:row>47</xdr:row>
      <xdr:rowOff>14965</xdr:rowOff>
    </xdr:from>
    <xdr:to>
      <xdr:col>5</xdr:col>
      <xdr:colOff>173177</xdr:colOff>
      <xdr:row>47</xdr:row>
      <xdr:rowOff>194965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BA391015-50FE-4B32-9CD9-73C470F136BD}"/>
            </a:ext>
          </a:extLst>
        </xdr:cNvPr>
        <xdr:cNvCxnSpPr/>
      </xdr:nvCxnSpPr>
      <xdr:spPr>
        <a:xfrm>
          <a:off x="3480469" y="16038793"/>
          <a:ext cx="0" cy="18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2462</xdr:colOff>
      <xdr:row>47</xdr:row>
      <xdr:rowOff>198161</xdr:rowOff>
    </xdr:from>
    <xdr:to>
      <xdr:col>5</xdr:col>
      <xdr:colOff>331030</xdr:colOff>
      <xdr:row>48</xdr:row>
      <xdr:rowOff>154325</xdr:rowOff>
    </xdr:to>
    <xdr:sp macro="" textlink="">
      <xdr:nvSpPr>
        <xdr:cNvPr id="163" name="이등변 삼각형 162">
          <a:extLst>
            <a:ext uri="{FF2B5EF4-FFF2-40B4-BE49-F238E27FC236}">
              <a16:creationId xmlns:a16="http://schemas.microsoft.com/office/drawing/2014/main" id="{8DD1FA56-0749-428B-897B-D056F87AFFE1}"/>
            </a:ext>
          </a:extLst>
        </xdr:cNvPr>
        <xdr:cNvSpPr/>
      </xdr:nvSpPr>
      <xdr:spPr>
        <a:xfrm rot="10800000">
          <a:off x="3309754" y="16221989"/>
          <a:ext cx="328568" cy="171138"/>
        </a:xfrm>
        <a:prstGeom prst="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248695</xdr:colOff>
      <xdr:row>46</xdr:row>
      <xdr:rowOff>85965</xdr:rowOff>
    </xdr:from>
    <xdr:to>
      <xdr:col>9</xdr:col>
      <xdr:colOff>571558</xdr:colOff>
      <xdr:row>47</xdr:row>
      <xdr:rowOff>192299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06026341-A655-415C-89F7-7159C48ED4F3}"/>
            </a:ext>
          </a:extLst>
        </xdr:cNvPr>
        <xdr:cNvSpPr/>
      </xdr:nvSpPr>
      <xdr:spPr>
        <a:xfrm>
          <a:off x="6196960" y="15811934"/>
          <a:ext cx="322863" cy="320161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236167</xdr:colOff>
      <xdr:row>46</xdr:row>
      <xdr:rowOff>107087</xdr:rowOff>
    </xdr:from>
    <xdr:to>
      <xdr:col>8</xdr:col>
      <xdr:colOff>29765</xdr:colOff>
      <xdr:row>47</xdr:row>
      <xdr:rowOff>176547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1662283-E4B9-41C6-8B9D-99515BC3EE05}"/>
            </a:ext>
          </a:extLst>
        </xdr:cNvPr>
        <xdr:cNvSpPr txBox="1"/>
      </xdr:nvSpPr>
      <xdr:spPr>
        <a:xfrm>
          <a:off x="4866375" y="15915941"/>
          <a:ext cx="455057" cy="2844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VSO</a:t>
          </a:r>
          <a:endParaRPr lang="ko-KR" altLang="en-US" sz="1200"/>
        </a:p>
      </xdr:txBody>
    </xdr:sp>
    <xdr:clientData/>
  </xdr:twoCellAnchor>
  <xdr:twoCellAnchor>
    <xdr:from>
      <xdr:col>5</xdr:col>
      <xdr:colOff>659140</xdr:colOff>
      <xdr:row>47</xdr:row>
      <xdr:rowOff>172537</xdr:rowOff>
    </xdr:from>
    <xdr:to>
      <xdr:col>6</xdr:col>
      <xdr:colOff>158880</xdr:colOff>
      <xdr:row>49</xdr:row>
      <xdr:rowOff>19698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1D0F9742-022B-4E51-AE82-77BE9948DD79}"/>
            </a:ext>
          </a:extLst>
        </xdr:cNvPr>
        <xdr:cNvSpPr txBox="1"/>
      </xdr:nvSpPr>
      <xdr:spPr>
        <a:xfrm>
          <a:off x="3963732" y="16112333"/>
          <a:ext cx="160658" cy="27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>
              <a:solidFill>
                <a:schemeClr val="bg1"/>
              </a:solidFill>
            </a:rPr>
            <a:t>10</a:t>
          </a:r>
          <a:endParaRPr lang="ko-KR" altLang="ko-KR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</xdr:col>
      <xdr:colOff>313473</xdr:colOff>
      <xdr:row>42</xdr:row>
      <xdr:rowOff>3036</xdr:rowOff>
    </xdr:from>
    <xdr:to>
      <xdr:col>4</xdr:col>
      <xdr:colOff>300015</xdr:colOff>
      <xdr:row>42</xdr:row>
      <xdr:rowOff>3036</xdr:rowOff>
    </xdr:to>
    <xdr:cxnSp macro="">
      <xdr:nvCxnSpPr>
        <xdr:cNvPr id="172" name="직선 연결선 171">
          <a:extLst>
            <a:ext uri="{FF2B5EF4-FFF2-40B4-BE49-F238E27FC236}">
              <a16:creationId xmlns:a16="http://schemas.microsoft.com/office/drawing/2014/main" id="{33CEEF6C-0B13-47DB-B696-2EB068AC5511}"/>
            </a:ext>
          </a:extLst>
        </xdr:cNvPr>
        <xdr:cNvCxnSpPr/>
      </xdr:nvCxnSpPr>
      <xdr:spPr>
        <a:xfrm flipH="1">
          <a:off x="2297848" y="14951994"/>
          <a:ext cx="648000" cy="0"/>
        </a:xfrm>
        <a:prstGeom prst="line">
          <a:avLst/>
        </a:prstGeom>
        <a:ln w="12700">
          <a:solidFill>
            <a:schemeClr val="tx1"/>
          </a:solidFill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317499</xdr:colOff>
      <xdr:row>41</xdr:row>
      <xdr:rowOff>214974</xdr:rowOff>
    </xdr:from>
    <xdr:to>
      <xdr:col>3</xdr:col>
      <xdr:colOff>317499</xdr:colOff>
      <xdr:row>49</xdr:row>
      <xdr:rowOff>7582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C23EDAAC-9C54-463F-9D60-1F49D8CF1340}"/>
            </a:ext>
          </a:extLst>
        </xdr:cNvPr>
        <xdr:cNvCxnSpPr/>
      </xdr:nvCxnSpPr>
      <xdr:spPr>
        <a:xfrm flipH="1" flipV="1">
          <a:off x="2301874" y="14948958"/>
          <a:ext cx="0" cy="1512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317728</xdr:colOff>
      <xdr:row>49</xdr:row>
      <xdr:rowOff>4478</xdr:rowOff>
    </xdr:from>
    <xdr:to>
      <xdr:col>4</xdr:col>
      <xdr:colOff>268270</xdr:colOff>
      <xdr:row>49</xdr:row>
      <xdr:rowOff>4478</xdr:rowOff>
    </xdr:to>
    <xdr:cxnSp macro="">
      <xdr:nvCxnSpPr>
        <xdr:cNvPr id="175" name="직선 연결선 174">
          <a:extLst>
            <a:ext uri="{FF2B5EF4-FFF2-40B4-BE49-F238E27FC236}">
              <a16:creationId xmlns:a16="http://schemas.microsoft.com/office/drawing/2014/main" id="{1B01441A-3BCA-4DFE-8DAB-145676458135}"/>
            </a:ext>
          </a:extLst>
        </xdr:cNvPr>
        <xdr:cNvCxnSpPr/>
      </xdr:nvCxnSpPr>
      <xdr:spPr>
        <a:xfrm flipV="1">
          <a:off x="2302103" y="1645825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566989</xdr:colOff>
      <xdr:row>48</xdr:row>
      <xdr:rowOff>166139</xdr:rowOff>
    </xdr:from>
    <xdr:to>
      <xdr:col>6</xdr:col>
      <xdr:colOff>339588</xdr:colOff>
      <xdr:row>50</xdr:row>
      <xdr:rowOff>19122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4CED0BC9-9BBE-40D7-92DF-52E7480FD07A}"/>
            </a:ext>
          </a:extLst>
        </xdr:cNvPr>
        <xdr:cNvSpPr txBox="1"/>
      </xdr:nvSpPr>
      <xdr:spPr>
        <a:xfrm>
          <a:off x="3871875" y="16514503"/>
          <a:ext cx="433577" cy="285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VSI</a:t>
          </a:r>
          <a:endParaRPr lang="ko-KR" altLang="en-US" sz="1200"/>
        </a:p>
      </xdr:txBody>
    </xdr:sp>
    <xdr:clientData/>
  </xdr:twoCellAnchor>
  <xdr:twoCellAnchor>
    <xdr:from>
      <xdr:col>8</xdr:col>
      <xdr:colOff>388896</xdr:colOff>
      <xdr:row>46</xdr:row>
      <xdr:rowOff>70025</xdr:rowOff>
    </xdr:from>
    <xdr:to>
      <xdr:col>9</xdr:col>
      <xdr:colOff>52151</xdr:colOff>
      <xdr:row>47</xdr:row>
      <xdr:rowOff>192409</xdr:rowOff>
    </xdr:to>
    <xdr:sp macro="" textlink="">
      <xdr:nvSpPr>
        <xdr:cNvPr id="179" name="이등변 삼각형 178">
          <a:extLst>
            <a:ext uri="{FF2B5EF4-FFF2-40B4-BE49-F238E27FC236}">
              <a16:creationId xmlns:a16="http://schemas.microsoft.com/office/drawing/2014/main" id="{F120BC25-89A0-4EC0-A5D3-5E148409964B}"/>
            </a:ext>
          </a:extLst>
        </xdr:cNvPr>
        <xdr:cNvSpPr/>
      </xdr:nvSpPr>
      <xdr:spPr>
        <a:xfrm rot="5400000">
          <a:off x="5670224" y="1580201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189546</xdr:colOff>
      <xdr:row>49</xdr:row>
      <xdr:rowOff>10750</xdr:rowOff>
    </xdr:from>
    <xdr:to>
      <xdr:col>9</xdr:col>
      <xdr:colOff>143455</xdr:colOff>
      <xdr:row>49</xdr:row>
      <xdr:rowOff>10750</xdr:rowOff>
    </xdr:to>
    <xdr:cxnSp macro="">
      <xdr:nvCxnSpPr>
        <xdr:cNvPr id="181" name="직선 연결선 180">
          <a:extLst>
            <a:ext uri="{FF2B5EF4-FFF2-40B4-BE49-F238E27FC236}">
              <a16:creationId xmlns:a16="http://schemas.microsoft.com/office/drawing/2014/main" id="{CF19B199-EA11-4C2E-9F13-BDD1FAB540E9}"/>
            </a:ext>
          </a:extLst>
        </xdr:cNvPr>
        <xdr:cNvCxnSpPr/>
      </xdr:nvCxnSpPr>
      <xdr:spPr>
        <a:xfrm flipV="1">
          <a:off x="5454273" y="1635911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283834</xdr:colOff>
      <xdr:row>46</xdr:row>
      <xdr:rowOff>201702</xdr:rowOff>
    </xdr:from>
    <xdr:to>
      <xdr:col>3</xdr:col>
      <xdr:colOff>355757</xdr:colOff>
      <xdr:row>47</xdr:row>
      <xdr:rowOff>60667</xdr:rowOff>
    </xdr:to>
    <xdr:sp macro="" textlink="">
      <xdr:nvSpPr>
        <xdr:cNvPr id="182" name="타원 181">
          <a:extLst>
            <a:ext uri="{FF2B5EF4-FFF2-40B4-BE49-F238E27FC236}">
              <a16:creationId xmlns:a16="http://schemas.microsoft.com/office/drawing/2014/main" id="{B0581BD9-60FA-42CF-B3E1-89EE5B6CD152}"/>
            </a:ext>
          </a:extLst>
        </xdr:cNvPr>
        <xdr:cNvSpPr/>
      </xdr:nvSpPr>
      <xdr:spPr>
        <a:xfrm>
          <a:off x="2266589" y="15927671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560513</xdr:colOff>
      <xdr:row>44</xdr:row>
      <xdr:rowOff>61691</xdr:rowOff>
    </xdr:from>
    <xdr:to>
      <xdr:col>8</xdr:col>
      <xdr:colOff>560513</xdr:colOff>
      <xdr:row>46</xdr:row>
      <xdr:rowOff>138038</xdr:rowOff>
    </xdr:to>
    <xdr:cxnSp macro="">
      <xdr:nvCxnSpPr>
        <xdr:cNvPr id="184" name="직선 연결선 183">
          <a:extLst>
            <a:ext uri="{FF2B5EF4-FFF2-40B4-BE49-F238E27FC236}">
              <a16:creationId xmlns:a16="http://schemas.microsoft.com/office/drawing/2014/main" id="{9AC0C19D-0310-452D-97B5-38852210DC07}"/>
            </a:ext>
          </a:extLst>
        </xdr:cNvPr>
        <xdr:cNvCxnSpPr/>
      </xdr:nvCxnSpPr>
      <xdr:spPr>
        <a:xfrm flipV="1">
          <a:off x="5847860" y="15360007"/>
          <a:ext cx="0" cy="504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168432</xdr:colOff>
      <xdr:row>44</xdr:row>
      <xdr:rowOff>62798</xdr:rowOff>
    </xdr:from>
    <xdr:to>
      <xdr:col>8</xdr:col>
      <xdr:colOff>564528</xdr:colOff>
      <xdr:row>44</xdr:row>
      <xdr:rowOff>62798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238D69E8-3540-41E3-9AEC-4679B0DFD56A}"/>
            </a:ext>
          </a:extLst>
        </xdr:cNvPr>
        <xdr:cNvCxnSpPr/>
      </xdr:nvCxnSpPr>
      <xdr:spPr>
        <a:xfrm flipV="1">
          <a:off x="5460099" y="15441704"/>
          <a:ext cx="39609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48</xdr:row>
      <xdr:rowOff>85954</xdr:rowOff>
    </xdr:from>
    <xdr:to>
      <xdr:col>8</xdr:col>
      <xdr:colOff>290227</xdr:colOff>
      <xdr:row>49</xdr:row>
      <xdr:rowOff>155414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278F0A0-018F-45BE-B7B9-47FBEB740232}"/>
            </a:ext>
          </a:extLst>
        </xdr:cNvPr>
        <xdr:cNvSpPr txBox="1"/>
      </xdr:nvSpPr>
      <xdr:spPr>
        <a:xfrm>
          <a:off x="4788958" y="16468954"/>
          <a:ext cx="792936" cy="2864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3</xdr:col>
      <xdr:colOff>417924</xdr:colOff>
      <xdr:row>48</xdr:row>
      <xdr:rowOff>53696</xdr:rowOff>
    </xdr:from>
    <xdr:to>
      <xdr:col>4</xdr:col>
      <xdr:colOff>81179</xdr:colOff>
      <xdr:row>49</xdr:row>
      <xdr:rowOff>176080</xdr:rowOff>
    </xdr:to>
    <xdr:sp macro="" textlink="">
      <xdr:nvSpPr>
        <xdr:cNvPr id="173" name="이등변 삼각형 172">
          <a:extLst>
            <a:ext uri="{FF2B5EF4-FFF2-40B4-BE49-F238E27FC236}">
              <a16:creationId xmlns:a16="http://schemas.microsoft.com/office/drawing/2014/main" id="{3E35B066-73CD-4F3A-9611-80C957272EFE}"/>
            </a:ext>
          </a:extLst>
        </xdr:cNvPr>
        <xdr:cNvSpPr/>
      </xdr:nvSpPr>
      <xdr:spPr>
        <a:xfrm rot="5400000">
          <a:off x="2394660" y="16213337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366088</xdr:colOff>
      <xdr:row>48</xdr:row>
      <xdr:rowOff>56602</xdr:rowOff>
    </xdr:from>
    <xdr:to>
      <xdr:col>9</xdr:col>
      <xdr:colOff>29343</xdr:colOff>
      <xdr:row>49</xdr:row>
      <xdr:rowOff>178986</xdr:rowOff>
    </xdr:to>
    <xdr:sp macro="" textlink="">
      <xdr:nvSpPr>
        <xdr:cNvPr id="178" name="이등변 삼각형 177">
          <a:extLst>
            <a:ext uri="{FF2B5EF4-FFF2-40B4-BE49-F238E27FC236}">
              <a16:creationId xmlns:a16="http://schemas.microsoft.com/office/drawing/2014/main" id="{9696EF89-50D8-4B27-8FB6-3D07985E2CC8}"/>
            </a:ext>
          </a:extLst>
        </xdr:cNvPr>
        <xdr:cNvSpPr/>
      </xdr:nvSpPr>
      <xdr:spPr>
        <a:xfrm rot="16200000">
          <a:off x="5651433" y="16301726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503287</xdr:colOff>
      <xdr:row>46</xdr:row>
      <xdr:rowOff>37916</xdr:rowOff>
    </xdr:from>
    <xdr:to>
      <xdr:col>8</xdr:col>
      <xdr:colOff>611172</xdr:colOff>
      <xdr:row>46</xdr:row>
      <xdr:rowOff>144958</xdr:rowOff>
    </xdr:to>
    <xdr:sp macro="" textlink="">
      <xdr:nvSpPr>
        <xdr:cNvPr id="177" name="타원 176">
          <a:extLst>
            <a:ext uri="{FF2B5EF4-FFF2-40B4-BE49-F238E27FC236}">
              <a16:creationId xmlns:a16="http://schemas.microsoft.com/office/drawing/2014/main" id="{2A15A14C-9B1E-4831-B841-F8F307309CD4}"/>
            </a:ext>
          </a:extLst>
        </xdr:cNvPr>
        <xdr:cNvSpPr/>
      </xdr:nvSpPr>
      <xdr:spPr>
        <a:xfrm>
          <a:off x="5790634" y="15763885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356578</xdr:colOff>
      <xdr:row>41</xdr:row>
      <xdr:rowOff>45517</xdr:rowOff>
    </xdr:from>
    <xdr:to>
      <xdr:col>4</xdr:col>
      <xdr:colOff>19833</xdr:colOff>
      <xdr:row>42</xdr:row>
      <xdr:rowOff>167901</xdr:rowOff>
    </xdr:to>
    <xdr:sp macro="" textlink="">
      <xdr:nvSpPr>
        <xdr:cNvPr id="190" name="이등변 삼각형 189">
          <a:extLst>
            <a:ext uri="{FF2B5EF4-FFF2-40B4-BE49-F238E27FC236}">
              <a16:creationId xmlns:a16="http://schemas.microsoft.com/office/drawing/2014/main" id="{40C8674D-E983-4298-B6F8-E35ECE0098C4}"/>
            </a:ext>
          </a:extLst>
        </xdr:cNvPr>
        <xdr:cNvSpPr/>
      </xdr:nvSpPr>
      <xdr:spPr>
        <a:xfrm rot="16200000">
          <a:off x="2334631" y="14785823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228478</xdr:colOff>
      <xdr:row>41</xdr:row>
      <xdr:rowOff>74676</xdr:rowOff>
    </xdr:from>
    <xdr:to>
      <xdr:col>5</xdr:col>
      <xdr:colOff>186300</xdr:colOff>
      <xdr:row>42</xdr:row>
      <xdr:rowOff>144137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2BC66EA-396F-4C97-9A30-C8F2DB1E66BD}"/>
            </a:ext>
          </a:extLst>
        </xdr:cNvPr>
        <xdr:cNvSpPr txBox="1"/>
      </xdr:nvSpPr>
      <xdr:spPr>
        <a:xfrm>
          <a:off x="2874311" y="14808660"/>
          <a:ext cx="619281" cy="284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VREF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101600</xdr:colOff>
      <xdr:row>43</xdr:row>
      <xdr:rowOff>130328</xdr:rowOff>
    </xdr:from>
    <xdr:to>
      <xdr:col>8</xdr:col>
      <xdr:colOff>279267</xdr:colOff>
      <xdr:row>44</xdr:row>
      <xdr:rowOff>194706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378FEE4-2B5D-425A-97D9-71E2E495145B}"/>
            </a:ext>
          </a:extLst>
        </xdr:cNvPr>
        <xdr:cNvSpPr txBox="1"/>
      </xdr:nvSpPr>
      <xdr:spPr>
        <a:xfrm>
          <a:off x="4724400" y="9414028"/>
          <a:ext cx="838067" cy="2802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VSO_OEN</a:t>
          </a:r>
          <a:endParaRPr lang="ko-KR" altLang="en-US" sz="1200"/>
        </a:p>
      </xdr:txBody>
    </xdr:sp>
    <xdr:clientData/>
  </xdr:twoCellAnchor>
  <xdr:twoCellAnchor>
    <xdr:from>
      <xdr:col>9</xdr:col>
      <xdr:colOff>54842</xdr:colOff>
      <xdr:row>59</xdr:row>
      <xdr:rowOff>67541</xdr:rowOff>
    </xdr:from>
    <xdr:to>
      <xdr:col>10</xdr:col>
      <xdr:colOff>89477</xdr:colOff>
      <xdr:row>59</xdr:row>
      <xdr:rowOff>311150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5E048EBC-A7B2-894D-BD0E-40544DCCCC3D}"/>
            </a:ext>
          </a:extLst>
        </xdr:cNvPr>
        <xdr:cNvSpPr/>
      </xdr:nvSpPr>
      <xdr:spPr>
        <a:xfrm>
          <a:off x="5998442" y="18749241"/>
          <a:ext cx="695035" cy="243609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17</xdr:col>
      <xdr:colOff>9524</xdr:colOff>
      <xdr:row>59</xdr:row>
      <xdr:rowOff>83128</xdr:rowOff>
    </xdr:from>
    <xdr:to>
      <xdr:col>18</xdr:col>
      <xdr:colOff>111124</xdr:colOff>
      <xdr:row>60</xdr:row>
      <xdr:rowOff>0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0DB8C3B4-DF1A-4C4F-BC91-C6F74E538D88}"/>
            </a:ext>
          </a:extLst>
        </xdr:cNvPr>
        <xdr:cNvSpPr/>
      </xdr:nvSpPr>
      <xdr:spPr>
        <a:xfrm>
          <a:off x="11236324" y="18764828"/>
          <a:ext cx="762000" cy="24707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4</xdr:col>
      <xdr:colOff>437770</xdr:colOff>
      <xdr:row>53</xdr:row>
      <xdr:rowOff>204419</xdr:rowOff>
    </xdr:from>
    <xdr:to>
      <xdr:col>5</xdr:col>
      <xdr:colOff>548411</xdr:colOff>
      <xdr:row>55</xdr:row>
      <xdr:rowOff>60289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E2F61CDB-054F-403F-89C1-6BE4E33C1CF8}"/>
            </a:ext>
          </a:extLst>
        </xdr:cNvPr>
        <xdr:cNvSpPr txBox="1"/>
      </xdr:nvSpPr>
      <xdr:spPr>
        <a:xfrm>
          <a:off x="3081679" y="17635169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FBO_VSI</a:t>
          </a:r>
          <a:endParaRPr lang="ko-KR" altLang="en-US" sz="1200"/>
        </a:p>
      </xdr:txBody>
    </xdr:sp>
    <xdr:clientData/>
  </xdr:twoCellAnchor>
  <xdr:twoCellAnchor>
    <xdr:from>
      <xdr:col>8</xdr:col>
      <xdr:colOff>180308</xdr:colOff>
      <xdr:row>50</xdr:row>
      <xdr:rowOff>192013</xdr:rowOff>
    </xdr:from>
    <xdr:to>
      <xdr:col>9</xdr:col>
      <xdr:colOff>134217</xdr:colOff>
      <xdr:row>50</xdr:row>
      <xdr:rowOff>192013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5460A6D5-4C8A-48DF-A750-F87D0394BA63}"/>
            </a:ext>
          </a:extLst>
        </xdr:cNvPr>
        <xdr:cNvCxnSpPr/>
      </xdr:nvCxnSpPr>
      <xdr:spPr>
        <a:xfrm flipV="1">
          <a:off x="5445035" y="16753968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358392</xdr:colOff>
      <xdr:row>50</xdr:row>
      <xdr:rowOff>16313</xdr:rowOff>
    </xdr:from>
    <xdr:to>
      <xdr:col>9</xdr:col>
      <xdr:colOff>21647</xdr:colOff>
      <xdr:row>51</xdr:row>
      <xdr:rowOff>138698</xdr:rowOff>
    </xdr:to>
    <xdr:sp macro="" textlink="">
      <xdr:nvSpPr>
        <xdr:cNvPr id="200" name="이등변 삼각형 199">
          <a:extLst>
            <a:ext uri="{FF2B5EF4-FFF2-40B4-BE49-F238E27FC236}">
              <a16:creationId xmlns:a16="http://schemas.microsoft.com/office/drawing/2014/main" id="{634F9F82-12B0-437E-83C7-EFC2645C4122}"/>
            </a:ext>
          </a:extLst>
        </xdr:cNvPr>
        <xdr:cNvSpPr/>
      </xdr:nvSpPr>
      <xdr:spPr>
        <a:xfrm rot="16200000">
          <a:off x="5615804" y="16585583"/>
          <a:ext cx="335975" cy="321346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100684</xdr:colOff>
      <xdr:row>48</xdr:row>
      <xdr:rowOff>182075</xdr:rowOff>
    </xdr:from>
    <xdr:to>
      <xdr:col>9</xdr:col>
      <xdr:colOff>172607</xdr:colOff>
      <xdr:row>49</xdr:row>
      <xdr:rowOff>41040</xdr:rowOff>
    </xdr:to>
    <xdr:sp macro="" textlink="">
      <xdr:nvSpPr>
        <xdr:cNvPr id="203" name="타원 202">
          <a:extLst>
            <a:ext uri="{FF2B5EF4-FFF2-40B4-BE49-F238E27FC236}">
              <a16:creationId xmlns:a16="http://schemas.microsoft.com/office/drawing/2014/main" id="{4A626282-2CA4-42D2-88C5-4D1CD489D6CE}"/>
            </a:ext>
          </a:extLst>
        </xdr:cNvPr>
        <xdr:cNvSpPr/>
      </xdr:nvSpPr>
      <xdr:spPr>
        <a:xfrm>
          <a:off x="6023502" y="16316848"/>
          <a:ext cx="71923" cy="72556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265545</xdr:colOff>
      <xdr:row>49</xdr:row>
      <xdr:rowOff>5772</xdr:rowOff>
    </xdr:from>
    <xdr:to>
      <xdr:col>4</xdr:col>
      <xdr:colOff>265545</xdr:colOff>
      <xdr:row>55</xdr:row>
      <xdr:rowOff>20227</xdr:rowOff>
    </xdr:to>
    <xdr:cxnSp macro="">
      <xdr:nvCxnSpPr>
        <xdr:cNvPr id="204" name="직선 연결선 203">
          <a:extLst>
            <a:ext uri="{FF2B5EF4-FFF2-40B4-BE49-F238E27FC236}">
              <a16:creationId xmlns:a16="http://schemas.microsoft.com/office/drawing/2014/main" id="{6B468FF2-46F7-46C6-ACE5-03D5216E9C6D}"/>
            </a:ext>
          </a:extLst>
        </xdr:cNvPr>
        <xdr:cNvCxnSpPr/>
      </xdr:nvCxnSpPr>
      <xdr:spPr>
        <a:xfrm flipH="1">
          <a:off x="2897909" y="16354136"/>
          <a:ext cx="0" cy="129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178377</xdr:colOff>
      <xdr:row>50</xdr:row>
      <xdr:rowOff>189923</xdr:rowOff>
    </xdr:from>
    <xdr:to>
      <xdr:col>8</xdr:col>
      <xdr:colOff>178377</xdr:colOff>
      <xdr:row>55</xdr:row>
      <xdr:rowOff>7536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727898DB-783D-4423-8B32-FBBE7E0BE8BD}"/>
            </a:ext>
          </a:extLst>
        </xdr:cNvPr>
        <xdr:cNvCxnSpPr/>
      </xdr:nvCxnSpPr>
      <xdr:spPr>
        <a:xfrm flipH="1">
          <a:off x="5466195" y="16971241"/>
          <a:ext cx="0" cy="90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352142</xdr:colOff>
      <xdr:row>55</xdr:row>
      <xdr:rowOff>4619</xdr:rowOff>
    </xdr:from>
    <xdr:to>
      <xdr:col>8</xdr:col>
      <xdr:colOff>182188</xdr:colOff>
      <xdr:row>55</xdr:row>
      <xdr:rowOff>5773</xdr:rowOff>
    </xdr:to>
    <xdr:cxnSp macro="">
      <xdr:nvCxnSpPr>
        <xdr:cNvPr id="210" name="직선 연결선 209">
          <a:extLst>
            <a:ext uri="{FF2B5EF4-FFF2-40B4-BE49-F238E27FC236}">
              <a16:creationId xmlns:a16="http://schemas.microsoft.com/office/drawing/2014/main" id="{B53BCAF6-5AF9-45B2-823C-5A50E018561D}"/>
            </a:ext>
          </a:extLst>
        </xdr:cNvPr>
        <xdr:cNvCxnSpPr/>
      </xdr:nvCxnSpPr>
      <xdr:spPr>
        <a:xfrm flipV="1">
          <a:off x="4318006" y="17868324"/>
          <a:ext cx="1152000" cy="115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267855</xdr:colOff>
      <xdr:row>55</xdr:row>
      <xdr:rowOff>17318</xdr:rowOff>
    </xdr:from>
    <xdr:to>
      <xdr:col>5</xdr:col>
      <xdr:colOff>614878</xdr:colOff>
      <xdr:row>55</xdr:row>
      <xdr:rowOff>17318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E1256EAB-6BFB-4FCB-884C-83E1CF3A55D3}"/>
            </a:ext>
          </a:extLst>
        </xdr:cNvPr>
        <xdr:cNvCxnSpPr/>
      </xdr:nvCxnSpPr>
      <xdr:spPr>
        <a:xfrm flipV="1">
          <a:off x="2911764" y="17881023"/>
          <a:ext cx="1008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620569</xdr:colOff>
      <xdr:row>52</xdr:row>
      <xdr:rowOff>95251</xdr:rowOff>
    </xdr:from>
    <xdr:to>
      <xdr:col>5</xdr:col>
      <xdr:colOff>620569</xdr:colOff>
      <xdr:row>55</xdr:row>
      <xdr:rowOff>16765</xdr:rowOff>
    </xdr:to>
    <xdr:cxnSp macro="">
      <xdr:nvCxnSpPr>
        <xdr:cNvPr id="214" name="직선 연결선 213">
          <a:extLst>
            <a:ext uri="{FF2B5EF4-FFF2-40B4-BE49-F238E27FC236}">
              <a16:creationId xmlns:a16="http://schemas.microsoft.com/office/drawing/2014/main" id="{745921F7-458E-477A-9EA0-354CF82F931B}"/>
            </a:ext>
          </a:extLst>
        </xdr:cNvPr>
        <xdr:cNvCxnSpPr/>
      </xdr:nvCxnSpPr>
      <xdr:spPr>
        <a:xfrm>
          <a:off x="3925455" y="17309524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357335</xdr:colOff>
      <xdr:row>52</xdr:row>
      <xdr:rowOff>88902</xdr:rowOff>
    </xdr:from>
    <xdr:to>
      <xdr:col>6</xdr:col>
      <xdr:colOff>357335</xdr:colOff>
      <xdr:row>55</xdr:row>
      <xdr:rowOff>10416</xdr:rowOff>
    </xdr:to>
    <xdr:cxnSp macro="">
      <xdr:nvCxnSpPr>
        <xdr:cNvPr id="217" name="직선 연결선 216">
          <a:extLst>
            <a:ext uri="{FF2B5EF4-FFF2-40B4-BE49-F238E27FC236}">
              <a16:creationId xmlns:a16="http://schemas.microsoft.com/office/drawing/2014/main" id="{998F098F-53FD-454D-B391-760E771B0337}"/>
            </a:ext>
          </a:extLst>
        </xdr:cNvPr>
        <xdr:cNvCxnSpPr/>
      </xdr:nvCxnSpPr>
      <xdr:spPr>
        <a:xfrm>
          <a:off x="4323199" y="17303175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659442</xdr:colOff>
      <xdr:row>53</xdr:row>
      <xdr:rowOff>203843</xdr:rowOff>
    </xdr:from>
    <xdr:to>
      <xdr:col>8</xdr:col>
      <xdr:colOff>109106</xdr:colOff>
      <xdr:row>55</xdr:row>
      <xdr:rowOff>59713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D8587149-B8E9-4AB5-9051-DDCFE7594998}"/>
            </a:ext>
          </a:extLst>
        </xdr:cNvPr>
        <xdr:cNvSpPr txBox="1"/>
      </xdr:nvSpPr>
      <xdr:spPr>
        <a:xfrm>
          <a:off x="4625306" y="17634593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6</xdr:col>
      <xdr:colOff>132774</xdr:colOff>
      <xdr:row>49</xdr:row>
      <xdr:rowOff>173184</xdr:rowOff>
    </xdr:from>
    <xdr:to>
      <xdr:col>6</xdr:col>
      <xdr:colOff>132774</xdr:colOff>
      <xdr:row>50</xdr:row>
      <xdr:rowOff>208707</xdr:rowOff>
    </xdr:to>
    <xdr:cxnSp macro="">
      <xdr:nvCxnSpPr>
        <xdr:cNvPr id="219" name="직선 연결선 218">
          <a:extLst>
            <a:ext uri="{FF2B5EF4-FFF2-40B4-BE49-F238E27FC236}">
              <a16:creationId xmlns:a16="http://schemas.microsoft.com/office/drawing/2014/main" id="{A248D5D2-3AC4-4957-B33F-41E6739ED503}"/>
            </a:ext>
          </a:extLst>
        </xdr:cNvPr>
        <xdr:cNvCxnSpPr/>
      </xdr:nvCxnSpPr>
      <xdr:spPr>
        <a:xfrm>
          <a:off x="4098638" y="16738025"/>
          <a:ext cx="0" cy="25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334820</xdr:colOff>
      <xdr:row>51</xdr:row>
      <xdr:rowOff>124115</xdr:rowOff>
    </xdr:from>
    <xdr:to>
      <xdr:col>6</xdr:col>
      <xdr:colOff>614220</xdr:colOff>
      <xdr:row>51</xdr:row>
      <xdr:rowOff>124426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13731783-9902-4705-96EC-C948498DADC7}"/>
            </a:ext>
          </a:extLst>
        </xdr:cNvPr>
        <xdr:cNvCxnSpPr/>
      </xdr:nvCxnSpPr>
      <xdr:spPr>
        <a:xfrm>
          <a:off x="4300684" y="17121910"/>
          <a:ext cx="279400" cy="31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548408</xdr:colOff>
      <xdr:row>50</xdr:row>
      <xdr:rowOff>190500</xdr:rowOff>
    </xdr:from>
    <xdr:to>
      <xdr:col>8</xdr:col>
      <xdr:colOff>87312</xdr:colOff>
      <xdr:row>52</xdr:row>
      <xdr:rowOff>55563</xdr:rowOff>
    </xdr:to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E70ADBF3-17F0-42EB-868B-5241172B0DBC}"/>
            </a:ext>
          </a:extLst>
        </xdr:cNvPr>
        <xdr:cNvSpPr txBox="1"/>
      </xdr:nvSpPr>
      <xdr:spPr>
        <a:xfrm>
          <a:off x="4501283" y="16811625"/>
          <a:ext cx="856529" cy="2936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IO_MODE</a:t>
          </a:r>
          <a:endParaRPr lang="ko-KR" altLang="en-US" sz="1200"/>
        </a:p>
      </xdr:txBody>
    </xdr:sp>
    <xdr:clientData/>
  </xdr:twoCellAnchor>
  <xdr:twoCellAnchor>
    <xdr:from>
      <xdr:col>5</xdr:col>
      <xdr:colOff>398320</xdr:colOff>
      <xdr:row>50</xdr:row>
      <xdr:rowOff>196272</xdr:rowOff>
    </xdr:from>
    <xdr:to>
      <xdr:col>6</xdr:col>
      <xdr:colOff>568616</xdr:colOff>
      <xdr:row>52</xdr:row>
      <xdr:rowOff>98137</xdr:rowOff>
    </xdr:to>
    <xdr:sp macro="" textlink="">
      <xdr:nvSpPr>
        <xdr:cNvPr id="207" name="순서도: 수동 연산 206">
          <a:extLst>
            <a:ext uri="{FF2B5EF4-FFF2-40B4-BE49-F238E27FC236}">
              <a16:creationId xmlns:a16="http://schemas.microsoft.com/office/drawing/2014/main" id="{05154614-4EA5-3DAF-7BBC-8066AAC3ADBA}"/>
            </a:ext>
          </a:extLst>
        </xdr:cNvPr>
        <xdr:cNvSpPr/>
      </xdr:nvSpPr>
      <xdr:spPr>
        <a:xfrm rot="10800000">
          <a:off x="3703206" y="16977590"/>
          <a:ext cx="831274" cy="334820"/>
        </a:xfrm>
        <a:prstGeom prst="flowChartManualOpera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5</xdr:col>
      <xdr:colOff>449215</xdr:colOff>
      <xdr:row>51</xdr:row>
      <xdr:rowOff>85533</xdr:rowOff>
    </xdr:from>
    <xdr:to>
      <xdr:col>6</xdr:col>
      <xdr:colOff>143836</xdr:colOff>
      <xdr:row>52</xdr:row>
      <xdr:rowOff>158363</xdr:rowOff>
    </xdr:to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2D780498-843D-4D69-9826-6EA1BE728037}"/>
            </a:ext>
          </a:extLst>
        </xdr:cNvPr>
        <xdr:cNvSpPr txBox="1"/>
      </xdr:nvSpPr>
      <xdr:spPr>
        <a:xfrm>
          <a:off x="3756507" y="17119408"/>
          <a:ext cx="356079" cy="289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01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171066</xdr:colOff>
      <xdr:row>51</xdr:row>
      <xdr:rowOff>88804</xdr:rowOff>
    </xdr:from>
    <xdr:to>
      <xdr:col>6</xdr:col>
      <xdr:colOff>526665</xdr:colOff>
      <xdr:row>52</xdr:row>
      <xdr:rowOff>161151</xdr:rowOff>
    </xdr:to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A4870D43-7CE7-4CE0-8B33-2A2B911EF45C}"/>
            </a:ext>
          </a:extLst>
        </xdr:cNvPr>
        <xdr:cNvSpPr txBox="1"/>
      </xdr:nvSpPr>
      <xdr:spPr>
        <a:xfrm>
          <a:off x="4139816" y="17122679"/>
          <a:ext cx="355599" cy="2893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11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658048</xdr:colOff>
      <xdr:row>2</xdr:row>
      <xdr:rowOff>181797</xdr:rowOff>
    </xdr:from>
    <xdr:to>
      <xdr:col>16</xdr:col>
      <xdr:colOff>0</xdr:colOff>
      <xdr:row>34</xdr:row>
      <xdr:rowOff>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5FAB1B9-E421-497D-AE73-B4E379B00F97}"/>
            </a:ext>
          </a:extLst>
        </xdr:cNvPr>
        <xdr:cNvSpPr/>
      </xdr:nvSpPr>
      <xdr:spPr>
        <a:xfrm>
          <a:off x="651698" y="6271447"/>
          <a:ext cx="5241102" cy="552685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341019</xdr:colOff>
      <xdr:row>9</xdr:row>
      <xdr:rowOff>17639</xdr:rowOff>
    </xdr:from>
    <xdr:to>
      <xdr:col>13</xdr:col>
      <xdr:colOff>1</xdr:colOff>
      <xdr:row>28</xdr:row>
      <xdr:rowOff>5880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8DD4B696-80E0-40FC-82B4-2063635C1E5E}"/>
            </a:ext>
          </a:extLst>
        </xdr:cNvPr>
        <xdr:cNvSpPr/>
      </xdr:nvSpPr>
      <xdr:spPr>
        <a:xfrm>
          <a:off x="1775649" y="7455370"/>
          <a:ext cx="3127963" cy="326907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0</xdr:col>
      <xdr:colOff>582083</xdr:colOff>
      <xdr:row>1</xdr:row>
      <xdr:rowOff>0</xdr:rowOff>
    </xdr:from>
    <xdr:ext cx="1149995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560310A-453F-46B6-BF5F-B8FC0324842F}"/>
            </a:ext>
          </a:extLst>
        </xdr:cNvPr>
        <xdr:cNvSpPr txBox="1"/>
      </xdr:nvSpPr>
      <xdr:spPr>
        <a:xfrm>
          <a:off x="582083" y="5920787"/>
          <a:ext cx="11499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 b="1"/>
            <a:t>TOP</a:t>
          </a:r>
          <a:r>
            <a:rPr lang="en-US" altLang="ko-KR" sz="1800" b="1" baseline="0"/>
            <a:t> VIEW</a:t>
          </a:r>
          <a:endParaRPr lang="ko-KR" altLang="en-US" sz="1800" b="1"/>
        </a:p>
      </xdr:txBody>
    </xdr:sp>
    <xdr:clientData/>
  </xdr:oneCellAnchor>
  <xdr:twoCellAnchor>
    <xdr:from>
      <xdr:col>1</xdr:col>
      <xdr:colOff>182269</xdr:colOff>
      <xdr:row>4</xdr:row>
      <xdr:rowOff>5880</xdr:rowOff>
    </xdr:from>
    <xdr:to>
      <xdr:col>2</xdr:col>
      <xdr:colOff>15371</xdr:colOff>
      <xdr:row>5</xdr:row>
      <xdr:rowOff>3611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5B003406-404A-4CF8-B5E6-2D0346A39CF6}"/>
            </a:ext>
          </a:extLst>
        </xdr:cNvPr>
        <xdr:cNvSpPr/>
      </xdr:nvSpPr>
      <xdr:spPr>
        <a:xfrm>
          <a:off x="836319" y="6463830"/>
          <a:ext cx="182352" cy="181881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7</xdr:col>
      <xdr:colOff>193560</xdr:colOff>
      <xdr:row>12</xdr:row>
      <xdr:rowOff>123003</xdr:rowOff>
    </xdr:from>
    <xdr:ext cx="706732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F61853D-12FB-480F-8D1E-27225DCB5721}"/>
            </a:ext>
          </a:extLst>
        </xdr:cNvPr>
        <xdr:cNvSpPr txBox="1"/>
      </xdr:nvSpPr>
      <xdr:spPr>
        <a:xfrm>
          <a:off x="2943110" y="8054153"/>
          <a:ext cx="7067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00FFFF"/>
              </a:solidFill>
            </a:rPr>
            <a:t>1.8mm</a:t>
          </a:r>
          <a:endParaRPr lang="ko-KR" altLang="en-US" sz="1400" b="1">
            <a:solidFill>
              <a:srgbClr val="00FFFF"/>
            </a:solidFill>
          </a:endParaRPr>
        </a:p>
      </xdr:txBody>
    </xdr:sp>
    <xdr:clientData/>
  </xdr:oneCellAnchor>
  <xdr:oneCellAnchor>
    <xdr:from>
      <xdr:col>12</xdr:col>
      <xdr:colOff>61447</xdr:colOff>
      <xdr:row>17</xdr:row>
      <xdr:rowOff>101309</xdr:rowOff>
    </xdr:from>
    <xdr:ext cx="311496" cy="70673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E252FFF-298A-4EB2-815A-8825C9C03CB8}"/>
            </a:ext>
          </a:extLst>
        </xdr:cNvPr>
        <xdr:cNvSpPr txBox="1"/>
      </xdr:nvSpPr>
      <xdr:spPr>
        <a:xfrm rot="16200000">
          <a:off x="4359629" y="9150827"/>
          <a:ext cx="7067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00FFFF"/>
              </a:solidFill>
            </a:rPr>
            <a:t>1.3mm</a:t>
          </a:r>
          <a:endParaRPr lang="ko-KR" altLang="en-US" sz="1400" b="1">
            <a:solidFill>
              <a:srgbClr val="00FFFF"/>
            </a:solidFill>
          </a:endParaRPr>
        </a:p>
      </xdr:txBody>
    </xdr:sp>
    <xdr:clientData/>
  </xdr:oneCellAnchor>
  <xdr:twoCellAnchor>
    <xdr:from>
      <xdr:col>3</xdr:col>
      <xdr:colOff>311619</xdr:colOff>
      <xdr:row>7</xdr:row>
      <xdr:rowOff>47038</xdr:rowOff>
    </xdr:from>
    <xdr:to>
      <xdr:col>13</xdr:col>
      <xdr:colOff>194027</xdr:colOff>
      <xdr:row>12</xdr:row>
      <xdr:rowOff>170509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79C30A58-1D67-4027-B69A-679FD655BC44}"/>
            </a:ext>
          </a:extLst>
        </xdr:cNvPr>
        <xdr:cNvSpPr/>
      </xdr:nvSpPr>
      <xdr:spPr>
        <a:xfrm>
          <a:off x="1664169" y="7057438"/>
          <a:ext cx="3374908" cy="104422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305666</xdr:colOff>
      <xdr:row>28</xdr:row>
      <xdr:rowOff>48937</xdr:rowOff>
    </xdr:from>
    <xdr:ext cx="2421112" cy="24885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DA53FFC-0379-4B8A-874B-6AE4D88241E7}"/>
            </a:ext>
          </a:extLst>
        </xdr:cNvPr>
        <xdr:cNvSpPr txBox="1"/>
      </xdr:nvSpPr>
      <xdr:spPr>
        <a:xfrm>
          <a:off x="5683628" y="5080091"/>
          <a:ext cx="242111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mclk/32 out @ TEST_EN=1 &amp;&amp; MCLK32_O=1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twoCellAnchor>
    <xdr:from>
      <xdr:col>3</xdr:col>
      <xdr:colOff>323379</xdr:colOff>
      <xdr:row>12</xdr:row>
      <xdr:rowOff>146991</xdr:rowOff>
    </xdr:from>
    <xdr:to>
      <xdr:col>4</xdr:col>
      <xdr:colOff>257063</xdr:colOff>
      <xdr:row>14</xdr:row>
      <xdr:rowOff>67246</xdr:rowOff>
    </xdr:to>
    <xdr:sp macro="" textlink="">
      <xdr:nvSpPr>
        <xdr:cNvPr id="18" name="직각 삼각형 17">
          <a:extLst>
            <a:ext uri="{FF2B5EF4-FFF2-40B4-BE49-F238E27FC236}">
              <a16:creationId xmlns:a16="http://schemas.microsoft.com/office/drawing/2014/main" id="{CFF9CC40-9125-4D4C-90C3-C3725A037B0B}"/>
            </a:ext>
          </a:extLst>
        </xdr:cNvPr>
        <xdr:cNvSpPr/>
      </xdr:nvSpPr>
      <xdr:spPr>
        <a:xfrm rot="5400000">
          <a:off x="1673118" y="8080952"/>
          <a:ext cx="288555" cy="2829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14</xdr:col>
      <xdr:colOff>211667</xdr:colOff>
      <xdr:row>26</xdr:row>
      <xdr:rowOff>144005</xdr:rowOff>
    </xdr:from>
    <xdr:ext cx="555408" cy="24885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5DD52F7-2258-4486-8D2C-F25B1497C413}"/>
            </a:ext>
          </a:extLst>
        </xdr:cNvPr>
        <xdr:cNvSpPr txBox="1"/>
      </xdr:nvSpPr>
      <xdr:spPr>
        <a:xfrm>
          <a:off x="5252590" y="4803928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0</xdr:col>
      <xdr:colOff>599251</xdr:colOff>
      <xdr:row>26</xdr:row>
      <xdr:rowOff>149414</xdr:rowOff>
    </xdr:from>
    <xdr:ext cx="555408" cy="24885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B979FB4-2189-43C8-8168-5114D5BC0683}"/>
            </a:ext>
          </a:extLst>
        </xdr:cNvPr>
        <xdr:cNvSpPr txBox="1"/>
      </xdr:nvSpPr>
      <xdr:spPr>
        <a:xfrm>
          <a:off x="599251" y="4809337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15</xdr:col>
      <xdr:colOff>288174</xdr:colOff>
      <xdr:row>22</xdr:row>
      <xdr:rowOff>146613</xdr:rowOff>
    </xdr:from>
    <xdr:ext cx="2359287" cy="561885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E6E8D1E-C4C3-4850-A1B9-01C75EE9FD96}"/>
            </a:ext>
          </a:extLst>
        </xdr:cNvPr>
        <xdr:cNvSpPr txBox="1"/>
      </xdr:nvSpPr>
      <xdr:spPr>
        <a:xfrm>
          <a:off x="5666136" y="4249690"/>
          <a:ext cx="2359287" cy="561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if FBI pin not used, leave OPEN (not to GND)</a:t>
          </a:r>
        </a:p>
        <a:p>
          <a:r>
            <a:rPr lang="en-US" altLang="ko-KR" sz="10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@IO_MODE=10</a:t>
          </a:r>
        </a:p>
        <a:p>
          <a:r>
            <a:rPr lang="en-US" altLang="ko-KR" sz="10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IO_MODE=00 -&gt; to GND</a:t>
          </a:r>
        </a:p>
      </xdr:txBody>
    </xdr:sp>
    <xdr:clientData/>
  </xdr:oneCellAnchor>
  <xdr:twoCellAnchor>
    <xdr:from>
      <xdr:col>20</xdr:col>
      <xdr:colOff>0</xdr:colOff>
      <xdr:row>2</xdr:row>
      <xdr:rowOff>181797</xdr:rowOff>
    </xdr:from>
    <xdr:to>
      <xdr:col>35</xdr:col>
      <xdr:colOff>0</xdr:colOff>
      <xdr:row>34</xdr:row>
      <xdr:rowOff>0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91BDD4F3-D965-4DE4-9C44-8775E4104AC9}"/>
            </a:ext>
          </a:extLst>
        </xdr:cNvPr>
        <xdr:cNvSpPr/>
      </xdr:nvSpPr>
      <xdr:spPr>
        <a:xfrm>
          <a:off x="658048" y="572566"/>
          <a:ext cx="5056952" cy="557228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341019</xdr:colOff>
      <xdr:row>9</xdr:row>
      <xdr:rowOff>17639</xdr:rowOff>
    </xdr:from>
    <xdr:to>
      <xdr:col>32</xdr:col>
      <xdr:colOff>1</xdr:colOff>
      <xdr:row>28</xdr:row>
      <xdr:rowOff>5880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0C56C55-F65A-4B87-BB64-2EE9C27197DE}"/>
            </a:ext>
          </a:extLst>
        </xdr:cNvPr>
        <xdr:cNvSpPr/>
      </xdr:nvSpPr>
      <xdr:spPr>
        <a:xfrm>
          <a:off x="1668169" y="1707716"/>
          <a:ext cx="3035717" cy="3329318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20</xdr:col>
      <xdr:colOff>0</xdr:colOff>
      <xdr:row>1</xdr:row>
      <xdr:rowOff>0</xdr:rowOff>
    </xdr:from>
    <xdr:ext cx="1149995" cy="374141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7F2A31E-ADA8-49CF-B8A7-3F13199097A8}"/>
            </a:ext>
          </a:extLst>
        </xdr:cNvPr>
        <xdr:cNvSpPr txBox="1"/>
      </xdr:nvSpPr>
      <xdr:spPr>
        <a:xfrm>
          <a:off x="582083" y="205154"/>
          <a:ext cx="11499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 b="1"/>
            <a:t>TOP</a:t>
          </a:r>
          <a:r>
            <a:rPr lang="en-US" altLang="ko-KR" sz="1800" b="1" baseline="0"/>
            <a:t> VIEW</a:t>
          </a:r>
          <a:endParaRPr lang="ko-KR" altLang="en-US" sz="1800" b="1"/>
        </a:p>
      </xdr:txBody>
    </xdr:sp>
    <xdr:clientData/>
  </xdr:oneCellAnchor>
  <xdr:twoCellAnchor>
    <xdr:from>
      <xdr:col>20</xdr:col>
      <xdr:colOff>182269</xdr:colOff>
      <xdr:row>4</xdr:row>
      <xdr:rowOff>5880</xdr:rowOff>
    </xdr:from>
    <xdr:to>
      <xdr:col>21</xdr:col>
      <xdr:colOff>15371</xdr:colOff>
      <xdr:row>5</xdr:row>
      <xdr:rowOff>3611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00FE51C0-A618-4F1E-B886-4F34A31C5651}"/>
            </a:ext>
          </a:extLst>
        </xdr:cNvPr>
        <xdr:cNvSpPr/>
      </xdr:nvSpPr>
      <xdr:spPr>
        <a:xfrm>
          <a:off x="841692" y="767880"/>
          <a:ext cx="170141" cy="183346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333148</xdr:colOff>
      <xdr:row>9</xdr:row>
      <xdr:rowOff>15106</xdr:rowOff>
    </xdr:from>
    <xdr:to>
      <xdr:col>23</xdr:col>
      <xdr:colOff>266832</xdr:colOff>
      <xdr:row>10</xdr:row>
      <xdr:rowOff>120977</xdr:rowOff>
    </xdr:to>
    <xdr:sp macro="" textlink="">
      <xdr:nvSpPr>
        <xdr:cNvPr id="55" name="직각 삼각형 54">
          <a:extLst>
            <a:ext uri="{FF2B5EF4-FFF2-40B4-BE49-F238E27FC236}">
              <a16:creationId xmlns:a16="http://schemas.microsoft.com/office/drawing/2014/main" id="{FA4778C9-36E6-4F6D-A4E4-BB9992FB3E7A}"/>
            </a:ext>
          </a:extLst>
        </xdr:cNvPr>
        <xdr:cNvSpPr/>
      </xdr:nvSpPr>
      <xdr:spPr>
        <a:xfrm rot="5400000">
          <a:off x="11093343" y="1715565"/>
          <a:ext cx="291486" cy="270722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33</xdr:col>
      <xdr:colOff>211667</xdr:colOff>
      <xdr:row>26</xdr:row>
      <xdr:rowOff>144005</xdr:rowOff>
    </xdr:from>
    <xdr:ext cx="555408" cy="248851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5795249-9BAF-4BD7-8307-02D1ABF9D5FC}"/>
            </a:ext>
          </a:extLst>
        </xdr:cNvPr>
        <xdr:cNvSpPr txBox="1"/>
      </xdr:nvSpPr>
      <xdr:spPr>
        <a:xfrm>
          <a:off x="5252590" y="4803928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20</xdr:col>
      <xdr:colOff>0</xdr:colOff>
      <xdr:row>26</xdr:row>
      <xdr:rowOff>149414</xdr:rowOff>
    </xdr:from>
    <xdr:ext cx="555408" cy="248851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E3B8AB5-9358-4222-B498-5F6328E41A7F}"/>
            </a:ext>
          </a:extLst>
        </xdr:cNvPr>
        <xdr:cNvSpPr txBox="1"/>
      </xdr:nvSpPr>
      <xdr:spPr>
        <a:xfrm>
          <a:off x="599251" y="4809337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0</xdr:col>
      <xdr:colOff>611535</xdr:colOff>
      <xdr:row>9</xdr:row>
      <xdr:rowOff>152475</xdr:rowOff>
    </xdr:from>
    <xdr:ext cx="2103396" cy="248851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EF193B7-3108-4194-B40C-F4B8D1C9720B}"/>
            </a:ext>
          </a:extLst>
        </xdr:cNvPr>
        <xdr:cNvSpPr txBox="1"/>
      </xdr:nvSpPr>
      <xdr:spPr>
        <a:xfrm>
          <a:off x="611535" y="1842552"/>
          <a:ext cx="210339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VREF out @ TEST_EN=1 &amp;&amp; VREF_O=1</a:t>
          </a:r>
          <a:endParaRPr lang="ko-KR" altLang="ko-KR" sz="1000">
            <a:solidFill>
              <a:srgbClr val="0000FF"/>
            </a:solidFill>
            <a:effectLst/>
          </a:endParaRPr>
        </a:p>
      </xdr:txBody>
    </xdr:sp>
    <xdr:clientData/>
  </xdr:oneCellAnchor>
  <xdr:oneCellAnchor>
    <xdr:from>
      <xdr:col>34</xdr:col>
      <xdr:colOff>334974</xdr:colOff>
      <xdr:row>28</xdr:row>
      <xdr:rowOff>53822</xdr:rowOff>
    </xdr:from>
    <xdr:ext cx="2421112" cy="24885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3DF84D8-6B5F-4E5F-B3D7-456009C5AEAF}"/>
            </a:ext>
          </a:extLst>
        </xdr:cNvPr>
        <xdr:cNvSpPr txBox="1"/>
      </xdr:nvSpPr>
      <xdr:spPr>
        <a:xfrm>
          <a:off x="13494128" y="5270591"/>
          <a:ext cx="242111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mclk/32 out @ TEST_EN=1 &amp;&amp; MCLK32_O=1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627166</xdr:colOff>
      <xdr:row>9</xdr:row>
      <xdr:rowOff>148567</xdr:rowOff>
    </xdr:from>
    <xdr:ext cx="2103396" cy="248851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9A8C978-CB56-453A-B137-F963973DDA23}"/>
            </a:ext>
          </a:extLst>
        </xdr:cNvPr>
        <xdr:cNvSpPr txBox="1"/>
      </xdr:nvSpPr>
      <xdr:spPr>
        <a:xfrm>
          <a:off x="8305781" y="1838644"/>
          <a:ext cx="210339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VREF out @ TEST_EN=1 &amp;&amp; VREF_O=1</a:t>
          </a:r>
          <a:endParaRPr lang="ko-KR" altLang="ko-KR" sz="1000">
            <a:solidFill>
              <a:srgbClr val="0000FF"/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DFCB-2E47-4C45-9A83-841175C25589}">
  <dimension ref="A2:FP128"/>
  <sheetViews>
    <sheetView showGridLines="0" zoomScale="90" zoomScaleNormal="90" workbookViewId="0"/>
  </sheetViews>
  <sheetFormatPr defaultRowHeight="17" x14ac:dyDescent="0.45"/>
  <cols>
    <col min="2" max="2" width="12.1640625" style="1" bestFit="1" customWidth="1"/>
    <col min="3" max="3" width="1.58203125" style="1" customWidth="1"/>
    <col min="4" max="5" width="9.58203125" customWidth="1"/>
    <col min="6" max="9" width="5.1640625" bestFit="1" customWidth="1"/>
    <col min="10" max="19" width="4.1640625" bestFit="1" customWidth="1"/>
    <col min="20" max="20" width="5.6640625" bestFit="1" customWidth="1"/>
    <col min="21" max="21" width="11" style="1" customWidth="1"/>
    <col min="22" max="172" width="1.1640625" customWidth="1"/>
  </cols>
  <sheetData>
    <row r="2" spans="2:159" x14ac:dyDescent="0.45">
      <c r="B2" s="117" t="s">
        <v>403</v>
      </c>
      <c r="C2" s="622" t="s">
        <v>404</v>
      </c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  <c r="Q2" s="623"/>
      <c r="R2" s="623"/>
      <c r="S2" s="624"/>
      <c r="U2" s="5" t="s">
        <v>405</v>
      </c>
      <c r="DH2" t="s">
        <v>406</v>
      </c>
    </row>
    <row r="3" spans="2:159" ht="17.5" thickBot="1" x14ac:dyDescent="0.5">
      <c r="B3" s="2"/>
      <c r="U3" s="182" t="s">
        <v>407</v>
      </c>
      <c r="V3" s="17"/>
      <c r="W3" s="18"/>
      <c r="X3" s="15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DB3" s="14"/>
      <c r="DC3" s="14"/>
      <c r="DD3" s="14"/>
      <c r="DE3" s="14"/>
      <c r="DF3" s="14"/>
      <c r="DG3" s="12"/>
      <c r="DH3" s="16"/>
      <c r="DI3" s="17"/>
      <c r="DJ3" s="17"/>
      <c r="DK3" s="17"/>
      <c r="DL3" s="17"/>
      <c r="DM3" s="17"/>
      <c r="DN3" s="18"/>
      <c r="DO3" s="15"/>
      <c r="DP3" s="14"/>
    </row>
    <row r="4" spans="2:159" x14ac:dyDescent="0.45">
      <c r="B4" s="2" t="s">
        <v>408</v>
      </c>
      <c r="D4" s="123" t="s">
        <v>309</v>
      </c>
      <c r="E4" s="125" t="s">
        <v>352</v>
      </c>
      <c r="F4" s="123" t="s">
        <v>353</v>
      </c>
      <c r="G4" s="124" t="s">
        <v>354</v>
      </c>
      <c r="H4" s="124" t="s">
        <v>293</v>
      </c>
      <c r="I4" s="124" t="s">
        <v>294</v>
      </c>
      <c r="J4" s="124" t="s">
        <v>33</v>
      </c>
      <c r="K4" s="124" t="s">
        <v>34</v>
      </c>
      <c r="L4" s="124" t="s">
        <v>35</v>
      </c>
      <c r="M4" s="125" t="s">
        <v>36</v>
      </c>
      <c r="N4" s="131" t="s">
        <v>37</v>
      </c>
      <c r="O4" s="124" t="s">
        <v>38</v>
      </c>
      <c r="P4" s="124" t="s">
        <v>39</v>
      </c>
      <c r="Q4" s="124" t="s">
        <v>40</v>
      </c>
      <c r="R4" s="124" t="s">
        <v>41</v>
      </c>
      <c r="S4" s="125" t="s">
        <v>42</v>
      </c>
      <c r="X4" s="183"/>
      <c r="Y4" s="183"/>
      <c r="Z4" s="625">
        <v>16</v>
      </c>
      <c r="AA4" s="625"/>
      <c r="AB4" s="625">
        <v>15</v>
      </c>
      <c r="AC4" s="625"/>
      <c r="AD4" s="625">
        <v>14</v>
      </c>
      <c r="AE4" s="625"/>
      <c r="AF4" s="625"/>
      <c r="AG4" s="625"/>
      <c r="AH4" s="625">
        <v>3</v>
      </c>
      <c r="AI4" s="625"/>
      <c r="AJ4" s="625">
        <v>2</v>
      </c>
      <c r="AK4" s="625"/>
      <c r="AL4" s="625">
        <v>1</v>
      </c>
      <c r="AM4" s="625"/>
      <c r="AN4" s="625">
        <v>16</v>
      </c>
      <c r="AO4" s="625"/>
      <c r="AP4" s="625">
        <v>15</v>
      </c>
      <c r="AQ4" s="625"/>
      <c r="AR4" s="625">
        <v>14</v>
      </c>
      <c r="AS4" s="625"/>
      <c r="AT4" s="625"/>
      <c r="AU4" s="625"/>
      <c r="AV4" s="625">
        <v>3</v>
      </c>
      <c r="AW4" s="625"/>
      <c r="AX4" s="625">
        <v>2</v>
      </c>
      <c r="AY4" s="625"/>
      <c r="AZ4" s="625">
        <v>1</v>
      </c>
      <c r="BA4" s="625"/>
      <c r="BB4" s="625">
        <v>16</v>
      </c>
      <c r="BC4" s="625"/>
      <c r="BD4" s="625">
        <v>15</v>
      </c>
      <c r="BE4" s="625"/>
      <c r="BF4" s="625">
        <v>14</v>
      </c>
      <c r="BG4" s="625"/>
      <c r="BH4" s="625"/>
      <c r="BI4" s="625"/>
      <c r="BJ4" s="625">
        <v>3</v>
      </c>
      <c r="BK4" s="625"/>
      <c r="BL4" s="625">
        <v>2</v>
      </c>
      <c r="BM4" s="625"/>
      <c r="BN4" s="625">
        <v>1</v>
      </c>
      <c r="BO4" s="625"/>
      <c r="BP4" s="625">
        <v>16</v>
      </c>
      <c r="BQ4" s="625"/>
      <c r="BR4" s="625">
        <v>15</v>
      </c>
      <c r="BS4" s="625"/>
      <c r="BT4" s="625">
        <v>14</v>
      </c>
      <c r="BU4" s="625"/>
      <c r="BV4" s="625"/>
      <c r="BW4" s="625"/>
      <c r="BX4" s="625">
        <v>3</v>
      </c>
      <c r="BY4" s="625"/>
      <c r="BZ4" s="625">
        <v>2</v>
      </c>
      <c r="CA4" s="625"/>
      <c r="CB4" s="625">
        <v>1</v>
      </c>
      <c r="CC4" s="625"/>
      <c r="CD4" s="625">
        <v>16</v>
      </c>
      <c r="CE4" s="625"/>
      <c r="CF4" s="625">
        <v>15</v>
      </c>
      <c r="CG4" s="625"/>
      <c r="CH4" s="625">
        <v>14</v>
      </c>
      <c r="CI4" s="625"/>
      <c r="CJ4" s="625"/>
      <c r="CK4" s="625"/>
      <c r="CL4" s="625">
        <v>3</v>
      </c>
      <c r="CM4" s="625"/>
      <c r="CN4" s="625">
        <v>2</v>
      </c>
      <c r="CO4" s="625"/>
      <c r="CP4" s="625">
        <v>1</v>
      </c>
      <c r="CQ4" s="625"/>
      <c r="CR4" s="625">
        <v>16</v>
      </c>
      <c r="CS4" s="625"/>
      <c r="CT4" s="625">
        <v>15</v>
      </c>
      <c r="CU4" s="625"/>
      <c r="CV4" s="625">
        <v>14</v>
      </c>
      <c r="CW4" s="625"/>
      <c r="CX4" s="625"/>
      <c r="CY4" s="625"/>
      <c r="CZ4" s="625">
        <v>3</v>
      </c>
      <c r="DA4" s="625"/>
      <c r="DB4" s="627">
        <v>2</v>
      </c>
      <c r="DC4" s="627"/>
      <c r="DD4" s="627">
        <v>1</v>
      </c>
      <c r="DE4" s="627"/>
      <c r="DF4" s="185"/>
      <c r="DG4" s="185"/>
      <c r="DH4" s="183"/>
      <c r="DI4" s="183"/>
      <c r="DJ4" s="183"/>
      <c r="DK4" s="183"/>
      <c r="DL4" s="183"/>
      <c r="DM4" s="186"/>
      <c r="DN4" s="186"/>
      <c r="DO4" s="186"/>
      <c r="DP4" s="186"/>
      <c r="DQ4" s="186"/>
      <c r="DR4" s="186"/>
      <c r="DS4" s="186"/>
      <c r="DT4" s="186"/>
      <c r="DU4" s="186"/>
      <c r="DV4" s="186"/>
      <c r="DW4" s="186"/>
      <c r="DX4" s="186"/>
      <c r="DY4" s="186"/>
      <c r="DZ4" s="186"/>
      <c r="EA4" s="186"/>
      <c r="EB4" s="186"/>
      <c r="EC4" s="186"/>
      <c r="ED4" s="186"/>
      <c r="EE4" s="186"/>
      <c r="EF4" s="186"/>
      <c r="EG4" s="186"/>
      <c r="EH4" s="186"/>
      <c r="EI4" s="186"/>
      <c r="EJ4" s="186"/>
      <c r="EK4" s="186"/>
      <c r="EL4" s="186"/>
      <c r="EM4" s="186"/>
      <c r="EN4" s="186"/>
      <c r="EO4" s="186"/>
      <c r="EP4" s="186"/>
      <c r="EQ4" s="186"/>
      <c r="ER4" s="186"/>
      <c r="ES4" s="186"/>
      <c r="ET4" s="186"/>
      <c r="EU4" s="186"/>
      <c r="EV4" s="186"/>
      <c r="EW4" s="186"/>
      <c r="EX4" s="186"/>
      <c r="EY4" s="186"/>
      <c r="EZ4" s="186"/>
      <c r="FA4" s="186"/>
      <c r="FB4" s="186"/>
      <c r="FC4" s="186"/>
    </row>
    <row r="5" spans="2:159" ht="17.5" thickBot="1" x14ac:dyDescent="0.5">
      <c r="B5" s="2"/>
      <c r="D5" s="628" t="s">
        <v>409</v>
      </c>
      <c r="E5" s="629"/>
      <c r="F5" s="628" t="s">
        <v>410</v>
      </c>
      <c r="G5" s="630"/>
      <c r="H5" s="630"/>
      <c r="I5" s="630"/>
      <c r="J5" s="630"/>
      <c r="K5" s="630"/>
      <c r="L5" s="630"/>
      <c r="M5" s="629"/>
      <c r="N5" s="630" t="s">
        <v>411</v>
      </c>
      <c r="O5" s="630"/>
      <c r="P5" s="630"/>
      <c r="Q5" s="630"/>
      <c r="R5" s="630"/>
      <c r="S5" s="629"/>
      <c r="U5" s="1" t="s">
        <v>412</v>
      </c>
      <c r="V5" s="187"/>
      <c r="W5" s="187"/>
      <c r="X5" s="187"/>
      <c r="Y5" s="188"/>
      <c r="Z5" s="189"/>
      <c r="AA5" s="190"/>
      <c r="AB5" s="189"/>
      <c r="AC5" s="190"/>
      <c r="AD5" s="189"/>
      <c r="AE5" s="190"/>
      <c r="AF5" s="191"/>
      <c r="AG5" s="187"/>
      <c r="AH5" s="189"/>
      <c r="AI5" s="190"/>
      <c r="AJ5" s="189"/>
      <c r="AK5" s="190"/>
      <c r="AL5" s="189"/>
      <c r="AM5" s="190"/>
      <c r="AN5" s="189"/>
      <c r="AO5" s="190"/>
      <c r="AP5" s="189"/>
      <c r="AQ5" s="190"/>
      <c r="AR5" s="189"/>
      <c r="AS5" s="190"/>
      <c r="AT5" s="191"/>
      <c r="AU5" s="187"/>
      <c r="AV5" s="189"/>
      <c r="AW5" s="190"/>
      <c r="AX5" s="189"/>
      <c r="AY5" s="190"/>
      <c r="AZ5" s="189"/>
      <c r="BA5" s="190"/>
      <c r="BB5" s="189"/>
      <c r="BC5" s="190"/>
      <c r="BD5" s="189"/>
      <c r="BE5" s="190"/>
      <c r="BF5" s="189"/>
      <c r="BG5" s="190"/>
      <c r="BH5" s="191"/>
      <c r="BI5" s="187"/>
      <c r="BJ5" s="189"/>
      <c r="BK5" s="190"/>
      <c r="BL5" s="189"/>
      <c r="BM5" s="190"/>
      <c r="BN5" s="189"/>
      <c r="BO5" s="190"/>
      <c r="BP5" s="189"/>
      <c r="BQ5" s="190"/>
      <c r="BR5" s="189"/>
      <c r="BS5" s="190"/>
      <c r="BT5" s="189"/>
      <c r="BU5" s="190"/>
      <c r="BV5" s="191"/>
      <c r="BW5" s="187"/>
      <c r="BX5" s="189"/>
      <c r="BY5" s="190"/>
      <c r="BZ5" s="189"/>
      <c r="CA5" s="190"/>
      <c r="CB5" s="189"/>
      <c r="CC5" s="190"/>
      <c r="CD5" s="189"/>
      <c r="CE5" s="190"/>
      <c r="CF5" s="189"/>
      <c r="CG5" s="190"/>
      <c r="CH5" s="189"/>
      <c r="CI5" s="190"/>
      <c r="CJ5" s="191"/>
      <c r="CK5" s="187"/>
      <c r="CL5" s="189"/>
      <c r="CM5" s="190"/>
      <c r="CN5" s="189"/>
      <c r="CO5" s="190"/>
      <c r="CP5" s="189"/>
      <c r="CQ5" s="190"/>
      <c r="CR5" s="189"/>
      <c r="CS5" s="190"/>
      <c r="CT5" s="189"/>
      <c r="CU5" s="190"/>
      <c r="CV5" s="189"/>
      <c r="CW5" s="190"/>
      <c r="CX5" s="191"/>
      <c r="CY5" s="187"/>
      <c r="CZ5" s="189"/>
      <c r="DA5" s="190"/>
      <c r="DB5" s="189"/>
      <c r="DC5" s="190"/>
      <c r="DD5" s="189"/>
      <c r="DE5" s="190"/>
      <c r="DF5" s="187"/>
      <c r="DG5" s="187"/>
      <c r="DH5" s="187"/>
      <c r="DI5" s="187"/>
      <c r="DJ5" s="187"/>
      <c r="DK5" s="187"/>
      <c r="DL5" s="187"/>
      <c r="DM5" s="187"/>
      <c r="DN5" s="187"/>
      <c r="DO5" s="187"/>
      <c r="DP5" s="187"/>
      <c r="DQ5" s="191"/>
      <c r="DR5" s="191"/>
      <c r="DS5" s="191"/>
      <c r="DT5" s="191"/>
      <c r="DU5" s="191"/>
      <c r="DV5" s="191"/>
      <c r="DW5" s="191"/>
      <c r="DX5" s="191"/>
      <c r="DY5" s="191"/>
      <c r="DZ5" s="191"/>
      <c r="EA5" s="191"/>
      <c r="EB5" s="191"/>
      <c r="EC5" s="191"/>
      <c r="ED5" s="191"/>
      <c r="EE5" s="191"/>
      <c r="EF5" s="191"/>
      <c r="EG5" s="191"/>
      <c r="EH5" s="191"/>
      <c r="EI5" s="191"/>
      <c r="EJ5" s="191"/>
      <c r="EK5" s="191"/>
      <c r="EL5" s="191"/>
      <c r="EM5" s="191"/>
      <c r="EN5" s="191"/>
      <c r="EO5" s="191"/>
      <c r="EP5" s="191"/>
      <c r="EQ5" s="191"/>
      <c r="ER5" s="191"/>
      <c r="ES5" s="191"/>
      <c r="ET5" s="191"/>
      <c r="EU5" s="191"/>
      <c r="EV5" s="191"/>
      <c r="EW5" s="191"/>
      <c r="EX5" s="191"/>
      <c r="EY5" s="191"/>
      <c r="EZ5" s="191"/>
      <c r="FA5" s="191"/>
      <c r="FB5" s="191"/>
      <c r="FC5" s="191"/>
    </row>
    <row r="6" spans="2:159" x14ac:dyDescent="0.45">
      <c r="B6" s="2" t="s">
        <v>413</v>
      </c>
      <c r="D6" s="13">
        <v>0</v>
      </c>
      <c r="E6" s="13">
        <v>1</v>
      </c>
      <c r="F6" s="631" t="s">
        <v>414</v>
      </c>
      <c r="G6" s="631"/>
      <c r="H6" s="631"/>
      <c r="I6" s="631"/>
      <c r="J6" s="631"/>
      <c r="K6" s="631"/>
      <c r="L6" s="631"/>
      <c r="M6" s="631"/>
      <c r="N6" s="632" t="s">
        <v>415</v>
      </c>
      <c r="O6" s="632"/>
      <c r="P6" s="632"/>
      <c r="Q6" s="632"/>
      <c r="R6" s="632"/>
      <c r="S6" s="632"/>
    </row>
    <row r="7" spans="2:159" x14ac:dyDescent="0.45">
      <c r="B7" s="2" t="s">
        <v>416</v>
      </c>
      <c r="D7" s="13">
        <v>1</v>
      </c>
      <c r="E7" s="13">
        <v>0</v>
      </c>
      <c r="F7" s="631" t="s">
        <v>414</v>
      </c>
      <c r="G7" s="631"/>
      <c r="H7" s="631"/>
      <c r="I7" s="631"/>
      <c r="J7" s="631"/>
      <c r="K7" s="631"/>
      <c r="L7" s="631"/>
      <c r="M7" s="631"/>
      <c r="N7" s="631" t="s">
        <v>415</v>
      </c>
      <c r="O7" s="631"/>
      <c r="P7" s="631"/>
      <c r="Q7" s="631"/>
      <c r="R7" s="631"/>
      <c r="S7" s="631"/>
      <c r="U7" s="1" t="s">
        <v>417</v>
      </c>
      <c r="V7" s="14"/>
      <c r="W7" s="14"/>
      <c r="X7" s="14"/>
      <c r="Y7" s="14"/>
      <c r="Z7" s="636" t="s">
        <v>418</v>
      </c>
      <c r="AA7" s="637"/>
      <c r="AB7" s="637"/>
      <c r="AC7" s="637"/>
      <c r="AD7" s="637"/>
      <c r="AE7" s="637"/>
      <c r="AF7" s="637"/>
      <c r="AG7" s="637"/>
      <c r="AH7" s="637"/>
      <c r="AI7" s="637"/>
      <c r="AJ7" s="637"/>
      <c r="AK7" s="637"/>
      <c r="AL7" s="637"/>
      <c r="AM7" s="638"/>
      <c r="AN7" s="636" t="s">
        <v>419</v>
      </c>
      <c r="AO7" s="637"/>
      <c r="AP7" s="637"/>
      <c r="AQ7" s="637"/>
      <c r="AR7" s="637"/>
      <c r="AS7" s="637"/>
      <c r="AT7" s="637"/>
      <c r="AU7" s="637"/>
      <c r="AV7" s="637"/>
      <c r="AW7" s="637"/>
      <c r="AX7" s="637"/>
      <c r="AY7" s="637"/>
      <c r="AZ7" s="637"/>
      <c r="BA7" s="638"/>
      <c r="BB7" s="639" t="s">
        <v>420</v>
      </c>
      <c r="BC7" s="640"/>
      <c r="BD7" s="640"/>
      <c r="BE7" s="640"/>
      <c r="BF7" s="640"/>
      <c r="BG7" s="640"/>
      <c r="BH7" s="640"/>
      <c r="BI7" s="640"/>
      <c r="BJ7" s="640"/>
      <c r="BK7" s="640"/>
      <c r="BL7" s="640"/>
      <c r="BM7" s="640"/>
      <c r="BN7" s="640"/>
      <c r="BO7" s="641"/>
      <c r="BP7" s="639" t="s">
        <v>421</v>
      </c>
      <c r="BQ7" s="640"/>
      <c r="BR7" s="640"/>
      <c r="BS7" s="640"/>
      <c r="BT7" s="640"/>
      <c r="BU7" s="640"/>
      <c r="BV7" s="640"/>
      <c r="BW7" s="640"/>
      <c r="BX7" s="640"/>
      <c r="BY7" s="640"/>
      <c r="BZ7" s="640"/>
      <c r="CA7" s="640"/>
      <c r="CB7" s="640"/>
      <c r="CC7" s="641"/>
      <c r="CD7" s="633" t="s">
        <v>422</v>
      </c>
      <c r="CE7" s="634"/>
      <c r="CF7" s="634"/>
      <c r="CG7" s="634"/>
      <c r="CH7" s="634"/>
      <c r="CI7" s="634"/>
      <c r="CJ7" s="634"/>
      <c r="CK7" s="634"/>
      <c r="CL7" s="634"/>
      <c r="CM7" s="634"/>
      <c r="CN7" s="634"/>
      <c r="CO7" s="634"/>
      <c r="CP7" s="634"/>
      <c r="CQ7" s="635"/>
      <c r="CR7" s="633" t="s">
        <v>423</v>
      </c>
      <c r="CS7" s="634"/>
      <c r="CT7" s="634"/>
      <c r="CU7" s="634"/>
      <c r="CV7" s="634"/>
      <c r="CW7" s="634"/>
      <c r="CX7" s="634"/>
      <c r="CY7" s="634"/>
      <c r="CZ7" s="634"/>
      <c r="DA7" s="634"/>
      <c r="DB7" s="634"/>
      <c r="DC7" s="634"/>
      <c r="DD7" s="634"/>
      <c r="DE7" s="635"/>
      <c r="DF7" s="15"/>
      <c r="DG7" s="14"/>
      <c r="DH7" s="14"/>
      <c r="DI7" s="14"/>
      <c r="DJ7" s="14"/>
      <c r="DK7" s="14"/>
      <c r="DL7" s="14"/>
      <c r="DM7" s="14"/>
      <c r="DN7" s="14"/>
      <c r="DO7" s="14"/>
      <c r="DP7" s="14"/>
    </row>
    <row r="8" spans="2:159" x14ac:dyDescent="0.45">
      <c r="B8" s="2" t="s">
        <v>424</v>
      </c>
      <c r="D8" s="13">
        <v>1</v>
      </c>
      <c r="E8" s="13">
        <v>1</v>
      </c>
      <c r="F8" s="631" t="s">
        <v>425</v>
      </c>
      <c r="G8" s="631"/>
      <c r="H8" s="631"/>
      <c r="I8" s="631"/>
      <c r="J8" s="631"/>
      <c r="K8" s="631"/>
      <c r="L8" s="631"/>
      <c r="M8" s="631"/>
      <c r="N8" s="631" t="s">
        <v>426</v>
      </c>
      <c r="O8" s="631"/>
      <c r="P8" s="631"/>
      <c r="Q8" s="631"/>
      <c r="R8" s="631"/>
      <c r="S8" s="631"/>
      <c r="BB8" s="626">
        <v>16</v>
      </c>
      <c r="BC8" s="626"/>
      <c r="BD8" s="626">
        <v>15</v>
      </c>
      <c r="BE8" s="626"/>
      <c r="BF8" s="626">
        <v>14</v>
      </c>
      <c r="BG8" s="626"/>
      <c r="BH8" s="626"/>
      <c r="BI8" s="626"/>
      <c r="BJ8" s="626">
        <v>3</v>
      </c>
      <c r="BK8" s="626"/>
      <c r="BL8" s="626">
        <v>2</v>
      </c>
      <c r="BM8" s="626"/>
      <c r="BN8" s="626">
        <v>1</v>
      </c>
      <c r="BO8" s="626"/>
      <c r="BP8" s="626">
        <v>16</v>
      </c>
      <c r="BQ8" s="626"/>
      <c r="BR8" s="626">
        <v>15</v>
      </c>
      <c r="BS8" s="626"/>
      <c r="BT8" s="626">
        <v>14</v>
      </c>
      <c r="BU8" s="626"/>
      <c r="BV8" s="626"/>
      <c r="BW8" s="626"/>
      <c r="BX8" s="626">
        <v>3</v>
      </c>
      <c r="BY8" s="626"/>
      <c r="BZ8" s="626">
        <v>2</v>
      </c>
      <c r="CA8" s="626"/>
      <c r="CB8" s="626">
        <v>1</v>
      </c>
      <c r="CC8" s="626"/>
      <c r="CD8" s="626">
        <v>16</v>
      </c>
      <c r="CE8" s="626"/>
      <c r="CF8" s="626">
        <v>15</v>
      </c>
      <c r="CG8" s="626"/>
      <c r="CH8" s="626">
        <v>14</v>
      </c>
      <c r="CI8" s="626"/>
      <c r="CJ8" s="626"/>
      <c r="CK8" s="626"/>
      <c r="CL8" s="626">
        <v>3</v>
      </c>
      <c r="CM8" s="626"/>
      <c r="CN8" s="626">
        <v>2</v>
      </c>
      <c r="CO8" s="626"/>
      <c r="CP8" s="626">
        <v>1</v>
      </c>
      <c r="CQ8" s="626"/>
      <c r="CR8" s="626">
        <v>16</v>
      </c>
      <c r="CS8" s="626"/>
      <c r="CT8" s="626">
        <v>15</v>
      </c>
      <c r="CU8" s="626"/>
      <c r="CV8" s="626">
        <v>14</v>
      </c>
      <c r="CW8" s="626"/>
      <c r="CX8" s="626"/>
      <c r="CY8" s="626"/>
      <c r="CZ8" s="626">
        <v>3</v>
      </c>
      <c r="DA8" s="626"/>
      <c r="DB8" s="626">
        <v>2</v>
      </c>
      <c r="DC8" s="626"/>
      <c r="DD8" s="626">
        <v>1</v>
      </c>
      <c r="DE8" s="626"/>
    </row>
    <row r="9" spans="2:159" x14ac:dyDescent="0.45">
      <c r="B9" s="2"/>
      <c r="U9" s="1" t="s">
        <v>427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89"/>
      <c r="BC9" s="190"/>
      <c r="BD9" s="189"/>
      <c r="BE9" s="190"/>
      <c r="BF9" s="189"/>
      <c r="BG9" s="190"/>
      <c r="BH9" s="13"/>
      <c r="BI9" s="187"/>
      <c r="BJ9" s="189"/>
      <c r="BK9" s="190"/>
      <c r="BL9" s="189"/>
      <c r="BM9" s="190"/>
      <c r="BN9" s="189"/>
      <c r="BO9" s="190"/>
      <c r="BP9" s="189"/>
      <c r="BQ9" s="190"/>
      <c r="BR9" s="189"/>
      <c r="BS9" s="190"/>
      <c r="BT9" s="189"/>
      <c r="BU9" s="190"/>
      <c r="BV9" s="13"/>
      <c r="BW9" s="187"/>
      <c r="BX9" s="189"/>
      <c r="BY9" s="190"/>
      <c r="BZ9" s="189"/>
      <c r="CA9" s="190"/>
      <c r="CB9" s="189"/>
      <c r="CC9" s="190"/>
      <c r="CD9" s="189"/>
      <c r="CE9" s="190"/>
      <c r="CF9" s="189"/>
      <c r="CG9" s="190"/>
      <c r="CH9" s="189"/>
      <c r="CI9" s="190"/>
      <c r="CJ9" s="13"/>
      <c r="CK9" s="187"/>
      <c r="CL9" s="189"/>
      <c r="CM9" s="190"/>
      <c r="CN9" s="189"/>
      <c r="CO9" s="190"/>
      <c r="CP9" s="189"/>
      <c r="CQ9" s="190"/>
      <c r="CR9" s="189"/>
      <c r="CS9" s="190"/>
      <c r="CT9" s="189"/>
      <c r="CU9" s="190"/>
      <c r="CV9" s="189"/>
      <c r="CW9" s="190"/>
      <c r="CX9" s="13"/>
      <c r="CY9" s="187"/>
      <c r="CZ9" s="189"/>
      <c r="DA9" s="190"/>
      <c r="DB9" s="189"/>
      <c r="DC9" s="190"/>
      <c r="DD9" s="189"/>
      <c r="DE9" s="190"/>
      <c r="DF9" s="187"/>
      <c r="DG9" s="187"/>
      <c r="DH9" s="187"/>
      <c r="DI9" s="187"/>
      <c r="DJ9" s="187"/>
      <c r="DK9" s="187"/>
      <c r="DL9" s="187"/>
      <c r="DM9" s="187"/>
      <c r="DN9" s="187"/>
      <c r="DO9" s="187"/>
      <c r="DP9" s="187"/>
      <c r="DQ9" s="191"/>
      <c r="DR9" s="191"/>
      <c r="DS9" s="191"/>
      <c r="DT9" s="191"/>
      <c r="DU9" s="191"/>
      <c r="DV9" s="191"/>
      <c r="DW9" s="191"/>
      <c r="DX9" s="191"/>
      <c r="DY9" s="191"/>
      <c r="DZ9" s="191"/>
      <c r="EA9" s="191"/>
      <c r="EB9" s="191"/>
      <c r="EC9" s="191"/>
      <c r="ED9" s="191"/>
      <c r="EE9" s="191"/>
      <c r="EF9" s="191"/>
      <c r="EG9" s="191"/>
      <c r="EH9" s="191"/>
      <c r="EI9" s="191"/>
      <c r="EJ9" s="191"/>
      <c r="EK9" s="191"/>
      <c r="EL9" s="191"/>
      <c r="EM9" s="191"/>
      <c r="EN9" s="191"/>
      <c r="EO9" s="191"/>
      <c r="EP9" s="191"/>
      <c r="EQ9" s="191"/>
      <c r="ER9" s="191"/>
      <c r="ES9" s="191"/>
      <c r="ET9" s="191"/>
      <c r="EU9" s="191"/>
      <c r="EV9" s="191"/>
      <c r="EW9" s="191"/>
      <c r="EX9" s="191"/>
      <c r="EY9" s="191"/>
      <c r="EZ9" s="191"/>
      <c r="FA9" s="191"/>
      <c r="FB9" s="191"/>
      <c r="FC9" s="191"/>
    </row>
    <row r="10" spans="2:159" ht="17.5" thickBot="1" x14ac:dyDescent="0.5">
      <c r="B10" s="2"/>
    </row>
    <row r="11" spans="2:159" x14ac:dyDescent="0.45">
      <c r="B11" s="2" t="s">
        <v>428</v>
      </c>
      <c r="D11" s="123" t="s">
        <v>309</v>
      </c>
      <c r="E11" s="124" t="s">
        <v>352</v>
      </c>
      <c r="F11" s="124" t="s">
        <v>353</v>
      </c>
      <c r="G11" s="124" t="s">
        <v>354</v>
      </c>
      <c r="H11" s="124" t="s">
        <v>293</v>
      </c>
      <c r="I11" s="124" t="s">
        <v>294</v>
      </c>
      <c r="J11" s="124" t="s">
        <v>33</v>
      </c>
      <c r="K11" s="124" t="s">
        <v>34</v>
      </c>
      <c r="L11" s="124" t="s">
        <v>35</v>
      </c>
      <c r="M11" s="124" t="s">
        <v>36</v>
      </c>
      <c r="N11" s="124" t="s">
        <v>37</v>
      </c>
      <c r="O11" s="124" t="s">
        <v>38</v>
      </c>
      <c r="P11" s="124" t="s">
        <v>39</v>
      </c>
      <c r="Q11" s="124" t="s">
        <v>40</v>
      </c>
      <c r="R11" s="124" t="s">
        <v>41</v>
      </c>
      <c r="S11" s="125" t="s">
        <v>42</v>
      </c>
      <c r="U11" s="1" t="s">
        <v>429</v>
      </c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639" t="s">
        <v>420</v>
      </c>
      <c r="BC11" s="640"/>
      <c r="BD11" s="640"/>
      <c r="BE11" s="640"/>
      <c r="BF11" s="640"/>
      <c r="BG11" s="640"/>
      <c r="BH11" s="640"/>
      <c r="BI11" s="640"/>
      <c r="BJ11" s="640"/>
      <c r="BK11" s="640"/>
      <c r="BL11" s="640"/>
      <c r="BM11" s="640"/>
      <c r="BN11" s="640"/>
      <c r="BO11" s="641"/>
      <c r="BP11" s="639" t="s">
        <v>421</v>
      </c>
      <c r="BQ11" s="640"/>
      <c r="BR11" s="640"/>
      <c r="BS11" s="640"/>
      <c r="BT11" s="640"/>
      <c r="BU11" s="640"/>
      <c r="BV11" s="640"/>
      <c r="BW11" s="640"/>
      <c r="BX11" s="640"/>
      <c r="BY11" s="640"/>
      <c r="BZ11" s="640"/>
      <c r="CA11" s="640"/>
      <c r="CB11" s="640"/>
      <c r="CC11" s="641"/>
      <c r="CD11" s="633" t="s">
        <v>422</v>
      </c>
      <c r="CE11" s="634"/>
      <c r="CF11" s="634"/>
      <c r="CG11" s="634"/>
      <c r="CH11" s="634"/>
      <c r="CI11" s="634"/>
      <c r="CJ11" s="634"/>
      <c r="CK11" s="634"/>
      <c r="CL11" s="634"/>
      <c r="CM11" s="634"/>
      <c r="CN11" s="634"/>
      <c r="CO11" s="634"/>
      <c r="CP11" s="634"/>
      <c r="CQ11" s="635"/>
      <c r="CR11" s="633" t="s">
        <v>423</v>
      </c>
      <c r="CS11" s="634"/>
      <c r="CT11" s="634"/>
      <c r="CU11" s="634"/>
      <c r="CV11" s="634"/>
      <c r="CW11" s="634"/>
      <c r="CX11" s="634"/>
      <c r="CY11" s="634"/>
      <c r="CZ11" s="634"/>
      <c r="DA11" s="634"/>
      <c r="DB11" s="634"/>
      <c r="DC11" s="634"/>
      <c r="DD11" s="634"/>
      <c r="DE11" s="635"/>
      <c r="DF11" s="15"/>
      <c r="DG11" s="14"/>
      <c r="DH11" s="14"/>
      <c r="DI11" s="14"/>
      <c r="DJ11" s="14"/>
      <c r="DK11" s="14"/>
      <c r="DL11" s="14"/>
      <c r="DM11" s="14"/>
      <c r="DN11" s="14"/>
      <c r="DO11" s="14"/>
      <c r="DP11" s="14"/>
    </row>
    <row r="12" spans="2:159" ht="17.5" thickBot="1" x14ac:dyDescent="0.5">
      <c r="B12" s="2"/>
      <c r="D12" s="628" t="s">
        <v>430</v>
      </c>
      <c r="E12" s="630"/>
      <c r="F12" s="630"/>
      <c r="G12" s="630"/>
      <c r="H12" s="630"/>
      <c r="I12" s="630"/>
      <c r="J12" s="630"/>
      <c r="K12" s="630"/>
      <c r="L12" s="630"/>
      <c r="M12" s="630"/>
      <c r="N12" s="630"/>
      <c r="O12" s="630"/>
      <c r="P12" s="630"/>
      <c r="Q12" s="630"/>
      <c r="R12" s="630"/>
      <c r="S12" s="629"/>
      <c r="CD12" s="626">
        <v>16</v>
      </c>
      <c r="CE12" s="626"/>
      <c r="CF12" s="626">
        <v>15</v>
      </c>
      <c r="CG12" s="626"/>
      <c r="CH12" s="626">
        <v>14</v>
      </c>
      <c r="CI12" s="626"/>
      <c r="CJ12" s="626"/>
      <c r="CK12" s="626"/>
      <c r="CL12" s="626">
        <v>3</v>
      </c>
      <c r="CM12" s="626"/>
      <c r="CN12" s="626">
        <v>2</v>
      </c>
      <c r="CO12" s="626"/>
      <c r="CP12" s="626">
        <v>1</v>
      </c>
      <c r="CQ12" s="626"/>
      <c r="CR12" s="626">
        <v>16</v>
      </c>
      <c r="CS12" s="626"/>
      <c r="CT12" s="626">
        <v>15</v>
      </c>
      <c r="CU12" s="626"/>
      <c r="CV12" s="626">
        <v>14</v>
      </c>
      <c r="CW12" s="626"/>
      <c r="CX12" s="626"/>
      <c r="CY12" s="626"/>
      <c r="CZ12" s="626">
        <v>3</v>
      </c>
      <c r="DA12" s="626"/>
      <c r="DB12" s="626">
        <v>2</v>
      </c>
      <c r="DC12" s="626"/>
      <c r="DD12" s="626">
        <v>1</v>
      </c>
      <c r="DE12" s="626"/>
    </row>
    <row r="13" spans="2:159" x14ac:dyDescent="0.45">
      <c r="B13" s="2" t="s">
        <v>431</v>
      </c>
      <c r="D13" t="s">
        <v>432</v>
      </c>
      <c r="U13" s="1" t="s">
        <v>433</v>
      </c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89"/>
      <c r="CE13" s="190"/>
      <c r="CF13" s="189"/>
      <c r="CG13" s="190"/>
      <c r="CH13" s="189"/>
      <c r="CI13" s="190"/>
      <c r="CJ13" s="13"/>
      <c r="CK13" s="187"/>
      <c r="CL13" s="189"/>
      <c r="CM13" s="190"/>
      <c r="CN13" s="189"/>
      <c r="CO13" s="190"/>
      <c r="CP13" s="189"/>
      <c r="CQ13" s="190"/>
      <c r="CR13" s="189"/>
      <c r="CS13" s="190"/>
      <c r="CT13" s="189"/>
      <c r="CU13" s="190"/>
      <c r="CV13" s="189"/>
      <c r="CW13" s="190"/>
      <c r="CX13" s="13"/>
      <c r="CY13" s="187"/>
      <c r="CZ13" s="189"/>
      <c r="DA13" s="190"/>
      <c r="DB13" s="189"/>
      <c r="DC13" s="190"/>
      <c r="DD13" s="189"/>
      <c r="DE13" s="190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91"/>
      <c r="DR13" s="191"/>
      <c r="DS13" s="191"/>
      <c r="DT13" s="191"/>
      <c r="DU13" s="191"/>
      <c r="DV13" s="191"/>
      <c r="DW13" s="191"/>
      <c r="DX13" s="191"/>
      <c r="DY13" s="191"/>
      <c r="DZ13" s="191"/>
      <c r="EA13" s="191"/>
      <c r="EB13" s="191"/>
      <c r="EC13" s="191"/>
      <c r="ED13" s="191"/>
      <c r="EE13" s="191"/>
      <c r="EF13" s="191"/>
      <c r="EG13" s="191"/>
      <c r="EH13" s="191"/>
      <c r="EI13" s="191"/>
      <c r="EJ13" s="191"/>
      <c r="EK13" s="191"/>
      <c r="EL13" s="191"/>
      <c r="EM13" s="191"/>
      <c r="EN13" s="191"/>
      <c r="EO13" s="191"/>
      <c r="EP13" s="191"/>
      <c r="EQ13" s="191"/>
      <c r="ER13" s="191"/>
      <c r="ES13" s="191"/>
      <c r="ET13" s="191"/>
      <c r="EU13" s="191"/>
      <c r="EV13" s="191"/>
      <c r="EW13" s="191"/>
      <c r="EX13" s="191"/>
      <c r="EY13" s="191"/>
      <c r="EZ13" s="191"/>
      <c r="FA13" s="191"/>
      <c r="FB13" s="191"/>
      <c r="FC13" s="191"/>
    </row>
    <row r="14" spans="2:159" x14ac:dyDescent="0.45">
      <c r="B14" s="2"/>
      <c r="D14" t="s">
        <v>434</v>
      </c>
    </row>
    <row r="15" spans="2:159" x14ac:dyDescent="0.45">
      <c r="B15" s="2"/>
      <c r="D15" t="s">
        <v>432</v>
      </c>
      <c r="U15" s="1" t="s">
        <v>435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633" t="s">
        <v>422</v>
      </c>
      <c r="CE15" s="634"/>
      <c r="CF15" s="634"/>
      <c r="CG15" s="634"/>
      <c r="CH15" s="634"/>
      <c r="CI15" s="634"/>
      <c r="CJ15" s="634"/>
      <c r="CK15" s="634"/>
      <c r="CL15" s="634"/>
      <c r="CM15" s="634"/>
      <c r="CN15" s="634"/>
      <c r="CO15" s="634"/>
      <c r="CP15" s="634"/>
      <c r="CQ15" s="635"/>
      <c r="CR15" s="633" t="s">
        <v>423</v>
      </c>
      <c r="CS15" s="634"/>
      <c r="CT15" s="634"/>
      <c r="CU15" s="634"/>
      <c r="CV15" s="634"/>
      <c r="CW15" s="634"/>
      <c r="CX15" s="634"/>
      <c r="CY15" s="634"/>
      <c r="CZ15" s="634"/>
      <c r="DA15" s="634"/>
      <c r="DB15" s="634"/>
      <c r="DC15" s="634"/>
      <c r="DD15" s="634"/>
      <c r="DE15" s="635"/>
      <c r="DF15" s="15"/>
      <c r="DG15" s="14"/>
      <c r="DH15" s="14"/>
      <c r="DI15" s="14"/>
      <c r="DJ15" s="14"/>
      <c r="DK15" s="14"/>
      <c r="DL15" s="14"/>
      <c r="DM15" s="14"/>
      <c r="DN15" s="14"/>
      <c r="DO15" s="14"/>
      <c r="DP15" s="14"/>
    </row>
    <row r="16" spans="2:159" x14ac:dyDescent="0.45">
      <c r="B16" s="2"/>
      <c r="D16" t="s">
        <v>436</v>
      </c>
    </row>
    <row r="18" spans="1:159" x14ac:dyDescent="0.45">
      <c r="U18" s="5" t="s">
        <v>437</v>
      </c>
    </row>
    <row r="19" spans="1:159" x14ac:dyDescent="0.45">
      <c r="U19" s="182" t="s">
        <v>407</v>
      </c>
      <c r="V19" s="17"/>
      <c r="W19" s="18"/>
      <c r="X19" s="15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DB19" s="14"/>
      <c r="DC19" s="14"/>
      <c r="DD19" s="14"/>
      <c r="DE19" s="14"/>
      <c r="DF19" s="14"/>
      <c r="DG19" s="12"/>
      <c r="DH19" s="16"/>
      <c r="DI19" s="17"/>
      <c r="DJ19" s="17"/>
      <c r="DK19" s="17"/>
      <c r="DL19" s="17"/>
      <c r="DM19" s="17"/>
      <c r="DN19" s="18"/>
      <c r="DO19" s="15"/>
      <c r="DP19" s="14"/>
    </row>
    <row r="20" spans="1:159" s="186" customFormat="1" x14ac:dyDescent="0.45">
      <c r="A20"/>
      <c r="C20" s="1"/>
      <c r="D20"/>
      <c r="G20"/>
      <c r="H20"/>
      <c r="I20"/>
      <c r="J20"/>
      <c r="K20"/>
      <c r="U20" s="1"/>
      <c r="V20"/>
      <c r="W20"/>
      <c r="X20" s="5"/>
      <c r="Y20" s="5"/>
      <c r="Z20" s="625">
        <v>16</v>
      </c>
      <c r="AA20" s="625"/>
      <c r="AB20" s="625">
        <v>15</v>
      </c>
      <c r="AC20" s="625"/>
      <c r="AD20" s="192"/>
      <c r="AE20" s="192"/>
      <c r="AF20" s="625">
        <v>1</v>
      </c>
      <c r="AG20" s="625"/>
      <c r="AH20" s="625">
        <v>16</v>
      </c>
      <c r="AI20" s="625"/>
      <c r="AJ20" s="625">
        <v>15</v>
      </c>
      <c r="AK20" s="625"/>
      <c r="AL20" s="192"/>
      <c r="AM20" s="192"/>
      <c r="AN20" s="625">
        <v>1</v>
      </c>
      <c r="AO20" s="625"/>
      <c r="AP20" s="625">
        <v>16</v>
      </c>
      <c r="AQ20" s="625"/>
      <c r="AR20" s="625">
        <v>15</v>
      </c>
      <c r="AS20" s="625"/>
      <c r="AT20" s="192"/>
      <c r="AU20" s="192"/>
      <c r="AV20" s="625">
        <v>1</v>
      </c>
      <c r="AW20" s="625"/>
      <c r="AX20" s="625">
        <v>16</v>
      </c>
      <c r="AY20" s="625"/>
      <c r="AZ20" s="625">
        <v>15</v>
      </c>
      <c r="BA20" s="625"/>
      <c r="BB20" s="192"/>
      <c r="BC20" s="192"/>
      <c r="BD20" s="625">
        <v>1</v>
      </c>
      <c r="BE20" s="625"/>
      <c r="BF20" s="625">
        <v>16</v>
      </c>
      <c r="BG20" s="625"/>
      <c r="BH20" s="625">
        <v>15</v>
      </c>
      <c r="BI20" s="625"/>
      <c r="BJ20" s="192"/>
      <c r="BK20" s="192"/>
      <c r="BL20" s="625">
        <v>1</v>
      </c>
      <c r="BM20" s="625"/>
      <c r="BN20" s="625">
        <v>16</v>
      </c>
      <c r="BO20" s="625"/>
      <c r="BP20" s="625">
        <v>15</v>
      </c>
      <c r="BQ20" s="625"/>
      <c r="BR20" s="192"/>
      <c r="BS20" s="192"/>
      <c r="BT20" s="625">
        <v>1</v>
      </c>
      <c r="BU20" s="625"/>
      <c r="BV20" s="625">
        <v>16</v>
      </c>
      <c r="BW20" s="625"/>
      <c r="BX20" s="625">
        <v>15</v>
      </c>
      <c r="BY20" s="625"/>
      <c r="BZ20" s="192"/>
      <c r="CA20" s="192"/>
      <c r="CB20" s="625">
        <v>1</v>
      </c>
      <c r="CC20" s="625"/>
      <c r="CD20" s="625">
        <v>16</v>
      </c>
      <c r="CE20" s="625"/>
      <c r="CF20" s="625">
        <v>15</v>
      </c>
      <c r="CG20" s="625"/>
      <c r="CH20" s="192"/>
      <c r="CI20" s="192"/>
      <c r="CJ20" s="625">
        <v>1</v>
      </c>
      <c r="CK20" s="625"/>
      <c r="CL20" s="625">
        <v>16</v>
      </c>
      <c r="CM20" s="625"/>
      <c r="CN20" s="625">
        <v>15</v>
      </c>
      <c r="CO20" s="625"/>
      <c r="CP20" s="192"/>
      <c r="CQ20" s="192"/>
      <c r="CR20" s="625">
        <v>1</v>
      </c>
      <c r="CS20" s="625"/>
      <c r="CT20" s="625">
        <v>16</v>
      </c>
      <c r="CU20" s="625"/>
      <c r="CV20" s="625">
        <v>15</v>
      </c>
      <c r="CW20" s="625"/>
      <c r="CX20" s="192"/>
      <c r="CY20" s="192"/>
      <c r="CZ20" s="625">
        <v>1</v>
      </c>
      <c r="DA20" s="625"/>
      <c r="DB20" s="192"/>
      <c r="DC20" s="192"/>
      <c r="DD20" s="192"/>
      <c r="DE20" s="192"/>
      <c r="DF20" s="192"/>
      <c r="DG20" s="192"/>
      <c r="DH20" s="183"/>
      <c r="DI20" s="183"/>
      <c r="DJ20" s="183"/>
      <c r="DK20" s="183"/>
      <c r="DL20" s="183"/>
      <c r="DO20" s="192"/>
      <c r="DP20" s="192"/>
      <c r="DQ20" s="193"/>
      <c r="DR20" s="193"/>
      <c r="DS20" s="193"/>
      <c r="DT20" s="193"/>
      <c r="DU20" s="193"/>
      <c r="DV20" s="193"/>
      <c r="DW20" s="193"/>
      <c r="DX20" s="193"/>
      <c r="DY20" s="193"/>
      <c r="DZ20" s="193"/>
      <c r="EA20" s="193"/>
      <c r="EB20" s="193"/>
      <c r="EC20" s="193"/>
      <c r="ED20" s="193"/>
      <c r="EE20" s="193"/>
      <c r="EF20" s="193"/>
      <c r="EG20" s="193"/>
      <c r="EH20" s="193"/>
      <c r="EI20" s="193"/>
      <c r="EJ20" s="193"/>
      <c r="EK20" s="193"/>
      <c r="EL20" s="193"/>
      <c r="EM20" s="193"/>
      <c r="EN20" s="193"/>
      <c r="EO20" s="193"/>
      <c r="EP20" s="193"/>
      <c r="EQ20" s="193"/>
      <c r="ER20" s="193"/>
      <c r="ES20" s="193"/>
      <c r="ET20" s="193"/>
      <c r="EU20" s="193"/>
      <c r="EV20" s="193"/>
      <c r="EW20" s="193"/>
      <c r="EX20" s="193"/>
      <c r="EY20" s="193"/>
      <c r="EZ20" s="193"/>
      <c r="FA20" s="193"/>
      <c r="FB20" s="193"/>
      <c r="FC20" s="193"/>
    </row>
    <row r="21" spans="1:159" x14ac:dyDescent="0.45">
      <c r="U21" s="1" t="s">
        <v>412</v>
      </c>
      <c r="V21" s="187"/>
      <c r="W21" s="187"/>
      <c r="X21" s="187"/>
      <c r="Y21" s="188"/>
      <c r="Z21" s="189"/>
      <c r="AA21" s="190"/>
      <c r="AB21" s="189"/>
      <c r="AC21" s="190"/>
      <c r="AD21" s="194"/>
      <c r="AE21" s="187"/>
      <c r="AF21" s="189"/>
      <c r="AG21" s="190"/>
      <c r="AH21" s="189"/>
      <c r="AI21" s="190"/>
      <c r="AJ21" s="189"/>
      <c r="AK21" s="190"/>
      <c r="AL21" s="194"/>
      <c r="AM21" s="187"/>
      <c r="AN21" s="189"/>
      <c r="AO21" s="190"/>
      <c r="AP21" s="189"/>
      <c r="AQ21" s="190"/>
      <c r="AR21" s="189"/>
      <c r="AS21" s="190"/>
      <c r="AT21" s="194"/>
      <c r="AU21" s="187"/>
      <c r="AV21" s="189"/>
      <c r="AW21" s="190"/>
      <c r="AX21" s="189"/>
      <c r="AY21" s="190"/>
      <c r="AZ21" s="189"/>
      <c r="BA21" s="190"/>
      <c r="BB21" s="194"/>
      <c r="BC21" s="187"/>
      <c r="BD21" s="189"/>
      <c r="BE21" s="190"/>
      <c r="BF21" s="189"/>
      <c r="BG21" s="190"/>
      <c r="BH21" s="189"/>
      <c r="BI21" s="190"/>
      <c r="BJ21" s="194"/>
      <c r="BK21" s="187"/>
      <c r="BL21" s="189"/>
      <c r="BM21" s="190"/>
      <c r="BN21" s="189"/>
      <c r="BO21" s="190"/>
      <c r="BP21" s="189"/>
      <c r="BQ21" s="190"/>
      <c r="BR21" s="194"/>
      <c r="BS21" s="187"/>
      <c r="BT21" s="189"/>
      <c r="BU21" s="190"/>
      <c r="BV21" s="189"/>
      <c r="BW21" s="190"/>
      <c r="BX21" s="189"/>
      <c r="BY21" s="190"/>
      <c r="BZ21" s="194"/>
      <c r="CA21" s="187"/>
      <c r="CB21" s="189"/>
      <c r="CC21" s="190"/>
      <c r="CD21" s="189"/>
      <c r="CE21" s="190"/>
      <c r="CF21" s="189"/>
      <c r="CG21" s="190"/>
      <c r="CH21" s="194"/>
      <c r="CI21" s="187"/>
      <c r="CJ21" s="189"/>
      <c r="CK21" s="190"/>
      <c r="CL21" s="189"/>
      <c r="CM21" s="190"/>
      <c r="CN21" s="189"/>
      <c r="CO21" s="190"/>
      <c r="CP21" s="194"/>
      <c r="CQ21" s="187"/>
      <c r="CR21" s="189"/>
      <c r="CS21" s="190"/>
      <c r="CT21" s="189"/>
      <c r="CU21" s="190"/>
      <c r="CV21" s="189"/>
      <c r="CW21" s="190"/>
      <c r="CX21" s="194"/>
      <c r="CY21" s="187"/>
      <c r="CZ21" s="189"/>
      <c r="DA21" s="190"/>
      <c r="DB21" s="187"/>
      <c r="DC21" s="187"/>
      <c r="DD21" s="187"/>
      <c r="DE21" s="187"/>
      <c r="DF21" s="187"/>
      <c r="DG21" s="187"/>
      <c r="DH21" s="187"/>
      <c r="DI21" s="187"/>
      <c r="DJ21" s="187"/>
      <c r="DK21" s="187"/>
      <c r="DL21" s="187"/>
      <c r="DM21" s="187"/>
      <c r="DN21" s="187"/>
      <c r="DO21" s="187"/>
      <c r="DP21" s="187"/>
      <c r="DQ21" s="191"/>
      <c r="DR21" s="191"/>
      <c r="DS21" s="191"/>
      <c r="DT21" s="191"/>
      <c r="DU21" s="191"/>
      <c r="DV21" s="191"/>
      <c r="DW21" s="191"/>
      <c r="DX21" s="191"/>
      <c r="DY21" s="191"/>
      <c r="DZ21" s="191"/>
      <c r="EA21" s="191"/>
      <c r="EB21" s="191"/>
      <c r="EC21" s="191"/>
      <c r="ED21" s="191"/>
      <c r="EE21" s="191"/>
      <c r="EF21" s="191"/>
      <c r="EG21" s="191"/>
      <c r="EH21" s="191"/>
      <c r="EI21" s="191"/>
      <c r="EJ21" s="191"/>
      <c r="EK21" s="191"/>
      <c r="EL21" s="191"/>
      <c r="EM21" s="191"/>
      <c r="EN21" s="191"/>
      <c r="EO21" s="191"/>
      <c r="EP21" s="191"/>
      <c r="EQ21" s="191"/>
      <c r="ER21" s="191"/>
      <c r="ES21" s="191"/>
      <c r="ET21" s="191"/>
      <c r="EU21" s="191"/>
      <c r="EV21" s="191"/>
      <c r="EW21" s="191"/>
      <c r="EX21" s="191"/>
      <c r="EY21" s="191"/>
      <c r="EZ21" s="191"/>
      <c r="FA21" s="191"/>
      <c r="FB21" s="191"/>
      <c r="FC21" s="191"/>
    </row>
    <row r="22" spans="1:159" x14ac:dyDescent="0.3">
      <c r="AD22" s="194"/>
      <c r="AH22" s="642" t="s">
        <v>438</v>
      </c>
      <c r="AI22" s="642"/>
      <c r="AJ22" s="642"/>
      <c r="AK22" s="642"/>
      <c r="AL22" s="642"/>
      <c r="AM22" s="642"/>
      <c r="AN22" s="642"/>
      <c r="AO22" s="642"/>
    </row>
    <row r="23" spans="1:159" x14ac:dyDescent="0.45">
      <c r="U23" s="1" t="s">
        <v>417</v>
      </c>
      <c r="V23" s="14"/>
      <c r="W23" s="14"/>
      <c r="X23" s="14"/>
      <c r="Y23" s="14"/>
      <c r="Z23" s="643" t="s">
        <v>439</v>
      </c>
      <c r="AA23" s="644"/>
      <c r="AB23" s="644"/>
      <c r="AC23" s="644"/>
      <c r="AD23" s="644"/>
      <c r="AE23" s="644"/>
      <c r="AF23" s="644"/>
      <c r="AG23" s="645"/>
      <c r="AH23" s="643" t="s">
        <v>440</v>
      </c>
      <c r="AI23" s="644"/>
      <c r="AJ23" s="644"/>
      <c r="AK23" s="644"/>
      <c r="AL23" s="644"/>
      <c r="AM23" s="644"/>
      <c r="AN23" s="644"/>
      <c r="AO23" s="645"/>
      <c r="AP23" s="646" t="s">
        <v>441</v>
      </c>
      <c r="AQ23" s="647"/>
      <c r="AR23" s="647"/>
      <c r="AS23" s="647"/>
      <c r="AT23" s="647"/>
      <c r="AU23" s="647"/>
      <c r="AV23" s="647"/>
      <c r="AW23" s="648"/>
      <c r="AX23" s="646" t="s">
        <v>442</v>
      </c>
      <c r="AY23" s="647"/>
      <c r="AZ23" s="647"/>
      <c r="BA23" s="647"/>
      <c r="BB23" s="647"/>
      <c r="BC23" s="647"/>
      <c r="BD23" s="647"/>
      <c r="BE23" s="648"/>
      <c r="BF23" s="646" t="s">
        <v>443</v>
      </c>
      <c r="BG23" s="647"/>
      <c r="BH23" s="647"/>
      <c r="BI23" s="647"/>
      <c r="BJ23" s="647"/>
      <c r="BK23" s="647"/>
      <c r="BL23" s="647"/>
      <c r="BM23" s="648"/>
      <c r="BN23" s="646" t="s">
        <v>444</v>
      </c>
      <c r="BO23" s="647"/>
      <c r="BP23" s="647"/>
      <c r="BQ23" s="647"/>
      <c r="BR23" s="647"/>
      <c r="BS23" s="647"/>
      <c r="BT23" s="647"/>
      <c r="BU23" s="648"/>
      <c r="BV23" s="646" t="s">
        <v>445</v>
      </c>
      <c r="BW23" s="647"/>
      <c r="BX23" s="647"/>
      <c r="BY23" s="647"/>
      <c r="BZ23" s="647"/>
      <c r="CA23" s="647"/>
      <c r="CB23" s="647"/>
      <c r="CC23" s="648"/>
      <c r="CD23" s="649" t="s">
        <v>446</v>
      </c>
      <c r="CE23" s="650"/>
      <c r="CF23" s="650"/>
      <c r="CG23" s="650"/>
      <c r="CH23" s="650"/>
      <c r="CI23" s="650"/>
      <c r="CJ23" s="650"/>
      <c r="CK23" s="651"/>
      <c r="CL23" s="649" t="s">
        <v>447</v>
      </c>
      <c r="CM23" s="650"/>
      <c r="CN23" s="650"/>
      <c r="CO23" s="650"/>
      <c r="CP23" s="650"/>
      <c r="CQ23" s="650"/>
      <c r="CR23" s="650"/>
      <c r="CS23" s="651"/>
      <c r="CT23" s="649" t="s">
        <v>448</v>
      </c>
      <c r="CU23" s="650"/>
      <c r="CV23" s="650"/>
      <c r="CW23" s="650"/>
      <c r="CX23" s="650"/>
      <c r="CY23" s="650"/>
      <c r="CZ23" s="650"/>
      <c r="DA23" s="651"/>
      <c r="DB23" s="187"/>
      <c r="DC23" s="187"/>
      <c r="DD23" s="187"/>
      <c r="DE23" s="187"/>
      <c r="DF23" s="187"/>
      <c r="DG23" s="187"/>
      <c r="DH23" s="187"/>
      <c r="DI23" s="187"/>
      <c r="DJ23" s="187"/>
      <c r="DK23" s="187"/>
      <c r="DL23" s="187"/>
      <c r="DM23" s="187"/>
      <c r="DN23" s="187"/>
      <c r="DO23" s="187"/>
      <c r="DP23" s="187"/>
      <c r="DQ23" s="191"/>
      <c r="DR23" s="191"/>
      <c r="DS23" s="191"/>
      <c r="DT23" s="191"/>
      <c r="DU23" s="191"/>
      <c r="DV23" s="191"/>
      <c r="DW23" s="191"/>
      <c r="DX23" s="191"/>
      <c r="DY23" s="191"/>
      <c r="DZ23" s="191"/>
      <c r="EA23" s="191"/>
      <c r="EB23" s="191"/>
      <c r="EC23" s="191"/>
      <c r="ED23" s="191"/>
      <c r="EE23" s="191"/>
      <c r="EF23" s="191"/>
      <c r="EG23" s="191"/>
      <c r="EH23" s="191"/>
      <c r="EI23" s="191"/>
      <c r="EJ23" s="191"/>
      <c r="EK23" s="191"/>
      <c r="EL23" s="191"/>
      <c r="EM23" s="191"/>
      <c r="EN23" s="191"/>
      <c r="EO23" s="191"/>
      <c r="EP23" s="191"/>
      <c r="EQ23" s="191"/>
      <c r="ER23" s="191"/>
      <c r="ES23" s="191"/>
      <c r="ET23" s="191"/>
      <c r="EU23" s="191"/>
      <c r="EV23" s="191"/>
      <c r="EW23" s="191"/>
      <c r="EX23" s="191"/>
      <c r="EY23" s="191"/>
      <c r="EZ23" s="191"/>
      <c r="FA23" s="191"/>
      <c r="FB23" s="191"/>
      <c r="FC23" s="191"/>
    </row>
    <row r="24" spans="1:159" x14ac:dyDescent="0.2">
      <c r="AP24" s="625">
        <v>16</v>
      </c>
      <c r="AQ24" s="625"/>
      <c r="AR24" s="625">
        <v>15</v>
      </c>
      <c r="AS24" s="625"/>
      <c r="AT24" s="192"/>
      <c r="AU24" s="192"/>
      <c r="AV24" s="625">
        <v>1</v>
      </c>
      <c r="AW24" s="625"/>
      <c r="AX24" s="625">
        <v>16</v>
      </c>
      <c r="AY24" s="625"/>
      <c r="AZ24" s="625">
        <v>15</v>
      </c>
      <c r="BA24" s="625"/>
      <c r="BB24" s="192"/>
      <c r="BC24" s="192"/>
      <c r="BD24" s="625">
        <v>1</v>
      </c>
      <c r="BE24" s="625"/>
      <c r="BF24" s="625">
        <v>16</v>
      </c>
      <c r="BG24" s="625"/>
      <c r="BH24" s="625">
        <v>15</v>
      </c>
      <c r="BI24" s="625"/>
      <c r="BJ24" s="192"/>
      <c r="BK24" s="192"/>
      <c r="BL24" s="625">
        <v>1</v>
      </c>
      <c r="BM24" s="625"/>
      <c r="BN24" s="625">
        <v>16</v>
      </c>
      <c r="BO24" s="625"/>
      <c r="BP24" s="625">
        <v>15</v>
      </c>
      <c r="BQ24" s="625"/>
      <c r="BR24" s="192"/>
      <c r="BS24" s="192"/>
      <c r="BT24" s="625">
        <v>1</v>
      </c>
      <c r="BU24" s="625"/>
      <c r="BV24" s="625">
        <v>16</v>
      </c>
      <c r="BW24" s="625"/>
      <c r="BX24" s="625">
        <v>15</v>
      </c>
      <c r="BY24" s="625"/>
      <c r="BZ24" s="192"/>
      <c r="CA24" s="192"/>
      <c r="CB24" s="625">
        <v>1</v>
      </c>
      <c r="CC24" s="625"/>
      <c r="CD24" s="625">
        <v>16</v>
      </c>
      <c r="CE24" s="625"/>
      <c r="CF24" s="625">
        <v>15</v>
      </c>
      <c r="CG24" s="625"/>
      <c r="CH24" s="192"/>
      <c r="CI24" s="192"/>
      <c r="CJ24" s="625">
        <v>1</v>
      </c>
      <c r="CK24" s="625"/>
      <c r="CL24" s="625">
        <v>16</v>
      </c>
      <c r="CM24" s="625"/>
      <c r="CN24" s="625">
        <v>15</v>
      </c>
      <c r="CO24" s="625"/>
      <c r="CP24" s="192"/>
      <c r="CQ24" s="192"/>
      <c r="CR24" s="625">
        <v>1</v>
      </c>
      <c r="CS24" s="625"/>
      <c r="CT24" s="625">
        <v>16</v>
      </c>
      <c r="CU24" s="625"/>
      <c r="CV24" s="625">
        <v>15</v>
      </c>
      <c r="CW24" s="625"/>
      <c r="CX24" s="192"/>
      <c r="CY24" s="192"/>
      <c r="CZ24" s="625">
        <v>1</v>
      </c>
      <c r="DA24" s="625"/>
    </row>
    <row r="25" spans="1:159" x14ac:dyDescent="0.45">
      <c r="U25" s="1" t="s">
        <v>427</v>
      </c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89"/>
      <c r="AQ25" s="190"/>
      <c r="AR25" s="189"/>
      <c r="AS25" s="190"/>
      <c r="AT25" s="194"/>
      <c r="AU25" s="187"/>
      <c r="AV25" s="189"/>
      <c r="AW25" s="190"/>
      <c r="AX25" s="189"/>
      <c r="AY25" s="190"/>
      <c r="AZ25" s="189"/>
      <c r="BA25" s="190"/>
      <c r="BB25" s="194"/>
      <c r="BC25" s="187"/>
      <c r="BD25" s="189"/>
      <c r="BE25" s="190"/>
      <c r="BF25" s="189"/>
      <c r="BG25" s="190"/>
      <c r="BH25" s="189"/>
      <c r="BI25" s="190"/>
      <c r="BJ25" s="194"/>
      <c r="BK25" s="187"/>
      <c r="BL25" s="189"/>
      <c r="BM25" s="190"/>
      <c r="BN25" s="189"/>
      <c r="BO25" s="190"/>
      <c r="BP25" s="189"/>
      <c r="BQ25" s="190"/>
      <c r="BR25" s="194"/>
      <c r="BS25" s="187"/>
      <c r="BT25" s="189"/>
      <c r="BU25" s="190"/>
      <c r="BV25" s="189"/>
      <c r="BW25" s="190"/>
      <c r="BX25" s="189"/>
      <c r="BY25" s="190"/>
      <c r="BZ25" s="194"/>
      <c r="CA25" s="187"/>
      <c r="CB25" s="189"/>
      <c r="CC25" s="190"/>
      <c r="CD25" s="189"/>
      <c r="CE25" s="190"/>
      <c r="CF25" s="189"/>
      <c r="CG25" s="190"/>
      <c r="CH25" s="194"/>
      <c r="CI25" s="187"/>
      <c r="CJ25" s="189"/>
      <c r="CK25" s="190"/>
      <c r="CL25" s="189"/>
      <c r="CM25" s="190"/>
      <c r="CN25" s="189"/>
      <c r="CO25" s="190"/>
      <c r="CP25" s="194"/>
      <c r="CQ25" s="187"/>
      <c r="CR25" s="189"/>
      <c r="CS25" s="190"/>
      <c r="CT25" s="189"/>
      <c r="CU25" s="190"/>
      <c r="CV25" s="189"/>
      <c r="CW25" s="190"/>
      <c r="CX25" s="194"/>
      <c r="CY25" s="187"/>
      <c r="CZ25" s="189"/>
      <c r="DA25" s="190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</row>
    <row r="26" spans="1:159" x14ac:dyDescent="0.3">
      <c r="AX26" s="642" t="s">
        <v>449</v>
      </c>
      <c r="AY26" s="642"/>
      <c r="AZ26" s="642"/>
      <c r="BA26" s="642"/>
      <c r="BB26" s="642"/>
      <c r="BC26" s="642"/>
      <c r="BD26" s="642"/>
      <c r="BE26" s="642"/>
      <c r="BF26" s="642" t="s">
        <v>450</v>
      </c>
      <c r="BG26" s="642"/>
      <c r="BH26" s="642"/>
      <c r="BI26" s="642"/>
      <c r="BJ26" s="642"/>
      <c r="BK26" s="642"/>
      <c r="BL26" s="642"/>
      <c r="BM26" s="642"/>
      <c r="BN26" s="642" t="s">
        <v>451</v>
      </c>
      <c r="BO26" s="642"/>
      <c r="BP26" s="642"/>
      <c r="BQ26" s="642"/>
      <c r="BR26" s="642"/>
      <c r="BS26" s="642"/>
      <c r="BT26" s="642"/>
      <c r="BU26" s="642"/>
      <c r="BV26" s="642" t="s">
        <v>452</v>
      </c>
      <c r="BW26" s="642"/>
      <c r="BX26" s="642"/>
      <c r="BY26" s="642"/>
      <c r="BZ26" s="642"/>
      <c r="CA26" s="642"/>
      <c r="CB26" s="642"/>
      <c r="CC26" s="642"/>
    </row>
    <row r="27" spans="1:159" x14ac:dyDescent="0.45">
      <c r="U27" s="1" t="s">
        <v>429</v>
      </c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646" t="s">
        <v>441</v>
      </c>
      <c r="AQ27" s="647"/>
      <c r="AR27" s="647"/>
      <c r="AS27" s="647"/>
      <c r="AT27" s="647"/>
      <c r="AU27" s="647"/>
      <c r="AV27" s="647"/>
      <c r="AW27" s="648"/>
      <c r="AX27" s="646" t="s">
        <v>442</v>
      </c>
      <c r="AY27" s="647"/>
      <c r="AZ27" s="647"/>
      <c r="BA27" s="647"/>
      <c r="BB27" s="647"/>
      <c r="BC27" s="647"/>
      <c r="BD27" s="647"/>
      <c r="BE27" s="648"/>
      <c r="BF27" s="646" t="s">
        <v>443</v>
      </c>
      <c r="BG27" s="647"/>
      <c r="BH27" s="647"/>
      <c r="BI27" s="647"/>
      <c r="BJ27" s="647"/>
      <c r="BK27" s="647"/>
      <c r="BL27" s="647"/>
      <c r="BM27" s="648"/>
      <c r="BN27" s="646" t="s">
        <v>444</v>
      </c>
      <c r="BO27" s="647"/>
      <c r="BP27" s="647"/>
      <c r="BQ27" s="647"/>
      <c r="BR27" s="647"/>
      <c r="BS27" s="647"/>
      <c r="BT27" s="647"/>
      <c r="BU27" s="648"/>
      <c r="BV27" s="646" t="s">
        <v>445</v>
      </c>
      <c r="BW27" s="647"/>
      <c r="BX27" s="647"/>
      <c r="BY27" s="647"/>
      <c r="BZ27" s="647"/>
      <c r="CA27" s="647"/>
      <c r="CB27" s="647"/>
      <c r="CC27" s="648"/>
      <c r="CD27" s="649" t="s">
        <v>446</v>
      </c>
      <c r="CE27" s="650"/>
      <c r="CF27" s="650"/>
      <c r="CG27" s="650"/>
      <c r="CH27" s="650"/>
      <c r="CI27" s="650"/>
      <c r="CJ27" s="650"/>
      <c r="CK27" s="651"/>
      <c r="CL27" s="649" t="s">
        <v>447</v>
      </c>
      <c r="CM27" s="650"/>
      <c r="CN27" s="650"/>
      <c r="CO27" s="650"/>
      <c r="CP27" s="650"/>
      <c r="CQ27" s="650"/>
      <c r="CR27" s="650"/>
      <c r="CS27" s="651"/>
      <c r="CT27" s="649" t="s">
        <v>448</v>
      </c>
      <c r="CU27" s="650"/>
      <c r="CV27" s="650"/>
      <c r="CW27" s="650"/>
      <c r="CX27" s="650"/>
      <c r="CY27" s="650"/>
      <c r="CZ27" s="650"/>
      <c r="DA27" s="651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</row>
    <row r="28" spans="1:159" x14ac:dyDescent="0.2">
      <c r="CD28" s="625">
        <v>16</v>
      </c>
      <c r="CE28" s="625"/>
      <c r="CF28" s="625">
        <v>15</v>
      </c>
      <c r="CG28" s="625"/>
      <c r="CH28" s="192"/>
      <c r="CI28" s="192"/>
      <c r="CJ28" s="625">
        <v>1</v>
      </c>
      <c r="CK28" s="625"/>
      <c r="CL28" s="625">
        <v>16</v>
      </c>
      <c r="CM28" s="625"/>
      <c r="CN28" s="625">
        <v>15</v>
      </c>
      <c r="CO28" s="625"/>
      <c r="CP28" s="192"/>
      <c r="CQ28" s="192"/>
      <c r="CR28" s="625">
        <v>1</v>
      </c>
      <c r="CS28" s="625"/>
      <c r="CT28" s="625">
        <v>16</v>
      </c>
      <c r="CU28" s="625"/>
      <c r="CV28" s="625">
        <v>15</v>
      </c>
      <c r="CW28" s="625"/>
      <c r="CX28" s="192"/>
      <c r="CY28" s="192"/>
      <c r="CZ28" s="625">
        <v>1</v>
      </c>
      <c r="DA28" s="625"/>
    </row>
    <row r="29" spans="1:159" x14ac:dyDescent="0.45">
      <c r="U29" s="1" t="s">
        <v>433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89"/>
      <c r="CE29" s="190"/>
      <c r="CF29" s="189"/>
      <c r="CG29" s="190"/>
      <c r="CH29" s="194"/>
      <c r="CI29" s="187"/>
      <c r="CJ29" s="189"/>
      <c r="CK29" s="190"/>
      <c r="CL29" s="189"/>
      <c r="CM29" s="190"/>
      <c r="CN29" s="189"/>
      <c r="CO29" s="190"/>
      <c r="CP29" s="194"/>
      <c r="CQ29" s="187"/>
      <c r="CR29" s="189"/>
      <c r="CS29" s="190"/>
      <c r="CT29" s="189"/>
      <c r="CU29" s="190"/>
      <c r="CV29" s="189"/>
      <c r="CW29" s="190"/>
      <c r="CX29" s="194"/>
      <c r="CY29" s="187"/>
      <c r="CZ29" s="189"/>
      <c r="DA29" s="190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</row>
    <row r="30" spans="1:159" x14ac:dyDescent="0.3">
      <c r="CL30" s="642" t="s">
        <v>453</v>
      </c>
      <c r="CM30" s="642"/>
      <c r="CN30" s="642"/>
      <c r="CO30" s="642"/>
      <c r="CP30" s="642"/>
      <c r="CQ30" s="642"/>
      <c r="CR30" s="642"/>
      <c r="CS30" s="642"/>
      <c r="CT30" s="642" t="s">
        <v>454</v>
      </c>
      <c r="CU30" s="642"/>
      <c r="CV30" s="642"/>
      <c r="CW30" s="642"/>
      <c r="CX30" s="642"/>
      <c r="CY30" s="642"/>
      <c r="CZ30" s="642"/>
      <c r="DA30" s="642"/>
    </row>
    <row r="31" spans="1:159" x14ac:dyDescent="0.45">
      <c r="U31" s="1" t="s">
        <v>435</v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649" t="s">
        <v>446</v>
      </c>
      <c r="CE31" s="650"/>
      <c r="CF31" s="650"/>
      <c r="CG31" s="650"/>
      <c r="CH31" s="650"/>
      <c r="CI31" s="650"/>
      <c r="CJ31" s="650"/>
      <c r="CK31" s="651"/>
      <c r="CL31" s="649" t="s">
        <v>447</v>
      </c>
      <c r="CM31" s="650"/>
      <c r="CN31" s="650"/>
      <c r="CO31" s="650"/>
      <c r="CP31" s="650"/>
      <c r="CQ31" s="650"/>
      <c r="CR31" s="650"/>
      <c r="CS31" s="651"/>
      <c r="CT31" s="649" t="s">
        <v>448</v>
      </c>
      <c r="CU31" s="650"/>
      <c r="CV31" s="650"/>
      <c r="CW31" s="650"/>
      <c r="CX31" s="650"/>
      <c r="CY31" s="650"/>
      <c r="CZ31" s="650"/>
      <c r="DA31" s="651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</row>
    <row r="34" spans="21:159" x14ac:dyDescent="0.45">
      <c r="U34" s="5" t="s">
        <v>455</v>
      </c>
    </row>
    <row r="35" spans="21:159" x14ac:dyDescent="0.45">
      <c r="U35" s="182" t="s">
        <v>407</v>
      </c>
      <c r="V35" s="17"/>
      <c r="W35" s="18"/>
      <c r="X35" s="15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DB35" s="14"/>
      <c r="DC35" s="14"/>
      <c r="DD35" s="14"/>
      <c r="DE35" s="14"/>
      <c r="DF35" s="14"/>
      <c r="DG35" s="12"/>
      <c r="DH35" s="16"/>
      <c r="DI35" s="17"/>
      <c r="DJ35" s="17"/>
      <c r="DK35" s="17"/>
      <c r="DL35" s="17"/>
      <c r="DM35" s="17"/>
      <c r="DN35" s="18"/>
      <c r="DO35" s="15"/>
      <c r="DP35" s="14"/>
    </row>
    <row r="36" spans="21:159" x14ac:dyDescent="0.45">
      <c r="X36" s="183"/>
      <c r="Y36" s="183"/>
      <c r="Z36" s="625">
        <v>16</v>
      </c>
      <c r="AA36" s="625"/>
      <c r="AB36" s="625">
        <v>15</v>
      </c>
      <c r="AC36" s="625"/>
      <c r="AD36" s="625">
        <v>14</v>
      </c>
      <c r="AE36" s="625"/>
      <c r="AF36" s="625"/>
      <c r="AG36" s="625"/>
      <c r="AH36" s="625">
        <v>3</v>
      </c>
      <c r="AI36" s="625"/>
      <c r="AJ36" s="625">
        <v>2</v>
      </c>
      <c r="AK36" s="625"/>
      <c r="AL36" s="625">
        <v>1</v>
      </c>
      <c r="AM36" s="625"/>
      <c r="AN36" s="625">
        <v>16</v>
      </c>
      <c r="AO36" s="625"/>
      <c r="AP36" s="625">
        <v>15</v>
      </c>
      <c r="AQ36" s="625"/>
      <c r="AR36" s="625">
        <v>14</v>
      </c>
      <c r="AS36" s="625"/>
      <c r="AT36" s="625"/>
      <c r="AU36" s="625"/>
      <c r="AV36" s="625">
        <v>3</v>
      </c>
      <c r="AW36" s="625"/>
      <c r="AX36" s="625">
        <v>2</v>
      </c>
      <c r="AY36" s="625"/>
      <c r="AZ36" s="625">
        <v>1</v>
      </c>
      <c r="BA36" s="625"/>
      <c r="BB36" s="625">
        <v>16</v>
      </c>
      <c r="BC36" s="625"/>
      <c r="BD36" s="625">
        <v>15</v>
      </c>
      <c r="BE36" s="625"/>
      <c r="BF36" s="625">
        <v>14</v>
      </c>
      <c r="BG36" s="625"/>
      <c r="BH36" s="625"/>
      <c r="BI36" s="625"/>
      <c r="BJ36" s="625">
        <v>3</v>
      </c>
      <c r="BK36" s="625"/>
      <c r="BL36" s="625">
        <v>2</v>
      </c>
      <c r="BM36" s="625"/>
      <c r="BN36" s="625">
        <v>1</v>
      </c>
      <c r="BO36" s="625"/>
      <c r="BP36" s="625">
        <v>16</v>
      </c>
      <c r="BQ36" s="625"/>
      <c r="BR36" s="625">
        <v>15</v>
      </c>
      <c r="BS36" s="625"/>
      <c r="BT36" s="625">
        <v>14</v>
      </c>
      <c r="BU36" s="625"/>
      <c r="BV36" s="625"/>
      <c r="BW36" s="625"/>
      <c r="BX36" s="625">
        <v>3</v>
      </c>
      <c r="BY36" s="625"/>
      <c r="BZ36" s="625">
        <v>2</v>
      </c>
      <c r="CA36" s="625"/>
      <c r="CB36" s="625">
        <v>1</v>
      </c>
      <c r="CC36" s="625"/>
      <c r="CD36" s="625">
        <v>16</v>
      </c>
      <c r="CE36" s="625"/>
      <c r="CF36" s="625">
        <v>15</v>
      </c>
      <c r="CG36" s="625"/>
      <c r="CH36" s="625">
        <v>14</v>
      </c>
      <c r="CI36" s="625"/>
      <c r="CJ36" s="625"/>
      <c r="CK36" s="625"/>
      <c r="CL36" s="625">
        <v>3</v>
      </c>
      <c r="CM36" s="625"/>
      <c r="CN36" s="625">
        <v>2</v>
      </c>
      <c r="CO36" s="625"/>
      <c r="CP36" s="625">
        <v>1</v>
      </c>
      <c r="CQ36" s="625"/>
      <c r="CR36" s="625">
        <v>16</v>
      </c>
      <c r="CS36" s="625"/>
      <c r="CT36" s="625">
        <v>15</v>
      </c>
      <c r="CU36" s="625"/>
      <c r="CV36" s="625">
        <v>14</v>
      </c>
      <c r="CW36" s="625"/>
      <c r="CX36" s="625"/>
      <c r="CY36" s="625"/>
      <c r="CZ36" s="625">
        <v>3</v>
      </c>
      <c r="DA36" s="625"/>
      <c r="DB36" s="627">
        <v>2</v>
      </c>
      <c r="DC36" s="627"/>
      <c r="DD36" s="627">
        <v>1</v>
      </c>
      <c r="DE36" s="627"/>
      <c r="DF36" s="185"/>
      <c r="DG36" s="185"/>
      <c r="DH36" s="183"/>
      <c r="DI36" s="183"/>
      <c r="DJ36" s="183"/>
      <c r="DK36" s="183"/>
      <c r="DL36" s="183"/>
      <c r="DM36" s="186"/>
      <c r="DN36" s="186"/>
      <c r="DO36" s="186"/>
      <c r="DP36" s="186"/>
      <c r="DQ36" s="186"/>
      <c r="DR36" s="186"/>
      <c r="DS36" s="186"/>
      <c r="DT36" s="186"/>
      <c r="DU36" s="186"/>
      <c r="DV36" s="186"/>
      <c r="DW36" s="186"/>
      <c r="DX36" s="186"/>
      <c r="DY36" s="186"/>
      <c r="DZ36" s="186"/>
      <c r="EA36" s="186"/>
      <c r="EB36" s="186"/>
      <c r="EC36" s="186"/>
      <c r="ED36" s="186"/>
      <c r="EE36" s="186"/>
      <c r="EF36" s="186"/>
      <c r="EG36" s="186"/>
      <c r="EH36" s="186"/>
      <c r="EI36" s="186"/>
      <c r="EJ36" s="186"/>
      <c r="EK36" s="186"/>
      <c r="EL36" s="186"/>
      <c r="EM36" s="186"/>
      <c r="EN36" s="186"/>
      <c r="EO36" s="186"/>
      <c r="EP36" s="186"/>
      <c r="EQ36" s="186"/>
      <c r="ER36" s="186"/>
      <c r="ES36" s="186"/>
      <c r="ET36" s="186"/>
      <c r="EU36" s="186"/>
      <c r="EV36" s="186"/>
      <c r="EW36" s="186"/>
      <c r="EX36" s="186"/>
      <c r="EY36" s="186"/>
      <c r="EZ36" s="186"/>
      <c r="FA36" s="186"/>
      <c r="FB36" s="186"/>
      <c r="FC36" s="186"/>
    </row>
    <row r="37" spans="21:159" x14ac:dyDescent="0.45">
      <c r="U37" s="1" t="s">
        <v>412</v>
      </c>
      <c r="V37" s="187"/>
      <c r="W37" s="187"/>
      <c r="X37" s="187"/>
      <c r="Y37" s="188"/>
      <c r="Z37" s="189"/>
      <c r="AA37" s="190"/>
      <c r="AB37" s="189"/>
      <c r="AC37" s="190"/>
      <c r="AD37" s="189"/>
      <c r="AE37" s="190"/>
      <c r="AF37" s="191"/>
      <c r="AG37" s="187"/>
      <c r="AH37" s="189"/>
      <c r="AI37" s="190"/>
      <c r="AJ37" s="189"/>
      <c r="AK37" s="190"/>
      <c r="AL37" s="189"/>
      <c r="AM37" s="190"/>
      <c r="AN37" s="189"/>
      <c r="AO37" s="190"/>
      <c r="AP37" s="189"/>
      <c r="AQ37" s="190"/>
      <c r="AR37" s="189"/>
      <c r="AS37" s="190"/>
      <c r="AT37" s="191"/>
      <c r="AU37" s="187"/>
      <c r="AV37" s="189"/>
      <c r="AW37" s="190"/>
      <c r="AX37" s="189"/>
      <c r="AY37" s="190"/>
      <c r="AZ37" s="189"/>
      <c r="BA37" s="190"/>
      <c r="BB37" s="189"/>
      <c r="BC37" s="190"/>
      <c r="BD37" s="189"/>
      <c r="BE37" s="190"/>
      <c r="BF37" s="189"/>
      <c r="BG37" s="190"/>
      <c r="BH37" s="191"/>
      <c r="BI37" s="187"/>
      <c r="BJ37" s="189"/>
      <c r="BK37" s="190"/>
      <c r="BL37" s="189"/>
      <c r="BM37" s="190"/>
      <c r="BN37" s="189"/>
      <c r="BO37" s="190"/>
      <c r="BP37" s="189"/>
      <c r="BQ37" s="190"/>
      <c r="BR37" s="189"/>
      <c r="BS37" s="190"/>
      <c r="BT37" s="189"/>
      <c r="BU37" s="190"/>
      <c r="BV37" s="191"/>
      <c r="BW37" s="187"/>
      <c r="BX37" s="189"/>
      <c r="BY37" s="190"/>
      <c r="BZ37" s="189"/>
      <c r="CA37" s="190"/>
      <c r="CB37" s="189"/>
      <c r="CC37" s="190"/>
      <c r="CD37" s="189"/>
      <c r="CE37" s="190"/>
      <c r="CF37" s="189"/>
      <c r="CG37" s="190"/>
      <c r="CH37" s="189"/>
      <c r="CI37" s="190"/>
      <c r="CJ37" s="191"/>
      <c r="CK37" s="187"/>
      <c r="CL37" s="189"/>
      <c r="CM37" s="190"/>
      <c r="CN37" s="189"/>
      <c r="CO37" s="190"/>
      <c r="CP37" s="189"/>
      <c r="CQ37" s="190"/>
      <c r="CR37" s="189"/>
      <c r="CS37" s="190"/>
      <c r="CT37" s="189"/>
      <c r="CU37" s="190"/>
      <c r="CV37" s="189"/>
      <c r="CW37" s="190"/>
      <c r="CX37" s="191"/>
      <c r="CY37" s="187"/>
      <c r="CZ37" s="189"/>
      <c r="DA37" s="190"/>
      <c r="DB37" s="189"/>
      <c r="DC37" s="190"/>
      <c r="DD37" s="189"/>
      <c r="DE37" s="190"/>
      <c r="DF37" s="187"/>
      <c r="DG37" s="187"/>
      <c r="DH37" s="187"/>
      <c r="DI37" s="187"/>
      <c r="DJ37" s="187"/>
      <c r="DK37" s="187"/>
      <c r="DL37" s="187"/>
      <c r="DM37" s="187"/>
      <c r="DN37" s="187"/>
      <c r="DO37" s="187"/>
      <c r="DP37" s="187"/>
      <c r="DQ37" s="191"/>
      <c r="DR37" s="191"/>
      <c r="DS37" s="191"/>
      <c r="DT37" s="191"/>
      <c r="DU37" s="191"/>
      <c r="DV37" s="191"/>
      <c r="DW37" s="191"/>
      <c r="DX37" s="191"/>
      <c r="DY37" s="191"/>
      <c r="DZ37" s="191"/>
      <c r="EA37" s="191"/>
      <c r="EB37" s="191"/>
      <c r="EC37" s="191"/>
      <c r="ED37" s="191"/>
      <c r="EE37" s="191"/>
      <c r="EF37" s="191"/>
      <c r="EG37" s="191"/>
      <c r="EH37" s="191"/>
      <c r="EI37" s="191"/>
      <c r="EJ37" s="191"/>
      <c r="EK37" s="191"/>
      <c r="EL37" s="191"/>
      <c r="EM37" s="191"/>
      <c r="EN37" s="191"/>
      <c r="EO37" s="191"/>
      <c r="EP37" s="191"/>
      <c r="EQ37" s="191"/>
      <c r="ER37" s="191"/>
      <c r="ES37" s="191"/>
      <c r="ET37" s="191"/>
      <c r="EU37" s="191"/>
      <c r="EV37" s="191"/>
      <c r="EW37" s="191"/>
      <c r="EX37" s="191"/>
      <c r="EY37" s="191"/>
      <c r="EZ37" s="191"/>
      <c r="FA37" s="191"/>
      <c r="FB37" s="191"/>
      <c r="FC37" s="191"/>
    </row>
    <row r="39" spans="21:159" x14ac:dyDescent="0.45">
      <c r="U39" s="1" t="s">
        <v>417</v>
      </c>
      <c r="V39" s="14"/>
      <c r="W39" s="14"/>
      <c r="X39" s="14"/>
      <c r="Y39" s="14"/>
      <c r="Z39" s="636" t="s">
        <v>418</v>
      </c>
      <c r="AA39" s="637"/>
      <c r="AB39" s="637"/>
      <c r="AC39" s="637"/>
      <c r="AD39" s="637"/>
      <c r="AE39" s="637"/>
      <c r="AF39" s="637"/>
      <c r="AG39" s="637"/>
      <c r="AH39" s="637"/>
      <c r="AI39" s="637"/>
      <c r="AJ39" s="637"/>
      <c r="AK39" s="637"/>
      <c r="AL39" s="637"/>
      <c r="AM39" s="638"/>
      <c r="AN39" s="636" t="s">
        <v>456</v>
      </c>
      <c r="AO39" s="637"/>
      <c r="AP39" s="637"/>
      <c r="AQ39" s="637"/>
      <c r="AR39" s="637"/>
      <c r="AS39" s="637"/>
      <c r="AT39" s="637"/>
      <c r="AU39" s="637"/>
      <c r="AV39" s="637"/>
      <c r="AW39" s="637"/>
      <c r="AX39" s="637"/>
      <c r="AY39" s="637"/>
      <c r="AZ39" s="637"/>
      <c r="BA39" s="638"/>
      <c r="BB39" s="639" t="s">
        <v>420</v>
      </c>
      <c r="BC39" s="640"/>
      <c r="BD39" s="640"/>
      <c r="BE39" s="640"/>
      <c r="BF39" s="640"/>
      <c r="BG39" s="640"/>
      <c r="BH39" s="640"/>
      <c r="BI39" s="640"/>
      <c r="BJ39" s="640"/>
      <c r="BK39" s="640"/>
      <c r="BL39" s="640"/>
      <c r="BM39" s="640"/>
      <c r="BN39" s="640"/>
      <c r="BO39" s="641"/>
      <c r="BP39" s="639" t="s">
        <v>456</v>
      </c>
      <c r="BQ39" s="640"/>
      <c r="BR39" s="640"/>
      <c r="BS39" s="640"/>
      <c r="BT39" s="640"/>
      <c r="BU39" s="640"/>
      <c r="BV39" s="640"/>
      <c r="BW39" s="640"/>
      <c r="BX39" s="640"/>
      <c r="BY39" s="640"/>
      <c r="BZ39" s="640"/>
      <c r="CA39" s="640"/>
      <c r="CB39" s="640"/>
      <c r="CC39" s="641"/>
      <c r="CD39" s="633" t="s">
        <v>422</v>
      </c>
      <c r="CE39" s="634"/>
      <c r="CF39" s="634"/>
      <c r="CG39" s="634"/>
      <c r="CH39" s="634"/>
      <c r="CI39" s="634"/>
      <c r="CJ39" s="634"/>
      <c r="CK39" s="634"/>
      <c r="CL39" s="634"/>
      <c r="CM39" s="634"/>
      <c r="CN39" s="634"/>
      <c r="CO39" s="634"/>
      <c r="CP39" s="634"/>
      <c r="CQ39" s="635"/>
      <c r="CR39" s="633" t="s">
        <v>456</v>
      </c>
      <c r="CS39" s="634"/>
      <c r="CT39" s="634"/>
      <c r="CU39" s="634"/>
      <c r="CV39" s="634"/>
      <c r="CW39" s="634"/>
      <c r="CX39" s="634"/>
      <c r="CY39" s="634"/>
      <c r="CZ39" s="634"/>
      <c r="DA39" s="634"/>
      <c r="DB39" s="634"/>
      <c r="DC39" s="634"/>
      <c r="DD39" s="634"/>
      <c r="DE39" s="635"/>
      <c r="DF39" s="15"/>
      <c r="DG39" s="14"/>
      <c r="DH39" s="14"/>
      <c r="DI39" s="14"/>
      <c r="DJ39" s="14"/>
      <c r="DK39" s="14"/>
      <c r="DL39" s="14"/>
      <c r="DM39" s="14"/>
      <c r="DN39" s="14"/>
      <c r="DO39" s="14"/>
      <c r="DP39" s="14"/>
    </row>
    <row r="40" spans="21:159" x14ac:dyDescent="0.45">
      <c r="BB40" s="652">
        <v>16</v>
      </c>
      <c r="BC40" s="652"/>
      <c r="BD40" s="652">
        <v>15</v>
      </c>
      <c r="BE40" s="652"/>
      <c r="BF40" s="652">
        <v>14</v>
      </c>
      <c r="BG40" s="652"/>
      <c r="BH40" s="652"/>
      <c r="BI40" s="652"/>
      <c r="BJ40" s="652">
        <v>3</v>
      </c>
      <c r="BK40" s="652"/>
      <c r="BL40" s="652">
        <v>2</v>
      </c>
      <c r="BM40" s="652"/>
      <c r="BN40" s="652">
        <v>1</v>
      </c>
      <c r="BO40" s="652"/>
      <c r="BP40" s="652">
        <v>16</v>
      </c>
      <c r="BQ40" s="652"/>
      <c r="BR40" s="652">
        <v>15</v>
      </c>
      <c r="BS40" s="652"/>
      <c r="BT40" s="652">
        <v>14</v>
      </c>
      <c r="BU40" s="652"/>
      <c r="BV40" s="652"/>
      <c r="BW40" s="652"/>
      <c r="BX40" s="652">
        <v>3</v>
      </c>
      <c r="BY40" s="652"/>
      <c r="BZ40" s="652">
        <v>2</v>
      </c>
      <c r="CA40" s="652"/>
      <c r="CB40" s="652">
        <v>1</v>
      </c>
      <c r="CC40" s="652"/>
      <c r="CD40" s="652">
        <v>16</v>
      </c>
      <c r="CE40" s="652"/>
      <c r="CF40" s="652">
        <v>15</v>
      </c>
      <c r="CG40" s="652"/>
      <c r="CH40" s="652">
        <v>14</v>
      </c>
      <c r="CI40" s="652"/>
      <c r="CJ40" s="652"/>
      <c r="CK40" s="652"/>
      <c r="CL40" s="652">
        <v>3</v>
      </c>
      <c r="CM40" s="652"/>
      <c r="CN40" s="652">
        <v>2</v>
      </c>
      <c r="CO40" s="652"/>
      <c r="CP40" s="652">
        <v>1</v>
      </c>
      <c r="CQ40" s="652"/>
      <c r="CR40" s="652">
        <v>16</v>
      </c>
      <c r="CS40" s="652"/>
      <c r="CT40" s="652">
        <v>15</v>
      </c>
      <c r="CU40" s="652"/>
      <c r="CV40" s="652">
        <v>14</v>
      </c>
      <c r="CW40" s="652"/>
      <c r="CX40" s="652"/>
      <c r="CY40" s="652"/>
      <c r="CZ40" s="652">
        <v>3</v>
      </c>
      <c r="DA40" s="652"/>
      <c r="DB40" s="652">
        <v>2</v>
      </c>
      <c r="DC40" s="652"/>
      <c r="DD40" s="652">
        <v>1</v>
      </c>
      <c r="DE40" s="652"/>
    </row>
    <row r="41" spans="21:159" x14ac:dyDescent="0.45">
      <c r="U41" s="1" t="s">
        <v>427</v>
      </c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89"/>
      <c r="BC41" s="190"/>
      <c r="BD41" s="189"/>
      <c r="BE41" s="190"/>
      <c r="BF41" s="189"/>
      <c r="BG41" s="190"/>
      <c r="BH41" s="13"/>
      <c r="BI41" s="187"/>
      <c r="BJ41" s="189"/>
      <c r="BK41" s="190"/>
      <c r="BL41" s="189"/>
      <c r="BM41" s="190"/>
      <c r="BN41" s="189"/>
      <c r="BO41" s="190"/>
      <c r="BP41" s="189"/>
      <c r="BQ41" s="190"/>
      <c r="BR41" s="189"/>
      <c r="BS41" s="190"/>
      <c r="BT41" s="189"/>
      <c r="BU41" s="190"/>
      <c r="BV41" s="13"/>
      <c r="BW41" s="187"/>
      <c r="BX41" s="189"/>
      <c r="BY41" s="190"/>
      <c r="BZ41" s="189"/>
      <c r="CA41" s="190"/>
      <c r="CB41" s="189"/>
      <c r="CC41" s="190"/>
      <c r="CD41" s="189"/>
      <c r="CE41" s="190"/>
      <c r="CF41" s="189"/>
      <c r="CG41" s="190"/>
      <c r="CH41" s="189"/>
      <c r="CI41" s="190"/>
      <c r="CJ41" s="13"/>
      <c r="CK41" s="187"/>
      <c r="CL41" s="189"/>
      <c r="CM41" s="190"/>
      <c r="CN41" s="189"/>
      <c r="CO41" s="190"/>
      <c r="CP41" s="189"/>
      <c r="CQ41" s="190"/>
      <c r="CR41" s="189"/>
      <c r="CS41" s="190"/>
      <c r="CT41" s="189"/>
      <c r="CU41" s="190"/>
      <c r="CV41" s="189"/>
      <c r="CW41" s="190"/>
      <c r="CX41" s="13"/>
      <c r="CY41" s="187"/>
      <c r="CZ41" s="189"/>
      <c r="DA41" s="190"/>
      <c r="DB41" s="189"/>
      <c r="DC41" s="190"/>
      <c r="DD41" s="189"/>
      <c r="DE41" s="190"/>
      <c r="DF41" s="187"/>
      <c r="DG41" s="187"/>
      <c r="DH41" s="187"/>
      <c r="DI41" s="187"/>
      <c r="DJ41" s="187"/>
      <c r="DK41" s="187"/>
      <c r="DL41" s="187"/>
      <c r="DM41" s="187"/>
      <c r="DN41" s="187"/>
      <c r="DO41" s="187"/>
      <c r="DP41" s="187"/>
      <c r="DQ41" s="191"/>
      <c r="DR41" s="191"/>
      <c r="DS41" s="191"/>
      <c r="DT41" s="191"/>
      <c r="DU41" s="191"/>
      <c r="DV41" s="191"/>
      <c r="DW41" s="191"/>
      <c r="DX41" s="191"/>
      <c r="DY41" s="191"/>
      <c r="DZ41" s="191"/>
      <c r="EA41" s="191"/>
      <c r="EB41" s="191"/>
      <c r="EC41" s="191"/>
      <c r="ED41" s="191"/>
      <c r="EE41" s="191"/>
      <c r="EF41" s="191"/>
      <c r="EG41" s="191"/>
      <c r="EH41" s="191"/>
      <c r="EI41" s="191"/>
      <c r="EJ41" s="191"/>
      <c r="EK41" s="191"/>
      <c r="EL41" s="191"/>
      <c r="EM41" s="191"/>
      <c r="EN41" s="191"/>
      <c r="EO41" s="191"/>
      <c r="EP41" s="191"/>
      <c r="EQ41" s="191"/>
      <c r="ER41" s="191"/>
      <c r="ES41" s="191"/>
      <c r="ET41" s="191"/>
      <c r="EU41" s="191"/>
      <c r="EV41" s="191"/>
      <c r="EW41" s="191"/>
      <c r="EX41" s="191"/>
      <c r="EY41" s="191"/>
      <c r="EZ41" s="191"/>
      <c r="FA41" s="191"/>
      <c r="FB41" s="191"/>
      <c r="FC41" s="191"/>
    </row>
    <row r="43" spans="21:159" x14ac:dyDescent="0.45">
      <c r="U43" s="1" t="s">
        <v>429</v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639" t="s">
        <v>420</v>
      </c>
      <c r="BC43" s="640"/>
      <c r="BD43" s="640"/>
      <c r="BE43" s="640"/>
      <c r="BF43" s="640"/>
      <c r="BG43" s="640"/>
      <c r="BH43" s="640"/>
      <c r="BI43" s="640"/>
      <c r="BJ43" s="640"/>
      <c r="BK43" s="640"/>
      <c r="BL43" s="640"/>
      <c r="BM43" s="640"/>
      <c r="BN43" s="640"/>
      <c r="BO43" s="641"/>
      <c r="BP43" s="639" t="s">
        <v>456</v>
      </c>
      <c r="BQ43" s="640"/>
      <c r="BR43" s="640"/>
      <c r="BS43" s="640"/>
      <c r="BT43" s="640"/>
      <c r="BU43" s="640"/>
      <c r="BV43" s="640"/>
      <c r="BW43" s="640"/>
      <c r="BX43" s="640"/>
      <c r="BY43" s="640"/>
      <c r="BZ43" s="640"/>
      <c r="CA43" s="640"/>
      <c r="CB43" s="640"/>
      <c r="CC43" s="641"/>
      <c r="CD43" s="633" t="s">
        <v>422</v>
      </c>
      <c r="CE43" s="634"/>
      <c r="CF43" s="634"/>
      <c r="CG43" s="634"/>
      <c r="CH43" s="634"/>
      <c r="CI43" s="634"/>
      <c r="CJ43" s="634"/>
      <c r="CK43" s="634"/>
      <c r="CL43" s="634"/>
      <c r="CM43" s="634"/>
      <c r="CN43" s="634"/>
      <c r="CO43" s="634"/>
      <c r="CP43" s="634"/>
      <c r="CQ43" s="635"/>
      <c r="CR43" s="633" t="s">
        <v>456</v>
      </c>
      <c r="CS43" s="634"/>
      <c r="CT43" s="634"/>
      <c r="CU43" s="634"/>
      <c r="CV43" s="634"/>
      <c r="CW43" s="634"/>
      <c r="CX43" s="634"/>
      <c r="CY43" s="634"/>
      <c r="CZ43" s="634"/>
      <c r="DA43" s="634"/>
      <c r="DB43" s="634"/>
      <c r="DC43" s="634"/>
      <c r="DD43" s="634"/>
      <c r="DE43" s="635"/>
      <c r="DF43" s="15"/>
      <c r="DG43" s="14"/>
      <c r="DH43" s="14"/>
      <c r="DI43" s="14"/>
      <c r="DJ43" s="14"/>
      <c r="DK43" s="14"/>
      <c r="DL43" s="14"/>
      <c r="DM43" s="14"/>
      <c r="DN43" s="14"/>
      <c r="DO43" s="14"/>
      <c r="DP43" s="14"/>
    </row>
    <row r="44" spans="21:159" x14ac:dyDescent="0.45">
      <c r="CD44" s="626">
        <v>16</v>
      </c>
      <c r="CE44" s="626"/>
      <c r="CF44" s="626">
        <v>15</v>
      </c>
      <c r="CG44" s="626"/>
      <c r="CH44" s="626">
        <v>14</v>
      </c>
      <c r="CI44" s="626"/>
      <c r="CJ44" s="626"/>
      <c r="CK44" s="626"/>
      <c r="CL44" s="626">
        <v>3</v>
      </c>
      <c r="CM44" s="626"/>
      <c r="CN44" s="626">
        <v>2</v>
      </c>
      <c r="CO44" s="626"/>
      <c r="CP44" s="626">
        <v>1</v>
      </c>
      <c r="CQ44" s="626"/>
      <c r="CR44" s="626">
        <v>16</v>
      </c>
      <c r="CS44" s="626"/>
      <c r="CT44" s="626">
        <v>15</v>
      </c>
      <c r="CU44" s="626"/>
      <c r="CV44" s="626">
        <v>14</v>
      </c>
      <c r="CW44" s="626"/>
      <c r="CX44" s="626"/>
      <c r="CY44" s="626"/>
      <c r="CZ44" s="626">
        <v>3</v>
      </c>
      <c r="DA44" s="626"/>
      <c r="DB44" s="626">
        <v>2</v>
      </c>
      <c r="DC44" s="626"/>
      <c r="DD44" s="626">
        <v>1</v>
      </c>
      <c r="DE44" s="626"/>
    </row>
    <row r="45" spans="21:159" x14ac:dyDescent="0.45">
      <c r="U45" s="1" t="s">
        <v>433</v>
      </c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89"/>
      <c r="CE45" s="190"/>
      <c r="CF45" s="189"/>
      <c r="CG45" s="190"/>
      <c r="CH45" s="189"/>
      <c r="CI45" s="190"/>
      <c r="CJ45" s="13"/>
      <c r="CK45" s="187"/>
      <c r="CL45" s="189"/>
      <c r="CM45" s="190"/>
      <c r="CN45" s="189"/>
      <c r="CO45" s="190"/>
      <c r="CP45" s="189"/>
      <c r="CQ45" s="190"/>
      <c r="CR45" s="189"/>
      <c r="CS45" s="190"/>
      <c r="CT45" s="189"/>
      <c r="CU45" s="190"/>
      <c r="CV45" s="189"/>
      <c r="CW45" s="190"/>
      <c r="CX45" s="13"/>
      <c r="CY45" s="187"/>
      <c r="CZ45" s="189"/>
      <c r="DA45" s="190"/>
      <c r="DB45" s="189"/>
      <c r="DC45" s="190"/>
      <c r="DD45" s="189"/>
      <c r="DE45" s="190"/>
      <c r="DF45" s="187"/>
      <c r="DG45" s="187"/>
      <c r="DH45" s="187"/>
      <c r="DI45" s="187"/>
      <c r="DJ45" s="187"/>
      <c r="DK45" s="187"/>
      <c r="DL45" s="187"/>
      <c r="DM45" s="187"/>
      <c r="DN45" s="187"/>
      <c r="DO45" s="187"/>
      <c r="DP45" s="187"/>
      <c r="DQ45" s="191"/>
      <c r="DR45" s="191"/>
      <c r="DS45" s="191"/>
      <c r="DT45" s="191"/>
      <c r="DU45" s="191"/>
      <c r="DV45" s="191"/>
      <c r="DW45" s="191"/>
      <c r="DX45" s="191"/>
      <c r="DY45" s="191"/>
      <c r="DZ45" s="191"/>
      <c r="EA45" s="191"/>
      <c r="EB45" s="191"/>
      <c r="EC45" s="191"/>
      <c r="ED45" s="191"/>
      <c r="EE45" s="191"/>
      <c r="EF45" s="191"/>
      <c r="EG45" s="191"/>
      <c r="EH45" s="191"/>
      <c r="EI45" s="191"/>
      <c r="EJ45" s="191"/>
      <c r="EK45" s="191"/>
      <c r="EL45" s="191"/>
      <c r="EM45" s="191"/>
      <c r="EN45" s="191"/>
      <c r="EO45" s="191"/>
      <c r="EP45" s="191"/>
      <c r="EQ45" s="191"/>
      <c r="ER45" s="191"/>
      <c r="ES45" s="191"/>
      <c r="ET45" s="191"/>
      <c r="EU45" s="191"/>
      <c r="EV45" s="191"/>
      <c r="EW45" s="191"/>
      <c r="EX45" s="191"/>
      <c r="EY45" s="191"/>
      <c r="EZ45" s="191"/>
      <c r="FA45" s="191"/>
      <c r="FB45" s="191"/>
      <c r="FC45" s="191"/>
    </row>
    <row r="47" spans="21:159" x14ac:dyDescent="0.45">
      <c r="U47" s="1" t="s">
        <v>435</v>
      </c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633" t="s">
        <v>422</v>
      </c>
      <c r="CE47" s="634"/>
      <c r="CF47" s="634"/>
      <c r="CG47" s="634"/>
      <c r="CH47" s="634"/>
      <c r="CI47" s="634"/>
      <c r="CJ47" s="634"/>
      <c r="CK47" s="634"/>
      <c r="CL47" s="634"/>
      <c r="CM47" s="634"/>
      <c r="CN47" s="634"/>
      <c r="CO47" s="634"/>
      <c r="CP47" s="634"/>
      <c r="CQ47" s="635"/>
      <c r="CR47" s="633" t="s">
        <v>456</v>
      </c>
      <c r="CS47" s="634"/>
      <c r="CT47" s="634"/>
      <c r="CU47" s="634"/>
      <c r="CV47" s="634"/>
      <c r="CW47" s="634"/>
      <c r="CX47" s="634"/>
      <c r="CY47" s="634"/>
      <c r="CZ47" s="634"/>
      <c r="DA47" s="634"/>
      <c r="DB47" s="634"/>
      <c r="DC47" s="634"/>
      <c r="DD47" s="634"/>
      <c r="DE47" s="635"/>
      <c r="DF47" s="15"/>
      <c r="DG47" s="14"/>
      <c r="DH47" s="14"/>
      <c r="DI47" s="14"/>
      <c r="DJ47" s="14"/>
      <c r="DK47" s="14"/>
      <c r="DL47" s="14"/>
      <c r="DM47" s="14"/>
      <c r="DN47" s="14"/>
      <c r="DO47" s="14"/>
      <c r="DP47" s="14"/>
    </row>
    <row r="49" spans="21:120" x14ac:dyDescent="0.45">
      <c r="U49" s="1" t="s">
        <v>457</v>
      </c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96"/>
      <c r="AN49" s="636" t="s">
        <v>419</v>
      </c>
      <c r="AO49" s="637"/>
      <c r="AP49" s="637"/>
      <c r="AQ49" s="637"/>
      <c r="AR49" s="637"/>
      <c r="AS49" s="637"/>
      <c r="AT49" s="637"/>
      <c r="AU49" s="637"/>
      <c r="AV49" s="637"/>
      <c r="AW49" s="637"/>
      <c r="AX49" s="637"/>
      <c r="AY49" s="637"/>
      <c r="AZ49" s="637"/>
      <c r="BA49" s="638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</row>
    <row r="50" spans="21:120" x14ac:dyDescent="0.45"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</row>
    <row r="51" spans="21:120" x14ac:dyDescent="0.45">
      <c r="U51" s="1" t="s">
        <v>458</v>
      </c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639" t="s">
        <v>459</v>
      </c>
      <c r="BQ51" s="640"/>
      <c r="BR51" s="640"/>
      <c r="BS51" s="640"/>
      <c r="BT51" s="640"/>
      <c r="BU51" s="640"/>
      <c r="BV51" s="640"/>
      <c r="BW51" s="640"/>
      <c r="BX51" s="640"/>
      <c r="BY51" s="640"/>
      <c r="BZ51" s="640"/>
      <c r="CA51" s="640"/>
      <c r="CB51" s="640"/>
      <c r="CC51" s="641"/>
    </row>
    <row r="52" spans="21:120" x14ac:dyDescent="0.45"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</row>
    <row r="53" spans="21:120" x14ac:dyDescent="0.45">
      <c r="U53" s="1" t="s">
        <v>460</v>
      </c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R53" s="633" t="s">
        <v>423</v>
      </c>
      <c r="CS53" s="634"/>
      <c r="CT53" s="634"/>
      <c r="CU53" s="634"/>
      <c r="CV53" s="634"/>
      <c r="CW53" s="634"/>
      <c r="CX53" s="634"/>
      <c r="CY53" s="634"/>
      <c r="CZ53" s="634"/>
      <c r="DA53" s="634"/>
      <c r="DB53" s="634"/>
      <c r="DC53" s="634"/>
      <c r="DD53" s="634"/>
      <c r="DE53" s="635"/>
    </row>
    <row r="54" spans="21:120" x14ac:dyDescent="0.45"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</row>
    <row r="56" spans="21:120" x14ac:dyDescent="0.45">
      <c r="U56" s="5" t="s">
        <v>461</v>
      </c>
    </row>
    <row r="57" spans="21:120" x14ac:dyDescent="0.45">
      <c r="U57" s="182" t="s">
        <v>407</v>
      </c>
      <c r="V57" s="17"/>
      <c r="W57" s="18"/>
      <c r="X57" s="15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DB57" s="14"/>
      <c r="DC57" s="14"/>
      <c r="DD57" s="14"/>
      <c r="DE57" s="14"/>
      <c r="DF57" s="14"/>
      <c r="DG57" s="12"/>
      <c r="DH57" s="16"/>
      <c r="DI57" s="17"/>
      <c r="DJ57" s="17"/>
      <c r="DK57" s="17"/>
      <c r="DL57" s="17"/>
      <c r="DM57" s="17"/>
      <c r="DN57" s="18"/>
      <c r="DO57" s="15"/>
      <c r="DP57" s="14"/>
    </row>
    <row r="58" spans="21:120" x14ac:dyDescent="0.45">
      <c r="X58" s="5"/>
      <c r="Y58" s="5"/>
      <c r="Z58" s="625">
        <v>16</v>
      </c>
      <c r="AA58" s="625"/>
      <c r="AB58" s="625">
        <v>15</v>
      </c>
      <c r="AC58" s="625"/>
      <c r="AD58" s="192"/>
      <c r="AE58" s="192"/>
      <c r="AF58" s="625">
        <v>1</v>
      </c>
      <c r="AG58" s="625"/>
      <c r="AH58" s="625">
        <v>16</v>
      </c>
      <c r="AI58" s="625"/>
      <c r="AJ58" s="625">
        <v>15</v>
      </c>
      <c r="AK58" s="625"/>
      <c r="AL58" s="192"/>
      <c r="AM58" s="192"/>
      <c r="AN58" s="625">
        <v>1</v>
      </c>
      <c r="AO58" s="625"/>
      <c r="AP58" s="625">
        <v>16</v>
      </c>
      <c r="AQ58" s="625"/>
      <c r="AR58" s="625">
        <v>15</v>
      </c>
      <c r="AS58" s="625"/>
      <c r="AT58" s="192"/>
      <c r="AU58" s="192"/>
      <c r="AV58" s="625">
        <v>1</v>
      </c>
      <c r="AW58" s="625"/>
      <c r="AX58" s="625">
        <v>16</v>
      </c>
      <c r="AY58" s="625"/>
      <c r="AZ58" s="625">
        <v>15</v>
      </c>
      <c r="BA58" s="625"/>
      <c r="BB58" s="192"/>
      <c r="BC58" s="192"/>
      <c r="BD58" s="625">
        <v>1</v>
      </c>
      <c r="BE58" s="625"/>
      <c r="BF58" s="625">
        <v>16</v>
      </c>
      <c r="BG58" s="625"/>
      <c r="BH58" s="625">
        <v>15</v>
      </c>
      <c r="BI58" s="625"/>
      <c r="BJ58" s="192"/>
      <c r="BK58" s="192"/>
      <c r="BL58" s="625">
        <v>1</v>
      </c>
      <c r="BM58" s="625"/>
      <c r="BN58" s="625">
        <v>16</v>
      </c>
      <c r="BO58" s="625"/>
      <c r="BP58" s="625">
        <v>15</v>
      </c>
      <c r="BQ58" s="625"/>
      <c r="BR58" s="192"/>
      <c r="BS58" s="192"/>
      <c r="BT58" s="625">
        <v>1</v>
      </c>
      <c r="BU58" s="625"/>
      <c r="BV58" s="625">
        <v>16</v>
      </c>
      <c r="BW58" s="625"/>
      <c r="BX58" s="625">
        <v>15</v>
      </c>
      <c r="BY58" s="625"/>
      <c r="BZ58" s="192"/>
      <c r="CA58" s="192"/>
      <c r="CB58" s="625">
        <v>1</v>
      </c>
      <c r="CC58" s="625"/>
      <c r="CD58" s="625">
        <v>16</v>
      </c>
      <c r="CE58" s="625"/>
      <c r="CF58" s="625">
        <v>15</v>
      </c>
      <c r="CG58" s="625"/>
      <c r="CH58" s="192"/>
      <c r="CI58" s="192"/>
      <c r="CJ58" s="625">
        <v>1</v>
      </c>
      <c r="CK58" s="625"/>
      <c r="CL58" s="625">
        <v>16</v>
      </c>
      <c r="CM58" s="625"/>
      <c r="CN58" s="625">
        <v>15</v>
      </c>
      <c r="CO58" s="625"/>
      <c r="CP58" s="192"/>
      <c r="CQ58" s="192"/>
      <c r="CR58" s="625">
        <v>1</v>
      </c>
      <c r="CS58" s="625"/>
      <c r="CT58" s="625">
        <v>16</v>
      </c>
      <c r="CU58" s="625"/>
      <c r="CV58" s="625">
        <v>15</v>
      </c>
      <c r="CW58" s="625"/>
      <c r="CX58" s="192"/>
      <c r="CY58" s="192"/>
      <c r="CZ58" s="625">
        <v>1</v>
      </c>
      <c r="DA58" s="625"/>
      <c r="DB58" s="192"/>
      <c r="DC58" s="192"/>
      <c r="DD58" s="192"/>
      <c r="DE58" s="192"/>
      <c r="DF58" s="192"/>
      <c r="DG58" s="192"/>
      <c r="DH58" s="183"/>
      <c r="DI58" s="183"/>
      <c r="DJ58" s="183"/>
      <c r="DK58" s="183"/>
      <c r="DL58" s="183"/>
      <c r="DM58" s="186"/>
      <c r="DN58" s="186"/>
      <c r="DO58" s="192"/>
      <c r="DP58" s="192"/>
    </row>
    <row r="59" spans="21:120" x14ac:dyDescent="0.45">
      <c r="U59" s="1" t="s">
        <v>412</v>
      </c>
      <c r="V59" s="187"/>
      <c r="W59" s="187"/>
      <c r="X59" s="187"/>
      <c r="Y59" s="188"/>
      <c r="Z59" s="189"/>
      <c r="AA59" s="190"/>
      <c r="AB59" s="189"/>
      <c r="AC59" s="190"/>
      <c r="AD59" s="194"/>
      <c r="AE59" s="187"/>
      <c r="AF59" s="189"/>
      <c r="AG59" s="190"/>
      <c r="AH59" s="189"/>
      <c r="AI59" s="190"/>
      <c r="AJ59" s="189"/>
      <c r="AK59" s="190"/>
      <c r="AL59" s="194"/>
      <c r="AM59" s="187"/>
      <c r="AN59" s="189"/>
      <c r="AO59" s="190"/>
      <c r="AP59" s="189"/>
      <c r="AQ59" s="190"/>
      <c r="AR59" s="189"/>
      <c r="AS59" s="190"/>
      <c r="AT59" s="194"/>
      <c r="AU59" s="187"/>
      <c r="AV59" s="189"/>
      <c r="AW59" s="190"/>
      <c r="AX59" s="189"/>
      <c r="AY59" s="190"/>
      <c r="AZ59" s="189"/>
      <c r="BA59" s="190"/>
      <c r="BB59" s="194"/>
      <c r="BC59" s="187"/>
      <c r="BD59" s="189"/>
      <c r="BE59" s="190"/>
      <c r="BF59" s="189"/>
      <c r="BG59" s="190"/>
      <c r="BH59" s="189"/>
      <c r="BI59" s="190"/>
      <c r="BJ59" s="194"/>
      <c r="BK59" s="187"/>
      <c r="BL59" s="189"/>
      <c r="BM59" s="190"/>
      <c r="BN59" s="189"/>
      <c r="BO59" s="190"/>
      <c r="BP59" s="189"/>
      <c r="BQ59" s="190"/>
      <c r="BR59" s="194"/>
      <c r="BS59" s="187"/>
      <c r="BT59" s="189"/>
      <c r="BU59" s="190"/>
      <c r="BV59" s="189"/>
      <c r="BW59" s="190"/>
      <c r="BX59" s="189"/>
      <c r="BY59" s="190"/>
      <c r="BZ59" s="194"/>
      <c r="CA59" s="187"/>
      <c r="CB59" s="189"/>
      <c r="CC59" s="190"/>
      <c r="CD59" s="189"/>
      <c r="CE59" s="190"/>
      <c r="CF59" s="189"/>
      <c r="CG59" s="190"/>
      <c r="CH59" s="194"/>
      <c r="CI59" s="187"/>
      <c r="CJ59" s="189"/>
      <c r="CK59" s="190"/>
      <c r="CL59" s="189"/>
      <c r="CM59" s="190"/>
      <c r="CN59" s="189"/>
      <c r="CO59" s="190"/>
      <c r="CP59" s="194"/>
      <c r="CQ59" s="187"/>
      <c r="CR59" s="189"/>
      <c r="CS59" s="190"/>
      <c r="CT59" s="189"/>
      <c r="CU59" s="190"/>
      <c r="CV59" s="189"/>
      <c r="CW59" s="190"/>
      <c r="CX59" s="194"/>
      <c r="CY59" s="187"/>
      <c r="CZ59" s="189"/>
      <c r="DA59" s="190"/>
      <c r="DB59" s="187"/>
      <c r="DC59" s="187"/>
      <c r="DD59" s="187"/>
      <c r="DE59" s="187"/>
      <c r="DF59" s="187"/>
      <c r="DG59" s="187"/>
      <c r="DH59" s="187"/>
      <c r="DI59" s="187"/>
      <c r="DJ59" s="187"/>
      <c r="DK59" s="187"/>
      <c r="DL59" s="187"/>
      <c r="DM59" s="187"/>
      <c r="DN59" s="187"/>
      <c r="DO59" s="187"/>
      <c r="DP59" s="187"/>
    </row>
    <row r="60" spans="21:120" x14ac:dyDescent="0.3">
      <c r="AD60" s="194"/>
      <c r="AH60" s="197"/>
      <c r="AI60" s="197"/>
      <c r="AJ60" s="197"/>
      <c r="AK60" s="197"/>
      <c r="AL60" s="197"/>
      <c r="AM60" s="197"/>
      <c r="AN60" s="197"/>
      <c r="AO60" s="197"/>
    </row>
    <row r="61" spans="21:120" x14ac:dyDescent="0.45">
      <c r="U61" s="1" t="s">
        <v>417</v>
      </c>
      <c r="V61" s="14"/>
      <c r="W61" s="14"/>
      <c r="X61" s="14"/>
      <c r="Y61" s="14"/>
      <c r="Z61" s="643" t="s">
        <v>446</v>
      </c>
      <c r="AA61" s="653"/>
      <c r="AB61" s="653"/>
      <c r="AC61" s="653"/>
      <c r="AD61" s="653"/>
      <c r="AE61" s="653"/>
      <c r="AF61" s="653"/>
      <c r="AG61" s="654"/>
      <c r="AH61" s="643" t="s">
        <v>456</v>
      </c>
      <c r="AI61" s="644"/>
      <c r="AJ61" s="644"/>
      <c r="AK61" s="644"/>
      <c r="AL61" s="644"/>
      <c r="AM61" s="644"/>
      <c r="AN61" s="644"/>
      <c r="AO61" s="645"/>
      <c r="AP61" s="646" t="s">
        <v>446</v>
      </c>
      <c r="AQ61" s="655"/>
      <c r="AR61" s="655"/>
      <c r="AS61" s="655"/>
      <c r="AT61" s="655"/>
      <c r="AU61" s="655"/>
      <c r="AV61" s="655"/>
      <c r="AW61" s="656"/>
      <c r="AX61" s="646" t="s">
        <v>456</v>
      </c>
      <c r="AY61" s="647"/>
      <c r="AZ61" s="647"/>
      <c r="BA61" s="647"/>
      <c r="BB61" s="647"/>
      <c r="BC61" s="647"/>
      <c r="BD61" s="647"/>
      <c r="BE61" s="648"/>
      <c r="BF61" s="646" t="s">
        <v>456</v>
      </c>
      <c r="BG61" s="647"/>
      <c r="BH61" s="647"/>
      <c r="BI61" s="647"/>
      <c r="BJ61" s="647"/>
      <c r="BK61" s="647"/>
      <c r="BL61" s="647"/>
      <c r="BM61" s="648"/>
      <c r="BN61" s="646" t="s">
        <v>456</v>
      </c>
      <c r="BO61" s="647"/>
      <c r="BP61" s="647"/>
      <c r="BQ61" s="647"/>
      <c r="BR61" s="647"/>
      <c r="BS61" s="647"/>
      <c r="BT61" s="647"/>
      <c r="BU61" s="648"/>
      <c r="BV61" s="646" t="s">
        <v>456</v>
      </c>
      <c r="BW61" s="647"/>
      <c r="BX61" s="647"/>
      <c r="BY61" s="647"/>
      <c r="BZ61" s="647"/>
      <c r="CA61" s="647"/>
      <c r="CB61" s="647"/>
      <c r="CC61" s="648"/>
      <c r="CD61" s="649" t="s">
        <v>446</v>
      </c>
      <c r="CE61" s="657"/>
      <c r="CF61" s="657"/>
      <c r="CG61" s="657"/>
      <c r="CH61" s="657"/>
      <c r="CI61" s="657"/>
      <c r="CJ61" s="657"/>
      <c r="CK61" s="658"/>
      <c r="CL61" s="649" t="s">
        <v>456</v>
      </c>
      <c r="CM61" s="650"/>
      <c r="CN61" s="650"/>
      <c r="CO61" s="650"/>
      <c r="CP61" s="650"/>
      <c r="CQ61" s="650"/>
      <c r="CR61" s="650"/>
      <c r="CS61" s="651"/>
      <c r="CT61" s="649" t="s">
        <v>456</v>
      </c>
      <c r="CU61" s="650"/>
      <c r="CV61" s="650"/>
      <c r="CW61" s="650"/>
      <c r="CX61" s="650"/>
      <c r="CY61" s="650"/>
      <c r="CZ61" s="650"/>
      <c r="DA61" s="651"/>
      <c r="DB61" s="187"/>
      <c r="DC61" s="187"/>
      <c r="DD61" s="187"/>
      <c r="DE61" s="187"/>
      <c r="DF61" s="187"/>
      <c r="DG61" s="187"/>
      <c r="DH61" s="187"/>
      <c r="DI61" s="187"/>
      <c r="DJ61" s="187"/>
      <c r="DK61" s="187"/>
      <c r="DL61" s="187"/>
      <c r="DM61" s="187"/>
      <c r="DN61" s="187"/>
      <c r="DO61" s="187"/>
      <c r="DP61" s="187"/>
    </row>
    <row r="62" spans="21:120" x14ac:dyDescent="0.2">
      <c r="AP62" s="625">
        <v>16</v>
      </c>
      <c r="AQ62" s="625"/>
      <c r="AR62" s="625">
        <v>15</v>
      </c>
      <c r="AS62" s="625"/>
      <c r="AT62" s="192"/>
      <c r="AU62" s="192"/>
      <c r="AV62" s="625">
        <v>1</v>
      </c>
      <c r="AW62" s="625"/>
      <c r="AX62" s="625">
        <v>16</v>
      </c>
      <c r="AY62" s="625"/>
      <c r="AZ62" s="625">
        <v>15</v>
      </c>
      <c r="BA62" s="625"/>
      <c r="BB62" s="192"/>
      <c r="BC62" s="192"/>
      <c r="BD62" s="625">
        <v>1</v>
      </c>
      <c r="BE62" s="625"/>
      <c r="BF62" s="625">
        <v>16</v>
      </c>
      <c r="BG62" s="625"/>
      <c r="BH62" s="625">
        <v>15</v>
      </c>
      <c r="BI62" s="625"/>
      <c r="BJ62" s="192"/>
      <c r="BK62" s="192"/>
      <c r="BL62" s="625">
        <v>1</v>
      </c>
      <c r="BM62" s="625"/>
      <c r="BN62" s="625">
        <v>16</v>
      </c>
      <c r="BO62" s="625"/>
      <c r="BP62" s="625">
        <v>15</v>
      </c>
      <c r="BQ62" s="625"/>
      <c r="BR62" s="192"/>
      <c r="BS62" s="192"/>
      <c r="BT62" s="625">
        <v>1</v>
      </c>
      <c r="BU62" s="625"/>
      <c r="BV62" s="625">
        <v>16</v>
      </c>
      <c r="BW62" s="625"/>
      <c r="BX62" s="625">
        <v>15</v>
      </c>
      <c r="BY62" s="625"/>
      <c r="BZ62" s="192"/>
      <c r="CA62" s="192"/>
      <c r="CB62" s="625">
        <v>1</v>
      </c>
      <c r="CC62" s="625"/>
      <c r="CD62" s="625">
        <v>16</v>
      </c>
      <c r="CE62" s="625"/>
      <c r="CF62" s="625">
        <v>15</v>
      </c>
      <c r="CG62" s="625"/>
      <c r="CH62" s="192"/>
      <c r="CI62" s="192"/>
      <c r="CJ62" s="625">
        <v>1</v>
      </c>
      <c r="CK62" s="625"/>
      <c r="CL62" s="625">
        <v>16</v>
      </c>
      <c r="CM62" s="625"/>
      <c r="CN62" s="625">
        <v>15</v>
      </c>
      <c r="CO62" s="625"/>
      <c r="CP62" s="192"/>
      <c r="CQ62" s="192"/>
      <c r="CR62" s="625">
        <v>1</v>
      </c>
      <c r="CS62" s="625"/>
      <c r="CT62" s="625">
        <v>16</v>
      </c>
      <c r="CU62" s="625"/>
      <c r="CV62" s="625">
        <v>15</v>
      </c>
      <c r="CW62" s="625"/>
      <c r="CX62" s="192"/>
      <c r="CY62" s="192"/>
      <c r="CZ62" s="625">
        <v>1</v>
      </c>
      <c r="DA62" s="625"/>
      <c r="DB62" s="192"/>
      <c r="DC62" s="192"/>
      <c r="DD62" s="192"/>
      <c r="DE62" s="192"/>
      <c r="DF62" s="192"/>
    </row>
    <row r="63" spans="21:120" x14ac:dyDescent="0.45">
      <c r="U63" s="1" t="s">
        <v>427</v>
      </c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89"/>
      <c r="AQ63" s="190"/>
      <c r="AR63" s="189"/>
      <c r="AS63" s="190"/>
      <c r="AT63" s="194"/>
      <c r="AU63" s="187"/>
      <c r="AV63" s="189"/>
      <c r="AW63" s="190"/>
      <c r="AX63" s="189"/>
      <c r="AY63" s="190"/>
      <c r="AZ63" s="189"/>
      <c r="BA63" s="190"/>
      <c r="BB63" s="194"/>
      <c r="BC63" s="187"/>
      <c r="BD63" s="189"/>
      <c r="BE63" s="190"/>
      <c r="BF63" s="189"/>
      <c r="BG63" s="190"/>
      <c r="BH63" s="189"/>
      <c r="BI63" s="190"/>
      <c r="BJ63" s="194"/>
      <c r="BK63" s="187"/>
      <c r="BL63" s="189"/>
      <c r="BM63" s="190"/>
      <c r="BN63" s="189"/>
      <c r="BO63" s="190"/>
      <c r="BP63" s="189"/>
      <c r="BQ63" s="190"/>
      <c r="BR63" s="194"/>
      <c r="BS63" s="187"/>
      <c r="BT63" s="189"/>
      <c r="BU63" s="190"/>
      <c r="BV63" s="189"/>
      <c r="BW63" s="190"/>
      <c r="BX63" s="189"/>
      <c r="BY63" s="190"/>
      <c r="BZ63" s="194"/>
      <c r="CA63" s="187"/>
      <c r="CB63" s="189"/>
      <c r="CC63" s="190"/>
      <c r="CD63" s="189"/>
      <c r="CE63" s="190"/>
      <c r="CF63" s="189"/>
      <c r="CG63" s="190"/>
      <c r="CH63" s="194"/>
      <c r="CI63" s="187"/>
      <c r="CJ63" s="189"/>
      <c r="CK63" s="190"/>
      <c r="CL63" s="189"/>
      <c r="CM63" s="190"/>
      <c r="CN63" s="189"/>
      <c r="CO63" s="190"/>
      <c r="CP63" s="194"/>
      <c r="CQ63" s="187"/>
      <c r="CR63" s="189"/>
      <c r="CS63" s="190"/>
      <c r="CT63" s="189"/>
      <c r="CU63" s="190"/>
      <c r="CV63" s="189"/>
      <c r="CW63" s="190"/>
      <c r="CX63" s="194"/>
      <c r="CY63" s="187"/>
      <c r="CZ63" s="189"/>
      <c r="DA63" s="190"/>
      <c r="DB63" s="187"/>
      <c r="DC63" s="187"/>
      <c r="DD63" s="187"/>
      <c r="DE63" s="187"/>
      <c r="DF63" s="187"/>
      <c r="DG63" s="14"/>
      <c r="DH63" s="14"/>
      <c r="DI63" s="14"/>
      <c r="DJ63" s="14"/>
      <c r="DK63" s="14"/>
      <c r="DL63" s="14"/>
      <c r="DM63" s="14"/>
      <c r="DN63" s="14"/>
      <c r="DO63" s="14"/>
      <c r="DP63" s="14"/>
    </row>
    <row r="65" spans="21:159" x14ac:dyDescent="0.45">
      <c r="U65" s="1" t="s">
        <v>429</v>
      </c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646" t="s">
        <v>446</v>
      </c>
      <c r="AQ65" s="655"/>
      <c r="AR65" s="655"/>
      <c r="AS65" s="655"/>
      <c r="AT65" s="655"/>
      <c r="AU65" s="655"/>
      <c r="AV65" s="655"/>
      <c r="AW65" s="656"/>
      <c r="AX65" s="646" t="s">
        <v>456</v>
      </c>
      <c r="AY65" s="647"/>
      <c r="AZ65" s="647"/>
      <c r="BA65" s="647"/>
      <c r="BB65" s="647"/>
      <c r="BC65" s="647"/>
      <c r="BD65" s="647"/>
      <c r="BE65" s="648"/>
      <c r="BF65" s="646" t="s">
        <v>456</v>
      </c>
      <c r="BG65" s="647"/>
      <c r="BH65" s="647"/>
      <c r="BI65" s="647"/>
      <c r="BJ65" s="647"/>
      <c r="BK65" s="647"/>
      <c r="BL65" s="647"/>
      <c r="BM65" s="648"/>
      <c r="BN65" s="646" t="s">
        <v>456</v>
      </c>
      <c r="BO65" s="647"/>
      <c r="BP65" s="647"/>
      <c r="BQ65" s="647"/>
      <c r="BR65" s="647"/>
      <c r="BS65" s="647"/>
      <c r="BT65" s="647"/>
      <c r="BU65" s="648"/>
      <c r="BV65" s="646" t="s">
        <v>456</v>
      </c>
      <c r="BW65" s="647"/>
      <c r="BX65" s="647"/>
      <c r="BY65" s="647"/>
      <c r="BZ65" s="647"/>
      <c r="CA65" s="647"/>
      <c r="CB65" s="647"/>
      <c r="CC65" s="648"/>
      <c r="CD65" s="649" t="s">
        <v>446</v>
      </c>
      <c r="CE65" s="657"/>
      <c r="CF65" s="657"/>
      <c r="CG65" s="657"/>
      <c r="CH65" s="657"/>
      <c r="CI65" s="657"/>
      <c r="CJ65" s="657"/>
      <c r="CK65" s="658"/>
      <c r="CL65" s="649" t="s">
        <v>456</v>
      </c>
      <c r="CM65" s="650"/>
      <c r="CN65" s="650"/>
      <c r="CO65" s="650"/>
      <c r="CP65" s="650"/>
      <c r="CQ65" s="650"/>
      <c r="CR65" s="650"/>
      <c r="CS65" s="651"/>
      <c r="CT65" s="649" t="s">
        <v>456</v>
      </c>
      <c r="CU65" s="650"/>
      <c r="CV65" s="650"/>
      <c r="CW65" s="650"/>
      <c r="CX65" s="650"/>
      <c r="CY65" s="650"/>
      <c r="CZ65" s="650"/>
      <c r="DA65" s="651"/>
      <c r="DB65" s="187"/>
      <c r="DC65" s="187"/>
      <c r="DD65" s="187"/>
      <c r="DE65" s="187"/>
      <c r="DF65" s="187"/>
      <c r="DG65" s="14"/>
      <c r="DH65" s="14"/>
      <c r="DI65" s="14"/>
      <c r="DJ65" s="14"/>
      <c r="DK65" s="14"/>
      <c r="DL65" s="14"/>
      <c r="DM65" s="14"/>
      <c r="DN65" s="14"/>
      <c r="DO65" s="14"/>
      <c r="DP65" s="14"/>
    </row>
    <row r="66" spans="21:159" x14ac:dyDescent="0.2">
      <c r="CD66" s="625">
        <v>16</v>
      </c>
      <c r="CE66" s="625"/>
      <c r="CF66" s="625">
        <v>15</v>
      </c>
      <c r="CG66" s="625"/>
      <c r="CH66" s="192"/>
      <c r="CI66" s="192"/>
      <c r="CJ66" s="625">
        <v>1</v>
      </c>
      <c r="CK66" s="625"/>
      <c r="CL66" s="625">
        <v>16</v>
      </c>
      <c r="CM66" s="625"/>
      <c r="CN66" s="625">
        <v>15</v>
      </c>
      <c r="CO66" s="625"/>
      <c r="CP66" s="192"/>
      <c r="CQ66" s="192"/>
      <c r="CR66" s="625">
        <v>1</v>
      </c>
      <c r="CS66" s="625"/>
      <c r="CT66" s="625">
        <v>16</v>
      </c>
      <c r="CU66" s="625"/>
      <c r="CV66" s="625">
        <v>15</v>
      </c>
      <c r="CW66" s="625"/>
      <c r="CX66" s="192"/>
      <c r="CY66" s="192"/>
      <c r="CZ66" s="625">
        <v>1</v>
      </c>
      <c r="DA66" s="625"/>
    </row>
    <row r="67" spans="21:159" x14ac:dyDescent="0.45">
      <c r="U67" s="1" t="s">
        <v>433</v>
      </c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89"/>
      <c r="CE67" s="190"/>
      <c r="CF67" s="189"/>
      <c r="CG67" s="190"/>
      <c r="CH67" s="194"/>
      <c r="CI67" s="187"/>
      <c r="CJ67" s="189"/>
      <c r="CK67" s="190"/>
      <c r="CL67" s="189"/>
      <c r="CM67" s="190"/>
      <c r="CN67" s="189"/>
      <c r="CO67" s="190"/>
      <c r="CP67" s="194"/>
      <c r="CQ67" s="187"/>
      <c r="CR67" s="189"/>
      <c r="CS67" s="190"/>
      <c r="CT67" s="189"/>
      <c r="CU67" s="190"/>
      <c r="CV67" s="189"/>
      <c r="CW67" s="190"/>
      <c r="CX67" s="194"/>
      <c r="CY67" s="187"/>
      <c r="CZ67" s="189"/>
      <c r="DA67" s="190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</row>
    <row r="69" spans="21:159" x14ac:dyDescent="0.45">
      <c r="U69" s="1" t="s">
        <v>435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649" t="s">
        <v>446</v>
      </c>
      <c r="CE69" s="657"/>
      <c r="CF69" s="657"/>
      <c r="CG69" s="657"/>
      <c r="CH69" s="657"/>
      <c r="CI69" s="657"/>
      <c r="CJ69" s="657"/>
      <c r="CK69" s="658"/>
      <c r="CL69" s="649" t="s">
        <v>456</v>
      </c>
      <c r="CM69" s="650"/>
      <c r="CN69" s="650"/>
      <c r="CO69" s="650"/>
      <c r="CP69" s="650"/>
      <c r="CQ69" s="650"/>
      <c r="CR69" s="650"/>
      <c r="CS69" s="651"/>
      <c r="CT69" s="649" t="s">
        <v>456</v>
      </c>
      <c r="CU69" s="650"/>
      <c r="CV69" s="650"/>
      <c r="CW69" s="650"/>
      <c r="CX69" s="650"/>
      <c r="CY69" s="650"/>
      <c r="CZ69" s="650"/>
      <c r="DA69" s="651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</row>
    <row r="70" spans="21:159" x14ac:dyDescent="0.3">
      <c r="AH70" s="642" t="s">
        <v>438</v>
      </c>
      <c r="AI70" s="642"/>
      <c r="AJ70" s="642"/>
      <c r="AK70" s="642"/>
      <c r="AL70" s="642"/>
      <c r="AM70" s="642"/>
      <c r="AN70" s="642"/>
      <c r="AO70" s="642"/>
    </row>
    <row r="71" spans="21:159" x14ac:dyDescent="0.45">
      <c r="U71" s="1" t="s">
        <v>457</v>
      </c>
      <c r="Z71" s="13"/>
      <c r="AA71" s="13"/>
      <c r="AB71" s="13"/>
      <c r="AC71" s="13"/>
      <c r="AD71" s="13"/>
      <c r="AE71" s="13"/>
      <c r="AF71" s="13"/>
      <c r="AG71" s="13"/>
      <c r="AH71" s="643" t="s">
        <v>440</v>
      </c>
      <c r="AI71" s="644"/>
      <c r="AJ71" s="644"/>
      <c r="AK71" s="644"/>
      <c r="AL71" s="644"/>
      <c r="AM71" s="644"/>
      <c r="AN71" s="644"/>
      <c r="AO71" s="645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</row>
    <row r="72" spans="21:159" x14ac:dyDescent="0.3">
      <c r="AY72" s="642" t="s">
        <v>449</v>
      </c>
      <c r="AZ72" s="642"/>
      <c r="BA72" s="642"/>
      <c r="BB72" s="642"/>
      <c r="BC72" s="642"/>
      <c r="BD72" s="642"/>
      <c r="BE72" s="642"/>
      <c r="BF72" s="642"/>
      <c r="BG72" s="642" t="s">
        <v>450</v>
      </c>
      <c r="BH72" s="642"/>
      <c r="BI72" s="642"/>
      <c r="BJ72" s="642"/>
      <c r="BK72" s="642"/>
      <c r="BL72" s="642"/>
      <c r="BM72" s="642"/>
      <c r="BN72" s="642"/>
      <c r="BO72" s="642" t="s">
        <v>451</v>
      </c>
      <c r="BP72" s="642"/>
      <c r="BQ72" s="642"/>
      <c r="BR72" s="642"/>
      <c r="BS72" s="642"/>
      <c r="BT72" s="642"/>
      <c r="BU72" s="642"/>
      <c r="BV72" s="642"/>
      <c r="BW72" s="642" t="s">
        <v>452</v>
      </c>
      <c r="BX72" s="642"/>
      <c r="BY72" s="642"/>
      <c r="BZ72" s="642"/>
      <c r="CA72" s="642"/>
      <c r="CB72" s="642"/>
      <c r="CC72" s="642"/>
      <c r="CD72" s="642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</row>
    <row r="73" spans="21:159" x14ac:dyDescent="0.45">
      <c r="U73" s="1" t="s">
        <v>458</v>
      </c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646" t="s">
        <v>442</v>
      </c>
      <c r="AZ73" s="647"/>
      <c r="BA73" s="647"/>
      <c r="BB73" s="647"/>
      <c r="BC73" s="647"/>
      <c r="BD73" s="647"/>
      <c r="BE73" s="647"/>
      <c r="BF73" s="648"/>
      <c r="BG73" s="646" t="s">
        <v>443</v>
      </c>
      <c r="BH73" s="647"/>
      <c r="BI73" s="647"/>
      <c r="BJ73" s="647"/>
      <c r="BK73" s="647"/>
      <c r="BL73" s="647"/>
      <c r="BM73" s="647"/>
      <c r="BN73" s="648"/>
      <c r="BO73" s="646" t="s">
        <v>444</v>
      </c>
      <c r="BP73" s="647"/>
      <c r="BQ73" s="647"/>
      <c r="BR73" s="647"/>
      <c r="BS73" s="647"/>
      <c r="BT73" s="647"/>
      <c r="BU73" s="647"/>
      <c r="BV73" s="648"/>
      <c r="BW73" s="646" t="s">
        <v>445</v>
      </c>
      <c r="BX73" s="647"/>
      <c r="BY73" s="647"/>
      <c r="BZ73" s="647"/>
      <c r="CA73" s="647"/>
      <c r="CB73" s="647"/>
      <c r="CC73" s="647"/>
      <c r="CD73" s="648"/>
    </row>
    <row r="74" spans="21:159" x14ac:dyDescent="0.3">
      <c r="CM74" s="642" t="s">
        <v>453</v>
      </c>
      <c r="CN74" s="642"/>
      <c r="CO74" s="642"/>
      <c r="CP74" s="642"/>
      <c r="CQ74" s="642"/>
      <c r="CR74" s="642"/>
      <c r="CS74" s="642"/>
      <c r="CT74" s="642"/>
      <c r="CU74" s="642" t="s">
        <v>454</v>
      </c>
      <c r="CV74" s="642"/>
      <c r="CW74" s="642"/>
      <c r="CX74" s="642"/>
      <c r="CY74" s="642"/>
      <c r="CZ74" s="642"/>
      <c r="DA74" s="642"/>
      <c r="DB74" s="642"/>
    </row>
    <row r="75" spans="21:159" x14ac:dyDescent="0.45">
      <c r="U75" s="1" t="s">
        <v>460</v>
      </c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CM75" s="649" t="s">
        <v>447</v>
      </c>
      <c r="CN75" s="650"/>
      <c r="CO75" s="650"/>
      <c r="CP75" s="650"/>
      <c r="CQ75" s="650"/>
      <c r="CR75" s="650"/>
      <c r="CS75" s="650"/>
      <c r="CT75" s="651"/>
      <c r="CU75" s="649" t="s">
        <v>448</v>
      </c>
      <c r="CV75" s="650"/>
      <c r="CW75" s="650"/>
      <c r="CX75" s="650"/>
      <c r="CY75" s="650"/>
      <c r="CZ75" s="650"/>
      <c r="DA75" s="650"/>
      <c r="DB75" s="651"/>
    </row>
    <row r="78" spans="21:159" x14ac:dyDescent="0.45">
      <c r="U78" s="5" t="s">
        <v>462</v>
      </c>
      <c r="DH78" t="s">
        <v>406</v>
      </c>
    </row>
    <row r="79" spans="21:159" x14ac:dyDescent="0.45">
      <c r="U79" s="182" t="s">
        <v>407</v>
      </c>
      <c r="V79" s="17"/>
      <c r="W79" s="18"/>
      <c r="X79" s="15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DB79" s="14"/>
      <c r="DC79" s="14"/>
      <c r="DD79" s="14"/>
      <c r="DE79" s="14"/>
      <c r="DF79" s="14"/>
      <c r="DG79" s="12"/>
      <c r="DH79" s="16"/>
      <c r="DI79" s="17"/>
      <c r="DJ79" s="17"/>
      <c r="DK79" s="17"/>
      <c r="DL79" s="17"/>
      <c r="DM79" s="17"/>
      <c r="DN79" s="18"/>
      <c r="DO79" s="15"/>
      <c r="DP79" s="14"/>
    </row>
    <row r="80" spans="21:159" x14ac:dyDescent="0.45">
      <c r="X80" s="183"/>
      <c r="Y80" s="183"/>
      <c r="Z80" s="625">
        <v>16</v>
      </c>
      <c r="AA80" s="625"/>
      <c r="AB80" s="625">
        <v>15</v>
      </c>
      <c r="AC80" s="625"/>
      <c r="AD80" s="625">
        <v>14</v>
      </c>
      <c r="AE80" s="625"/>
      <c r="AF80" s="625">
        <v>13</v>
      </c>
      <c r="AG80" s="625"/>
      <c r="AH80" s="625">
        <v>12</v>
      </c>
      <c r="AI80" s="625"/>
      <c r="AJ80" s="625">
        <v>11</v>
      </c>
      <c r="AK80" s="625"/>
      <c r="AL80" s="625">
        <v>10</v>
      </c>
      <c r="AM80" s="625"/>
      <c r="AN80" s="625">
        <v>9</v>
      </c>
      <c r="AO80" s="625"/>
      <c r="AP80" s="192"/>
      <c r="AQ80" s="192"/>
      <c r="AR80" s="625">
        <v>4</v>
      </c>
      <c r="AS80" s="625"/>
      <c r="AT80" s="184">
        <v>3</v>
      </c>
      <c r="AU80" s="184"/>
      <c r="AV80" s="184">
        <v>2</v>
      </c>
      <c r="AW80" s="184"/>
      <c r="AX80" s="625">
        <v>1</v>
      </c>
      <c r="AY80" s="625"/>
      <c r="AZ80" s="625">
        <v>16</v>
      </c>
      <c r="BA80" s="625"/>
      <c r="BB80" s="625">
        <v>15</v>
      </c>
      <c r="BC80" s="625"/>
      <c r="BD80" s="625">
        <v>14</v>
      </c>
      <c r="BE80" s="625"/>
      <c r="BF80" s="625">
        <v>13</v>
      </c>
      <c r="BG80" s="625"/>
      <c r="BH80" s="625">
        <v>12</v>
      </c>
      <c r="BI80" s="625"/>
      <c r="BJ80" s="625">
        <v>11</v>
      </c>
      <c r="BK80" s="625"/>
      <c r="BL80" s="625">
        <v>10</v>
      </c>
      <c r="BM80" s="625"/>
      <c r="BN80" s="625">
        <v>9</v>
      </c>
      <c r="BO80" s="625"/>
      <c r="BP80" s="192"/>
      <c r="BQ80" s="192"/>
      <c r="BR80" s="625">
        <v>4</v>
      </c>
      <c r="BS80" s="625"/>
      <c r="BT80" s="184">
        <v>3</v>
      </c>
      <c r="BU80" s="184"/>
      <c r="BV80" s="184">
        <v>2</v>
      </c>
      <c r="BW80" s="184"/>
      <c r="BX80" s="625">
        <v>1</v>
      </c>
      <c r="BY80" s="625"/>
      <c r="BZ80" s="625">
        <v>16</v>
      </c>
      <c r="CA80" s="625"/>
      <c r="CB80" s="625">
        <v>15</v>
      </c>
      <c r="CC80" s="625"/>
      <c r="CD80" s="625">
        <v>14</v>
      </c>
      <c r="CE80" s="625"/>
      <c r="CF80" s="625">
        <v>13</v>
      </c>
      <c r="CG80" s="625"/>
      <c r="CH80" s="625">
        <v>12</v>
      </c>
      <c r="CI80" s="625"/>
      <c r="CJ80" s="625">
        <v>11</v>
      </c>
      <c r="CK80" s="625"/>
      <c r="CL80" s="625">
        <v>10</v>
      </c>
      <c r="CM80" s="625"/>
      <c r="CN80" s="625">
        <v>9</v>
      </c>
      <c r="CO80" s="625"/>
      <c r="CP80" s="192"/>
      <c r="CQ80" s="192"/>
      <c r="CR80" s="625">
        <v>4</v>
      </c>
      <c r="CS80" s="625"/>
      <c r="CT80" s="184">
        <v>3</v>
      </c>
      <c r="CU80" s="184"/>
      <c r="CV80" s="184">
        <v>2</v>
      </c>
      <c r="CW80" s="184"/>
      <c r="CX80" s="625">
        <v>1</v>
      </c>
      <c r="CY80" s="625"/>
      <c r="CZ80" s="192"/>
      <c r="DA80" s="192"/>
      <c r="DB80" s="193"/>
      <c r="DC80" s="193"/>
      <c r="DD80" s="193"/>
      <c r="DE80" s="193"/>
      <c r="DF80" s="185"/>
      <c r="DG80" s="185"/>
      <c r="DH80" s="183"/>
      <c r="DI80" s="183"/>
      <c r="DJ80" s="183"/>
      <c r="DK80" s="183"/>
      <c r="DL80" s="183"/>
      <c r="DM80" s="186"/>
      <c r="DN80" s="186"/>
      <c r="DO80" s="186"/>
      <c r="DP80" s="186"/>
      <c r="DQ80" s="186"/>
      <c r="DR80" s="186"/>
      <c r="DS80" s="186"/>
      <c r="DT80" s="186"/>
      <c r="DU80" s="186"/>
      <c r="DV80" s="186"/>
      <c r="DW80" s="186"/>
      <c r="DX80" s="186"/>
      <c r="DY80" s="186"/>
      <c r="DZ80" s="186"/>
      <c r="EA80" s="186"/>
      <c r="EB80" s="186"/>
      <c r="EC80" s="186"/>
      <c r="ED80" s="186"/>
      <c r="EE80" s="186"/>
      <c r="EF80" s="186"/>
      <c r="EG80" s="186"/>
      <c r="EH80" s="186"/>
      <c r="EI80" s="186"/>
      <c r="EJ80" s="186"/>
      <c r="EK80" s="186"/>
      <c r="EL80" s="186"/>
      <c r="EM80" s="186"/>
      <c r="EN80" s="186"/>
      <c r="EO80" s="186"/>
      <c r="EP80" s="186"/>
      <c r="EQ80" s="186"/>
      <c r="ER80" s="186"/>
      <c r="ES80" s="186"/>
      <c r="ET80" s="186"/>
      <c r="EU80" s="186"/>
      <c r="EV80" s="186"/>
      <c r="EW80" s="186"/>
      <c r="EX80" s="186"/>
      <c r="EY80" s="186"/>
      <c r="EZ80" s="186"/>
      <c r="FA80" s="186"/>
      <c r="FB80" s="186"/>
      <c r="FC80" s="186"/>
    </row>
    <row r="81" spans="21:159" x14ac:dyDescent="0.45">
      <c r="U81" s="1" t="s">
        <v>412</v>
      </c>
      <c r="V81" s="187"/>
      <c r="W81" s="187"/>
      <c r="X81" s="187"/>
      <c r="Y81" s="188"/>
      <c r="Z81" s="189"/>
      <c r="AA81" s="190"/>
      <c r="AB81" s="189"/>
      <c r="AC81" s="190"/>
      <c r="AD81" s="189"/>
      <c r="AE81" s="190"/>
      <c r="AF81" s="189"/>
      <c r="AG81" s="190"/>
      <c r="AH81" s="189"/>
      <c r="AI81" s="190"/>
      <c r="AJ81" s="189"/>
      <c r="AK81" s="190"/>
      <c r="AL81" s="189"/>
      <c r="AM81" s="190"/>
      <c r="AN81" s="189"/>
      <c r="AO81" s="190"/>
      <c r="AQ81" s="187"/>
      <c r="AR81" s="189"/>
      <c r="AS81" s="190"/>
      <c r="AT81" s="189"/>
      <c r="AU81" s="190"/>
      <c r="AV81" s="189"/>
      <c r="AW81" s="190"/>
      <c r="AX81" s="189"/>
      <c r="AY81" s="190"/>
      <c r="AZ81" s="189"/>
      <c r="BA81" s="190"/>
      <c r="BB81" s="189"/>
      <c r="BC81" s="190"/>
      <c r="BD81" s="189"/>
      <c r="BE81" s="190"/>
      <c r="BF81" s="189"/>
      <c r="BG81" s="190"/>
      <c r="BH81" s="189"/>
      <c r="BI81" s="190"/>
      <c r="BJ81" s="189"/>
      <c r="BK81" s="190"/>
      <c r="BL81" s="189"/>
      <c r="BM81" s="190"/>
      <c r="BN81" s="189"/>
      <c r="BO81" s="190"/>
      <c r="BQ81" s="187"/>
      <c r="BR81" s="189"/>
      <c r="BS81" s="190"/>
      <c r="BT81" s="189"/>
      <c r="BU81" s="190"/>
      <c r="BV81" s="189"/>
      <c r="BW81" s="190"/>
      <c r="BX81" s="189"/>
      <c r="BY81" s="190"/>
      <c r="BZ81" s="189"/>
      <c r="CA81" s="190"/>
      <c r="CB81" s="189"/>
      <c r="CC81" s="190"/>
      <c r="CD81" s="189"/>
      <c r="CE81" s="190"/>
      <c r="CF81" s="189"/>
      <c r="CG81" s="190"/>
      <c r="CH81" s="189"/>
      <c r="CI81" s="190"/>
      <c r="CJ81" s="189"/>
      <c r="CK81" s="190"/>
      <c r="CL81" s="189"/>
      <c r="CM81" s="190"/>
      <c r="CN81" s="189"/>
      <c r="CO81" s="190"/>
      <c r="CQ81" s="187"/>
      <c r="CR81" s="189"/>
      <c r="CS81" s="190"/>
      <c r="CT81" s="189"/>
      <c r="CU81" s="190"/>
      <c r="CV81" s="189"/>
      <c r="CW81" s="190"/>
      <c r="CX81" s="189"/>
      <c r="CY81" s="190"/>
      <c r="CZ81" s="187"/>
      <c r="DA81" s="187"/>
      <c r="DB81" s="187"/>
      <c r="DC81" s="187"/>
      <c r="DD81" s="187"/>
      <c r="DE81" s="187"/>
      <c r="DF81" s="187"/>
      <c r="DG81" s="187"/>
      <c r="DH81" s="187"/>
      <c r="DI81" s="187"/>
      <c r="DJ81" s="187"/>
      <c r="DK81" s="187"/>
      <c r="DL81" s="187"/>
      <c r="DM81" s="187"/>
      <c r="DN81" s="187"/>
      <c r="DO81" s="187"/>
      <c r="DP81" s="187"/>
      <c r="DQ81" s="191"/>
      <c r="DR81" s="191"/>
      <c r="DS81" s="191"/>
      <c r="DT81" s="191"/>
      <c r="DU81" s="191"/>
      <c r="DV81" s="191"/>
      <c r="DW81" s="191"/>
      <c r="DX81" s="191"/>
      <c r="DY81" s="191"/>
      <c r="DZ81" s="191"/>
      <c r="EA81" s="191"/>
      <c r="EB81" s="191"/>
      <c r="EC81" s="191"/>
      <c r="ED81" s="191"/>
      <c r="EE81" s="191"/>
      <c r="EF81" s="191"/>
      <c r="EG81" s="191"/>
      <c r="EH81" s="191"/>
      <c r="EI81" s="191"/>
      <c r="EJ81" s="191"/>
      <c r="EK81" s="191"/>
      <c r="EL81" s="191"/>
      <c r="EM81" s="191"/>
      <c r="EN81" s="191"/>
      <c r="EO81" s="191"/>
      <c r="EP81" s="191"/>
      <c r="EQ81" s="191"/>
      <c r="ER81" s="191"/>
      <c r="ES81" s="191"/>
      <c r="ET81" s="191"/>
      <c r="EU81" s="191"/>
      <c r="EV81" s="191"/>
      <c r="EW81" s="191"/>
      <c r="EX81" s="191"/>
      <c r="EY81" s="191"/>
      <c r="EZ81" s="191"/>
      <c r="FA81" s="191"/>
      <c r="FB81" s="191"/>
      <c r="FC81" s="191"/>
    </row>
    <row r="83" spans="21:159" x14ac:dyDescent="0.45">
      <c r="U83" s="1" t="s">
        <v>417</v>
      </c>
      <c r="V83" s="14"/>
      <c r="W83" s="14"/>
      <c r="X83" s="14"/>
      <c r="Y83" s="14"/>
      <c r="Z83" s="659" t="s">
        <v>463</v>
      </c>
      <c r="AA83" s="659"/>
      <c r="AB83" s="659"/>
      <c r="AC83" s="659"/>
      <c r="AD83" s="659"/>
      <c r="AE83" s="659"/>
      <c r="AF83" s="659"/>
      <c r="AG83" s="659"/>
      <c r="AH83" s="659"/>
      <c r="AI83" s="659"/>
      <c r="AJ83" s="659"/>
      <c r="AK83" s="659"/>
      <c r="AL83" s="659"/>
      <c r="AM83" s="659"/>
      <c r="AN83" s="659"/>
      <c r="AO83" s="659"/>
      <c r="AP83" s="659"/>
      <c r="AQ83" s="659"/>
      <c r="AR83" s="659"/>
      <c r="AS83" s="659"/>
      <c r="AT83" s="659"/>
      <c r="AU83" s="659"/>
      <c r="AV83" s="659"/>
      <c r="AW83" s="659"/>
      <c r="AX83" s="659"/>
      <c r="AY83" s="659"/>
      <c r="AZ83" s="660" t="s">
        <v>420</v>
      </c>
      <c r="BA83" s="660"/>
      <c r="BB83" s="660"/>
      <c r="BC83" s="660"/>
      <c r="BD83" s="660"/>
      <c r="BE83" s="660"/>
      <c r="BF83" s="660"/>
      <c r="BG83" s="660"/>
      <c r="BH83" s="660"/>
      <c r="BI83" s="660"/>
      <c r="BJ83" s="660"/>
      <c r="BK83" s="660"/>
      <c r="BL83" s="660"/>
      <c r="BM83" s="660"/>
      <c r="BN83" s="660"/>
      <c r="BO83" s="660"/>
      <c r="BP83" s="660"/>
      <c r="BQ83" s="660"/>
      <c r="BR83" s="660"/>
      <c r="BS83" s="660"/>
      <c r="BT83" s="660"/>
      <c r="BU83" s="660"/>
      <c r="BV83" s="660"/>
      <c r="BW83" s="660"/>
      <c r="BX83" s="660"/>
      <c r="BY83" s="660"/>
      <c r="BZ83" s="661" t="s">
        <v>464</v>
      </c>
      <c r="CA83" s="661"/>
      <c r="CB83" s="661"/>
      <c r="CC83" s="661"/>
      <c r="CD83" s="661"/>
      <c r="CE83" s="661"/>
      <c r="CF83" s="661"/>
      <c r="CG83" s="661"/>
      <c r="CH83" s="661"/>
      <c r="CI83" s="661"/>
      <c r="CJ83" s="661"/>
      <c r="CK83" s="661"/>
      <c r="CL83" s="661"/>
      <c r="CM83" s="661"/>
      <c r="CN83" s="661"/>
      <c r="CO83" s="661"/>
      <c r="CP83" s="661"/>
      <c r="CQ83" s="661"/>
      <c r="CR83" s="661"/>
      <c r="CS83" s="661"/>
      <c r="CT83" s="661"/>
      <c r="CU83" s="661"/>
      <c r="CV83" s="661"/>
      <c r="CW83" s="661"/>
      <c r="CX83" s="661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</row>
    <row r="84" spans="21:159" x14ac:dyDescent="0.2">
      <c r="AZ84" s="625">
        <v>16</v>
      </c>
      <c r="BA84" s="625"/>
      <c r="BB84" s="625">
        <v>15</v>
      </c>
      <c r="BC84" s="625"/>
      <c r="BD84" s="625">
        <v>14</v>
      </c>
      <c r="BE84" s="625"/>
      <c r="BF84" s="625">
        <v>13</v>
      </c>
      <c r="BG84" s="625"/>
      <c r="BH84" s="625">
        <v>12</v>
      </c>
      <c r="BI84" s="625"/>
      <c r="BJ84" s="625">
        <v>11</v>
      </c>
      <c r="BK84" s="625"/>
      <c r="BL84" s="625">
        <v>10</v>
      </c>
      <c r="BM84" s="625"/>
      <c r="BN84" s="625">
        <v>9</v>
      </c>
      <c r="BO84" s="625"/>
      <c r="BP84" s="192"/>
      <c r="BQ84" s="192"/>
      <c r="BR84" s="625">
        <v>4</v>
      </c>
      <c r="BS84" s="625"/>
      <c r="BT84" s="184">
        <v>3</v>
      </c>
      <c r="BU84" s="184"/>
      <c r="BV84" s="184">
        <v>2</v>
      </c>
      <c r="BW84" s="184"/>
      <c r="BX84" s="625">
        <v>1</v>
      </c>
      <c r="BY84" s="625"/>
      <c r="BZ84" s="625">
        <v>16</v>
      </c>
      <c r="CA84" s="625"/>
      <c r="CB84" s="625">
        <v>15</v>
      </c>
      <c r="CC84" s="625"/>
      <c r="CD84" s="625">
        <v>14</v>
      </c>
      <c r="CE84" s="625"/>
      <c r="CF84" s="625">
        <v>13</v>
      </c>
      <c r="CG84" s="625"/>
      <c r="CH84" s="625">
        <v>12</v>
      </c>
      <c r="CI84" s="625"/>
      <c r="CJ84" s="625">
        <v>11</v>
      </c>
      <c r="CK84" s="625"/>
      <c r="CL84" s="625">
        <v>10</v>
      </c>
      <c r="CM84" s="625"/>
      <c r="CN84" s="625">
        <v>9</v>
      </c>
      <c r="CO84" s="625"/>
      <c r="CP84" s="192"/>
      <c r="CQ84" s="192"/>
      <c r="CR84" s="625">
        <v>4</v>
      </c>
      <c r="CS84" s="625"/>
      <c r="CT84" s="184">
        <v>3</v>
      </c>
      <c r="CU84" s="184"/>
      <c r="CV84" s="184">
        <v>2</v>
      </c>
      <c r="CW84" s="184"/>
      <c r="CX84" s="625">
        <v>1</v>
      </c>
      <c r="CY84" s="625"/>
      <c r="CZ84" s="192"/>
    </row>
    <row r="85" spans="21:159" x14ac:dyDescent="0.45">
      <c r="U85" s="1" t="s">
        <v>427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89"/>
      <c r="BA85" s="190"/>
      <c r="BB85" s="189"/>
      <c r="BC85" s="190"/>
      <c r="BD85" s="189"/>
      <c r="BE85" s="190"/>
      <c r="BF85" s="189"/>
      <c r="BG85" s="190"/>
      <c r="BH85" s="189"/>
      <c r="BI85" s="190"/>
      <c r="BJ85" s="189"/>
      <c r="BK85" s="190"/>
      <c r="BL85" s="189"/>
      <c r="BM85" s="190"/>
      <c r="BN85" s="189"/>
      <c r="BO85" s="190"/>
      <c r="BQ85" s="187"/>
      <c r="BR85" s="189"/>
      <c r="BS85" s="190"/>
      <c r="BT85" s="189"/>
      <c r="BU85" s="190"/>
      <c r="BV85" s="189"/>
      <c r="BW85" s="190"/>
      <c r="BX85" s="189"/>
      <c r="BY85" s="190"/>
      <c r="BZ85" s="189"/>
      <c r="CA85" s="190"/>
      <c r="CB85" s="189"/>
      <c r="CC85" s="190"/>
      <c r="CD85" s="189"/>
      <c r="CE85" s="190"/>
      <c r="CF85" s="189"/>
      <c r="CG85" s="190"/>
      <c r="CH85" s="189"/>
      <c r="CI85" s="190"/>
      <c r="CJ85" s="189"/>
      <c r="CK85" s="190"/>
      <c r="CL85" s="189"/>
      <c r="CM85" s="190"/>
      <c r="CN85" s="189"/>
      <c r="CO85" s="190"/>
      <c r="CQ85" s="187"/>
      <c r="CR85" s="189"/>
      <c r="CS85" s="190"/>
      <c r="CT85" s="189"/>
      <c r="CU85" s="190"/>
      <c r="CV85" s="189"/>
      <c r="CW85" s="190"/>
      <c r="CX85" s="189"/>
      <c r="CY85" s="190"/>
      <c r="CZ85" s="187"/>
      <c r="DA85" s="187"/>
      <c r="DB85" s="187"/>
      <c r="DC85" s="187"/>
      <c r="DD85" s="187"/>
      <c r="DE85" s="187"/>
      <c r="DF85" s="187"/>
      <c r="DG85" s="187"/>
      <c r="DH85" s="187"/>
      <c r="DI85" s="187"/>
      <c r="DJ85" s="187"/>
      <c r="DK85" s="187"/>
      <c r="DL85" s="187"/>
      <c r="DM85" s="187"/>
      <c r="DN85" s="187"/>
      <c r="DO85" s="187"/>
      <c r="DP85" s="187"/>
      <c r="DQ85" s="191"/>
      <c r="DR85" s="191"/>
      <c r="DS85" s="191"/>
      <c r="DT85" s="191"/>
      <c r="DU85" s="191"/>
      <c r="DV85" s="191"/>
      <c r="DW85" s="191"/>
      <c r="DX85" s="191"/>
      <c r="DY85" s="191"/>
      <c r="DZ85" s="191"/>
      <c r="EA85" s="191"/>
      <c r="EB85" s="191"/>
      <c r="EC85" s="191"/>
      <c r="ED85" s="191"/>
      <c r="EE85" s="191"/>
      <c r="EF85" s="191"/>
      <c r="EG85" s="191"/>
      <c r="EH85" s="191"/>
      <c r="EI85" s="191"/>
      <c r="EJ85" s="191"/>
      <c r="EK85" s="191"/>
      <c r="EL85" s="191"/>
      <c r="EM85" s="191"/>
      <c r="EN85" s="191"/>
      <c r="EO85" s="191"/>
      <c r="EP85" s="191"/>
      <c r="EQ85" s="191"/>
      <c r="ER85" s="191"/>
      <c r="ES85" s="191"/>
      <c r="ET85" s="191"/>
      <c r="EU85" s="191"/>
      <c r="EV85" s="191"/>
      <c r="EW85" s="191"/>
      <c r="EX85" s="191"/>
      <c r="EY85" s="191"/>
      <c r="EZ85" s="191"/>
      <c r="FA85" s="191"/>
      <c r="FB85" s="191"/>
      <c r="FC85" s="191"/>
    </row>
    <row r="87" spans="21:159" x14ac:dyDescent="0.45">
      <c r="U87" s="1" t="s">
        <v>429</v>
      </c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660" t="s">
        <v>420</v>
      </c>
      <c r="BA87" s="660"/>
      <c r="BB87" s="660"/>
      <c r="BC87" s="660"/>
      <c r="BD87" s="660"/>
      <c r="BE87" s="660"/>
      <c r="BF87" s="660"/>
      <c r="BG87" s="660"/>
      <c r="BH87" s="660"/>
      <c r="BI87" s="660"/>
      <c r="BJ87" s="660"/>
      <c r="BK87" s="660"/>
      <c r="BL87" s="660"/>
      <c r="BM87" s="660"/>
      <c r="BN87" s="660"/>
      <c r="BO87" s="660"/>
      <c r="BP87" s="660"/>
      <c r="BQ87" s="660"/>
      <c r="BR87" s="660"/>
      <c r="BS87" s="660"/>
      <c r="BT87" s="660"/>
      <c r="BU87" s="660"/>
      <c r="BV87" s="660"/>
      <c r="BW87" s="660"/>
      <c r="BX87" s="660"/>
      <c r="BY87" s="660"/>
      <c r="BZ87" s="661" t="s">
        <v>464</v>
      </c>
      <c r="CA87" s="661"/>
      <c r="CB87" s="661"/>
      <c r="CC87" s="661"/>
      <c r="CD87" s="661"/>
      <c r="CE87" s="661"/>
      <c r="CF87" s="661"/>
      <c r="CG87" s="661"/>
      <c r="CH87" s="661"/>
      <c r="CI87" s="661"/>
      <c r="CJ87" s="661"/>
      <c r="CK87" s="661"/>
      <c r="CL87" s="661"/>
      <c r="CM87" s="661"/>
      <c r="CN87" s="661"/>
      <c r="CO87" s="661"/>
      <c r="CP87" s="661"/>
      <c r="CQ87" s="661"/>
      <c r="CR87" s="661"/>
      <c r="CS87" s="661"/>
      <c r="CT87" s="661"/>
      <c r="CU87" s="661"/>
      <c r="CV87" s="661"/>
      <c r="CW87" s="661"/>
      <c r="CX87" s="661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</row>
    <row r="88" spans="21:159" x14ac:dyDescent="0.2">
      <c r="BZ88" s="625">
        <v>16</v>
      </c>
      <c r="CA88" s="625"/>
      <c r="CB88" s="625">
        <v>15</v>
      </c>
      <c r="CC88" s="625"/>
      <c r="CD88" s="625">
        <v>14</v>
      </c>
      <c r="CE88" s="625"/>
      <c r="CF88" s="625">
        <v>13</v>
      </c>
      <c r="CG88" s="625"/>
      <c r="CH88" s="625">
        <v>12</v>
      </c>
      <c r="CI88" s="625"/>
      <c r="CJ88" s="625">
        <v>11</v>
      </c>
      <c r="CK88" s="625"/>
      <c r="CL88" s="625">
        <v>10</v>
      </c>
      <c r="CM88" s="625"/>
      <c r="CN88" s="625">
        <v>9</v>
      </c>
      <c r="CO88" s="625"/>
      <c r="CP88" s="192"/>
      <c r="CQ88" s="192"/>
      <c r="CR88" s="625">
        <v>4</v>
      </c>
      <c r="CS88" s="625"/>
      <c r="CT88" s="184">
        <v>3</v>
      </c>
      <c r="CU88" s="184"/>
      <c r="CV88" s="184">
        <v>2</v>
      </c>
      <c r="CW88" s="184"/>
      <c r="CX88" s="625">
        <v>1</v>
      </c>
      <c r="CY88" s="625"/>
      <c r="CZ88" s="192"/>
    </row>
    <row r="89" spans="21:159" x14ac:dyDescent="0.45">
      <c r="U89" s="1" t="s">
        <v>433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87"/>
      <c r="BC89" s="187"/>
      <c r="BD89" s="187"/>
      <c r="BE89" s="187"/>
      <c r="BF89" s="187"/>
      <c r="BG89" s="187"/>
      <c r="BH89" s="187"/>
      <c r="BI89" s="187"/>
      <c r="BJ89" s="187"/>
      <c r="BK89" s="187"/>
      <c r="BL89" s="187"/>
      <c r="BM89" s="187"/>
      <c r="BN89" s="187"/>
      <c r="BO89" s="187"/>
      <c r="BP89" s="187"/>
      <c r="BQ89" s="187"/>
      <c r="BR89" s="187"/>
      <c r="BS89" s="187"/>
      <c r="BT89" s="187"/>
      <c r="BU89" s="187"/>
      <c r="BV89" s="187"/>
      <c r="BW89" s="187"/>
      <c r="BX89" s="187"/>
      <c r="BY89" s="187"/>
      <c r="BZ89" s="189"/>
      <c r="CA89" s="190"/>
      <c r="CB89" s="189"/>
      <c r="CC89" s="190"/>
      <c r="CD89" s="189"/>
      <c r="CE89" s="190"/>
      <c r="CF89" s="189"/>
      <c r="CG89" s="190"/>
      <c r="CH89" s="189"/>
      <c r="CI89" s="190"/>
      <c r="CJ89" s="189"/>
      <c r="CK89" s="190"/>
      <c r="CL89" s="189"/>
      <c r="CM89" s="190"/>
      <c r="CN89" s="189"/>
      <c r="CO89" s="190"/>
      <c r="CQ89" s="187"/>
      <c r="CR89" s="189"/>
      <c r="CS89" s="190"/>
      <c r="CT89" s="189"/>
      <c r="CU89" s="190"/>
      <c r="CV89" s="189"/>
      <c r="CW89" s="190"/>
      <c r="CX89" s="189"/>
      <c r="CY89" s="190"/>
      <c r="CZ89" s="187"/>
      <c r="DA89" s="187"/>
      <c r="DB89" s="187"/>
      <c r="DC89" s="187"/>
      <c r="DD89" s="187"/>
      <c r="DE89" s="187"/>
      <c r="DF89" s="187"/>
      <c r="DG89" s="187"/>
      <c r="DH89" s="187"/>
      <c r="DI89" s="187"/>
      <c r="DJ89" s="187"/>
      <c r="DK89" s="187"/>
      <c r="DL89" s="187"/>
      <c r="DM89" s="187"/>
      <c r="DN89" s="187"/>
      <c r="DO89" s="187"/>
      <c r="DP89" s="187"/>
      <c r="DQ89" s="191"/>
      <c r="DR89" s="191"/>
      <c r="DS89" s="191"/>
      <c r="DT89" s="191"/>
      <c r="DU89" s="191"/>
      <c r="DV89" s="191"/>
      <c r="DW89" s="191"/>
      <c r="DX89" s="191"/>
      <c r="DY89" s="191"/>
      <c r="DZ89" s="191"/>
      <c r="EA89" s="191"/>
      <c r="EB89" s="191"/>
      <c r="EC89" s="191"/>
      <c r="ED89" s="191"/>
      <c r="EE89" s="191"/>
      <c r="EF89" s="191"/>
      <c r="EG89" s="191"/>
      <c r="EH89" s="191"/>
      <c r="EI89" s="191"/>
      <c r="EJ89" s="191"/>
      <c r="EK89" s="191"/>
      <c r="EL89" s="191"/>
      <c r="EM89" s="191"/>
      <c r="EN89" s="191"/>
      <c r="EO89" s="191"/>
      <c r="EP89" s="191"/>
      <c r="EQ89" s="191"/>
      <c r="ER89" s="191"/>
      <c r="ES89" s="191"/>
      <c r="ET89" s="191"/>
      <c r="EU89" s="191"/>
      <c r="EV89" s="191"/>
      <c r="EW89" s="191"/>
      <c r="EX89" s="191"/>
      <c r="EY89" s="191"/>
      <c r="EZ89" s="191"/>
      <c r="FA89" s="191"/>
      <c r="FB89" s="191"/>
      <c r="FC89" s="191"/>
    </row>
    <row r="91" spans="21:159" x14ac:dyDescent="0.45">
      <c r="U91" s="1" t="s">
        <v>435</v>
      </c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661" t="s">
        <v>464</v>
      </c>
      <c r="CA91" s="661"/>
      <c r="CB91" s="661"/>
      <c r="CC91" s="661"/>
      <c r="CD91" s="661"/>
      <c r="CE91" s="661"/>
      <c r="CF91" s="661"/>
      <c r="CG91" s="661"/>
      <c r="CH91" s="661"/>
      <c r="CI91" s="661"/>
      <c r="CJ91" s="661"/>
      <c r="CK91" s="661"/>
      <c r="CL91" s="661"/>
      <c r="CM91" s="661"/>
      <c r="CN91" s="661"/>
      <c r="CO91" s="661"/>
      <c r="CP91" s="661"/>
      <c r="CQ91" s="661"/>
      <c r="CR91" s="661"/>
      <c r="CS91" s="661"/>
      <c r="CT91" s="661"/>
      <c r="CU91" s="661"/>
      <c r="CV91" s="661"/>
      <c r="CW91" s="661"/>
      <c r="CX91" s="661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</row>
    <row r="96" spans="21:159" x14ac:dyDescent="0.45">
      <c r="U96" s="41" t="s">
        <v>465</v>
      </c>
    </row>
    <row r="97" spans="21:172" x14ac:dyDescent="0.45">
      <c r="U97" s="41" t="s">
        <v>466</v>
      </c>
    </row>
    <row r="98" spans="21:172" x14ac:dyDescent="0.45">
      <c r="X98" s="41" t="s">
        <v>467</v>
      </c>
    </row>
    <row r="99" spans="21:172" x14ac:dyDescent="0.45">
      <c r="U99" s="41"/>
      <c r="V99" s="41"/>
      <c r="W99" s="43"/>
      <c r="X99" s="43"/>
      <c r="Y99" s="43"/>
      <c r="Z99" s="43"/>
      <c r="AA99" s="43"/>
      <c r="AB99" s="43"/>
      <c r="DH99" t="s">
        <v>406</v>
      </c>
    </row>
    <row r="100" spans="21:172" x14ac:dyDescent="0.45">
      <c r="U100" s="182" t="s">
        <v>407</v>
      </c>
      <c r="V100" s="17"/>
      <c r="W100" s="18"/>
      <c r="X100" s="15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2"/>
      <c r="DH100" s="16"/>
      <c r="DI100" s="17"/>
      <c r="DJ100" s="17"/>
      <c r="DK100" s="17"/>
      <c r="DL100" s="17"/>
      <c r="DM100" s="17"/>
      <c r="DN100" s="18"/>
      <c r="DO100" s="15"/>
      <c r="DP100" s="14"/>
    </row>
    <row r="101" spans="21:172" x14ac:dyDescent="0.45">
      <c r="X101" s="5"/>
      <c r="Y101" s="5"/>
      <c r="Z101" s="625">
        <v>16</v>
      </c>
      <c r="AA101" s="625"/>
      <c r="AB101" s="625">
        <v>15</v>
      </c>
      <c r="AC101" s="625"/>
      <c r="AD101" s="192"/>
      <c r="AE101" s="192"/>
      <c r="AF101" s="625">
        <v>1</v>
      </c>
      <c r="AG101" s="625"/>
      <c r="AH101" s="625">
        <v>16</v>
      </c>
      <c r="AI101" s="625"/>
      <c r="AJ101" s="625">
        <v>15</v>
      </c>
      <c r="AK101" s="625"/>
      <c r="AL101" s="192"/>
      <c r="AM101" s="192"/>
      <c r="AN101" s="625">
        <v>1</v>
      </c>
      <c r="AO101" s="625"/>
      <c r="AP101" s="625">
        <v>16</v>
      </c>
      <c r="AQ101" s="625"/>
      <c r="AR101" s="193"/>
      <c r="AS101" s="625">
        <v>16</v>
      </c>
      <c r="AT101" s="625"/>
      <c r="AU101" s="625">
        <v>15</v>
      </c>
      <c r="AV101" s="625"/>
      <c r="AY101" s="625">
        <v>1</v>
      </c>
      <c r="AZ101" s="625"/>
      <c r="BA101" s="625">
        <v>16</v>
      </c>
      <c r="BB101" s="625"/>
      <c r="BC101" s="625">
        <v>15</v>
      </c>
      <c r="BD101" s="625"/>
      <c r="BG101" s="625">
        <v>1</v>
      </c>
      <c r="BH101" s="625"/>
      <c r="BI101" s="625">
        <v>16</v>
      </c>
      <c r="BJ101" s="625"/>
      <c r="BK101" s="625">
        <v>15</v>
      </c>
      <c r="BL101" s="625"/>
      <c r="BO101" s="625">
        <v>1</v>
      </c>
      <c r="BP101" s="625"/>
      <c r="BQ101" s="625">
        <v>16</v>
      </c>
      <c r="BR101" s="625"/>
      <c r="BT101" s="625">
        <v>16</v>
      </c>
      <c r="BU101" s="625"/>
      <c r="BV101" s="625">
        <v>15</v>
      </c>
      <c r="BW101" s="625"/>
      <c r="BZ101" s="625">
        <v>1</v>
      </c>
      <c r="CA101" s="625"/>
      <c r="CB101" s="625">
        <v>16</v>
      </c>
      <c r="CC101" s="625"/>
      <c r="CD101" s="625">
        <v>15</v>
      </c>
      <c r="CE101" s="625"/>
      <c r="CH101" s="625">
        <v>1</v>
      </c>
      <c r="CI101" s="625"/>
      <c r="CJ101" s="625">
        <v>16</v>
      </c>
      <c r="CK101" s="625"/>
      <c r="CL101" s="625">
        <v>15</v>
      </c>
      <c r="CM101" s="625"/>
      <c r="CP101" s="625">
        <v>1</v>
      </c>
      <c r="CQ101" s="625"/>
      <c r="CR101" s="625">
        <v>16</v>
      </c>
      <c r="CS101" s="625"/>
      <c r="CU101" s="625">
        <v>16</v>
      </c>
      <c r="CV101" s="625"/>
      <c r="CW101" s="625">
        <v>15</v>
      </c>
      <c r="CX101" s="625"/>
      <c r="DA101" s="625">
        <v>1</v>
      </c>
      <c r="DB101" s="625"/>
      <c r="DE101" s="192"/>
      <c r="DF101" s="192"/>
      <c r="DG101" s="192"/>
      <c r="DH101" s="183"/>
      <c r="DI101" s="183"/>
      <c r="DJ101" s="183"/>
      <c r="DK101" s="183"/>
      <c r="DL101" s="183"/>
      <c r="DM101" s="186"/>
      <c r="DN101" s="186"/>
      <c r="DO101" s="192"/>
      <c r="DP101" s="192"/>
      <c r="DQ101" s="193"/>
      <c r="DR101" s="193"/>
      <c r="DS101" s="193"/>
      <c r="DT101" s="193"/>
      <c r="DU101" s="193"/>
      <c r="DV101" s="193"/>
      <c r="DW101" s="193"/>
      <c r="DX101" s="193"/>
      <c r="DY101" s="193"/>
      <c r="DZ101" s="193"/>
      <c r="EA101" s="193"/>
      <c r="EB101" s="193"/>
      <c r="EC101" s="193"/>
      <c r="ED101" s="193"/>
      <c r="EE101" s="193"/>
      <c r="EF101" s="193"/>
      <c r="EG101" s="193"/>
      <c r="EH101" s="193"/>
      <c r="EI101" s="193"/>
      <c r="EJ101" s="193"/>
      <c r="EK101" s="193"/>
      <c r="EL101" s="193"/>
      <c r="EM101" s="193"/>
      <c r="EN101" s="193"/>
      <c r="EO101" s="193"/>
      <c r="EP101" s="193"/>
      <c r="EQ101" s="193"/>
      <c r="ER101" s="193"/>
      <c r="ES101" s="193"/>
      <c r="ET101" s="193"/>
      <c r="EU101" s="193"/>
      <c r="EV101" s="193"/>
      <c r="EW101" s="193"/>
      <c r="EX101" s="193"/>
      <c r="EY101" s="193"/>
      <c r="EZ101" s="193"/>
      <c r="FA101" s="193"/>
      <c r="FB101" s="193"/>
      <c r="FC101" s="193"/>
    </row>
    <row r="102" spans="21:172" x14ac:dyDescent="0.2">
      <c r="U102" s="1" t="s">
        <v>412</v>
      </c>
      <c r="V102" s="187"/>
      <c r="W102" s="187"/>
      <c r="X102" s="187"/>
      <c r="Y102" s="188"/>
      <c r="Z102" s="189"/>
      <c r="AA102" s="190"/>
      <c r="AB102" s="189"/>
      <c r="AC102" s="190"/>
      <c r="AD102" s="194"/>
      <c r="AE102" s="187"/>
      <c r="AF102" s="189"/>
      <c r="AG102" s="190"/>
      <c r="AH102" s="189"/>
      <c r="AI102" s="190"/>
      <c r="AJ102" s="189"/>
      <c r="AK102" s="190"/>
      <c r="AL102" s="194"/>
      <c r="AM102" s="187"/>
      <c r="AN102" s="189"/>
      <c r="AO102" s="190"/>
      <c r="AP102" s="189"/>
      <c r="AQ102" s="193"/>
      <c r="AR102" s="188"/>
      <c r="AS102" s="189"/>
      <c r="AT102" s="190"/>
      <c r="AU102" s="189"/>
      <c r="AV102" s="190"/>
      <c r="AW102" s="191"/>
      <c r="AX102" s="187"/>
      <c r="AY102" s="189"/>
      <c r="AZ102" s="190"/>
      <c r="BA102" s="189"/>
      <c r="BB102" s="190"/>
      <c r="BC102" s="189"/>
      <c r="BD102" s="190"/>
      <c r="BE102" s="191"/>
      <c r="BF102" s="187"/>
      <c r="BG102" s="189"/>
      <c r="BH102" s="190"/>
      <c r="BI102" s="189"/>
      <c r="BJ102" s="190"/>
      <c r="BK102" s="189"/>
      <c r="BL102" s="190"/>
      <c r="BM102" s="191"/>
      <c r="BN102" s="187"/>
      <c r="BO102" s="189"/>
      <c r="BP102" s="190"/>
      <c r="BQ102" s="189"/>
      <c r="BS102" s="12"/>
      <c r="BT102" s="189"/>
      <c r="BU102" s="190"/>
      <c r="BV102" s="189"/>
      <c r="BW102" s="190"/>
      <c r="BX102" s="191"/>
      <c r="BY102" s="187"/>
      <c r="BZ102" s="189"/>
      <c r="CA102" s="190"/>
      <c r="CB102" s="189"/>
      <c r="CC102" s="190"/>
      <c r="CD102" s="189"/>
      <c r="CE102" s="190"/>
      <c r="CF102" s="191"/>
      <c r="CG102" s="187"/>
      <c r="CH102" s="189"/>
      <c r="CI102" s="190"/>
      <c r="CJ102" s="189"/>
      <c r="CK102" s="190"/>
      <c r="CL102" s="189"/>
      <c r="CM102" s="190"/>
      <c r="CN102" s="191"/>
      <c r="CO102" s="187"/>
      <c r="CP102" s="189"/>
      <c r="CQ102" s="190"/>
      <c r="CR102" s="189"/>
      <c r="CS102" s="190"/>
      <c r="CU102" s="189"/>
      <c r="CV102" s="190"/>
      <c r="CW102" s="189"/>
      <c r="CX102" s="190"/>
      <c r="CY102" s="191"/>
      <c r="CZ102" s="187"/>
      <c r="DA102" s="189"/>
      <c r="DB102" s="190"/>
      <c r="DC102" s="187"/>
      <c r="DD102" s="187"/>
      <c r="DE102" s="187"/>
      <c r="DF102" s="187"/>
      <c r="DG102" s="187"/>
      <c r="DH102" s="187"/>
      <c r="DI102" s="187"/>
      <c r="DJ102" s="187"/>
      <c r="DK102" s="187"/>
      <c r="DL102" s="187"/>
      <c r="DM102" s="187"/>
      <c r="DN102" s="187"/>
      <c r="DO102" s="187"/>
      <c r="DP102" s="187"/>
      <c r="DQ102" s="191"/>
      <c r="DR102" s="191"/>
      <c r="DS102" s="191"/>
      <c r="DT102" s="191"/>
      <c r="DU102" s="191"/>
      <c r="DV102" s="191"/>
      <c r="DW102" s="191"/>
      <c r="DX102" s="191"/>
      <c r="DY102" s="191"/>
      <c r="DZ102" s="191"/>
      <c r="EA102" s="191"/>
      <c r="EB102" s="191"/>
      <c r="EC102" s="191"/>
      <c r="ED102" s="191"/>
      <c r="EE102" s="191"/>
      <c r="EF102" s="191"/>
      <c r="EG102" s="191"/>
      <c r="EH102" s="191"/>
      <c r="EI102" s="191"/>
      <c r="EJ102" s="191"/>
      <c r="EK102" s="191"/>
      <c r="EL102" s="191"/>
      <c r="EM102" s="191"/>
      <c r="EN102" s="191"/>
      <c r="EO102" s="191"/>
      <c r="EP102" s="191"/>
      <c r="EQ102" s="191"/>
      <c r="ER102" s="191"/>
      <c r="ES102" s="191"/>
      <c r="ET102" s="191"/>
      <c r="EU102" s="191"/>
      <c r="EV102" s="191"/>
      <c r="EW102" s="191"/>
      <c r="EX102" s="191"/>
      <c r="EY102" s="191"/>
      <c r="EZ102" s="191"/>
      <c r="FA102" s="191"/>
      <c r="FB102" s="191"/>
      <c r="FC102" s="191"/>
      <c r="FD102" s="191"/>
      <c r="FE102" s="191"/>
      <c r="FF102" s="191"/>
      <c r="FG102" s="191"/>
      <c r="FH102" s="191"/>
      <c r="FI102" s="191"/>
      <c r="FJ102" s="191"/>
      <c r="FK102" s="191"/>
      <c r="FL102" s="191"/>
      <c r="FM102" s="191"/>
      <c r="FN102" s="191"/>
      <c r="FO102" s="191"/>
      <c r="FP102" s="191"/>
    </row>
    <row r="103" spans="21:172" x14ac:dyDescent="0.3">
      <c r="AD103" s="194"/>
      <c r="AH103" s="662"/>
      <c r="AI103" s="662"/>
      <c r="AJ103" s="662"/>
      <c r="AK103" s="662"/>
      <c r="AL103" s="662"/>
      <c r="AM103" s="662"/>
      <c r="AN103" s="662"/>
      <c r="AO103" s="662"/>
      <c r="AQ103" s="193"/>
      <c r="AR103" s="193"/>
      <c r="AS103" s="191"/>
      <c r="AT103" s="194"/>
      <c r="AU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  <c r="EB103" s="191"/>
      <c r="EC103" s="191"/>
      <c r="ED103" s="191"/>
      <c r="EE103" s="191"/>
      <c r="EF103" s="191"/>
      <c r="EG103" s="191"/>
      <c r="EH103" s="191"/>
      <c r="EI103" s="191"/>
      <c r="EJ103" s="191"/>
      <c r="EK103" s="191"/>
      <c r="EL103" s="191"/>
      <c r="EM103" s="191"/>
      <c r="EN103" s="191"/>
      <c r="EO103" s="191"/>
      <c r="EP103" s="191"/>
      <c r="EQ103" s="191"/>
      <c r="ER103" s="191"/>
      <c r="ES103" s="191"/>
      <c r="ET103" s="191"/>
      <c r="EU103" s="191"/>
      <c r="EV103" s="191"/>
      <c r="EW103" s="191"/>
      <c r="EX103" s="191"/>
      <c r="EY103" s="191"/>
      <c r="EZ103" s="191"/>
      <c r="FA103" s="191"/>
      <c r="FB103" s="191"/>
      <c r="FC103" s="191"/>
      <c r="FD103" s="191"/>
      <c r="FE103" s="191"/>
      <c r="FF103" s="191"/>
      <c r="FG103" s="191"/>
      <c r="FH103" s="191"/>
      <c r="FI103" s="191"/>
      <c r="FJ103" s="191"/>
      <c r="FK103" s="191"/>
      <c r="FL103" s="191"/>
      <c r="FM103" s="191"/>
      <c r="FN103" s="191"/>
      <c r="FO103" s="191"/>
      <c r="FP103" s="191"/>
    </row>
    <row r="104" spans="21:172" x14ac:dyDescent="0.3">
      <c r="AD104" s="194"/>
      <c r="AH104" s="198"/>
      <c r="AI104" s="198"/>
      <c r="AJ104" s="198"/>
      <c r="AK104" s="198"/>
      <c r="AL104" s="198"/>
      <c r="AM104" s="198"/>
      <c r="AN104" s="198"/>
      <c r="AO104" s="198"/>
      <c r="AQ104" s="193"/>
      <c r="AR104" s="193"/>
      <c r="AS104" s="191"/>
      <c r="AT104" s="194"/>
      <c r="AU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  <c r="EB104" s="191"/>
      <c r="EC104" s="191"/>
      <c r="ED104" s="191"/>
      <c r="EE104" s="191"/>
      <c r="EF104" s="191"/>
      <c r="EG104" s="191"/>
      <c r="EH104" s="191"/>
      <c r="EI104" s="191"/>
      <c r="EJ104" s="191"/>
      <c r="EK104" s="191"/>
      <c r="EL104" s="191"/>
      <c r="EM104" s="191"/>
      <c r="EN104" s="191"/>
      <c r="EO104" s="191"/>
      <c r="EP104" s="191"/>
      <c r="EQ104" s="191"/>
      <c r="ER104" s="191"/>
      <c r="ES104" s="191"/>
      <c r="ET104" s="191"/>
      <c r="EU104" s="191"/>
      <c r="EV104" s="191"/>
      <c r="EW104" s="191"/>
      <c r="EX104" s="191"/>
      <c r="EY104" s="191"/>
      <c r="EZ104" s="191"/>
      <c r="FA104" s="191"/>
      <c r="FB104" s="191"/>
      <c r="FC104" s="191"/>
      <c r="FD104" s="191"/>
      <c r="FE104" s="191"/>
      <c r="FF104" s="191"/>
      <c r="FG104" s="191"/>
      <c r="FH104" s="191"/>
      <c r="FI104" s="191"/>
      <c r="FJ104" s="191"/>
      <c r="FK104" s="191"/>
      <c r="FL104" s="191"/>
      <c r="FM104" s="191"/>
      <c r="FN104" s="191"/>
      <c r="FO104" s="191"/>
      <c r="FP104" s="191"/>
    </row>
    <row r="105" spans="21:172" x14ac:dyDescent="0.3">
      <c r="AD105" s="194"/>
      <c r="AH105" s="198"/>
      <c r="AI105" s="198"/>
      <c r="AJ105" s="198"/>
      <c r="AK105" s="198"/>
      <c r="AL105" s="198"/>
      <c r="AM105" s="198"/>
      <c r="AN105" s="198"/>
      <c r="AO105" s="198"/>
      <c r="AQ105" s="193"/>
      <c r="AR105" s="193"/>
      <c r="AS105" s="191"/>
      <c r="AT105" s="194"/>
      <c r="AU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  <c r="EB105" s="191"/>
      <c r="EC105" s="191"/>
      <c r="ED105" s="191"/>
      <c r="EE105" s="191"/>
      <c r="EF105" s="191"/>
      <c r="EG105" s="191"/>
      <c r="EH105" s="191"/>
      <c r="EI105" s="191"/>
      <c r="EJ105" s="191"/>
      <c r="EK105" s="191"/>
      <c r="EL105" s="191"/>
      <c r="EM105" s="191"/>
      <c r="EN105" s="191"/>
      <c r="EO105" s="191"/>
      <c r="EP105" s="191"/>
      <c r="EQ105" s="191"/>
      <c r="ER105" s="191"/>
      <c r="ES105" s="191"/>
      <c r="ET105" s="191"/>
      <c r="EU105" s="191"/>
      <c r="EV105" s="191"/>
      <c r="EW105" s="191"/>
      <c r="EX105" s="191"/>
      <c r="EY105" s="191"/>
      <c r="EZ105" s="191"/>
      <c r="FA105" s="191"/>
      <c r="FB105" s="191"/>
      <c r="FC105" s="191"/>
      <c r="FD105" s="191"/>
      <c r="FE105" s="191"/>
      <c r="FF105" s="191"/>
      <c r="FG105" s="191"/>
      <c r="FH105" s="191"/>
      <c r="FI105" s="191"/>
      <c r="FJ105" s="191"/>
      <c r="FK105" s="191"/>
      <c r="FL105" s="191"/>
      <c r="FM105" s="191"/>
      <c r="FN105" s="191"/>
      <c r="FO105" s="191"/>
      <c r="FP105" s="191"/>
    </row>
    <row r="106" spans="21:172" x14ac:dyDescent="0.3">
      <c r="AD106" s="194"/>
      <c r="AH106" s="198"/>
      <c r="AI106" s="198"/>
      <c r="AJ106" s="198"/>
      <c r="AK106" s="198"/>
      <c r="AL106" s="198"/>
      <c r="AM106" s="198"/>
      <c r="AN106" s="198"/>
      <c r="AO106" s="198"/>
      <c r="AQ106" s="193"/>
      <c r="AR106" s="193"/>
      <c r="AS106" s="191"/>
      <c r="AT106" s="194"/>
      <c r="AU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  <c r="EB106" s="191"/>
      <c r="EC106" s="191"/>
      <c r="ED106" s="191"/>
      <c r="EE106" s="191"/>
      <c r="EF106" s="191"/>
      <c r="EG106" s="191"/>
      <c r="EH106" s="191"/>
      <c r="EI106" s="191"/>
      <c r="EJ106" s="191"/>
      <c r="EK106" s="191"/>
      <c r="EL106" s="191"/>
      <c r="EM106" s="191"/>
      <c r="EN106" s="191"/>
      <c r="EO106" s="191"/>
      <c r="EP106" s="191"/>
      <c r="EQ106" s="191"/>
      <c r="ER106" s="191"/>
      <c r="ES106" s="191"/>
      <c r="ET106" s="191"/>
      <c r="EU106" s="191"/>
      <c r="EV106" s="191"/>
      <c r="EW106" s="191"/>
      <c r="EX106" s="191"/>
      <c r="EY106" s="191"/>
      <c r="EZ106" s="191"/>
      <c r="FA106" s="191"/>
      <c r="FB106" s="191"/>
      <c r="FC106" s="191"/>
      <c r="FD106" s="191"/>
      <c r="FE106" s="191"/>
      <c r="FF106" s="191"/>
      <c r="FG106" s="191"/>
      <c r="FH106" s="191"/>
      <c r="FI106" s="191"/>
      <c r="FJ106" s="191"/>
      <c r="FK106" s="191"/>
      <c r="FL106" s="191"/>
      <c r="FM106" s="191"/>
      <c r="FN106" s="191"/>
      <c r="FO106" s="191"/>
      <c r="FP106" s="191"/>
    </row>
    <row r="107" spans="21:172" x14ac:dyDescent="0.3">
      <c r="AD107" s="194"/>
      <c r="AG107" s="14"/>
      <c r="AH107" s="195"/>
      <c r="AI107" s="195"/>
      <c r="AJ107" s="195"/>
      <c r="AK107" s="195"/>
      <c r="AL107" s="195"/>
      <c r="AM107" s="195"/>
      <c r="AN107" s="195"/>
      <c r="AO107" s="195"/>
      <c r="AP107" s="14"/>
      <c r="AQ107" s="193"/>
      <c r="AR107" s="193"/>
      <c r="AS107" s="191"/>
      <c r="AT107" s="194"/>
      <c r="AU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  <c r="EB107" s="191"/>
      <c r="EC107" s="191"/>
      <c r="ED107" s="191"/>
      <c r="EE107" s="191"/>
      <c r="EF107" s="191"/>
      <c r="EG107" s="191"/>
      <c r="EH107" s="191"/>
      <c r="EI107" s="191"/>
      <c r="EJ107" s="191"/>
      <c r="EK107" s="191"/>
      <c r="EL107" s="191"/>
      <c r="EM107" s="191"/>
      <c r="EN107" s="191"/>
      <c r="EO107" s="191"/>
      <c r="EP107" s="191"/>
      <c r="EQ107" s="191"/>
      <c r="ER107" s="191"/>
      <c r="ES107" s="191"/>
      <c r="ET107" s="191"/>
      <c r="EU107" s="191"/>
      <c r="EV107" s="191"/>
      <c r="EW107" s="191"/>
      <c r="EX107" s="191"/>
      <c r="EY107" s="191"/>
      <c r="EZ107" s="191"/>
      <c r="FA107" s="191"/>
      <c r="FB107" s="191"/>
      <c r="FC107" s="191"/>
      <c r="FD107" s="191"/>
      <c r="FE107" s="191"/>
      <c r="FF107" s="191"/>
      <c r="FG107" s="191"/>
      <c r="FH107" s="191"/>
      <c r="FI107" s="191"/>
      <c r="FJ107" s="191"/>
      <c r="FK107" s="191"/>
      <c r="FL107" s="191"/>
      <c r="FM107" s="191"/>
      <c r="FN107" s="191"/>
      <c r="FO107" s="191"/>
      <c r="FP107" s="191"/>
    </row>
    <row r="108" spans="21:172" x14ac:dyDescent="0.2">
      <c r="U108" s="1" t="s">
        <v>417</v>
      </c>
      <c r="V108" s="14"/>
      <c r="W108" s="14"/>
      <c r="X108" s="14"/>
      <c r="Y108" s="14"/>
      <c r="Z108" s="643" t="s">
        <v>439</v>
      </c>
      <c r="AA108" s="644"/>
      <c r="AB108" s="644"/>
      <c r="AC108" s="644"/>
      <c r="AD108" s="644"/>
      <c r="AE108" s="644"/>
      <c r="AF108" s="644"/>
      <c r="AG108" s="645"/>
      <c r="AH108" s="643" t="s">
        <v>468</v>
      </c>
      <c r="AI108" s="644"/>
      <c r="AJ108" s="644"/>
      <c r="AK108" s="644"/>
      <c r="AL108" s="644"/>
      <c r="AM108" s="644"/>
      <c r="AN108" s="644"/>
      <c r="AO108" s="645"/>
      <c r="AP108" s="199"/>
      <c r="AQ108" s="193"/>
      <c r="AR108" s="200"/>
      <c r="AS108" s="643" t="s">
        <v>469</v>
      </c>
      <c r="AT108" s="644"/>
      <c r="AU108" s="644"/>
      <c r="AV108" s="644"/>
      <c r="AW108" s="644"/>
      <c r="AX108" s="644"/>
      <c r="AY108" s="644"/>
      <c r="AZ108" s="645"/>
      <c r="BA108" s="646" t="s">
        <v>441</v>
      </c>
      <c r="BB108" s="647"/>
      <c r="BC108" s="647"/>
      <c r="BD108" s="647"/>
      <c r="BE108" s="647"/>
      <c r="BF108" s="647"/>
      <c r="BG108" s="647"/>
      <c r="BH108" s="648"/>
      <c r="BI108" s="646" t="s">
        <v>468</v>
      </c>
      <c r="BJ108" s="647"/>
      <c r="BK108" s="647"/>
      <c r="BL108" s="647"/>
      <c r="BM108" s="647"/>
      <c r="BN108" s="647"/>
      <c r="BO108" s="647"/>
      <c r="BP108" s="648"/>
      <c r="BQ108" s="201"/>
      <c r="BS108" s="202"/>
      <c r="BT108" s="646" t="s">
        <v>469</v>
      </c>
      <c r="BU108" s="647"/>
      <c r="BV108" s="647"/>
      <c r="BW108" s="647"/>
      <c r="BX108" s="647"/>
      <c r="BY108" s="647"/>
      <c r="BZ108" s="647"/>
      <c r="CA108" s="648"/>
      <c r="CB108" s="649" t="s">
        <v>446</v>
      </c>
      <c r="CC108" s="650"/>
      <c r="CD108" s="650"/>
      <c r="CE108" s="650"/>
      <c r="CF108" s="650"/>
      <c r="CG108" s="650"/>
      <c r="CH108" s="650"/>
      <c r="CI108" s="651"/>
      <c r="CJ108" s="649" t="s">
        <v>468</v>
      </c>
      <c r="CK108" s="650"/>
      <c r="CL108" s="650"/>
      <c r="CM108" s="650"/>
      <c r="CN108" s="650"/>
      <c r="CO108" s="650"/>
      <c r="CP108" s="650"/>
      <c r="CQ108" s="651"/>
      <c r="CR108" s="203"/>
      <c r="CT108" s="204"/>
      <c r="CU108" s="649" t="s">
        <v>469</v>
      </c>
      <c r="CV108" s="650"/>
      <c r="CW108" s="650"/>
      <c r="CX108" s="650"/>
      <c r="CY108" s="650"/>
      <c r="CZ108" s="650"/>
      <c r="DA108" s="650"/>
      <c r="DB108" s="651"/>
      <c r="DC108" s="15"/>
      <c r="DD108" s="14"/>
      <c r="DE108" s="14"/>
      <c r="DF108" s="14"/>
      <c r="DG108" s="14"/>
      <c r="DH108" s="14" t="s">
        <v>470</v>
      </c>
      <c r="DI108" s="14"/>
      <c r="DJ108" s="14"/>
      <c r="DK108" s="14"/>
      <c r="DL108" s="14"/>
      <c r="DM108" s="14"/>
      <c r="DN108" s="14"/>
      <c r="DO108" s="14"/>
      <c r="DP108" s="14"/>
      <c r="DR108" s="191"/>
      <c r="DS108" s="191"/>
      <c r="DT108" s="191"/>
      <c r="DU108" s="191"/>
      <c r="DV108" s="191"/>
      <c r="DW108" s="191"/>
      <c r="DX108" s="191"/>
      <c r="DY108" s="191"/>
      <c r="DZ108" s="191"/>
      <c r="EA108" s="191"/>
      <c r="EB108" s="191"/>
      <c r="EC108" s="191"/>
      <c r="ED108" s="191"/>
      <c r="EE108" s="191"/>
      <c r="EF108" s="191"/>
      <c r="EG108" s="191"/>
      <c r="EH108" s="191"/>
      <c r="EI108" s="191"/>
      <c r="EJ108" s="191"/>
      <c r="EK108" s="191"/>
      <c r="EL108" s="191"/>
      <c r="EM108" s="191"/>
      <c r="EN108" s="191"/>
      <c r="EO108" s="191"/>
      <c r="EP108" s="191"/>
      <c r="EQ108" s="191"/>
      <c r="ER108" s="191"/>
      <c r="ES108" s="191"/>
      <c r="ET108" s="191"/>
      <c r="EU108" s="191"/>
      <c r="EV108" s="191"/>
      <c r="EW108" s="191"/>
      <c r="EX108" s="191"/>
      <c r="EY108" s="191"/>
      <c r="EZ108" s="191"/>
      <c r="FA108" s="191"/>
      <c r="FB108" s="191"/>
      <c r="FC108" s="191"/>
      <c r="FD108" s="191"/>
      <c r="FE108" s="191"/>
      <c r="FF108" s="191"/>
      <c r="FG108" s="191"/>
      <c r="FH108" s="191"/>
      <c r="FI108" s="191"/>
      <c r="FJ108" s="191"/>
      <c r="FK108" s="191"/>
      <c r="FL108" s="191"/>
      <c r="FM108" s="191"/>
      <c r="FN108" s="191"/>
      <c r="FO108" s="191"/>
      <c r="FP108" s="191"/>
    </row>
    <row r="109" spans="21:172" x14ac:dyDescent="0.2">
      <c r="AQ109" s="193"/>
      <c r="AR109" s="193"/>
      <c r="AS109" s="191"/>
      <c r="AT109" s="194"/>
      <c r="AU109" s="191"/>
      <c r="BA109" s="625">
        <v>16</v>
      </c>
      <c r="BB109" s="625"/>
      <c r="BC109" s="625">
        <v>15</v>
      </c>
      <c r="BD109" s="625"/>
      <c r="BG109" s="625">
        <v>1</v>
      </c>
      <c r="BH109" s="625"/>
      <c r="BI109" s="625">
        <v>16</v>
      </c>
      <c r="BJ109" s="625"/>
      <c r="BK109" s="625">
        <v>15</v>
      </c>
      <c r="BL109" s="625"/>
      <c r="BO109" s="625">
        <v>1</v>
      </c>
      <c r="BP109" s="625"/>
      <c r="BQ109" s="625">
        <v>16</v>
      </c>
      <c r="BR109" s="627"/>
      <c r="BT109" s="625">
        <v>16</v>
      </c>
      <c r="BU109" s="625"/>
      <c r="BV109" s="625">
        <v>15</v>
      </c>
      <c r="BW109" s="625"/>
      <c r="BZ109" s="625">
        <v>1</v>
      </c>
      <c r="CA109" s="625"/>
      <c r="CB109" s="625">
        <v>16</v>
      </c>
      <c r="CC109" s="625"/>
      <c r="CD109" s="625">
        <v>15</v>
      </c>
      <c r="CE109" s="625"/>
      <c r="CH109" s="625">
        <v>1</v>
      </c>
      <c r="CI109" s="625"/>
      <c r="CJ109" s="625">
        <v>16</v>
      </c>
      <c r="CK109" s="625"/>
      <c r="CL109" s="625">
        <v>15</v>
      </c>
      <c r="CM109" s="625"/>
      <c r="CP109" s="625">
        <v>1</v>
      </c>
      <c r="CQ109" s="625"/>
      <c r="CR109" s="625">
        <v>16</v>
      </c>
      <c r="CS109" s="627"/>
      <c r="CU109" s="625">
        <v>16</v>
      </c>
      <c r="CV109" s="625"/>
      <c r="CW109" s="625">
        <v>15</v>
      </c>
      <c r="CX109" s="625"/>
      <c r="DA109" s="625">
        <v>1</v>
      </c>
      <c r="DB109" s="625"/>
      <c r="DR109" s="191"/>
      <c r="DS109" s="191"/>
      <c r="DT109" s="191"/>
      <c r="DU109" s="191"/>
      <c r="DV109" s="191"/>
      <c r="DW109" s="191"/>
      <c r="DX109" s="191"/>
      <c r="DY109" s="191"/>
      <c r="DZ109" s="191"/>
      <c r="EA109" s="191"/>
      <c r="EB109" s="191"/>
      <c r="EC109" s="191"/>
      <c r="ED109" s="191"/>
      <c r="EE109" s="191"/>
      <c r="EF109" s="191"/>
      <c r="EG109" s="191"/>
      <c r="EH109" s="191"/>
      <c r="EI109" s="191"/>
      <c r="EJ109" s="191"/>
      <c r="EK109" s="191"/>
      <c r="EL109" s="191"/>
      <c r="EM109" s="191"/>
      <c r="EN109" s="191"/>
      <c r="EO109" s="191"/>
      <c r="EP109" s="191"/>
      <c r="EQ109" s="191"/>
      <c r="ER109" s="191"/>
      <c r="ES109" s="191"/>
      <c r="ET109" s="191"/>
      <c r="EU109" s="191"/>
      <c r="EV109" s="191"/>
      <c r="EW109" s="191"/>
      <c r="EX109" s="191"/>
      <c r="EY109" s="191"/>
      <c r="EZ109" s="191"/>
      <c r="FA109" s="191"/>
      <c r="FB109" s="191"/>
      <c r="FC109" s="191"/>
      <c r="FD109" s="191"/>
      <c r="FE109" s="191"/>
      <c r="FF109" s="191"/>
      <c r="FG109" s="191"/>
      <c r="FH109" s="191"/>
      <c r="FI109" s="191"/>
      <c r="FJ109" s="191"/>
      <c r="FK109" s="191"/>
      <c r="FL109" s="191"/>
      <c r="FM109" s="191"/>
      <c r="FN109" s="191"/>
      <c r="FO109" s="191"/>
      <c r="FP109" s="191"/>
    </row>
    <row r="110" spans="21:172" x14ac:dyDescent="0.45">
      <c r="U110" s="1" t="s">
        <v>427</v>
      </c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89"/>
      <c r="BB110" s="190"/>
      <c r="BC110" s="189"/>
      <c r="BD110" s="190"/>
      <c r="BE110" s="191"/>
      <c r="BF110" s="187"/>
      <c r="BG110" s="189"/>
      <c r="BH110" s="190"/>
      <c r="BI110" s="189"/>
      <c r="BJ110" s="190"/>
      <c r="BK110" s="189"/>
      <c r="BL110" s="190"/>
      <c r="BM110" s="191"/>
      <c r="BN110" s="187"/>
      <c r="BO110" s="189"/>
      <c r="BP110" s="190"/>
      <c r="BQ110" s="189"/>
      <c r="BS110" s="12"/>
      <c r="BT110" s="189"/>
      <c r="BU110" s="190"/>
      <c r="BV110" s="189"/>
      <c r="BW110" s="190"/>
      <c r="BX110" s="191"/>
      <c r="BY110" s="187"/>
      <c r="BZ110" s="189"/>
      <c r="CA110" s="190"/>
      <c r="CB110" s="189"/>
      <c r="CC110" s="190"/>
      <c r="CD110" s="189"/>
      <c r="CE110" s="190"/>
      <c r="CF110" s="191"/>
      <c r="CG110" s="187"/>
      <c r="CH110" s="189"/>
      <c r="CI110" s="190"/>
      <c r="CJ110" s="189"/>
      <c r="CK110" s="190"/>
      <c r="CL110" s="189"/>
      <c r="CM110" s="190"/>
      <c r="CN110" s="191"/>
      <c r="CO110" s="187"/>
      <c r="CP110" s="189"/>
      <c r="CQ110" s="190"/>
      <c r="CR110" s="189"/>
      <c r="CS110" s="190"/>
      <c r="CU110" s="189"/>
      <c r="CV110" s="190"/>
      <c r="CW110" s="189"/>
      <c r="CX110" s="190"/>
      <c r="CY110" s="191"/>
      <c r="CZ110" s="187"/>
      <c r="DA110" s="189"/>
      <c r="DB110" s="190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  <c r="EB110" s="191"/>
      <c r="EC110" s="191"/>
      <c r="ED110" s="191"/>
      <c r="EE110" s="191"/>
      <c r="EF110" s="191"/>
      <c r="EG110" s="191"/>
      <c r="EH110" s="191"/>
      <c r="EI110" s="191"/>
      <c r="EJ110" s="191"/>
      <c r="EK110" s="191"/>
      <c r="EL110" s="191"/>
      <c r="EM110" s="191"/>
      <c r="EN110" s="191"/>
      <c r="EO110" s="191"/>
      <c r="EP110" s="191"/>
      <c r="EQ110" s="191"/>
      <c r="ER110" s="191"/>
      <c r="ES110" s="191"/>
      <c r="ET110" s="191"/>
      <c r="EU110" s="191"/>
      <c r="EV110" s="191"/>
      <c r="EW110" s="191"/>
      <c r="EX110" s="191"/>
      <c r="EY110" s="191"/>
      <c r="EZ110" s="191"/>
      <c r="FA110" s="191"/>
      <c r="FB110" s="191"/>
      <c r="FC110" s="191"/>
      <c r="FD110" s="191"/>
      <c r="FE110" s="191"/>
      <c r="FF110" s="191"/>
      <c r="FG110" s="191"/>
      <c r="FH110" s="191"/>
      <c r="FI110" s="191"/>
      <c r="FJ110" s="191"/>
      <c r="FK110" s="191"/>
      <c r="FL110" s="191"/>
      <c r="FM110" s="191"/>
      <c r="FN110" s="191"/>
      <c r="FO110" s="191"/>
      <c r="FP110" s="191"/>
    </row>
    <row r="112" spans="21:172" x14ac:dyDescent="0.45">
      <c r="U112" s="1" t="s">
        <v>429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646" t="s">
        <v>441</v>
      </c>
      <c r="BB112" s="647"/>
      <c r="BC112" s="647"/>
      <c r="BD112" s="647"/>
      <c r="BE112" s="647"/>
      <c r="BF112" s="647"/>
      <c r="BG112" s="647"/>
      <c r="BH112" s="648"/>
      <c r="BI112" s="646" t="s">
        <v>468</v>
      </c>
      <c r="BJ112" s="647"/>
      <c r="BK112" s="647"/>
      <c r="BL112" s="647"/>
      <c r="BM112" s="647"/>
      <c r="BN112" s="647"/>
      <c r="BO112" s="647"/>
      <c r="BP112" s="648"/>
      <c r="BQ112" s="201"/>
      <c r="BS112" s="202"/>
      <c r="BT112" s="646" t="s">
        <v>469</v>
      </c>
      <c r="BU112" s="647"/>
      <c r="BV112" s="647"/>
      <c r="BW112" s="647"/>
      <c r="BX112" s="647"/>
      <c r="BY112" s="647"/>
      <c r="BZ112" s="647"/>
      <c r="CA112" s="648"/>
      <c r="CB112" s="649" t="s">
        <v>446</v>
      </c>
      <c r="CC112" s="650"/>
      <c r="CD112" s="650"/>
      <c r="CE112" s="650"/>
      <c r="CF112" s="650"/>
      <c r="CG112" s="650"/>
      <c r="CH112" s="650"/>
      <c r="CI112" s="651"/>
      <c r="CJ112" s="649" t="s">
        <v>468</v>
      </c>
      <c r="CK112" s="650"/>
      <c r="CL112" s="650"/>
      <c r="CM112" s="650"/>
      <c r="CN112" s="650"/>
      <c r="CO112" s="650"/>
      <c r="CP112" s="650"/>
      <c r="CQ112" s="651"/>
      <c r="CR112" s="203"/>
      <c r="CT112" s="204"/>
      <c r="CU112" s="649" t="s">
        <v>469</v>
      </c>
      <c r="CV112" s="650"/>
      <c r="CW112" s="650"/>
      <c r="CX112" s="650"/>
      <c r="CY112" s="650"/>
      <c r="CZ112" s="650"/>
      <c r="DA112" s="650"/>
      <c r="DB112" s="651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</row>
    <row r="113" spans="21:120" x14ac:dyDescent="0.2">
      <c r="CB113" s="625">
        <v>16</v>
      </c>
      <c r="CC113" s="625"/>
      <c r="CD113" s="625">
        <v>15</v>
      </c>
      <c r="CE113" s="625"/>
      <c r="CH113" s="625">
        <v>1</v>
      </c>
      <c r="CI113" s="625"/>
      <c r="CJ113" s="625">
        <v>16</v>
      </c>
      <c r="CK113" s="625"/>
      <c r="CL113" s="625">
        <v>15</v>
      </c>
      <c r="CM113" s="625"/>
      <c r="CP113" s="625">
        <v>1</v>
      </c>
      <c r="CQ113" s="625"/>
      <c r="CR113" s="625">
        <v>16</v>
      </c>
      <c r="CS113" s="627"/>
      <c r="CU113" s="625">
        <v>16</v>
      </c>
      <c r="CV113" s="625"/>
      <c r="CW113" s="625">
        <v>15</v>
      </c>
      <c r="CX113" s="625"/>
      <c r="DA113" s="625">
        <v>1</v>
      </c>
      <c r="DB113" s="625"/>
    </row>
    <row r="114" spans="21:120" x14ac:dyDescent="0.45">
      <c r="U114" s="1" t="s">
        <v>433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89"/>
      <c r="CC114" s="190"/>
      <c r="CD114" s="189"/>
      <c r="CE114" s="190"/>
      <c r="CF114" s="191"/>
      <c r="CG114" s="187"/>
      <c r="CH114" s="189"/>
      <c r="CI114" s="190"/>
      <c r="CJ114" s="189"/>
      <c r="CK114" s="190"/>
      <c r="CL114" s="189"/>
      <c r="CM114" s="190"/>
      <c r="CN114" s="191"/>
      <c r="CO114" s="187"/>
      <c r="CP114" s="189"/>
      <c r="CQ114" s="190"/>
      <c r="CR114" s="189"/>
      <c r="CS114" s="190"/>
      <c r="CU114" s="189"/>
      <c r="CV114" s="190"/>
      <c r="CW114" s="189"/>
      <c r="CX114" s="190"/>
      <c r="CY114" s="191"/>
      <c r="CZ114" s="187"/>
      <c r="DA114" s="189"/>
      <c r="DB114" s="190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</row>
    <row r="116" spans="21:120" x14ac:dyDescent="0.45">
      <c r="U116" s="1" t="s">
        <v>435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649" t="s">
        <v>446</v>
      </c>
      <c r="CC116" s="650"/>
      <c r="CD116" s="650"/>
      <c r="CE116" s="650"/>
      <c r="CF116" s="650"/>
      <c r="CG116" s="650"/>
      <c r="CH116" s="650"/>
      <c r="CI116" s="651"/>
      <c r="CJ116" s="649" t="s">
        <v>468</v>
      </c>
      <c r="CK116" s="650"/>
      <c r="CL116" s="650"/>
      <c r="CM116" s="650"/>
      <c r="CN116" s="650"/>
      <c r="CO116" s="650"/>
      <c r="CP116" s="650"/>
      <c r="CQ116" s="651"/>
      <c r="CR116" s="203"/>
      <c r="CT116" s="204"/>
      <c r="CU116" s="649" t="s">
        <v>469</v>
      </c>
      <c r="CV116" s="650"/>
      <c r="CW116" s="650"/>
      <c r="CX116" s="650"/>
      <c r="CY116" s="650"/>
      <c r="CZ116" s="650"/>
      <c r="DA116" s="650"/>
      <c r="DB116" s="651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</row>
    <row r="117" spans="21:120" x14ac:dyDescent="0.45"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</row>
    <row r="118" spans="21:120" x14ac:dyDescent="0.45"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</row>
    <row r="119" spans="21:120" x14ac:dyDescent="0.45"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</row>
    <row r="120" spans="21:120" x14ac:dyDescent="0.45"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</row>
    <row r="122" spans="21:120" x14ac:dyDescent="0.45"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</row>
    <row r="124" spans="21:120" x14ac:dyDescent="0.45"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</row>
    <row r="126" spans="21:120" x14ac:dyDescent="0.45"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</row>
    <row r="128" spans="21:120" x14ac:dyDescent="0.45"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</row>
  </sheetData>
  <mergeCells count="540">
    <mergeCell ref="CR113:CS113"/>
    <mergeCell ref="CU113:CV113"/>
    <mergeCell ref="CW113:CX113"/>
    <mergeCell ref="DA113:DB113"/>
    <mergeCell ref="CB116:CI116"/>
    <mergeCell ref="CJ116:CQ116"/>
    <mergeCell ref="CU116:DB116"/>
    <mergeCell ref="CB113:CC113"/>
    <mergeCell ref="CD113:CE113"/>
    <mergeCell ref="CH113:CI113"/>
    <mergeCell ref="CJ113:CK113"/>
    <mergeCell ref="CL113:CM113"/>
    <mergeCell ref="CP113:CQ113"/>
    <mergeCell ref="BA112:BH112"/>
    <mergeCell ref="BI112:BP112"/>
    <mergeCell ref="BT112:CA112"/>
    <mergeCell ref="CB112:CI112"/>
    <mergeCell ref="CJ112:CQ112"/>
    <mergeCell ref="CU112:DB112"/>
    <mergeCell ref="CH109:CI109"/>
    <mergeCell ref="CJ109:CK109"/>
    <mergeCell ref="CL109:CM109"/>
    <mergeCell ref="CP109:CQ109"/>
    <mergeCell ref="CR109:CS109"/>
    <mergeCell ref="CU109:CV109"/>
    <mergeCell ref="BQ109:BR109"/>
    <mergeCell ref="BT109:BU109"/>
    <mergeCell ref="BV109:BW109"/>
    <mergeCell ref="BZ109:CA109"/>
    <mergeCell ref="CB109:CC109"/>
    <mergeCell ref="CD109:CE109"/>
    <mergeCell ref="BT108:CA108"/>
    <mergeCell ref="CB108:CI108"/>
    <mergeCell ref="CJ108:CQ108"/>
    <mergeCell ref="CU108:DB108"/>
    <mergeCell ref="BA109:BB109"/>
    <mergeCell ref="BC109:BD109"/>
    <mergeCell ref="BG109:BH109"/>
    <mergeCell ref="BI109:BJ109"/>
    <mergeCell ref="BK109:BL109"/>
    <mergeCell ref="BO109:BP109"/>
    <mergeCell ref="CW109:CX109"/>
    <mergeCell ref="DA109:DB109"/>
    <mergeCell ref="DA101:DB101"/>
    <mergeCell ref="BV101:BW101"/>
    <mergeCell ref="BZ101:CA101"/>
    <mergeCell ref="CB101:CC101"/>
    <mergeCell ref="CD101:CE101"/>
    <mergeCell ref="CH101:CI101"/>
    <mergeCell ref="CJ101:CK101"/>
    <mergeCell ref="AH103:AO103"/>
    <mergeCell ref="Z108:AG108"/>
    <mergeCell ref="AH108:AO108"/>
    <mergeCell ref="AS108:AZ108"/>
    <mergeCell ref="BA108:BH108"/>
    <mergeCell ref="BI108:BP108"/>
    <mergeCell ref="CL101:CM101"/>
    <mergeCell ref="CP101:CQ101"/>
    <mergeCell ref="CR101:CS101"/>
    <mergeCell ref="BG101:BH101"/>
    <mergeCell ref="BI101:BJ101"/>
    <mergeCell ref="BK101:BL101"/>
    <mergeCell ref="BO101:BP101"/>
    <mergeCell ref="BQ101:BR101"/>
    <mergeCell ref="BT101:BU101"/>
    <mergeCell ref="AP101:AQ101"/>
    <mergeCell ref="AS101:AT101"/>
    <mergeCell ref="BZ91:CX91"/>
    <mergeCell ref="Z101:AA101"/>
    <mergeCell ref="AB101:AC101"/>
    <mergeCell ref="AF101:AG101"/>
    <mergeCell ref="AH101:AI101"/>
    <mergeCell ref="AJ101:AK101"/>
    <mergeCell ref="AN101:AO101"/>
    <mergeCell ref="CU101:CV101"/>
    <mergeCell ref="CW101:CX101"/>
    <mergeCell ref="AU101:AV101"/>
    <mergeCell ref="AY101:AZ101"/>
    <mergeCell ref="BA101:BB101"/>
    <mergeCell ref="BC101:BD101"/>
    <mergeCell ref="AZ87:BY87"/>
    <mergeCell ref="BZ87:CX87"/>
    <mergeCell ref="BZ88:CA88"/>
    <mergeCell ref="CB88:CC88"/>
    <mergeCell ref="CD88:CE88"/>
    <mergeCell ref="CF88:CG88"/>
    <mergeCell ref="CH88:CI88"/>
    <mergeCell ref="CJ88:CK88"/>
    <mergeCell ref="CL88:CM88"/>
    <mergeCell ref="CN88:CO88"/>
    <mergeCell ref="CR88:CS88"/>
    <mergeCell ref="CX88:CY88"/>
    <mergeCell ref="Z83:AY83"/>
    <mergeCell ref="AZ83:BY83"/>
    <mergeCell ref="BZ83:CX83"/>
    <mergeCell ref="AZ84:BA84"/>
    <mergeCell ref="BB84:BC84"/>
    <mergeCell ref="BD84:BE84"/>
    <mergeCell ref="BF84:BG84"/>
    <mergeCell ref="BH84:BI84"/>
    <mergeCell ref="BJ84:BK84"/>
    <mergeCell ref="BL84:BM84"/>
    <mergeCell ref="CX84:CY84"/>
    <mergeCell ref="CF84:CG84"/>
    <mergeCell ref="CH84:CI84"/>
    <mergeCell ref="CJ84:CK84"/>
    <mergeCell ref="CL84:CM84"/>
    <mergeCell ref="CN84:CO84"/>
    <mergeCell ref="CR84:CS84"/>
    <mergeCell ref="BN84:BO84"/>
    <mergeCell ref="BR84:BS84"/>
    <mergeCell ref="BX84:BY84"/>
    <mergeCell ref="BZ84:CA84"/>
    <mergeCell ref="CB84:CC84"/>
    <mergeCell ref="CD84:CE84"/>
    <mergeCell ref="CL80:CM80"/>
    <mergeCell ref="CN80:CO80"/>
    <mergeCell ref="CR80:CS80"/>
    <mergeCell ref="CX80:CY80"/>
    <mergeCell ref="BR80:BS80"/>
    <mergeCell ref="BX80:BY80"/>
    <mergeCell ref="BZ80:CA80"/>
    <mergeCell ref="CB80:CC80"/>
    <mergeCell ref="CD80:CE80"/>
    <mergeCell ref="CF80:CG80"/>
    <mergeCell ref="CM74:CT74"/>
    <mergeCell ref="CU74:DB74"/>
    <mergeCell ref="CM75:CT75"/>
    <mergeCell ref="CU75:DB75"/>
    <mergeCell ref="Z80:AA80"/>
    <mergeCell ref="AB80:AC80"/>
    <mergeCell ref="AD80:AE80"/>
    <mergeCell ref="AF80:AG80"/>
    <mergeCell ref="AH80:AI80"/>
    <mergeCell ref="AJ80:AK80"/>
    <mergeCell ref="BD80:BE80"/>
    <mergeCell ref="BF80:BG80"/>
    <mergeCell ref="BH80:BI80"/>
    <mergeCell ref="BJ80:BK80"/>
    <mergeCell ref="BL80:BM80"/>
    <mergeCell ref="BN80:BO80"/>
    <mergeCell ref="AL80:AM80"/>
    <mergeCell ref="AN80:AO80"/>
    <mergeCell ref="AR80:AS80"/>
    <mergeCell ref="AX80:AY80"/>
    <mergeCell ref="AZ80:BA80"/>
    <mergeCell ref="BB80:BC80"/>
    <mergeCell ref="CH80:CI80"/>
    <mergeCell ref="CJ80:CK80"/>
    <mergeCell ref="AH71:AO71"/>
    <mergeCell ref="AY72:BF72"/>
    <mergeCell ref="BG72:BN72"/>
    <mergeCell ref="BO72:BV72"/>
    <mergeCell ref="BW72:CD72"/>
    <mergeCell ref="AY73:BF73"/>
    <mergeCell ref="BG73:BN73"/>
    <mergeCell ref="BO73:BV73"/>
    <mergeCell ref="BW73:CD73"/>
    <mergeCell ref="BT62:BU62"/>
    <mergeCell ref="BV62:BW62"/>
    <mergeCell ref="CV66:CW66"/>
    <mergeCell ref="CZ66:DA66"/>
    <mergeCell ref="CD69:CK69"/>
    <mergeCell ref="CL69:CS69"/>
    <mergeCell ref="CT69:DA69"/>
    <mergeCell ref="AH70:AO70"/>
    <mergeCell ref="CD65:CK65"/>
    <mergeCell ref="CL65:CS65"/>
    <mergeCell ref="CT65:DA65"/>
    <mergeCell ref="CD66:CE66"/>
    <mergeCell ref="CF66:CG66"/>
    <mergeCell ref="CJ66:CK66"/>
    <mergeCell ref="CL66:CM66"/>
    <mergeCell ref="CN66:CO66"/>
    <mergeCell ref="CR66:CS66"/>
    <mergeCell ref="CT66:CU66"/>
    <mergeCell ref="AP65:AW65"/>
    <mergeCell ref="AX65:BE65"/>
    <mergeCell ref="BF65:BM65"/>
    <mergeCell ref="BN65:BU65"/>
    <mergeCell ref="BV65:CC65"/>
    <mergeCell ref="CL61:CS61"/>
    <mergeCell ref="CT61:DA61"/>
    <mergeCell ref="AP62:AQ62"/>
    <mergeCell ref="AR62:AS62"/>
    <mergeCell ref="AV62:AW62"/>
    <mergeCell ref="AX62:AY62"/>
    <mergeCell ref="AZ62:BA62"/>
    <mergeCell ref="BD62:BE62"/>
    <mergeCell ref="BF62:BG62"/>
    <mergeCell ref="CN62:CO62"/>
    <mergeCell ref="CR62:CS62"/>
    <mergeCell ref="CT62:CU62"/>
    <mergeCell ref="CV62:CW62"/>
    <mergeCell ref="CZ62:DA62"/>
    <mergeCell ref="CJ62:CK62"/>
    <mergeCell ref="CL62:CM62"/>
    <mergeCell ref="BX62:BY62"/>
    <mergeCell ref="CB62:CC62"/>
    <mergeCell ref="CD62:CE62"/>
    <mergeCell ref="CF62:CG62"/>
    <mergeCell ref="BH62:BI62"/>
    <mergeCell ref="BL62:BM62"/>
    <mergeCell ref="BN62:BO62"/>
    <mergeCell ref="BP62:BQ62"/>
    <mergeCell ref="Z61:AG61"/>
    <mergeCell ref="AH61:AO61"/>
    <mergeCell ref="AP61:AW61"/>
    <mergeCell ref="AX61:BE61"/>
    <mergeCell ref="BF61:BM61"/>
    <mergeCell ref="BN61:BU61"/>
    <mergeCell ref="BV61:CC61"/>
    <mergeCell ref="CD58:CE58"/>
    <mergeCell ref="CF58:CG58"/>
    <mergeCell ref="BN58:BO58"/>
    <mergeCell ref="BP58:BQ58"/>
    <mergeCell ref="BT58:BU58"/>
    <mergeCell ref="BV58:BW58"/>
    <mergeCell ref="BX58:BY58"/>
    <mergeCell ref="CB58:CC58"/>
    <mergeCell ref="AX58:AY58"/>
    <mergeCell ref="AZ58:BA58"/>
    <mergeCell ref="CD61:CK61"/>
    <mergeCell ref="BD58:BE58"/>
    <mergeCell ref="BF58:BG58"/>
    <mergeCell ref="BH58:BI58"/>
    <mergeCell ref="BL58:BM58"/>
    <mergeCell ref="CR53:DE53"/>
    <mergeCell ref="Z58:AA58"/>
    <mergeCell ref="AB58:AC58"/>
    <mergeCell ref="AF58:AG58"/>
    <mergeCell ref="AH58:AI58"/>
    <mergeCell ref="AJ58:AK58"/>
    <mergeCell ref="AN58:AO58"/>
    <mergeCell ref="AP58:AQ58"/>
    <mergeCell ref="AR58:AS58"/>
    <mergeCell ref="AV58:AW58"/>
    <mergeCell ref="CT58:CU58"/>
    <mergeCell ref="CV58:CW58"/>
    <mergeCell ref="CZ58:DA58"/>
    <mergeCell ref="CJ58:CK58"/>
    <mergeCell ref="CL58:CM58"/>
    <mergeCell ref="CN58:CO58"/>
    <mergeCell ref="CR58:CS58"/>
    <mergeCell ref="DB44:DC44"/>
    <mergeCell ref="DD44:DE44"/>
    <mergeCell ref="CD47:CQ47"/>
    <mergeCell ref="CR47:DE47"/>
    <mergeCell ref="AN49:BA49"/>
    <mergeCell ref="BP51:CC51"/>
    <mergeCell ref="CP44:CQ44"/>
    <mergeCell ref="CR44:CS44"/>
    <mergeCell ref="CT44:CU44"/>
    <mergeCell ref="CV44:CW44"/>
    <mergeCell ref="CX44:CY44"/>
    <mergeCell ref="CZ44:DA44"/>
    <mergeCell ref="CD44:CE44"/>
    <mergeCell ref="CF44:CG44"/>
    <mergeCell ref="CH44:CI44"/>
    <mergeCell ref="CJ44:CK44"/>
    <mergeCell ref="CL44:CM44"/>
    <mergeCell ref="CN44:CO44"/>
    <mergeCell ref="CX40:CY40"/>
    <mergeCell ref="CZ40:DA40"/>
    <mergeCell ref="DB40:DC40"/>
    <mergeCell ref="DD40:DE40"/>
    <mergeCell ref="BB43:BO43"/>
    <mergeCell ref="BP43:CC43"/>
    <mergeCell ref="CD43:CQ43"/>
    <mergeCell ref="CR43:DE43"/>
    <mergeCell ref="CL40:CM40"/>
    <mergeCell ref="CN40:CO40"/>
    <mergeCell ref="CP40:CQ40"/>
    <mergeCell ref="CR40:CS40"/>
    <mergeCell ref="CT40:CU40"/>
    <mergeCell ref="CV40:CW40"/>
    <mergeCell ref="BZ40:CA40"/>
    <mergeCell ref="CB40:CC40"/>
    <mergeCell ref="CD40:CE40"/>
    <mergeCell ref="CF40:CG40"/>
    <mergeCell ref="CH40:CI40"/>
    <mergeCell ref="CJ40:CK40"/>
    <mergeCell ref="BN40:BO40"/>
    <mergeCell ref="BP40:BQ40"/>
    <mergeCell ref="BR40:BS40"/>
    <mergeCell ref="BT40:BU40"/>
    <mergeCell ref="BV40:BW40"/>
    <mergeCell ref="BX40:BY40"/>
    <mergeCell ref="BB40:BC40"/>
    <mergeCell ref="BD40:BE40"/>
    <mergeCell ref="BF40:BG40"/>
    <mergeCell ref="BH40:BI40"/>
    <mergeCell ref="BJ40:BK40"/>
    <mergeCell ref="BL40:BM40"/>
    <mergeCell ref="Z39:AM39"/>
    <mergeCell ref="AN39:BA39"/>
    <mergeCell ref="BB39:BO39"/>
    <mergeCell ref="BP39:CC39"/>
    <mergeCell ref="CD39:CQ39"/>
    <mergeCell ref="CR39:DE39"/>
    <mergeCell ref="CT36:CU36"/>
    <mergeCell ref="CV36:CW36"/>
    <mergeCell ref="CX36:CY36"/>
    <mergeCell ref="CZ36:DA36"/>
    <mergeCell ref="DB36:DC36"/>
    <mergeCell ref="DD36:DE36"/>
    <mergeCell ref="CH36:CI36"/>
    <mergeCell ref="CJ36:CK36"/>
    <mergeCell ref="CL36:CM36"/>
    <mergeCell ref="CN36:CO36"/>
    <mergeCell ref="CP36:CQ36"/>
    <mergeCell ref="CR36:CS36"/>
    <mergeCell ref="CZ28:DA28"/>
    <mergeCell ref="CL30:CS30"/>
    <mergeCell ref="CT30:DA30"/>
    <mergeCell ref="CD31:CK31"/>
    <mergeCell ref="CL31:CS31"/>
    <mergeCell ref="CT31:DA31"/>
    <mergeCell ref="AX36:AY36"/>
    <mergeCell ref="AZ36:BA36"/>
    <mergeCell ref="BB36:BC36"/>
    <mergeCell ref="BD36:BE36"/>
    <mergeCell ref="BF36:BG36"/>
    <mergeCell ref="BH36:BI36"/>
    <mergeCell ref="BV36:BW36"/>
    <mergeCell ref="BX36:BY36"/>
    <mergeCell ref="BZ36:CA36"/>
    <mergeCell ref="CB36:CC36"/>
    <mergeCell ref="CD36:CE36"/>
    <mergeCell ref="CF36:CG36"/>
    <mergeCell ref="BJ36:BK36"/>
    <mergeCell ref="BL36:BM36"/>
    <mergeCell ref="BN36:BO36"/>
    <mergeCell ref="BP36:BQ36"/>
    <mergeCell ref="BR36:BS36"/>
    <mergeCell ref="BT36:BU36"/>
    <mergeCell ref="CD28:CE28"/>
    <mergeCell ref="CF28:CG28"/>
    <mergeCell ref="CJ28:CK28"/>
    <mergeCell ref="CL28:CM28"/>
    <mergeCell ref="CN28:CO28"/>
    <mergeCell ref="CR28:CS28"/>
    <mergeCell ref="CT28:CU28"/>
    <mergeCell ref="CV28:CW28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CL20:CM20"/>
    <mergeCell ref="CN20:CO20"/>
    <mergeCell ref="CR20:CS20"/>
    <mergeCell ref="CT20:CU20"/>
    <mergeCell ref="CV20:CW20"/>
    <mergeCell ref="BT20:BU20"/>
    <mergeCell ref="BV20:BW20"/>
    <mergeCell ref="AP27:AW27"/>
    <mergeCell ref="AX27:BE27"/>
    <mergeCell ref="BF27:BM27"/>
    <mergeCell ref="BN27:BU27"/>
    <mergeCell ref="BV27:CC27"/>
    <mergeCell ref="CD27:CK27"/>
    <mergeCell ref="CR24:CS24"/>
    <mergeCell ref="CT24:CU24"/>
    <mergeCell ref="CV24:CW24"/>
    <mergeCell ref="CL27:CS27"/>
    <mergeCell ref="CT27:DA27"/>
    <mergeCell ref="AX26:BE26"/>
    <mergeCell ref="BF26:BM26"/>
    <mergeCell ref="BN26:BU26"/>
    <mergeCell ref="BV26:CC26"/>
    <mergeCell ref="CB24:CC24"/>
    <mergeCell ref="CD24:CE24"/>
    <mergeCell ref="BV24:BW24"/>
    <mergeCell ref="BX24:BY24"/>
    <mergeCell ref="CL23:CS23"/>
    <mergeCell ref="CT23:DA23"/>
    <mergeCell ref="AP24:AQ24"/>
    <mergeCell ref="AR24:AS24"/>
    <mergeCell ref="AV24:AW24"/>
    <mergeCell ref="AX24:AY24"/>
    <mergeCell ref="AZ24:BA24"/>
    <mergeCell ref="BD24:BE24"/>
    <mergeCell ref="BF24:BG24"/>
    <mergeCell ref="BH24:BI24"/>
    <mergeCell ref="CZ24:DA24"/>
    <mergeCell ref="CN24:CO24"/>
    <mergeCell ref="CF24:CG24"/>
    <mergeCell ref="CJ24:CK24"/>
    <mergeCell ref="CL24:CM24"/>
    <mergeCell ref="BL24:BM24"/>
    <mergeCell ref="BN24:BO24"/>
    <mergeCell ref="BP24:BQ24"/>
    <mergeCell ref="BT24:BU24"/>
    <mergeCell ref="BX20:BY20"/>
    <mergeCell ref="CB20:CC20"/>
    <mergeCell ref="CD20:CE20"/>
    <mergeCell ref="CF20:CG20"/>
    <mergeCell ref="AH22:AO22"/>
    <mergeCell ref="Z23:AG23"/>
    <mergeCell ref="AH23:AO23"/>
    <mergeCell ref="AP23:AW23"/>
    <mergeCell ref="AX23:BE23"/>
    <mergeCell ref="BF23:BM23"/>
    <mergeCell ref="BN23:BU23"/>
    <mergeCell ref="BV23:CC23"/>
    <mergeCell ref="CD23:CK23"/>
    <mergeCell ref="BD20:BE20"/>
    <mergeCell ref="BF20:BG20"/>
    <mergeCell ref="CJ20:CK20"/>
    <mergeCell ref="CD15:CQ15"/>
    <mergeCell ref="CR15:DE15"/>
    <mergeCell ref="Z20:AA20"/>
    <mergeCell ref="AB20:AC20"/>
    <mergeCell ref="AF20:AG20"/>
    <mergeCell ref="AH20:AI20"/>
    <mergeCell ref="AJ20:AK20"/>
    <mergeCell ref="CN12:CO12"/>
    <mergeCell ref="CP12:CQ12"/>
    <mergeCell ref="CR12:CS12"/>
    <mergeCell ref="CT12:CU12"/>
    <mergeCell ref="CV12:CW12"/>
    <mergeCell ref="CX12:CY12"/>
    <mergeCell ref="BH20:BI20"/>
    <mergeCell ref="BL20:BM20"/>
    <mergeCell ref="BN20:BO20"/>
    <mergeCell ref="BP20:BQ20"/>
    <mergeCell ref="AN20:AO20"/>
    <mergeCell ref="AP20:AQ20"/>
    <mergeCell ref="AR20:AS20"/>
    <mergeCell ref="AV20:AW20"/>
    <mergeCell ref="AX20:AY20"/>
    <mergeCell ref="AZ20:BA20"/>
    <mergeCell ref="CZ20:DA20"/>
    <mergeCell ref="CZ8:DA8"/>
    <mergeCell ref="DB8:DC8"/>
    <mergeCell ref="CZ12:DA12"/>
    <mergeCell ref="DB12:DC12"/>
    <mergeCell ref="BB11:BO11"/>
    <mergeCell ref="BP11:CC11"/>
    <mergeCell ref="CD11:CQ11"/>
    <mergeCell ref="CR11:DE11"/>
    <mergeCell ref="CL8:CM8"/>
    <mergeCell ref="CN8:CO8"/>
    <mergeCell ref="CP8:CQ8"/>
    <mergeCell ref="CR8:CS8"/>
    <mergeCell ref="CT8:CU8"/>
    <mergeCell ref="CV8:CW8"/>
    <mergeCell ref="BZ8:CA8"/>
    <mergeCell ref="CB8:CC8"/>
    <mergeCell ref="CD8:CE8"/>
    <mergeCell ref="DD12:DE12"/>
    <mergeCell ref="BV8:BW8"/>
    <mergeCell ref="BX8:BY8"/>
    <mergeCell ref="CF8:CG8"/>
    <mergeCell ref="CH8:CI8"/>
    <mergeCell ref="CJ8:CK8"/>
    <mergeCell ref="BN8:BO8"/>
    <mergeCell ref="D12:S12"/>
    <mergeCell ref="CD12:CE12"/>
    <mergeCell ref="CF12:CG12"/>
    <mergeCell ref="CH12:CI12"/>
    <mergeCell ref="CJ12:CK12"/>
    <mergeCell ref="CL12:CM12"/>
    <mergeCell ref="CX8:CY8"/>
    <mergeCell ref="CD7:CQ7"/>
    <mergeCell ref="CR7:DE7"/>
    <mergeCell ref="F8:M8"/>
    <mergeCell ref="N8:S8"/>
    <mergeCell ref="BB8:BC8"/>
    <mergeCell ref="BD8:BE8"/>
    <mergeCell ref="BF8:BG8"/>
    <mergeCell ref="BH8:BI8"/>
    <mergeCell ref="BJ8:BK8"/>
    <mergeCell ref="BL8:BM8"/>
    <mergeCell ref="F7:M7"/>
    <mergeCell ref="N7:S7"/>
    <mergeCell ref="Z7:AM7"/>
    <mergeCell ref="AN7:BA7"/>
    <mergeCell ref="BB7:BO7"/>
    <mergeCell ref="BP7:CC7"/>
    <mergeCell ref="DD8:DE8"/>
    <mergeCell ref="BP8:BQ8"/>
    <mergeCell ref="BR8:BS8"/>
    <mergeCell ref="BT8:BU8"/>
    <mergeCell ref="DD4:DE4"/>
    <mergeCell ref="D5:E5"/>
    <mergeCell ref="F5:M5"/>
    <mergeCell ref="N5:S5"/>
    <mergeCell ref="F6:M6"/>
    <mergeCell ref="N6:S6"/>
    <mergeCell ref="CR4:CS4"/>
    <mergeCell ref="CT4:CU4"/>
    <mergeCell ref="CV4:CW4"/>
    <mergeCell ref="CX4:CY4"/>
    <mergeCell ref="CZ4:DA4"/>
    <mergeCell ref="DB4:DC4"/>
    <mergeCell ref="CF4:CG4"/>
    <mergeCell ref="CH4:CI4"/>
    <mergeCell ref="CJ4:CK4"/>
    <mergeCell ref="CL4:CM4"/>
    <mergeCell ref="CN4:CO4"/>
    <mergeCell ref="CP4:CQ4"/>
    <mergeCell ref="BT4:BU4"/>
    <mergeCell ref="BV4:BW4"/>
    <mergeCell ref="BX4:BY4"/>
    <mergeCell ref="BZ4:CA4"/>
    <mergeCell ref="CB4:CC4"/>
    <mergeCell ref="CD4:CE4"/>
    <mergeCell ref="BH4:BI4"/>
    <mergeCell ref="BJ4:BK4"/>
    <mergeCell ref="BL4:BM4"/>
    <mergeCell ref="BN4:BO4"/>
    <mergeCell ref="BP4:BQ4"/>
    <mergeCell ref="BR4:BS4"/>
    <mergeCell ref="BB4:BC4"/>
    <mergeCell ref="BD4:BE4"/>
    <mergeCell ref="BF4:BG4"/>
    <mergeCell ref="AJ4:AK4"/>
    <mergeCell ref="AL4:AM4"/>
    <mergeCell ref="AN4:AO4"/>
    <mergeCell ref="AP4:AQ4"/>
    <mergeCell ref="AR4:AS4"/>
    <mergeCell ref="AT4:AU4"/>
    <mergeCell ref="C2:S2"/>
    <mergeCell ref="Z4:AA4"/>
    <mergeCell ref="AB4:AC4"/>
    <mergeCell ref="AD4:AE4"/>
    <mergeCell ref="AF4:AG4"/>
    <mergeCell ref="AH4:AI4"/>
    <mergeCell ref="AV4:AW4"/>
    <mergeCell ref="AX4:AY4"/>
    <mergeCell ref="AZ4:BA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113C-6FCF-4BC6-AA8F-3F35266912EB}">
  <dimension ref="B2:CS63"/>
  <sheetViews>
    <sheetView showGridLines="0" zoomScale="70" zoomScaleNormal="70" workbookViewId="0">
      <selection activeCell="R3" sqref="R3"/>
    </sheetView>
  </sheetViews>
  <sheetFormatPr defaultRowHeight="17" x14ac:dyDescent="0.45"/>
  <cols>
    <col min="2" max="2" width="26" style="1" bestFit="1" customWidth="1"/>
    <col min="3" max="3" width="1.58203125" style="13" customWidth="1"/>
    <col min="4" max="4" width="5.58203125" style="13" bestFit="1" customWidth="1"/>
    <col min="5" max="5" width="6.6640625" style="13" customWidth="1"/>
    <col min="6" max="7" width="5.58203125" style="13" bestFit="1" customWidth="1"/>
    <col min="8" max="8" width="7.6640625" style="13" bestFit="1" customWidth="1"/>
    <col min="9" max="17" width="5.58203125" style="13" bestFit="1" customWidth="1"/>
    <col min="18" max="18" width="10.58203125" style="13" bestFit="1" customWidth="1"/>
    <col min="19" max="19" width="5.58203125" style="13" bestFit="1" customWidth="1"/>
    <col min="20" max="27" width="4.5" style="13" bestFit="1" customWidth="1"/>
    <col min="28" max="28" width="4.5" bestFit="1" customWidth="1"/>
    <col min="29" max="29" width="4.5" style="1" bestFit="1" customWidth="1"/>
    <col min="30" max="30" width="11.08203125" bestFit="1" customWidth="1"/>
    <col min="31" max="31" width="3.58203125" customWidth="1"/>
    <col min="32" max="32" width="13.1640625" bestFit="1" customWidth="1"/>
    <col min="33" max="34" width="7.6640625" bestFit="1" customWidth="1"/>
    <col min="35" max="37" width="2.58203125" customWidth="1"/>
    <col min="38" max="38" width="13.1640625" bestFit="1" customWidth="1"/>
    <col min="39" max="39" width="7.6640625" bestFit="1" customWidth="1"/>
    <col min="40" max="40" width="7.58203125" bestFit="1" customWidth="1"/>
    <col min="41" max="41" width="2.58203125" customWidth="1"/>
    <col min="42" max="42" width="1.58203125" customWidth="1"/>
    <col min="43" max="43" width="2.58203125" customWidth="1"/>
    <col min="44" max="44" width="14.6640625" bestFit="1" customWidth="1"/>
    <col min="45" max="45" width="7.6640625" customWidth="1"/>
    <col min="46" max="46" width="7.6640625" bestFit="1" customWidth="1"/>
    <col min="47" max="47" width="3.58203125" customWidth="1"/>
    <col min="49" max="49" width="8.6640625" style="43"/>
    <col min="50" max="50" width="3.58203125" customWidth="1"/>
    <col min="51" max="51" width="9.6640625" bestFit="1" customWidth="1"/>
    <col min="52" max="52" width="8.6640625" bestFit="1" customWidth="1"/>
    <col min="53" max="53" width="9.08203125" bestFit="1" customWidth="1"/>
    <col min="54" max="54" width="8.6640625" bestFit="1" customWidth="1"/>
    <col min="55" max="57" width="1.58203125" customWidth="1"/>
    <col min="58" max="58" width="9.08203125" bestFit="1" customWidth="1"/>
    <col min="59" max="59" width="9.6640625" bestFit="1" customWidth="1"/>
    <col min="60" max="60" width="8.6640625" bestFit="1" customWidth="1"/>
    <col min="61" max="61" width="9.08203125" bestFit="1" customWidth="1"/>
    <col min="62" max="62" width="8.6640625" bestFit="1" customWidth="1"/>
    <col min="63" max="65" width="1.58203125" customWidth="1"/>
    <col min="66" max="66" width="9.08203125" bestFit="1" customWidth="1"/>
    <col min="67" max="67" width="3.58203125" customWidth="1"/>
    <col min="68" max="68" width="6" bestFit="1" customWidth="1"/>
    <col min="70" max="70" width="3.58203125" customWidth="1"/>
    <col min="71" max="72" width="16.08203125" bestFit="1" customWidth="1"/>
    <col min="73" max="75" width="1.58203125" customWidth="1"/>
    <col min="76" max="76" width="16.08203125" bestFit="1" customWidth="1"/>
    <col min="77" max="77" width="3.58203125" customWidth="1"/>
    <col min="80" max="80" width="3.58203125" customWidth="1"/>
    <col min="81" max="82" width="14" style="120" bestFit="1" customWidth="1"/>
    <col min="83" max="84" width="1.58203125" style="120" customWidth="1"/>
    <col min="85" max="85" width="1.6640625" style="120" customWidth="1"/>
    <col min="86" max="86" width="14" style="120" bestFit="1" customWidth="1"/>
    <col min="87" max="89" width="1.58203125" style="120" customWidth="1"/>
    <col min="90" max="90" width="11.5" style="120" bestFit="1" customWidth="1"/>
    <col min="91" max="91" width="6" style="120" bestFit="1" customWidth="1"/>
    <col min="92" max="92" width="1.58203125" style="120" customWidth="1"/>
    <col min="93" max="95" width="11.5" style="120" bestFit="1" customWidth="1"/>
    <col min="96" max="96" width="6.1640625" style="120" bestFit="1" customWidth="1"/>
    <col min="97" max="97" width="1.58203125" customWidth="1"/>
  </cols>
  <sheetData>
    <row r="2" spans="2:97" x14ac:dyDescent="0.45">
      <c r="B2" s="119" t="s">
        <v>280</v>
      </c>
      <c r="C2" s="680" t="s">
        <v>281</v>
      </c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1"/>
      <c r="P2" s="681"/>
      <c r="Q2" s="681"/>
      <c r="R2" s="681"/>
      <c r="S2" s="681"/>
      <c r="T2" s="681"/>
      <c r="U2" s="681"/>
      <c r="V2" s="681"/>
      <c r="W2" s="681"/>
      <c r="X2" s="681"/>
      <c r="Y2" s="681"/>
      <c r="Z2" s="681"/>
      <c r="AA2" s="681"/>
      <c r="AB2" s="681"/>
      <c r="AC2" s="681"/>
    </row>
    <row r="3" spans="2:97" ht="17.5" thickBot="1" x14ac:dyDescent="0.5">
      <c r="B3" s="121" t="s">
        <v>282</v>
      </c>
      <c r="F3" s="122"/>
      <c r="I3" s="122"/>
    </row>
    <row r="4" spans="2:97" x14ac:dyDescent="0.45">
      <c r="B4" s="2"/>
      <c r="D4" s="123" t="s">
        <v>283</v>
      </c>
      <c r="E4" s="124" t="s">
        <v>284</v>
      </c>
      <c r="F4" s="124" t="s">
        <v>285</v>
      </c>
      <c r="G4" s="125" t="s">
        <v>286</v>
      </c>
      <c r="H4" s="123" t="s">
        <v>287</v>
      </c>
      <c r="I4" s="124" t="s">
        <v>288</v>
      </c>
      <c r="J4" s="124" t="s">
        <v>289</v>
      </c>
      <c r="K4" s="124" t="s">
        <v>290</v>
      </c>
      <c r="L4" s="124" t="s">
        <v>291</v>
      </c>
      <c r="M4" s="125" t="s">
        <v>292</v>
      </c>
      <c r="N4" s="123" t="s">
        <v>293</v>
      </c>
      <c r="O4" s="124" t="s">
        <v>294</v>
      </c>
      <c r="P4" s="124" t="s">
        <v>33</v>
      </c>
      <c r="Q4" s="124" t="s">
        <v>34</v>
      </c>
      <c r="R4" s="124" t="s">
        <v>35</v>
      </c>
      <c r="S4" s="124" t="s">
        <v>36</v>
      </c>
      <c r="T4" s="124" t="s">
        <v>37</v>
      </c>
      <c r="U4" s="124" t="s">
        <v>38</v>
      </c>
      <c r="V4" s="124" t="s">
        <v>39</v>
      </c>
      <c r="W4" s="124" t="s">
        <v>40</v>
      </c>
      <c r="X4" s="124" t="s">
        <v>41</v>
      </c>
      <c r="Y4" s="125" t="s">
        <v>42</v>
      </c>
      <c r="Z4" s="1"/>
      <c r="AA4" s="1"/>
      <c r="AB4" s="1"/>
    </row>
    <row r="5" spans="2:97" ht="17.5" thickBot="1" x14ac:dyDescent="0.5">
      <c r="B5" s="126" t="s">
        <v>295</v>
      </c>
      <c r="D5" s="127" t="s">
        <v>296</v>
      </c>
      <c r="E5" s="663" t="s">
        <v>297</v>
      </c>
      <c r="F5" s="664"/>
      <c r="G5" s="665"/>
      <c r="H5" s="628" t="s">
        <v>298</v>
      </c>
      <c r="I5" s="630"/>
      <c r="J5" s="630"/>
      <c r="K5" s="630"/>
      <c r="L5" s="630"/>
      <c r="M5" s="629"/>
      <c r="N5" s="628" t="s">
        <v>299</v>
      </c>
      <c r="O5" s="630"/>
      <c r="P5" s="630"/>
      <c r="Q5" s="630"/>
      <c r="R5" s="630"/>
      <c r="S5" s="630"/>
      <c r="T5" s="630"/>
      <c r="U5" s="630"/>
      <c r="V5" s="630"/>
      <c r="W5" s="630"/>
      <c r="X5" s="630"/>
      <c r="Y5" s="629"/>
      <c r="Z5" s="1"/>
      <c r="AA5" s="1"/>
      <c r="AB5" s="1"/>
    </row>
    <row r="6" spans="2:97" ht="17.5" thickBot="1" x14ac:dyDescent="0.5">
      <c r="B6" s="58" t="s">
        <v>300</v>
      </c>
      <c r="D6" s="93">
        <v>1</v>
      </c>
      <c r="E6" s="93">
        <v>1</v>
      </c>
      <c r="F6" s="93">
        <v>0</v>
      </c>
      <c r="G6" s="93">
        <v>1</v>
      </c>
    </row>
    <row r="7" spans="2:97" x14ac:dyDescent="0.45">
      <c r="B7" s="58"/>
      <c r="D7" s="128" t="s">
        <v>301</v>
      </c>
      <c r="E7" s="129" t="s">
        <v>302</v>
      </c>
      <c r="F7" s="129" t="s">
        <v>303</v>
      </c>
      <c r="G7" s="130" t="s">
        <v>304</v>
      </c>
      <c r="H7" s="131" t="s">
        <v>305</v>
      </c>
      <c r="I7" s="124" t="s">
        <v>38</v>
      </c>
      <c r="J7" s="124" t="s">
        <v>39</v>
      </c>
      <c r="K7" s="124" t="s">
        <v>40</v>
      </c>
      <c r="L7" s="124" t="s">
        <v>41</v>
      </c>
      <c r="M7" s="125" t="s">
        <v>42</v>
      </c>
      <c r="AC7" s="132"/>
    </row>
    <row r="8" spans="2:97" ht="17.5" thickBot="1" x14ac:dyDescent="0.5">
      <c r="B8" s="126" t="s">
        <v>295</v>
      </c>
      <c r="D8" s="127" t="s">
        <v>296</v>
      </c>
      <c r="E8" s="682" t="s">
        <v>297</v>
      </c>
      <c r="F8" s="682"/>
      <c r="G8" s="683"/>
      <c r="H8" s="666" t="s">
        <v>298</v>
      </c>
      <c r="I8" s="667"/>
      <c r="J8" s="667"/>
      <c r="K8" s="667"/>
      <c r="L8" s="667"/>
      <c r="M8" s="668"/>
      <c r="AC8" s="132"/>
    </row>
    <row r="9" spans="2:97" ht="17.5" thickBot="1" x14ac:dyDescent="0.5">
      <c r="B9" s="58" t="s">
        <v>306</v>
      </c>
      <c r="C9" s="135"/>
      <c r="D9" s="93">
        <v>1</v>
      </c>
      <c r="E9" s="93">
        <v>1</v>
      </c>
      <c r="F9" s="93">
        <v>1</v>
      </c>
      <c r="G9" s="93">
        <v>0</v>
      </c>
      <c r="AC9" s="132"/>
      <c r="AW9" s="43" t="s">
        <v>307</v>
      </c>
    </row>
    <row r="10" spans="2:97" x14ac:dyDescent="0.45">
      <c r="B10" s="58"/>
      <c r="D10" s="128" t="s">
        <v>284</v>
      </c>
      <c r="E10" s="129" t="s">
        <v>285</v>
      </c>
      <c r="F10" s="129" t="s">
        <v>286</v>
      </c>
      <c r="G10" s="130" t="s">
        <v>287</v>
      </c>
      <c r="H10" s="123" t="s">
        <v>308</v>
      </c>
      <c r="I10" s="124" t="s">
        <v>309</v>
      </c>
      <c r="J10" s="124" t="s">
        <v>290</v>
      </c>
      <c r="K10" s="124" t="s">
        <v>291</v>
      </c>
      <c r="L10" s="125" t="s">
        <v>292</v>
      </c>
      <c r="M10" s="131" t="s">
        <v>293</v>
      </c>
      <c r="N10" s="124" t="s">
        <v>294</v>
      </c>
      <c r="O10" s="124" t="s">
        <v>33</v>
      </c>
      <c r="P10" s="124" t="s">
        <v>34</v>
      </c>
      <c r="Q10" s="124" t="s">
        <v>35</v>
      </c>
      <c r="R10" s="124" t="s">
        <v>36</v>
      </c>
      <c r="S10" s="124" t="s">
        <v>37</v>
      </c>
      <c r="T10" s="124" t="s">
        <v>38</v>
      </c>
      <c r="U10" s="124" t="s">
        <v>39</v>
      </c>
      <c r="V10" s="124" t="s">
        <v>40</v>
      </c>
      <c r="W10" s="124" t="s">
        <v>41</v>
      </c>
      <c r="X10" s="125" t="s">
        <v>42</v>
      </c>
      <c r="AC10" s="132"/>
      <c r="AD10" s="1" t="s">
        <v>310</v>
      </c>
      <c r="AE10" s="14"/>
      <c r="AF10" s="136" t="s">
        <v>311</v>
      </c>
      <c r="AG10" s="136" t="s">
        <v>312</v>
      </c>
      <c r="AH10" s="136" t="s">
        <v>313</v>
      </c>
      <c r="AI10" s="639" t="s">
        <v>314</v>
      </c>
      <c r="AJ10" s="640"/>
      <c r="AK10" s="640"/>
      <c r="AL10" s="641"/>
      <c r="AM10" s="138" t="s">
        <v>315</v>
      </c>
      <c r="AN10" s="138" t="s">
        <v>316</v>
      </c>
      <c r="AO10" s="139"/>
      <c r="AQ10" s="140"/>
      <c r="AR10" s="141" t="s">
        <v>317</v>
      </c>
      <c r="AS10" s="141" t="s">
        <v>318</v>
      </c>
      <c r="AT10" s="141" t="s">
        <v>319</v>
      </c>
      <c r="AU10" s="14"/>
      <c r="AW10" s="48" t="s">
        <v>320</v>
      </c>
      <c r="AX10" s="14"/>
      <c r="AY10" s="136" t="s">
        <v>321</v>
      </c>
      <c r="AZ10" s="136" t="s">
        <v>322</v>
      </c>
      <c r="BA10" s="136" t="s">
        <v>323</v>
      </c>
      <c r="BB10" s="136" t="s">
        <v>324</v>
      </c>
      <c r="BC10" s="142"/>
      <c r="BE10" s="143"/>
      <c r="BF10" s="136" t="s">
        <v>325</v>
      </c>
      <c r="BG10" s="138" t="s">
        <v>326</v>
      </c>
      <c r="BH10" s="138" t="s">
        <v>327</v>
      </c>
      <c r="BI10" s="138" t="s">
        <v>328</v>
      </c>
      <c r="BJ10" s="138" t="s">
        <v>329</v>
      </c>
      <c r="BK10" s="137"/>
      <c r="BM10" s="144"/>
      <c r="BN10" s="141" t="s">
        <v>330</v>
      </c>
      <c r="BO10" s="15"/>
      <c r="BQ10" s="1" t="s">
        <v>310</v>
      </c>
      <c r="BR10" s="14"/>
      <c r="BS10" s="145" t="s">
        <v>331</v>
      </c>
      <c r="BT10" s="146" t="s">
        <v>332</v>
      </c>
      <c r="BU10" s="147"/>
      <c r="BV10" s="118"/>
      <c r="BW10" s="148"/>
      <c r="BX10" s="149" t="s">
        <v>333</v>
      </c>
      <c r="BY10" s="15"/>
      <c r="CA10" s="1" t="s">
        <v>310</v>
      </c>
      <c r="CB10" s="14"/>
      <c r="CC10" s="150" t="s">
        <v>334</v>
      </c>
      <c r="CD10" s="151" t="s">
        <v>335</v>
      </c>
      <c r="CE10" s="152"/>
      <c r="CF10" s="153"/>
      <c r="CG10" s="154"/>
      <c r="CH10" s="155" t="s">
        <v>336</v>
      </c>
      <c r="CI10" s="156"/>
      <c r="CK10" s="156"/>
      <c r="CL10" s="156"/>
      <c r="CM10" s="156"/>
      <c r="CO10" s="156"/>
      <c r="CP10" s="156"/>
      <c r="CQ10" s="157" t="s">
        <v>337</v>
      </c>
      <c r="CR10" s="157" t="s">
        <v>338</v>
      </c>
      <c r="CS10" s="14"/>
    </row>
    <row r="11" spans="2:97" ht="17.5" thickBot="1" x14ac:dyDescent="0.5">
      <c r="B11" s="126" t="s">
        <v>339</v>
      </c>
      <c r="D11" s="127" t="s">
        <v>296</v>
      </c>
      <c r="E11" s="682" t="s">
        <v>297</v>
      </c>
      <c r="F11" s="682"/>
      <c r="G11" s="683"/>
      <c r="H11" s="669" t="s">
        <v>340</v>
      </c>
      <c r="I11" s="670"/>
      <c r="J11" s="670"/>
      <c r="K11" s="670"/>
      <c r="L11" s="671"/>
      <c r="M11" s="672" t="s">
        <v>299</v>
      </c>
      <c r="N11" s="673"/>
      <c r="O11" s="673"/>
      <c r="P11" s="673"/>
      <c r="Q11" s="673"/>
      <c r="R11" s="673"/>
      <c r="S11" s="673"/>
      <c r="T11" s="673"/>
      <c r="U11" s="673"/>
      <c r="V11" s="673"/>
      <c r="W11" s="673"/>
      <c r="X11" s="674"/>
      <c r="AC11" s="132"/>
      <c r="BS11" s="118"/>
      <c r="CF11" s="153"/>
    </row>
    <row r="12" spans="2:97" ht="17.5" thickBot="1" x14ac:dyDescent="0.5">
      <c r="B12" s="58" t="s">
        <v>341</v>
      </c>
      <c r="D12" s="93">
        <v>1</v>
      </c>
      <c r="E12" s="93">
        <v>1</v>
      </c>
      <c r="F12" s="93">
        <v>1</v>
      </c>
      <c r="G12" s="93">
        <v>0</v>
      </c>
      <c r="AC12" s="132"/>
      <c r="AD12" s="1" t="s">
        <v>342</v>
      </c>
      <c r="AE12" s="14"/>
      <c r="AF12" s="14"/>
      <c r="AG12" s="14"/>
      <c r="AH12" s="14"/>
      <c r="AI12" s="639" t="s">
        <v>314</v>
      </c>
      <c r="AJ12" s="640"/>
      <c r="AK12" s="640"/>
      <c r="AL12" s="641"/>
      <c r="AM12" s="138" t="s">
        <v>315</v>
      </c>
      <c r="AN12" s="138" t="s">
        <v>316</v>
      </c>
      <c r="AO12" s="139"/>
      <c r="AQ12" s="140"/>
      <c r="AR12" s="141" t="s">
        <v>317</v>
      </c>
      <c r="AS12" s="141" t="s">
        <v>318</v>
      </c>
      <c r="AT12" s="141" t="s">
        <v>319</v>
      </c>
      <c r="AU12" s="14"/>
      <c r="AW12" s="48" t="s">
        <v>343</v>
      </c>
      <c r="AX12" s="14"/>
      <c r="AY12" s="14"/>
      <c r="AZ12" s="14"/>
      <c r="BA12" s="14"/>
      <c r="BB12" s="14"/>
      <c r="BC12" s="14"/>
      <c r="BE12" s="14"/>
      <c r="BF12" s="14"/>
      <c r="BG12" s="138" t="s">
        <v>326</v>
      </c>
      <c r="BH12" s="138" t="s">
        <v>327</v>
      </c>
      <c r="BI12" s="138" t="s">
        <v>328</v>
      </c>
      <c r="BJ12" s="138" t="s">
        <v>329</v>
      </c>
      <c r="BK12" s="137"/>
      <c r="BM12" s="144"/>
      <c r="BN12" s="141" t="s">
        <v>330</v>
      </c>
      <c r="BO12" s="15"/>
      <c r="BQ12" s="1" t="s">
        <v>342</v>
      </c>
      <c r="BR12" s="14"/>
      <c r="BS12" s="14"/>
      <c r="BT12" s="146" t="s">
        <v>332</v>
      </c>
      <c r="BU12" s="147"/>
      <c r="BV12" s="118"/>
      <c r="BW12" s="148"/>
      <c r="BX12" s="149" t="s">
        <v>333</v>
      </c>
      <c r="BY12" s="15"/>
      <c r="CA12" s="1" t="s">
        <v>342</v>
      </c>
      <c r="CB12" s="14"/>
      <c r="CC12" s="158"/>
      <c r="CD12" s="151" t="s">
        <v>344</v>
      </c>
      <c r="CE12" s="152"/>
      <c r="CF12" s="153"/>
      <c r="CG12" s="154"/>
      <c r="CH12" s="155" t="s">
        <v>336</v>
      </c>
      <c r="CI12" s="158"/>
      <c r="CK12" s="158"/>
      <c r="CL12" s="158"/>
      <c r="CM12" s="158"/>
      <c r="CO12" s="158"/>
      <c r="CP12" s="151" t="s">
        <v>337</v>
      </c>
      <c r="CQ12" s="151" t="s">
        <v>345</v>
      </c>
      <c r="CR12" s="158"/>
      <c r="CS12" s="159"/>
    </row>
    <row r="13" spans="2:97" x14ac:dyDescent="0.45">
      <c r="B13" s="58"/>
      <c r="D13" s="123" t="s">
        <v>346</v>
      </c>
      <c r="E13" s="124" t="s">
        <v>347</v>
      </c>
      <c r="F13" s="124" t="s">
        <v>283</v>
      </c>
      <c r="G13" s="125" t="s">
        <v>348</v>
      </c>
      <c r="H13" s="123" t="s">
        <v>349</v>
      </c>
      <c r="I13" s="124" t="s">
        <v>350</v>
      </c>
      <c r="J13" s="124" t="s">
        <v>351</v>
      </c>
      <c r="K13" s="124" t="s">
        <v>308</v>
      </c>
      <c r="L13" s="124" t="s">
        <v>309</v>
      </c>
      <c r="M13" s="124" t="s">
        <v>352</v>
      </c>
      <c r="N13" s="124" t="s">
        <v>353</v>
      </c>
      <c r="O13" s="124" t="s">
        <v>354</v>
      </c>
      <c r="P13" s="124" t="s">
        <v>293</v>
      </c>
      <c r="Q13" s="125" t="s">
        <v>294</v>
      </c>
      <c r="R13" s="123" t="s">
        <v>33</v>
      </c>
      <c r="S13" s="124" t="s">
        <v>34</v>
      </c>
      <c r="T13" s="124" t="s">
        <v>35</v>
      </c>
      <c r="U13" s="124" t="s">
        <v>36</v>
      </c>
      <c r="V13" s="124" t="s">
        <v>37</v>
      </c>
      <c r="W13" s="124" t="s">
        <v>38</v>
      </c>
      <c r="X13" s="124" t="s">
        <v>39</v>
      </c>
      <c r="Y13" s="124" t="s">
        <v>40</v>
      </c>
      <c r="Z13" s="124" t="s">
        <v>41</v>
      </c>
      <c r="AA13" s="125" t="s">
        <v>42</v>
      </c>
      <c r="AC13" s="132"/>
      <c r="CF13" s="153"/>
    </row>
    <row r="14" spans="2:97" ht="17.5" thickBot="1" x14ac:dyDescent="0.5">
      <c r="B14" s="126" t="s">
        <v>295</v>
      </c>
      <c r="D14" s="127" t="s">
        <v>296</v>
      </c>
      <c r="E14" s="160" t="s">
        <v>297</v>
      </c>
      <c r="F14" s="160"/>
      <c r="G14" s="161"/>
      <c r="H14" s="677" t="s">
        <v>355</v>
      </c>
      <c r="I14" s="678"/>
      <c r="J14" s="678"/>
      <c r="K14" s="678"/>
      <c r="L14" s="678"/>
      <c r="M14" s="678"/>
      <c r="N14" s="678"/>
      <c r="O14" s="678"/>
      <c r="P14" s="678"/>
      <c r="Q14" s="679"/>
      <c r="R14" s="677" t="s">
        <v>356</v>
      </c>
      <c r="S14" s="678"/>
      <c r="T14" s="678"/>
      <c r="U14" s="678"/>
      <c r="V14" s="678"/>
      <c r="W14" s="678"/>
      <c r="X14" s="678"/>
      <c r="Y14" s="678"/>
      <c r="Z14" s="678"/>
      <c r="AA14" s="679"/>
      <c r="AD14" s="1" t="s">
        <v>357</v>
      </c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39"/>
      <c r="AQ14" s="140"/>
      <c r="AR14" s="141" t="s">
        <v>317</v>
      </c>
      <c r="AS14" s="141" t="s">
        <v>318</v>
      </c>
      <c r="AT14" s="141" t="s">
        <v>319</v>
      </c>
      <c r="AU14" s="14"/>
      <c r="AW14" s="48" t="s">
        <v>358</v>
      </c>
      <c r="AX14" s="14"/>
      <c r="AY14" s="14"/>
      <c r="AZ14" s="14"/>
      <c r="BA14" s="14"/>
      <c r="BB14" s="14"/>
      <c r="BC14" s="14"/>
      <c r="BE14" s="14"/>
      <c r="BF14" s="14"/>
      <c r="BG14" s="14"/>
      <c r="BH14" s="14"/>
      <c r="BI14" s="14"/>
      <c r="BJ14" s="14"/>
      <c r="BK14" s="14"/>
      <c r="BM14" s="144"/>
      <c r="BN14" s="141" t="s">
        <v>330</v>
      </c>
      <c r="BO14" s="14"/>
      <c r="BQ14" s="1" t="s">
        <v>357</v>
      </c>
      <c r="BR14" s="14"/>
      <c r="BS14" s="14"/>
      <c r="BT14" s="14"/>
      <c r="BU14" s="147"/>
      <c r="BV14" s="118"/>
      <c r="BW14" s="148"/>
      <c r="BX14" s="149" t="s">
        <v>333</v>
      </c>
      <c r="BY14" s="15"/>
      <c r="CA14" s="1" t="s">
        <v>357</v>
      </c>
      <c r="CB14" s="14"/>
      <c r="CC14" s="158"/>
      <c r="CD14" s="158"/>
      <c r="CE14" s="152"/>
      <c r="CF14" s="153"/>
      <c r="CG14" s="154"/>
      <c r="CH14" s="155" t="s">
        <v>336</v>
      </c>
      <c r="CI14" s="156"/>
      <c r="CK14" s="156"/>
      <c r="CL14" s="156"/>
      <c r="CM14" s="156"/>
      <c r="CO14" s="162" t="s">
        <v>337</v>
      </c>
      <c r="CP14" s="162" t="s">
        <v>359</v>
      </c>
      <c r="CQ14" s="156"/>
      <c r="CR14" s="156"/>
      <c r="CS14" s="14"/>
    </row>
    <row r="15" spans="2:97" ht="17.5" thickBot="1" x14ac:dyDescent="0.5">
      <c r="B15" s="58" t="s">
        <v>360</v>
      </c>
      <c r="D15" s="93">
        <v>1</v>
      </c>
      <c r="E15" s="93">
        <v>1</v>
      </c>
      <c r="F15" s="93">
        <v>1</v>
      </c>
      <c r="G15" s="93">
        <v>1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Q15" s="1"/>
      <c r="AR15" s="1"/>
      <c r="AS15" s="1"/>
      <c r="AT15" s="1"/>
      <c r="AU15" s="1"/>
      <c r="AV15" s="1"/>
      <c r="AX15" s="1"/>
      <c r="AY15" s="1"/>
      <c r="AZ15" s="1"/>
      <c r="BA15" s="1"/>
      <c r="BB15" s="1"/>
      <c r="BC15" s="1"/>
      <c r="BE15" s="1"/>
      <c r="BF15" s="1"/>
      <c r="BG15" s="1"/>
      <c r="BH15" s="1"/>
      <c r="BI15" s="1"/>
      <c r="BJ15" s="1"/>
      <c r="BK15" s="1"/>
      <c r="BM15" s="1"/>
      <c r="BN15" s="1"/>
      <c r="BO15" s="1"/>
      <c r="BR15" s="1"/>
      <c r="BS15" s="1"/>
      <c r="BT15" s="1"/>
      <c r="BU15" s="1"/>
      <c r="BV15" s="1"/>
      <c r="BW15" s="1"/>
      <c r="BX15" s="1"/>
      <c r="CB15" s="1"/>
      <c r="CC15" s="153"/>
      <c r="CD15" s="153"/>
      <c r="CE15" s="153"/>
      <c r="CF15" s="153"/>
      <c r="CG15" s="153"/>
      <c r="CH15" s="153"/>
      <c r="CI15" s="153"/>
      <c r="CK15" s="153"/>
      <c r="CL15" s="153"/>
      <c r="CM15" s="153"/>
      <c r="CO15" s="153"/>
      <c r="CP15" s="153"/>
      <c r="CQ15" s="153"/>
      <c r="CR15" s="153"/>
      <c r="CS15" s="1"/>
    </row>
    <row r="16" spans="2:97" x14ac:dyDescent="0.45">
      <c r="B16" s="58"/>
      <c r="D16" s="123" t="s">
        <v>361</v>
      </c>
      <c r="E16" s="124" t="s">
        <v>346</v>
      </c>
      <c r="F16" s="124" t="s">
        <v>347</v>
      </c>
      <c r="G16" s="125" t="s">
        <v>283</v>
      </c>
      <c r="H16" s="131" t="s">
        <v>348</v>
      </c>
      <c r="I16" s="124" t="s">
        <v>349</v>
      </c>
      <c r="J16" s="124" t="s">
        <v>350</v>
      </c>
      <c r="K16" s="124" t="s">
        <v>351</v>
      </c>
      <c r="L16" s="124" t="s">
        <v>308</v>
      </c>
      <c r="M16" s="124" t="s">
        <v>309</v>
      </c>
      <c r="N16" s="124" t="s">
        <v>352</v>
      </c>
      <c r="O16" s="124" t="s">
        <v>353</v>
      </c>
      <c r="P16" s="124" t="s">
        <v>354</v>
      </c>
      <c r="Q16" s="163" t="s">
        <v>293</v>
      </c>
      <c r="R16" s="123" t="s">
        <v>294</v>
      </c>
      <c r="S16" s="124" t="s">
        <v>33</v>
      </c>
      <c r="T16" s="124" t="s">
        <v>34</v>
      </c>
      <c r="U16" s="124" t="s">
        <v>35</v>
      </c>
      <c r="V16" s="124" t="s">
        <v>36</v>
      </c>
      <c r="W16" s="124" t="s">
        <v>37</v>
      </c>
      <c r="X16" s="124" t="s">
        <v>38</v>
      </c>
      <c r="Y16" s="124" t="s">
        <v>39</v>
      </c>
      <c r="Z16" s="124" t="s">
        <v>40</v>
      </c>
      <c r="AA16" s="124" t="s">
        <v>41</v>
      </c>
      <c r="AB16" s="125" t="s">
        <v>42</v>
      </c>
      <c r="AD16" s="1" t="s">
        <v>362</v>
      </c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Q16" s="140"/>
      <c r="AR16" s="141" t="s">
        <v>317</v>
      </c>
      <c r="AS16" s="141" t="s">
        <v>318</v>
      </c>
      <c r="AT16" s="141" t="s">
        <v>319</v>
      </c>
      <c r="AU16" s="14"/>
      <c r="AW16" s="48" t="s">
        <v>363</v>
      </c>
      <c r="AX16" s="14"/>
      <c r="AY16" s="14"/>
      <c r="AZ16" s="14"/>
      <c r="BA16" s="14"/>
      <c r="BB16" s="14"/>
      <c r="BC16" s="14"/>
      <c r="BE16" s="14"/>
      <c r="BF16" s="14"/>
      <c r="BG16" s="14"/>
      <c r="BH16" s="14"/>
      <c r="BI16" s="14"/>
      <c r="BJ16" s="14"/>
      <c r="BK16" s="14"/>
      <c r="BM16" s="144"/>
      <c r="BN16" s="141" t="s">
        <v>330</v>
      </c>
      <c r="BO16" s="14"/>
      <c r="BQ16" s="1" t="s">
        <v>362</v>
      </c>
      <c r="BR16" s="14"/>
      <c r="BS16" s="14"/>
      <c r="BT16" s="14"/>
      <c r="BU16" s="14"/>
      <c r="BW16" s="148"/>
      <c r="BX16" s="149" t="s">
        <v>333</v>
      </c>
      <c r="BY16" s="15"/>
      <c r="CA16" s="1" t="s">
        <v>362</v>
      </c>
      <c r="CB16" s="14"/>
      <c r="CC16" s="156"/>
      <c r="CD16" s="156"/>
      <c r="CE16" s="156"/>
      <c r="CF16" s="153"/>
      <c r="CG16" s="156"/>
      <c r="CH16" s="155" t="s">
        <v>336</v>
      </c>
      <c r="CI16" s="156"/>
      <c r="CK16" s="156"/>
      <c r="CL16" s="155" t="s">
        <v>337</v>
      </c>
      <c r="CM16" s="155" t="s">
        <v>364</v>
      </c>
      <c r="CO16" s="156"/>
      <c r="CP16" s="156"/>
      <c r="CQ16" s="156"/>
      <c r="CR16" s="156"/>
      <c r="CS16" s="14"/>
    </row>
    <row r="17" spans="2:97" ht="17.5" thickBot="1" x14ac:dyDescent="0.5">
      <c r="B17" s="126" t="s">
        <v>295</v>
      </c>
      <c r="D17" s="127" t="s">
        <v>296</v>
      </c>
      <c r="E17" s="160" t="s">
        <v>297</v>
      </c>
      <c r="F17" s="160"/>
      <c r="G17" s="161"/>
      <c r="H17" s="678" t="s">
        <v>355</v>
      </c>
      <c r="I17" s="678"/>
      <c r="J17" s="678"/>
      <c r="K17" s="678"/>
      <c r="L17" s="678"/>
      <c r="M17" s="678"/>
      <c r="N17" s="678"/>
      <c r="O17" s="678"/>
      <c r="P17" s="678"/>
      <c r="Q17" s="678"/>
      <c r="R17" s="677" t="s">
        <v>365</v>
      </c>
      <c r="S17" s="678"/>
      <c r="T17" s="678"/>
      <c r="U17" s="678"/>
      <c r="V17" s="678"/>
      <c r="W17" s="678"/>
      <c r="X17" s="678"/>
      <c r="Y17" s="678"/>
      <c r="Z17" s="678"/>
      <c r="AA17" s="678"/>
      <c r="AB17" s="679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Q17" s="1"/>
      <c r="AR17" s="1"/>
      <c r="AS17" s="1"/>
      <c r="AT17" s="1"/>
      <c r="AU17" s="1"/>
      <c r="AX17" s="1"/>
      <c r="AY17" s="1"/>
      <c r="AZ17" s="1"/>
      <c r="BA17" s="1"/>
      <c r="BB17" s="1"/>
      <c r="BC17" s="1"/>
      <c r="BE17" s="1"/>
      <c r="BF17" s="1"/>
      <c r="BG17" s="1"/>
      <c r="BH17" s="1"/>
      <c r="BI17" s="1"/>
      <c r="BJ17" s="1"/>
      <c r="BK17" s="1"/>
      <c r="BM17" s="1"/>
      <c r="BN17" s="1"/>
      <c r="BO17" s="1"/>
      <c r="BR17" s="1"/>
      <c r="BS17" s="1"/>
      <c r="BT17" s="1"/>
      <c r="BU17" s="1"/>
      <c r="BW17" s="1"/>
      <c r="BX17" s="1"/>
      <c r="CB17" s="1"/>
      <c r="CC17" s="153"/>
      <c r="CD17" s="153"/>
      <c r="CE17" s="153"/>
      <c r="CF17" s="153"/>
      <c r="CG17" s="153"/>
      <c r="CH17" s="153"/>
      <c r="CI17" s="153"/>
      <c r="CK17" s="153"/>
      <c r="CL17" s="153"/>
      <c r="CM17" s="153"/>
      <c r="CO17" s="153"/>
      <c r="CP17" s="153"/>
      <c r="CQ17" s="153"/>
      <c r="CR17" s="153"/>
      <c r="CS17" s="1"/>
    </row>
    <row r="18" spans="2:97" ht="17.5" thickBot="1" x14ac:dyDescent="0.5">
      <c r="B18" s="58" t="s">
        <v>366</v>
      </c>
      <c r="D18" s="93">
        <v>1</v>
      </c>
      <c r="E18" s="93">
        <v>1</v>
      </c>
      <c r="F18" s="93">
        <v>1</v>
      </c>
      <c r="G18" s="93">
        <v>1</v>
      </c>
      <c r="AD18" s="1" t="s">
        <v>367</v>
      </c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Q18" s="164"/>
      <c r="AR18" s="164"/>
      <c r="AS18" s="164"/>
      <c r="AT18" s="164"/>
      <c r="AU18" s="164"/>
      <c r="AW18" s="48" t="s">
        <v>368</v>
      </c>
      <c r="AX18" s="164"/>
      <c r="AY18" s="164"/>
      <c r="AZ18" s="164"/>
      <c r="BA18" s="164"/>
      <c r="BB18" s="164"/>
      <c r="BC18" s="164"/>
      <c r="BE18" s="164"/>
      <c r="BF18" s="164"/>
      <c r="BG18" s="164"/>
      <c r="BH18" s="164"/>
      <c r="BI18" s="164"/>
      <c r="BJ18" s="164"/>
      <c r="BK18" s="164"/>
      <c r="BM18" s="164"/>
      <c r="BN18" s="164"/>
      <c r="BO18" s="164"/>
      <c r="BQ18" s="1" t="s">
        <v>367</v>
      </c>
      <c r="BR18" s="164"/>
      <c r="BS18" s="164"/>
      <c r="BT18" s="164"/>
      <c r="BU18" s="164"/>
      <c r="BW18" s="164"/>
      <c r="BX18" s="164"/>
      <c r="BY18" s="14"/>
      <c r="CA18" s="1" t="s">
        <v>367</v>
      </c>
      <c r="CB18" s="164"/>
      <c r="CC18" s="158"/>
      <c r="CD18" s="158"/>
      <c r="CE18" s="158"/>
      <c r="CF18" s="153"/>
      <c r="CG18" s="165"/>
      <c r="CH18" s="165"/>
      <c r="CI18" s="165"/>
      <c r="CK18" s="165"/>
      <c r="CL18" s="165"/>
      <c r="CM18" s="165"/>
      <c r="CO18" s="165"/>
      <c r="CP18" s="165"/>
      <c r="CQ18" s="165"/>
      <c r="CR18" s="165"/>
      <c r="CS18" s="164"/>
    </row>
    <row r="19" spans="2:97" x14ac:dyDescent="0.45">
      <c r="B19" s="58"/>
      <c r="D19" s="123" t="s">
        <v>369</v>
      </c>
      <c r="E19" s="124" t="s">
        <v>361</v>
      </c>
      <c r="F19" s="124" t="s">
        <v>346</v>
      </c>
      <c r="G19" s="125" t="s">
        <v>347</v>
      </c>
      <c r="H19" s="131" t="s">
        <v>283</v>
      </c>
      <c r="I19" s="124" t="s">
        <v>348</v>
      </c>
      <c r="J19" s="124" t="s">
        <v>349</v>
      </c>
      <c r="K19" s="124" t="s">
        <v>350</v>
      </c>
      <c r="L19" s="124" t="s">
        <v>351</v>
      </c>
      <c r="M19" s="124" t="s">
        <v>308</v>
      </c>
      <c r="N19" s="124" t="s">
        <v>309</v>
      </c>
      <c r="O19" s="124" t="s">
        <v>352</v>
      </c>
      <c r="P19" s="124" t="s">
        <v>353</v>
      </c>
      <c r="Q19" s="163" t="s">
        <v>354</v>
      </c>
      <c r="R19" s="123" t="s">
        <v>293</v>
      </c>
      <c r="S19" s="124" t="s">
        <v>294</v>
      </c>
      <c r="T19" s="124" t="s">
        <v>33</v>
      </c>
      <c r="U19" s="124" t="s">
        <v>34</v>
      </c>
      <c r="V19" s="124" t="s">
        <v>35</v>
      </c>
      <c r="W19" s="124" t="s">
        <v>36</v>
      </c>
      <c r="X19" s="124" t="s">
        <v>37</v>
      </c>
      <c r="Y19" s="124" t="s">
        <v>38</v>
      </c>
      <c r="Z19" s="124" t="s">
        <v>39</v>
      </c>
      <c r="AA19" s="124" t="s">
        <v>40</v>
      </c>
      <c r="AB19" s="124" t="s">
        <v>41</v>
      </c>
      <c r="AC19" s="125" t="s">
        <v>42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Q19" s="1"/>
      <c r="AR19" s="1"/>
      <c r="AS19" s="1"/>
      <c r="AT19" s="1"/>
      <c r="AU19" s="1"/>
      <c r="CF19" s="153"/>
    </row>
    <row r="20" spans="2:97" ht="17.5" thickBot="1" x14ac:dyDescent="0.5">
      <c r="B20" s="126" t="s">
        <v>295</v>
      </c>
      <c r="D20" s="127" t="s">
        <v>296</v>
      </c>
      <c r="E20" s="160" t="s">
        <v>297</v>
      </c>
      <c r="F20" s="160"/>
      <c r="G20" s="161"/>
      <c r="H20" s="678" t="s">
        <v>355</v>
      </c>
      <c r="I20" s="678"/>
      <c r="J20" s="678"/>
      <c r="K20" s="678"/>
      <c r="L20" s="678"/>
      <c r="M20" s="678"/>
      <c r="N20" s="678"/>
      <c r="O20" s="678"/>
      <c r="P20" s="678"/>
      <c r="Q20" s="678"/>
      <c r="R20" s="677" t="s">
        <v>370</v>
      </c>
      <c r="S20" s="678"/>
      <c r="T20" s="678"/>
      <c r="U20" s="678"/>
      <c r="V20" s="678"/>
      <c r="W20" s="678"/>
      <c r="X20" s="678"/>
      <c r="Y20" s="678"/>
      <c r="Z20" s="678"/>
      <c r="AA20" s="678"/>
      <c r="AB20" s="678"/>
      <c r="AC20" s="679"/>
      <c r="CF20" s="153"/>
    </row>
    <row r="21" spans="2:97" ht="17.5" thickBot="1" x14ac:dyDescent="0.5">
      <c r="B21" s="58" t="s">
        <v>371</v>
      </c>
      <c r="D21" s="93">
        <v>1</v>
      </c>
      <c r="E21" s="93">
        <v>1</v>
      </c>
      <c r="F21" s="93">
        <v>1</v>
      </c>
      <c r="G21" s="93">
        <v>1</v>
      </c>
    </row>
    <row r="22" spans="2:97" ht="17.5" thickBot="1" x14ac:dyDescent="0.5">
      <c r="B22" s="58"/>
      <c r="D22" s="166" t="s">
        <v>349</v>
      </c>
      <c r="E22" s="167" t="s">
        <v>350</v>
      </c>
      <c r="F22" s="167" t="s">
        <v>351</v>
      </c>
      <c r="G22" s="168" t="s">
        <v>308</v>
      </c>
      <c r="H22" s="169" t="s">
        <v>309</v>
      </c>
      <c r="I22" s="167" t="s">
        <v>352</v>
      </c>
      <c r="J22" s="167" t="s">
        <v>353</v>
      </c>
      <c r="K22" s="167" t="s">
        <v>354</v>
      </c>
      <c r="L22" s="167" t="s">
        <v>293</v>
      </c>
      <c r="M22" s="167" t="s">
        <v>294</v>
      </c>
      <c r="N22" s="167" t="s">
        <v>33</v>
      </c>
      <c r="O22" s="167" t="s">
        <v>34</v>
      </c>
      <c r="P22" s="167" t="s">
        <v>35</v>
      </c>
      <c r="Q22" s="167" t="s">
        <v>36</v>
      </c>
      <c r="R22" s="167" t="s">
        <v>37</v>
      </c>
      <c r="S22" s="167" t="s">
        <v>38</v>
      </c>
      <c r="T22" s="167" t="s">
        <v>39</v>
      </c>
      <c r="U22" s="167" t="s">
        <v>40</v>
      </c>
      <c r="V22" s="167" t="s">
        <v>41</v>
      </c>
      <c r="W22" s="168" t="s">
        <v>42</v>
      </c>
    </row>
    <row r="23" spans="2:97" ht="17.5" thickBot="1" x14ac:dyDescent="0.5">
      <c r="B23" s="126" t="s">
        <v>295</v>
      </c>
      <c r="D23" s="170" t="s">
        <v>296</v>
      </c>
      <c r="E23" s="171" t="s">
        <v>297</v>
      </c>
      <c r="F23" s="171"/>
      <c r="G23" s="172"/>
      <c r="H23" s="675" t="s">
        <v>372</v>
      </c>
      <c r="I23" s="675"/>
      <c r="J23" s="675"/>
      <c r="K23" s="675"/>
      <c r="L23" s="675"/>
      <c r="M23" s="675"/>
      <c r="N23" s="675"/>
      <c r="O23" s="675"/>
      <c r="P23" s="675"/>
      <c r="Q23" s="675"/>
      <c r="R23" s="675"/>
      <c r="S23" s="675"/>
      <c r="T23" s="675"/>
      <c r="U23" s="675"/>
      <c r="V23" s="675"/>
      <c r="W23" s="676"/>
      <c r="AW23" s="43" t="s">
        <v>373</v>
      </c>
    </row>
    <row r="24" spans="2:97" ht="17.5" thickBot="1" x14ac:dyDescent="0.5">
      <c r="B24" s="58" t="s">
        <v>374</v>
      </c>
      <c r="D24" s="93">
        <v>1</v>
      </c>
      <c r="E24" s="93">
        <v>1</v>
      </c>
      <c r="F24" s="93">
        <v>1</v>
      </c>
      <c r="G24" s="93">
        <v>1</v>
      </c>
      <c r="AD24" s="1" t="s">
        <v>310</v>
      </c>
      <c r="AE24" s="14"/>
      <c r="AF24" s="636" t="s">
        <v>375</v>
      </c>
      <c r="AG24" s="638"/>
      <c r="AH24" s="136" t="s">
        <v>312</v>
      </c>
      <c r="AI24" s="639" t="s">
        <v>376</v>
      </c>
      <c r="AJ24" s="640"/>
      <c r="AK24" s="640"/>
      <c r="AL24" s="641"/>
      <c r="AM24" s="138" t="s">
        <v>315</v>
      </c>
      <c r="AN24" s="622"/>
      <c r="AO24" s="623"/>
      <c r="AQ24" s="140"/>
      <c r="AR24" s="141" t="s">
        <v>377</v>
      </c>
      <c r="AS24" s="141" t="s">
        <v>318</v>
      </c>
      <c r="AT24" s="14"/>
      <c r="AU24" s="14"/>
      <c r="AW24" s="48" t="s">
        <v>320</v>
      </c>
      <c r="AX24" s="14"/>
      <c r="AY24" s="136" t="s">
        <v>321</v>
      </c>
      <c r="AZ24" s="136" t="s">
        <v>378</v>
      </c>
      <c r="BA24" s="136" t="s">
        <v>379</v>
      </c>
      <c r="BB24" s="136" t="s">
        <v>380</v>
      </c>
      <c r="BC24" s="142"/>
      <c r="BE24" s="143"/>
      <c r="BF24" s="136" t="s">
        <v>380</v>
      </c>
      <c r="BG24" s="138" t="s">
        <v>326</v>
      </c>
      <c r="BH24" s="138" t="s">
        <v>378</v>
      </c>
      <c r="BI24" s="138" t="s">
        <v>379</v>
      </c>
      <c r="BJ24" s="138" t="s">
        <v>380</v>
      </c>
      <c r="BK24" s="137"/>
      <c r="BM24" s="144"/>
      <c r="BN24" s="141" t="s">
        <v>381</v>
      </c>
      <c r="BO24" s="15"/>
    </row>
    <row r="25" spans="2:97" x14ac:dyDescent="0.45">
      <c r="B25" s="58"/>
      <c r="D25" s="128" t="s">
        <v>302</v>
      </c>
      <c r="E25" s="129" t="s">
        <v>303</v>
      </c>
      <c r="F25" s="129" t="s">
        <v>304</v>
      </c>
      <c r="G25" s="130" t="s">
        <v>305</v>
      </c>
    </row>
    <row r="26" spans="2:97" ht="17.5" thickBot="1" x14ac:dyDescent="0.5">
      <c r="B26" s="126" t="s">
        <v>295</v>
      </c>
      <c r="D26" s="127" t="s">
        <v>296</v>
      </c>
      <c r="E26" s="682" t="s">
        <v>297</v>
      </c>
      <c r="F26" s="682"/>
      <c r="G26" s="683"/>
      <c r="AD26" s="1" t="s">
        <v>342</v>
      </c>
      <c r="AE26" s="14"/>
      <c r="AF26" s="14"/>
      <c r="AG26" s="14"/>
      <c r="AH26" s="14"/>
      <c r="AI26" s="639" t="s">
        <v>376</v>
      </c>
      <c r="AJ26" s="640"/>
      <c r="AK26" s="640"/>
      <c r="AL26" s="641"/>
      <c r="AM26" s="138" t="s">
        <v>315</v>
      </c>
      <c r="AN26" s="622"/>
      <c r="AO26" s="623"/>
      <c r="AQ26" s="140"/>
      <c r="AR26" s="141" t="s">
        <v>377</v>
      </c>
      <c r="AS26" s="141" t="s">
        <v>318</v>
      </c>
      <c r="AT26" s="14"/>
      <c r="AU26" s="14"/>
      <c r="AW26" s="48" t="s">
        <v>343</v>
      </c>
      <c r="AX26" s="14"/>
      <c r="AY26" s="14"/>
      <c r="AZ26" s="14"/>
      <c r="BA26" s="14"/>
      <c r="BB26" s="14"/>
      <c r="BC26" s="14"/>
      <c r="BE26" s="14"/>
      <c r="BF26" s="14"/>
      <c r="BG26" s="138" t="s">
        <v>326</v>
      </c>
      <c r="BH26" s="138" t="s">
        <v>378</v>
      </c>
      <c r="BI26" s="138" t="s">
        <v>379</v>
      </c>
      <c r="BJ26" s="138" t="s">
        <v>380</v>
      </c>
      <c r="BK26" s="137"/>
      <c r="BM26" s="144"/>
      <c r="BN26" s="141" t="s">
        <v>381</v>
      </c>
      <c r="BO26" s="15"/>
    </row>
    <row r="27" spans="2:97" ht="17.5" thickBot="1" x14ac:dyDescent="0.5">
      <c r="B27" s="58" t="s">
        <v>382</v>
      </c>
      <c r="D27" s="93">
        <v>1</v>
      </c>
      <c r="E27" s="93">
        <v>0</v>
      </c>
      <c r="F27" s="93">
        <v>1</v>
      </c>
      <c r="G27" s="93">
        <v>0</v>
      </c>
    </row>
    <row r="28" spans="2:97" x14ac:dyDescent="0.45">
      <c r="B28" s="58"/>
      <c r="D28" s="128" t="s">
        <v>303</v>
      </c>
      <c r="E28" s="129" t="s">
        <v>304</v>
      </c>
      <c r="F28" s="129" t="s">
        <v>305</v>
      </c>
      <c r="G28" s="130" t="s">
        <v>383</v>
      </c>
      <c r="H28" s="124" t="s">
        <v>39</v>
      </c>
      <c r="I28" s="124" t="s">
        <v>40</v>
      </c>
      <c r="J28" s="124" t="s">
        <v>384</v>
      </c>
      <c r="K28" s="125" t="s">
        <v>385</v>
      </c>
      <c r="AD28" s="1" t="s">
        <v>357</v>
      </c>
      <c r="AE28" s="14"/>
      <c r="AF28" s="14"/>
      <c r="AG28" s="14"/>
      <c r="AH28" s="14"/>
      <c r="AI28" s="14"/>
      <c r="AJ28" s="14"/>
      <c r="AK28" s="14"/>
      <c r="AL28" s="14"/>
      <c r="AM28" s="14"/>
      <c r="AN28" s="622"/>
      <c r="AO28" s="623"/>
      <c r="AQ28" s="140"/>
      <c r="AR28" s="141" t="s">
        <v>377</v>
      </c>
      <c r="AS28" s="141" t="s">
        <v>318</v>
      </c>
      <c r="AT28" s="14"/>
      <c r="AU28" s="14"/>
      <c r="AW28" s="48" t="s">
        <v>358</v>
      </c>
      <c r="AX28" s="14"/>
      <c r="AY28" s="14"/>
      <c r="AZ28" s="14"/>
      <c r="BA28" s="14"/>
      <c r="BB28" s="14"/>
      <c r="BC28" s="14"/>
      <c r="BE28" s="14"/>
      <c r="BF28" s="14"/>
      <c r="BG28" s="14"/>
      <c r="BH28" s="14"/>
      <c r="BI28" s="14"/>
      <c r="BJ28" s="14"/>
      <c r="BK28" s="14"/>
      <c r="BM28" s="144"/>
      <c r="BN28" s="141" t="s">
        <v>381</v>
      </c>
      <c r="BO28" s="14"/>
    </row>
    <row r="29" spans="2:97" ht="17.5" thickBot="1" x14ac:dyDescent="0.5">
      <c r="B29" s="126" t="s">
        <v>339</v>
      </c>
      <c r="D29" s="127" t="s">
        <v>296</v>
      </c>
      <c r="E29" s="663" t="s">
        <v>297</v>
      </c>
      <c r="F29" s="664"/>
      <c r="G29" s="665"/>
      <c r="H29" s="133" t="s">
        <v>386</v>
      </c>
      <c r="I29" s="133" t="s">
        <v>387</v>
      </c>
      <c r="J29" s="133" t="s">
        <v>388</v>
      </c>
      <c r="K29" s="134" t="s">
        <v>389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Q29" s="1"/>
      <c r="AR29" s="1"/>
      <c r="AS29" s="1"/>
      <c r="AT29" s="1"/>
      <c r="AU29" s="1"/>
      <c r="AX29" s="1"/>
      <c r="AY29" s="1"/>
      <c r="AZ29" s="1"/>
      <c r="BA29" s="1"/>
      <c r="BB29" s="1"/>
      <c r="BC29" s="1"/>
      <c r="BE29" s="1"/>
      <c r="BF29" s="1"/>
      <c r="BG29" s="1"/>
      <c r="BH29" s="1"/>
      <c r="BI29" s="1"/>
      <c r="BJ29" s="1"/>
      <c r="BK29" s="1"/>
      <c r="BM29" s="1"/>
      <c r="BN29" s="1"/>
      <c r="BO29" s="1"/>
    </row>
    <row r="30" spans="2:97" ht="17.5" thickBot="1" x14ac:dyDescent="0.5">
      <c r="B30" s="58" t="s">
        <v>390</v>
      </c>
      <c r="D30" s="93">
        <v>1</v>
      </c>
      <c r="E30" s="93">
        <v>0</v>
      </c>
      <c r="F30" s="93">
        <v>1</v>
      </c>
      <c r="G30" s="93">
        <v>0</v>
      </c>
      <c r="AD30" s="1" t="s">
        <v>362</v>
      </c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Q30" s="140"/>
      <c r="AR30" s="141" t="s">
        <v>377</v>
      </c>
      <c r="AS30" s="141" t="s">
        <v>318</v>
      </c>
      <c r="AT30" s="14"/>
      <c r="AU30" s="14"/>
      <c r="AW30" s="48" t="s">
        <v>363</v>
      </c>
      <c r="AX30" s="14"/>
      <c r="AY30" s="14"/>
      <c r="AZ30" s="14"/>
      <c r="BA30" s="14"/>
      <c r="BB30" s="14"/>
      <c r="BC30" s="14"/>
      <c r="BE30" s="14"/>
      <c r="BF30" s="14"/>
      <c r="BG30" s="14"/>
      <c r="BH30" s="14"/>
      <c r="BI30" s="14"/>
      <c r="BJ30" s="14"/>
      <c r="BK30" s="14"/>
      <c r="BM30" s="144"/>
      <c r="BN30" s="141" t="s">
        <v>381</v>
      </c>
      <c r="BO30" s="14"/>
    </row>
    <row r="31" spans="2:97" x14ac:dyDescent="0.45">
      <c r="B31" s="58"/>
      <c r="D31" s="128" t="s">
        <v>383</v>
      </c>
      <c r="E31" s="129" t="s">
        <v>391</v>
      </c>
      <c r="F31" s="129" t="s">
        <v>392</v>
      </c>
      <c r="G31" s="130" t="s">
        <v>384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Q31" s="1"/>
      <c r="AR31" s="1"/>
      <c r="AS31" s="1"/>
      <c r="AT31" s="1"/>
      <c r="AU31" s="1"/>
      <c r="AX31" s="1"/>
      <c r="AY31" s="1"/>
      <c r="AZ31" s="1"/>
      <c r="BA31" s="1"/>
      <c r="BB31" s="1"/>
      <c r="BC31" s="1"/>
      <c r="BE31" s="1"/>
      <c r="BF31" s="1"/>
      <c r="BG31" s="1"/>
      <c r="BH31" s="1"/>
      <c r="BI31" s="1"/>
      <c r="BJ31" s="1"/>
      <c r="BK31" s="1"/>
      <c r="BM31" s="1"/>
      <c r="BN31" s="1"/>
      <c r="BO31" s="1"/>
    </row>
    <row r="32" spans="2:97" ht="17.5" thickBot="1" x14ac:dyDescent="0.5">
      <c r="B32" s="126" t="s">
        <v>295</v>
      </c>
      <c r="D32" s="127" t="s">
        <v>296</v>
      </c>
      <c r="E32" s="663" t="s">
        <v>297</v>
      </c>
      <c r="F32" s="664"/>
      <c r="G32" s="665"/>
      <c r="AD32" s="1" t="s">
        <v>367</v>
      </c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Q32" s="164"/>
      <c r="AR32" s="164"/>
      <c r="AS32" s="164"/>
      <c r="AT32" s="164"/>
      <c r="AU32" s="164"/>
      <c r="AW32" s="48" t="s">
        <v>368</v>
      </c>
      <c r="AX32" s="164"/>
      <c r="AY32" s="164"/>
      <c r="AZ32" s="164"/>
      <c r="BA32" s="164"/>
      <c r="BB32" s="164"/>
      <c r="BC32" s="164"/>
      <c r="BE32" s="164"/>
      <c r="BF32" s="164"/>
      <c r="BG32" s="164"/>
      <c r="BH32" s="164"/>
      <c r="BI32" s="164"/>
      <c r="BJ32" s="164"/>
      <c r="BK32" s="164"/>
      <c r="BM32" s="164"/>
      <c r="BN32" s="164"/>
      <c r="BO32" s="164"/>
    </row>
    <row r="33" spans="2:47" ht="17.5" thickBot="1" x14ac:dyDescent="0.5">
      <c r="B33" s="58" t="s">
        <v>393</v>
      </c>
      <c r="D33" s="93">
        <v>1</v>
      </c>
      <c r="E33" s="93">
        <v>0</v>
      </c>
      <c r="F33" s="93">
        <v>0</v>
      </c>
      <c r="G33" s="93">
        <v>1</v>
      </c>
    </row>
    <row r="34" spans="2:47" x14ac:dyDescent="0.45">
      <c r="B34" s="58"/>
      <c r="D34" s="128" t="s">
        <v>383</v>
      </c>
      <c r="E34" s="129" t="s">
        <v>391</v>
      </c>
      <c r="F34" s="129" t="s">
        <v>392</v>
      </c>
      <c r="G34" s="130" t="s">
        <v>384</v>
      </c>
    </row>
    <row r="35" spans="2:47" ht="17.5" thickBot="1" x14ac:dyDescent="0.5">
      <c r="B35" s="126" t="s">
        <v>295</v>
      </c>
      <c r="D35" s="127" t="s">
        <v>296</v>
      </c>
      <c r="E35" s="663" t="s">
        <v>297</v>
      </c>
      <c r="F35" s="664"/>
      <c r="G35" s="665"/>
    </row>
    <row r="36" spans="2:47" x14ac:dyDescent="0.45">
      <c r="B36" s="58" t="s">
        <v>394</v>
      </c>
      <c r="D36" s="93">
        <v>1</v>
      </c>
      <c r="E36" s="93">
        <v>0</v>
      </c>
      <c r="F36" s="93">
        <v>0</v>
      </c>
      <c r="G36" s="93">
        <v>0</v>
      </c>
    </row>
    <row r="38" spans="2:47" x14ac:dyDescent="0.45">
      <c r="AD38" s="1" t="s">
        <v>367</v>
      </c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</row>
    <row r="39" spans="2:47" x14ac:dyDescent="0.45">
      <c r="B39" s="117" t="s">
        <v>1054</v>
      </c>
      <c r="C39" s="3"/>
      <c r="D39" s="681" t="s">
        <v>1060</v>
      </c>
      <c r="E39" s="681"/>
      <c r="F39" s="681"/>
      <c r="G39" s="681"/>
      <c r="H39" s="681"/>
      <c r="I39" s="681"/>
      <c r="J39" s="681"/>
      <c r="K39" s="681"/>
      <c r="L39" s="681"/>
      <c r="M39" s="681"/>
      <c r="N39" s="681"/>
      <c r="O39" s="681"/>
      <c r="P39" s="681"/>
      <c r="Q39" s="681"/>
      <c r="R39" s="681"/>
      <c r="S39" s="681"/>
      <c r="T39" s="681"/>
      <c r="U39" s="681"/>
      <c r="V39" s="681"/>
      <c r="W39" s="681"/>
      <c r="X39" s="681"/>
      <c r="Y39" s="681"/>
    </row>
    <row r="40" spans="2:47" ht="17.5" thickBot="1" x14ac:dyDescent="0.5">
      <c r="B40" s="224"/>
      <c r="F40" s="122"/>
      <c r="I40" s="122"/>
      <c r="AD40" s="1" t="s">
        <v>362</v>
      </c>
      <c r="AE40" s="14"/>
      <c r="AF40" s="173" t="s">
        <v>395</v>
      </c>
      <c r="AG40" s="174" t="s">
        <v>396</v>
      </c>
      <c r="AH40" s="174" t="s">
        <v>319</v>
      </c>
      <c r="AI40" s="175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</row>
    <row r="41" spans="2:47" x14ac:dyDescent="0.45">
      <c r="B41" s="58" t="s">
        <v>300</v>
      </c>
      <c r="D41" s="123" t="s">
        <v>283</v>
      </c>
      <c r="E41" s="124" t="s">
        <v>284</v>
      </c>
      <c r="F41" s="124" t="s">
        <v>285</v>
      </c>
      <c r="G41" s="125" t="s">
        <v>286</v>
      </c>
      <c r="H41" s="123" t="s">
        <v>287</v>
      </c>
      <c r="I41" s="124" t="s">
        <v>288</v>
      </c>
      <c r="J41" s="124" t="s">
        <v>289</v>
      </c>
      <c r="K41" s="124" t="s">
        <v>290</v>
      </c>
      <c r="L41" s="124" t="s">
        <v>291</v>
      </c>
      <c r="M41" s="125" t="s">
        <v>292</v>
      </c>
      <c r="N41" s="123" t="s">
        <v>293</v>
      </c>
      <c r="O41" s="124" t="s">
        <v>294</v>
      </c>
      <c r="P41" s="124" t="s">
        <v>33</v>
      </c>
      <c r="Q41" s="124" t="s">
        <v>34</v>
      </c>
      <c r="R41" s="124" t="s">
        <v>35</v>
      </c>
      <c r="S41" s="124" t="s">
        <v>36</v>
      </c>
      <c r="T41" s="124" t="s">
        <v>37</v>
      </c>
      <c r="U41" s="124" t="s">
        <v>38</v>
      </c>
      <c r="V41" s="124" t="s">
        <v>39</v>
      </c>
      <c r="W41" s="124" t="s">
        <v>40</v>
      </c>
      <c r="X41" s="124" t="s">
        <v>41</v>
      </c>
      <c r="Y41" s="125" t="s">
        <v>42</v>
      </c>
    </row>
    <row r="42" spans="2:47" ht="17.5" thickBot="1" x14ac:dyDescent="0.5">
      <c r="B42" s="126">
        <v>1101</v>
      </c>
      <c r="D42" s="127" t="s">
        <v>296</v>
      </c>
      <c r="E42" s="663" t="s">
        <v>1059</v>
      </c>
      <c r="F42" s="664"/>
      <c r="G42" s="665"/>
      <c r="H42" s="628" t="s">
        <v>298</v>
      </c>
      <c r="I42" s="630"/>
      <c r="J42" s="630"/>
      <c r="K42" s="630"/>
      <c r="L42" s="630"/>
      <c r="M42" s="629"/>
      <c r="N42" s="628" t="s">
        <v>299</v>
      </c>
      <c r="O42" s="630"/>
      <c r="P42" s="630"/>
      <c r="Q42" s="630"/>
      <c r="R42" s="630"/>
      <c r="S42" s="630"/>
      <c r="T42" s="630"/>
      <c r="U42" s="630"/>
      <c r="V42" s="630"/>
      <c r="W42" s="630"/>
      <c r="X42" s="630"/>
      <c r="Y42" s="629"/>
      <c r="AD42" s="1" t="s">
        <v>397</v>
      </c>
      <c r="AE42" s="14"/>
      <c r="AF42" s="173" t="s">
        <v>395</v>
      </c>
      <c r="AG42" s="174" t="s">
        <v>396</v>
      </c>
      <c r="AH42" s="174" t="s">
        <v>319</v>
      </c>
      <c r="AI42" s="176"/>
      <c r="AK42" s="177"/>
      <c r="AL42" s="14"/>
      <c r="AM42" s="14"/>
      <c r="AN42" s="14"/>
      <c r="AO42" s="14"/>
      <c r="AP42" s="14"/>
      <c r="AQ42" s="14"/>
      <c r="AR42" s="14"/>
      <c r="AS42" s="14"/>
      <c r="AT42" s="14"/>
      <c r="AU42" s="14"/>
    </row>
    <row r="43" spans="2:47" ht="17.5" thickBot="1" x14ac:dyDescent="0.5">
      <c r="B43" s="224"/>
      <c r="F43" s="122"/>
      <c r="I43" s="122"/>
      <c r="AE43" s="1"/>
      <c r="AF43" s="1"/>
      <c r="AG43" s="1"/>
      <c r="AH43" s="1"/>
      <c r="AI43" s="1"/>
      <c r="AK43" s="1"/>
      <c r="AL43" s="116"/>
      <c r="AM43" s="116"/>
      <c r="AN43" s="116"/>
      <c r="AO43" s="1"/>
      <c r="AP43" s="1"/>
      <c r="AQ43" s="1"/>
      <c r="AR43" s="1"/>
      <c r="AS43" s="1"/>
      <c r="AT43" s="1"/>
      <c r="AU43" s="1"/>
    </row>
    <row r="44" spans="2:47" x14ac:dyDescent="0.45">
      <c r="B44" s="58" t="s">
        <v>306</v>
      </c>
      <c r="D44" s="128" t="s">
        <v>301</v>
      </c>
      <c r="E44" s="129" t="s">
        <v>302</v>
      </c>
      <c r="F44" s="129" t="s">
        <v>303</v>
      </c>
      <c r="G44" s="130" t="s">
        <v>304</v>
      </c>
      <c r="H44" s="131" t="s">
        <v>305</v>
      </c>
      <c r="I44" s="124" t="s">
        <v>38</v>
      </c>
      <c r="J44" s="124" t="s">
        <v>39</v>
      </c>
      <c r="K44" s="124" t="s">
        <v>40</v>
      </c>
      <c r="L44" s="124" t="s">
        <v>41</v>
      </c>
      <c r="M44" s="125" t="s">
        <v>42</v>
      </c>
      <c r="AD44" s="1" t="s">
        <v>398</v>
      </c>
      <c r="AE44" s="14"/>
      <c r="AF44" s="173" t="s">
        <v>395</v>
      </c>
      <c r="AG44" s="174" t="s">
        <v>396</v>
      </c>
      <c r="AH44" s="174" t="s">
        <v>319</v>
      </c>
      <c r="AI44" s="176"/>
      <c r="AK44" s="177"/>
      <c r="AL44" s="178" t="s">
        <v>399</v>
      </c>
      <c r="AM44" s="179" t="s">
        <v>400</v>
      </c>
      <c r="AN44" s="180" t="s">
        <v>316</v>
      </c>
      <c r="AO44" s="14"/>
      <c r="AP44" s="14"/>
      <c r="AQ44" s="14"/>
      <c r="AR44" s="14"/>
      <c r="AS44" s="14"/>
      <c r="AT44" s="14"/>
      <c r="AU44" s="14"/>
    </row>
    <row r="45" spans="2:47" ht="17.5" thickBot="1" x14ac:dyDescent="0.5">
      <c r="B45" s="126">
        <v>1110</v>
      </c>
      <c r="D45" s="127" t="s">
        <v>296</v>
      </c>
      <c r="E45" s="663" t="s">
        <v>1059</v>
      </c>
      <c r="F45" s="664"/>
      <c r="G45" s="665"/>
      <c r="H45" s="666" t="s">
        <v>298</v>
      </c>
      <c r="I45" s="667"/>
      <c r="J45" s="667"/>
      <c r="K45" s="667"/>
      <c r="L45" s="667"/>
      <c r="M45" s="668"/>
      <c r="AE45" s="1"/>
      <c r="AF45" s="1"/>
      <c r="AG45" s="1"/>
      <c r="AH45" s="1"/>
      <c r="AI45" s="1"/>
      <c r="AK45" s="1"/>
      <c r="AL45" s="116"/>
      <c r="AM45" s="116"/>
      <c r="AN45" s="116"/>
      <c r="AO45" s="1"/>
      <c r="AP45" s="1"/>
      <c r="AQ45" s="1"/>
      <c r="AR45" s="1"/>
      <c r="AS45" s="1"/>
      <c r="AT45" s="1"/>
      <c r="AU45" s="1"/>
    </row>
    <row r="46" spans="2:47" ht="17.5" thickBot="1" x14ac:dyDescent="0.5">
      <c r="B46" s="224"/>
      <c r="F46" s="122"/>
      <c r="I46" s="122"/>
      <c r="AD46" s="1" t="s">
        <v>310</v>
      </c>
      <c r="AE46" s="164"/>
      <c r="AF46" s="173" t="s">
        <v>395</v>
      </c>
      <c r="AG46" s="174" t="s">
        <v>396</v>
      </c>
      <c r="AH46" s="174" t="s">
        <v>319</v>
      </c>
      <c r="AI46" s="176"/>
      <c r="AK46" s="177"/>
      <c r="AL46" s="178" t="s">
        <v>399</v>
      </c>
      <c r="AM46" s="179" t="s">
        <v>400</v>
      </c>
      <c r="AN46" s="180" t="s">
        <v>316</v>
      </c>
      <c r="AO46" s="684" t="s">
        <v>401</v>
      </c>
      <c r="AP46" s="685"/>
      <c r="AQ46" s="685"/>
      <c r="AR46" s="686"/>
      <c r="AS46" s="181" t="s">
        <v>402</v>
      </c>
      <c r="AT46" s="181" t="s">
        <v>313</v>
      </c>
      <c r="AU46" s="164"/>
    </row>
    <row r="47" spans="2:47" x14ac:dyDescent="0.45">
      <c r="B47" s="58" t="s">
        <v>1055</v>
      </c>
      <c r="D47" s="128" t="s">
        <v>284</v>
      </c>
      <c r="E47" s="129" t="s">
        <v>285</v>
      </c>
      <c r="F47" s="129" t="s">
        <v>286</v>
      </c>
      <c r="G47" s="130" t="s">
        <v>287</v>
      </c>
      <c r="H47" s="123" t="s">
        <v>308</v>
      </c>
      <c r="I47" s="124" t="s">
        <v>309</v>
      </c>
      <c r="J47" s="124" t="s">
        <v>290</v>
      </c>
      <c r="K47" s="124" t="s">
        <v>291</v>
      </c>
      <c r="L47" s="125" t="s">
        <v>292</v>
      </c>
      <c r="M47" s="131" t="s">
        <v>293</v>
      </c>
      <c r="N47" s="124" t="s">
        <v>294</v>
      </c>
      <c r="O47" s="124" t="s">
        <v>33</v>
      </c>
      <c r="P47" s="124" t="s">
        <v>34</v>
      </c>
      <c r="Q47" s="124" t="s">
        <v>35</v>
      </c>
      <c r="R47" s="124" t="s">
        <v>36</v>
      </c>
      <c r="S47" s="124" t="s">
        <v>37</v>
      </c>
      <c r="T47" s="124" t="s">
        <v>38</v>
      </c>
      <c r="U47" s="124" t="s">
        <v>39</v>
      </c>
      <c r="V47" s="124" t="s">
        <v>40</v>
      </c>
      <c r="W47" s="124" t="s">
        <v>41</v>
      </c>
      <c r="X47" s="125" t="s">
        <v>42</v>
      </c>
    </row>
    <row r="48" spans="2:47" ht="17.5" thickBot="1" x14ac:dyDescent="0.5">
      <c r="B48" s="126">
        <v>1110</v>
      </c>
      <c r="D48" s="127" t="s">
        <v>296</v>
      </c>
      <c r="E48" s="663" t="s">
        <v>1059</v>
      </c>
      <c r="F48" s="664"/>
      <c r="G48" s="665"/>
      <c r="H48" s="669" t="s">
        <v>340</v>
      </c>
      <c r="I48" s="670"/>
      <c r="J48" s="670"/>
      <c r="K48" s="670"/>
      <c r="L48" s="671"/>
      <c r="M48" s="672" t="s">
        <v>299</v>
      </c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4"/>
    </row>
    <row r="49" spans="2:23" ht="17.5" thickBot="1" x14ac:dyDescent="0.5">
      <c r="B49" s="224"/>
      <c r="F49" s="122"/>
      <c r="I49" s="122"/>
    </row>
    <row r="50" spans="2:23" ht="17.5" thickBot="1" x14ac:dyDescent="0.5">
      <c r="B50" s="58" t="s">
        <v>1053</v>
      </c>
      <c r="D50" s="166" t="s">
        <v>349</v>
      </c>
      <c r="E50" s="167" t="s">
        <v>350</v>
      </c>
      <c r="F50" s="167" t="s">
        <v>351</v>
      </c>
      <c r="G50" s="168" t="s">
        <v>308</v>
      </c>
      <c r="H50" s="169" t="s">
        <v>309</v>
      </c>
      <c r="I50" s="167" t="s">
        <v>352</v>
      </c>
      <c r="J50" s="167" t="s">
        <v>353</v>
      </c>
      <c r="K50" s="167" t="s">
        <v>354</v>
      </c>
      <c r="L50" s="167" t="s">
        <v>293</v>
      </c>
      <c r="M50" s="167" t="s">
        <v>294</v>
      </c>
      <c r="N50" s="167" t="s">
        <v>33</v>
      </c>
      <c r="O50" s="167" t="s">
        <v>34</v>
      </c>
      <c r="P50" s="167" t="s">
        <v>35</v>
      </c>
      <c r="Q50" s="167" t="s">
        <v>36</v>
      </c>
      <c r="R50" s="167" t="s">
        <v>37</v>
      </c>
      <c r="S50" s="167" t="s">
        <v>38</v>
      </c>
      <c r="T50" s="167" t="s">
        <v>39</v>
      </c>
      <c r="U50" s="167" t="s">
        <v>40</v>
      </c>
      <c r="V50" s="167" t="s">
        <v>41</v>
      </c>
      <c r="W50" s="168" t="s">
        <v>42</v>
      </c>
    </row>
    <row r="51" spans="2:23" ht="17.5" thickBot="1" x14ac:dyDescent="0.5">
      <c r="B51" s="126">
        <v>1111</v>
      </c>
      <c r="D51" s="170" t="s">
        <v>296</v>
      </c>
      <c r="E51" s="663" t="s">
        <v>1059</v>
      </c>
      <c r="F51" s="664"/>
      <c r="G51" s="665"/>
      <c r="H51" s="675" t="s">
        <v>372</v>
      </c>
      <c r="I51" s="675"/>
      <c r="J51" s="675"/>
      <c r="K51" s="675"/>
      <c r="L51" s="675"/>
      <c r="M51" s="675"/>
      <c r="N51" s="675"/>
      <c r="O51" s="675"/>
      <c r="P51" s="675"/>
      <c r="Q51" s="675"/>
      <c r="R51" s="675"/>
      <c r="S51" s="675"/>
      <c r="T51" s="675"/>
      <c r="U51" s="675"/>
      <c r="V51" s="675"/>
      <c r="W51" s="676"/>
    </row>
    <row r="52" spans="2:23" ht="17.5" thickBot="1" x14ac:dyDescent="0.5">
      <c r="B52" s="224"/>
      <c r="F52" s="122"/>
      <c r="I52" s="122"/>
    </row>
    <row r="53" spans="2:23" x14ac:dyDescent="0.45">
      <c r="B53" s="58" t="s">
        <v>1056</v>
      </c>
      <c r="D53" s="128" t="s">
        <v>302</v>
      </c>
      <c r="E53" s="129" t="s">
        <v>303</v>
      </c>
      <c r="F53" s="129" t="s">
        <v>304</v>
      </c>
      <c r="G53" s="130" t="s">
        <v>305</v>
      </c>
    </row>
    <row r="54" spans="2:23" ht="17.5" thickBot="1" x14ac:dyDescent="0.5">
      <c r="B54" s="126">
        <v>1010</v>
      </c>
      <c r="D54" s="127" t="s">
        <v>296</v>
      </c>
      <c r="E54" s="663" t="s">
        <v>1059</v>
      </c>
      <c r="F54" s="664"/>
      <c r="G54" s="665"/>
    </row>
    <row r="55" spans="2:23" ht="17.5" thickBot="1" x14ac:dyDescent="0.5">
      <c r="B55" s="224"/>
      <c r="F55" s="122"/>
      <c r="I55" s="122"/>
    </row>
    <row r="56" spans="2:23" x14ac:dyDescent="0.45">
      <c r="B56" s="58" t="s">
        <v>1057</v>
      </c>
      <c r="D56" s="128" t="s">
        <v>303</v>
      </c>
      <c r="E56" s="129" t="s">
        <v>304</v>
      </c>
      <c r="F56" s="129" t="s">
        <v>305</v>
      </c>
      <c r="G56" s="130" t="s">
        <v>383</v>
      </c>
      <c r="H56" s="124" t="s">
        <v>39</v>
      </c>
      <c r="I56" s="124" t="s">
        <v>40</v>
      </c>
      <c r="J56" s="124" t="s">
        <v>384</v>
      </c>
      <c r="K56" s="125" t="s">
        <v>385</v>
      </c>
    </row>
    <row r="57" spans="2:23" ht="17.5" thickBot="1" x14ac:dyDescent="0.5">
      <c r="B57" s="126">
        <v>1010</v>
      </c>
      <c r="D57" s="127" t="s">
        <v>296</v>
      </c>
      <c r="E57" s="663" t="s">
        <v>1059</v>
      </c>
      <c r="F57" s="664"/>
      <c r="G57" s="665"/>
      <c r="H57" s="133" t="s">
        <v>386</v>
      </c>
      <c r="I57" s="133" t="s">
        <v>387</v>
      </c>
      <c r="J57" s="133" t="s">
        <v>388</v>
      </c>
      <c r="K57" s="134" t="s">
        <v>389</v>
      </c>
    </row>
    <row r="58" spans="2:23" ht="17.5" thickBot="1" x14ac:dyDescent="0.5">
      <c r="B58" s="224"/>
      <c r="F58" s="122"/>
      <c r="I58" s="122"/>
    </row>
    <row r="59" spans="2:23" x14ac:dyDescent="0.45">
      <c r="B59" s="58" t="s">
        <v>1058</v>
      </c>
      <c r="D59" s="128" t="s">
        <v>383</v>
      </c>
      <c r="E59" s="129" t="s">
        <v>391</v>
      </c>
      <c r="F59" s="129" t="s">
        <v>392</v>
      </c>
      <c r="G59" s="130" t="s">
        <v>384</v>
      </c>
    </row>
    <row r="60" spans="2:23" ht="17.5" thickBot="1" x14ac:dyDescent="0.5">
      <c r="B60" s="126">
        <v>1001</v>
      </c>
      <c r="D60" s="127" t="s">
        <v>296</v>
      </c>
      <c r="E60" s="663" t="s">
        <v>1059</v>
      </c>
      <c r="F60" s="664"/>
      <c r="G60" s="665"/>
    </row>
    <row r="61" spans="2:23" ht="17.5" thickBot="1" x14ac:dyDescent="0.5">
      <c r="B61" s="224"/>
      <c r="F61" s="122"/>
      <c r="I61" s="122"/>
    </row>
    <row r="62" spans="2:23" x14ac:dyDescent="0.45">
      <c r="B62" s="58" t="s">
        <v>394</v>
      </c>
      <c r="D62" s="128" t="s">
        <v>383</v>
      </c>
      <c r="E62" s="129" t="s">
        <v>391</v>
      </c>
      <c r="F62" s="129" t="s">
        <v>392</v>
      </c>
      <c r="G62" s="130" t="s">
        <v>384</v>
      </c>
    </row>
    <row r="63" spans="2:23" ht="17.5" thickBot="1" x14ac:dyDescent="0.5">
      <c r="B63" s="126">
        <v>1000</v>
      </c>
      <c r="D63" s="127" t="s">
        <v>296</v>
      </c>
      <c r="E63" s="663" t="s">
        <v>1059</v>
      </c>
      <c r="F63" s="664"/>
      <c r="G63" s="665"/>
    </row>
  </sheetData>
  <mergeCells count="44">
    <mergeCell ref="E29:G29"/>
    <mergeCell ref="E32:G32"/>
    <mergeCell ref="E35:G35"/>
    <mergeCell ref="AO46:AR46"/>
    <mergeCell ref="AI24:AL24"/>
    <mergeCell ref="AN24:AO24"/>
    <mergeCell ref="E26:G26"/>
    <mergeCell ref="AI26:AL26"/>
    <mergeCell ref="AN26:AO26"/>
    <mergeCell ref="AN28:AO28"/>
    <mergeCell ref="AF24:AG24"/>
    <mergeCell ref="D39:Y39"/>
    <mergeCell ref="E42:G42"/>
    <mergeCell ref="H42:M42"/>
    <mergeCell ref="N42:Y42"/>
    <mergeCell ref="E45:G45"/>
    <mergeCell ref="H17:Q17"/>
    <mergeCell ref="R17:AB17"/>
    <mergeCell ref="H20:Q20"/>
    <mergeCell ref="R20:AC20"/>
    <mergeCell ref="H23:W23"/>
    <mergeCell ref="AI10:AL10"/>
    <mergeCell ref="E11:G11"/>
    <mergeCell ref="H11:L11"/>
    <mergeCell ref="M11:X11"/>
    <mergeCell ref="AI12:AL12"/>
    <mergeCell ref="H14:Q14"/>
    <mergeCell ref="R14:AA14"/>
    <mergeCell ref="C2:AC2"/>
    <mergeCell ref="E5:G5"/>
    <mergeCell ref="H5:M5"/>
    <mergeCell ref="N5:Y5"/>
    <mergeCell ref="E8:G8"/>
    <mergeCell ref="H8:M8"/>
    <mergeCell ref="E54:G54"/>
    <mergeCell ref="E57:G57"/>
    <mergeCell ref="E60:G60"/>
    <mergeCell ref="E63:G63"/>
    <mergeCell ref="H45:M45"/>
    <mergeCell ref="E48:G48"/>
    <mergeCell ref="H48:L48"/>
    <mergeCell ref="M48:X48"/>
    <mergeCell ref="E51:G51"/>
    <mergeCell ref="H51:W5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9914-F395-4D1C-ABFC-060E8D1FE3AA}">
  <dimension ref="B1:JU44"/>
  <sheetViews>
    <sheetView showGridLines="0" tabSelected="1" zoomScale="85" zoomScaleNormal="85" workbookViewId="0">
      <pane xSplit="4" topLeftCell="E1" activePane="topRight" state="frozen"/>
      <selection pane="topRight"/>
    </sheetView>
  </sheetViews>
  <sheetFormatPr defaultColWidth="8.83203125" defaultRowHeight="17" x14ac:dyDescent="0.45"/>
  <cols>
    <col min="1" max="1" width="8.83203125" style="1" customWidth="1"/>
    <col min="2" max="2" width="13.4140625" style="1" bestFit="1" customWidth="1"/>
    <col min="3" max="3" width="6.4140625" style="1" bestFit="1" customWidth="1"/>
    <col min="4" max="4" width="5.83203125" bestFit="1" customWidth="1"/>
    <col min="5" max="5" width="1.58203125" customWidth="1"/>
    <col min="6" max="6" width="20.08203125" style="1" bestFit="1" customWidth="1"/>
    <col min="7" max="7" width="9.9140625" style="5" bestFit="1" customWidth="1"/>
    <col min="8" max="8" width="3.08203125" style="1" bestFit="1" customWidth="1"/>
    <col min="9" max="9" width="4.08203125" style="153" bestFit="1" customWidth="1"/>
    <col min="10" max="10" width="4.33203125" style="153" bestFit="1" customWidth="1"/>
    <col min="11" max="18" width="5.25" style="153" bestFit="1" customWidth="1"/>
    <col min="19" max="19" width="8.75" style="153" bestFit="1" customWidth="1"/>
    <col min="20" max="25" width="5.25" style="153" bestFit="1" customWidth="1"/>
    <col min="26" max="33" width="5.33203125" style="153" bestFit="1" customWidth="1"/>
    <col min="34" max="40" width="5.25" style="153" bestFit="1" customWidth="1"/>
    <col min="41" max="41" width="6.08203125" style="153" customWidth="1"/>
    <col min="42" max="92" width="5.33203125" style="153" bestFit="1" customWidth="1"/>
    <col min="93" max="16384" width="8.83203125" style="1"/>
  </cols>
  <sheetData>
    <row r="1" spans="2:281" x14ac:dyDescent="0.45">
      <c r="B1" s="230"/>
      <c r="AG1" s="597"/>
      <c r="AH1" s="597"/>
      <c r="BE1" s="597"/>
      <c r="BF1" s="597"/>
    </row>
    <row r="2" spans="2:281" x14ac:dyDescent="0.45">
      <c r="B2" s="606"/>
      <c r="C2" s="608"/>
      <c r="D2" s="608"/>
      <c r="F2" s="609"/>
      <c r="G2" s="607" t="s">
        <v>1662</v>
      </c>
      <c r="H2" s="610" t="s">
        <v>1090</v>
      </c>
      <c r="I2" s="603">
        <v>1</v>
      </c>
      <c r="J2" s="603">
        <v>2</v>
      </c>
      <c r="K2" s="603">
        <v>3</v>
      </c>
      <c r="L2" s="603">
        <v>4</v>
      </c>
      <c r="M2" s="603">
        <v>5</v>
      </c>
      <c r="N2" s="603">
        <v>6</v>
      </c>
      <c r="O2" s="603">
        <v>7</v>
      </c>
      <c r="P2" s="603">
        <v>8</v>
      </c>
      <c r="Q2" s="603">
        <v>9</v>
      </c>
      <c r="R2" s="603">
        <v>10</v>
      </c>
      <c r="S2" s="603">
        <v>11</v>
      </c>
      <c r="T2" s="603">
        <v>12</v>
      </c>
      <c r="U2" s="603">
        <v>13</v>
      </c>
      <c r="V2" s="603">
        <v>14</v>
      </c>
      <c r="W2" s="603">
        <v>15</v>
      </c>
      <c r="X2" s="603">
        <v>16</v>
      </c>
      <c r="Y2" s="603">
        <v>17</v>
      </c>
      <c r="Z2" s="603">
        <v>18</v>
      </c>
      <c r="AA2" s="603">
        <v>19</v>
      </c>
      <c r="AB2" s="603">
        <v>20</v>
      </c>
      <c r="AC2" s="603">
        <v>21</v>
      </c>
      <c r="AD2" s="603">
        <v>22</v>
      </c>
      <c r="AE2" s="603">
        <v>23</v>
      </c>
      <c r="AF2" s="603">
        <v>24</v>
      </c>
      <c r="AG2" s="603">
        <v>25</v>
      </c>
      <c r="AH2" s="603">
        <v>26</v>
      </c>
      <c r="AI2" s="603">
        <v>27</v>
      </c>
      <c r="AJ2" s="603">
        <v>28</v>
      </c>
      <c r="AK2" s="603">
        <v>29</v>
      </c>
      <c r="AL2" s="603">
        <v>30</v>
      </c>
      <c r="AM2" s="603">
        <v>31</v>
      </c>
      <c r="AN2" s="603">
        <v>32</v>
      </c>
      <c r="AO2" s="603">
        <v>33</v>
      </c>
      <c r="AP2" s="603">
        <v>34</v>
      </c>
      <c r="AQ2" s="603">
        <v>35</v>
      </c>
      <c r="AR2" s="603">
        <v>36</v>
      </c>
      <c r="AS2" s="603">
        <v>37</v>
      </c>
      <c r="AT2" s="603">
        <v>38</v>
      </c>
      <c r="AU2" s="603">
        <v>39</v>
      </c>
      <c r="AV2" s="603">
        <v>40</v>
      </c>
      <c r="AW2" s="603">
        <v>41</v>
      </c>
      <c r="AX2" s="603">
        <v>42</v>
      </c>
      <c r="AY2" s="603">
        <v>43</v>
      </c>
      <c r="AZ2" s="603">
        <v>44</v>
      </c>
      <c r="BA2" s="603">
        <v>45</v>
      </c>
      <c r="BB2" s="603">
        <v>46</v>
      </c>
      <c r="BC2" s="603">
        <v>47</v>
      </c>
      <c r="BD2" s="603">
        <v>48</v>
      </c>
      <c r="BE2" s="603">
        <v>49</v>
      </c>
      <c r="BF2" s="603">
        <v>50</v>
      </c>
      <c r="BG2" s="603">
        <v>51</v>
      </c>
      <c r="BH2" s="603">
        <v>52</v>
      </c>
      <c r="BI2" s="603">
        <v>53</v>
      </c>
      <c r="BJ2" s="603">
        <v>54</v>
      </c>
      <c r="BK2" s="603">
        <v>55</v>
      </c>
      <c r="BL2" s="603">
        <v>56</v>
      </c>
      <c r="BM2" s="603">
        <v>57</v>
      </c>
      <c r="BN2" s="603">
        <v>58</v>
      </c>
      <c r="BO2" s="603">
        <v>59</v>
      </c>
      <c r="BP2" s="603">
        <v>60</v>
      </c>
      <c r="BQ2" s="603">
        <v>61</v>
      </c>
      <c r="BR2" s="603">
        <v>62</v>
      </c>
      <c r="BS2" s="603">
        <v>63</v>
      </c>
      <c r="BT2" s="603">
        <v>64</v>
      </c>
      <c r="BU2" s="603">
        <v>65</v>
      </c>
      <c r="BV2" s="603">
        <v>66</v>
      </c>
      <c r="BW2" s="603">
        <v>67</v>
      </c>
      <c r="BX2" s="603">
        <v>68</v>
      </c>
      <c r="BY2" s="603">
        <v>69</v>
      </c>
      <c r="BZ2" s="603">
        <v>70</v>
      </c>
      <c r="CA2" s="603">
        <v>71</v>
      </c>
      <c r="CB2" s="603">
        <v>72</v>
      </c>
      <c r="CC2" s="603">
        <v>73</v>
      </c>
      <c r="CD2" s="603">
        <v>74</v>
      </c>
      <c r="CE2" s="603">
        <v>75</v>
      </c>
      <c r="CF2" s="603">
        <v>76</v>
      </c>
      <c r="CG2" s="603">
        <v>77</v>
      </c>
      <c r="CH2" s="603">
        <v>78</v>
      </c>
      <c r="CI2" s="603">
        <v>79</v>
      </c>
      <c r="CJ2" s="603">
        <v>80</v>
      </c>
      <c r="CK2" s="603">
        <v>81</v>
      </c>
      <c r="CL2" s="603">
        <v>82</v>
      </c>
      <c r="CM2" s="603">
        <v>83</v>
      </c>
      <c r="CN2" s="603">
        <v>84</v>
      </c>
      <c r="CO2" s="603">
        <v>85</v>
      </c>
      <c r="CP2" s="603">
        <v>86</v>
      </c>
      <c r="CQ2" s="603">
        <v>87</v>
      </c>
      <c r="CR2" s="603">
        <v>88</v>
      </c>
      <c r="CS2" s="603">
        <v>89</v>
      </c>
      <c r="CT2" s="603">
        <v>90</v>
      </c>
      <c r="CU2" s="603">
        <v>91</v>
      </c>
      <c r="CV2" s="603">
        <v>92</v>
      </c>
      <c r="CW2" s="603">
        <v>93</v>
      </c>
      <c r="CX2" s="603">
        <v>94</v>
      </c>
      <c r="CY2" s="603">
        <v>95</v>
      </c>
      <c r="CZ2" s="603">
        <v>96</v>
      </c>
      <c r="DA2" s="603">
        <v>97</v>
      </c>
      <c r="DB2" s="603">
        <v>98</v>
      </c>
      <c r="DC2" s="603">
        <v>99</v>
      </c>
      <c r="DD2" s="603">
        <v>100</v>
      </c>
      <c r="DE2" s="603">
        <v>101</v>
      </c>
      <c r="DF2" s="603">
        <v>102</v>
      </c>
      <c r="DG2" s="603">
        <v>103</v>
      </c>
      <c r="DH2" s="603">
        <v>104</v>
      </c>
      <c r="DI2" s="603">
        <v>105</v>
      </c>
      <c r="DJ2" s="603">
        <v>106</v>
      </c>
      <c r="DK2" s="603">
        <v>107</v>
      </c>
      <c r="DL2" s="603">
        <v>108</v>
      </c>
      <c r="DM2" s="603">
        <v>109</v>
      </c>
      <c r="DN2" s="603">
        <v>110</v>
      </c>
      <c r="DO2" s="603">
        <v>111</v>
      </c>
      <c r="DP2" s="603">
        <v>112</v>
      </c>
      <c r="DQ2" s="603">
        <v>113</v>
      </c>
      <c r="DR2" s="603">
        <v>114</v>
      </c>
      <c r="DS2" s="603">
        <v>115</v>
      </c>
      <c r="DT2" s="603">
        <v>116</v>
      </c>
      <c r="DU2" s="603">
        <v>117</v>
      </c>
      <c r="DV2" s="603">
        <v>118</v>
      </c>
      <c r="DW2" s="603">
        <v>119</v>
      </c>
      <c r="DX2" s="603">
        <v>120</v>
      </c>
      <c r="DY2" s="603">
        <v>121</v>
      </c>
      <c r="DZ2" s="603">
        <v>122</v>
      </c>
      <c r="EA2" s="603">
        <v>123</v>
      </c>
      <c r="EB2" s="603">
        <v>124</v>
      </c>
      <c r="EC2" s="603">
        <v>125</v>
      </c>
      <c r="ED2" s="603">
        <v>126</v>
      </c>
      <c r="EE2" s="603">
        <v>127</v>
      </c>
      <c r="EF2" s="603">
        <v>128</v>
      </c>
      <c r="EG2" s="603">
        <v>129</v>
      </c>
      <c r="EH2" s="603">
        <v>130</v>
      </c>
      <c r="EI2" s="603">
        <v>131</v>
      </c>
      <c r="EJ2" s="603">
        <v>132</v>
      </c>
      <c r="EK2" s="603">
        <v>133</v>
      </c>
      <c r="EL2" s="603">
        <v>134</v>
      </c>
      <c r="EM2" s="603">
        <v>135</v>
      </c>
      <c r="EN2" s="603">
        <v>136</v>
      </c>
      <c r="EO2" s="603">
        <v>137</v>
      </c>
      <c r="EP2" s="603">
        <v>138</v>
      </c>
      <c r="EQ2" s="603">
        <v>139</v>
      </c>
      <c r="ER2" s="603">
        <v>140</v>
      </c>
      <c r="ES2" s="603">
        <v>141</v>
      </c>
      <c r="ET2" s="603">
        <v>142</v>
      </c>
      <c r="EU2" s="603">
        <v>143</v>
      </c>
      <c r="EV2" s="603">
        <v>144</v>
      </c>
      <c r="EW2" s="603">
        <v>145</v>
      </c>
      <c r="EX2" s="603">
        <v>146</v>
      </c>
      <c r="EY2" s="603">
        <v>147</v>
      </c>
      <c r="EZ2" s="603">
        <v>148</v>
      </c>
      <c r="FA2" s="603">
        <v>149</v>
      </c>
      <c r="FB2" s="603">
        <v>150</v>
      </c>
      <c r="FC2" s="603">
        <v>151</v>
      </c>
      <c r="FD2" s="603">
        <v>152</v>
      </c>
      <c r="FE2" s="603">
        <v>153</v>
      </c>
      <c r="FF2" s="603">
        <v>154</v>
      </c>
      <c r="FG2" s="603">
        <v>155</v>
      </c>
      <c r="FH2" s="603">
        <v>156</v>
      </c>
      <c r="FI2" s="603">
        <v>157</v>
      </c>
      <c r="FJ2" s="603">
        <v>158</v>
      </c>
      <c r="FK2" s="603">
        <v>159</v>
      </c>
      <c r="FL2" s="603">
        <v>160</v>
      </c>
      <c r="FM2" s="603">
        <v>161</v>
      </c>
      <c r="FN2" s="603">
        <v>162</v>
      </c>
      <c r="FO2" s="603">
        <v>163</v>
      </c>
      <c r="FP2" s="603">
        <v>164</v>
      </c>
      <c r="FQ2" s="603">
        <v>165</v>
      </c>
      <c r="FR2" s="603">
        <v>166</v>
      </c>
      <c r="FS2" s="603">
        <v>167</v>
      </c>
      <c r="FT2" s="603">
        <v>168</v>
      </c>
      <c r="FU2" s="603">
        <v>169</v>
      </c>
      <c r="FV2" s="603">
        <v>170</v>
      </c>
      <c r="FW2" s="603">
        <v>171</v>
      </c>
      <c r="FX2" s="603">
        <v>172</v>
      </c>
      <c r="FY2" s="603">
        <v>173</v>
      </c>
      <c r="FZ2" s="603">
        <v>174</v>
      </c>
      <c r="GA2" s="603">
        <v>175</v>
      </c>
      <c r="GB2" s="603">
        <v>176</v>
      </c>
      <c r="GC2" s="603">
        <v>177</v>
      </c>
      <c r="GD2" s="603">
        <v>178</v>
      </c>
      <c r="GE2" s="603">
        <v>179</v>
      </c>
      <c r="GF2" s="603">
        <v>180</v>
      </c>
      <c r="GG2" s="603">
        <v>181</v>
      </c>
      <c r="GH2" s="603">
        <v>182</v>
      </c>
      <c r="GI2" s="603">
        <v>183</v>
      </c>
      <c r="GJ2" s="603">
        <v>184</v>
      </c>
      <c r="GK2" s="603">
        <v>185</v>
      </c>
      <c r="GL2" s="603">
        <v>186</v>
      </c>
      <c r="GM2" s="603">
        <v>187</v>
      </c>
      <c r="GN2" s="603">
        <v>188</v>
      </c>
      <c r="GO2" s="603">
        <v>189</v>
      </c>
      <c r="GP2" s="603">
        <v>190</v>
      </c>
      <c r="GQ2" s="603">
        <v>191</v>
      </c>
      <c r="GR2" s="603">
        <v>192</v>
      </c>
      <c r="GS2" s="603">
        <v>193</v>
      </c>
      <c r="GT2" s="603">
        <v>194</v>
      </c>
      <c r="GU2" s="603">
        <v>195</v>
      </c>
      <c r="GV2" s="603">
        <v>196</v>
      </c>
      <c r="GW2" s="603">
        <v>197</v>
      </c>
      <c r="GX2" s="603">
        <v>198</v>
      </c>
      <c r="GY2" s="603">
        <v>199</v>
      </c>
      <c r="GZ2" s="603">
        <v>200</v>
      </c>
      <c r="HA2" s="603">
        <v>201</v>
      </c>
      <c r="HB2" s="603">
        <v>202</v>
      </c>
      <c r="HC2" s="603">
        <v>203</v>
      </c>
      <c r="HD2" s="603">
        <v>204</v>
      </c>
      <c r="HE2" s="603">
        <v>205</v>
      </c>
      <c r="HF2" s="603">
        <v>206</v>
      </c>
      <c r="HG2" s="603">
        <v>207</v>
      </c>
      <c r="HH2" s="603">
        <v>208</v>
      </c>
      <c r="HI2" s="603">
        <v>209</v>
      </c>
      <c r="HJ2" s="603">
        <v>210</v>
      </c>
      <c r="HK2" s="603">
        <v>211</v>
      </c>
      <c r="HL2" s="603">
        <v>212</v>
      </c>
      <c r="HM2" s="603">
        <v>213</v>
      </c>
      <c r="HN2" s="603">
        <v>214</v>
      </c>
      <c r="HO2" s="603">
        <v>215</v>
      </c>
      <c r="HP2" s="603">
        <v>216</v>
      </c>
      <c r="HQ2" s="603">
        <v>217</v>
      </c>
      <c r="HR2" s="603">
        <v>218</v>
      </c>
      <c r="HS2" s="603">
        <v>219</v>
      </c>
      <c r="HT2" s="603">
        <v>220</v>
      </c>
      <c r="HU2" s="603">
        <v>221</v>
      </c>
      <c r="HV2" s="603">
        <v>222</v>
      </c>
      <c r="HW2" s="603">
        <v>223</v>
      </c>
      <c r="HX2" s="603">
        <v>224</v>
      </c>
      <c r="HY2" s="603">
        <v>225</v>
      </c>
      <c r="HZ2" s="603">
        <v>226</v>
      </c>
      <c r="IA2" s="603">
        <v>227</v>
      </c>
      <c r="IB2" s="603">
        <v>228</v>
      </c>
      <c r="IC2" s="603">
        <v>229</v>
      </c>
      <c r="ID2" s="603">
        <v>230</v>
      </c>
      <c r="IE2" s="603">
        <v>231</v>
      </c>
      <c r="IF2" s="603">
        <v>232</v>
      </c>
      <c r="IG2" s="603">
        <v>233</v>
      </c>
      <c r="IH2" s="603">
        <v>234</v>
      </c>
      <c r="II2" s="603">
        <v>235</v>
      </c>
      <c r="IJ2" s="603">
        <v>236</v>
      </c>
      <c r="IK2" s="603">
        <v>237</v>
      </c>
      <c r="IL2" s="603">
        <v>238</v>
      </c>
      <c r="IM2" s="603">
        <v>239</v>
      </c>
      <c r="IN2" s="603">
        <v>240</v>
      </c>
      <c r="IO2" s="603">
        <v>241</v>
      </c>
      <c r="IP2" s="603">
        <v>242</v>
      </c>
      <c r="IQ2" s="603">
        <v>243</v>
      </c>
      <c r="IR2" s="603">
        <v>244</v>
      </c>
      <c r="IS2" s="603">
        <v>245</v>
      </c>
      <c r="IT2" s="603">
        <v>246</v>
      </c>
      <c r="IU2" s="603">
        <v>247</v>
      </c>
      <c r="IV2" s="603">
        <v>248</v>
      </c>
      <c r="IW2" s="603"/>
      <c r="IX2" s="603"/>
      <c r="IY2" s="603"/>
      <c r="IZ2" s="603"/>
      <c r="JA2" s="603"/>
      <c r="JB2" s="603"/>
      <c r="JC2" s="603"/>
      <c r="JD2" s="603"/>
      <c r="JE2" s="603"/>
      <c r="JF2" s="603"/>
      <c r="JG2" s="603"/>
      <c r="JH2" s="603"/>
      <c r="JI2" s="603"/>
      <c r="JJ2" s="603"/>
      <c r="JK2" s="603"/>
      <c r="JL2" s="603"/>
      <c r="JM2" s="603"/>
      <c r="JN2" s="603"/>
      <c r="JO2" s="603"/>
      <c r="JP2" s="603"/>
      <c r="JQ2" s="603"/>
      <c r="JR2" s="603"/>
      <c r="JS2" s="603"/>
      <c r="JT2" s="603"/>
      <c r="JU2" s="603"/>
    </row>
    <row r="3" spans="2:281" x14ac:dyDescent="0.45">
      <c r="B3" s="607" t="s">
        <v>1654</v>
      </c>
      <c r="C3" s="604">
        <v>18</v>
      </c>
      <c r="D3" t="s">
        <v>0</v>
      </c>
      <c r="F3" s="611" t="s">
        <v>1663</v>
      </c>
      <c r="G3" s="2" t="s">
        <v>1645</v>
      </c>
      <c r="H3" s="595" t="s">
        <v>1090</v>
      </c>
      <c r="I3" s="615">
        <v>1</v>
      </c>
      <c r="J3" s="615">
        <v>2</v>
      </c>
      <c r="K3" s="615">
        <v>3</v>
      </c>
      <c r="L3" s="615">
        <v>4</v>
      </c>
      <c r="M3" s="615">
        <v>5</v>
      </c>
      <c r="N3" s="615">
        <v>6</v>
      </c>
      <c r="O3" s="615">
        <v>7</v>
      </c>
      <c r="P3" s="615">
        <v>8</v>
      </c>
      <c r="Q3" s="615">
        <v>9</v>
      </c>
      <c r="R3" s="615">
        <v>10</v>
      </c>
      <c r="S3" s="615">
        <v>11</v>
      </c>
      <c r="T3" s="615">
        <v>12</v>
      </c>
      <c r="U3" s="615">
        <v>13</v>
      </c>
      <c r="V3" s="615">
        <v>14</v>
      </c>
      <c r="W3" s="615">
        <v>15</v>
      </c>
      <c r="X3" s="615">
        <v>16</v>
      </c>
      <c r="Y3" s="615"/>
      <c r="Z3" s="615"/>
      <c r="AA3" s="615"/>
      <c r="AB3" s="615"/>
      <c r="AC3" s="615"/>
      <c r="AD3" s="615"/>
      <c r="AE3" s="615"/>
      <c r="AF3" s="615"/>
      <c r="AG3" s="615"/>
      <c r="AH3" s="615"/>
      <c r="AI3" s="615"/>
      <c r="AJ3" s="615"/>
      <c r="AK3" s="615"/>
      <c r="AL3" s="615"/>
      <c r="AM3" s="615"/>
      <c r="AN3" s="615"/>
      <c r="AO3" s="615"/>
      <c r="AP3" s="615"/>
      <c r="AQ3" s="616">
        <v>11</v>
      </c>
      <c r="AR3" s="616">
        <v>12</v>
      </c>
      <c r="AS3" s="616">
        <v>13</v>
      </c>
      <c r="AT3" s="616">
        <v>14</v>
      </c>
      <c r="AU3" s="616">
        <v>15</v>
      </c>
      <c r="AV3" s="616">
        <v>16</v>
      </c>
      <c r="AW3" s="616">
        <v>17</v>
      </c>
      <c r="AX3" s="616">
        <v>18</v>
      </c>
      <c r="AY3" s="616">
        <v>19</v>
      </c>
      <c r="AZ3" s="616">
        <v>20</v>
      </c>
      <c r="BA3" s="616">
        <v>21</v>
      </c>
      <c r="BB3" s="616">
        <v>22</v>
      </c>
      <c r="BC3" s="616">
        <v>23</v>
      </c>
      <c r="BD3" s="616">
        <v>24</v>
      </c>
      <c r="BE3" s="615">
        <v>1</v>
      </c>
      <c r="BF3" s="615">
        <v>2</v>
      </c>
      <c r="BG3" s="615">
        <v>3</v>
      </c>
      <c r="BH3" s="615">
        <v>4</v>
      </c>
      <c r="BI3" s="615">
        <v>5</v>
      </c>
      <c r="BJ3" s="615">
        <v>6</v>
      </c>
      <c r="BK3" s="615">
        <v>7</v>
      </c>
      <c r="BL3" s="615">
        <v>8</v>
      </c>
      <c r="BM3" s="615">
        <v>9</v>
      </c>
      <c r="BN3" s="615">
        <v>10</v>
      </c>
      <c r="BO3" s="615">
        <v>11</v>
      </c>
      <c r="BP3" s="615">
        <v>12</v>
      </c>
      <c r="BQ3" s="615">
        <v>13</v>
      </c>
      <c r="BR3" s="615">
        <v>14</v>
      </c>
      <c r="BS3" s="615">
        <v>15</v>
      </c>
      <c r="BT3" s="615">
        <v>16</v>
      </c>
      <c r="BU3" s="615">
        <v>17</v>
      </c>
      <c r="BV3" s="615">
        <v>18</v>
      </c>
      <c r="BW3" s="615">
        <v>19</v>
      </c>
      <c r="BX3" s="615">
        <v>20</v>
      </c>
      <c r="BY3" s="615">
        <v>21</v>
      </c>
      <c r="BZ3" s="615">
        <v>22</v>
      </c>
      <c r="CA3" s="615">
        <v>23</v>
      </c>
      <c r="CB3" s="615">
        <v>24</v>
      </c>
      <c r="CC3" s="615">
        <v>25</v>
      </c>
      <c r="CD3" s="615">
        <v>26</v>
      </c>
      <c r="CE3" s="615">
        <v>27</v>
      </c>
      <c r="CF3" s="615">
        <v>28</v>
      </c>
      <c r="CG3" s="615">
        <v>29</v>
      </c>
      <c r="CH3" s="615">
        <v>30</v>
      </c>
      <c r="CI3" s="615">
        <v>31</v>
      </c>
      <c r="CJ3" s="615">
        <v>32</v>
      </c>
      <c r="CK3" s="615">
        <v>33</v>
      </c>
      <c r="CL3" s="615">
        <v>34</v>
      </c>
      <c r="CM3" s="615">
        <v>35</v>
      </c>
      <c r="CN3" s="615">
        <v>36</v>
      </c>
      <c r="CO3" s="615">
        <v>37</v>
      </c>
      <c r="CP3" s="615">
        <v>38</v>
      </c>
      <c r="CQ3" s="615">
        <v>39</v>
      </c>
      <c r="CR3" s="615">
        <v>40</v>
      </c>
      <c r="CS3" s="615">
        <v>41</v>
      </c>
      <c r="CT3" s="615">
        <v>42</v>
      </c>
      <c r="CU3" s="615">
        <v>43</v>
      </c>
      <c r="CV3" s="615">
        <v>44</v>
      </c>
      <c r="CW3" s="615">
        <v>45</v>
      </c>
      <c r="CX3" s="615">
        <v>46</v>
      </c>
      <c r="CY3" s="615">
        <v>47</v>
      </c>
      <c r="CZ3" s="615">
        <v>48</v>
      </c>
      <c r="DA3" s="615">
        <v>49</v>
      </c>
      <c r="DB3" s="615">
        <v>50</v>
      </c>
      <c r="DC3" s="615">
        <v>51</v>
      </c>
      <c r="DD3" s="615">
        <v>52</v>
      </c>
      <c r="DE3" s="615">
        <v>53</v>
      </c>
      <c r="DF3" s="615">
        <v>54</v>
      </c>
      <c r="DG3" s="615">
        <v>55</v>
      </c>
      <c r="DH3" s="615">
        <v>56</v>
      </c>
      <c r="DI3" s="615">
        <v>57</v>
      </c>
      <c r="DJ3" s="615">
        <v>58</v>
      </c>
      <c r="DK3" s="615">
        <v>59</v>
      </c>
      <c r="DL3" s="615">
        <v>60</v>
      </c>
      <c r="DM3" s="615">
        <v>61</v>
      </c>
      <c r="DN3" s="615">
        <v>62</v>
      </c>
      <c r="DO3" s="615">
        <v>63</v>
      </c>
      <c r="DP3" s="615">
        <v>64</v>
      </c>
      <c r="DQ3" s="615">
        <v>65</v>
      </c>
      <c r="DR3" s="615">
        <v>66</v>
      </c>
      <c r="DS3" s="615">
        <v>67</v>
      </c>
      <c r="DT3" s="615">
        <v>68</v>
      </c>
      <c r="DU3" s="615">
        <v>69</v>
      </c>
      <c r="DV3" s="615">
        <v>70</v>
      </c>
      <c r="DW3" s="615">
        <v>71</v>
      </c>
      <c r="DX3" s="615">
        <v>72</v>
      </c>
      <c r="DY3" s="615">
        <v>73</v>
      </c>
      <c r="DZ3" s="615">
        <v>74</v>
      </c>
      <c r="EA3" s="615">
        <v>75</v>
      </c>
      <c r="EB3" s="615">
        <v>76</v>
      </c>
      <c r="EC3" s="615">
        <v>77</v>
      </c>
      <c r="ED3" s="615">
        <v>78</v>
      </c>
      <c r="EE3" s="615">
        <v>79</v>
      </c>
      <c r="EF3" s="615">
        <v>80</v>
      </c>
      <c r="EG3" s="615">
        <v>81</v>
      </c>
      <c r="EH3" s="615">
        <v>82</v>
      </c>
      <c r="EI3" s="615">
        <v>83</v>
      </c>
      <c r="EJ3" s="615">
        <v>84</v>
      </c>
      <c r="EK3" s="615">
        <v>85</v>
      </c>
      <c r="EL3" s="615">
        <v>86</v>
      </c>
      <c r="EM3" s="615">
        <v>87</v>
      </c>
      <c r="EN3" s="615">
        <v>88</v>
      </c>
      <c r="EO3" s="615">
        <v>89</v>
      </c>
      <c r="EP3" s="615">
        <v>90</v>
      </c>
      <c r="EQ3" s="615">
        <v>91</v>
      </c>
      <c r="ER3" s="615">
        <v>92</v>
      </c>
      <c r="ES3" s="615">
        <v>93</v>
      </c>
      <c r="ET3" s="615">
        <v>94</v>
      </c>
      <c r="EU3" s="615">
        <v>95</v>
      </c>
      <c r="EV3" s="615">
        <v>96</v>
      </c>
      <c r="EW3" s="615">
        <v>97</v>
      </c>
      <c r="EX3" s="615">
        <v>98</v>
      </c>
      <c r="EY3" s="615">
        <v>99</v>
      </c>
      <c r="EZ3" s="615">
        <v>100</v>
      </c>
      <c r="FA3" s="615">
        <v>101</v>
      </c>
      <c r="FB3" s="615">
        <v>102</v>
      </c>
      <c r="FC3" s="615">
        <v>103</v>
      </c>
      <c r="FD3" s="615">
        <v>104</v>
      </c>
      <c r="FE3" s="615">
        <v>105</v>
      </c>
      <c r="FF3" s="615">
        <v>106</v>
      </c>
      <c r="FG3" s="615">
        <v>107</v>
      </c>
      <c r="FH3" s="615">
        <v>108</v>
      </c>
      <c r="FI3" s="615">
        <v>109</v>
      </c>
      <c r="FJ3" s="615">
        <v>110</v>
      </c>
      <c r="FK3" s="615">
        <v>111</v>
      </c>
      <c r="FL3" s="615">
        <v>112</v>
      </c>
      <c r="FM3" s="615">
        <v>113</v>
      </c>
      <c r="FN3" s="615">
        <v>114</v>
      </c>
      <c r="FO3" s="615">
        <v>115</v>
      </c>
      <c r="FP3" s="615">
        <v>116</v>
      </c>
      <c r="FQ3" s="615">
        <v>117</v>
      </c>
      <c r="FR3" s="615">
        <v>118</v>
      </c>
      <c r="FS3" s="615">
        <v>119</v>
      </c>
      <c r="FT3" s="615">
        <v>120</v>
      </c>
      <c r="FU3" s="615">
        <v>121</v>
      </c>
      <c r="FV3" s="615">
        <v>122</v>
      </c>
      <c r="FW3" s="615">
        <v>123</v>
      </c>
      <c r="FX3" s="615">
        <v>124</v>
      </c>
      <c r="FY3" s="615">
        <v>125</v>
      </c>
      <c r="FZ3" s="615">
        <v>126</v>
      </c>
      <c r="GA3" s="615">
        <v>127</v>
      </c>
      <c r="GB3" s="615">
        <v>128</v>
      </c>
      <c r="GC3" s="615">
        <v>129</v>
      </c>
      <c r="GD3" s="615">
        <v>130</v>
      </c>
      <c r="GE3" s="615">
        <v>131</v>
      </c>
      <c r="GF3" s="615">
        <v>132</v>
      </c>
      <c r="GG3" s="615">
        <v>133</v>
      </c>
      <c r="GH3" s="615">
        <v>134</v>
      </c>
      <c r="GI3" s="615">
        <v>135</v>
      </c>
      <c r="GJ3" s="615">
        <v>136</v>
      </c>
      <c r="GK3" s="615">
        <v>137</v>
      </c>
      <c r="GL3" s="615">
        <v>138</v>
      </c>
      <c r="GM3" s="615">
        <v>139</v>
      </c>
      <c r="GN3" s="615">
        <v>140</v>
      </c>
      <c r="GO3" s="615">
        <v>141</v>
      </c>
      <c r="GP3" s="615">
        <v>142</v>
      </c>
      <c r="GQ3" s="615">
        <v>143</v>
      </c>
      <c r="GR3" s="615">
        <v>144</v>
      </c>
      <c r="GS3" s="615">
        <v>145</v>
      </c>
      <c r="GT3" s="615">
        <v>146</v>
      </c>
      <c r="GU3" s="615">
        <v>147</v>
      </c>
      <c r="GV3" s="615">
        <v>148</v>
      </c>
      <c r="GW3" s="615">
        <v>149</v>
      </c>
      <c r="GX3" s="615">
        <v>150</v>
      </c>
      <c r="GY3" s="615">
        <v>151</v>
      </c>
      <c r="GZ3" s="615">
        <v>152</v>
      </c>
      <c r="HA3" s="615">
        <v>153</v>
      </c>
      <c r="HB3" s="615">
        <v>154</v>
      </c>
      <c r="HC3" s="615">
        <v>155</v>
      </c>
      <c r="HD3" s="615">
        <v>156</v>
      </c>
      <c r="HE3" s="615">
        <v>157</v>
      </c>
      <c r="HF3" s="615">
        <v>158</v>
      </c>
      <c r="HG3" s="615">
        <v>159</v>
      </c>
      <c r="HH3" s="615">
        <v>160</v>
      </c>
      <c r="HI3" s="615">
        <v>161</v>
      </c>
      <c r="HJ3" s="615">
        <v>162</v>
      </c>
      <c r="HK3" s="615">
        <v>163</v>
      </c>
      <c r="HL3" s="615">
        <v>164</v>
      </c>
      <c r="HM3" s="615">
        <v>165</v>
      </c>
      <c r="HN3" s="615">
        <v>166</v>
      </c>
      <c r="HO3" s="615">
        <v>167</v>
      </c>
      <c r="HP3" s="615">
        <v>168</v>
      </c>
      <c r="HQ3" s="615">
        <v>169</v>
      </c>
      <c r="HR3" s="615">
        <v>170</v>
      </c>
      <c r="HS3" s="615">
        <v>171</v>
      </c>
      <c r="HT3" s="615">
        <v>172</v>
      </c>
      <c r="HU3" s="615">
        <v>173</v>
      </c>
      <c r="HV3" s="615">
        <v>174</v>
      </c>
      <c r="HW3" s="615">
        <v>175</v>
      </c>
      <c r="HX3" s="615">
        <v>176</v>
      </c>
      <c r="HY3" s="615">
        <v>177</v>
      </c>
      <c r="HZ3" s="615">
        <v>178</v>
      </c>
      <c r="IA3" s="615">
        <v>179</v>
      </c>
      <c r="IB3" s="615">
        <v>180</v>
      </c>
      <c r="IC3" s="615">
        <v>181</v>
      </c>
      <c r="ID3" s="615">
        <v>182</v>
      </c>
      <c r="IE3" s="615">
        <v>183</v>
      </c>
      <c r="IF3" s="615">
        <v>184</v>
      </c>
      <c r="IG3" s="615">
        <v>185</v>
      </c>
      <c r="IH3" s="615">
        <v>186</v>
      </c>
      <c r="II3" s="615">
        <v>187</v>
      </c>
      <c r="IJ3" s="615">
        <v>188</v>
      </c>
      <c r="IK3" s="615">
        <v>189</v>
      </c>
      <c r="IL3" s="615">
        <v>190</v>
      </c>
      <c r="IM3" s="615">
        <v>191</v>
      </c>
      <c r="IN3" s="615">
        <v>192</v>
      </c>
      <c r="IO3" s="615">
        <v>193</v>
      </c>
      <c r="IP3" s="615">
        <v>194</v>
      </c>
      <c r="IQ3" s="615">
        <v>195</v>
      </c>
      <c r="IR3" s="615">
        <v>196</v>
      </c>
      <c r="IS3" s="615">
        <v>197</v>
      </c>
      <c r="IT3" s="615">
        <v>198</v>
      </c>
      <c r="IU3" s="615">
        <v>199</v>
      </c>
      <c r="IV3" s="615">
        <v>200</v>
      </c>
      <c r="IW3" s="615">
        <v>201</v>
      </c>
      <c r="IX3" s="615">
        <v>202</v>
      </c>
      <c r="IY3" s="615">
        <v>203</v>
      </c>
      <c r="IZ3" s="615">
        <v>204</v>
      </c>
      <c r="JA3" s="615">
        <v>205</v>
      </c>
      <c r="JB3" s="615">
        <v>206</v>
      </c>
      <c r="JC3" s="615">
        <v>207</v>
      </c>
      <c r="JD3" s="615">
        <v>208</v>
      </c>
      <c r="JE3" s="615">
        <v>209</v>
      </c>
      <c r="JF3" s="615">
        <v>210</v>
      </c>
      <c r="JG3" s="615">
        <v>211</v>
      </c>
      <c r="JH3" s="615">
        <v>212</v>
      </c>
      <c r="JI3" s="615">
        <v>213</v>
      </c>
      <c r="JJ3" s="615">
        <v>214</v>
      </c>
      <c r="JK3" s="615">
        <v>215</v>
      </c>
      <c r="JL3" s="615">
        <v>216</v>
      </c>
      <c r="JM3" s="615">
        <v>217</v>
      </c>
      <c r="JN3" s="615">
        <v>218</v>
      </c>
      <c r="JO3" s="615">
        <v>219</v>
      </c>
      <c r="JP3" s="615">
        <v>220</v>
      </c>
      <c r="JQ3" s="615">
        <v>221</v>
      </c>
      <c r="JR3" s="615">
        <v>222</v>
      </c>
      <c r="JS3" s="615">
        <v>223</v>
      </c>
      <c r="JT3" s="615">
        <v>224</v>
      </c>
      <c r="JU3" s="615">
        <v>225</v>
      </c>
    </row>
    <row r="4" spans="2:281" x14ac:dyDescent="0.45">
      <c r="B4" s="607" t="s">
        <v>1657</v>
      </c>
      <c r="C4" s="604">
        <v>16</v>
      </c>
      <c r="D4" t="s">
        <v>26</v>
      </c>
      <c r="F4" s="612" t="s">
        <v>1661</v>
      </c>
      <c r="G4" s="600" t="s">
        <v>1660</v>
      </c>
      <c r="H4" s="614" t="s">
        <v>1</v>
      </c>
      <c r="I4" s="597">
        <f>$C$5 + (16+$C$4*$C$7*(I3)) * (1/$C$3)</f>
        <v>3.0777777777777775</v>
      </c>
      <c r="J4" s="597">
        <f>I4 + ($C$4*$C$7*(J3-I3))*(1/$C$3)</f>
        <v>3.9666666666666663</v>
      </c>
      <c r="K4" s="597">
        <f t="shared" ref="K4:U4" si="0">J4 + ($C$4*$C$7*(K3-J3))*(1/$C$3)</f>
        <v>4.8555555555555552</v>
      </c>
      <c r="L4" s="597">
        <f t="shared" si="0"/>
        <v>5.7444444444444436</v>
      </c>
      <c r="M4" s="597">
        <f t="shared" si="0"/>
        <v>6.6333333333333329</v>
      </c>
      <c r="N4" s="597">
        <f t="shared" si="0"/>
        <v>7.5222222222222221</v>
      </c>
      <c r="O4" s="597">
        <f t="shared" si="0"/>
        <v>8.4111111111111114</v>
      </c>
      <c r="P4" s="597">
        <f t="shared" si="0"/>
        <v>9.3000000000000007</v>
      </c>
      <c r="Q4" s="597">
        <f t="shared" si="0"/>
        <v>10.18888888888889</v>
      </c>
      <c r="R4" s="597">
        <f t="shared" si="0"/>
        <v>11.077777777777779</v>
      </c>
      <c r="S4" s="597">
        <f t="shared" si="0"/>
        <v>11.966666666666669</v>
      </c>
      <c r="T4" s="597">
        <f t="shared" si="0"/>
        <v>12.855555555555558</v>
      </c>
      <c r="U4" s="597">
        <f t="shared" si="0"/>
        <v>13.744444444444447</v>
      </c>
      <c r="V4" s="597">
        <f t="shared" ref="V4" si="1">U4 + ($C$4*$C$7*(V3-U3))*(1/$C$3)</f>
        <v>14.633333333333336</v>
      </c>
      <c r="W4" s="597">
        <f t="shared" ref="W4" si="2">V4 + ($C$4*$C$7*(W3-V3))*(1/$C$3)</f>
        <v>15.522222222222226</v>
      </c>
      <c r="X4" s="597">
        <f t="shared" ref="X4" si="3">W4 + ($C$4*$C$7*(X3-W3))*(1/$C$3)</f>
        <v>16.411111111111115</v>
      </c>
      <c r="Y4" s="597"/>
      <c r="Z4" s="597"/>
      <c r="AA4" s="597"/>
      <c r="AB4" s="597"/>
      <c r="AC4" s="597"/>
      <c r="AD4" s="597"/>
      <c r="AE4" s="597"/>
      <c r="AF4" s="597"/>
      <c r="AG4" s="597"/>
      <c r="AH4" s="597"/>
      <c r="AI4" s="597"/>
      <c r="AJ4" s="597"/>
      <c r="AK4" s="597"/>
      <c r="AL4" s="597"/>
      <c r="AM4" s="597"/>
      <c r="AN4" s="597"/>
      <c r="AO4" s="597"/>
      <c r="AP4" s="597"/>
      <c r="AQ4" s="597">
        <f t="shared" ref="AQ4:BC4" si="4" xml:space="preserve"> AP4 + ($C$4*$C$7*(AQ3-AP3))*(1/$C$3)</f>
        <v>9.7777777777777768</v>
      </c>
      <c r="AR4" s="597">
        <f t="shared" si="4"/>
        <v>10.666666666666666</v>
      </c>
      <c r="AS4" s="597">
        <f t="shared" si="4"/>
        <v>11.555555555555555</v>
      </c>
      <c r="AT4" s="597">
        <f t="shared" si="4"/>
        <v>12.444444444444445</v>
      </c>
      <c r="AU4" s="597">
        <f t="shared" si="4"/>
        <v>13.333333333333334</v>
      </c>
      <c r="AV4" s="597">
        <f t="shared" si="4"/>
        <v>14.222222222222223</v>
      </c>
      <c r="AW4" s="597">
        <f t="shared" si="4"/>
        <v>15.111111111111112</v>
      </c>
      <c r="AX4" s="597">
        <f t="shared" si="4"/>
        <v>16</v>
      </c>
      <c r="AY4" s="597">
        <f t="shared" si="4"/>
        <v>16.888888888888889</v>
      </c>
      <c r="AZ4" s="597">
        <f t="shared" si="4"/>
        <v>17.777777777777779</v>
      </c>
      <c r="BA4" s="597">
        <f t="shared" si="4"/>
        <v>18.666666666666668</v>
      </c>
      <c r="BB4" s="597">
        <f t="shared" si="4"/>
        <v>19.555555555555557</v>
      </c>
      <c r="BC4" s="597">
        <f t="shared" si="4"/>
        <v>20.444444444444446</v>
      </c>
      <c r="BD4" s="597">
        <f xml:space="preserve"> BC4 + ($C$4*$C$7*(BD3-BC3))*(1/$C$3)</f>
        <v>21.333333333333336</v>
      </c>
      <c r="BE4" s="597">
        <f xml:space="preserve"> BD4 + (C5+C6) + (16+$C$4*$C$7*(BE3))*(1/$C$3)</f>
        <v>107.4111111111111</v>
      </c>
      <c r="BF4" s="597">
        <f xml:space="preserve"> BE4 + ($C$4*$C$7*(BF3-BE3))*(1/$C$3)</f>
        <v>108.29999999999998</v>
      </c>
      <c r="BG4" s="597">
        <f t="shared" ref="BG4:CB4" si="5" xml:space="preserve"> BF4 + ($C$4*$C$7*(BG3-BF3))*(1/$C$3)</f>
        <v>109.18888888888887</v>
      </c>
      <c r="BH4" s="597">
        <f t="shared" si="5"/>
        <v>110.07777777777775</v>
      </c>
      <c r="BI4" s="597">
        <f t="shared" si="5"/>
        <v>110.96666666666664</v>
      </c>
      <c r="BJ4" s="597">
        <f t="shared" si="5"/>
        <v>111.85555555555553</v>
      </c>
      <c r="BK4" s="597">
        <f t="shared" si="5"/>
        <v>112.74444444444441</v>
      </c>
      <c r="BL4" s="597">
        <f t="shared" si="5"/>
        <v>113.6333333333333</v>
      </c>
      <c r="BM4" s="597">
        <f t="shared" si="5"/>
        <v>114.52222222222218</v>
      </c>
      <c r="BN4" s="597">
        <f t="shared" si="5"/>
        <v>115.41111111111107</v>
      </c>
      <c r="BO4" s="597">
        <f t="shared" si="5"/>
        <v>116.29999999999995</v>
      </c>
      <c r="BP4" s="597">
        <f t="shared" si="5"/>
        <v>117.18888888888884</v>
      </c>
      <c r="BQ4" s="597">
        <f t="shared" si="5"/>
        <v>118.07777777777773</v>
      </c>
      <c r="BR4" s="597">
        <f t="shared" si="5"/>
        <v>118.96666666666661</v>
      </c>
      <c r="BS4" s="597">
        <f t="shared" si="5"/>
        <v>119.8555555555555</v>
      </c>
      <c r="BT4" s="597">
        <f t="shared" si="5"/>
        <v>120.74444444444438</v>
      </c>
      <c r="BU4" s="597">
        <f t="shared" si="5"/>
        <v>121.63333333333327</v>
      </c>
      <c r="BV4" s="597">
        <f t="shared" si="5"/>
        <v>122.52222222222215</v>
      </c>
      <c r="BW4" s="597">
        <f t="shared" si="5"/>
        <v>123.41111111111104</v>
      </c>
      <c r="BX4" s="597">
        <f t="shared" si="5"/>
        <v>124.29999999999993</v>
      </c>
      <c r="BY4" s="597">
        <f t="shared" si="5"/>
        <v>125.18888888888881</v>
      </c>
      <c r="BZ4" s="597">
        <f t="shared" si="5"/>
        <v>126.0777777777777</v>
      </c>
      <c r="CA4" s="597">
        <f t="shared" si="5"/>
        <v>126.96666666666658</v>
      </c>
      <c r="CB4" s="597">
        <f t="shared" si="5"/>
        <v>127.85555555555547</v>
      </c>
      <c r="CC4" s="597">
        <f t="shared" ref="CC4" si="6" xml:space="preserve"> CB4 + ($C$4*$C$7*(CC3-CB3))*(1/$C$3)</f>
        <v>128.74444444444435</v>
      </c>
      <c r="CD4" s="597">
        <f t="shared" ref="CD4" si="7" xml:space="preserve"> CC4 + ($C$4*$C$7*(CD3-CC3))*(1/$C$3)</f>
        <v>129.63333333333324</v>
      </c>
      <c r="CE4" s="597">
        <f t="shared" ref="CE4" si="8" xml:space="preserve"> CD4 + ($C$4*$C$7*(CE3-CD3))*(1/$C$3)</f>
        <v>130.52222222222213</v>
      </c>
      <c r="CF4" s="597">
        <f t="shared" ref="CF4" si="9" xml:space="preserve"> CE4 + ($C$4*$C$7*(CF3-CE3))*(1/$C$3)</f>
        <v>131.41111111111101</v>
      </c>
      <c r="CG4" s="597">
        <f t="shared" ref="CG4" si="10" xml:space="preserve"> CF4 + ($C$4*$C$7*(CG3-CF3))*(1/$C$3)</f>
        <v>132.2999999999999</v>
      </c>
      <c r="CH4" s="597">
        <f t="shared" ref="CH4" si="11" xml:space="preserve"> CG4 + ($C$4*$C$7*(CH3-CG3))*(1/$C$3)</f>
        <v>133.18888888888878</v>
      </c>
      <c r="CI4" s="597">
        <f t="shared" ref="CI4" si="12" xml:space="preserve"> CH4 + ($C$4*$C$7*(CI3-CH3))*(1/$C$3)</f>
        <v>134.07777777777767</v>
      </c>
      <c r="CJ4" s="597">
        <f t="shared" ref="CJ4" si="13" xml:space="preserve"> CI4 + ($C$4*$C$7*(CJ3-CI3))*(1/$C$3)</f>
        <v>134.96666666666655</v>
      </c>
      <c r="CK4" s="597">
        <f t="shared" ref="CK4" si="14" xml:space="preserve"> CJ4 + ($C$4*$C$7*(CK3-CJ3))*(1/$C$3)</f>
        <v>135.85555555555544</v>
      </c>
      <c r="CL4" s="597">
        <f t="shared" ref="CL4" si="15" xml:space="preserve"> CK4 + ($C$4*$C$7*(CL3-CK3))*(1/$C$3)</f>
        <v>136.74444444444433</v>
      </c>
      <c r="CM4" s="597">
        <f t="shared" ref="CM4" si="16" xml:space="preserve"> CL4 + ($C$4*$C$7*(CM3-CL3))*(1/$C$3)</f>
        <v>137.63333333333321</v>
      </c>
      <c r="CN4" s="597">
        <f t="shared" ref="CN4" si="17" xml:space="preserve"> CM4 + ($C$4*$C$7*(CN3-CM3))*(1/$C$3)</f>
        <v>138.5222222222221</v>
      </c>
      <c r="CO4" s="597">
        <f t="shared" ref="CO4" si="18" xml:space="preserve"> CN4 + ($C$4*$C$7*(CO3-CN3))*(1/$C$3)</f>
        <v>139.41111111111098</v>
      </c>
      <c r="CP4" s="597">
        <f t="shared" ref="CP4" si="19" xml:space="preserve"> CO4 + ($C$4*$C$7*(CP3-CO3))*(1/$C$3)</f>
        <v>140.29999999999987</v>
      </c>
      <c r="CQ4" s="597">
        <f t="shared" ref="CQ4" si="20" xml:space="preserve"> CP4 + ($C$4*$C$7*(CQ3-CP3))*(1/$C$3)</f>
        <v>141.18888888888875</v>
      </c>
      <c r="CR4" s="597">
        <f t="shared" ref="CR4" si="21" xml:space="preserve"> CQ4 + ($C$4*$C$7*(CR3-CQ3))*(1/$C$3)</f>
        <v>142.07777777777764</v>
      </c>
      <c r="CS4" s="597">
        <f t="shared" ref="CS4" si="22" xml:space="preserve"> CR4 + ($C$4*$C$7*(CS3-CR3))*(1/$C$3)</f>
        <v>142.96666666666653</v>
      </c>
      <c r="CT4" s="597">
        <f t="shared" ref="CT4" si="23" xml:space="preserve"> CS4 + ($C$4*$C$7*(CT3-CS3))*(1/$C$3)</f>
        <v>143.85555555555541</v>
      </c>
      <c r="CU4" s="597">
        <f t="shared" ref="CU4" si="24" xml:space="preserve"> CT4 + ($C$4*$C$7*(CU3-CT3))*(1/$C$3)</f>
        <v>144.7444444444443</v>
      </c>
      <c r="CV4" s="597">
        <f t="shared" ref="CV4" si="25" xml:space="preserve"> CU4 + ($C$4*$C$7*(CV3-CU3))*(1/$C$3)</f>
        <v>145.63333333333318</v>
      </c>
      <c r="CW4" s="597">
        <f t="shared" ref="CW4" si="26" xml:space="preserve"> CV4 + ($C$4*$C$7*(CW3-CV3))*(1/$C$3)</f>
        <v>146.52222222222207</v>
      </c>
      <c r="CX4" s="597">
        <f t="shared" ref="CX4" si="27" xml:space="preserve"> CW4 + ($C$4*$C$7*(CX3-CW3))*(1/$C$3)</f>
        <v>147.41111111111096</v>
      </c>
      <c r="CY4" s="597">
        <f t="shared" ref="CY4" si="28" xml:space="preserve"> CX4 + ($C$4*$C$7*(CY3-CX3))*(1/$C$3)</f>
        <v>148.29999999999984</v>
      </c>
      <c r="CZ4" s="597">
        <f t="shared" ref="CZ4" si="29" xml:space="preserve"> CY4 + ($C$4*$C$7*(CZ3-CY3))*(1/$C$3)</f>
        <v>149.18888888888873</v>
      </c>
      <c r="DA4" s="597">
        <f t="shared" ref="DA4" si="30" xml:space="preserve"> CZ4 + ($C$4*$C$7*(DA3-CZ3))*(1/$C$3)</f>
        <v>150.07777777777761</v>
      </c>
      <c r="DB4" s="597">
        <f t="shared" ref="DB4" si="31" xml:space="preserve"> DA4 + ($C$4*$C$7*(DB3-DA3))*(1/$C$3)</f>
        <v>150.9666666666665</v>
      </c>
      <c r="DC4" s="597">
        <f t="shared" ref="DC4" si="32" xml:space="preserve"> DB4 + ($C$4*$C$7*(DC3-DB3))*(1/$C$3)</f>
        <v>151.85555555555538</v>
      </c>
      <c r="DD4" s="597">
        <f t="shared" ref="DD4" si="33" xml:space="preserve"> DC4 + ($C$4*$C$7*(DD3-DC3))*(1/$C$3)</f>
        <v>152.74444444444427</v>
      </c>
      <c r="DE4" s="597">
        <f t="shared" ref="DE4" si="34" xml:space="preserve"> DD4 + ($C$4*$C$7*(DE3-DD3))*(1/$C$3)</f>
        <v>153.63333333333316</v>
      </c>
      <c r="DF4" s="597">
        <f t="shared" ref="DF4" si="35" xml:space="preserve"> DE4 + ($C$4*$C$7*(DF3-DE3))*(1/$C$3)</f>
        <v>154.52222222222204</v>
      </c>
      <c r="DG4" s="597">
        <f t="shared" ref="DG4" si="36" xml:space="preserve"> DF4 + ($C$4*$C$7*(DG3-DF3))*(1/$C$3)</f>
        <v>155.41111111111093</v>
      </c>
      <c r="DH4" s="597">
        <f t="shared" ref="DH4" si="37" xml:space="preserve"> DG4 + ($C$4*$C$7*(DH3-DG3))*(1/$C$3)</f>
        <v>156.29999999999981</v>
      </c>
      <c r="DI4" s="597">
        <f t="shared" ref="DI4" si="38" xml:space="preserve"> DH4 + ($C$4*$C$7*(DI3-DH3))*(1/$C$3)</f>
        <v>157.1888888888887</v>
      </c>
      <c r="DJ4" s="597">
        <f t="shared" ref="DJ4" si="39" xml:space="preserve"> DI4 + ($C$4*$C$7*(DJ3-DI3))*(1/$C$3)</f>
        <v>158.07777777777758</v>
      </c>
      <c r="DK4" s="597">
        <f t="shared" ref="DK4" si="40" xml:space="preserve"> DJ4 + ($C$4*$C$7*(DK3-DJ3))*(1/$C$3)</f>
        <v>158.96666666666647</v>
      </c>
      <c r="DL4" s="597">
        <f t="shared" ref="DL4" si="41" xml:space="preserve"> DK4 + ($C$4*$C$7*(DL3-DK3))*(1/$C$3)</f>
        <v>159.85555555555536</v>
      </c>
      <c r="DM4" s="597">
        <f t="shared" ref="DM4" si="42" xml:space="preserve"> DL4 + ($C$4*$C$7*(DM3-DL3))*(1/$C$3)</f>
        <v>160.74444444444424</v>
      </c>
      <c r="DN4" s="597">
        <f t="shared" ref="DN4" si="43" xml:space="preserve"> DM4 + ($C$4*$C$7*(DN3-DM3))*(1/$C$3)</f>
        <v>161.63333333333313</v>
      </c>
      <c r="DO4" s="597">
        <f t="shared" ref="DO4" si="44" xml:space="preserve"> DN4 + ($C$4*$C$7*(DO3-DN3))*(1/$C$3)</f>
        <v>162.52222222222201</v>
      </c>
      <c r="DP4" s="597">
        <f t="shared" ref="DP4" si="45" xml:space="preserve"> DO4 + ($C$4*$C$7*(DP3-DO3))*(1/$C$3)</f>
        <v>163.4111111111109</v>
      </c>
      <c r="DQ4" s="597">
        <f t="shared" ref="DQ4" si="46" xml:space="preserve"> DP4 + ($C$4*$C$7*(DQ3-DP3))*(1/$C$3)</f>
        <v>164.29999999999978</v>
      </c>
      <c r="DR4" s="597">
        <f t="shared" ref="DR4" si="47" xml:space="preserve"> DQ4 + ($C$4*$C$7*(DR3-DQ3))*(1/$C$3)</f>
        <v>165.18888888888867</v>
      </c>
      <c r="DS4" s="597">
        <f t="shared" ref="DS4" si="48" xml:space="preserve"> DR4 + ($C$4*$C$7*(DS3-DR3))*(1/$C$3)</f>
        <v>166.07777777777756</v>
      </c>
      <c r="DT4" s="597">
        <f t="shared" ref="DT4" si="49" xml:space="preserve"> DS4 + ($C$4*$C$7*(DT3-DS3))*(1/$C$3)</f>
        <v>166.96666666666644</v>
      </c>
      <c r="DU4" s="597">
        <f t="shared" ref="DU4" si="50" xml:space="preserve"> DT4 + ($C$4*$C$7*(DU3-DT3))*(1/$C$3)</f>
        <v>167.85555555555533</v>
      </c>
      <c r="DV4" s="597">
        <f t="shared" ref="DV4" si="51" xml:space="preserve"> DU4 + ($C$4*$C$7*(DV3-DU3))*(1/$C$3)</f>
        <v>168.74444444444421</v>
      </c>
      <c r="DW4" s="597">
        <f t="shared" ref="DW4" si="52" xml:space="preserve"> DV4 + ($C$4*$C$7*(DW3-DV3))*(1/$C$3)</f>
        <v>169.6333333333331</v>
      </c>
      <c r="DX4" s="597">
        <f t="shared" ref="DX4" si="53" xml:space="preserve"> DW4 + ($C$4*$C$7*(DX3-DW3))*(1/$C$3)</f>
        <v>170.52222222222198</v>
      </c>
      <c r="DY4" s="597">
        <f t="shared" ref="DY4" si="54" xml:space="preserve"> DX4 + ($C$4*$C$7*(DY3-DX3))*(1/$C$3)</f>
        <v>171.41111111111087</v>
      </c>
      <c r="DZ4" s="597">
        <f t="shared" ref="DZ4" si="55" xml:space="preserve"> DY4 + ($C$4*$C$7*(DZ3-DY3))*(1/$C$3)</f>
        <v>172.29999999999976</v>
      </c>
      <c r="EA4" s="597">
        <f t="shared" ref="EA4" si="56" xml:space="preserve"> DZ4 + ($C$4*$C$7*(EA3-DZ3))*(1/$C$3)</f>
        <v>173.18888888888864</v>
      </c>
      <c r="EB4" s="597">
        <f t="shared" ref="EB4" si="57" xml:space="preserve"> EA4 + ($C$4*$C$7*(EB3-EA3))*(1/$C$3)</f>
        <v>174.07777777777753</v>
      </c>
      <c r="EC4" s="597">
        <f t="shared" ref="EC4" si="58" xml:space="preserve"> EB4 + ($C$4*$C$7*(EC3-EB3))*(1/$C$3)</f>
        <v>174.96666666666641</v>
      </c>
      <c r="ED4" s="597">
        <f t="shared" ref="ED4" si="59" xml:space="preserve"> EC4 + ($C$4*$C$7*(ED3-EC3))*(1/$C$3)</f>
        <v>175.8555555555553</v>
      </c>
      <c r="EE4" s="597">
        <f t="shared" ref="EE4" si="60" xml:space="preserve"> ED4 + ($C$4*$C$7*(EE3-ED3))*(1/$C$3)</f>
        <v>176.74444444444418</v>
      </c>
      <c r="EF4" s="597">
        <f t="shared" ref="EF4" si="61" xml:space="preserve"> EE4 + ($C$4*$C$7*(EF3-EE3))*(1/$C$3)</f>
        <v>177.63333333333307</v>
      </c>
      <c r="EG4" s="597">
        <f t="shared" ref="EG4" si="62" xml:space="preserve"> EF4 + ($C$4*$C$7*(EG3-EF3))*(1/$C$3)</f>
        <v>178.52222222222196</v>
      </c>
      <c r="EH4" s="597">
        <f t="shared" ref="EH4" si="63" xml:space="preserve"> EG4 + ($C$4*$C$7*(EH3-EG3))*(1/$C$3)</f>
        <v>179.41111111111084</v>
      </c>
      <c r="EI4" s="597">
        <f t="shared" ref="EI4" si="64" xml:space="preserve"> EH4 + ($C$4*$C$7*(EI3-EH3))*(1/$C$3)</f>
        <v>180.29999999999973</v>
      </c>
      <c r="EJ4" s="597">
        <f t="shared" ref="EJ4" si="65" xml:space="preserve"> EI4 + ($C$4*$C$7*(EJ3-EI3))*(1/$C$3)</f>
        <v>181.18888888888861</v>
      </c>
      <c r="EK4" s="597">
        <f t="shared" ref="EK4" si="66" xml:space="preserve"> EJ4 + ($C$4*$C$7*(EK3-EJ3))*(1/$C$3)</f>
        <v>182.0777777777775</v>
      </c>
      <c r="EL4" s="597">
        <f t="shared" ref="EL4" si="67" xml:space="preserve"> EK4 + ($C$4*$C$7*(EL3-EK3))*(1/$C$3)</f>
        <v>182.96666666666638</v>
      </c>
      <c r="EM4" s="597">
        <f t="shared" ref="EM4" si="68" xml:space="preserve"> EL4 + ($C$4*$C$7*(EM3-EL3))*(1/$C$3)</f>
        <v>183.85555555555527</v>
      </c>
      <c r="EN4" s="597">
        <f t="shared" ref="EN4" si="69" xml:space="preserve"> EM4 + ($C$4*$C$7*(EN3-EM3))*(1/$C$3)</f>
        <v>184.74444444444416</v>
      </c>
      <c r="EO4" s="597">
        <f t="shared" ref="EO4" si="70" xml:space="preserve"> EN4 + ($C$4*$C$7*(EO3-EN3))*(1/$C$3)</f>
        <v>185.63333333333304</v>
      </c>
      <c r="EP4" s="597">
        <f t="shared" ref="EP4" si="71" xml:space="preserve"> EO4 + ($C$4*$C$7*(EP3-EO3))*(1/$C$3)</f>
        <v>186.52222222222193</v>
      </c>
      <c r="EQ4" s="597">
        <f t="shared" ref="EQ4" si="72" xml:space="preserve"> EP4 + ($C$4*$C$7*(EQ3-EP3))*(1/$C$3)</f>
        <v>187.41111111111081</v>
      </c>
      <c r="ER4" s="597">
        <f t="shared" ref="ER4" si="73" xml:space="preserve"> EQ4 + ($C$4*$C$7*(ER3-EQ3))*(1/$C$3)</f>
        <v>188.2999999999997</v>
      </c>
      <c r="ES4" s="597">
        <f t="shared" ref="ES4" si="74" xml:space="preserve"> ER4 + ($C$4*$C$7*(ES3-ER3))*(1/$C$3)</f>
        <v>189.18888888888858</v>
      </c>
      <c r="ET4" s="597">
        <f t="shared" ref="ET4" si="75" xml:space="preserve"> ES4 + ($C$4*$C$7*(ET3-ES3))*(1/$C$3)</f>
        <v>190.07777777777747</v>
      </c>
      <c r="EU4" s="597">
        <f t="shared" ref="EU4" si="76" xml:space="preserve"> ET4 + ($C$4*$C$7*(EU3-ET3))*(1/$C$3)</f>
        <v>190.96666666666636</v>
      </c>
      <c r="EV4" s="597">
        <f t="shared" ref="EV4" si="77" xml:space="preserve"> EU4 + ($C$4*$C$7*(EV3-EU3))*(1/$C$3)</f>
        <v>191.85555555555524</v>
      </c>
      <c r="EW4" s="597">
        <f t="shared" ref="EW4" si="78" xml:space="preserve"> EV4 + ($C$4*$C$7*(EW3-EV3))*(1/$C$3)</f>
        <v>192.74444444444413</v>
      </c>
      <c r="EX4" s="597">
        <f t="shared" ref="EX4" si="79" xml:space="preserve"> EW4 + ($C$4*$C$7*(EX3-EW3))*(1/$C$3)</f>
        <v>193.63333333333301</v>
      </c>
      <c r="EY4" s="597">
        <f t="shared" ref="EY4" si="80" xml:space="preserve"> EX4 + ($C$4*$C$7*(EY3-EX3))*(1/$C$3)</f>
        <v>194.5222222222219</v>
      </c>
      <c r="EZ4" s="597">
        <f t="shared" ref="EZ4" si="81" xml:space="preserve"> EY4 + ($C$4*$C$7*(EZ3-EY3))*(1/$C$3)</f>
        <v>195.41111111111078</v>
      </c>
      <c r="FA4" s="597">
        <f t="shared" ref="FA4" si="82" xml:space="preserve"> EZ4 + ($C$4*$C$7*(FA3-EZ3))*(1/$C$3)</f>
        <v>196.29999999999967</v>
      </c>
      <c r="FB4" s="597">
        <f t="shared" ref="FB4" si="83" xml:space="preserve"> FA4 + ($C$4*$C$7*(FB3-FA3))*(1/$C$3)</f>
        <v>197.18888888888856</v>
      </c>
      <c r="FC4" s="597">
        <f t="shared" ref="FC4" si="84" xml:space="preserve"> FB4 + ($C$4*$C$7*(FC3-FB3))*(1/$C$3)</f>
        <v>198.07777777777744</v>
      </c>
      <c r="FD4" s="597">
        <f t="shared" ref="FD4" si="85" xml:space="preserve"> FC4 + ($C$4*$C$7*(FD3-FC3))*(1/$C$3)</f>
        <v>198.96666666666633</v>
      </c>
      <c r="FE4" s="597">
        <f t="shared" ref="FE4" si="86" xml:space="preserve"> FD4 + ($C$4*$C$7*(FE3-FD3))*(1/$C$3)</f>
        <v>199.85555555555521</v>
      </c>
      <c r="FF4" s="597">
        <f t="shared" ref="FF4" si="87" xml:space="preserve"> FE4 + ($C$4*$C$7*(FF3-FE3))*(1/$C$3)</f>
        <v>200.7444444444441</v>
      </c>
      <c r="FG4" s="597">
        <f t="shared" ref="FG4" si="88" xml:space="preserve"> FF4 + ($C$4*$C$7*(FG3-FF3))*(1/$C$3)</f>
        <v>201.63333333333298</v>
      </c>
      <c r="FH4" s="597">
        <f t="shared" ref="FH4" si="89" xml:space="preserve"> FG4 + ($C$4*$C$7*(FH3-FG3))*(1/$C$3)</f>
        <v>202.52222222222187</v>
      </c>
      <c r="FI4" s="597">
        <f t="shared" ref="FI4" si="90" xml:space="preserve"> FH4 + ($C$4*$C$7*(FI3-FH3))*(1/$C$3)</f>
        <v>203.41111111111076</v>
      </c>
      <c r="FJ4" s="597">
        <f t="shared" ref="FJ4" si="91" xml:space="preserve"> FI4 + ($C$4*$C$7*(FJ3-FI3))*(1/$C$3)</f>
        <v>204.29999999999964</v>
      </c>
      <c r="FK4" s="597">
        <f t="shared" ref="FK4" si="92" xml:space="preserve"> FJ4 + ($C$4*$C$7*(FK3-FJ3))*(1/$C$3)</f>
        <v>205.18888888888853</v>
      </c>
      <c r="FL4" s="597">
        <f t="shared" ref="FL4" si="93" xml:space="preserve"> FK4 + ($C$4*$C$7*(FL3-FK3))*(1/$C$3)</f>
        <v>206.07777777777741</v>
      </c>
      <c r="FM4" s="597">
        <f t="shared" ref="FM4" si="94" xml:space="preserve"> FL4 + ($C$4*$C$7*(FM3-FL3))*(1/$C$3)</f>
        <v>206.9666666666663</v>
      </c>
      <c r="FN4" s="597">
        <f t="shared" ref="FN4" si="95" xml:space="preserve"> FM4 + ($C$4*$C$7*(FN3-FM3))*(1/$C$3)</f>
        <v>207.85555555555518</v>
      </c>
      <c r="FO4" s="597">
        <f t="shared" ref="FO4" si="96" xml:space="preserve"> FN4 + ($C$4*$C$7*(FO3-FN3))*(1/$C$3)</f>
        <v>208.74444444444407</v>
      </c>
      <c r="FP4" s="597">
        <f t="shared" ref="FP4" si="97" xml:space="preserve"> FO4 + ($C$4*$C$7*(FP3-FO3))*(1/$C$3)</f>
        <v>209.63333333333296</v>
      </c>
      <c r="FQ4" s="597">
        <f t="shared" ref="FQ4" si="98" xml:space="preserve"> FP4 + ($C$4*$C$7*(FQ3-FP3))*(1/$C$3)</f>
        <v>210.52222222222184</v>
      </c>
      <c r="FR4" s="597">
        <f t="shared" ref="FR4" si="99" xml:space="preserve"> FQ4 + ($C$4*$C$7*(FR3-FQ3))*(1/$C$3)</f>
        <v>211.41111111111073</v>
      </c>
      <c r="FS4" s="597">
        <f t="shared" ref="FS4" si="100" xml:space="preserve"> FR4 + ($C$4*$C$7*(FS3-FR3))*(1/$C$3)</f>
        <v>212.29999999999961</v>
      </c>
      <c r="FT4" s="597">
        <f t="shared" ref="FT4" si="101" xml:space="preserve"> FS4 + ($C$4*$C$7*(FT3-FS3))*(1/$C$3)</f>
        <v>213.1888888888885</v>
      </c>
      <c r="FU4" s="597">
        <f t="shared" ref="FU4" si="102" xml:space="preserve"> FT4 + ($C$4*$C$7*(FU3-FT3))*(1/$C$3)</f>
        <v>214.07777777777738</v>
      </c>
      <c r="FV4" s="597">
        <f t="shared" ref="FV4" si="103" xml:space="preserve"> FU4 + ($C$4*$C$7*(FV3-FU3))*(1/$C$3)</f>
        <v>214.96666666666627</v>
      </c>
      <c r="FW4" s="597">
        <f t="shared" ref="FW4" si="104" xml:space="preserve"> FV4 + ($C$4*$C$7*(FW3-FV3))*(1/$C$3)</f>
        <v>215.85555555555516</v>
      </c>
      <c r="FX4" s="597">
        <f t="shared" ref="FX4" si="105" xml:space="preserve"> FW4 + ($C$4*$C$7*(FX3-FW3))*(1/$C$3)</f>
        <v>216.74444444444404</v>
      </c>
      <c r="FY4" s="597">
        <f t="shared" ref="FY4" si="106" xml:space="preserve"> FX4 + ($C$4*$C$7*(FY3-FX3))*(1/$C$3)</f>
        <v>217.63333333333293</v>
      </c>
      <c r="FZ4" s="597">
        <f t="shared" ref="FZ4" si="107" xml:space="preserve"> FY4 + ($C$4*$C$7*(FZ3-FY3))*(1/$C$3)</f>
        <v>218.52222222222181</v>
      </c>
      <c r="GA4" s="597">
        <f t="shared" ref="GA4" si="108" xml:space="preserve"> FZ4 + ($C$4*$C$7*(GA3-FZ3))*(1/$C$3)</f>
        <v>219.4111111111107</v>
      </c>
      <c r="GB4" s="597">
        <f t="shared" ref="GB4" si="109" xml:space="preserve"> GA4 + ($C$4*$C$7*(GB3-GA3))*(1/$C$3)</f>
        <v>220.29999999999959</v>
      </c>
      <c r="GC4" s="597">
        <f t="shared" ref="GC4" si="110" xml:space="preserve"> GB4 + ($C$4*$C$7*(GC3-GB3))*(1/$C$3)</f>
        <v>221.18888888888847</v>
      </c>
      <c r="GD4" s="597">
        <f t="shared" ref="GD4" si="111" xml:space="preserve"> GC4 + ($C$4*$C$7*(GD3-GC3))*(1/$C$3)</f>
        <v>222.07777777777736</v>
      </c>
      <c r="GE4" s="597">
        <f t="shared" ref="GE4" si="112" xml:space="preserve"> GD4 + ($C$4*$C$7*(GE3-GD3))*(1/$C$3)</f>
        <v>222.96666666666624</v>
      </c>
      <c r="GF4" s="597">
        <f t="shared" ref="GF4" si="113" xml:space="preserve"> GE4 + ($C$4*$C$7*(GF3-GE3))*(1/$C$3)</f>
        <v>223.85555555555513</v>
      </c>
      <c r="GG4" s="597">
        <f t="shared" ref="GG4" si="114" xml:space="preserve"> GF4 + ($C$4*$C$7*(GG3-GF3))*(1/$C$3)</f>
        <v>224.74444444444401</v>
      </c>
      <c r="GH4" s="597">
        <f t="shared" ref="GH4" si="115" xml:space="preserve"> GG4 + ($C$4*$C$7*(GH3-GG3))*(1/$C$3)</f>
        <v>225.6333333333329</v>
      </c>
      <c r="GI4" s="597">
        <f t="shared" ref="GI4" si="116" xml:space="preserve"> GH4 + ($C$4*$C$7*(GI3-GH3))*(1/$C$3)</f>
        <v>226.52222222222179</v>
      </c>
      <c r="GJ4" s="597">
        <f t="shared" ref="GJ4" si="117" xml:space="preserve"> GI4 + ($C$4*$C$7*(GJ3-GI3))*(1/$C$3)</f>
        <v>227.41111111111067</v>
      </c>
      <c r="GK4" s="597">
        <f t="shared" ref="GK4" si="118" xml:space="preserve"> GJ4 + ($C$4*$C$7*(GK3-GJ3))*(1/$C$3)</f>
        <v>228.29999999999956</v>
      </c>
      <c r="GL4" s="597">
        <f t="shared" ref="GL4" si="119" xml:space="preserve"> GK4 + ($C$4*$C$7*(GL3-GK3))*(1/$C$3)</f>
        <v>229.18888888888844</v>
      </c>
      <c r="GM4" s="597">
        <f t="shared" ref="GM4" si="120" xml:space="preserve"> GL4 + ($C$4*$C$7*(GM3-GL3))*(1/$C$3)</f>
        <v>230.07777777777733</v>
      </c>
      <c r="GN4" s="597">
        <f t="shared" ref="GN4" si="121" xml:space="preserve"> GM4 + ($C$4*$C$7*(GN3-GM3))*(1/$C$3)</f>
        <v>230.96666666666621</v>
      </c>
      <c r="GO4" s="597">
        <f t="shared" ref="GO4" si="122" xml:space="preserve"> GN4 + ($C$4*$C$7*(GO3-GN3))*(1/$C$3)</f>
        <v>231.8555555555551</v>
      </c>
      <c r="GP4" s="597">
        <f t="shared" ref="GP4" si="123" xml:space="preserve"> GO4 + ($C$4*$C$7*(GP3-GO3))*(1/$C$3)</f>
        <v>232.74444444444399</v>
      </c>
      <c r="GQ4" s="597">
        <f t="shared" ref="GQ4" si="124" xml:space="preserve"> GP4 + ($C$4*$C$7*(GQ3-GP3))*(1/$C$3)</f>
        <v>233.63333333333287</v>
      </c>
      <c r="GR4" s="597">
        <f t="shared" ref="GR4" si="125" xml:space="preserve"> GQ4 + ($C$4*$C$7*(GR3-GQ3))*(1/$C$3)</f>
        <v>234.52222222222176</v>
      </c>
      <c r="GS4" s="597">
        <f t="shared" ref="GS4" si="126" xml:space="preserve"> GR4 + ($C$4*$C$7*(GS3-GR3))*(1/$C$3)</f>
        <v>235.41111111111064</v>
      </c>
      <c r="GT4" s="597">
        <f t="shared" ref="GT4" si="127" xml:space="preserve"> GS4 + ($C$4*$C$7*(GT3-GS3))*(1/$C$3)</f>
        <v>236.29999999999953</v>
      </c>
      <c r="GU4" s="597">
        <f t="shared" ref="GU4" si="128" xml:space="preserve"> GT4 + ($C$4*$C$7*(GU3-GT3))*(1/$C$3)</f>
        <v>237.18888888888841</v>
      </c>
      <c r="GV4" s="597">
        <f t="shared" ref="GV4" si="129" xml:space="preserve"> GU4 + ($C$4*$C$7*(GV3-GU3))*(1/$C$3)</f>
        <v>238.0777777777773</v>
      </c>
      <c r="GW4" s="597">
        <f t="shared" ref="GW4" si="130" xml:space="preserve"> GV4 + ($C$4*$C$7*(GW3-GV3))*(1/$C$3)</f>
        <v>238.96666666666619</v>
      </c>
      <c r="GX4" s="597">
        <f t="shared" ref="GX4" si="131" xml:space="preserve"> GW4 + ($C$4*$C$7*(GX3-GW3))*(1/$C$3)</f>
        <v>239.85555555555507</v>
      </c>
      <c r="GY4" s="597">
        <f t="shared" ref="GY4" si="132" xml:space="preserve"> GX4 + ($C$4*$C$7*(GY3-GX3))*(1/$C$3)</f>
        <v>240.74444444444396</v>
      </c>
      <c r="GZ4" s="597">
        <f t="shared" ref="GZ4" si="133" xml:space="preserve"> GY4 + ($C$4*$C$7*(GZ3-GY3))*(1/$C$3)</f>
        <v>241.63333333333284</v>
      </c>
      <c r="HA4" s="597">
        <f t="shared" ref="HA4" si="134" xml:space="preserve"> GZ4 + ($C$4*$C$7*(HA3-GZ3))*(1/$C$3)</f>
        <v>242.52222222222173</v>
      </c>
      <c r="HB4" s="597">
        <f t="shared" ref="HB4" si="135" xml:space="preserve"> HA4 + ($C$4*$C$7*(HB3-HA3))*(1/$C$3)</f>
        <v>243.41111111111061</v>
      </c>
      <c r="HC4" s="597">
        <f t="shared" ref="HC4" si="136" xml:space="preserve"> HB4 + ($C$4*$C$7*(HC3-HB3))*(1/$C$3)</f>
        <v>244.2999999999995</v>
      </c>
      <c r="HD4" s="597">
        <f t="shared" ref="HD4" si="137" xml:space="preserve"> HC4 + ($C$4*$C$7*(HD3-HC3))*(1/$C$3)</f>
        <v>245.18888888888839</v>
      </c>
      <c r="HE4" s="597">
        <f t="shared" ref="HE4" si="138" xml:space="preserve"> HD4 + ($C$4*$C$7*(HE3-HD3))*(1/$C$3)</f>
        <v>246.07777777777727</v>
      </c>
      <c r="HF4" s="597">
        <f t="shared" ref="HF4" si="139" xml:space="preserve"> HE4 + ($C$4*$C$7*(HF3-HE3))*(1/$C$3)</f>
        <v>246.96666666666616</v>
      </c>
      <c r="HG4" s="597">
        <f t="shared" ref="HG4" si="140" xml:space="preserve"> HF4 + ($C$4*$C$7*(HG3-HF3))*(1/$C$3)</f>
        <v>247.85555555555504</v>
      </c>
      <c r="HH4" s="597">
        <f t="shared" ref="HH4" si="141" xml:space="preserve"> HG4 + ($C$4*$C$7*(HH3-HG3))*(1/$C$3)</f>
        <v>248.74444444444393</v>
      </c>
      <c r="HI4" s="597">
        <f t="shared" ref="HI4" si="142" xml:space="preserve"> HH4 + ($C$4*$C$7*(HI3-HH3))*(1/$C$3)</f>
        <v>249.63333333333281</v>
      </c>
      <c r="HJ4" s="597">
        <f t="shared" ref="HJ4" si="143" xml:space="preserve"> HI4 + ($C$4*$C$7*(HJ3-HI3))*(1/$C$3)</f>
        <v>250.5222222222217</v>
      </c>
      <c r="HK4" s="597">
        <f t="shared" ref="HK4" si="144" xml:space="preserve"> HJ4 + ($C$4*$C$7*(HK3-HJ3))*(1/$C$3)</f>
        <v>251.41111111111059</v>
      </c>
      <c r="HL4" s="597">
        <f t="shared" ref="HL4" si="145" xml:space="preserve"> HK4 + ($C$4*$C$7*(HL3-HK3))*(1/$C$3)</f>
        <v>252.29999999999947</v>
      </c>
      <c r="HM4" s="597">
        <f t="shared" ref="HM4" si="146" xml:space="preserve"> HL4 + ($C$4*$C$7*(HM3-HL3))*(1/$C$3)</f>
        <v>253.18888888888836</v>
      </c>
      <c r="HN4" s="597">
        <f t="shared" ref="HN4" si="147" xml:space="preserve"> HM4 + ($C$4*$C$7*(HN3-HM3))*(1/$C$3)</f>
        <v>254.07777777777724</v>
      </c>
      <c r="HO4" s="597">
        <f t="shared" ref="HO4" si="148" xml:space="preserve"> HN4 + ($C$4*$C$7*(HO3-HN3))*(1/$C$3)</f>
        <v>254.96666666666613</v>
      </c>
      <c r="HP4" s="597">
        <f t="shared" ref="HP4" si="149" xml:space="preserve"> HO4 + ($C$4*$C$7*(HP3-HO3))*(1/$C$3)</f>
        <v>255.85555555555501</v>
      </c>
      <c r="HQ4" s="597">
        <f t="shared" ref="HQ4" si="150" xml:space="preserve"> HP4 + ($C$4*$C$7*(HQ3-HP3))*(1/$C$3)</f>
        <v>256.7444444444439</v>
      </c>
      <c r="HR4" s="597">
        <f t="shared" ref="HR4" si="151" xml:space="preserve"> HQ4 + ($C$4*$C$7*(HR3-HQ3))*(1/$C$3)</f>
        <v>257.63333333333281</v>
      </c>
      <c r="HS4" s="597">
        <f t="shared" ref="HS4" si="152" xml:space="preserve"> HR4 + ($C$4*$C$7*(HS3-HR3))*(1/$C$3)</f>
        <v>258.52222222222173</v>
      </c>
      <c r="HT4" s="597">
        <f t="shared" ref="HT4" si="153" xml:space="preserve"> HS4 + ($C$4*$C$7*(HT3-HS3))*(1/$C$3)</f>
        <v>259.41111111111064</v>
      </c>
      <c r="HU4" s="597">
        <f t="shared" ref="HU4" si="154" xml:space="preserve"> HT4 + ($C$4*$C$7*(HU3-HT3))*(1/$C$3)</f>
        <v>260.29999999999956</v>
      </c>
      <c r="HV4" s="597">
        <f t="shared" ref="HV4" si="155" xml:space="preserve"> HU4 + ($C$4*$C$7*(HV3-HU3))*(1/$C$3)</f>
        <v>261.18888888888847</v>
      </c>
      <c r="HW4" s="597">
        <f t="shared" ref="HW4" si="156" xml:space="preserve"> HV4 + ($C$4*$C$7*(HW3-HV3))*(1/$C$3)</f>
        <v>262.07777777777738</v>
      </c>
      <c r="HX4" s="597">
        <f t="shared" ref="HX4" si="157" xml:space="preserve"> HW4 + ($C$4*$C$7*(HX3-HW3))*(1/$C$3)</f>
        <v>262.9666666666663</v>
      </c>
      <c r="HY4" s="597">
        <f t="shared" ref="HY4" si="158" xml:space="preserve"> HX4 + ($C$4*$C$7*(HY3-HX3))*(1/$C$3)</f>
        <v>263.85555555555521</v>
      </c>
      <c r="HZ4" s="597">
        <f t="shared" ref="HZ4" si="159" xml:space="preserve"> HY4 + ($C$4*$C$7*(HZ3-HY3))*(1/$C$3)</f>
        <v>264.74444444444413</v>
      </c>
      <c r="IA4" s="597">
        <f t="shared" ref="IA4" si="160" xml:space="preserve"> HZ4 + ($C$4*$C$7*(IA3-HZ3))*(1/$C$3)</f>
        <v>265.63333333333304</v>
      </c>
      <c r="IB4" s="597">
        <f t="shared" ref="IB4" si="161" xml:space="preserve"> IA4 + ($C$4*$C$7*(IB3-IA3))*(1/$C$3)</f>
        <v>266.52222222222196</v>
      </c>
      <c r="IC4" s="597">
        <f t="shared" ref="IC4" si="162" xml:space="preserve"> IB4 + ($C$4*$C$7*(IC3-IB3))*(1/$C$3)</f>
        <v>267.41111111111087</v>
      </c>
      <c r="ID4" s="597">
        <f t="shared" ref="ID4" si="163" xml:space="preserve"> IC4 + ($C$4*$C$7*(ID3-IC3))*(1/$C$3)</f>
        <v>268.29999999999978</v>
      </c>
      <c r="IE4" s="597">
        <f t="shared" ref="IE4" si="164" xml:space="preserve"> ID4 + ($C$4*$C$7*(IE3-ID3))*(1/$C$3)</f>
        <v>269.1888888888887</v>
      </c>
      <c r="IF4" s="597">
        <f t="shared" ref="IF4" si="165" xml:space="preserve"> IE4 + ($C$4*$C$7*(IF3-IE3))*(1/$C$3)</f>
        <v>270.07777777777761</v>
      </c>
      <c r="IG4" s="597">
        <f t="shared" ref="IG4" si="166" xml:space="preserve"> IF4 + ($C$4*$C$7*(IG3-IF3))*(1/$C$3)</f>
        <v>270.96666666666653</v>
      </c>
      <c r="IH4" s="597">
        <f t="shared" ref="IH4" si="167" xml:space="preserve"> IG4 + ($C$4*$C$7*(IH3-IG3))*(1/$C$3)</f>
        <v>271.85555555555544</v>
      </c>
      <c r="II4" s="597">
        <f t="shared" ref="II4" si="168" xml:space="preserve"> IH4 + ($C$4*$C$7*(II3-IH3))*(1/$C$3)</f>
        <v>272.74444444444435</v>
      </c>
      <c r="IJ4" s="597">
        <f t="shared" ref="IJ4" si="169" xml:space="preserve"> II4 + ($C$4*$C$7*(IJ3-II3))*(1/$C$3)</f>
        <v>273.63333333333327</v>
      </c>
      <c r="IK4" s="597">
        <f t="shared" ref="IK4" si="170" xml:space="preserve"> IJ4 + ($C$4*$C$7*(IK3-IJ3))*(1/$C$3)</f>
        <v>274.52222222222218</v>
      </c>
      <c r="IL4" s="597">
        <f t="shared" ref="IL4" si="171" xml:space="preserve"> IK4 + ($C$4*$C$7*(IL3-IK3))*(1/$C$3)</f>
        <v>275.4111111111111</v>
      </c>
      <c r="IM4" s="597">
        <f t="shared" ref="IM4" si="172" xml:space="preserve"> IL4 + ($C$4*$C$7*(IM3-IL3))*(1/$C$3)</f>
        <v>276.3</v>
      </c>
      <c r="IN4" s="597">
        <f t="shared" ref="IN4" si="173" xml:space="preserve"> IM4 + ($C$4*$C$7*(IN3-IM3))*(1/$C$3)</f>
        <v>277.18888888888893</v>
      </c>
      <c r="IO4" s="597">
        <f t="shared" ref="IO4" si="174" xml:space="preserve"> IN4 + ($C$4*$C$7*(IO3-IN3))*(1/$C$3)</f>
        <v>278.07777777777784</v>
      </c>
      <c r="IP4" s="597">
        <f t="shared" ref="IP4" si="175" xml:space="preserve"> IO4 + ($C$4*$C$7*(IP3-IO3))*(1/$C$3)</f>
        <v>278.96666666666675</v>
      </c>
      <c r="IQ4" s="597">
        <f t="shared" ref="IQ4" si="176" xml:space="preserve"> IP4 + ($C$4*$C$7*(IQ3-IP3))*(1/$C$3)</f>
        <v>279.85555555555567</v>
      </c>
      <c r="IR4" s="597">
        <f t="shared" ref="IR4" si="177" xml:space="preserve"> IQ4 + ($C$4*$C$7*(IR3-IQ3))*(1/$C$3)</f>
        <v>280.74444444444458</v>
      </c>
      <c r="IS4" s="597">
        <f t="shared" ref="IS4" si="178" xml:space="preserve"> IR4 + ($C$4*$C$7*(IS3-IR3))*(1/$C$3)</f>
        <v>281.6333333333335</v>
      </c>
      <c r="IT4" s="597">
        <f t="shared" ref="IT4" si="179" xml:space="preserve"> IS4 + ($C$4*$C$7*(IT3-IS3))*(1/$C$3)</f>
        <v>282.52222222222241</v>
      </c>
      <c r="IU4" s="597">
        <f t="shared" ref="IU4" si="180" xml:space="preserve"> IT4 + ($C$4*$C$7*(IU3-IT3))*(1/$C$3)</f>
        <v>283.41111111111132</v>
      </c>
      <c r="IV4" s="597">
        <f t="shared" ref="IV4" si="181" xml:space="preserve"> IU4 + ($C$4*$C$7*(IV3-IU3))*(1/$C$3)</f>
        <v>284.30000000000024</v>
      </c>
      <c r="IW4" s="597">
        <f t="shared" ref="IW4" si="182" xml:space="preserve"> IV4 + ($C$4*$C$7*(IW3-IV3))*(1/$C$3)</f>
        <v>285.18888888888915</v>
      </c>
      <c r="IX4" s="597">
        <f t="shared" ref="IX4" si="183" xml:space="preserve"> IW4 + ($C$4*$C$7*(IX3-IW3))*(1/$C$3)</f>
        <v>286.07777777777807</v>
      </c>
      <c r="IY4" s="597">
        <f t="shared" ref="IY4" si="184" xml:space="preserve"> IX4 + ($C$4*$C$7*(IY3-IX3))*(1/$C$3)</f>
        <v>286.96666666666698</v>
      </c>
      <c r="IZ4" s="597">
        <f t="shared" ref="IZ4" si="185" xml:space="preserve"> IY4 + ($C$4*$C$7*(IZ3-IY3))*(1/$C$3)</f>
        <v>287.8555555555559</v>
      </c>
      <c r="JA4" s="597">
        <f t="shared" ref="JA4" si="186" xml:space="preserve"> IZ4 + ($C$4*$C$7*(JA3-IZ3))*(1/$C$3)</f>
        <v>288.74444444444481</v>
      </c>
      <c r="JB4" s="597">
        <f t="shared" ref="JB4" si="187" xml:space="preserve"> JA4 + ($C$4*$C$7*(JB3-JA3))*(1/$C$3)</f>
        <v>289.63333333333372</v>
      </c>
      <c r="JC4" s="597">
        <f t="shared" ref="JC4" si="188" xml:space="preserve"> JB4 + ($C$4*$C$7*(JC3-JB3))*(1/$C$3)</f>
        <v>290.52222222222264</v>
      </c>
      <c r="JD4" s="597">
        <f t="shared" ref="JD4" si="189" xml:space="preserve"> JC4 + ($C$4*$C$7*(JD3-JC3))*(1/$C$3)</f>
        <v>291.41111111111155</v>
      </c>
      <c r="JE4" s="597">
        <f t="shared" ref="JE4" si="190" xml:space="preserve"> JD4 + ($C$4*$C$7*(JE3-JD3))*(1/$C$3)</f>
        <v>292.30000000000047</v>
      </c>
      <c r="JF4" s="597">
        <f t="shared" ref="JF4" si="191" xml:space="preserve"> JE4 + ($C$4*$C$7*(JF3-JE3))*(1/$C$3)</f>
        <v>293.18888888888938</v>
      </c>
      <c r="JG4" s="597">
        <f t="shared" ref="JG4" si="192" xml:space="preserve"> JF4 + ($C$4*$C$7*(JG3-JF3))*(1/$C$3)</f>
        <v>294.07777777777829</v>
      </c>
      <c r="JH4" s="597">
        <f t="shared" ref="JH4" si="193" xml:space="preserve"> JG4 + ($C$4*$C$7*(JH3-JG3))*(1/$C$3)</f>
        <v>294.96666666666721</v>
      </c>
      <c r="JI4" s="597">
        <f t="shared" ref="JI4" si="194" xml:space="preserve"> JH4 + ($C$4*$C$7*(JI3-JH3))*(1/$C$3)</f>
        <v>295.85555555555612</v>
      </c>
      <c r="JJ4" s="597">
        <f t="shared" ref="JJ4" si="195" xml:space="preserve"> JI4 + ($C$4*$C$7*(JJ3-JI3))*(1/$C$3)</f>
        <v>296.74444444444504</v>
      </c>
      <c r="JK4" s="597">
        <f t="shared" ref="JK4" si="196" xml:space="preserve"> JJ4 + ($C$4*$C$7*(JK3-JJ3))*(1/$C$3)</f>
        <v>297.63333333333395</v>
      </c>
      <c r="JL4" s="597">
        <f t="shared" ref="JL4" si="197" xml:space="preserve"> JK4 + ($C$4*$C$7*(JL3-JK3))*(1/$C$3)</f>
        <v>298.52222222222287</v>
      </c>
      <c r="JM4" s="597">
        <f t="shared" ref="JM4" si="198" xml:space="preserve"> JL4 + ($C$4*$C$7*(JM3-JL3))*(1/$C$3)</f>
        <v>299.41111111111178</v>
      </c>
      <c r="JN4" s="597">
        <f t="shared" ref="JN4" si="199" xml:space="preserve"> JM4 + ($C$4*$C$7*(JN3-JM3))*(1/$C$3)</f>
        <v>300.30000000000069</v>
      </c>
      <c r="JO4" s="597">
        <f t="shared" ref="JO4" si="200" xml:space="preserve"> JN4 + ($C$4*$C$7*(JO3-JN3))*(1/$C$3)</f>
        <v>301.18888888888961</v>
      </c>
      <c r="JP4" s="597">
        <f t="shared" ref="JP4" si="201" xml:space="preserve"> JO4 + ($C$4*$C$7*(JP3-JO3))*(1/$C$3)</f>
        <v>302.07777777777852</v>
      </c>
      <c r="JQ4" s="597">
        <f t="shared" ref="JQ4" si="202" xml:space="preserve"> JP4 + ($C$4*$C$7*(JQ3-JP3))*(1/$C$3)</f>
        <v>302.96666666666744</v>
      </c>
      <c r="JR4" s="597">
        <f t="shared" ref="JR4" si="203" xml:space="preserve"> JQ4 + ($C$4*$C$7*(JR3-JQ3))*(1/$C$3)</f>
        <v>303.85555555555635</v>
      </c>
      <c r="JS4" s="597">
        <f t="shared" ref="JS4" si="204" xml:space="preserve"> JR4 + ($C$4*$C$7*(JS3-JR3))*(1/$C$3)</f>
        <v>304.74444444444526</v>
      </c>
      <c r="JT4" s="597">
        <f t="shared" ref="JT4" si="205" xml:space="preserve"> JS4 + ($C$4*$C$7*(JT3-JS3))*(1/$C$3)</f>
        <v>305.63333333333418</v>
      </c>
      <c r="JU4" s="597">
        <f t="shared" ref="JU4" si="206" xml:space="preserve"> JT4 + ($C$4*$C$7*(JU3-JT3))*(1/$C$3)</f>
        <v>306.52222222222309</v>
      </c>
    </row>
    <row r="5" spans="2:281" x14ac:dyDescent="0.45">
      <c r="B5" s="607" t="s">
        <v>1656</v>
      </c>
      <c r="C5" s="604">
        <f>1.3</f>
        <v>1.3</v>
      </c>
      <c r="D5" t="s">
        <v>1</v>
      </c>
      <c r="F5" s="611" t="s">
        <v>1664</v>
      </c>
      <c r="G5" s="2" t="s">
        <v>1651</v>
      </c>
      <c r="H5" s="595" t="s">
        <v>1090</v>
      </c>
      <c r="I5" s="1"/>
      <c r="J5" s="617">
        <v>1</v>
      </c>
      <c r="K5" s="617">
        <v>2</v>
      </c>
      <c r="L5" s="617">
        <v>3</v>
      </c>
      <c r="M5" s="617">
        <v>4</v>
      </c>
      <c r="N5" s="617">
        <v>5</v>
      </c>
      <c r="O5" s="617">
        <v>6</v>
      </c>
      <c r="P5" s="617">
        <v>7</v>
      </c>
      <c r="Q5" s="617">
        <v>8</v>
      </c>
      <c r="R5" s="617">
        <v>9</v>
      </c>
      <c r="S5" s="617">
        <v>10</v>
      </c>
      <c r="T5" s="617">
        <v>11</v>
      </c>
      <c r="U5" s="617">
        <v>12</v>
      </c>
      <c r="V5" s="617">
        <v>13</v>
      </c>
      <c r="W5" s="617">
        <v>14</v>
      </c>
      <c r="X5" s="617">
        <v>15</v>
      </c>
      <c r="Y5" s="617">
        <v>16</v>
      </c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617"/>
      <c r="AQ5" s="617"/>
      <c r="AR5" s="617"/>
      <c r="AW5" s="620">
        <v>33</v>
      </c>
      <c r="AX5" s="620">
        <v>34</v>
      </c>
      <c r="AY5" s="620">
        <v>35</v>
      </c>
      <c r="AZ5" s="620">
        <v>36</v>
      </c>
      <c r="BA5" s="620">
        <v>37</v>
      </c>
      <c r="BB5" s="620">
        <v>38</v>
      </c>
      <c r="BC5" s="620">
        <v>39</v>
      </c>
      <c r="BD5" s="620">
        <v>40</v>
      </c>
      <c r="BE5" s="620">
        <v>41</v>
      </c>
      <c r="BF5" s="620">
        <v>42</v>
      </c>
      <c r="BG5" s="620">
        <v>43</v>
      </c>
      <c r="BH5" s="620">
        <v>44</v>
      </c>
      <c r="BI5" s="620">
        <v>45</v>
      </c>
      <c r="BJ5" s="620">
        <v>46</v>
      </c>
      <c r="BK5" s="620">
        <v>47</v>
      </c>
      <c r="BL5" s="620">
        <v>48</v>
      </c>
      <c r="BM5" s="620">
        <v>49</v>
      </c>
      <c r="BN5" s="620">
        <v>50</v>
      </c>
      <c r="BO5" s="620">
        <v>51</v>
      </c>
      <c r="BP5" s="620">
        <v>52</v>
      </c>
      <c r="BQ5" s="620">
        <v>53</v>
      </c>
      <c r="BR5" s="620">
        <v>54</v>
      </c>
      <c r="BS5" s="620">
        <v>55</v>
      </c>
      <c r="BT5" s="620">
        <v>56</v>
      </c>
      <c r="BU5" s="620">
        <v>57</v>
      </c>
      <c r="BV5" s="620">
        <v>58</v>
      </c>
      <c r="BW5" s="620">
        <v>59</v>
      </c>
      <c r="BX5" s="620">
        <v>60</v>
      </c>
      <c r="BY5" s="620">
        <v>61</v>
      </c>
      <c r="BZ5" s="620">
        <v>62</v>
      </c>
      <c r="CA5" s="620">
        <v>63</v>
      </c>
      <c r="CB5" s="620">
        <v>64</v>
      </c>
      <c r="CC5" s="620">
        <v>65</v>
      </c>
      <c r="CD5" s="620">
        <v>66</v>
      </c>
      <c r="CE5" s="620">
        <v>67</v>
      </c>
      <c r="CF5" s="620">
        <v>68</v>
      </c>
      <c r="CG5" s="620">
        <v>69</v>
      </c>
      <c r="CH5" s="620">
        <v>70</v>
      </c>
      <c r="CI5" s="620">
        <v>71</v>
      </c>
      <c r="CJ5" s="620">
        <v>72</v>
      </c>
      <c r="CK5" s="620">
        <v>73</v>
      </c>
      <c r="CL5" s="620">
        <v>74</v>
      </c>
      <c r="CM5" s="620">
        <v>75</v>
      </c>
      <c r="CN5" s="620">
        <v>76</v>
      </c>
      <c r="CO5" s="620">
        <v>77</v>
      </c>
      <c r="CP5" s="620">
        <v>78</v>
      </c>
      <c r="CQ5" s="620">
        <v>79</v>
      </c>
      <c r="CR5" s="620">
        <v>80</v>
      </c>
      <c r="CS5" s="620">
        <v>81</v>
      </c>
      <c r="CT5" s="620">
        <v>82</v>
      </c>
      <c r="CU5" s="620">
        <v>83</v>
      </c>
      <c r="CV5" s="620">
        <v>84</v>
      </c>
      <c r="CW5" s="620">
        <v>85</v>
      </c>
      <c r="CX5" s="620">
        <v>86</v>
      </c>
      <c r="CY5" s="620">
        <v>87</v>
      </c>
      <c r="CZ5" s="620">
        <v>88</v>
      </c>
      <c r="DA5" s="620">
        <v>89</v>
      </c>
      <c r="DB5" s="620">
        <v>90</v>
      </c>
      <c r="DC5" s="620">
        <v>91</v>
      </c>
      <c r="DD5" s="620">
        <v>92</v>
      </c>
      <c r="DE5" s="620">
        <v>93</v>
      </c>
      <c r="DF5" s="620">
        <v>94</v>
      </c>
      <c r="DG5" s="620">
        <v>95</v>
      </c>
      <c r="DH5" s="620">
        <v>96</v>
      </c>
      <c r="DI5" s="620">
        <v>97</v>
      </c>
      <c r="DJ5" s="620">
        <v>98</v>
      </c>
      <c r="DK5" s="620">
        <v>99</v>
      </c>
      <c r="DL5" s="620">
        <v>100</v>
      </c>
      <c r="DM5" s="620">
        <v>101</v>
      </c>
      <c r="DN5" s="620">
        <v>102</v>
      </c>
      <c r="DO5" s="620">
        <v>103</v>
      </c>
      <c r="DP5" s="620">
        <v>104</v>
      </c>
      <c r="DQ5" s="620">
        <v>105</v>
      </c>
      <c r="DR5" s="620">
        <v>106</v>
      </c>
      <c r="DS5" s="620">
        <v>107</v>
      </c>
      <c r="DT5" s="620">
        <v>108</v>
      </c>
      <c r="DU5" s="620">
        <v>109</v>
      </c>
      <c r="DV5" s="620">
        <v>110</v>
      </c>
      <c r="DW5" s="620">
        <v>111</v>
      </c>
      <c r="DX5" s="620">
        <v>112</v>
      </c>
      <c r="DY5" s="620">
        <v>113</v>
      </c>
      <c r="DZ5" s="620">
        <v>114</v>
      </c>
      <c r="EA5" s="620">
        <v>115</v>
      </c>
      <c r="EB5" s="620">
        <v>116</v>
      </c>
      <c r="EC5" s="620">
        <v>117</v>
      </c>
      <c r="ED5" s="620">
        <v>118</v>
      </c>
      <c r="EE5" s="620">
        <v>119</v>
      </c>
      <c r="EF5" s="620">
        <v>120</v>
      </c>
      <c r="EG5" s="620">
        <v>121</v>
      </c>
      <c r="EH5" s="620">
        <v>122</v>
      </c>
      <c r="EI5" s="620">
        <v>123</v>
      </c>
      <c r="EJ5" s="620">
        <v>124</v>
      </c>
      <c r="EK5" s="620">
        <v>125</v>
      </c>
      <c r="EL5" s="620">
        <v>126</v>
      </c>
      <c r="EM5" s="620">
        <v>127</v>
      </c>
      <c r="EN5" s="620">
        <v>128</v>
      </c>
      <c r="EO5" s="620">
        <v>129</v>
      </c>
      <c r="EP5" s="620">
        <v>130</v>
      </c>
      <c r="EQ5" s="620">
        <v>131</v>
      </c>
      <c r="ER5" s="620">
        <v>132</v>
      </c>
      <c r="ES5" s="620">
        <v>133</v>
      </c>
      <c r="ET5" s="620">
        <v>134</v>
      </c>
      <c r="EU5" s="620">
        <v>135</v>
      </c>
      <c r="EV5" s="620">
        <v>136</v>
      </c>
      <c r="EW5" s="620">
        <v>137</v>
      </c>
      <c r="EX5" s="620">
        <v>138</v>
      </c>
      <c r="EY5" s="620">
        <v>139</v>
      </c>
      <c r="EZ5" s="620">
        <v>140</v>
      </c>
      <c r="FA5" s="620">
        <v>141</v>
      </c>
      <c r="FB5" s="620">
        <v>142</v>
      </c>
      <c r="FC5" s="620">
        <v>143</v>
      </c>
      <c r="FD5" s="620">
        <v>144</v>
      </c>
      <c r="FE5" s="620">
        <v>145</v>
      </c>
      <c r="FF5" s="620">
        <v>146</v>
      </c>
      <c r="FG5" s="620">
        <v>147</v>
      </c>
      <c r="FH5" s="620">
        <v>148</v>
      </c>
      <c r="FI5" s="620">
        <v>149</v>
      </c>
      <c r="FJ5" s="620">
        <v>150</v>
      </c>
      <c r="FK5" s="620">
        <v>151</v>
      </c>
      <c r="FL5" s="620">
        <v>152</v>
      </c>
      <c r="FM5" s="620">
        <v>153</v>
      </c>
      <c r="FN5" s="620">
        <v>154</v>
      </c>
      <c r="FO5" s="620">
        <v>155</v>
      </c>
      <c r="FP5" s="620">
        <v>156</v>
      </c>
      <c r="FQ5" s="620">
        <v>157</v>
      </c>
      <c r="FR5" s="620">
        <v>158</v>
      </c>
      <c r="FS5" s="620">
        <v>159</v>
      </c>
      <c r="FT5" s="620">
        <v>160</v>
      </c>
      <c r="FU5" s="620">
        <v>161</v>
      </c>
      <c r="FV5" s="620">
        <v>162</v>
      </c>
      <c r="FW5" s="620">
        <v>163</v>
      </c>
      <c r="FX5" s="620">
        <v>164</v>
      </c>
      <c r="FY5" s="620">
        <v>165</v>
      </c>
      <c r="FZ5" s="620">
        <v>166</v>
      </c>
      <c r="GA5" s="620">
        <v>167</v>
      </c>
      <c r="GB5" s="620">
        <v>168</v>
      </c>
      <c r="GC5" s="620">
        <v>169</v>
      </c>
      <c r="GD5" s="620">
        <v>170</v>
      </c>
      <c r="GE5" s="620">
        <v>171</v>
      </c>
      <c r="GF5" s="620">
        <v>172</v>
      </c>
      <c r="GG5" s="620">
        <v>173</v>
      </c>
      <c r="GH5" s="620">
        <v>174</v>
      </c>
      <c r="GI5" s="620">
        <v>175</v>
      </c>
      <c r="GJ5" s="620">
        <v>176</v>
      </c>
      <c r="GK5" s="620">
        <v>177</v>
      </c>
      <c r="GL5" s="620">
        <v>178</v>
      </c>
      <c r="GM5" s="620">
        <v>179</v>
      </c>
      <c r="GN5" s="620">
        <v>180</v>
      </c>
      <c r="GO5" s="620">
        <v>181</v>
      </c>
      <c r="GP5" s="620">
        <v>182</v>
      </c>
      <c r="GQ5" s="620">
        <v>183</v>
      </c>
      <c r="GR5" s="620">
        <v>184</v>
      </c>
      <c r="GS5" s="620">
        <v>185</v>
      </c>
      <c r="GT5" s="620">
        <v>186</v>
      </c>
      <c r="GU5" s="620">
        <v>187</v>
      </c>
      <c r="GV5" s="620">
        <v>188</v>
      </c>
      <c r="GW5" s="620">
        <v>189</v>
      </c>
      <c r="GX5" s="620">
        <v>190</v>
      </c>
      <c r="GY5" s="620">
        <v>191</v>
      </c>
      <c r="GZ5" s="620">
        <v>192</v>
      </c>
      <c r="HA5" s="620">
        <v>193</v>
      </c>
      <c r="HB5" s="620">
        <v>194</v>
      </c>
      <c r="HC5" s="620">
        <v>195</v>
      </c>
      <c r="HD5" s="620">
        <v>196</v>
      </c>
      <c r="HE5" s="620">
        <v>197</v>
      </c>
      <c r="HF5" s="620">
        <v>198</v>
      </c>
      <c r="HG5" s="620">
        <v>199</v>
      </c>
      <c r="HH5" s="620">
        <v>200</v>
      </c>
      <c r="HI5" s="620">
        <v>201</v>
      </c>
      <c r="HJ5" s="620">
        <v>202</v>
      </c>
      <c r="HK5" s="620">
        <v>203</v>
      </c>
      <c r="HL5" s="620">
        <v>204</v>
      </c>
      <c r="HM5" s="620">
        <v>205</v>
      </c>
      <c r="HN5" s="620">
        <v>206</v>
      </c>
      <c r="HO5" s="620">
        <v>207</v>
      </c>
      <c r="HP5" s="620">
        <v>208</v>
      </c>
      <c r="HQ5" s="620">
        <v>209</v>
      </c>
      <c r="HR5" s="620">
        <v>210</v>
      </c>
      <c r="HS5" s="620">
        <v>211</v>
      </c>
      <c r="HT5" s="620">
        <v>212</v>
      </c>
      <c r="HU5" s="620">
        <v>213</v>
      </c>
      <c r="HV5" s="620">
        <v>214</v>
      </c>
      <c r="HW5" s="620">
        <v>215</v>
      </c>
      <c r="HX5" s="620">
        <v>216</v>
      </c>
      <c r="HY5" s="620">
        <v>217</v>
      </c>
      <c r="HZ5" s="620">
        <v>218</v>
      </c>
      <c r="IA5" s="620">
        <v>219</v>
      </c>
      <c r="IB5" s="620">
        <v>220</v>
      </c>
      <c r="IC5" s="620">
        <v>221</v>
      </c>
      <c r="ID5" s="620">
        <v>222</v>
      </c>
      <c r="IE5" s="620">
        <v>223</v>
      </c>
      <c r="IF5" s="620">
        <v>224</v>
      </c>
      <c r="IG5" s="620">
        <v>225</v>
      </c>
      <c r="IH5" s="620">
        <v>226</v>
      </c>
      <c r="II5" s="620">
        <v>227</v>
      </c>
      <c r="IJ5" s="620">
        <v>228</v>
      </c>
      <c r="IK5" s="620">
        <v>229</v>
      </c>
      <c r="IL5" s="620">
        <v>230</v>
      </c>
      <c r="IM5" s="620">
        <v>231</v>
      </c>
      <c r="IN5" s="620">
        <v>232</v>
      </c>
      <c r="IO5" s="620">
        <v>233</v>
      </c>
      <c r="IP5" s="620">
        <v>234</v>
      </c>
      <c r="IQ5" s="620">
        <v>235</v>
      </c>
      <c r="IR5" s="620">
        <v>236</v>
      </c>
      <c r="IS5" s="620">
        <v>237</v>
      </c>
      <c r="IT5" s="620">
        <v>238</v>
      </c>
      <c r="IU5" s="620">
        <v>239</v>
      </c>
      <c r="IV5" s="620">
        <v>240</v>
      </c>
      <c r="IW5" s="620">
        <v>241</v>
      </c>
      <c r="IX5" s="620">
        <v>242</v>
      </c>
      <c r="IY5" s="620">
        <v>243</v>
      </c>
      <c r="IZ5" s="620">
        <v>244</v>
      </c>
      <c r="JA5" s="620">
        <v>245</v>
      </c>
      <c r="JB5" s="620">
        <v>246</v>
      </c>
      <c r="JC5" s="620">
        <v>247</v>
      </c>
      <c r="JD5" s="620">
        <v>248</v>
      </c>
      <c r="JE5" s="620">
        <v>249</v>
      </c>
      <c r="JF5" s="620">
        <v>250</v>
      </c>
      <c r="JG5" s="620">
        <v>251</v>
      </c>
      <c r="JH5" s="620">
        <v>252</v>
      </c>
      <c r="JI5" s="620">
        <v>253</v>
      </c>
      <c r="JJ5" s="620">
        <v>254</v>
      </c>
      <c r="JK5" s="620">
        <v>255</v>
      </c>
      <c r="JL5" s="620">
        <v>256</v>
      </c>
      <c r="JM5" s="620">
        <v>257</v>
      </c>
      <c r="JN5" s="620">
        <v>258</v>
      </c>
      <c r="JO5" s="620">
        <v>259</v>
      </c>
      <c r="JP5" s="620">
        <v>260</v>
      </c>
      <c r="JQ5" s="620">
        <v>261</v>
      </c>
      <c r="JR5" s="620">
        <v>262</v>
      </c>
      <c r="JS5" s="620">
        <v>263</v>
      </c>
      <c r="JT5" s="620">
        <v>264</v>
      </c>
      <c r="JU5" s="620">
        <v>265</v>
      </c>
    </row>
    <row r="6" spans="2:281" x14ac:dyDescent="0.45">
      <c r="B6" s="607" t="s">
        <v>1658</v>
      </c>
      <c r="C6" s="604">
        <f>1.7+80+C5</f>
        <v>83</v>
      </c>
      <c r="D6" t="s">
        <v>1</v>
      </c>
      <c r="F6" s="611"/>
      <c r="G6" s="600" t="s">
        <v>1660</v>
      </c>
      <c r="H6" s="614" t="s">
        <v>1</v>
      </c>
      <c r="I6" s="1"/>
      <c r="J6" s="597">
        <f t="shared" ref="J6:Y6" si="207" xml:space="preserve"> $L$4 + (4*ROUNDUP(J5/$C$8,0)+($C$4)*J5) /$C$9</f>
        <v>15.744444444444444</v>
      </c>
      <c r="K6" s="597">
        <f t="shared" si="207"/>
        <v>23.744444444444444</v>
      </c>
      <c r="L6" s="597">
        <f t="shared" si="207"/>
        <v>31.744444444444444</v>
      </c>
      <c r="M6" s="597">
        <f t="shared" si="207"/>
        <v>39.74444444444444</v>
      </c>
      <c r="N6" s="597">
        <f t="shared" si="207"/>
        <v>47.74444444444444</v>
      </c>
      <c r="O6" s="597">
        <f t="shared" si="207"/>
        <v>55.74444444444444</v>
      </c>
      <c r="P6" s="597">
        <f t="shared" si="207"/>
        <v>63.74444444444444</v>
      </c>
      <c r="Q6" s="597">
        <f t="shared" si="207"/>
        <v>71.74444444444444</v>
      </c>
      <c r="R6" s="597">
        <f t="shared" si="207"/>
        <v>81.74444444444444</v>
      </c>
      <c r="S6" s="597">
        <f t="shared" si="207"/>
        <v>89.74444444444444</v>
      </c>
      <c r="T6" s="597">
        <f t="shared" si="207"/>
        <v>97.74444444444444</v>
      </c>
      <c r="U6" s="597">
        <f t="shared" si="207"/>
        <v>105.74444444444444</v>
      </c>
      <c r="V6" s="597">
        <f t="shared" si="207"/>
        <v>113.74444444444444</v>
      </c>
      <c r="W6" s="597">
        <f t="shared" si="207"/>
        <v>121.74444444444444</v>
      </c>
      <c r="X6" s="597">
        <f t="shared" si="207"/>
        <v>129.74444444444444</v>
      </c>
      <c r="Y6" s="597">
        <f t="shared" si="207"/>
        <v>137.74444444444444</v>
      </c>
      <c r="AC6" s="597"/>
      <c r="AD6" s="597"/>
      <c r="AE6" s="597"/>
      <c r="AF6" s="597"/>
      <c r="AG6" s="597"/>
      <c r="AH6" s="597"/>
      <c r="AI6" s="597"/>
      <c r="AJ6" s="597"/>
      <c r="AK6" s="597"/>
      <c r="AL6" s="597"/>
      <c r="AM6" s="597"/>
      <c r="AN6" s="597"/>
      <c r="AO6" s="597"/>
      <c r="AP6" s="597"/>
      <c r="AQ6" s="597"/>
      <c r="AR6" s="597"/>
      <c r="AW6" s="597">
        <f t="shared" ref="AW6:CB6" si="208" xml:space="preserve"> $P$4 + (4*ROUNDUP(AW5/$C$8,0)+($C$4)*AW5) /$C$9</f>
        <v>283.3</v>
      </c>
      <c r="AX6" s="597">
        <f t="shared" si="208"/>
        <v>291.3</v>
      </c>
      <c r="AY6" s="597">
        <f t="shared" si="208"/>
        <v>299.3</v>
      </c>
      <c r="AZ6" s="597">
        <f t="shared" si="208"/>
        <v>307.3</v>
      </c>
      <c r="BA6" s="597">
        <f t="shared" si="208"/>
        <v>315.3</v>
      </c>
      <c r="BB6" s="597">
        <f t="shared" si="208"/>
        <v>323.3</v>
      </c>
      <c r="BC6" s="597">
        <f t="shared" si="208"/>
        <v>331.3</v>
      </c>
      <c r="BD6" s="597">
        <f t="shared" si="208"/>
        <v>339.3</v>
      </c>
      <c r="BE6" s="597">
        <f t="shared" si="208"/>
        <v>349.3</v>
      </c>
      <c r="BF6" s="597">
        <f t="shared" si="208"/>
        <v>357.3</v>
      </c>
      <c r="BG6" s="597">
        <f t="shared" si="208"/>
        <v>365.3</v>
      </c>
      <c r="BH6" s="597">
        <f t="shared" si="208"/>
        <v>373.3</v>
      </c>
      <c r="BI6" s="597">
        <f t="shared" si="208"/>
        <v>381.3</v>
      </c>
      <c r="BJ6" s="597">
        <f t="shared" si="208"/>
        <v>389.3</v>
      </c>
      <c r="BK6" s="597">
        <f t="shared" si="208"/>
        <v>397.3</v>
      </c>
      <c r="BL6" s="597">
        <f t="shared" si="208"/>
        <v>405.3</v>
      </c>
      <c r="BM6" s="597">
        <f t="shared" si="208"/>
        <v>415.3</v>
      </c>
      <c r="BN6" s="597">
        <f t="shared" si="208"/>
        <v>423.3</v>
      </c>
      <c r="BO6" s="597">
        <f t="shared" si="208"/>
        <v>431.3</v>
      </c>
      <c r="BP6" s="597">
        <f t="shared" si="208"/>
        <v>439.3</v>
      </c>
      <c r="BQ6" s="597">
        <f t="shared" si="208"/>
        <v>447.3</v>
      </c>
      <c r="BR6" s="597">
        <f t="shared" si="208"/>
        <v>455.3</v>
      </c>
      <c r="BS6" s="597">
        <f t="shared" si="208"/>
        <v>463.3</v>
      </c>
      <c r="BT6" s="597">
        <f t="shared" si="208"/>
        <v>471.3</v>
      </c>
      <c r="BU6" s="597">
        <f t="shared" si="208"/>
        <v>481.3</v>
      </c>
      <c r="BV6" s="597">
        <f t="shared" si="208"/>
        <v>489.3</v>
      </c>
      <c r="BW6" s="597">
        <f t="shared" si="208"/>
        <v>497.3</v>
      </c>
      <c r="BX6" s="597">
        <f t="shared" si="208"/>
        <v>505.3</v>
      </c>
      <c r="BY6" s="597">
        <f t="shared" si="208"/>
        <v>513.29999999999995</v>
      </c>
      <c r="BZ6" s="597">
        <f t="shared" si="208"/>
        <v>521.29999999999995</v>
      </c>
      <c r="CA6" s="597">
        <f t="shared" si="208"/>
        <v>529.29999999999995</v>
      </c>
      <c r="CB6" s="597">
        <f t="shared" si="208"/>
        <v>537.29999999999995</v>
      </c>
      <c r="CC6" s="597">
        <f t="shared" ref="CC6:EA6" si="209" xml:space="preserve"> $P$4 + (4*ROUNDUP(CC5/$C$8,0)+($C$4)*CC5) /$C$9</f>
        <v>547.29999999999995</v>
      </c>
      <c r="CD6" s="597">
        <f t="shared" si="209"/>
        <v>555.29999999999995</v>
      </c>
      <c r="CE6" s="597">
        <f t="shared" si="209"/>
        <v>563.29999999999995</v>
      </c>
      <c r="CF6" s="597">
        <f t="shared" si="209"/>
        <v>571.29999999999995</v>
      </c>
      <c r="CG6" s="597">
        <f t="shared" si="209"/>
        <v>579.29999999999995</v>
      </c>
      <c r="CH6" s="597">
        <f t="shared" si="209"/>
        <v>587.29999999999995</v>
      </c>
      <c r="CI6" s="597">
        <f t="shared" si="209"/>
        <v>595.29999999999995</v>
      </c>
      <c r="CJ6" s="597">
        <f t="shared" si="209"/>
        <v>603.29999999999995</v>
      </c>
      <c r="CK6" s="597">
        <f t="shared" si="209"/>
        <v>613.29999999999995</v>
      </c>
      <c r="CL6" s="597">
        <f t="shared" si="209"/>
        <v>621.29999999999995</v>
      </c>
      <c r="CM6" s="597">
        <f t="shared" si="209"/>
        <v>629.29999999999995</v>
      </c>
      <c r="CN6" s="597">
        <f t="shared" si="209"/>
        <v>637.29999999999995</v>
      </c>
      <c r="CO6" s="597">
        <f t="shared" si="209"/>
        <v>645.29999999999995</v>
      </c>
      <c r="CP6" s="597">
        <f t="shared" si="209"/>
        <v>653.29999999999995</v>
      </c>
      <c r="CQ6" s="597">
        <f t="shared" si="209"/>
        <v>661.3</v>
      </c>
      <c r="CR6" s="597">
        <f t="shared" si="209"/>
        <v>669.3</v>
      </c>
      <c r="CS6" s="597">
        <f t="shared" si="209"/>
        <v>679.3</v>
      </c>
      <c r="CT6" s="597">
        <f t="shared" si="209"/>
        <v>687.3</v>
      </c>
      <c r="CU6" s="597">
        <f t="shared" si="209"/>
        <v>695.3</v>
      </c>
      <c r="CV6" s="597">
        <f t="shared" si="209"/>
        <v>703.3</v>
      </c>
      <c r="CW6" s="597">
        <f t="shared" si="209"/>
        <v>711.3</v>
      </c>
      <c r="CX6" s="597">
        <f t="shared" si="209"/>
        <v>719.3</v>
      </c>
      <c r="CY6" s="597">
        <f t="shared" si="209"/>
        <v>727.3</v>
      </c>
      <c r="CZ6" s="597">
        <f t="shared" si="209"/>
        <v>735.3</v>
      </c>
      <c r="DA6" s="597">
        <f t="shared" si="209"/>
        <v>745.3</v>
      </c>
      <c r="DB6" s="597">
        <f t="shared" si="209"/>
        <v>753.3</v>
      </c>
      <c r="DC6" s="597">
        <f t="shared" si="209"/>
        <v>761.3</v>
      </c>
      <c r="DD6" s="597">
        <f t="shared" si="209"/>
        <v>769.3</v>
      </c>
      <c r="DE6" s="597">
        <f t="shared" si="209"/>
        <v>777.3</v>
      </c>
      <c r="DF6" s="597">
        <f t="shared" si="209"/>
        <v>785.3</v>
      </c>
      <c r="DG6" s="597">
        <f t="shared" si="209"/>
        <v>793.3</v>
      </c>
      <c r="DH6" s="597">
        <f t="shared" si="209"/>
        <v>801.3</v>
      </c>
      <c r="DI6" s="597">
        <f t="shared" si="209"/>
        <v>811.3</v>
      </c>
      <c r="DJ6" s="597">
        <f t="shared" si="209"/>
        <v>819.3</v>
      </c>
      <c r="DK6" s="597">
        <f t="shared" si="209"/>
        <v>827.3</v>
      </c>
      <c r="DL6" s="597">
        <f t="shared" si="209"/>
        <v>835.3</v>
      </c>
      <c r="DM6" s="597">
        <f t="shared" si="209"/>
        <v>843.3</v>
      </c>
      <c r="DN6" s="597">
        <f t="shared" si="209"/>
        <v>851.3</v>
      </c>
      <c r="DO6" s="597">
        <f t="shared" si="209"/>
        <v>859.3</v>
      </c>
      <c r="DP6" s="597">
        <f t="shared" si="209"/>
        <v>867.3</v>
      </c>
      <c r="DQ6" s="597">
        <f t="shared" si="209"/>
        <v>877.3</v>
      </c>
      <c r="DR6" s="597">
        <f t="shared" si="209"/>
        <v>885.3</v>
      </c>
      <c r="DS6" s="597">
        <f t="shared" si="209"/>
        <v>893.3</v>
      </c>
      <c r="DT6" s="597">
        <f t="shared" si="209"/>
        <v>901.3</v>
      </c>
      <c r="DU6" s="597">
        <f t="shared" si="209"/>
        <v>909.3</v>
      </c>
      <c r="DV6" s="597">
        <f t="shared" si="209"/>
        <v>917.3</v>
      </c>
      <c r="DW6" s="597">
        <f t="shared" si="209"/>
        <v>925.3</v>
      </c>
      <c r="DX6" s="597">
        <f t="shared" si="209"/>
        <v>933.3</v>
      </c>
      <c r="DY6" s="597">
        <f t="shared" si="209"/>
        <v>943.3</v>
      </c>
      <c r="DZ6" s="597">
        <f t="shared" si="209"/>
        <v>951.3</v>
      </c>
      <c r="EA6" s="597">
        <f t="shared" si="209"/>
        <v>959.3</v>
      </c>
      <c r="EB6" s="597">
        <f t="shared" ref="EB6:GM6" si="210" xml:space="preserve"> $P$4 + (4*ROUNDUP(EB5/$C$8,0)+($C$4)*EB5) /$C$9</f>
        <v>967.3</v>
      </c>
      <c r="EC6" s="597">
        <f t="shared" si="210"/>
        <v>975.3</v>
      </c>
      <c r="ED6" s="597">
        <f t="shared" si="210"/>
        <v>983.3</v>
      </c>
      <c r="EE6" s="597">
        <f t="shared" si="210"/>
        <v>991.3</v>
      </c>
      <c r="EF6" s="597">
        <f t="shared" si="210"/>
        <v>999.3</v>
      </c>
      <c r="EG6" s="597">
        <f t="shared" si="210"/>
        <v>1009.3</v>
      </c>
      <c r="EH6" s="597">
        <f t="shared" si="210"/>
        <v>1017.3</v>
      </c>
      <c r="EI6" s="597">
        <f t="shared" si="210"/>
        <v>1025.3</v>
      </c>
      <c r="EJ6" s="597">
        <f t="shared" si="210"/>
        <v>1033.3</v>
      </c>
      <c r="EK6" s="597">
        <f t="shared" si="210"/>
        <v>1041.3</v>
      </c>
      <c r="EL6" s="597">
        <f t="shared" si="210"/>
        <v>1049.3</v>
      </c>
      <c r="EM6" s="597">
        <f t="shared" si="210"/>
        <v>1057.3</v>
      </c>
      <c r="EN6" s="597">
        <f t="shared" si="210"/>
        <v>1065.3</v>
      </c>
      <c r="EO6" s="597">
        <f t="shared" si="210"/>
        <v>1075.3</v>
      </c>
      <c r="EP6" s="597">
        <f t="shared" si="210"/>
        <v>1083.3</v>
      </c>
      <c r="EQ6" s="597">
        <f t="shared" si="210"/>
        <v>1091.3</v>
      </c>
      <c r="ER6" s="597">
        <f t="shared" si="210"/>
        <v>1099.3</v>
      </c>
      <c r="ES6" s="597">
        <f t="shared" si="210"/>
        <v>1107.3</v>
      </c>
      <c r="ET6" s="597">
        <f t="shared" si="210"/>
        <v>1115.3</v>
      </c>
      <c r="EU6" s="597">
        <f t="shared" si="210"/>
        <v>1123.3</v>
      </c>
      <c r="EV6" s="597">
        <f t="shared" si="210"/>
        <v>1131.3</v>
      </c>
      <c r="EW6" s="597">
        <f t="shared" si="210"/>
        <v>1141.3</v>
      </c>
      <c r="EX6" s="597">
        <f t="shared" si="210"/>
        <v>1149.3</v>
      </c>
      <c r="EY6" s="597">
        <f t="shared" si="210"/>
        <v>1157.3</v>
      </c>
      <c r="EZ6" s="597">
        <f t="shared" si="210"/>
        <v>1165.3</v>
      </c>
      <c r="FA6" s="597">
        <f t="shared" si="210"/>
        <v>1173.3</v>
      </c>
      <c r="FB6" s="597">
        <f t="shared" si="210"/>
        <v>1181.3</v>
      </c>
      <c r="FC6" s="597">
        <f t="shared" si="210"/>
        <v>1189.3</v>
      </c>
      <c r="FD6" s="597">
        <f t="shared" si="210"/>
        <v>1197.3</v>
      </c>
      <c r="FE6" s="597">
        <f t="shared" si="210"/>
        <v>1207.3</v>
      </c>
      <c r="FF6" s="597">
        <f t="shared" si="210"/>
        <v>1215.3</v>
      </c>
      <c r="FG6" s="597">
        <f t="shared" si="210"/>
        <v>1223.3</v>
      </c>
      <c r="FH6" s="597">
        <f t="shared" si="210"/>
        <v>1231.3</v>
      </c>
      <c r="FI6" s="597">
        <f t="shared" si="210"/>
        <v>1239.3</v>
      </c>
      <c r="FJ6" s="597">
        <f t="shared" si="210"/>
        <v>1247.3</v>
      </c>
      <c r="FK6" s="597">
        <f t="shared" si="210"/>
        <v>1255.3</v>
      </c>
      <c r="FL6" s="597">
        <f t="shared" si="210"/>
        <v>1263.3</v>
      </c>
      <c r="FM6" s="597">
        <f t="shared" si="210"/>
        <v>1273.3</v>
      </c>
      <c r="FN6" s="597">
        <f t="shared" si="210"/>
        <v>1281.3</v>
      </c>
      <c r="FO6" s="597">
        <f t="shared" si="210"/>
        <v>1289.3</v>
      </c>
      <c r="FP6" s="597">
        <f t="shared" si="210"/>
        <v>1297.3</v>
      </c>
      <c r="FQ6" s="597">
        <f t="shared" si="210"/>
        <v>1305.3</v>
      </c>
      <c r="FR6" s="597">
        <f t="shared" si="210"/>
        <v>1313.3</v>
      </c>
      <c r="FS6" s="597">
        <f t="shared" si="210"/>
        <v>1321.3</v>
      </c>
      <c r="FT6" s="597">
        <f t="shared" si="210"/>
        <v>1329.3</v>
      </c>
      <c r="FU6" s="597">
        <f t="shared" si="210"/>
        <v>1339.3</v>
      </c>
      <c r="FV6" s="597">
        <f t="shared" si="210"/>
        <v>1347.3</v>
      </c>
      <c r="FW6" s="597">
        <f t="shared" si="210"/>
        <v>1355.3</v>
      </c>
      <c r="FX6" s="597">
        <f t="shared" si="210"/>
        <v>1363.3</v>
      </c>
      <c r="FY6" s="597">
        <f t="shared" si="210"/>
        <v>1371.3</v>
      </c>
      <c r="FZ6" s="597">
        <f t="shared" si="210"/>
        <v>1379.3</v>
      </c>
      <c r="GA6" s="597">
        <f t="shared" si="210"/>
        <v>1387.3</v>
      </c>
      <c r="GB6" s="597">
        <f t="shared" si="210"/>
        <v>1395.3</v>
      </c>
      <c r="GC6" s="597">
        <f t="shared" si="210"/>
        <v>1405.3</v>
      </c>
      <c r="GD6" s="597">
        <f t="shared" si="210"/>
        <v>1413.3</v>
      </c>
      <c r="GE6" s="597">
        <f t="shared" si="210"/>
        <v>1421.3</v>
      </c>
      <c r="GF6" s="597">
        <f t="shared" si="210"/>
        <v>1429.3</v>
      </c>
      <c r="GG6" s="597">
        <f t="shared" si="210"/>
        <v>1437.3</v>
      </c>
      <c r="GH6" s="597">
        <f t="shared" si="210"/>
        <v>1445.3</v>
      </c>
      <c r="GI6" s="597">
        <f t="shared" si="210"/>
        <v>1453.3</v>
      </c>
      <c r="GJ6" s="597">
        <f t="shared" si="210"/>
        <v>1461.3</v>
      </c>
      <c r="GK6" s="597">
        <f t="shared" si="210"/>
        <v>1471.3</v>
      </c>
      <c r="GL6" s="597">
        <f t="shared" si="210"/>
        <v>1479.3</v>
      </c>
      <c r="GM6" s="597">
        <f t="shared" si="210"/>
        <v>1487.3</v>
      </c>
      <c r="GN6" s="597">
        <f t="shared" ref="GN6:IY6" si="211" xml:space="preserve"> $P$4 + (4*ROUNDUP(GN5/$C$8,0)+($C$4)*GN5) /$C$9</f>
        <v>1495.3</v>
      </c>
      <c r="GO6" s="597">
        <f t="shared" si="211"/>
        <v>1503.3</v>
      </c>
      <c r="GP6" s="597">
        <f t="shared" si="211"/>
        <v>1511.3</v>
      </c>
      <c r="GQ6" s="597">
        <f t="shared" si="211"/>
        <v>1519.3</v>
      </c>
      <c r="GR6" s="597">
        <f t="shared" si="211"/>
        <v>1527.3</v>
      </c>
      <c r="GS6" s="597">
        <f t="shared" si="211"/>
        <v>1537.3</v>
      </c>
      <c r="GT6" s="597">
        <f t="shared" si="211"/>
        <v>1545.3</v>
      </c>
      <c r="GU6" s="597">
        <f t="shared" si="211"/>
        <v>1553.3</v>
      </c>
      <c r="GV6" s="597">
        <f t="shared" si="211"/>
        <v>1561.3</v>
      </c>
      <c r="GW6" s="597">
        <f t="shared" si="211"/>
        <v>1569.3</v>
      </c>
      <c r="GX6" s="597">
        <f t="shared" si="211"/>
        <v>1577.3</v>
      </c>
      <c r="GY6" s="597">
        <f t="shared" si="211"/>
        <v>1585.3</v>
      </c>
      <c r="GZ6" s="597">
        <f t="shared" si="211"/>
        <v>1593.3</v>
      </c>
      <c r="HA6" s="597">
        <f t="shared" si="211"/>
        <v>1603.3</v>
      </c>
      <c r="HB6" s="597">
        <f t="shared" si="211"/>
        <v>1611.3</v>
      </c>
      <c r="HC6" s="597">
        <f t="shared" si="211"/>
        <v>1619.3</v>
      </c>
      <c r="HD6" s="597">
        <f t="shared" si="211"/>
        <v>1627.3</v>
      </c>
      <c r="HE6" s="597">
        <f t="shared" si="211"/>
        <v>1635.3</v>
      </c>
      <c r="HF6" s="597">
        <f t="shared" si="211"/>
        <v>1643.3</v>
      </c>
      <c r="HG6" s="597">
        <f t="shared" si="211"/>
        <v>1651.3</v>
      </c>
      <c r="HH6" s="597">
        <f t="shared" si="211"/>
        <v>1659.3</v>
      </c>
      <c r="HI6" s="597">
        <f t="shared" si="211"/>
        <v>1669.3</v>
      </c>
      <c r="HJ6" s="597">
        <f t="shared" si="211"/>
        <v>1677.3</v>
      </c>
      <c r="HK6" s="597">
        <f t="shared" si="211"/>
        <v>1685.3</v>
      </c>
      <c r="HL6" s="597">
        <f t="shared" si="211"/>
        <v>1693.3</v>
      </c>
      <c r="HM6" s="597">
        <f t="shared" si="211"/>
        <v>1701.3</v>
      </c>
      <c r="HN6" s="597">
        <f t="shared" si="211"/>
        <v>1709.3</v>
      </c>
      <c r="HO6" s="597">
        <f t="shared" si="211"/>
        <v>1717.3</v>
      </c>
      <c r="HP6" s="597">
        <f t="shared" si="211"/>
        <v>1725.3</v>
      </c>
      <c r="HQ6" s="597">
        <f t="shared" si="211"/>
        <v>1735.3</v>
      </c>
      <c r="HR6" s="597">
        <f t="shared" si="211"/>
        <v>1743.3</v>
      </c>
      <c r="HS6" s="597">
        <f t="shared" si="211"/>
        <v>1751.3</v>
      </c>
      <c r="HT6" s="597">
        <f t="shared" si="211"/>
        <v>1759.3</v>
      </c>
      <c r="HU6" s="597">
        <f t="shared" si="211"/>
        <v>1767.3</v>
      </c>
      <c r="HV6" s="597">
        <f t="shared" si="211"/>
        <v>1775.3</v>
      </c>
      <c r="HW6" s="597">
        <f t="shared" si="211"/>
        <v>1783.3</v>
      </c>
      <c r="HX6" s="597">
        <f t="shared" si="211"/>
        <v>1791.3</v>
      </c>
      <c r="HY6" s="597">
        <f t="shared" si="211"/>
        <v>1801.3</v>
      </c>
      <c r="HZ6" s="597">
        <f t="shared" si="211"/>
        <v>1809.3</v>
      </c>
      <c r="IA6" s="597">
        <f t="shared" si="211"/>
        <v>1817.3</v>
      </c>
      <c r="IB6" s="597">
        <f t="shared" si="211"/>
        <v>1825.3</v>
      </c>
      <c r="IC6" s="597">
        <f t="shared" si="211"/>
        <v>1833.3</v>
      </c>
      <c r="ID6" s="597">
        <f t="shared" si="211"/>
        <v>1841.3</v>
      </c>
      <c r="IE6" s="597">
        <f t="shared" si="211"/>
        <v>1849.3</v>
      </c>
      <c r="IF6" s="597">
        <f t="shared" si="211"/>
        <v>1857.3</v>
      </c>
      <c r="IG6" s="597">
        <f t="shared" si="211"/>
        <v>1867.3</v>
      </c>
      <c r="IH6" s="597">
        <f t="shared" si="211"/>
        <v>1875.3</v>
      </c>
      <c r="II6" s="597">
        <f t="shared" si="211"/>
        <v>1883.3</v>
      </c>
      <c r="IJ6" s="597">
        <f t="shared" si="211"/>
        <v>1891.3</v>
      </c>
      <c r="IK6" s="597">
        <f t="shared" si="211"/>
        <v>1899.3</v>
      </c>
      <c r="IL6" s="597">
        <f t="shared" si="211"/>
        <v>1907.3</v>
      </c>
      <c r="IM6" s="597">
        <f t="shared" si="211"/>
        <v>1915.3</v>
      </c>
      <c r="IN6" s="597">
        <f t="shared" si="211"/>
        <v>1923.3</v>
      </c>
      <c r="IO6" s="597">
        <f t="shared" si="211"/>
        <v>1933.3</v>
      </c>
      <c r="IP6" s="597">
        <f t="shared" si="211"/>
        <v>1941.3</v>
      </c>
      <c r="IQ6" s="597">
        <f t="shared" si="211"/>
        <v>1949.3</v>
      </c>
      <c r="IR6" s="597">
        <f t="shared" si="211"/>
        <v>1957.3</v>
      </c>
      <c r="IS6" s="597">
        <f t="shared" si="211"/>
        <v>1965.3</v>
      </c>
      <c r="IT6" s="597">
        <f t="shared" si="211"/>
        <v>1973.3</v>
      </c>
      <c r="IU6" s="597">
        <f t="shared" si="211"/>
        <v>1981.3</v>
      </c>
      <c r="IV6" s="597">
        <f t="shared" si="211"/>
        <v>1989.3</v>
      </c>
      <c r="IW6" s="597">
        <f t="shared" si="211"/>
        <v>1999.3</v>
      </c>
      <c r="IX6" s="597">
        <f t="shared" si="211"/>
        <v>2007.3</v>
      </c>
      <c r="IY6" s="597">
        <f t="shared" si="211"/>
        <v>2015.3</v>
      </c>
      <c r="IZ6" s="597">
        <f t="shared" ref="IZ6:JU6" si="212" xml:space="preserve"> $P$4 + (4*ROUNDUP(IZ5/$C$8,0)+($C$4)*IZ5) /$C$9</f>
        <v>2023.3</v>
      </c>
      <c r="JA6" s="597">
        <f t="shared" si="212"/>
        <v>2031.3</v>
      </c>
      <c r="JB6" s="597">
        <f t="shared" si="212"/>
        <v>2039.3</v>
      </c>
      <c r="JC6" s="597">
        <f t="shared" si="212"/>
        <v>2047.3</v>
      </c>
      <c r="JD6" s="597">
        <f t="shared" si="212"/>
        <v>2055.3000000000002</v>
      </c>
      <c r="JE6" s="597">
        <f t="shared" si="212"/>
        <v>2065.3000000000002</v>
      </c>
      <c r="JF6" s="597">
        <f t="shared" si="212"/>
        <v>2073.3000000000002</v>
      </c>
      <c r="JG6" s="597">
        <f t="shared" si="212"/>
        <v>2081.3000000000002</v>
      </c>
      <c r="JH6" s="597">
        <f t="shared" si="212"/>
        <v>2089.3000000000002</v>
      </c>
      <c r="JI6" s="597">
        <f t="shared" si="212"/>
        <v>2097.3000000000002</v>
      </c>
      <c r="JJ6" s="597">
        <f t="shared" si="212"/>
        <v>2105.3000000000002</v>
      </c>
      <c r="JK6" s="597">
        <f t="shared" si="212"/>
        <v>2113.3000000000002</v>
      </c>
      <c r="JL6" s="597">
        <f t="shared" si="212"/>
        <v>2121.3000000000002</v>
      </c>
      <c r="JM6" s="597">
        <f t="shared" si="212"/>
        <v>2131.3000000000002</v>
      </c>
      <c r="JN6" s="597">
        <f t="shared" si="212"/>
        <v>2139.3000000000002</v>
      </c>
      <c r="JO6" s="597">
        <f t="shared" si="212"/>
        <v>2147.3000000000002</v>
      </c>
      <c r="JP6" s="597">
        <f t="shared" si="212"/>
        <v>2155.3000000000002</v>
      </c>
      <c r="JQ6" s="597">
        <f t="shared" si="212"/>
        <v>2163.3000000000002</v>
      </c>
      <c r="JR6" s="597">
        <f t="shared" si="212"/>
        <v>2171.3000000000002</v>
      </c>
      <c r="JS6" s="597">
        <f t="shared" si="212"/>
        <v>2179.3000000000002</v>
      </c>
      <c r="JT6" s="597">
        <f t="shared" si="212"/>
        <v>2187.3000000000002</v>
      </c>
      <c r="JU6" s="597">
        <f t="shared" si="212"/>
        <v>2197.3000000000002</v>
      </c>
    </row>
    <row r="7" spans="2:281" x14ac:dyDescent="0.45">
      <c r="B7" s="607" t="s">
        <v>1655</v>
      </c>
      <c r="C7" s="604">
        <v>1</v>
      </c>
      <c r="D7" t="s">
        <v>5</v>
      </c>
      <c r="F7" s="611" t="s">
        <v>1666</v>
      </c>
      <c r="G7" s="619">
        <v>1</v>
      </c>
      <c r="H7" s="614" t="s">
        <v>5</v>
      </c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  <c r="DG7" s="153"/>
      <c r="DH7" s="153"/>
      <c r="DI7" s="153"/>
      <c r="DJ7" s="153"/>
      <c r="DK7" s="153"/>
      <c r="DL7" s="153"/>
      <c r="DM7" s="153"/>
      <c r="DN7" s="153"/>
      <c r="DO7" s="153"/>
      <c r="DP7" s="153"/>
      <c r="DQ7" s="153"/>
      <c r="DR7" s="153"/>
      <c r="DS7" s="153"/>
      <c r="DT7" s="153"/>
      <c r="DU7" s="153"/>
      <c r="DV7" s="153"/>
      <c r="DW7" s="153"/>
      <c r="DX7" s="153"/>
      <c r="DY7" s="153"/>
      <c r="DZ7" s="153"/>
      <c r="EA7" s="153"/>
      <c r="EB7" s="153"/>
      <c r="EC7" s="153"/>
      <c r="ED7" s="153"/>
      <c r="EE7" s="153"/>
      <c r="EF7" s="153"/>
      <c r="EG7" s="153"/>
      <c r="EH7" s="153"/>
      <c r="EI7" s="153"/>
      <c r="EJ7" s="153"/>
      <c r="EK7" s="153"/>
      <c r="EL7" s="153"/>
      <c r="EM7" s="153"/>
      <c r="EN7" s="153"/>
      <c r="EO7" s="153"/>
      <c r="EP7" s="153"/>
      <c r="EQ7" s="153"/>
      <c r="ER7" s="153"/>
      <c r="ES7" s="153"/>
      <c r="ET7" s="153"/>
      <c r="EU7" s="153"/>
      <c r="EV7" s="153"/>
      <c r="EW7" s="153"/>
      <c r="EX7" s="153"/>
      <c r="EY7" s="153"/>
      <c r="EZ7" s="153"/>
      <c r="FA7" s="153"/>
      <c r="FB7" s="153"/>
      <c r="FC7" s="153"/>
      <c r="FD7" s="153"/>
      <c r="FE7" s="153"/>
      <c r="FF7" s="153"/>
      <c r="FG7" s="153"/>
      <c r="FH7" s="153"/>
      <c r="FI7" s="153"/>
      <c r="FJ7" s="153"/>
      <c r="FK7" s="153"/>
      <c r="FL7" s="153"/>
      <c r="FM7" s="153"/>
      <c r="FN7" s="153"/>
      <c r="FO7" s="153"/>
      <c r="FP7" s="153"/>
      <c r="FQ7" s="153"/>
      <c r="FR7" s="153"/>
      <c r="FS7" s="153"/>
      <c r="FT7" s="153"/>
      <c r="FU7" s="153"/>
      <c r="FV7" s="153"/>
      <c r="FW7" s="153"/>
      <c r="FX7" s="153"/>
      <c r="FY7" s="153"/>
      <c r="FZ7" s="153"/>
      <c r="GA7" s="153"/>
      <c r="GB7" s="153"/>
      <c r="GC7" s="153"/>
      <c r="GD7" s="153"/>
      <c r="GE7" s="153"/>
      <c r="GF7" s="153"/>
      <c r="GG7" s="153"/>
      <c r="GH7" s="153"/>
      <c r="GI7" s="153"/>
      <c r="GJ7" s="153"/>
      <c r="GK7" s="153"/>
      <c r="GL7" s="153"/>
      <c r="GM7" s="153"/>
      <c r="GN7" s="153"/>
      <c r="GO7" s="153"/>
      <c r="GP7" s="153"/>
      <c r="GQ7" s="153"/>
      <c r="GR7" s="153"/>
      <c r="GS7" s="153"/>
      <c r="GT7" s="153"/>
      <c r="GU7" s="153"/>
      <c r="GV7" s="153"/>
      <c r="GW7" s="153"/>
      <c r="GX7" s="153"/>
      <c r="GY7" s="153"/>
      <c r="GZ7" s="153"/>
      <c r="HA7" s="153"/>
      <c r="HB7" s="153"/>
      <c r="HC7" s="153"/>
      <c r="HD7" s="153"/>
      <c r="HE7" s="153"/>
      <c r="HF7" s="153"/>
      <c r="HG7" s="153"/>
      <c r="HH7" s="153"/>
      <c r="HI7" s="153"/>
      <c r="HJ7" s="153"/>
      <c r="HK7" s="153"/>
      <c r="HL7" s="153"/>
      <c r="HM7" s="153"/>
      <c r="HN7" s="153"/>
      <c r="HO7" s="153"/>
      <c r="HP7" s="153"/>
      <c r="HQ7" s="153"/>
      <c r="HR7" s="153"/>
      <c r="HS7" s="153"/>
      <c r="HT7" s="153"/>
      <c r="HU7" s="153"/>
      <c r="HV7" s="153"/>
      <c r="HW7" s="153"/>
      <c r="HX7" s="153"/>
      <c r="HY7" s="153"/>
      <c r="HZ7" s="153"/>
      <c r="IA7" s="153"/>
      <c r="IB7" s="153"/>
      <c r="IC7" s="153"/>
      <c r="ID7" s="153"/>
      <c r="IE7" s="153"/>
      <c r="IF7" s="153"/>
      <c r="IG7" s="153"/>
      <c r="IH7" s="153"/>
      <c r="II7" s="153"/>
      <c r="IJ7" s="153"/>
      <c r="IK7" s="153"/>
      <c r="IL7" s="153"/>
      <c r="IM7" s="153"/>
      <c r="IN7" s="153"/>
      <c r="IO7" s="153"/>
      <c r="IP7" s="153"/>
      <c r="IQ7" s="153"/>
      <c r="IR7" s="153"/>
      <c r="IS7" s="153"/>
      <c r="IT7" s="153"/>
      <c r="IU7" s="153"/>
      <c r="IV7" s="153"/>
      <c r="IW7" s="153"/>
      <c r="IX7" s="153"/>
      <c r="IY7" s="153"/>
      <c r="IZ7" s="153"/>
      <c r="JA7" s="153"/>
      <c r="JB7" s="153"/>
      <c r="JC7" s="153"/>
      <c r="JD7" s="153"/>
      <c r="JE7" s="153"/>
      <c r="JF7" s="153"/>
      <c r="JG7" s="153"/>
      <c r="JH7" s="153"/>
      <c r="JI7" s="153"/>
      <c r="JJ7" s="153"/>
      <c r="JK7" s="153"/>
      <c r="JL7" s="153"/>
      <c r="JM7" s="153"/>
      <c r="JN7" s="153"/>
      <c r="JO7" s="153"/>
      <c r="JP7" s="153"/>
      <c r="JQ7" s="153"/>
      <c r="JR7" s="153"/>
      <c r="JS7" s="153"/>
      <c r="JT7" s="153"/>
      <c r="JU7" s="153"/>
    </row>
    <row r="8" spans="2:281" x14ac:dyDescent="0.45">
      <c r="B8" s="607" t="s">
        <v>1659</v>
      </c>
      <c r="C8" s="604">
        <v>8</v>
      </c>
      <c r="D8" t="s">
        <v>5</v>
      </c>
      <c r="F8" s="611" t="s">
        <v>1650</v>
      </c>
      <c r="G8" s="596" t="s">
        <v>1652</v>
      </c>
      <c r="H8" s="595" t="s">
        <v>1</v>
      </c>
      <c r="I8" s="598"/>
      <c r="J8" s="599">
        <f t="shared" ref="J8:Y8" si="213">J6-I4</f>
        <v>12.666666666666666</v>
      </c>
      <c r="K8" s="599">
        <f t="shared" si="213"/>
        <v>19.777777777777779</v>
      </c>
      <c r="L8" s="599">
        <f t="shared" si="213"/>
        <v>26.888888888888889</v>
      </c>
      <c r="M8" s="599">
        <f t="shared" si="213"/>
        <v>34</v>
      </c>
      <c r="N8" s="599">
        <f t="shared" si="213"/>
        <v>41.111111111111107</v>
      </c>
      <c r="O8" s="599">
        <f t="shared" si="213"/>
        <v>48.222222222222214</v>
      </c>
      <c r="P8" s="599">
        <f t="shared" si="213"/>
        <v>55.333333333333329</v>
      </c>
      <c r="Q8" s="599">
        <f t="shared" si="213"/>
        <v>62.444444444444443</v>
      </c>
      <c r="R8" s="599">
        <f t="shared" si="213"/>
        <v>71.555555555555543</v>
      </c>
      <c r="S8" s="599">
        <f t="shared" si="213"/>
        <v>78.666666666666657</v>
      </c>
      <c r="T8" s="599">
        <f t="shared" si="213"/>
        <v>85.777777777777771</v>
      </c>
      <c r="U8" s="599">
        <f t="shared" si="213"/>
        <v>92.888888888888886</v>
      </c>
      <c r="V8" s="599">
        <f t="shared" si="213"/>
        <v>100</v>
      </c>
      <c r="W8" s="599">
        <f t="shared" si="213"/>
        <v>107.1111111111111</v>
      </c>
      <c r="X8" s="599">
        <f t="shared" si="213"/>
        <v>114.22222222222221</v>
      </c>
      <c r="Y8" s="599">
        <f t="shared" si="213"/>
        <v>121.33333333333333</v>
      </c>
      <c r="Z8" s="599" t="e">
        <f>#REF!-Y4</f>
        <v>#REF!</v>
      </c>
      <c r="AA8" s="599" t="e">
        <f>#REF!-Z4</f>
        <v>#REF!</v>
      </c>
      <c r="AB8" s="599" t="e">
        <f>#REF!-AA4</f>
        <v>#REF!</v>
      </c>
      <c r="AC8" s="599" t="e">
        <f>#REF!-AB4</f>
        <v>#REF!</v>
      </c>
      <c r="AD8" s="599" t="e">
        <f>#REF!-AC4</f>
        <v>#REF!</v>
      </c>
      <c r="AE8" s="599" t="e">
        <f>#REF!-AD4</f>
        <v>#REF!</v>
      </c>
      <c r="AF8" s="599" t="e">
        <f>#REF!-AE4</f>
        <v>#REF!</v>
      </c>
      <c r="AG8" s="599" t="e">
        <f>#REF!-AF4</f>
        <v>#REF!</v>
      </c>
      <c r="AH8" s="599">
        <f t="shared" ref="AH8:AO8" si="214">AK6-AG4</f>
        <v>0</v>
      </c>
      <c r="AI8" s="599">
        <f t="shared" si="214"/>
        <v>0</v>
      </c>
      <c r="AJ8" s="599">
        <f t="shared" si="214"/>
        <v>0</v>
      </c>
      <c r="AK8" s="599">
        <f t="shared" si="214"/>
        <v>0</v>
      </c>
      <c r="AL8" s="599">
        <f t="shared" si="214"/>
        <v>0</v>
      </c>
      <c r="AM8" s="599">
        <f t="shared" si="214"/>
        <v>0</v>
      </c>
      <c r="AN8" s="599">
        <f t="shared" si="214"/>
        <v>0</v>
      </c>
      <c r="AO8" s="599">
        <f t="shared" si="214"/>
        <v>0</v>
      </c>
      <c r="AW8" s="599">
        <f t="shared" ref="AW8:CB8" si="215">AW6-AO4</f>
        <v>283.3</v>
      </c>
      <c r="AX8" s="599">
        <f t="shared" si="215"/>
        <v>291.3</v>
      </c>
      <c r="AY8" s="599">
        <f t="shared" si="215"/>
        <v>289.52222222222224</v>
      </c>
      <c r="AZ8" s="599">
        <f t="shared" si="215"/>
        <v>296.63333333333333</v>
      </c>
      <c r="BA8" s="599">
        <f t="shared" si="215"/>
        <v>303.74444444444447</v>
      </c>
      <c r="BB8" s="599">
        <f t="shared" si="215"/>
        <v>310.85555555555555</v>
      </c>
      <c r="BC8" s="599">
        <f t="shared" si="215"/>
        <v>317.9666666666667</v>
      </c>
      <c r="BD8" s="599">
        <f t="shared" si="215"/>
        <v>325.07777777777778</v>
      </c>
      <c r="BE8" s="599">
        <f t="shared" si="215"/>
        <v>334.18888888888893</v>
      </c>
      <c r="BF8" s="599">
        <f t="shared" si="215"/>
        <v>341.3</v>
      </c>
      <c r="BG8" s="599">
        <f t="shared" si="215"/>
        <v>348.4111111111111</v>
      </c>
      <c r="BH8" s="599">
        <f t="shared" si="215"/>
        <v>355.52222222222224</v>
      </c>
      <c r="BI8" s="599">
        <f t="shared" si="215"/>
        <v>362.63333333333333</v>
      </c>
      <c r="BJ8" s="599">
        <f t="shared" si="215"/>
        <v>369.74444444444447</v>
      </c>
      <c r="BK8" s="599">
        <f t="shared" si="215"/>
        <v>376.85555555555555</v>
      </c>
      <c r="BL8" s="599">
        <f t="shared" si="215"/>
        <v>383.9666666666667</v>
      </c>
      <c r="BM8" s="599">
        <f t="shared" si="215"/>
        <v>307.88888888888891</v>
      </c>
      <c r="BN8" s="599">
        <f t="shared" si="215"/>
        <v>315</v>
      </c>
      <c r="BO8" s="599">
        <f t="shared" si="215"/>
        <v>322.11111111111114</v>
      </c>
      <c r="BP8" s="599">
        <f t="shared" si="215"/>
        <v>329.22222222222229</v>
      </c>
      <c r="BQ8" s="599">
        <f t="shared" si="215"/>
        <v>336.33333333333337</v>
      </c>
      <c r="BR8" s="599">
        <f t="shared" si="215"/>
        <v>343.44444444444446</v>
      </c>
      <c r="BS8" s="599">
        <f t="shared" si="215"/>
        <v>350.5555555555556</v>
      </c>
      <c r="BT8" s="599">
        <f t="shared" si="215"/>
        <v>357.66666666666674</v>
      </c>
      <c r="BU8" s="599">
        <f t="shared" si="215"/>
        <v>366.77777777777783</v>
      </c>
      <c r="BV8" s="599">
        <f t="shared" si="215"/>
        <v>373.88888888888891</v>
      </c>
      <c r="BW8" s="599">
        <f t="shared" si="215"/>
        <v>381.00000000000006</v>
      </c>
      <c r="BX8" s="599">
        <f t="shared" si="215"/>
        <v>388.1111111111112</v>
      </c>
      <c r="BY8" s="599">
        <f t="shared" si="215"/>
        <v>395.22222222222223</v>
      </c>
      <c r="BZ8" s="599">
        <f t="shared" si="215"/>
        <v>402.33333333333337</v>
      </c>
      <c r="CA8" s="599">
        <f t="shared" si="215"/>
        <v>409.44444444444446</v>
      </c>
      <c r="CB8" s="599">
        <f t="shared" si="215"/>
        <v>416.55555555555554</v>
      </c>
      <c r="CC8" s="599">
        <f t="shared" ref="CC8" si="216">CC6-BU4</f>
        <v>425.66666666666669</v>
      </c>
      <c r="CD8" s="599">
        <f t="shared" ref="CD8" si="217">CD6-BV4</f>
        <v>432.77777777777783</v>
      </c>
      <c r="CE8" s="599">
        <f t="shared" ref="CE8" si="218">CE6-BW4</f>
        <v>439.88888888888891</v>
      </c>
      <c r="CF8" s="599">
        <f t="shared" ref="CF8" si="219">CF6-BX4</f>
        <v>447</v>
      </c>
      <c r="CG8" s="599">
        <f t="shared" ref="CG8" si="220">CG6-BY4</f>
        <v>454.11111111111114</v>
      </c>
      <c r="CH8" s="599">
        <f t="shared" ref="CH8" si="221">CH6-BZ4</f>
        <v>461.22222222222229</v>
      </c>
      <c r="CI8" s="599">
        <f t="shared" ref="CI8" si="222">CI6-CA4</f>
        <v>468.33333333333337</v>
      </c>
      <c r="CJ8" s="599">
        <f t="shared" ref="CJ8" si="223">CJ6-CB4</f>
        <v>475.44444444444446</v>
      </c>
      <c r="CK8" s="599">
        <f t="shared" ref="CK8" si="224">CK6-CC4</f>
        <v>484.5555555555556</v>
      </c>
      <c r="CL8" s="599">
        <f t="shared" ref="CL8" si="225">CL6-CD4</f>
        <v>491.66666666666674</v>
      </c>
      <c r="CM8" s="599">
        <f t="shared" ref="CM8" si="226">CM6-CE4</f>
        <v>498.77777777777783</v>
      </c>
      <c r="CN8" s="599">
        <f t="shared" ref="CN8" si="227">CN6-CF4</f>
        <v>505.88888888888891</v>
      </c>
      <c r="CO8" s="599">
        <f t="shared" ref="CO8" si="228">CO6-CG4</f>
        <v>513</v>
      </c>
      <c r="CP8" s="599">
        <f t="shared" ref="CP8" si="229">CP6-CH4</f>
        <v>520.1111111111112</v>
      </c>
      <c r="CQ8" s="599">
        <f t="shared" ref="CQ8" si="230">CQ6-CI4</f>
        <v>527.22222222222229</v>
      </c>
      <c r="CR8" s="599">
        <f t="shared" ref="CR8" si="231">CR6-CJ4</f>
        <v>534.33333333333337</v>
      </c>
      <c r="CS8" s="599">
        <f t="shared" ref="CS8" si="232">CS6-CK4</f>
        <v>543.44444444444457</v>
      </c>
      <c r="CT8" s="599">
        <f t="shared" ref="CT8" si="233">CT6-CL4</f>
        <v>550.55555555555566</v>
      </c>
      <c r="CU8" s="599">
        <f t="shared" ref="CU8" si="234">CU6-CM4</f>
        <v>557.66666666666674</v>
      </c>
      <c r="CV8" s="599">
        <f t="shared" ref="CV8" si="235">CV6-CN4</f>
        <v>564.77777777777783</v>
      </c>
      <c r="CW8" s="599">
        <f t="shared" ref="CW8" si="236">CW6-CO4</f>
        <v>571.88888888888891</v>
      </c>
      <c r="CX8" s="599">
        <f t="shared" ref="CX8" si="237">CX6-CP4</f>
        <v>579.00000000000011</v>
      </c>
      <c r="CY8" s="599">
        <f t="shared" ref="CY8" si="238">CY6-CQ4</f>
        <v>586.1111111111112</v>
      </c>
      <c r="CZ8" s="599">
        <f t="shared" ref="CZ8" si="239">CZ6-CR4</f>
        <v>593.22222222222229</v>
      </c>
      <c r="DA8" s="599">
        <f t="shared" ref="DA8" si="240">DA6-CS4</f>
        <v>602.33333333333348</v>
      </c>
      <c r="DB8" s="599">
        <f t="shared" ref="DB8" si="241">DB6-CT4</f>
        <v>609.44444444444457</v>
      </c>
      <c r="DC8" s="599">
        <f t="shared" ref="DC8" si="242">DC6-CU4</f>
        <v>616.55555555555566</v>
      </c>
      <c r="DD8" s="599">
        <f t="shared" ref="DD8" si="243">DD6-CV4</f>
        <v>623.66666666666674</v>
      </c>
      <c r="DE8" s="599">
        <f t="shared" ref="DE8" si="244">DE6-CW4</f>
        <v>630.77777777777783</v>
      </c>
      <c r="DF8" s="599">
        <f t="shared" ref="DF8" si="245">DF6-CX4</f>
        <v>637.88888888888903</v>
      </c>
      <c r="DG8" s="599">
        <f t="shared" ref="DG8" si="246">DG6-CY4</f>
        <v>645.00000000000011</v>
      </c>
      <c r="DH8" s="599">
        <f t="shared" ref="DH8" si="247">DH6-CZ4</f>
        <v>652.1111111111112</v>
      </c>
      <c r="DI8" s="599">
        <f t="shared" ref="DI8" si="248">DI6-DA4</f>
        <v>661.2222222222224</v>
      </c>
      <c r="DJ8" s="599">
        <f t="shared" ref="DJ8" si="249">DJ6-DB4</f>
        <v>668.33333333333348</v>
      </c>
      <c r="DK8" s="599">
        <f t="shared" ref="DK8" si="250">DK6-DC4</f>
        <v>675.44444444444457</v>
      </c>
      <c r="DL8" s="599">
        <f t="shared" ref="DL8" si="251">DL6-DD4</f>
        <v>682.55555555555566</v>
      </c>
      <c r="DM8" s="599">
        <f t="shared" ref="DM8" si="252">DM6-DE4</f>
        <v>689.66666666666674</v>
      </c>
      <c r="DN8" s="599">
        <f t="shared" ref="DN8" si="253">DN6-DF4</f>
        <v>696.77777777777794</v>
      </c>
      <c r="DO8" s="599">
        <f t="shared" ref="DO8" si="254">DO6-DG4</f>
        <v>703.88888888888903</v>
      </c>
      <c r="DP8" s="599">
        <f t="shared" ref="DP8" si="255">DP6-DH4</f>
        <v>711.00000000000011</v>
      </c>
      <c r="DQ8" s="599">
        <f t="shared" ref="DQ8" si="256">DQ6-DI4</f>
        <v>720.11111111111131</v>
      </c>
      <c r="DR8" s="599">
        <f t="shared" ref="DR8" si="257">DR6-DJ4</f>
        <v>727.2222222222224</v>
      </c>
      <c r="DS8" s="599">
        <f t="shared" ref="DS8" si="258">DS6-DK4</f>
        <v>734.33333333333348</v>
      </c>
      <c r="DT8" s="599">
        <f t="shared" ref="DT8" si="259">DT6-DL4</f>
        <v>741.44444444444457</v>
      </c>
      <c r="DU8" s="599">
        <f t="shared" ref="DU8" si="260">DU6-DM4</f>
        <v>748.55555555555566</v>
      </c>
      <c r="DV8" s="599">
        <f t="shared" ref="DV8" si="261">DV6-DN4</f>
        <v>755.66666666666686</v>
      </c>
      <c r="DW8" s="599">
        <f t="shared" ref="DW8" si="262">DW6-DO4</f>
        <v>762.77777777777794</v>
      </c>
      <c r="DX8" s="599">
        <f t="shared" ref="DX8" si="263">DX6-DP4</f>
        <v>769.88888888888903</v>
      </c>
      <c r="DY8" s="599">
        <f t="shared" ref="DY8" si="264">DY6-DQ4</f>
        <v>779.00000000000023</v>
      </c>
      <c r="DZ8" s="599">
        <f t="shared" ref="DZ8" si="265">DZ6-DR4</f>
        <v>786.11111111111131</v>
      </c>
      <c r="EA8" s="599">
        <f t="shared" ref="EA8" si="266">EA6-DS4</f>
        <v>793.2222222222224</v>
      </c>
      <c r="EB8" s="599">
        <f t="shared" ref="EB8" si="267">EB6-DT4</f>
        <v>800.33333333333348</v>
      </c>
      <c r="EC8" s="599">
        <f t="shared" ref="EC8" si="268">EC6-DU4</f>
        <v>807.44444444444457</v>
      </c>
      <c r="ED8" s="599">
        <f t="shared" ref="ED8" si="269">ED6-DV4</f>
        <v>814.55555555555577</v>
      </c>
      <c r="EE8" s="599">
        <f t="shared" ref="EE8" si="270">EE6-DW4</f>
        <v>821.66666666666686</v>
      </c>
      <c r="EF8" s="599">
        <f t="shared" ref="EF8" si="271">EF6-DX4</f>
        <v>828.77777777777794</v>
      </c>
      <c r="EG8" s="599">
        <f t="shared" ref="EG8" si="272">EG6-DY4</f>
        <v>837.88888888888914</v>
      </c>
      <c r="EH8" s="599">
        <f t="shared" ref="EH8" si="273">EH6-DZ4</f>
        <v>845.00000000000023</v>
      </c>
      <c r="EI8" s="599">
        <f t="shared" ref="EI8" si="274">EI6-EA4</f>
        <v>852.11111111111131</v>
      </c>
      <c r="EJ8" s="599">
        <f t="shared" ref="EJ8" si="275">EJ6-EB4</f>
        <v>859.2222222222224</v>
      </c>
      <c r="EK8" s="599">
        <f t="shared" ref="EK8" si="276">EK6-EC4</f>
        <v>866.33333333333348</v>
      </c>
      <c r="EL8" s="599">
        <f t="shared" ref="EL8" si="277">EL6-ED4</f>
        <v>873.44444444444468</v>
      </c>
      <c r="EM8" s="599">
        <f t="shared" ref="EM8" si="278">EM6-EE4</f>
        <v>880.55555555555577</v>
      </c>
      <c r="EN8" s="599">
        <f t="shared" ref="EN8" si="279">EN6-EF4</f>
        <v>887.66666666666686</v>
      </c>
      <c r="EO8" s="599">
        <f t="shared" ref="EO8" si="280">EO6-EG4</f>
        <v>896.77777777777806</v>
      </c>
      <c r="EP8" s="599">
        <f t="shared" ref="EP8" si="281">EP6-EH4</f>
        <v>903.88888888888914</v>
      </c>
      <c r="EQ8" s="599">
        <f t="shared" ref="EQ8" si="282">EQ6-EI4</f>
        <v>911.00000000000023</v>
      </c>
      <c r="ER8" s="599">
        <f t="shared" ref="ER8" si="283">ER6-EJ4</f>
        <v>918.11111111111131</v>
      </c>
      <c r="ES8" s="599">
        <f t="shared" ref="ES8" si="284">ES6-EK4</f>
        <v>925.2222222222224</v>
      </c>
      <c r="ET8" s="599">
        <f t="shared" ref="ET8" si="285">ET6-EL4</f>
        <v>932.3333333333336</v>
      </c>
      <c r="EU8" s="599">
        <f t="shared" ref="EU8" si="286">EU6-EM4</f>
        <v>939.44444444444468</v>
      </c>
      <c r="EV8" s="599">
        <f t="shared" ref="EV8" si="287">EV6-EN4</f>
        <v>946.55555555555577</v>
      </c>
      <c r="EW8" s="599">
        <f t="shared" ref="EW8" si="288">EW6-EO4</f>
        <v>955.66666666666697</v>
      </c>
      <c r="EX8" s="599">
        <f t="shared" ref="EX8" si="289">EX6-EP4</f>
        <v>962.77777777777806</v>
      </c>
      <c r="EY8" s="599">
        <f t="shared" ref="EY8" si="290">EY6-EQ4</f>
        <v>969.88888888888914</v>
      </c>
      <c r="EZ8" s="599">
        <f t="shared" ref="EZ8" si="291">EZ6-ER4</f>
        <v>977.00000000000023</v>
      </c>
      <c r="FA8" s="599">
        <f t="shared" ref="FA8" si="292">FA6-ES4</f>
        <v>984.11111111111131</v>
      </c>
      <c r="FB8" s="599">
        <f t="shared" ref="FB8" si="293">FB6-ET4</f>
        <v>991.22222222222251</v>
      </c>
      <c r="FC8" s="599">
        <f t="shared" ref="FC8" si="294">FC6-EU4</f>
        <v>998.3333333333336</v>
      </c>
      <c r="FD8" s="599">
        <f t="shared" ref="FD8" si="295">FD6-EV4</f>
        <v>1005.4444444444447</v>
      </c>
      <c r="FE8" s="599">
        <f t="shared" ref="FE8" si="296">FE6-EW4</f>
        <v>1014.5555555555559</v>
      </c>
      <c r="FF8" s="599">
        <f t="shared" ref="FF8" si="297">FF6-EX4</f>
        <v>1021.666666666667</v>
      </c>
      <c r="FG8" s="599">
        <f t="shared" ref="FG8" si="298">FG6-EY4</f>
        <v>1028.7777777777781</v>
      </c>
      <c r="FH8" s="599">
        <f t="shared" ref="FH8" si="299">FH6-EZ4</f>
        <v>1035.8888888888891</v>
      </c>
      <c r="FI8" s="599">
        <f t="shared" ref="FI8" si="300">FI6-FA4</f>
        <v>1043.0000000000002</v>
      </c>
      <c r="FJ8" s="599">
        <f t="shared" ref="FJ8" si="301">FJ6-FB4</f>
        <v>1050.1111111111113</v>
      </c>
      <c r="FK8" s="599">
        <f t="shared" ref="FK8" si="302">FK6-FC4</f>
        <v>1057.2222222222226</v>
      </c>
      <c r="FL8" s="599">
        <f t="shared" ref="FL8" si="303">FL6-FD4</f>
        <v>1064.3333333333337</v>
      </c>
      <c r="FM8" s="599">
        <f t="shared" ref="FM8" si="304">FM6-FE4</f>
        <v>1073.4444444444448</v>
      </c>
      <c r="FN8" s="599">
        <f t="shared" ref="FN8" si="305">FN6-FF4</f>
        <v>1080.5555555555559</v>
      </c>
      <c r="FO8" s="599">
        <f t="shared" ref="FO8" si="306">FO6-FG4</f>
        <v>1087.666666666667</v>
      </c>
      <c r="FP8" s="599">
        <f t="shared" ref="FP8" si="307">FP6-FH4</f>
        <v>1094.7777777777781</v>
      </c>
      <c r="FQ8" s="599">
        <f t="shared" ref="FQ8" si="308">FQ6-FI4</f>
        <v>1101.8888888888891</v>
      </c>
      <c r="FR8" s="599">
        <f t="shared" ref="FR8" si="309">FR6-FJ4</f>
        <v>1109.0000000000002</v>
      </c>
      <c r="FS8" s="599">
        <f t="shared" ref="FS8" si="310">FS6-FK4</f>
        <v>1116.1111111111113</v>
      </c>
      <c r="FT8" s="599">
        <f t="shared" ref="FT8" si="311">FT6-FL4</f>
        <v>1123.2222222222226</v>
      </c>
      <c r="FU8" s="599">
        <f t="shared" ref="FU8" si="312">FU6-FM4</f>
        <v>1132.3333333333337</v>
      </c>
      <c r="FV8" s="599">
        <f t="shared" ref="FV8" si="313">FV6-FN4</f>
        <v>1139.4444444444448</v>
      </c>
      <c r="FW8" s="599">
        <f t="shared" ref="FW8" si="314">FW6-FO4</f>
        <v>1146.5555555555559</v>
      </c>
      <c r="FX8" s="599">
        <f t="shared" ref="FX8" si="315">FX6-FP4</f>
        <v>1153.666666666667</v>
      </c>
      <c r="FY8" s="599">
        <f t="shared" ref="FY8" si="316">FY6-FQ4</f>
        <v>1160.7777777777781</v>
      </c>
      <c r="FZ8" s="599">
        <f t="shared" ref="FZ8" si="317">FZ6-FR4</f>
        <v>1167.8888888888891</v>
      </c>
      <c r="GA8" s="599">
        <f t="shared" ref="GA8" si="318">GA6-FS4</f>
        <v>1175.0000000000005</v>
      </c>
      <c r="GB8" s="599">
        <f t="shared" ref="GB8" si="319">GB6-FT4</f>
        <v>1182.1111111111115</v>
      </c>
      <c r="GC8" s="599">
        <f t="shared" ref="GC8" si="320">GC6-FU4</f>
        <v>1191.2222222222226</v>
      </c>
      <c r="GD8" s="599">
        <f t="shared" ref="GD8" si="321">GD6-FV4</f>
        <v>1198.3333333333337</v>
      </c>
      <c r="GE8" s="599">
        <f t="shared" ref="GE8" si="322">GE6-FW4</f>
        <v>1205.4444444444448</v>
      </c>
      <c r="GF8" s="599">
        <f t="shared" ref="GF8" si="323">GF6-FX4</f>
        <v>1212.5555555555559</v>
      </c>
      <c r="GG8" s="599">
        <f t="shared" ref="GG8" si="324">GG6-FY4</f>
        <v>1219.666666666667</v>
      </c>
      <c r="GH8" s="599">
        <f t="shared" ref="GH8" si="325">GH6-FZ4</f>
        <v>1226.7777777777781</v>
      </c>
      <c r="GI8" s="599">
        <f t="shared" ref="GI8" si="326">GI6-GA4</f>
        <v>1233.8888888888891</v>
      </c>
      <c r="GJ8" s="599">
        <f t="shared" ref="GJ8" si="327">GJ6-GB4</f>
        <v>1241.0000000000005</v>
      </c>
      <c r="GK8" s="599">
        <f t="shared" ref="GK8" si="328">GK6-GC4</f>
        <v>1250.1111111111115</v>
      </c>
      <c r="GL8" s="599">
        <f t="shared" ref="GL8" si="329">GL6-GD4</f>
        <v>1257.2222222222226</v>
      </c>
      <c r="GM8" s="599">
        <f t="shared" ref="GM8" si="330">GM6-GE4</f>
        <v>1264.3333333333337</v>
      </c>
      <c r="GN8" s="599">
        <f t="shared" ref="GN8" si="331">GN6-GF4</f>
        <v>1271.4444444444448</v>
      </c>
      <c r="GO8" s="599">
        <f t="shared" ref="GO8" si="332">GO6-GG4</f>
        <v>1278.5555555555559</v>
      </c>
      <c r="GP8" s="599">
        <f t="shared" ref="GP8" si="333">GP6-GH4</f>
        <v>1285.666666666667</v>
      </c>
      <c r="GQ8" s="599">
        <f t="shared" ref="GQ8" si="334">GQ6-GI4</f>
        <v>1292.7777777777783</v>
      </c>
      <c r="GR8" s="599">
        <f t="shared" ref="GR8" si="335">GR6-GJ4</f>
        <v>1299.8888888888894</v>
      </c>
      <c r="GS8" s="599">
        <f t="shared" ref="GS8" si="336">GS6-GK4</f>
        <v>1309.0000000000005</v>
      </c>
      <c r="GT8" s="599">
        <f t="shared" ref="GT8" si="337">GT6-GL4</f>
        <v>1316.1111111111115</v>
      </c>
      <c r="GU8" s="599">
        <f t="shared" ref="GU8" si="338">GU6-GM4</f>
        <v>1323.2222222222226</v>
      </c>
      <c r="GV8" s="599">
        <f t="shared" ref="GV8" si="339">GV6-GN4</f>
        <v>1330.3333333333337</v>
      </c>
      <c r="GW8" s="599">
        <f t="shared" ref="GW8" si="340">GW6-GO4</f>
        <v>1337.4444444444448</v>
      </c>
      <c r="GX8" s="599">
        <f t="shared" ref="GX8" si="341">GX6-GP4</f>
        <v>1344.5555555555559</v>
      </c>
      <c r="GY8" s="599">
        <f t="shared" ref="GY8" si="342">GY6-GQ4</f>
        <v>1351.666666666667</v>
      </c>
      <c r="GZ8" s="599">
        <f t="shared" ref="GZ8" si="343">GZ6-GR4</f>
        <v>1358.7777777777783</v>
      </c>
      <c r="HA8" s="599">
        <f t="shared" ref="HA8" si="344">HA6-GS4</f>
        <v>1367.8888888888894</v>
      </c>
      <c r="HB8" s="599">
        <f t="shared" ref="HB8" si="345">HB6-GT4</f>
        <v>1375.0000000000005</v>
      </c>
      <c r="HC8" s="599">
        <f t="shared" ref="HC8" si="346">HC6-GU4</f>
        <v>1382.1111111111115</v>
      </c>
      <c r="HD8" s="599">
        <f t="shared" ref="HD8" si="347">HD6-GV4</f>
        <v>1389.2222222222226</v>
      </c>
      <c r="HE8" s="599">
        <f t="shared" ref="HE8" si="348">HE6-GW4</f>
        <v>1396.3333333333337</v>
      </c>
      <c r="HF8" s="599">
        <f t="shared" ref="HF8" si="349">HF6-GX4</f>
        <v>1403.4444444444448</v>
      </c>
      <c r="HG8" s="599">
        <f t="shared" ref="HG8" si="350">HG6-GY4</f>
        <v>1410.5555555555561</v>
      </c>
      <c r="HH8" s="599">
        <f t="shared" ref="HH8" si="351">HH6-GZ4</f>
        <v>1417.6666666666672</v>
      </c>
      <c r="HI8" s="599">
        <f t="shared" ref="HI8" si="352">HI6-HA4</f>
        <v>1426.7777777777783</v>
      </c>
      <c r="HJ8" s="599">
        <f t="shared" ref="HJ8" si="353">HJ6-HB4</f>
        <v>1433.8888888888894</v>
      </c>
      <c r="HK8" s="599">
        <f t="shared" ref="HK8" si="354">HK6-HC4</f>
        <v>1441.0000000000005</v>
      </c>
      <c r="HL8" s="599">
        <f t="shared" ref="HL8" si="355">HL6-HD4</f>
        <v>1448.1111111111115</v>
      </c>
      <c r="HM8" s="599">
        <f t="shared" ref="HM8" si="356">HM6-HE4</f>
        <v>1455.2222222222226</v>
      </c>
      <c r="HN8" s="599">
        <f t="shared" ref="HN8" si="357">HN6-HF4</f>
        <v>1462.3333333333337</v>
      </c>
      <c r="HO8" s="599">
        <f t="shared" ref="HO8" si="358">HO6-HG4</f>
        <v>1469.4444444444448</v>
      </c>
      <c r="HP8" s="599">
        <f t="shared" ref="HP8" si="359">HP6-HH4</f>
        <v>1476.5555555555561</v>
      </c>
      <c r="HQ8" s="599">
        <f t="shared" ref="HQ8" si="360">HQ6-HI4</f>
        <v>1485.6666666666672</v>
      </c>
      <c r="HR8" s="599">
        <f t="shared" ref="HR8" si="361">HR6-HJ4</f>
        <v>1492.7777777777783</v>
      </c>
      <c r="HS8" s="599">
        <f t="shared" ref="HS8" si="362">HS6-HK4</f>
        <v>1499.8888888888894</v>
      </c>
      <c r="HT8" s="599">
        <f t="shared" ref="HT8" si="363">HT6-HL4</f>
        <v>1507.0000000000005</v>
      </c>
      <c r="HU8" s="599">
        <f t="shared" ref="HU8" si="364">HU6-HM4</f>
        <v>1514.1111111111115</v>
      </c>
      <c r="HV8" s="599">
        <f t="shared" ref="HV8" si="365">HV6-HN4</f>
        <v>1521.2222222222226</v>
      </c>
      <c r="HW8" s="599">
        <f t="shared" ref="HW8" si="366">HW6-HO4</f>
        <v>1528.3333333333339</v>
      </c>
      <c r="HX8" s="599">
        <f t="shared" ref="HX8" si="367">HX6-HP4</f>
        <v>1535.444444444445</v>
      </c>
      <c r="HY8" s="599">
        <f t="shared" ref="HY8" si="368">HY6-HQ4</f>
        <v>1544.5555555555561</v>
      </c>
      <c r="HZ8" s="599">
        <f t="shared" ref="HZ8" si="369">HZ6-HR4</f>
        <v>1551.6666666666672</v>
      </c>
      <c r="IA8" s="599">
        <f t="shared" ref="IA8" si="370">IA6-HS4</f>
        <v>1558.7777777777783</v>
      </c>
      <c r="IB8" s="599">
        <f t="shared" ref="IB8" si="371">IB6-HT4</f>
        <v>1565.8888888888894</v>
      </c>
      <c r="IC8" s="599">
        <f t="shared" ref="IC8" si="372">IC6-HU4</f>
        <v>1573.0000000000005</v>
      </c>
      <c r="ID8" s="599">
        <f t="shared" ref="ID8" si="373">ID6-HV4</f>
        <v>1580.1111111111115</v>
      </c>
      <c r="IE8" s="599">
        <f t="shared" ref="IE8" si="374">IE6-HW4</f>
        <v>1587.2222222222226</v>
      </c>
      <c r="IF8" s="599">
        <f t="shared" ref="IF8" si="375">IF6-HX4</f>
        <v>1594.3333333333337</v>
      </c>
      <c r="IG8" s="599">
        <f t="shared" ref="IG8" si="376">IG6-HY4</f>
        <v>1603.4444444444448</v>
      </c>
      <c r="IH8" s="599">
        <f t="shared" ref="IH8" si="377">IH6-HZ4</f>
        <v>1610.5555555555559</v>
      </c>
      <c r="II8" s="599">
        <f t="shared" ref="II8" si="378">II6-IA4</f>
        <v>1617.666666666667</v>
      </c>
      <c r="IJ8" s="599">
        <f t="shared" ref="IJ8" si="379">IJ6-IB4</f>
        <v>1624.7777777777781</v>
      </c>
      <c r="IK8" s="599">
        <f t="shared" ref="IK8" si="380">IK6-IC4</f>
        <v>1631.8888888888891</v>
      </c>
      <c r="IL8" s="599">
        <f t="shared" ref="IL8" si="381">IL6-ID4</f>
        <v>1639.0000000000002</v>
      </c>
      <c r="IM8" s="599">
        <f t="shared" ref="IM8" si="382">IM6-IE4</f>
        <v>1646.1111111111113</v>
      </c>
      <c r="IN8" s="599">
        <f t="shared" ref="IN8" si="383">IN6-IF4</f>
        <v>1653.2222222222224</v>
      </c>
      <c r="IO8" s="599">
        <f t="shared" ref="IO8" si="384">IO6-IG4</f>
        <v>1662.3333333333335</v>
      </c>
      <c r="IP8" s="599">
        <f t="shared" ref="IP8" si="385">IP6-IH4</f>
        <v>1669.4444444444446</v>
      </c>
      <c r="IQ8" s="599">
        <f t="shared" ref="IQ8" si="386">IQ6-II4</f>
        <v>1676.5555555555557</v>
      </c>
      <c r="IR8" s="599">
        <f t="shared" ref="IR8" si="387">IR6-IJ4</f>
        <v>1683.6666666666667</v>
      </c>
      <c r="IS8" s="599">
        <f t="shared" ref="IS8" si="388">IS6-IK4</f>
        <v>1690.7777777777778</v>
      </c>
      <c r="IT8" s="599">
        <f t="shared" ref="IT8" si="389">IT6-IL4</f>
        <v>1697.8888888888889</v>
      </c>
      <c r="IU8" s="599">
        <f t="shared" ref="IU8" si="390">IU6-IM4</f>
        <v>1705</v>
      </c>
      <c r="IV8" s="599">
        <f t="shared" ref="IV8" si="391">IV6-IN4</f>
        <v>1712.1111111111111</v>
      </c>
      <c r="IW8" s="599">
        <f t="shared" ref="IW8" si="392">IW6-IO4</f>
        <v>1721.2222222222222</v>
      </c>
      <c r="IX8" s="599">
        <f t="shared" ref="IX8" si="393">IX6-IP4</f>
        <v>1728.3333333333333</v>
      </c>
      <c r="IY8" s="599">
        <f t="shared" ref="IY8" si="394">IY6-IQ4</f>
        <v>1735.4444444444443</v>
      </c>
      <c r="IZ8" s="599">
        <f t="shared" ref="IZ8" si="395">IZ6-IR4</f>
        <v>1742.5555555555554</v>
      </c>
      <c r="JA8" s="599">
        <f t="shared" ref="JA8" si="396">JA6-IS4</f>
        <v>1749.6666666666665</v>
      </c>
      <c r="JB8" s="599">
        <f t="shared" ref="JB8" si="397">JB6-IT4</f>
        <v>1756.7777777777776</v>
      </c>
      <c r="JC8" s="599">
        <f t="shared" ref="JC8" si="398">JC6-IU4</f>
        <v>1763.8888888888887</v>
      </c>
      <c r="JD8" s="599">
        <f t="shared" ref="JD8" si="399">JD6-IV4</f>
        <v>1771</v>
      </c>
      <c r="JE8" s="599">
        <f t="shared" ref="JE8" si="400">JE6-IW4</f>
        <v>1780.1111111111111</v>
      </c>
      <c r="JF8" s="599">
        <f t="shared" ref="JF8" si="401">JF6-IX4</f>
        <v>1787.2222222222222</v>
      </c>
      <c r="JG8" s="599">
        <f t="shared" ref="JG8" si="402">JG6-IY4</f>
        <v>1794.3333333333333</v>
      </c>
      <c r="JH8" s="599">
        <f t="shared" ref="JH8" si="403">JH6-IZ4</f>
        <v>1801.4444444444443</v>
      </c>
      <c r="JI8" s="599">
        <f t="shared" ref="JI8" si="404">JI6-JA4</f>
        <v>1808.5555555555554</v>
      </c>
      <c r="JJ8" s="599">
        <f t="shared" ref="JJ8" si="405">JJ6-JB4</f>
        <v>1815.6666666666665</v>
      </c>
      <c r="JK8" s="599">
        <f t="shared" ref="JK8" si="406">JK6-JC4</f>
        <v>1822.7777777777776</v>
      </c>
      <c r="JL8" s="599">
        <f t="shared" ref="JL8" si="407">JL6-JD4</f>
        <v>1829.8888888888887</v>
      </c>
      <c r="JM8" s="599">
        <f t="shared" ref="JM8" si="408">JM6-JE4</f>
        <v>1838.9999999999998</v>
      </c>
      <c r="JN8" s="599">
        <f t="shared" ref="JN8" si="409">JN6-JF4</f>
        <v>1846.1111111111109</v>
      </c>
      <c r="JO8" s="599">
        <f t="shared" ref="JO8" si="410">JO6-JG4</f>
        <v>1853.2222222222219</v>
      </c>
      <c r="JP8" s="599">
        <f t="shared" ref="JP8" si="411">JP6-JH4</f>
        <v>1860.333333333333</v>
      </c>
      <c r="JQ8" s="599">
        <f t="shared" ref="JQ8" si="412">JQ6-JI4</f>
        <v>1867.4444444444441</v>
      </c>
      <c r="JR8" s="599">
        <f t="shared" ref="JR8" si="413">JR6-JJ4</f>
        <v>1874.5555555555552</v>
      </c>
      <c r="JS8" s="599">
        <f t="shared" ref="JS8" si="414">JS6-JK4</f>
        <v>1881.6666666666663</v>
      </c>
      <c r="JT8" s="599">
        <f t="shared" ref="JT8" si="415">JT6-JL4</f>
        <v>1888.7777777777774</v>
      </c>
      <c r="JU8" s="599">
        <f t="shared" ref="JU8" si="416">JU6-JM4</f>
        <v>1897.8888888888885</v>
      </c>
    </row>
    <row r="9" spans="2:281" x14ac:dyDescent="0.45">
      <c r="B9" s="607" t="s">
        <v>1647</v>
      </c>
      <c r="C9" s="605">
        <v>2</v>
      </c>
      <c r="D9" t="s">
        <v>10</v>
      </c>
      <c r="F9" s="613"/>
      <c r="G9" s="2" t="s">
        <v>1653</v>
      </c>
      <c r="H9" s="595" t="s">
        <v>5</v>
      </c>
      <c r="I9" s="601"/>
      <c r="J9" s="602">
        <f t="shared" ref="J9:AO9" si="417" xml:space="preserve"> J8 / ( (16+$C$4*$C$7)*(1/$C$3) + $C$5 )</f>
        <v>4.115523465703971</v>
      </c>
      <c r="K9" s="602">
        <f t="shared" si="417"/>
        <v>6.4259927797833942</v>
      </c>
      <c r="L9" s="602">
        <f t="shared" si="417"/>
        <v>8.7364620938628175</v>
      </c>
      <c r="M9" s="602">
        <f t="shared" si="417"/>
        <v>11.046931407942239</v>
      </c>
      <c r="N9" s="602">
        <f t="shared" si="417"/>
        <v>13.35740072202166</v>
      </c>
      <c r="O9" s="602">
        <f t="shared" si="417"/>
        <v>15.667870036101082</v>
      </c>
      <c r="P9" s="602">
        <f t="shared" si="417"/>
        <v>17.978339350180505</v>
      </c>
      <c r="Q9" s="602">
        <f t="shared" si="417"/>
        <v>20.288808664259928</v>
      </c>
      <c r="R9" s="602">
        <f t="shared" si="417"/>
        <v>23.249097472924184</v>
      </c>
      <c r="S9" s="602">
        <f t="shared" si="417"/>
        <v>25.559566787003611</v>
      </c>
      <c r="T9" s="602">
        <f t="shared" si="417"/>
        <v>27.870036101083034</v>
      </c>
      <c r="U9" s="602">
        <f t="shared" si="417"/>
        <v>30.180505415162457</v>
      </c>
      <c r="V9" s="602">
        <f t="shared" si="417"/>
        <v>32.490974729241877</v>
      </c>
      <c r="W9" s="602">
        <f t="shared" si="417"/>
        <v>34.801444043321297</v>
      </c>
      <c r="X9" s="602">
        <f t="shared" si="417"/>
        <v>37.111913357400724</v>
      </c>
      <c r="Y9" s="602">
        <f t="shared" si="417"/>
        <v>39.422382671480143</v>
      </c>
      <c r="Z9" s="602" t="e">
        <f t="shared" si="417"/>
        <v>#REF!</v>
      </c>
      <c r="AA9" s="602" t="e">
        <f t="shared" si="417"/>
        <v>#REF!</v>
      </c>
      <c r="AB9" s="602" t="e">
        <f t="shared" si="417"/>
        <v>#REF!</v>
      </c>
      <c r="AC9" s="602" t="e">
        <f t="shared" si="417"/>
        <v>#REF!</v>
      </c>
      <c r="AD9" s="602" t="e">
        <f t="shared" si="417"/>
        <v>#REF!</v>
      </c>
      <c r="AE9" s="602" t="e">
        <f t="shared" si="417"/>
        <v>#REF!</v>
      </c>
      <c r="AF9" s="602" t="e">
        <f t="shared" si="417"/>
        <v>#REF!</v>
      </c>
      <c r="AG9" s="602" t="e">
        <f t="shared" si="417"/>
        <v>#REF!</v>
      </c>
      <c r="AH9" s="602">
        <f t="shared" si="417"/>
        <v>0</v>
      </c>
      <c r="AI9" s="602">
        <f t="shared" si="417"/>
        <v>0</v>
      </c>
      <c r="AJ9" s="602">
        <f t="shared" si="417"/>
        <v>0</v>
      </c>
      <c r="AK9" s="602">
        <f t="shared" si="417"/>
        <v>0</v>
      </c>
      <c r="AL9" s="602">
        <f t="shared" si="417"/>
        <v>0</v>
      </c>
      <c r="AM9" s="602">
        <f t="shared" si="417"/>
        <v>0</v>
      </c>
      <c r="AN9" s="602">
        <f t="shared" si="417"/>
        <v>0</v>
      </c>
      <c r="AO9" s="602">
        <f t="shared" si="417"/>
        <v>0</v>
      </c>
      <c r="AW9" s="621">
        <f t="shared" ref="AW9:CB9" si="418" xml:space="preserve"> AW8 / ( (16+$C$4*$C$7)*(1/$C$3) + $C$5 )</f>
        <v>92.046931407942253</v>
      </c>
      <c r="AX9" s="621">
        <f t="shared" si="418"/>
        <v>94.646209386281598</v>
      </c>
      <c r="AY9" s="621">
        <f t="shared" si="418"/>
        <v>94.068592057761748</v>
      </c>
      <c r="AZ9" s="621">
        <f t="shared" si="418"/>
        <v>96.379061371841161</v>
      </c>
      <c r="BA9" s="621">
        <f t="shared" si="418"/>
        <v>98.689530685920587</v>
      </c>
      <c r="BB9" s="621">
        <f t="shared" si="418"/>
        <v>101.00000000000001</v>
      </c>
      <c r="BC9" s="621">
        <f t="shared" si="418"/>
        <v>103.31046931407944</v>
      </c>
      <c r="BD9" s="621">
        <f t="shared" si="418"/>
        <v>105.62093862815885</v>
      </c>
      <c r="BE9" s="621">
        <f t="shared" si="418"/>
        <v>108.58122743682313</v>
      </c>
      <c r="BF9" s="621">
        <f t="shared" si="418"/>
        <v>110.89169675090254</v>
      </c>
      <c r="BG9" s="621">
        <f t="shared" si="418"/>
        <v>113.20216606498195</v>
      </c>
      <c r="BH9" s="621">
        <f t="shared" si="418"/>
        <v>115.51263537906139</v>
      </c>
      <c r="BI9" s="621">
        <f t="shared" si="418"/>
        <v>117.82310469314081</v>
      </c>
      <c r="BJ9" s="621">
        <f t="shared" si="418"/>
        <v>120.13357400722023</v>
      </c>
      <c r="BK9" s="621">
        <f t="shared" si="418"/>
        <v>122.44404332129965</v>
      </c>
      <c r="BL9" s="621">
        <f t="shared" si="418"/>
        <v>124.75451263537909</v>
      </c>
      <c r="BM9" s="621">
        <f t="shared" si="418"/>
        <v>100.03610108303251</v>
      </c>
      <c r="BN9" s="621">
        <f t="shared" si="418"/>
        <v>102.34657039711192</v>
      </c>
      <c r="BO9" s="621">
        <f t="shared" si="418"/>
        <v>104.65703971119136</v>
      </c>
      <c r="BP9" s="621">
        <f t="shared" si="418"/>
        <v>106.96750902527079</v>
      </c>
      <c r="BQ9" s="621">
        <f t="shared" si="418"/>
        <v>109.2779783393502</v>
      </c>
      <c r="BR9" s="621">
        <f t="shared" si="418"/>
        <v>111.58844765342961</v>
      </c>
      <c r="BS9" s="621">
        <f t="shared" si="418"/>
        <v>113.89891696750905</v>
      </c>
      <c r="BT9" s="621">
        <f t="shared" si="418"/>
        <v>116.20938628158848</v>
      </c>
      <c r="BU9" s="621">
        <f t="shared" si="418"/>
        <v>119.16967509025274</v>
      </c>
      <c r="BV9" s="621">
        <f t="shared" si="418"/>
        <v>121.48014440433215</v>
      </c>
      <c r="BW9" s="621">
        <f t="shared" si="418"/>
        <v>123.79061371841158</v>
      </c>
      <c r="BX9" s="621">
        <f t="shared" si="418"/>
        <v>126.10108303249102</v>
      </c>
      <c r="BY9" s="621">
        <f t="shared" si="418"/>
        <v>128.4115523465704</v>
      </c>
      <c r="BZ9" s="621">
        <f t="shared" si="418"/>
        <v>130.72202166064983</v>
      </c>
      <c r="CA9" s="621">
        <f t="shared" si="418"/>
        <v>133.03249097472926</v>
      </c>
      <c r="CB9" s="621">
        <f t="shared" si="418"/>
        <v>135.34296028880868</v>
      </c>
      <c r="CC9" s="621">
        <f t="shared" ref="CC9:EA9" si="419" xml:space="preserve"> CC8 / ( (16+$C$4*$C$7)*(1/$C$3) + $C$5 )</f>
        <v>138.30324909747296</v>
      </c>
      <c r="CD9" s="621">
        <f t="shared" si="419"/>
        <v>140.61371841155238</v>
      </c>
      <c r="CE9" s="621">
        <f t="shared" si="419"/>
        <v>142.92418772563178</v>
      </c>
      <c r="CF9" s="621">
        <f t="shared" si="419"/>
        <v>145.23465703971121</v>
      </c>
      <c r="CG9" s="621">
        <f t="shared" si="419"/>
        <v>147.54512635379064</v>
      </c>
      <c r="CH9" s="621">
        <f t="shared" si="419"/>
        <v>149.85559566787006</v>
      </c>
      <c r="CI9" s="621">
        <f t="shared" si="419"/>
        <v>152.16606498194949</v>
      </c>
      <c r="CJ9" s="621">
        <f t="shared" si="419"/>
        <v>154.47653429602889</v>
      </c>
      <c r="CK9" s="621">
        <f t="shared" si="419"/>
        <v>157.43682310469316</v>
      </c>
      <c r="CL9" s="621">
        <f t="shared" si="419"/>
        <v>159.74729241877259</v>
      </c>
      <c r="CM9" s="621">
        <f t="shared" si="419"/>
        <v>162.05776173285201</v>
      </c>
      <c r="CN9" s="621">
        <f t="shared" si="419"/>
        <v>164.36823104693144</v>
      </c>
      <c r="CO9" s="621">
        <f t="shared" si="419"/>
        <v>166.67870036101084</v>
      </c>
      <c r="CP9" s="621">
        <f t="shared" si="419"/>
        <v>168.9891696750903</v>
      </c>
      <c r="CQ9" s="621">
        <f t="shared" si="419"/>
        <v>171.29963898916972</v>
      </c>
      <c r="CR9" s="621">
        <f t="shared" si="419"/>
        <v>173.61010830324912</v>
      </c>
      <c r="CS9" s="621">
        <f t="shared" si="419"/>
        <v>176.57039711191342</v>
      </c>
      <c r="CT9" s="621">
        <f t="shared" si="419"/>
        <v>178.88086642599282</v>
      </c>
      <c r="CU9" s="621">
        <f t="shared" si="419"/>
        <v>181.19133574007225</v>
      </c>
      <c r="CV9" s="621">
        <f t="shared" si="419"/>
        <v>183.50180505415165</v>
      </c>
      <c r="CW9" s="621">
        <f t="shared" si="419"/>
        <v>185.81227436823107</v>
      </c>
      <c r="CX9" s="621">
        <f t="shared" si="419"/>
        <v>188.12274368231053</v>
      </c>
      <c r="CY9" s="621">
        <f t="shared" si="419"/>
        <v>190.43321299638993</v>
      </c>
      <c r="CZ9" s="621">
        <f t="shared" si="419"/>
        <v>192.74368231046935</v>
      </c>
      <c r="DA9" s="621">
        <f t="shared" si="419"/>
        <v>195.70397111913363</v>
      </c>
      <c r="DB9" s="621">
        <f t="shared" si="419"/>
        <v>198.01444043321305</v>
      </c>
      <c r="DC9" s="621">
        <f t="shared" si="419"/>
        <v>200.32490974729248</v>
      </c>
      <c r="DD9" s="621">
        <f t="shared" si="419"/>
        <v>202.63537906137188</v>
      </c>
      <c r="DE9" s="621">
        <f t="shared" si="419"/>
        <v>204.94584837545131</v>
      </c>
      <c r="DF9" s="621">
        <f t="shared" si="419"/>
        <v>207.25631768953076</v>
      </c>
      <c r="DG9" s="621">
        <f t="shared" si="419"/>
        <v>209.56678700361016</v>
      </c>
      <c r="DH9" s="621">
        <f t="shared" si="419"/>
        <v>211.87725631768959</v>
      </c>
      <c r="DI9" s="621">
        <f t="shared" si="419"/>
        <v>214.83754512635386</v>
      </c>
      <c r="DJ9" s="621">
        <f t="shared" si="419"/>
        <v>217.14801444043329</v>
      </c>
      <c r="DK9" s="621">
        <f t="shared" si="419"/>
        <v>219.45848375451268</v>
      </c>
      <c r="DL9" s="621">
        <f t="shared" si="419"/>
        <v>221.76895306859211</v>
      </c>
      <c r="DM9" s="621">
        <f t="shared" si="419"/>
        <v>224.07942238267154</v>
      </c>
      <c r="DN9" s="621">
        <f t="shared" si="419"/>
        <v>226.38989169675096</v>
      </c>
      <c r="DO9" s="621">
        <f t="shared" si="419"/>
        <v>228.70036101083039</v>
      </c>
      <c r="DP9" s="621">
        <f t="shared" si="419"/>
        <v>231.01083032490982</v>
      </c>
      <c r="DQ9" s="621">
        <f t="shared" si="419"/>
        <v>233.97111913357409</v>
      </c>
      <c r="DR9" s="621">
        <f t="shared" si="419"/>
        <v>236.28158844765352</v>
      </c>
      <c r="DS9" s="621">
        <f t="shared" si="419"/>
        <v>238.59205776173292</v>
      </c>
      <c r="DT9" s="621">
        <f t="shared" si="419"/>
        <v>240.90252707581234</v>
      </c>
      <c r="DU9" s="621">
        <f t="shared" si="419"/>
        <v>243.21299638989174</v>
      </c>
      <c r="DV9" s="621">
        <f t="shared" si="419"/>
        <v>245.5234657039712</v>
      </c>
      <c r="DW9" s="621">
        <f t="shared" si="419"/>
        <v>247.83393501805062</v>
      </c>
      <c r="DX9" s="621">
        <f t="shared" si="419"/>
        <v>250.14440433213002</v>
      </c>
      <c r="DY9" s="621">
        <f t="shared" si="419"/>
        <v>253.10469314079432</v>
      </c>
      <c r="DZ9" s="621">
        <f t="shared" si="419"/>
        <v>255.41516245487372</v>
      </c>
      <c r="EA9" s="621">
        <f t="shared" si="419"/>
        <v>257.72563176895312</v>
      </c>
      <c r="EB9" s="621">
        <f t="shared" ref="EB9:GM9" si="420" xml:space="preserve"> EB8 / ( (16+$C$4*$C$7)*(1/$C$3) + $C$5 )</f>
        <v>260.03610108303258</v>
      </c>
      <c r="EC9" s="621">
        <f t="shared" si="420"/>
        <v>262.34657039711198</v>
      </c>
      <c r="ED9" s="621">
        <f t="shared" si="420"/>
        <v>264.65703971119143</v>
      </c>
      <c r="EE9" s="621">
        <f t="shared" si="420"/>
        <v>266.96750902527083</v>
      </c>
      <c r="EF9" s="621">
        <f t="shared" si="420"/>
        <v>269.27797833935028</v>
      </c>
      <c r="EG9" s="621">
        <f t="shared" si="420"/>
        <v>272.23826714801453</v>
      </c>
      <c r="EH9" s="621">
        <f t="shared" si="420"/>
        <v>274.54873646209398</v>
      </c>
      <c r="EI9" s="621">
        <f t="shared" si="420"/>
        <v>276.85920577617338</v>
      </c>
      <c r="EJ9" s="621">
        <f t="shared" si="420"/>
        <v>279.16967509025278</v>
      </c>
      <c r="EK9" s="621">
        <f t="shared" si="420"/>
        <v>281.48014440433218</v>
      </c>
      <c r="EL9" s="621">
        <f t="shared" si="420"/>
        <v>283.79061371841163</v>
      </c>
      <c r="EM9" s="621">
        <f t="shared" si="420"/>
        <v>286.10108303249109</v>
      </c>
      <c r="EN9" s="621">
        <f t="shared" si="420"/>
        <v>288.41155234657049</v>
      </c>
      <c r="EO9" s="621">
        <f t="shared" si="420"/>
        <v>291.37184115523479</v>
      </c>
      <c r="EP9" s="621">
        <f t="shared" si="420"/>
        <v>293.68231046931419</v>
      </c>
      <c r="EQ9" s="621">
        <f t="shared" si="420"/>
        <v>295.99277978339359</v>
      </c>
      <c r="ER9" s="621">
        <f t="shared" si="420"/>
        <v>298.30324909747304</v>
      </c>
      <c r="ES9" s="621">
        <f t="shared" si="420"/>
        <v>300.61371841155244</v>
      </c>
      <c r="ET9" s="621">
        <f t="shared" si="420"/>
        <v>302.9241877256319</v>
      </c>
      <c r="EU9" s="621">
        <f t="shared" si="420"/>
        <v>305.23465703971129</v>
      </c>
      <c r="EV9" s="621">
        <f t="shared" si="420"/>
        <v>307.54512635379069</v>
      </c>
      <c r="EW9" s="621">
        <f t="shared" si="420"/>
        <v>310.50541516245499</v>
      </c>
      <c r="EX9" s="621">
        <f t="shared" si="420"/>
        <v>312.81588447653439</v>
      </c>
      <c r="EY9" s="621">
        <f t="shared" si="420"/>
        <v>315.12635379061385</v>
      </c>
      <c r="EZ9" s="621">
        <f t="shared" si="420"/>
        <v>317.43682310469325</v>
      </c>
      <c r="FA9" s="621">
        <f t="shared" si="420"/>
        <v>319.74729241877264</v>
      </c>
      <c r="FB9" s="621">
        <f t="shared" si="420"/>
        <v>322.0577617328521</v>
      </c>
      <c r="FC9" s="621">
        <f t="shared" si="420"/>
        <v>324.3682310469315</v>
      </c>
      <c r="FD9" s="621">
        <f t="shared" si="420"/>
        <v>326.67870036101095</v>
      </c>
      <c r="FE9" s="621">
        <f t="shared" si="420"/>
        <v>329.6389891696752</v>
      </c>
      <c r="FF9" s="621">
        <f t="shared" si="420"/>
        <v>331.94945848375465</v>
      </c>
      <c r="FG9" s="621">
        <f t="shared" si="420"/>
        <v>334.25992779783405</v>
      </c>
      <c r="FH9" s="621">
        <f t="shared" si="420"/>
        <v>336.57039711191345</v>
      </c>
      <c r="FI9" s="621">
        <f t="shared" si="420"/>
        <v>338.88086642599291</v>
      </c>
      <c r="FJ9" s="621">
        <f t="shared" si="420"/>
        <v>341.1913357400723</v>
      </c>
      <c r="FK9" s="621">
        <f t="shared" si="420"/>
        <v>343.50180505415176</v>
      </c>
      <c r="FL9" s="621">
        <f t="shared" si="420"/>
        <v>345.81227436823121</v>
      </c>
      <c r="FM9" s="621">
        <f t="shared" si="420"/>
        <v>348.77256317689546</v>
      </c>
      <c r="FN9" s="621">
        <f t="shared" si="420"/>
        <v>351.08303249097486</v>
      </c>
      <c r="FO9" s="621">
        <f t="shared" si="420"/>
        <v>353.39350180505426</v>
      </c>
      <c r="FP9" s="621">
        <f t="shared" si="420"/>
        <v>355.70397111913371</v>
      </c>
      <c r="FQ9" s="621">
        <f t="shared" si="420"/>
        <v>358.01444043321311</v>
      </c>
      <c r="FR9" s="621">
        <f t="shared" si="420"/>
        <v>360.32490974729251</v>
      </c>
      <c r="FS9" s="621">
        <f t="shared" si="420"/>
        <v>362.63537906137196</v>
      </c>
      <c r="FT9" s="621">
        <f t="shared" si="420"/>
        <v>364.94584837545142</v>
      </c>
      <c r="FU9" s="621">
        <f t="shared" si="420"/>
        <v>367.90613718411566</v>
      </c>
      <c r="FV9" s="621">
        <f t="shared" si="420"/>
        <v>370.21660649819512</v>
      </c>
      <c r="FW9" s="621">
        <f t="shared" si="420"/>
        <v>372.52707581227452</v>
      </c>
      <c r="FX9" s="621">
        <f t="shared" si="420"/>
        <v>374.83754512635392</v>
      </c>
      <c r="FY9" s="621">
        <f t="shared" si="420"/>
        <v>377.14801444043331</v>
      </c>
      <c r="FZ9" s="621">
        <f t="shared" si="420"/>
        <v>379.45848375451277</v>
      </c>
      <c r="GA9" s="621">
        <f t="shared" si="420"/>
        <v>381.76895306859223</v>
      </c>
      <c r="GB9" s="621">
        <f t="shared" si="420"/>
        <v>384.07942238267168</v>
      </c>
      <c r="GC9" s="621">
        <f t="shared" si="420"/>
        <v>387.03971119133593</v>
      </c>
      <c r="GD9" s="621">
        <f t="shared" si="420"/>
        <v>389.35018050541532</v>
      </c>
      <c r="GE9" s="621">
        <f t="shared" si="420"/>
        <v>391.66064981949472</v>
      </c>
      <c r="GF9" s="621">
        <f t="shared" si="420"/>
        <v>393.97111913357418</v>
      </c>
      <c r="GG9" s="621">
        <f t="shared" si="420"/>
        <v>396.28158844765358</v>
      </c>
      <c r="GH9" s="621">
        <f t="shared" si="420"/>
        <v>398.59205776173297</v>
      </c>
      <c r="GI9" s="621">
        <f t="shared" si="420"/>
        <v>400.90252707581237</v>
      </c>
      <c r="GJ9" s="621">
        <f t="shared" si="420"/>
        <v>403.21299638989188</v>
      </c>
      <c r="GK9" s="621">
        <f t="shared" si="420"/>
        <v>406.17328519855613</v>
      </c>
      <c r="GL9" s="621">
        <f t="shared" si="420"/>
        <v>408.48375451263553</v>
      </c>
      <c r="GM9" s="621">
        <f t="shared" si="420"/>
        <v>410.79422382671498</v>
      </c>
      <c r="GN9" s="621">
        <f t="shared" ref="GN9:IY9" si="421" xml:space="preserve"> GN8 / ( (16+$C$4*$C$7)*(1/$C$3) + $C$5 )</f>
        <v>413.10469314079438</v>
      </c>
      <c r="GO9" s="621">
        <f t="shared" si="421"/>
        <v>415.41516245487378</v>
      </c>
      <c r="GP9" s="621">
        <f t="shared" si="421"/>
        <v>417.72563176895318</v>
      </c>
      <c r="GQ9" s="621">
        <f t="shared" si="421"/>
        <v>420.03610108303269</v>
      </c>
      <c r="GR9" s="621">
        <f t="shared" si="421"/>
        <v>422.34657039711209</v>
      </c>
      <c r="GS9" s="621">
        <f t="shared" si="421"/>
        <v>425.30685920577633</v>
      </c>
      <c r="GT9" s="621">
        <f t="shared" si="421"/>
        <v>427.61732851985579</v>
      </c>
      <c r="GU9" s="621">
        <f t="shared" si="421"/>
        <v>429.92779783393519</v>
      </c>
      <c r="GV9" s="621">
        <f t="shared" si="421"/>
        <v>432.23826714801459</v>
      </c>
      <c r="GW9" s="621">
        <f t="shared" si="421"/>
        <v>434.54873646209404</v>
      </c>
      <c r="GX9" s="621">
        <f t="shared" si="421"/>
        <v>436.85920577617344</v>
      </c>
      <c r="GY9" s="621">
        <f t="shared" si="421"/>
        <v>439.16967509025284</v>
      </c>
      <c r="GZ9" s="621">
        <f t="shared" si="421"/>
        <v>441.48014440433235</v>
      </c>
      <c r="HA9" s="621">
        <f t="shared" si="421"/>
        <v>444.4404332129966</v>
      </c>
      <c r="HB9" s="621">
        <f t="shared" si="421"/>
        <v>446.75090252707599</v>
      </c>
      <c r="HC9" s="621">
        <f t="shared" si="421"/>
        <v>449.06137184115539</v>
      </c>
      <c r="HD9" s="621">
        <f t="shared" si="421"/>
        <v>451.37184115523485</v>
      </c>
      <c r="HE9" s="621">
        <f t="shared" si="421"/>
        <v>453.68231046931425</v>
      </c>
      <c r="HF9" s="621">
        <f t="shared" si="421"/>
        <v>455.99277978339364</v>
      </c>
      <c r="HG9" s="621">
        <f t="shared" si="421"/>
        <v>458.30324909747316</v>
      </c>
      <c r="HH9" s="621">
        <f t="shared" si="421"/>
        <v>460.61371841155255</v>
      </c>
      <c r="HI9" s="621">
        <f t="shared" si="421"/>
        <v>463.5740072202168</v>
      </c>
      <c r="HJ9" s="621">
        <f t="shared" si="421"/>
        <v>465.88447653429625</v>
      </c>
      <c r="HK9" s="621">
        <f t="shared" si="421"/>
        <v>468.19494584837565</v>
      </c>
      <c r="HL9" s="621">
        <f t="shared" si="421"/>
        <v>470.50541516245505</v>
      </c>
      <c r="HM9" s="621">
        <f t="shared" si="421"/>
        <v>472.81588447653445</v>
      </c>
      <c r="HN9" s="621">
        <f t="shared" si="421"/>
        <v>475.1263537906139</v>
      </c>
      <c r="HO9" s="621">
        <f t="shared" si="421"/>
        <v>477.4368231046933</v>
      </c>
      <c r="HP9" s="621">
        <f t="shared" si="421"/>
        <v>479.74729241877276</v>
      </c>
      <c r="HQ9" s="621">
        <f t="shared" si="421"/>
        <v>482.70758122743706</v>
      </c>
      <c r="HR9" s="621">
        <f t="shared" si="421"/>
        <v>485.01805054151646</v>
      </c>
      <c r="HS9" s="621">
        <f t="shared" si="421"/>
        <v>487.32851985559586</v>
      </c>
      <c r="HT9" s="621">
        <f t="shared" si="421"/>
        <v>489.63898916967526</v>
      </c>
      <c r="HU9" s="621">
        <f t="shared" si="421"/>
        <v>491.94945848375471</v>
      </c>
      <c r="HV9" s="621">
        <f t="shared" si="421"/>
        <v>494.25992779783411</v>
      </c>
      <c r="HW9" s="621">
        <f t="shared" si="421"/>
        <v>496.57039711191362</v>
      </c>
      <c r="HX9" s="621">
        <f t="shared" si="421"/>
        <v>498.88086642599302</v>
      </c>
      <c r="HY9" s="621">
        <f t="shared" si="421"/>
        <v>501.84115523465726</v>
      </c>
      <c r="HZ9" s="621">
        <f t="shared" si="421"/>
        <v>504.15162454873666</v>
      </c>
      <c r="IA9" s="621">
        <f t="shared" si="421"/>
        <v>506.46209386281612</v>
      </c>
      <c r="IB9" s="621">
        <f t="shared" si="421"/>
        <v>508.77256317689552</v>
      </c>
      <c r="IC9" s="621">
        <f t="shared" si="421"/>
        <v>511.08303249097492</v>
      </c>
      <c r="ID9" s="621">
        <f t="shared" si="421"/>
        <v>513.39350180505437</v>
      </c>
      <c r="IE9" s="621">
        <f t="shared" si="421"/>
        <v>515.70397111913371</v>
      </c>
      <c r="IF9" s="621">
        <f t="shared" si="421"/>
        <v>518.01444043321317</v>
      </c>
      <c r="IG9" s="621">
        <f t="shared" si="421"/>
        <v>520.97472924187741</v>
      </c>
      <c r="IH9" s="621">
        <f t="shared" si="421"/>
        <v>523.28519855595687</v>
      </c>
      <c r="II9" s="621">
        <f t="shared" si="421"/>
        <v>525.59566787003621</v>
      </c>
      <c r="IJ9" s="621">
        <f t="shared" si="421"/>
        <v>527.90613718411566</v>
      </c>
      <c r="IK9" s="621">
        <f t="shared" si="421"/>
        <v>530.21660649819512</v>
      </c>
      <c r="IL9" s="621">
        <f t="shared" si="421"/>
        <v>532.52707581227446</v>
      </c>
      <c r="IM9" s="621">
        <f t="shared" si="421"/>
        <v>534.83754512635392</v>
      </c>
      <c r="IN9" s="621">
        <f t="shared" si="421"/>
        <v>537.14801444043337</v>
      </c>
      <c r="IO9" s="621">
        <f t="shared" si="421"/>
        <v>540.10830324909762</v>
      </c>
      <c r="IP9" s="621">
        <f t="shared" si="421"/>
        <v>542.41877256317696</v>
      </c>
      <c r="IQ9" s="621">
        <f t="shared" si="421"/>
        <v>544.72924187725641</v>
      </c>
      <c r="IR9" s="621">
        <f t="shared" si="421"/>
        <v>547.03971119133587</v>
      </c>
      <c r="IS9" s="621">
        <f t="shared" si="421"/>
        <v>549.35018050541521</v>
      </c>
      <c r="IT9" s="621">
        <f t="shared" si="421"/>
        <v>551.66064981949467</v>
      </c>
      <c r="IU9" s="621">
        <f t="shared" si="421"/>
        <v>553.97111913357401</v>
      </c>
      <c r="IV9" s="621">
        <f t="shared" si="421"/>
        <v>556.28158844765346</v>
      </c>
      <c r="IW9" s="621">
        <f t="shared" si="421"/>
        <v>559.24187725631771</v>
      </c>
      <c r="IX9" s="621">
        <f t="shared" si="421"/>
        <v>561.55234657039716</v>
      </c>
      <c r="IY9" s="621">
        <f t="shared" si="421"/>
        <v>563.8628158844765</v>
      </c>
      <c r="IZ9" s="621">
        <f t="shared" ref="IZ9:JU9" si="422" xml:space="preserve"> IZ8 / ( (16+$C$4*$C$7)*(1/$C$3) + $C$5 )</f>
        <v>566.17328519855596</v>
      </c>
      <c r="JA9" s="621">
        <f t="shared" si="422"/>
        <v>568.48375451263541</v>
      </c>
      <c r="JB9" s="621">
        <f t="shared" si="422"/>
        <v>570.79422382671476</v>
      </c>
      <c r="JC9" s="621">
        <f t="shared" si="422"/>
        <v>573.10469314079421</v>
      </c>
      <c r="JD9" s="621">
        <f t="shared" si="422"/>
        <v>575.41516245487367</v>
      </c>
      <c r="JE9" s="621">
        <f t="shared" si="422"/>
        <v>578.37545126353791</v>
      </c>
      <c r="JF9" s="621">
        <f t="shared" si="422"/>
        <v>580.68592057761737</v>
      </c>
      <c r="JG9" s="621">
        <f t="shared" si="422"/>
        <v>582.99638989169682</v>
      </c>
      <c r="JH9" s="621">
        <f t="shared" si="422"/>
        <v>585.30685920577616</v>
      </c>
      <c r="JI9" s="621">
        <f t="shared" si="422"/>
        <v>587.61732851985562</v>
      </c>
      <c r="JJ9" s="621">
        <f t="shared" si="422"/>
        <v>589.92779783393507</v>
      </c>
      <c r="JK9" s="621">
        <f t="shared" si="422"/>
        <v>592.23826714801442</v>
      </c>
      <c r="JL9" s="621">
        <f t="shared" si="422"/>
        <v>594.54873646209387</v>
      </c>
      <c r="JM9" s="621">
        <f t="shared" si="422"/>
        <v>597.50902527075812</v>
      </c>
      <c r="JN9" s="621">
        <f t="shared" si="422"/>
        <v>599.81949458483757</v>
      </c>
      <c r="JO9" s="621">
        <f t="shared" si="422"/>
        <v>602.12996389891691</v>
      </c>
      <c r="JP9" s="621">
        <f t="shared" si="422"/>
        <v>604.44043321299637</v>
      </c>
      <c r="JQ9" s="621">
        <f t="shared" si="422"/>
        <v>606.75090252707571</v>
      </c>
      <c r="JR9" s="621">
        <f t="shared" si="422"/>
        <v>609.06137184115516</v>
      </c>
      <c r="JS9" s="621">
        <f t="shared" si="422"/>
        <v>611.37184115523462</v>
      </c>
      <c r="JT9" s="621">
        <f t="shared" si="422"/>
        <v>613.68231046931396</v>
      </c>
      <c r="JU9" s="621">
        <f t="shared" si="422"/>
        <v>616.64259927797821</v>
      </c>
    </row>
    <row r="10" spans="2:281" customFormat="1" x14ac:dyDescent="0.45">
      <c r="F10" s="597"/>
      <c r="G10" s="5"/>
      <c r="H10" s="118"/>
      <c r="I10" s="153"/>
      <c r="J10" s="153"/>
      <c r="K10" s="153"/>
      <c r="N10" s="6"/>
      <c r="S10" s="6"/>
    </row>
    <row r="11" spans="2:281" x14ac:dyDescent="0.45">
      <c r="B11" s="230"/>
      <c r="AG11" s="597"/>
      <c r="AH11" s="597"/>
      <c r="BE11" s="597"/>
      <c r="BF11" s="597"/>
    </row>
    <row r="12" spans="2:281" x14ac:dyDescent="0.45">
      <c r="B12" s="606"/>
      <c r="C12" s="608"/>
      <c r="D12" s="608"/>
      <c r="F12" s="609"/>
      <c r="G12" s="607" t="s">
        <v>1662</v>
      </c>
      <c r="H12" s="610" t="s">
        <v>1090</v>
      </c>
      <c r="I12" s="603">
        <v>1</v>
      </c>
      <c r="J12" s="603">
        <v>2</v>
      </c>
      <c r="K12" s="603">
        <v>3</v>
      </c>
      <c r="L12" s="603">
        <v>4</v>
      </c>
      <c r="M12" s="603">
        <v>5</v>
      </c>
      <c r="N12" s="603">
        <v>6</v>
      </c>
      <c r="O12" s="603">
        <v>7</v>
      </c>
      <c r="P12" s="603">
        <v>8</v>
      </c>
      <c r="Q12" s="603">
        <v>9</v>
      </c>
      <c r="R12" s="603">
        <v>10</v>
      </c>
      <c r="S12" s="603">
        <v>11</v>
      </c>
      <c r="T12" s="603">
        <v>12</v>
      </c>
      <c r="U12" s="603">
        <v>13</v>
      </c>
      <c r="V12" s="603">
        <v>14</v>
      </c>
      <c r="W12" s="603">
        <v>15</v>
      </c>
      <c r="X12" s="603">
        <v>16</v>
      </c>
      <c r="Y12" s="603">
        <v>17</v>
      </c>
      <c r="Z12" s="603">
        <v>18</v>
      </c>
      <c r="AA12" s="603">
        <v>19</v>
      </c>
      <c r="AB12" s="603">
        <v>20</v>
      </c>
      <c r="AC12" s="603">
        <v>21</v>
      </c>
      <c r="AD12" s="603">
        <v>22</v>
      </c>
      <c r="AE12" s="603">
        <v>23</v>
      </c>
      <c r="AF12" s="603">
        <v>24</v>
      </c>
      <c r="AG12" s="603">
        <v>25</v>
      </c>
      <c r="AH12" s="603">
        <v>26</v>
      </c>
      <c r="AI12" s="603">
        <v>27</v>
      </c>
      <c r="AJ12" s="603">
        <v>28</v>
      </c>
      <c r="AK12" s="603">
        <v>29</v>
      </c>
      <c r="AL12" s="603">
        <v>30</v>
      </c>
      <c r="AM12" s="603">
        <v>31</v>
      </c>
      <c r="AN12" s="603">
        <v>32</v>
      </c>
      <c r="AO12" s="603">
        <v>33</v>
      </c>
      <c r="AP12" s="603">
        <v>34</v>
      </c>
      <c r="AQ12" s="603">
        <v>35</v>
      </c>
      <c r="AR12" s="603">
        <v>36</v>
      </c>
      <c r="AS12" s="603">
        <v>37</v>
      </c>
      <c r="AT12" s="603">
        <v>38</v>
      </c>
      <c r="AU12" s="603">
        <v>39</v>
      </c>
      <c r="AV12" s="603">
        <v>40</v>
      </c>
      <c r="AW12" s="603">
        <v>41</v>
      </c>
      <c r="AX12" s="603">
        <v>42</v>
      </c>
      <c r="AY12" s="603">
        <v>43</v>
      </c>
      <c r="AZ12" s="603">
        <v>44</v>
      </c>
      <c r="BA12" s="603">
        <v>45</v>
      </c>
      <c r="BB12" s="603">
        <v>46</v>
      </c>
      <c r="BC12" s="603">
        <v>47</v>
      </c>
      <c r="BD12" s="603">
        <v>48</v>
      </c>
      <c r="BE12" s="603">
        <v>49</v>
      </c>
      <c r="BF12" s="603">
        <v>50</v>
      </c>
      <c r="BG12" s="603">
        <v>51</v>
      </c>
      <c r="BH12" s="603">
        <v>52</v>
      </c>
      <c r="BI12" s="603">
        <v>53</v>
      </c>
      <c r="BJ12" s="603">
        <v>54</v>
      </c>
      <c r="BK12" s="603">
        <v>55</v>
      </c>
      <c r="BL12" s="603">
        <v>56</v>
      </c>
      <c r="BM12" s="603">
        <v>57</v>
      </c>
      <c r="BN12" s="603">
        <v>58</v>
      </c>
      <c r="BO12" s="603">
        <v>59</v>
      </c>
      <c r="BP12" s="603">
        <v>60</v>
      </c>
      <c r="BQ12" s="603">
        <v>61</v>
      </c>
      <c r="BR12" s="603">
        <v>62</v>
      </c>
      <c r="BS12" s="603">
        <v>63</v>
      </c>
      <c r="BT12" s="603">
        <v>64</v>
      </c>
      <c r="BU12" s="603">
        <v>65</v>
      </c>
      <c r="BV12" s="603">
        <v>66</v>
      </c>
      <c r="BW12" s="603">
        <v>67</v>
      </c>
      <c r="BX12" s="603">
        <v>68</v>
      </c>
      <c r="BY12" s="603">
        <v>69</v>
      </c>
      <c r="BZ12" s="603">
        <v>70</v>
      </c>
      <c r="CA12" s="603">
        <v>71</v>
      </c>
      <c r="CB12" s="603">
        <v>72</v>
      </c>
      <c r="CC12" s="603"/>
      <c r="CD12" s="603"/>
      <c r="CE12" s="603"/>
      <c r="CF12" s="603"/>
      <c r="CG12" s="603"/>
      <c r="CH12" s="603"/>
      <c r="CI12" s="603"/>
      <c r="CJ12" s="603"/>
      <c r="CK12" s="603"/>
      <c r="CL12" s="603"/>
      <c r="CM12" s="603"/>
      <c r="CN12" s="603"/>
    </row>
    <row r="13" spans="2:281" x14ac:dyDescent="0.45">
      <c r="B13" s="607" t="s">
        <v>1654</v>
      </c>
      <c r="C13" s="604">
        <v>15</v>
      </c>
      <c r="D13" t="s">
        <v>0</v>
      </c>
      <c r="F13" s="611" t="s">
        <v>1663</v>
      </c>
      <c r="G13" s="2" t="s">
        <v>1645</v>
      </c>
      <c r="H13" s="595" t="s">
        <v>1090</v>
      </c>
      <c r="I13" s="615">
        <v>1</v>
      </c>
      <c r="J13" s="615">
        <v>2</v>
      </c>
      <c r="K13" s="615">
        <v>3</v>
      </c>
      <c r="L13" s="615">
        <v>4</v>
      </c>
      <c r="M13" s="615">
        <v>5</v>
      </c>
      <c r="N13" s="615">
        <v>6</v>
      </c>
      <c r="O13" s="615">
        <v>7</v>
      </c>
      <c r="P13" s="615">
        <v>8</v>
      </c>
      <c r="Q13" s="615">
        <v>9</v>
      </c>
      <c r="R13" s="615">
        <v>10</v>
      </c>
      <c r="S13" s="615">
        <v>11</v>
      </c>
      <c r="T13" s="615">
        <v>12</v>
      </c>
      <c r="U13" s="615">
        <v>13</v>
      </c>
      <c r="V13" s="615">
        <v>14</v>
      </c>
      <c r="W13" s="615">
        <v>15</v>
      </c>
      <c r="X13" s="615">
        <v>16</v>
      </c>
      <c r="Y13" s="615">
        <v>17</v>
      </c>
      <c r="Z13" s="615">
        <v>18</v>
      </c>
      <c r="AA13" s="615">
        <v>19</v>
      </c>
      <c r="AB13" s="615">
        <v>20</v>
      </c>
      <c r="AC13" s="615">
        <v>21</v>
      </c>
      <c r="AD13" s="615">
        <v>22</v>
      </c>
      <c r="AE13" s="615">
        <v>23</v>
      </c>
      <c r="AF13" s="615">
        <v>24</v>
      </c>
      <c r="AG13" s="616">
        <v>1</v>
      </c>
      <c r="AH13" s="616">
        <v>2</v>
      </c>
      <c r="AI13" s="616">
        <v>3</v>
      </c>
      <c r="AJ13" s="616">
        <v>4</v>
      </c>
      <c r="AK13" s="616">
        <v>5</v>
      </c>
      <c r="AL13" s="616">
        <v>6</v>
      </c>
      <c r="AM13" s="616">
        <v>7</v>
      </c>
      <c r="AN13" s="616">
        <v>8</v>
      </c>
      <c r="AO13" s="616">
        <v>9</v>
      </c>
      <c r="AP13" s="616">
        <v>10</v>
      </c>
      <c r="AQ13" s="616">
        <v>11</v>
      </c>
      <c r="AR13" s="616">
        <v>12</v>
      </c>
      <c r="AS13" s="616">
        <v>13</v>
      </c>
      <c r="AT13" s="616">
        <v>14</v>
      </c>
      <c r="AU13" s="616">
        <v>15</v>
      </c>
      <c r="AV13" s="616">
        <v>16</v>
      </c>
      <c r="AW13" s="616">
        <v>17</v>
      </c>
      <c r="AX13" s="616">
        <v>18</v>
      </c>
      <c r="AY13" s="616">
        <v>19</v>
      </c>
      <c r="AZ13" s="616">
        <v>20</v>
      </c>
      <c r="BA13" s="616">
        <v>21</v>
      </c>
      <c r="BB13" s="616">
        <v>22</v>
      </c>
      <c r="BC13" s="616">
        <v>23</v>
      </c>
      <c r="BD13" s="616">
        <v>24</v>
      </c>
      <c r="BE13" s="615">
        <v>1</v>
      </c>
      <c r="BF13" s="615">
        <v>2</v>
      </c>
      <c r="BG13" s="615">
        <v>3</v>
      </c>
      <c r="BH13" s="615">
        <v>4</v>
      </c>
      <c r="BI13" s="615">
        <v>5</v>
      </c>
      <c r="BJ13" s="615">
        <v>6</v>
      </c>
      <c r="BK13" s="615">
        <v>7</v>
      </c>
      <c r="BL13" s="615">
        <v>8</v>
      </c>
      <c r="BM13" s="615">
        <v>9</v>
      </c>
      <c r="BN13" s="615">
        <v>10</v>
      </c>
      <c r="BO13" s="615">
        <v>11</v>
      </c>
      <c r="BP13" s="615">
        <v>12</v>
      </c>
      <c r="BQ13" s="615">
        <v>13</v>
      </c>
      <c r="BR13" s="615">
        <v>14</v>
      </c>
      <c r="BS13" s="615">
        <v>15</v>
      </c>
      <c r="BT13" s="615">
        <v>16</v>
      </c>
      <c r="BU13" s="615">
        <v>17</v>
      </c>
      <c r="BV13" s="615">
        <v>18</v>
      </c>
      <c r="BW13" s="615">
        <v>19</v>
      </c>
      <c r="BX13" s="615">
        <v>20</v>
      </c>
      <c r="BY13" s="615">
        <v>21</v>
      </c>
      <c r="BZ13" s="615">
        <v>22</v>
      </c>
      <c r="CA13" s="615">
        <v>23</v>
      </c>
      <c r="CB13" s="615">
        <v>24</v>
      </c>
    </row>
    <row r="14" spans="2:281" x14ac:dyDescent="0.45">
      <c r="B14" s="607" t="s">
        <v>1657</v>
      </c>
      <c r="C14" s="604">
        <v>16</v>
      </c>
      <c r="D14" t="s">
        <v>26</v>
      </c>
      <c r="F14" s="612" t="s">
        <v>1661</v>
      </c>
      <c r="G14" s="600" t="s">
        <v>1660</v>
      </c>
      <c r="H14" s="614" t="s">
        <v>1</v>
      </c>
      <c r="I14" s="597">
        <f>$C$15 + (16+$C$14*$C$17*(I13)) * (1/$C$13)</f>
        <v>27.966666666666669</v>
      </c>
      <c r="J14" s="597">
        <f>I14 + ($C$14*$C$17*(J13-I13))*(1/$C$13)</f>
        <v>53.56666666666667</v>
      </c>
      <c r="K14" s="597">
        <f t="shared" ref="K14:AE14" si="423">J14 + ($C$14*$C$17*(K13-J13))*(1/$C$13)</f>
        <v>79.166666666666671</v>
      </c>
      <c r="L14" s="597">
        <f t="shared" si="423"/>
        <v>104.76666666666668</v>
      </c>
      <c r="M14" s="597">
        <f t="shared" si="423"/>
        <v>130.36666666666667</v>
      </c>
      <c r="N14" s="597">
        <f t="shared" si="423"/>
        <v>155.96666666666667</v>
      </c>
      <c r="O14" s="597">
        <f t="shared" si="423"/>
        <v>181.56666666666666</v>
      </c>
      <c r="P14" s="597">
        <f t="shared" si="423"/>
        <v>207.16666666666666</v>
      </c>
      <c r="Q14" s="597">
        <f t="shared" si="423"/>
        <v>232.76666666666665</v>
      </c>
      <c r="R14" s="597">
        <f t="shared" si="423"/>
        <v>258.36666666666667</v>
      </c>
      <c r="S14" s="597">
        <f t="shared" si="423"/>
        <v>283.9666666666667</v>
      </c>
      <c r="T14" s="597">
        <f t="shared" si="423"/>
        <v>309.56666666666672</v>
      </c>
      <c r="U14" s="597">
        <f t="shared" si="423"/>
        <v>335.16666666666674</v>
      </c>
      <c r="V14" s="597">
        <f t="shared" si="423"/>
        <v>360.76666666666677</v>
      </c>
      <c r="W14" s="597">
        <f t="shared" si="423"/>
        <v>386.36666666666679</v>
      </c>
      <c r="X14" s="597">
        <f t="shared" si="423"/>
        <v>411.96666666666681</v>
      </c>
      <c r="Y14" s="597">
        <f t="shared" si="423"/>
        <v>437.56666666666683</v>
      </c>
      <c r="Z14" s="597">
        <f t="shared" si="423"/>
        <v>463.16666666666686</v>
      </c>
      <c r="AA14" s="597">
        <f t="shared" si="423"/>
        <v>488.76666666666688</v>
      </c>
      <c r="AB14" s="597">
        <f t="shared" si="423"/>
        <v>514.3666666666669</v>
      </c>
      <c r="AC14" s="597">
        <f t="shared" si="423"/>
        <v>539.96666666666692</v>
      </c>
      <c r="AD14" s="597">
        <f t="shared" si="423"/>
        <v>565.56666666666695</v>
      </c>
      <c r="AE14" s="597">
        <f t="shared" si="423"/>
        <v>591.16666666666697</v>
      </c>
      <c r="AF14" s="597">
        <f>AE14 + ($C$14*$C$17*(AF13-AE13))*(1/$C$13)</f>
        <v>616.76666666666699</v>
      </c>
      <c r="AG14" s="597">
        <f xml:space="preserve"> AF14 + (C15+C16) + (16+$C$14*$C$17*(AG13))*(1/$C$13)</f>
        <v>727.73333333333358</v>
      </c>
      <c r="AH14" s="597">
        <f xml:space="preserve"> AG14 + ($C$4*$C$7*(AH13-AG13))*(1/$C$3)</f>
        <v>728.62222222222249</v>
      </c>
      <c r="AI14" s="597">
        <f xml:space="preserve"> AH14 + ($C$14*$C$17*(AI13-AH13))*(1/$C$13)</f>
        <v>754.22222222222251</v>
      </c>
      <c r="AJ14" s="597">
        <f t="shared" ref="AJ14:BC14" si="424" xml:space="preserve"> AI14 + ($C$14*$C$17*(AJ13-AI13))*(1/$C$13)</f>
        <v>779.82222222222254</v>
      </c>
      <c r="AK14" s="597">
        <f t="shared" si="424"/>
        <v>805.42222222222256</v>
      </c>
      <c r="AL14" s="597">
        <f t="shared" si="424"/>
        <v>831.02222222222258</v>
      </c>
      <c r="AM14" s="597">
        <f t="shared" si="424"/>
        <v>856.6222222222226</v>
      </c>
      <c r="AN14" s="597">
        <f t="shared" si="424"/>
        <v>882.22222222222263</v>
      </c>
      <c r="AO14" s="597">
        <f t="shared" si="424"/>
        <v>907.82222222222265</v>
      </c>
      <c r="AP14" s="597">
        <f t="shared" si="424"/>
        <v>933.42222222222267</v>
      </c>
      <c r="AQ14" s="597">
        <f t="shared" si="424"/>
        <v>959.02222222222269</v>
      </c>
      <c r="AR14" s="597">
        <f t="shared" si="424"/>
        <v>984.62222222222272</v>
      </c>
      <c r="AS14" s="597">
        <f t="shared" si="424"/>
        <v>1010.2222222222227</v>
      </c>
      <c r="AT14" s="597">
        <f t="shared" si="424"/>
        <v>1035.8222222222228</v>
      </c>
      <c r="AU14" s="597">
        <f t="shared" si="424"/>
        <v>1061.4222222222227</v>
      </c>
      <c r="AV14" s="597">
        <f t="shared" si="424"/>
        <v>1087.0222222222226</v>
      </c>
      <c r="AW14" s="597">
        <f t="shared" si="424"/>
        <v>1112.6222222222225</v>
      </c>
      <c r="AX14" s="597">
        <f t="shared" si="424"/>
        <v>1138.2222222222224</v>
      </c>
      <c r="AY14" s="597">
        <f t="shared" si="424"/>
        <v>1163.8222222222223</v>
      </c>
      <c r="AZ14" s="597">
        <f t="shared" si="424"/>
        <v>1189.4222222222222</v>
      </c>
      <c r="BA14" s="597">
        <f t="shared" si="424"/>
        <v>1215.0222222222221</v>
      </c>
      <c r="BB14" s="597">
        <f t="shared" si="424"/>
        <v>1240.622222222222</v>
      </c>
      <c r="BC14" s="597">
        <f t="shared" si="424"/>
        <v>1266.2222222222219</v>
      </c>
      <c r="BD14" s="597">
        <f xml:space="preserve"> BC14 + ($C$14*$C$17*(BD13-BC13))*(1/$C$13)</f>
        <v>1291.8222222222219</v>
      </c>
      <c r="BE14" s="597">
        <f xml:space="preserve"> BD14 + (C15+C16) + (16+$C$14*$C$17*(BE13))*(1/$C$13)</f>
        <v>1402.7888888888886</v>
      </c>
      <c r="BF14" s="597">
        <f xml:space="preserve"> BE14 + ($C$14*$C$17*(BF13-BE13))*(1/$C$13)</f>
        <v>1428.3888888888885</v>
      </c>
      <c r="BG14" s="597">
        <f t="shared" ref="BG14:CB14" si="425" xml:space="preserve"> BF14 + ($C$14*$C$17*(BG13-BF13))*(1/$C$13)</f>
        <v>1453.9888888888884</v>
      </c>
      <c r="BH14" s="597">
        <f t="shared" si="425"/>
        <v>1479.5888888888883</v>
      </c>
      <c r="BI14" s="597">
        <f t="shared" si="425"/>
        <v>1505.1888888888882</v>
      </c>
      <c r="BJ14" s="597">
        <f t="shared" si="425"/>
        <v>1530.7888888888881</v>
      </c>
      <c r="BK14" s="597">
        <f t="shared" si="425"/>
        <v>1556.388888888888</v>
      </c>
      <c r="BL14" s="597">
        <f t="shared" si="425"/>
        <v>1581.9888888888879</v>
      </c>
      <c r="BM14" s="597">
        <f t="shared" si="425"/>
        <v>1607.5888888888878</v>
      </c>
      <c r="BN14" s="597">
        <f t="shared" si="425"/>
        <v>1633.1888888888877</v>
      </c>
      <c r="BO14" s="597">
        <f t="shared" si="425"/>
        <v>1658.7888888888876</v>
      </c>
      <c r="BP14" s="597">
        <f t="shared" si="425"/>
        <v>1684.3888888888875</v>
      </c>
      <c r="BQ14" s="597">
        <f t="shared" si="425"/>
        <v>1709.9888888888875</v>
      </c>
      <c r="BR14" s="597">
        <f t="shared" si="425"/>
        <v>1735.5888888888874</v>
      </c>
      <c r="BS14" s="597">
        <f t="shared" si="425"/>
        <v>1761.1888888888873</v>
      </c>
      <c r="BT14" s="597">
        <f t="shared" si="425"/>
        <v>1786.7888888888872</v>
      </c>
      <c r="BU14" s="597">
        <f t="shared" si="425"/>
        <v>1812.3888888888871</v>
      </c>
      <c r="BV14" s="597">
        <f t="shared" si="425"/>
        <v>1837.988888888887</v>
      </c>
      <c r="BW14" s="597">
        <f t="shared" si="425"/>
        <v>1863.5888888888869</v>
      </c>
      <c r="BX14" s="597">
        <f t="shared" si="425"/>
        <v>1889.1888888888868</v>
      </c>
      <c r="BY14" s="597">
        <f t="shared" si="425"/>
        <v>1914.7888888888867</v>
      </c>
      <c r="BZ14" s="597">
        <f t="shared" si="425"/>
        <v>1940.3888888888866</v>
      </c>
      <c r="CA14" s="597">
        <f t="shared" si="425"/>
        <v>1965.9888888888865</v>
      </c>
      <c r="CB14" s="597">
        <f t="shared" si="425"/>
        <v>1991.5888888888865</v>
      </c>
      <c r="CC14" s="597"/>
      <c r="CD14" s="597"/>
      <c r="CE14" s="597"/>
      <c r="CF14" s="597"/>
      <c r="CG14" s="597"/>
      <c r="CH14" s="597"/>
      <c r="CI14" s="597"/>
      <c r="CJ14" s="597"/>
      <c r="CK14" s="597"/>
      <c r="CL14" s="597"/>
      <c r="CM14" s="597"/>
      <c r="CN14" s="597"/>
    </row>
    <row r="15" spans="2:281" x14ac:dyDescent="0.45">
      <c r="B15" s="607" t="s">
        <v>1656</v>
      </c>
      <c r="C15" s="604">
        <v>1.3</v>
      </c>
      <c r="D15" t="s">
        <v>1</v>
      </c>
      <c r="F15" s="611" t="s">
        <v>1664</v>
      </c>
      <c r="G15" s="2" t="s">
        <v>1651</v>
      </c>
      <c r="H15" s="595" t="s">
        <v>1090</v>
      </c>
      <c r="I15" s="1"/>
      <c r="U15" s="617">
        <v>1</v>
      </c>
      <c r="V15" s="617">
        <v>2</v>
      </c>
      <c r="W15" s="617">
        <v>3</v>
      </c>
      <c r="X15" s="617">
        <v>4</v>
      </c>
      <c r="Y15" s="617">
        <v>5</v>
      </c>
      <c r="Z15" s="617">
        <v>6</v>
      </c>
      <c r="AA15" s="617">
        <v>7</v>
      </c>
      <c r="AB15" s="617">
        <v>8</v>
      </c>
      <c r="AC15" s="617">
        <v>9</v>
      </c>
      <c r="AD15" s="617">
        <v>10</v>
      </c>
      <c r="AE15" s="617">
        <v>11</v>
      </c>
      <c r="AF15" s="617">
        <v>12</v>
      </c>
      <c r="AG15" s="617">
        <v>13</v>
      </c>
      <c r="AH15" s="617">
        <v>14</v>
      </c>
      <c r="AI15" s="617">
        <v>15</v>
      </c>
      <c r="AJ15" s="617">
        <v>16</v>
      </c>
      <c r="AK15" s="617">
        <v>17</v>
      </c>
      <c r="AL15" s="617">
        <v>18</v>
      </c>
      <c r="AM15" s="617">
        <v>19</v>
      </c>
      <c r="AN15" s="617">
        <v>20</v>
      </c>
      <c r="AO15" s="617">
        <v>21</v>
      </c>
      <c r="AP15" s="617">
        <v>22</v>
      </c>
      <c r="AQ15" s="617">
        <v>23</v>
      </c>
      <c r="AR15" s="617">
        <v>24</v>
      </c>
      <c r="AS15" s="617">
        <v>25</v>
      </c>
      <c r="AT15" s="617">
        <v>26</v>
      </c>
      <c r="AU15" s="617">
        <v>27</v>
      </c>
      <c r="AV15" s="617">
        <v>28</v>
      </c>
      <c r="AW15" s="617">
        <v>29</v>
      </c>
      <c r="AX15" s="617">
        <v>30</v>
      </c>
      <c r="AY15" s="617">
        <v>31</v>
      </c>
      <c r="AZ15" s="617">
        <v>32</v>
      </c>
      <c r="BA15" s="617">
        <v>33</v>
      </c>
      <c r="BB15" s="617">
        <v>34</v>
      </c>
      <c r="BC15" s="617">
        <v>35</v>
      </c>
      <c r="BD15" s="617">
        <v>36</v>
      </c>
      <c r="BE15" s="617">
        <v>37</v>
      </c>
      <c r="BF15" s="617">
        <v>38</v>
      </c>
      <c r="BG15" s="617">
        <v>39</v>
      </c>
      <c r="BH15" s="617">
        <v>40</v>
      </c>
      <c r="BI15" s="617">
        <v>41</v>
      </c>
      <c r="BJ15" s="617">
        <v>42</v>
      </c>
      <c r="BK15" s="617">
        <v>43</v>
      </c>
      <c r="BL15" s="617">
        <v>44</v>
      </c>
      <c r="BM15" s="617">
        <v>45</v>
      </c>
      <c r="BN15" s="617">
        <v>46</v>
      </c>
      <c r="BO15" s="617">
        <v>47</v>
      </c>
      <c r="BP15" s="617">
        <v>48</v>
      </c>
      <c r="BQ15" s="617">
        <v>49</v>
      </c>
      <c r="BR15" s="617">
        <v>50</v>
      </c>
      <c r="BS15" s="617">
        <v>51</v>
      </c>
      <c r="BT15" s="617">
        <v>52</v>
      </c>
      <c r="BU15" s="617">
        <v>53</v>
      </c>
      <c r="BV15" s="617">
        <v>54</v>
      </c>
      <c r="BW15" s="617">
        <v>55</v>
      </c>
      <c r="BX15" s="617">
        <v>56</v>
      </c>
      <c r="BY15" s="617">
        <v>57</v>
      </c>
      <c r="BZ15" s="617">
        <v>58</v>
      </c>
      <c r="CA15" s="617">
        <v>59</v>
      </c>
      <c r="CB15" s="617">
        <v>60</v>
      </c>
      <c r="CC15" s="617">
        <v>61</v>
      </c>
      <c r="CD15" s="617">
        <v>62</v>
      </c>
      <c r="CE15" s="617">
        <v>63</v>
      </c>
      <c r="CF15" s="617">
        <v>64</v>
      </c>
      <c r="CG15" s="617">
        <v>65</v>
      </c>
      <c r="CH15" s="617">
        <v>66</v>
      </c>
      <c r="CI15" s="617">
        <v>67</v>
      </c>
      <c r="CJ15" s="617">
        <v>68</v>
      </c>
      <c r="CK15" s="617">
        <v>69</v>
      </c>
      <c r="CL15" s="617">
        <v>70</v>
      </c>
      <c r="CM15" s="617">
        <v>71</v>
      </c>
      <c r="CN15" s="617">
        <v>72</v>
      </c>
    </row>
    <row r="16" spans="2:281" x14ac:dyDescent="0.45">
      <c r="B16" s="607" t="s">
        <v>1658</v>
      </c>
      <c r="C16" s="604">
        <f>1.7+80+C15</f>
        <v>83</v>
      </c>
      <c r="D16" t="s">
        <v>1</v>
      </c>
      <c r="F16" s="611"/>
      <c r="G16" s="600" t="s">
        <v>1660</v>
      </c>
      <c r="H16" s="614" t="s">
        <v>1</v>
      </c>
      <c r="I16" s="1"/>
      <c r="U16" s="597">
        <f xml:space="preserve"> $T$14 + (4*ROUNDUP(U15/$C$18,0)+($C$14)*U15) /$C$19</f>
        <v>351.56666666666672</v>
      </c>
      <c r="V16" s="597">
        <f t="shared" ref="V16:CG16" si="426" xml:space="preserve"> $T$14 + (4*ROUNDUP(V15/$C$18,0)+($C$14)*V15) /$C$19</f>
        <v>385.16666666666674</v>
      </c>
      <c r="W16" s="597">
        <f t="shared" si="426"/>
        <v>418.76666666666671</v>
      </c>
      <c r="X16" s="597">
        <f t="shared" si="426"/>
        <v>452.36666666666673</v>
      </c>
      <c r="Y16" s="597">
        <f t="shared" si="426"/>
        <v>485.9666666666667</v>
      </c>
      <c r="Z16" s="597">
        <f t="shared" si="426"/>
        <v>519.56666666666672</v>
      </c>
      <c r="AA16" s="597">
        <f t="shared" si="426"/>
        <v>553.16666666666674</v>
      </c>
      <c r="AB16" s="597">
        <f t="shared" si="426"/>
        <v>586.76666666666665</v>
      </c>
      <c r="AC16" s="597">
        <f t="shared" si="426"/>
        <v>620.36666666666679</v>
      </c>
      <c r="AD16" s="597">
        <f t="shared" si="426"/>
        <v>653.9666666666667</v>
      </c>
      <c r="AE16" s="597">
        <f t="shared" si="426"/>
        <v>687.56666666666672</v>
      </c>
      <c r="AF16" s="597">
        <f t="shared" si="426"/>
        <v>721.16666666666674</v>
      </c>
      <c r="AG16" s="597">
        <f t="shared" si="426"/>
        <v>763.16666666666674</v>
      </c>
      <c r="AH16" s="597">
        <f t="shared" si="426"/>
        <v>796.76666666666677</v>
      </c>
      <c r="AI16" s="597">
        <f t="shared" si="426"/>
        <v>830.36666666666679</v>
      </c>
      <c r="AJ16" s="597">
        <f t="shared" si="426"/>
        <v>863.9666666666667</v>
      </c>
      <c r="AK16" s="597">
        <f t="shared" si="426"/>
        <v>897.56666666666672</v>
      </c>
      <c r="AL16" s="597">
        <f t="shared" si="426"/>
        <v>931.16666666666674</v>
      </c>
      <c r="AM16" s="597">
        <f t="shared" si="426"/>
        <v>964.76666666666677</v>
      </c>
      <c r="AN16" s="597">
        <f t="shared" si="426"/>
        <v>998.36666666666679</v>
      </c>
      <c r="AO16" s="597">
        <f t="shared" si="426"/>
        <v>1031.9666666666667</v>
      </c>
      <c r="AP16" s="597">
        <f t="shared" si="426"/>
        <v>1065.5666666666666</v>
      </c>
      <c r="AQ16" s="597">
        <f t="shared" si="426"/>
        <v>1099.1666666666667</v>
      </c>
      <c r="AR16" s="597">
        <f t="shared" si="426"/>
        <v>1132.7666666666669</v>
      </c>
      <c r="AS16" s="597">
        <f t="shared" si="426"/>
        <v>1174.7666666666669</v>
      </c>
      <c r="AT16" s="597">
        <f t="shared" si="426"/>
        <v>1208.3666666666668</v>
      </c>
      <c r="AU16" s="597">
        <f t="shared" si="426"/>
        <v>1241.9666666666667</v>
      </c>
      <c r="AV16" s="597">
        <f t="shared" si="426"/>
        <v>1275.5666666666666</v>
      </c>
      <c r="AW16" s="597">
        <f t="shared" si="426"/>
        <v>1309.1666666666667</v>
      </c>
      <c r="AX16" s="597">
        <f t="shared" si="426"/>
        <v>1342.7666666666669</v>
      </c>
      <c r="AY16" s="597">
        <f t="shared" si="426"/>
        <v>1376.3666666666668</v>
      </c>
      <c r="AZ16" s="597">
        <f t="shared" si="426"/>
        <v>1409.9666666666667</v>
      </c>
      <c r="BA16" s="597">
        <f t="shared" si="426"/>
        <v>1443.5666666666666</v>
      </c>
      <c r="BB16" s="597">
        <f t="shared" si="426"/>
        <v>1477.166666666667</v>
      </c>
      <c r="BC16" s="597">
        <f t="shared" si="426"/>
        <v>1510.7666666666669</v>
      </c>
      <c r="BD16" s="597">
        <f t="shared" si="426"/>
        <v>1544.3666666666668</v>
      </c>
      <c r="BE16" s="597">
        <f t="shared" si="426"/>
        <v>1586.3666666666668</v>
      </c>
      <c r="BF16" s="597">
        <f t="shared" si="426"/>
        <v>1619.9666666666667</v>
      </c>
      <c r="BG16" s="597">
        <f t="shared" si="426"/>
        <v>1653.5666666666666</v>
      </c>
      <c r="BH16" s="597">
        <f t="shared" si="426"/>
        <v>1687.166666666667</v>
      </c>
      <c r="BI16" s="597">
        <f t="shared" si="426"/>
        <v>1720.7666666666669</v>
      </c>
      <c r="BJ16" s="597">
        <f t="shared" si="426"/>
        <v>1754.3666666666668</v>
      </c>
      <c r="BK16" s="597">
        <f t="shared" si="426"/>
        <v>1787.9666666666667</v>
      </c>
      <c r="BL16" s="597">
        <f t="shared" si="426"/>
        <v>1821.5666666666666</v>
      </c>
      <c r="BM16" s="597">
        <f t="shared" si="426"/>
        <v>1855.166666666667</v>
      </c>
      <c r="BN16" s="597">
        <f t="shared" si="426"/>
        <v>1888.7666666666669</v>
      </c>
      <c r="BO16" s="597">
        <f t="shared" si="426"/>
        <v>1922.3666666666668</v>
      </c>
      <c r="BP16" s="597">
        <f t="shared" si="426"/>
        <v>1955.9666666666667</v>
      </c>
      <c r="BQ16" s="597">
        <f t="shared" si="426"/>
        <v>1997.9666666666667</v>
      </c>
      <c r="BR16" s="597">
        <f t="shared" si="426"/>
        <v>2031.5666666666666</v>
      </c>
      <c r="BS16" s="597">
        <f t="shared" si="426"/>
        <v>2065.166666666667</v>
      </c>
      <c r="BT16" s="597">
        <f t="shared" si="426"/>
        <v>2098.7666666666669</v>
      </c>
      <c r="BU16" s="597">
        <f t="shared" si="426"/>
        <v>2132.3666666666668</v>
      </c>
      <c r="BV16" s="597">
        <f t="shared" si="426"/>
        <v>2165.9666666666667</v>
      </c>
      <c r="BW16" s="597">
        <f t="shared" si="426"/>
        <v>2199.5666666666666</v>
      </c>
      <c r="BX16" s="597">
        <f t="shared" si="426"/>
        <v>2233.166666666667</v>
      </c>
      <c r="BY16" s="597">
        <f t="shared" si="426"/>
        <v>2266.7666666666669</v>
      </c>
      <c r="BZ16" s="597">
        <f t="shared" si="426"/>
        <v>2300.3666666666668</v>
      </c>
      <c r="CA16" s="597">
        <f t="shared" si="426"/>
        <v>2333.9666666666667</v>
      </c>
      <c r="CB16" s="597">
        <f t="shared" si="426"/>
        <v>2367.5666666666666</v>
      </c>
      <c r="CC16" s="597">
        <f t="shared" si="426"/>
        <v>2409.5666666666666</v>
      </c>
      <c r="CD16" s="597">
        <f t="shared" si="426"/>
        <v>2443.1666666666665</v>
      </c>
      <c r="CE16" s="597">
        <f t="shared" si="426"/>
        <v>2476.7666666666669</v>
      </c>
      <c r="CF16" s="597">
        <f t="shared" si="426"/>
        <v>2510.3666666666668</v>
      </c>
      <c r="CG16" s="597">
        <f t="shared" si="426"/>
        <v>2543.9666666666667</v>
      </c>
      <c r="CH16" s="597">
        <f t="shared" ref="CH16:CM16" si="427" xml:space="preserve"> $T$14 + (4*ROUNDUP(CH15/$C$18,0)+($C$14)*CH15) /$C$19</f>
        <v>2577.5666666666666</v>
      </c>
      <c r="CI16" s="597">
        <f t="shared" si="427"/>
        <v>2611.1666666666665</v>
      </c>
      <c r="CJ16" s="597">
        <f t="shared" si="427"/>
        <v>2644.7666666666669</v>
      </c>
      <c r="CK16" s="597">
        <f t="shared" si="427"/>
        <v>2678.3666666666668</v>
      </c>
      <c r="CL16" s="597">
        <f t="shared" si="427"/>
        <v>2711.9666666666667</v>
      </c>
      <c r="CM16" s="597">
        <f t="shared" si="427"/>
        <v>2745.5666666666666</v>
      </c>
      <c r="CN16" s="597">
        <f xml:space="preserve"> $T$14 + (4*ROUNDUP(CN15/$C$18,0)+($C$14)*CN15) /$C$19</f>
        <v>2779.166666666667</v>
      </c>
    </row>
    <row r="17" spans="2:92" x14ac:dyDescent="0.45">
      <c r="B17" s="607" t="s">
        <v>1655</v>
      </c>
      <c r="C17" s="604">
        <v>24</v>
      </c>
      <c r="D17" t="s">
        <v>5</v>
      </c>
      <c r="F17" s="611" t="s">
        <v>1666</v>
      </c>
      <c r="G17" s="619">
        <v>12</v>
      </c>
      <c r="H17" s="614" t="s">
        <v>5</v>
      </c>
    </row>
    <row r="18" spans="2:92" x14ac:dyDescent="0.45">
      <c r="B18" s="607" t="s">
        <v>1659</v>
      </c>
      <c r="C18" s="604">
        <v>12</v>
      </c>
      <c r="D18" t="s">
        <v>5</v>
      </c>
      <c r="F18" s="611" t="s">
        <v>1650</v>
      </c>
      <c r="G18" s="596" t="s">
        <v>1652</v>
      </c>
      <c r="H18" s="595" t="s">
        <v>1</v>
      </c>
      <c r="I18" s="598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>
        <f t="shared" ref="U18:AZ18" si="428">U16-I14</f>
        <v>323.60000000000002</v>
      </c>
      <c r="V18" s="599">
        <f t="shared" si="428"/>
        <v>331.60000000000008</v>
      </c>
      <c r="W18" s="599">
        <f t="shared" si="428"/>
        <v>339.6</v>
      </c>
      <c r="X18" s="599">
        <f t="shared" si="428"/>
        <v>347.6</v>
      </c>
      <c r="Y18" s="599">
        <f t="shared" si="428"/>
        <v>355.6</v>
      </c>
      <c r="Z18" s="599">
        <f t="shared" si="428"/>
        <v>363.6</v>
      </c>
      <c r="AA18" s="599">
        <f t="shared" si="428"/>
        <v>371.60000000000008</v>
      </c>
      <c r="AB18" s="599">
        <f t="shared" si="428"/>
        <v>379.6</v>
      </c>
      <c r="AC18" s="599">
        <f t="shared" si="428"/>
        <v>387.60000000000014</v>
      </c>
      <c r="AD18" s="599">
        <f t="shared" si="428"/>
        <v>395.6</v>
      </c>
      <c r="AE18" s="599">
        <f t="shared" si="428"/>
        <v>403.6</v>
      </c>
      <c r="AF18" s="599">
        <f t="shared" si="428"/>
        <v>411.6</v>
      </c>
      <c r="AG18" s="599">
        <f t="shared" si="428"/>
        <v>428</v>
      </c>
      <c r="AH18" s="599">
        <f t="shared" si="428"/>
        <v>436</v>
      </c>
      <c r="AI18" s="599">
        <f t="shared" si="428"/>
        <v>444</v>
      </c>
      <c r="AJ18" s="599">
        <f t="shared" si="428"/>
        <v>451.99999999999989</v>
      </c>
      <c r="AK18" s="599">
        <f t="shared" si="428"/>
        <v>459.99999999999989</v>
      </c>
      <c r="AL18" s="599">
        <f t="shared" si="428"/>
        <v>467.99999999999989</v>
      </c>
      <c r="AM18" s="599">
        <f t="shared" si="428"/>
        <v>475.99999999999989</v>
      </c>
      <c r="AN18" s="599">
        <f t="shared" si="428"/>
        <v>483.99999999999989</v>
      </c>
      <c r="AO18" s="599">
        <f t="shared" si="428"/>
        <v>491.99999999999977</v>
      </c>
      <c r="AP18" s="599">
        <f t="shared" si="428"/>
        <v>499.99999999999966</v>
      </c>
      <c r="AQ18" s="599">
        <f t="shared" si="428"/>
        <v>507.99999999999977</v>
      </c>
      <c r="AR18" s="599">
        <f t="shared" si="428"/>
        <v>515.99999999999989</v>
      </c>
      <c r="AS18" s="599">
        <f t="shared" si="428"/>
        <v>447.0333333333333</v>
      </c>
      <c r="AT18" s="599">
        <f t="shared" si="428"/>
        <v>479.7444444444443</v>
      </c>
      <c r="AU18" s="599">
        <f t="shared" si="428"/>
        <v>487.74444444444418</v>
      </c>
      <c r="AV18" s="599">
        <f t="shared" si="428"/>
        <v>495.74444444444407</v>
      </c>
      <c r="AW18" s="599">
        <f t="shared" si="428"/>
        <v>503.74444444444418</v>
      </c>
      <c r="AX18" s="599">
        <f t="shared" si="428"/>
        <v>511.7444444444443</v>
      </c>
      <c r="AY18" s="599">
        <f t="shared" si="428"/>
        <v>519.74444444444418</v>
      </c>
      <c r="AZ18" s="599">
        <f t="shared" si="428"/>
        <v>527.74444444444407</v>
      </c>
      <c r="BA18" s="599">
        <f t="shared" ref="BA18:CF18" si="429">BA16-AO14</f>
        <v>535.74444444444396</v>
      </c>
      <c r="BB18" s="599">
        <f t="shared" si="429"/>
        <v>543.7444444444443</v>
      </c>
      <c r="BC18" s="599">
        <f t="shared" si="429"/>
        <v>551.74444444444418</v>
      </c>
      <c r="BD18" s="599">
        <f t="shared" si="429"/>
        <v>559.74444444444407</v>
      </c>
      <c r="BE18" s="599">
        <f t="shared" si="429"/>
        <v>576.14444444444405</v>
      </c>
      <c r="BF18" s="599">
        <f t="shared" si="429"/>
        <v>584.14444444444393</v>
      </c>
      <c r="BG18" s="599">
        <f t="shared" si="429"/>
        <v>592.14444444444393</v>
      </c>
      <c r="BH18" s="599">
        <f t="shared" si="429"/>
        <v>600.14444444444439</v>
      </c>
      <c r="BI18" s="599">
        <f t="shared" si="429"/>
        <v>608.14444444444439</v>
      </c>
      <c r="BJ18" s="599">
        <f t="shared" si="429"/>
        <v>616.14444444444439</v>
      </c>
      <c r="BK18" s="599">
        <f t="shared" si="429"/>
        <v>624.14444444444439</v>
      </c>
      <c r="BL18" s="599">
        <f t="shared" si="429"/>
        <v>632.14444444444439</v>
      </c>
      <c r="BM18" s="599">
        <f t="shared" si="429"/>
        <v>640.14444444444484</v>
      </c>
      <c r="BN18" s="599">
        <f t="shared" si="429"/>
        <v>648.14444444444484</v>
      </c>
      <c r="BO18" s="599">
        <f t="shared" si="429"/>
        <v>656.14444444444484</v>
      </c>
      <c r="BP18" s="599">
        <f t="shared" si="429"/>
        <v>664.14444444444484</v>
      </c>
      <c r="BQ18" s="599">
        <f t="shared" si="429"/>
        <v>595.17777777777815</v>
      </c>
      <c r="BR18" s="599">
        <f t="shared" si="429"/>
        <v>603.17777777777815</v>
      </c>
      <c r="BS18" s="599">
        <f t="shared" si="429"/>
        <v>611.1777777777786</v>
      </c>
      <c r="BT18" s="599">
        <f t="shared" si="429"/>
        <v>619.1777777777786</v>
      </c>
      <c r="BU18" s="599">
        <f t="shared" si="429"/>
        <v>627.1777777777786</v>
      </c>
      <c r="BV18" s="599">
        <f t="shared" si="429"/>
        <v>635.1777777777786</v>
      </c>
      <c r="BW18" s="599">
        <f t="shared" si="429"/>
        <v>643.1777777777786</v>
      </c>
      <c r="BX18" s="599">
        <f t="shared" si="429"/>
        <v>651.17777777777906</v>
      </c>
      <c r="BY18" s="599">
        <f t="shared" si="429"/>
        <v>659.17777777777906</v>
      </c>
      <c r="BZ18" s="599">
        <f t="shared" si="429"/>
        <v>667.17777777777906</v>
      </c>
      <c r="CA18" s="599">
        <f t="shared" si="429"/>
        <v>675.17777777777906</v>
      </c>
      <c r="CB18" s="599">
        <f t="shared" si="429"/>
        <v>683.17777777777906</v>
      </c>
      <c r="CC18" s="599">
        <f t="shared" si="429"/>
        <v>699.57777777777915</v>
      </c>
      <c r="CD18" s="599">
        <f t="shared" si="429"/>
        <v>707.57777777777915</v>
      </c>
      <c r="CE18" s="599">
        <f t="shared" si="429"/>
        <v>715.5777777777796</v>
      </c>
      <c r="CF18" s="599">
        <f t="shared" si="429"/>
        <v>723.5777777777796</v>
      </c>
      <c r="CG18" s="599">
        <f t="shared" ref="CG18:CN18" si="430">CG16-BU14</f>
        <v>731.5777777777796</v>
      </c>
      <c r="CH18" s="599">
        <f t="shared" si="430"/>
        <v>739.5777777777796</v>
      </c>
      <c r="CI18" s="599">
        <f t="shared" si="430"/>
        <v>747.5777777777796</v>
      </c>
      <c r="CJ18" s="599">
        <f t="shared" si="430"/>
        <v>755.57777777778006</v>
      </c>
      <c r="CK18" s="599">
        <f t="shared" si="430"/>
        <v>763.57777777778006</v>
      </c>
      <c r="CL18" s="599">
        <f t="shared" si="430"/>
        <v>771.57777777778006</v>
      </c>
      <c r="CM18" s="599">
        <f t="shared" si="430"/>
        <v>779.57777777778006</v>
      </c>
      <c r="CN18" s="599">
        <f t="shared" si="430"/>
        <v>787.57777777778051</v>
      </c>
    </row>
    <row r="19" spans="2:92" x14ac:dyDescent="0.45">
      <c r="B19" s="607" t="s">
        <v>1647</v>
      </c>
      <c r="C19" s="605">
        <f>1/2.1</f>
        <v>0.47619047619047616</v>
      </c>
      <c r="D19" t="s">
        <v>10</v>
      </c>
      <c r="F19" s="613"/>
      <c r="G19" s="2" t="s">
        <v>1653</v>
      </c>
      <c r="H19" s="595" t="s">
        <v>5</v>
      </c>
      <c r="I19" s="601"/>
      <c r="J19" s="599"/>
      <c r="K19" s="599"/>
      <c r="L19" s="599"/>
      <c r="M19" s="599"/>
      <c r="N19" s="599"/>
      <c r="O19" s="599"/>
      <c r="P19" s="599"/>
      <c r="Q19" s="599"/>
      <c r="R19" s="599"/>
      <c r="S19" s="599"/>
      <c r="T19" s="599"/>
      <c r="U19" s="602">
        <f xml:space="preserve"> U18 / ( (16+$C$14*$C$17)*(1/$C$13) + $C$15 )</f>
        <v>11.570917759237187</v>
      </c>
      <c r="V19" s="602">
        <f t="shared" ref="V19:CG19" si="431" xml:space="preserve"> V18 / ( (16+$C$14*$C$17)*(1/$C$13) + $C$15 )</f>
        <v>11.856972586412398</v>
      </c>
      <c r="W19" s="602">
        <f t="shared" si="431"/>
        <v>12.143027413587605</v>
      </c>
      <c r="X19" s="602">
        <f t="shared" si="431"/>
        <v>12.429082240762813</v>
      </c>
      <c r="Y19" s="602">
        <f t="shared" si="431"/>
        <v>12.715137067938022</v>
      </c>
      <c r="Z19" s="602">
        <f t="shared" si="431"/>
        <v>13.00119189511323</v>
      </c>
      <c r="AA19" s="602">
        <f xml:space="preserve"> AA18 / ( (16+$C$14*$C$17)*(1/$C$13) + $C$15 )</f>
        <v>13.28724672228844</v>
      </c>
      <c r="AB19" s="602">
        <f t="shared" si="431"/>
        <v>13.573301549463647</v>
      </c>
      <c r="AC19" s="602">
        <f t="shared" si="431"/>
        <v>13.859356376638861</v>
      </c>
      <c r="AD19" s="602">
        <f t="shared" si="431"/>
        <v>14.145411203814064</v>
      </c>
      <c r="AE19" s="602">
        <f t="shared" si="431"/>
        <v>14.431466030989272</v>
      </c>
      <c r="AF19" s="602">
        <f t="shared" si="431"/>
        <v>14.717520858164482</v>
      </c>
      <c r="AG19" s="602">
        <f t="shared" si="431"/>
        <v>15.303933253873659</v>
      </c>
      <c r="AH19" s="602">
        <f t="shared" si="431"/>
        <v>15.589988081048867</v>
      </c>
      <c r="AI19" s="602">
        <f t="shared" si="431"/>
        <v>15.876042908224075</v>
      </c>
      <c r="AJ19" s="602">
        <f t="shared" si="431"/>
        <v>16.162097735399279</v>
      </c>
      <c r="AK19" s="602">
        <f t="shared" si="431"/>
        <v>16.448152562574489</v>
      </c>
      <c r="AL19" s="602">
        <f t="shared" si="431"/>
        <v>16.734207389749695</v>
      </c>
      <c r="AM19" s="602">
        <f t="shared" si="431"/>
        <v>17.020262216924905</v>
      </c>
      <c r="AN19" s="602">
        <f t="shared" si="431"/>
        <v>17.306317044100116</v>
      </c>
      <c r="AO19" s="602">
        <f t="shared" si="431"/>
        <v>17.592371871275319</v>
      </c>
      <c r="AP19" s="602">
        <f t="shared" si="431"/>
        <v>17.878426698450522</v>
      </c>
      <c r="AQ19" s="602">
        <f t="shared" si="431"/>
        <v>18.164481525625735</v>
      </c>
      <c r="AR19" s="602">
        <f t="shared" si="431"/>
        <v>18.450536352800949</v>
      </c>
      <c r="AS19" s="602">
        <f t="shared" si="431"/>
        <v>15.984505363528008</v>
      </c>
      <c r="AT19" s="602">
        <f t="shared" si="431"/>
        <v>17.154151767977744</v>
      </c>
      <c r="AU19" s="602">
        <f t="shared" si="431"/>
        <v>17.440206595152951</v>
      </c>
      <c r="AV19" s="602">
        <f t="shared" si="431"/>
        <v>17.726261422328154</v>
      </c>
      <c r="AW19" s="602">
        <f t="shared" si="431"/>
        <v>18.012316249503368</v>
      </c>
      <c r="AX19" s="602">
        <f t="shared" si="431"/>
        <v>18.298371076678578</v>
      </c>
      <c r="AY19" s="602">
        <f t="shared" si="431"/>
        <v>18.584425903853784</v>
      </c>
      <c r="AZ19" s="602">
        <f t="shared" si="431"/>
        <v>18.870480731028987</v>
      </c>
      <c r="BA19" s="602">
        <f t="shared" si="431"/>
        <v>19.156535558204194</v>
      </c>
      <c r="BB19" s="602">
        <f t="shared" si="431"/>
        <v>19.442590385379415</v>
      </c>
      <c r="BC19" s="602">
        <f t="shared" si="431"/>
        <v>19.728645212554618</v>
      </c>
      <c r="BD19" s="602">
        <f t="shared" si="431"/>
        <v>20.014700039729821</v>
      </c>
      <c r="BE19" s="602">
        <f t="shared" si="431"/>
        <v>20.601112435438999</v>
      </c>
      <c r="BF19" s="602">
        <f t="shared" si="431"/>
        <v>20.887167262614202</v>
      </c>
      <c r="BG19" s="602">
        <f t="shared" si="431"/>
        <v>21.173222089789412</v>
      </c>
      <c r="BH19" s="602">
        <f t="shared" si="431"/>
        <v>21.459276916964637</v>
      </c>
      <c r="BI19" s="602">
        <f t="shared" si="431"/>
        <v>21.745331744139847</v>
      </c>
      <c r="BJ19" s="602">
        <f t="shared" si="431"/>
        <v>22.031386571315053</v>
      </c>
      <c r="BK19" s="602">
        <f t="shared" si="431"/>
        <v>22.317441398490264</v>
      </c>
      <c r="BL19" s="602">
        <f t="shared" si="431"/>
        <v>22.60349622566547</v>
      </c>
      <c r="BM19" s="602">
        <f t="shared" si="431"/>
        <v>22.889551052840694</v>
      </c>
      <c r="BN19" s="602">
        <f t="shared" si="431"/>
        <v>23.175605880015905</v>
      </c>
      <c r="BO19" s="602">
        <f t="shared" si="431"/>
        <v>23.461660707191115</v>
      </c>
      <c r="BP19" s="602">
        <f xml:space="preserve"> BP18 / ( (16+$C$14*$C$17)*(1/$C$13) + $C$15 )</f>
        <v>23.747715534366321</v>
      </c>
      <c r="BQ19" s="602">
        <f xml:space="preserve"> BQ18 / ( (16+$C$14*$C$17)*(1/$C$13) + $C$15 )</f>
        <v>21.281684545093377</v>
      </c>
      <c r="BR19" s="602">
        <f xml:space="preserve"> BR18 / ( (16+$C$14*$C$17)*(1/$C$13) + $C$15 )</f>
        <v>21.567739372268587</v>
      </c>
      <c r="BS19" s="602">
        <f t="shared" si="431"/>
        <v>21.853794199443811</v>
      </c>
      <c r="BT19" s="602">
        <f t="shared" si="431"/>
        <v>22.139849026619018</v>
      </c>
      <c r="BU19" s="602">
        <f t="shared" si="431"/>
        <v>22.425903853794228</v>
      </c>
      <c r="BV19" s="602">
        <f t="shared" si="431"/>
        <v>22.711958680969435</v>
      </c>
      <c r="BW19" s="602">
        <f t="shared" si="431"/>
        <v>22.998013508144645</v>
      </c>
      <c r="BX19" s="602">
        <f t="shared" si="431"/>
        <v>23.284068335319869</v>
      </c>
      <c r="BY19" s="602">
        <f t="shared" si="431"/>
        <v>23.570123162495079</v>
      </c>
      <c r="BZ19" s="602">
        <f t="shared" si="431"/>
        <v>23.856177989670286</v>
      </c>
      <c r="CA19" s="602">
        <f t="shared" si="431"/>
        <v>24.142232816845496</v>
      </c>
      <c r="CB19" s="602">
        <f t="shared" si="431"/>
        <v>24.428287644020703</v>
      </c>
      <c r="CC19" s="602">
        <f t="shared" si="431"/>
        <v>25.014700039729885</v>
      </c>
      <c r="CD19" s="602">
        <f t="shared" si="431"/>
        <v>25.300754866905091</v>
      </c>
      <c r="CE19" s="602">
        <f t="shared" si="431"/>
        <v>25.586809694080319</v>
      </c>
      <c r="CF19" s="602">
        <f t="shared" si="431"/>
        <v>25.872864521255526</v>
      </c>
      <c r="CG19" s="602">
        <f t="shared" si="431"/>
        <v>26.158919348430736</v>
      </c>
      <c r="CH19" s="602">
        <f t="shared" ref="CH19:CN19" si="432" xml:space="preserve"> CH18 / ( (16+$C$14*$C$17)*(1/$C$13) + $C$15 )</f>
        <v>26.444974175605942</v>
      </c>
      <c r="CI19" s="602">
        <f t="shared" si="432"/>
        <v>26.731029002781153</v>
      </c>
      <c r="CJ19" s="602">
        <f t="shared" si="432"/>
        <v>27.017083829956377</v>
      </c>
      <c r="CK19" s="602">
        <f t="shared" si="432"/>
        <v>27.303138657131587</v>
      </c>
      <c r="CL19" s="602">
        <f t="shared" si="432"/>
        <v>27.589193484306794</v>
      </c>
      <c r="CM19" s="602">
        <f t="shared" si="432"/>
        <v>27.875248311482004</v>
      </c>
      <c r="CN19" s="602">
        <f t="shared" si="432"/>
        <v>28.161303138657228</v>
      </c>
    </row>
    <row r="21" spans="2:92" x14ac:dyDescent="0.45">
      <c r="U21" s="597"/>
      <c r="V21" s="597"/>
      <c r="W21" s="597"/>
      <c r="X21" s="597"/>
      <c r="Y21" s="597"/>
      <c r="Z21" s="597"/>
      <c r="AA21" s="597"/>
      <c r="AB21" s="597"/>
      <c r="AC21" s="597"/>
      <c r="AD21" s="597"/>
      <c r="AE21" s="597"/>
      <c r="AF21" s="597"/>
      <c r="AG21" s="597"/>
      <c r="AH21" s="597"/>
      <c r="AI21" s="597"/>
      <c r="AJ21" s="597"/>
      <c r="AK21" s="597"/>
      <c r="AL21" s="597"/>
      <c r="AM21" s="597"/>
      <c r="AN21" s="597"/>
      <c r="AO21" s="597"/>
      <c r="AP21" s="597"/>
      <c r="AQ21" s="597"/>
      <c r="AR21" s="597"/>
      <c r="AS21" s="597"/>
      <c r="AT21" s="597"/>
      <c r="AU21" s="597"/>
      <c r="AV21" s="597"/>
      <c r="AW21" s="597"/>
      <c r="AX21" s="597"/>
      <c r="AY21" s="597"/>
      <c r="AZ21" s="597"/>
      <c r="BA21" s="597"/>
      <c r="BB21" s="597"/>
      <c r="BC21" s="597"/>
      <c r="BD21" s="597"/>
      <c r="BE21" s="597"/>
      <c r="BF21" s="597"/>
      <c r="BG21" s="597"/>
      <c r="BH21" s="597"/>
      <c r="BI21" s="597"/>
      <c r="BJ21" s="597"/>
      <c r="BK21" s="597"/>
      <c r="BL21" s="597"/>
      <c r="BM21" s="597"/>
      <c r="BN21" s="597"/>
      <c r="BO21" s="597"/>
      <c r="BP21" s="597"/>
      <c r="BQ21" s="597"/>
      <c r="BR21" s="597"/>
      <c r="BS21" s="597"/>
      <c r="BT21" s="597"/>
      <c r="BU21" s="597"/>
      <c r="BV21" s="597"/>
      <c r="BW21" s="597"/>
      <c r="BX21" s="597"/>
      <c r="BY21" s="597"/>
      <c r="BZ21" s="597"/>
      <c r="CA21" s="597"/>
      <c r="CB21" s="597"/>
      <c r="CC21" s="597"/>
      <c r="CD21" s="597"/>
      <c r="CE21" s="597"/>
      <c r="CF21" s="597"/>
      <c r="CG21" s="597"/>
      <c r="CH21" s="597"/>
      <c r="CI21" s="597"/>
      <c r="CJ21" s="597"/>
      <c r="CK21" s="597"/>
      <c r="CL21" s="597"/>
      <c r="CM21" s="597"/>
      <c r="CN21" s="597"/>
    </row>
    <row r="22" spans="2:92" x14ac:dyDescent="0.45">
      <c r="B22" s="2"/>
      <c r="C22" s="231"/>
      <c r="D22" s="224"/>
      <c r="F22" s="224"/>
      <c r="G22" s="224"/>
      <c r="H22" s="224"/>
      <c r="I22" s="224"/>
    </row>
    <row r="23" spans="2:92" x14ac:dyDescent="0.45">
      <c r="B23" s="2" t="s">
        <v>1643</v>
      </c>
      <c r="C23" s="13">
        <v>2</v>
      </c>
      <c r="D23" s="5" t="s">
        <v>0</v>
      </c>
      <c r="F23" s="13"/>
      <c r="G23" s="13"/>
      <c r="H23" s="13"/>
      <c r="I23" s="13"/>
    </row>
    <row r="24" spans="2:92" x14ac:dyDescent="0.45">
      <c r="B24" s="2"/>
      <c r="C24" s="13">
        <f>1/C23</f>
        <v>0.5</v>
      </c>
      <c r="D24" s="5" t="s">
        <v>1</v>
      </c>
      <c r="F24" s="13"/>
      <c r="G24" s="13"/>
      <c r="H24" s="13"/>
      <c r="I24" s="13"/>
    </row>
    <row r="25" spans="2:92" x14ac:dyDescent="0.45">
      <c r="B25" s="2" t="s">
        <v>1665</v>
      </c>
      <c r="C25" s="13">
        <v>720</v>
      </c>
      <c r="D25" s="5" t="s">
        <v>5</v>
      </c>
      <c r="F25" s="13"/>
      <c r="G25" s="13"/>
      <c r="H25" s="13"/>
      <c r="I25" s="13"/>
    </row>
    <row r="26" spans="2:92" x14ac:dyDescent="0.45">
      <c r="B26" s="2" t="s">
        <v>1644</v>
      </c>
      <c r="C26" s="13">
        <v>1</v>
      </c>
      <c r="D26" s="5" t="s">
        <v>1645</v>
      </c>
      <c r="G26" s="13">
        <f>(C25/C26+1)*14*C24+2</f>
        <v>5049</v>
      </c>
      <c r="H26" s="13"/>
      <c r="I26" s="13"/>
    </row>
    <row r="27" spans="2:92" x14ac:dyDescent="0.45">
      <c r="B27" s="2" t="s">
        <v>1646</v>
      </c>
      <c r="C27" s="231">
        <v>15</v>
      </c>
      <c r="D27" s="224" t="s">
        <v>0</v>
      </c>
      <c r="F27" s="231"/>
      <c r="G27" s="231">
        <v>72</v>
      </c>
      <c r="H27" s="231" t="s">
        <v>5</v>
      </c>
      <c r="I27" s="231"/>
    </row>
    <row r="28" spans="2:92" x14ac:dyDescent="0.45">
      <c r="B28" s="2"/>
      <c r="C28" s="585">
        <f>1/C27</f>
        <v>6.6666666666666666E-2</v>
      </c>
      <c r="D28" s="224" t="s">
        <v>1</v>
      </c>
      <c r="F28" s="586"/>
      <c r="G28" s="586">
        <f xml:space="preserve"> ((16+16*24*24)*$C$28 + 2)*3 + 100*2</f>
        <v>2052.4</v>
      </c>
      <c r="H28" s="586" t="s">
        <v>1</v>
      </c>
      <c r="I28" s="586"/>
      <c r="Q28" s="153">
        <f>16/2</f>
        <v>8</v>
      </c>
    </row>
    <row r="29" spans="2:92" x14ac:dyDescent="0.45">
      <c r="B29" s="2" t="s">
        <v>1088</v>
      </c>
      <c r="C29" s="13">
        <v>10</v>
      </c>
      <c r="D29" s="5" t="s">
        <v>0</v>
      </c>
      <c r="F29" s="587"/>
      <c r="G29" s="587">
        <f>G31-G28</f>
        <v>64.399999999999636</v>
      </c>
      <c r="H29" s="587"/>
      <c r="I29" s="587"/>
      <c r="J29" s="587"/>
      <c r="K29" s="587"/>
      <c r="L29" s="587"/>
      <c r="Q29" s="153">
        <f>Q28*0.333333333333</f>
        <v>2.6666666666640002</v>
      </c>
      <c r="R29" s="153">
        <f>Q28*0.666666666666</f>
        <v>5.3333333333280004</v>
      </c>
    </row>
    <row r="30" spans="2:92" x14ac:dyDescent="0.45">
      <c r="B30" s="2"/>
      <c r="C30" s="13">
        <f>1/C29</f>
        <v>0.1</v>
      </c>
      <c r="D30" s="5" t="s">
        <v>1</v>
      </c>
      <c r="F30" s="587"/>
      <c r="G30" s="587"/>
      <c r="H30" s="587"/>
      <c r="I30" s="587"/>
      <c r="Q30" s="153">
        <v>2</v>
      </c>
      <c r="R30" s="153">
        <v>6</v>
      </c>
    </row>
    <row r="31" spans="2:92" x14ac:dyDescent="0.45">
      <c r="B31" s="2" t="s">
        <v>1647</v>
      </c>
      <c r="C31" s="573">
        <f>1/(C30*(C32+D32))</f>
        <v>0.55555555555555558</v>
      </c>
      <c r="D31" s="228" t="s">
        <v>10</v>
      </c>
      <c r="F31" s="589"/>
      <c r="G31" s="589">
        <f xml:space="preserve"> ((4+16*12)*6)*(1/C31)</f>
        <v>2116.7999999999997</v>
      </c>
      <c r="H31" s="589" t="s">
        <v>1</v>
      </c>
      <c r="I31" s="589"/>
    </row>
    <row r="32" spans="2:92" x14ac:dyDescent="0.45">
      <c r="B32" s="2" t="s">
        <v>1648</v>
      </c>
      <c r="C32" s="573">
        <v>6</v>
      </c>
      <c r="D32" s="573">
        <f>C32*2</f>
        <v>12</v>
      </c>
      <c r="F32" s="590">
        <f>C40*C42/C30</f>
        <v>6.1001260042027425</v>
      </c>
      <c r="G32" s="590">
        <f>C40*D42/C30</f>
        <v>12.200252008405485</v>
      </c>
      <c r="H32" s="573"/>
      <c r="I32" s="573"/>
    </row>
    <row r="33" spans="2:9" x14ac:dyDescent="0.45">
      <c r="B33" s="2" t="s">
        <v>1</v>
      </c>
      <c r="C33" s="13">
        <f>$C$30*C32</f>
        <v>0.60000000000000009</v>
      </c>
      <c r="D33" s="13">
        <f>$C$30*D32</f>
        <v>1.2000000000000002</v>
      </c>
      <c r="F33" s="587">
        <f>C33+D33</f>
        <v>1.8000000000000003</v>
      </c>
      <c r="G33" s="587"/>
      <c r="H33" s="13"/>
      <c r="I33" s="13"/>
    </row>
    <row r="34" spans="2:9" x14ac:dyDescent="0.45">
      <c r="B34" s="2" t="s">
        <v>1649</v>
      </c>
      <c r="C34" s="231"/>
      <c r="D34" s="224"/>
      <c r="F34" s="585"/>
      <c r="G34" s="585"/>
      <c r="H34" s="585"/>
      <c r="I34" s="585"/>
    </row>
    <row r="35" spans="2:9" x14ac:dyDescent="0.45">
      <c r="B35" s="2"/>
      <c r="C35" s="2"/>
      <c r="D35" s="224"/>
      <c r="F35" s="591"/>
      <c r="G35" s="591"/>
      <c r="H35" s="591"/>
      <c r="I35" s="591"/>
    </row>
    <row r="36" spans="2:9" x14ac:dyDescent="0.45">
      <c r="B36" s="2" t="s">
        <v>1232</v>
      </c>
      <c r="C36" s="2">
        <v>120</v>
      </c>
      <c r="D36" s="224" t="s">
        <v>4</v>
      </c>
      <c r="F36" s="592"/>
      <c r="G36" s="592"/>
      <c r="H36" s="592"/>
      <c r="I36" s="592"/>
    </row>
    <row r="37" spans="2:9" x14ac:dyDescent="0.45">
      <c r="B37" s="2"/>
      <c r="C37" s="2"/>
      <c r="D37" s="2"/>
      <c r="F37" s="2"/>
      <c r="G37" s="2"/>
      <c r="H37" s="2"/>
      <c r="I37" s="2"/>
    </row>
    <row r="38" spans="2:9" x14ac:dyDescent="0.45">
      <c r="B38" s="2"/>
      <c r="C38" s="2"/>
      <c r="D38" s="2"/>
      <c r="F38" s="2"/>
      <c r="G38" s="2"/>
      <c r="H38" s="2"/>
      <c r="I38" s="2"/>
    </row>
    <row r="39" spans="2:9" x14ac:dyDescent="0.45">
      <c r="B39" s="2" t="s">
        <v>24</v>
      </c>
      <c r="C39" s="13">
        <v>39.3434496</v>
      </c>
      <c r="D39" s="5" t="s">
        <v>0</v>
      </c>
      <c r="F39" s="13"/>
      <c r="G39" s="13"/>
      <c r="H39" s="13"/>
      <c r="I39" s="13"/>
    </row>
    <row r="40" spans="2:9" x14ac:dyDescent="0.45">
      <c r="B40" s="2"/>
      <c r="C40" s="583">
        <f>1/C39</f>
        <v>2.5417191684178095E-2</v>
      </c>
      <c r="D40" s="5" t="s">
        <v>1</v>
      </c>
      <c r="F40" s="13"/>
      <c r="G40" s="13"/>
      <c r="H40" s="13"/>
      <c r="I40" s="13"/>
    </row>
    <row r="41" spans="2:9" x14ac:dyDescent="0.45">
      <c r="B41" s="2" t="s">
        <v>1647</v>
      </c>
      <c r="C41" s="583">
        <f>1/(C40*(C42+D42))</f>
        <v>0.54643679999999994</v>
      </c>
      <c r="D41" s="5" t="s">
        <v>10</v>
      </c>
      <c r="F41" s="13"/>
      <c r="G41" s="13"/>
      <c r="H41" s="13"/>
      <c r="I41" s="13"/>
    </row>
    <row r="42" spans="2:9" x14ac:dyDescent="0.45">
      <c r="B42" s="2" t="s">
        <v>1648</v>
      </c>
      <c r="C42" s="13">
        <v>24</v>
      </c>
      <c r="D42" s="13">
        <f>C42*2</f>
        <v>48</v>
      </c>
      <c r="F42" s="618">
        <f>C30*C32/C40</f>
        <v>23.606069760000004</v>
      </c>
      <c r="G42" s="618">
        <f>C30*D32/C40</f>
        <v>47.212139520000008</v>
      </c>
      <c r="H42" s="13"/>
      <c r="I42" s="13"/>
    </row>
    <row r="43" spans="2:9" x14ac:dyDescent="0.45">
      <c r="B43" s="2" t="s">
        <v>1</v>
      </c>
      <c r="C43" s="13">
        <f>$C$40*C42</f>
        <v>0.61001260042027428</v>
      </c>
      <c r="D43" s="13">
        <f>$C$40*D42</f>
        <v>1.2200252008405486</v>
      </c>
      <c r="F43" s="593">
        <f>C43+D43</f>
        <v>1.8300378012608229</v>
      </c>
      <c r="G43" s="593"/>
      <c r="H43" s="13"/>
      <c r="I43" s="13"/>
    </row>
    <row r="44" spans="2:9" x14ac:dyDescent="0.45">
      <c r="B44" s="2"/>
      <c r="C44" s="2"/>
      <c r="D44" s="2"/>
      <c r="F44" s="2"/>
      <c r="G44" s="2"/>
      <c r="H44" s="2"/>
      <c r="I44" s="2"/>
    </row>
  </sheetData>
  <phoneticPr fontId="2" type="noConversion"/>
  <pageMargins left="0.7" right="0.7" top="0.75" bottom="0.75" header="0.3" footer="0.3"/>
  <ignoredErrors>
    <ignoredError sqref="BE4 BE1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4E16-77FD-4AE5-9F83-DEEE9E170A29}">
  <dimension ref="B1:CN44"/>
  <sheetViews>
    <sheetView showGridLines="0" zoomScale="85" zoomScaleNormal="85" workbookViewId="0">
      <pane xSplit="4" topLeftCell="BE1" activePane="topRight" state="frozen"/>
      <selection pane="topRight" activeCell="BZ19" sqref="BZ19:CN19"/>
    </sheetView>
  </sheetViews>
  <sheetFormatPr defaultColWidth="8.83203125" defaultRowHeight="17" x14ac:dyDescent="0.45"/>
  <cols>
    <col min="1" max="1" width="8.83203125" style="1" customWidth="1"/>
    <col min="2" max="2" width="13.4140625" style="1" bestFit="1" customWidth="1"/>
    <col min="3" max="3" width="6.4140625" style="1" bestFit="1" customWidth="1"/>
    <col min="4" max="4" width="5.83203125" bestFit="1" customWidth="1"/>
    <col min="5" max="5" width="1.58203125" customWidth="1"/>
    <col min="6" max="6" width="20.08203125" style="1" bestFit="1" customWidth="1"/>
    <col min="7" max="7" width="9.9140625" style="5" bestFit="1" customWidth="1"/>
    <col min="8" max="8" width="3.08203125" style="1" bestFit="1" customWidth="1"/>
    <col min="9" max="11" width="3.33203125" style="153" bestFit="1" customWidth="1"/>
    <col min="12" max="20" width="4.1640625" style="153" bestFit="1" customWidth="1"/>
    <col min="21" max="40" width="4.5" style="153" bestFit="1" customWidth="1"/>
    <col min="41" max="92" width="5.33203125" style="153" bestFit="1" customWidth="1"/>
    <col min="93" max="16384" width="8.83203125" style="1"/>
  </cols>
  <sheetData>
    <row r="1" spans="2:92" x14ac:dyDescent="0.45">
      <c r="B1" s="230"/>
      <c r="AG1" s="597"/>
      <c r="AH1" s="597"/>
      <c r="BE1" s="597"/>
      <c r="BF1" s="597"/>
    </row>
    <row r="2" spans="2:92" x14ac:dyDescent="0.45">
      <c r="B2" s="606"/>
      <c r="C2" s="608"/>
      <c r="D2" s="608"/>
      <c r="F2" s="609"/>
      <c r="G2" s="607" t="s">
        <v>1662</v>
      </c>
      <c r="H2" s="610" t="s">
        <v>1090</v>
      </c>
      <c r="I2" s="603">
        <v>1</v>
      </c>
      <c r="J2" s="603">
        <v>2</v>
      </c>
      <c r="K2" s="603">
        <v>3</v>
      </c>
      <c r="L2" s="603">
        <v>4</v>
      </c>
      <c r="M2" s="603">
        <v>5</v>
      </c>
      <c r="N2" s="603">
        <v>6</v>
      </c>
      <c r="O2" s="603">
        <v>7</v>
      </c>
      <c r="P2" s="603">
        <v>8</v>
      </c>
      <c r="Q2" s="603">
        <v>9</v>
      </c>
      <c r="R2" s="603">
        <v>10</v>
      </c>
      <c r="S2" s="603">
        <v>11</v>
      </c>
      <c r="T2" s="603">
        <v>12</v>
      </c>
      <c r="U2" s="603">
        <v>13</v>
      </c>
      <c r="V2" s="603">
        <v>14</v>
      </c>
      <c r="W2" s="603">
        <v>15</v>
      </c>
      <c r="X2" s="603">
        <v>16</v>
      </c>
      <c r="Y2" s="603">
        <v>17</v>
      </c>
      <c r="Z2" s="603">
        <v>18</v>
      </c>
      <c r="AA2" s="603">
        <v>19</v>
      </c>
      <c r="AB2" s="603">
        <v>20</v>
      </c>
      <c r="AC2" s="603">
        <v>21</v>
      </c>
      <c r="AD2" s="603">
        <v>22</v>
      </c>
      <c r="AE2" s="603">
        <v>23</v>
      </c>
      <c r="AF2" s="603">
        <v>24</v>
      </c>
      <c r="AG2" s="603">
        <v>25</v>
      </c>
      <c r="AH2" s="603">
        <v>26</v>
      </c>
      <c r="AI2" s="603">
        <v>27</v>
      </c>
      <c r="AJ2" s="603">
        <v>28</v>
      </c>
      <c r="AK2" s="603">
        <v>29</v>
      </c>
      <c r="AL2" s="603">
        <v>30</v>
      </c>
      <c r="AM2" s="603">
        <v>31</v>
      </c>
      <c r="AN2" s="603">
        <v>32</v>
      </c>
      <c r="AO2" s="603">
        <v>33</v>
      </c>
      <c r="AP2" s="603">
        <v>34</v>
      </c>
      <c r="AQ2" s="603">
        <v>35</v>
      </c>
      <c r="AR2" s="603">
        <v>36</v>
      </c>
      <c r="AS2" s="603">
        <v>37</v>
      </c>
      <c r="AT2" s="603">
        <v>38</v>
      </c>
      <c r="AU2" s="603">
        <v>39</v>
      </c>
      <c r="AV2" s="603">
        <v>40</v>
      </c>
      <c r="AW2" s="603">
        <v>41</v>
      </c>
      <c r="AX2" s="603">
        <v>42</v>
      </c>
      <c r="AY2" s="603">
        <v>43</v>
      </c>
      <c r="AZ2" s="603">
        <v>44</v>
      </c>
      <c r="BA2" s="603">
        <v>45</v>
      </c>
      <c r="BB2" s="603">
        <v>46</v>
      </c>
      <c r="BC2" s="603">
        <v>47</v>
      </c>
      <c r="BD2" s="603">
        <v>48</v>
      </c>
      <c r="BE2" s="603">
        <v>49</v>
      </c>
      <c r="BF2" s="603">
        <v>50</v>
      </c>
      <c r="BG2" s="603">
        <v>51</v>
      </c>
      <c r="BH2" s="603">
        <v>52</v>
      </c>
      <c r="BI2" s="603">
        <v>53</v>
      </c>
      <c r="BJ2" s="603">
        <v>54</v>
      </c>
      <c r="BK2" s="603">
        <v>55</v>
      </c>
      <c r="BL2" s="603">
        <v>56</v>
      </c>
      <c r="BM2" s="603">
        <v>57</v>
      </c>
      <c r="BN2" s="603">
        <v>58</v>
      </c>
      <c r="BO2" s="603">
        <v>59</v>
      </c>
      <c r="BP2" s="603">
        <v>60</v>
      </c>
      <c r="BQ2" s="603">
        <v>61</v>
      </c>
      <c r="BR2" s="603">
        <v>62</v>
      </c>
      <c r="BS2" s="603">
        <v>63</v>
      </c>
      <c r="BT2" s="603">
        <v>64</v>
      </c>
      <c r="BU2" s="603">
        <v>65</v>
      </c>
      <c r="BV2" s="603">
        <v>66</v>
      </c>
      <c r="BW2" s="603">
        <v>67</v>
      </c>
      <c r="BX2" s="603">
        <v>68</v>
      </c>
      <c r="BY2" s="603">
        <v>69</v>
      </c>
      <c r="BZ2" s="603">
        <v>70</v>
      </c>
      <c r="CA2" s="603">
        <v>71</v>
      </c>
      <c r="CB2" s="603">
        <v>72</v>
      </c>
      <c r="CC2" s="603"/>
      <c r="CD2" s="603"/>
      <c r="CE2" s="603"/>
      <c r="CF2" s="603"/>
      <c r="CG2" s="603"/>
      <c r="CH2" s="603"/>
      <c r="CI2" s="603"/>
      <c r="CJ2" s="603"/>
      <c r="CK2" s="603"/>
      <c r="CL2" s="603"/>
      <c r="CM2" s="603"/>
      <c r="CN2" s="603"/>
    </row>
    <row r="3" spans="2:92" x14ac:dyDescent="0.45">
      <c r="B3" s="607" t="s">
        <v>1654</v>
      </c>
      <c r="C3" s="604">
        <v>15</v>
      </c>
      <c r="D3" t="s">
        <v>0</v>
      </c>
      <c r="F3" s="611" t="s">
        <v>1663</v>
      </c>
      <c r="G3" s="2" t="s">
        <v>1645</v>
      </c>
      <c r="H3" s="595" t="s">
        <v>1090</v>
      </c>
      <c r="I3" s="615">
        <v>1</v>
      </c>
      <c r="J3" s="615">
        <v>2</v>
      </c>
      <c r="K3" s="615">
        <v>3</v>
      </c>
      <c r="L3" s="615">
        <v>4</v>
      </c>
      <c r="M3" s="615">
        <v>5</v>
      </c>
      <c r="N3" s="615">
        <v>6</v>
      </c>
      <c r="O3" s="615">
        <v>7</v>
      </c>
      <c r="P3" s="615">
        <v>8</v>
      </c>
      <c r="Q3" s="615">
        <v>9</v>
      </c>
      <c r="R3" s="615">
        <v>10</v>
      </c>
      <c r="S3" s="615">
        <v>11</v>
      </c>
      <c r="T3" s="615">
        <v>12</v>
      </c>
      <c r="U3" s="615">
        <v>13</v>
      </c>
      <c r="V3" s="615">
        <v>14</v>
      </c>
      <c r="W3" s="615">
        <v>15</v>
      </c>
      <c r="X3" s="615">
        <v>16</v>
      </c>
      <c r="Y3" s="615">
        <v>17</v>
      </c>
      <c r="Z3" s="615">
        <v>18</v>
      </c>
      <c r="AA3" s="615">
        <v>19</v>
      </c>
      <c r="AB3" s="615">
        <v>20</v>
      </c>
      <c r="AC3" s="615">
        <v>21</v>
      </c>
      <c r="AD3" s="615">
        <v>22</v>
      </c>
      <c r="AE3" s="615">
        <v>23</v>
      </c>
      <c r="AF3" s="615">
        <v>24</v>
      </c>
      <c r="AG3" s="616">
        <v>1</v>
      </c>
      <c r="AH3" s="616">
        <v>2</v>
      </c>
      <c r="AI3" s="616">
        <v>3</v>
      </c>
      <c r="AJ3" s="616">
        <v>4</v>
      </c>
      <c r="AK3" s="616">
        <v>5</v>
      </c>
      <c r="AL3" s="616">
        <v>6</v>
      </c>
      <c r="AM3" s="616">
        <v>7</v>
      </c>
      <c r="AN3" s="616">
        <v>8</v>
      </c>
      <c r="AO3" s="616">
        <v>9</v>
      </c>
      <c r="AP3" s="616">
        <v>10</v>
      </c>
      <c r="AQ3" s="616">
        <v>11</v>
      </c>
      <c r="AR3" s="616">
        <v>12</v>
      </c>
      <c r="AS3" s="616">
        <v>13</v>
      </c>
      <c r="AT3" s="616">
        <v>14</v>
      </c>
      <c r="AU3" s="616">
        <v>15</v>
      </c>
      <c r="AV3" s="616">
        <v>16</v>
      </c>
      <c r="AW3" s="616">
        <v>17</v>
      </c>
      <c r="AX3" s="616">
        <v>18</v>
      </c>
      <c r="AY3" s="616">
        <v>19</v>
      </c>
      <c r="AZ3" s="616">
        <v>20</v>
      </c>
      <c r="BA3" s="616">
        <v>21</v>
      </c>
      <c r="BB3" s="616">
        <v>22</v>
      </c>
      <c r="BC3" s="616">
        <v>23</v>
      </c>
      <c r="BD3" s="616">
        <v>24</v>
      </c>
      <c r="BE3" s="615">
        <v>1</v>
      </c>
      <c r="BF3" s="615">
        <v>2</v>
      </c>
      <c r="BG3" s="615">
        <v>3</v>
      </c>
      <c r="BH3" s="615">
        <v>4</v>
      </c>
      <c r="BI3" s="615">
        <v>5</v>
      </c>
      <c r="BJ3" s="615">
        <v>6</v>
      </c>
      <c r="BK3" s="615">
        <v>7</v>
      </c>
      <c r="BL3" s="615">
        <v>8</v>
      </c>
      <c r="BM3" s="615">
        <v>9</v>
      </c>
      <c r="BN3" s="615">
        <v>10</v>
      </c>
      <c r="BO3" s="615">
        <v>11</v>
      </c>
      <c r="BP3" s="615">
        <v>12</v>
      </c>
      <c r="BQ3" s="615">
        <v>13</v>
      </c>
      <c r="BR3" s="615">
        <v>14</v>
      </c>
      <c r="BS3" s="615">
        <v>15</v>
      </c>
      <c r="BT3" s="615">
        <v>16</v>
      </c>
      <c r="BU3" s="615">
        <v>17</v>
      </c>
      <c r="BV3" s="615">
        <v>18</v>
      </c>
      <c r="BW3" s="615">
        <v>19</v>
      </c>
      <c r="BX3" s="615">
        <v>20</v>
      </c>
      <c r="BY3" s="615">
        <v>21</v>
      </c>
      <c r="BZ3" s="615">
        <v>22</v>
      </c>
      <c r="CA3" s="615">
        <v>23</v>
      </c>
      <c r="CB3" s="615">
        <v>24</v>
      </c>
    </row>
    <row r="4" spans="2:92" x14ac:dyDescent="0.45">
      <c r="B4" s="607" t="s">
        <v>1657</v>
      </c>
      <c r="C4" s="604">
        <v>16</v>
      </c>
      <c r="D4" t="s">
        <v>26</v>
      </c>
      <c r="F4" s="612" t="s">
        <v>1661</v>
      </c>
      <c r="G4" s="600" t="s">
        <v>1660</v>
      </c>
      <c r="H4" s="614" t="s">
        <v>1</v>
      </c>
      <c r="I4" s="597">
        <f>$C$5 + (16+$C$4*$C$7*(I3)) * (1/$C$3)</f>
        <v>27.966666666666669</v>
      </c>
      <c r="J4" s="597">
        <f>I4 + ($C$4*$C$7*(J3-I3))*(1/$C$3)</f>
        <v>53.56666666666667</v>
      </c>
      <c r="K4" s="597">
        <f t="shared" ref="K4:AF4" si="0">J4 + ($C$4*$C$7*(K3-J3))*(1/$C$3)</f>
        <v>79.166666666666671</v>
      </c>
      <c r="L4" s="597">
        <f t="shared" si="0"/>
        <v>104.76666666666668</v>
      </c>
      <c r="M4" s="597">
        <f t="shared" si="0"/>
        <v>130.36666666666667</v>
      </c>
      <c r="N4" s="597">
        <f t="shared" si="0"/>
        <v>155.96666666666667</v>
      </c>
      <c r="O4" s="597">
        <f t="shared" si="0"/>
        <v>181.56666666666666</v>
      </c>
      <c r="P4" s="597">
        <f t="shared" si="0"/>
        <v>207.16666666666666</v>
      </c>
      <c r="Q4" s="597">
        <f t="shared" si="0"/>
        <v>232.76666666666665</v>
      </c>
      <c r="R4" s="597">
        <f t="shared" si="0"/>
        <v>258.36666666666667</v>
      </c>
      <c r="S4" s="597">
        <f t="shared" si="0"/>
        <v>283.9666666666667</v>
      </c>
      <c r="T4" s="597">
        <f t="shared" si="0"/>
        <v>309.56666666666672</v>
      </c>
      <c r="U4" s="597">
        <f t="shared" si="0"/>
        <v>335.16666666666674</v>
      </c>
      <c r="V4" s="597">
        <f t="shared" si="0"/>
        <v>360.76666666666677</v>
      </c>
      <c r="W4" s="597">
        <f t="shared" si="0"/>
        <v>386.36666666666679</v>
      </c>
      <c r="X4" s="597">
        <f t="shared" si="0"/>
        <v>411.96666666666681</v>
      </c>
      <c r="Y4" s="597">
        <f t="shared" si="0"/>
        <v>437.56666666666683</v>
      </c>
      <c r="Z4" s="597">
        <f t="shared" si="0"/>
        <v>463.16666666666686</v>
      </c>
      <c r="AA4" s="597">
        <f t="shared" si="0"/>
        <v>488.76666666666688</v>
      </c>
      <c r="AB4" s="597">
        <f t="shared" si="0"/>
        <v>514.3666666666669</v>
      </c>
      <c r="AC4" s="597">
        <f t="shared" si="0"/>
        <v>539.96666666666692</v>
      </c>
      <c r="AD4" s="597">
        <f t="shared" si="0"/>
        <v>565.56666666666695</v>
      </c>
      <c r="AE4" s="597">
        <f t="shared" si="0"/>
        <v>591.16666666666697</v>
      </c>
      <c r="AF4" s="597">
        <f t="shared" si="0"/>
        <v>616.76666666666699</v>
      </c>
      <c r="AG4" s="597">
        <f xml:space="preserve"> AF4 + (C5+C6) + (16+$C$4*$C$7*(AG3))*(1/$C$3)</f>
        <v>727.73333333333358</v>
      </c>
      <c r="AH4" s="597">
        <f xml:space="preserve"> AG4 + ($C$4*$C$7*(AH3-AG3))*(1/$C$3)</f>
        <v>753.3333333333336</v>
      </c>
      <c r="AI4" s="597">
        <f t="shared" ref="AI4:BC4" si="1" xml:space="preserve"> AH4 + ($C$4*$C$7*(AI3-AH3))*(1/$C$3)</f>
        <v>778.93333333333362</v>
      </c>
      <c r="AJ4" s="597">
        <f t="shared" si="1"/>
        <v>804.53333333333364</v>
      </c>
      <c r="AK4" s="597">
        <f t="shared" si="1"/>
        <v>830.13333333333367</v>
      </c>
      <c r="AL4" s="597">
        <f t="shared" si="1"/>
        <v>855.73333333333369</v>
      </c>
      <c r="AM4" s="597">
        <f t="shared" si="1"/>
        <v>881.33333333333371</v>
      </c>
      <c r="AN4" s="597">
        <f t="shared" si="1"/>
        <v>906.93333333333374</v>
      </c>
      <c r="AO4" s="597">
        <f t="shared" si="1"/>
        <v>932.53333333333376</v>
      </c>
      <c r="AP4" s="597">
        <f t="shared" si="1"/>
        <v>958.13333333333378</v>
      </c>
      <c r="AQ4" s="597">
        <f t="shared" si="1"/>
        <v>983.7333333333338</v>
      </c>
      <c r="AR4" s="597">
        <f t="shared" si="1"/>
        <v>1009.3333333333338</v>
      </c>
      <c r="AS4" s="597">
        <f t="shared" si="1"/>
        <v>1034.9333333333338</v>
      </c>
      <c r="AT4" s="597">
        <f t="shared" si="1"/>
        <v>1060.5333333333338</v>
      </c>
      <c r="AU4" s="597">
        <f t="shared" si="1"/>
        <v>1086.1333333333337</v>
      </c>
      <c r="AV4" s="597">
        <f t="shared" si="1"/>
        <v>1111.7333333333336</v>
      </c>
      <c r="AW4" s="597">
        <f t="shared" si="1"/>
        <v>1137.3333333333335</v>
      </c>
      <c r="AX4" s="597">
        <f t="shared" si="1"/>
        <v>1162.9333333333334</v>
      </c>
      <c r="AY4" s="597">
        <f t="shared" si="1"/>
        <v>1188.5333333333333</v>
      </c>
      <c r="AZ4" s="597">
        <f t="shared" si="1"/>
        <v>1214.1333333333332</v>
      </c>
      <c r="BA4" s="597">
        <f t="shared" si="1"/>
        <v>1239.7333333333331</v>
      </c>
      <c r="BB4" s="597">
        <f t="shared" si="1"/>
        <v>1265.333333333333</v>
      </c>
      <c r="BC4" s="597">
        <f t="shared" si="1"/>
        <v>1290.9333333333329</v>
      </c>
      <c r="BD4" s="597">
        <f xml:space="preserve"> BC4 + ($C$4*$C$7*(BD3-BC3))*(1/$C$3)</f>
        <v>1316.5333333333328</v>
      </c>
      <c r="BE4" s="597">
        <f xml:space="preserve"> BD4 + (C5+C6) + (16+$C$4*$C$7*(BE3))*(1/$C$3)</f>
        <v>1427.4999999999995</v>
      </c>
      <c r="BF4" s="597">
        <f xml:space="preserve"> BE4 + ($C$4*$C$7*(BF3-BE3))*(1/$C$3)</f>
        <v>1453.0999999999995</v>
      </c>
      <c r="BG4" s="597">
        <f t="shared" ref="BG4:CB4" si="2" xml:space="preserve"> BF4 + ($C$4*$C$7*(BG3-BF3))*(1/$C$3)</f>
        <v>1478.6999999999994</v>
      </c>
      <c r="BH4" s="597">
        <f t="shared" si="2"/>
        <v>1504.2999999999993</v>
      </c>
      <c r="BI4" s="597">
        <f t="shared" si="2"/>
        <v>1529.8999999999992</v>
      </c>
      <c r="BJ4" s="597">
        <f t="shared" si="2"/>
        <v>1555.4999999999991</v>
      </c>
      <c r="BK4" s="597">
        <f t="shared" si="2"/>
        <v>1581.099999999999</v>
      </c>
      <c r="BL4" s="597">
        <f t="shared" si="2"/>
        <v>1606.6999999999989</v>
      </c>
      <c r="BM4" s="597">
        <f t="shared" si="2"/>
        <v>1632.2999999999988</v>
      </c>
      <c r="BN4" s="597">
        <f t="shared" si="2"/>
        <v>1657.8999999999987</v>
      </c>
      <c r="BO4" s="597">
        <f t="shared" si="2"/>
        <v>1683.4999999999986</v>
      </c>
      <c r="BP4" s="597">
        <f t="shared" si="2"/>
        <v>1709.0999999999985</v>
      </c>
      <c r="BQ4" s="597">
        <f t="shared" si="2"/>
        <v>1734.6999999999985</v>
      </c>
      <c r="BR4" s="597">
        <f t="shared" si="2"/>
        <v>1760.2999999999984</v>
      </c>
      <c r="BS4" s="597">
        <f t="shared" si="2"/>
        <v>1785.8999999999983</v>
      </c>
      <c r="BT4" s="597">
        <f t="shared" si="2"/>
        <v>1811.4999999999982</v>
      </c>
      <c r="BU4" s="597">
        <f t="shared" si="2"/>
        <v>1837.0999999999981</v>
      </c>
      <c r="BV4" s="597">
        <f t="shared" si="2"/>
        <v>1862.699999999998</v>
      </c>
      <c r="BW4" s="597">
        <f t="shared" si="2"/>
        <v>1888.2999999999979</v>
      </c>
      <c r="BX4" s="597">
        <f t="shared" si="2"/>
        <v>1913.8999999999978</v>
      </c>
      <c r="BY4" s="597">
        <f t="shared" si="2"/>
        <v>1939.4999999999977</v>
      </c>
      <c r="BZ4" s="597">
        <f t="shared" si="2"/>
        <v>1965.0999999999976</v>
      </c>
      <c r="CA4" s="597">
        <f t="shared" si="2"/>
        <v>1990.6999999999975</v>
      </c>
      <c r="CB4" s="597">
        <f t="shared" si="2"/>
        <v>2016.2999999999975</v>
      </c>
      <c r="CC4" s="597"/>
      <c r="CD4" s="597"/>
      <c r="CE4" s="597"/>
      <c r="CF4" s="597"/>
      <c r="CG4" s="597"/>
      <c r="CH4" s="597"/>
      <c r="CI4" s="597"/>
      <c r="CJ4" s="597"/>
      <c r="CK4" s="597"/>
      <c r="CL4" s="597"/>
      <c r="CM4" s="597"/>
      <c r="CN4" s="597"/>
    </row>
    <row r="5" spans="2:92" x14ac:dyDescent="0.45">
      <c r="B5" s="607" t="s">
        <v>1656</v>
      </c>
      <c r="C5" s="604">
        <f>1.3</f>
        <v>1.3</v>
      </c>
      <c r="D5" t="s">
        <v>1</v>
      </c>
      <c r="F5" s="611" t="s">
        <v>1664</v>
      </c>
      <c r="G5" s="2" t="s">
        <v>1651</v>
      </c>
      <c r="H5" s="595" t="s">
        <v>1090</v>
      </c>
      <c r="I5" s="1"/>
      <c r="U5" s="617">
        <v>1</v>
      </c>
      <c r="V5" s="617">
        <v>2</v>
      </c>
      <c r="W5" s="617">
        <v>3</v>
      </c>
      <c r="X5" s="617">
        <v>4</v>
      </c>
      <c r="Y5" s="617">
        <v>5</v>
      </c>
      <c r="Z5" s="617">
        <v>6</v>
      </c>
      <c r="AA5" s="617">
        <v>7</v>
      </c>
      <c r="AB5" s="617">
        <v>8</v>
      </c>
      <c r="AC5" s="617">
        <v>9</v>
      </c>
      <c r="AD5" s="617">
        <v>10</v>
      </c>
      <c r="AE5" s="617">
        <v>11</v>
      </c>
      <c r="AF5" s="617">
        <v>12</v>
      </c>
      <c r="AG5" s="617">
        <v>13</v>
      </c>
      <c r="AH5" s="617">
        <v>14</v>
      </c>
      <c r="AI5" s="617">
        <v>15</v>
      </c>
      <c r="AJ5" s="617">
        <v>16</v>
      </c>
      <c r="AK5" s="617">
        <v>17</v>
      </c>
      <c r="AL5" s="617">
        <v>18</v>
      </c>
      <c r="AM5" s="617">
        <v>19</v>
      </c>
      <c r="AN5" s="617">
        <v>20</v>
      </c>
      <c r="AO5" s="617">
        <v>21</v>
      </c>
      <c r="AP5" s="617">
        <v>22</v>
      </c>
      <c r="AQ5" s="617">
        <v>23</v>
      </c>
      <c r="AR5" s="617">
        <v>24</v>
      </c>
      <c r="AS5" s="617">
        <v>25</v>
      </c>
      <c r="AT5" s="617">
        <v>26</v>
      </c>
      <c r="AU5" s="617">
        <v>27</v>
      </c>
      <c r="AV5" s="617">
        <v>28</v>
      </c>
      <c r="AW5" s="617">
        <v>29</v>
      </c>
      <c r="AX5" s="617">
        <v>30</v>
      </c>
      <c r="AY5" s="617">
        <v>31</v>
      </c>
      <c r="AZ5" s="617">
        <v>32</v>
      </c>
      <c r="BA5" s="617">
        <v>33</v>
      </c>
      <c r="BB5" s="617">
        <v>34</v>
      </c>
      <c r="BC5" s="617">
        <v>35</v>
      </c>
      <c r="BD5" s="617">
        <v>36</v>
      </c>
      <c r="BE5" s="617">
        <v>37</v>
      </c>
      <c r="BF5" s="617">
        <v>38</v>
      </c>
      <c r="BG5" s="617">
        <v>39</v>
      </c>
      <c r="BH5" s="617">
        <v>40</v>
      </c>
      <c r="BI5" s="617">
        <v>41</v>
      </c>
      <c r="BJ5" s="617">
        <v>42</v>
      </c>
      <c r="BK5" s="617">
        <v>43</v>
      </c>
      <c r="BL5" s="617">
        <v>44</v>
      </c>
      <c r="BM5" s="617">
        <v>45</v>
      </c>
      <c r="BN5" s="617">
        <v>46</v>
      </c>
      <c r="BO5" s="617">
        <v>47</v>
      </c>
      <c r="BP5" s="617">
        <v>48</v>
      </c>
      <c r="BQ5" s="617">
        <v>49</v>
      </c>
      <c r="BR5" s="617">
        <v>50</v>
      </c>
      <c r="BS5" s="617">
        <v>51</v>
      </c>
      <c r="BT5" s="617">
        <v>52</v>
      </c>
      <c r="BU5" s="617">
        <v>53</v>
      </c>
      <c r="BV5" s="617">
        <v>54</v>
      </c>
      <c r="BW5" s="617">
        <v>55</v>
      </c>
      <c r="BX5" s="617">
        <v>56</v>
      </c>
      <c r="BY5" s="617">
        <v>57</v>
      </c>
      <c r="BZ5" s="617">
        <v>58</v>
      </c>
      <c r="CA5" s="617">
        <v>59</v>
      </c>
      <c r="CB5" s="617">
        <v>60</v>
      </c>
      <c r="CC5" s="617">
        <v>61</v>
      </c>
      <c r="CD5" s="617">
        <v>62</v>
      </c>
      <c r="CE5" s="617">
        <v>63</v>
      </c>
      <c r="CF5" s="617">
        <v>64</v>
      </c>
      <c r="CG5" s="617">
        <v>65</v>
      </c>
      <c r="CH5" s="617">
        <v>66</v>
      </c>
      <c r="CI5" s="617">
        <v>67</v>
      </c>
      <c r="CJ5" s="617">
        <v>68</v>
      </c>
      <c r="CK5" s="617">
        <v>69</v>
      </c>
      <c r="CL5" s="617">
        <v>70</v>
      </c>
      <c r="CM5" s="617">
        <v>71</v>
      </c>
      <c r="CN5" s="617">
        <v>72</v>
      </c>
    </row>
    <row r="6" spans="2:92" x14ac:dyDescent="0.45">
      <c r="B6" s="607" t="s">
        <v>1658</v>
      </c>
      <c r="C6" s="604">
        <f>1.7+80+C5</f>
        <v>83</v>
      </c>
      <c r="D6" t="s">
        <v>1</v>
      </c>
      <c r="F6" s="611"/>
      <c r="G6" s="600" t="s">
        <v>1660</v>
      </c>
      <c r="H6" s="614" t="s">
        <v>1</v>
      </c>
      <c r="I6" s="1"/>
      <c r="U6" s="597">
        <f xml:space="preserve"> $T$4 + (4*ROUNDUP(U5/$C$8,0)+($C$4)*U5) /$C$9</f>
        <v>351.56666666666672</v>
      </c>
      <c r="V6" s="597">
        <f t="shared" ref="V6:CG6" si="3" xml:space="preserve"> $T$4 + (4*ROUNDUP(V5/$C$8,0)+($C$4)*V5) /$C$9</f>
        <v>385.16666666666674</v>
      </c>
      <c r="W6" s="597">
        <f t="shared" si="3"/>
        <v>418.76666666666671</v>
      </c>
      <c r="X6" s="597">
        <f t="shared" si="3"/>
        <v>452.36666666666673</v>
      </c>
      <c r="Y6" s="597">
        <f t="shared" si="3"/>
        <v>485.9666666666667</v>
      </c>
      <c r="Z6" s="597">
        <f t="shared" si="3"/>
        <v>519.56666666666672</v>
      </c>
      <c r="AA6" s="597">
        <f t="shared" si="3"/>
        <v>553.16666666666674</v>
      </c>
      <c r="AB6" s="597">
        <f t="shared" si="3"/>
        <v>586.76666666666665</v>
      </c>
      <c r="AC6" s="597">
        <f t="shared" si="3"/>
        <v>620.36666666666679</v>
      </c>
      <c r="AD6" s="597">
        <f t="shared" si="3"/>
        <v>653.9666666666667</v>
      </c>
      <c r="AE6" s="597">
        <f t="shared" si="3"/>
        <v>687.56666666666672</v>
      </c>
      <c r="AF6" s="597">
        <f t="shared" si="3"/>
        <v>721.16666666666674</v>
      </c>
      <c r="AG6" s="597">
        <f t="shared" si="3"/>
        <v>763.16666666666674</v>
      </c>
      <c r="AH6" s="597">
        <f t="shared" si="3"/>
        <v>796.76666666666677</v>
      </c>
      <c r="AI6" s="597">
        <f t="shared" si="3"/>
        <v>830.36666666666679</v>
      </c>
      <c r="AJ6" s="597">
        <f t="shared" si="3"/>
        <v>863.9666666666667</v>
      </c>
      <c r="AK6" s="597">
        <f t="shared" si="3"/>
        <v>897.56666666666672</v>
      </c>
      <c r="AL6" s="597">
        <f t="shared" si="3"/>
        <v>931.16666666666674</v>
      </c>
      <c r="AM6" s="597">
        <f t="shared" si="3"/>
        <v>964.76666666666677</v>
      </c>
      <c r="AN6" s="597">
        <f t="shared" si="3"/>
        <v>998.36666666666679</v>
      </c>
      <c r="AO6" s="597">
        <f t="shared" si="3"/>
        <v>1031.9666666666667</v>
      </c>
      <c r="AP6" s="597">
        <f t="shared" si="3"/>
        <v>1065.5666666666666</v>
      </c>
      <c r="AQ6" s="597">
        <f t="shared" si="3"/>
        <v>1099.1666666666667</v>
      </c>
      <c r="AR6" s="597">
        <f t="shared" si="3"/>
        <v>1132.7666666666669</v>
      </c>
      <c r="AS6" s="597">
        <f t="shared" si="3"/>
        <v>1174.7666666666669</v>
      </c>
      <c r="AT6" s="597">
        <f t="shared" si="3"/>
        <v>1208.3666666666668</v>
      </c>
      <c r="AU6" s="597">
        <f t="shared" si="3"/>
        <v>1241.9666666666667</v>
      </c>
      <c r="AV6" s="597">
        <f t="shared" si="3"/>
        <v>1275.5666666666666</v>
      </c>
      <c r="AW6" s="597">
        <f t="shared" si="3"/>
        <v>1309.1666666666667</v>
      </c>
      <c r="AX6" s="597">
        <f t="shared" si="3"/>
        <v>1342.7666666666669</v>
      </c>
      <c r="AY6" s="597">
        <f t="shared" si="3"/>
        <v>1376.3666666666668</v>
      </c>
      <c r="AZ6" s="597">
        <f t="shared" si="3"/>
        <v>1409.9666666666667</v>
      </c>
      <c r="BA6" s="597">
        <f t="shared" si="3"/>
        <v>1443.5666666666666</v>
      </c>
      <c r="BB6" s="597">
        <f t="shared" si="3"/>
        <v>1477.166666666667</v>
      </c>
      <c r="BC6" s="597">
        <f t="shared" si="3"/>
        <v>1510.7666666666669</v>
      </c>
      <c r="BD6" s="597">
        <f t="shared" si="3"/>
        <v>1544.3666666666668</v>
      </c>
      <c r="BE6" s="597">
        <f t="shared" si="3"/>
        <v>1586.3666666666668</v>
      </c>
      <c r="BF6" s="597">
        <f t="shared" si="3"/>
        <v>1619.9666666666667</v>
      </c>
      <c r="BG6" s="597">
        <f t="shared" si="3"/>
        <v>1653.5666666666666</v>
      </c>
      <c r="BH6" s="597">
        <f t="shared" si="3"/>
        <v>1687.166666666667</v>
      </c>
      <c r="BI6" s="597">
        <f t="shared" si="3"/>
        <v>1720.7666666666669</v>
      </c>
      <c r="BJ6" s="597">
        <f t="shared" si="3"/>
        <v>1754.3666666666668</v>
      </c>
      <c r="BK6" s="597">
        <f t="shared" si="3"/>
        <v>1787.9666666666667</v>
      </c>
      <c r="BL6" s="597">
        <f t="shared" si="3"/>
        <v>1821.5666666666666</v>
      </c>
      <c r="BM6" s="597">
        <f t="shared" si="3"/>
        <v>1855.166666666667</v>
      </c>
      <c r="BN6" s="597">
        <f t="shared" si="3"/>
        <v>1888.7666666666669</v>
      </c>
      <c r="BO6" s="597">
        <f t="shared" si="3"/>
        <v>1922.3666666666668</v>
      </c>
      <c r="BP6" s="597">
        <f t="shared" si="3"/>
        <v>1955.9666666666667</v>
      </c>
      <c r="BQ6" s="597">
        <f t="shared" si="3"/>
        <v>1997.9666666666667</v>
      </c>
      <c r="BR6" s="597">
        <f t="shared" si="3"/>
        <v>2031.5666666666666</v>
      </c>
      <c r="BS6" s="597">
        <f t="shared" si="3"/>
        <v>2065.166666666667</v>
      </c>
      <c r="BT6" s="597">
        <f t="shared" si="3"/>
        <v>2098.7666666666669</v>
      </c>
      <c r="BU6" s="597">
        <f t="shared" si="3"/>
        <v>2132.3666666666668</v>
      </c>
      <c r="BV6" s="597">
        <f t="shared" si="3"/>
        <v>2165.9666666666667</v>
      </c>
      <c r="BW6" s="597">
        <f t="shared" si="3"/>
        <v>2199.5666666666666</v>
      </c>
      <c r="BX6" s="597">
        <f t="shared" si="3"/>
        <v>2233.166666666667</v>
      </c>
      <c r="BY6" s="597">
        <f t="shared" si="3"/>
        <v>2266.7666666666669</v>
      </c>
      <c r="BZ6" s="597">
        <f t="shared" si="3"/>
        <v>2300.3666666666668</v>
      </c>
      <c r="CA6" s="597">
        <f t="shared" si="3"/>
        <v>2333.9666666666667</v>
      </c>
      <c r="CB6" s="597">
        <f t="shared" si="3"/>
        <v>2367.5666666666666</v>
      </c>
      <c r="CC6" s="597">
        <f t="shared" si="3"/>
        <v>2409.5666666666666</v>
      </c>
      <c r="CD6" s="597">
        <f t="shared" si="3"/>
        <v>2443.1666666666665</v>
      </c>
      <c r="CE6" s="597">
        <f t="shared" si="3"/>
        <v>2476.7666666666669</v>
      </c>
      <c r="CF6" s="597">
        <f t="shared" si="3"/>
        <v>2510.3666666666668</v>
      </c>
      <c r="CG6" s="597">
        <f t="shared" si="3"/>
        <v>2543.9666666666667</v>
      </c>
      <c r="CH6" s="597">
        <f t="shared" ref="CH6:CN6" si="4" xml:space="preserve"> $T$4 + (4*ROUNDUP(CH5/$C$8,0)+($C$4)*CH5) /$C$9</f>
        <v>2577.5666666666666</v>
      </c>
      <c r="CI6" s="597">
        <f t="shared" si="4"/>
        <v>2611.1666666666665</v>
      </c>
      <c r="CJ6" s="597">
        <f t="shared" si="4"/>
        <v>2644.7666666666669</v>
      </c>
      <c r="CK6" s="597">
        <f t="shared" si="4"/>
        <v>2678.3666666666668</v>
      </c>
      <c r="CL6" s="597">
        <f t="shared" si="4"/>
        <v>2711.9666666666667</v>
      </c>
      <c r="CM6" s="597">
        <f t="shared" si="4"/>
        <v>2745.5666666666666</v>
      </c>
      <c r="CN6" s="597">
        <f t="shared" si="4"/>
        <v>2779.166666666667</v>
      </c>
    </row>
    <row r="7" spans="2:92" x14ac:dyDescent="0.45">
      <c r="B7" s="607" t="s">
        <v>1655</v>
      </c>
      <c r="C7" s="604">
        <v>24</v>
      </c>
      <c r="D7" t="s">
        <v>5</v>
      </c>
      <c r="F7" s="611" t="s">
        <v>1666</v>
      </c>
      <c r="G7" s="619">
        <v>12</v>
      </c>
      <c r="H7" s="614" t="s">
        <v>5</v>
      </c>
    </row>
    <row r="8" spans="2:92" x14ac:dyDescent="0.45">
      <c r="B8" s="607" t="s">
        <v>1659</v>
      </c>
      <c r="C8" s="604">
        <v>12</v>
      </c>
      <c r="D8" t="s">
        <v>5</v>
      </c>
      <c r="F8" s="611"/>
      <c r="G8" s="596"/>
      <c r="H8" s="59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2:92" x14ac:dyDescent="0.45">
      <c r="B9" s="607" t="s">
        <v>1647</v>
      </c>
      <c r="C9" s="605">
        <f>1/2.1</f>
        <v>0.47619047619047616</v>
      </c>
      <c r="D9" t="s">
        <v>10</v>
      </c>
      <c r="F9" s="611" t="s">
        <v>1650</v>
      </c>
      <c r="G9" s="2" t="s">
        <v>1653</v>
      </c>
      <c r="H9" s="595" t="s">
        <v>5</v>
      </c>
      <c r="I9" s="601"/>
      <c r="J9" s="599"/>
      <c r="K9" s="599"/>
      <c r="L9" s="599"/>
      <c r="M9" s="599"/>
      <c r="N9" s="599"/>
      <c r="O9" s="599"/>
      <c r="P9" s="599"/>
      <c r="Q9" s="599"/>
      <c r="R9" s="599"/>
      <c r="S9" s="599"/>
      <c r="T9" s="599"/>
      <c r="U9" s="599"/>
      <c r="V9" s="599"/>
      <c r="W9" s="599"/>
      <c r="X9" s="599"/>
      <c r="Y9" s="599"/>
      <c r="Z9" s="599"/>
      <c r="AA9" s="599"/>
      <c r="AB9" s="599"/>
      <c r="AC9" s="599"/>
      <c r="AD9" s="599"/>
      <c r="AE9" s="599"/>
      <c r="AF9" s="599"/>
      <c r="AG9" s="599"/>
      <c r="AH9" s="599"/>
      <c r="AI9" s="599"/>
      <c r="AJ9" s="599"/>
      <c r="AK9" s="599"/>
      <c r="AL9" s="599"/>
      <c r="AM9" s="599"/>
      <c r="AN9" s="599"/>
      <c r="AO9" s="599"/>
      <c r="AP9" s="599"/>
      <c r="AQ9" s="599"/>
      <c r="AR9" s="599"/>
      <c r="AS9" s="599"/>
      <c r="AT9" s="599"/>
      <c r="AU9" s="599"/>
      <c r="AV9" s="599"/>
      <c r="AW9" s="599"/>
      <c r="AX9" s="599"/>
      <c r="AY9" s="599"/>
      <c r="AZ9" s="599"/>
      <c r="BA9" s="599"/>
      <c r="BB9" s="599"/>
      <c r="BC9" s="599"/>
      <c r="BD9" s="599"/>
      <c r="BE9" s="599"/>
      <c r="BF9" s="599"/>
      <c r="BG9" s="599"/>
      <c r="BH9" s="599"/>
      <c r="BI9" s="599"/>
      <c r="BJ9" s="599"/>
      <c r="BK9" s="599"/>
      <c r="BL9" s="599"/>
      <c r="BM9" s="599"/>
      <c r="BN9" s="599"/>
      <c r="BO9" s="599"/>
      <c r="BP9" s="599"/>
      <c r="BQ9" s="599">
        <f>CA2-BQ5</f>
        <v>22</v>
      </c>
      <c r="BR9" s="598">
        <f>$CB$2-BR5</f>
        <v>22</v>
      </c>
      <c r="BS9" s="598">
        <f t="shared" ref="BS9:CN9" si="5">$CB$2-BS5</f>
        <v>21</v>
      </c>
      <c r="BT9" s="598">
        <f t="shared" si="5"/>
        <v>20</v>
      </c>
      <c r="BU9" s="598">
        <f t="shared" si="5"/>
        <v>19</v>
      </c>
      <c r="BV9" s="598">
        <f t="shared" si="5"/>
        <v>18</v>
      </c>
      <c r="BW9" s="598">
        <f t="shared" si="5"/>
        <v>17</v>
      </c>
      <c r="BX9" s="598">
        <f t="shared" si="5"/>
        <v>16</v>
      </c>
      <c r="BY9" s="598">
        <f t="shared" si="5"/>
        <v>15</v>
      </c>
      <c r="BZ9" s="598">
        <f t="shared" si="5"/>
        <v>14</v>
      </c>
      <c r="CA9" s="598">
        <f t="shared" si="5"/>
        <v>13</v>
      </c>
      <c r="CB9" s="598">
        <f t="shared" si="5"/>
        <v>12</v>
      </c>
      <c r="CC9" s="598">
        <f t="shared" si="5"/>
        <v>11</v>
      </c>
      <c r="CD9" s="598">
        <f t="shared" si="5"/>
        <v>10</v>
      </c>
      <c r="CE9" s="598">
        <f t="shared" si="5"/>
        <v>9</v>
      </c>
      <c r="CF9" s="598">
        <f t="shared" si="5"/>
        <v>8</v>
      </c>
      <c r="CG9" s="598">
        <f t="shared" si="5"/>
        <v>7</v>
      </c>
      <c r="CH9" s="598">
        <f t="shared" si="5"/>
        <v>6</v>
      </c>
      <c r="CI9" s="598">
        <f t="shared" si="5"/>
        <v>5</v>
      </c>
      <c r="CJ9" s="598">
        <f t="shared" si="5"/>
        <v>4</v>
      </c>
      <c r="CK9" s="598">
        <f t="shared" si="5"/>
        <v>3</v>
      </c>
      <c r="CL9" s="598">
        <f t="shared" si="5"/>
        <v>2</v>
      </c>
      <c r="CM9" s="598">
        <f t="shared" si="5"/>
        <v>1</v>
      </c>
      <c r="CN9" s="598">
        <f t="shared" si="5"/>
        <v>0</v>
      </c>
    </row>
    <row r="10" spans="2:92" customFormat="1" x14ac:dyDescent="0.45">
      <c r="F10" s="597"/>
      <c r="G10" s="5"/>
      <c r="H10" s="118"/>
      <c r="I10" s="153"/>
      <c r="J10" s="153"/>
      <c r="K10" s="153"/>
    </row>
    <row r="11" spans="2:92" x14ac:dyDescent="0.45">
      <c r="B11" s="230"/>
      <c r="AG11" s="597"/>
      <c r="AH11" s="597"/>
      <c r="BE11" s="597"/>
      <c r="BF11" s="597"/>
    </row>
    <row r="12" spans="2:92" x14ac:dyDescent="0.45">
      <c r="B12" s="606"/>
      <c r="C12" s="608"/>
      <c r="D12" s="608"/>
      <c r="F12" s="609"/>
      <c r="G12" s="607" t="s">
        <v>1662</v>
      </c>
      <c r="H12" s="610" t="s">
        <v>1090</v>
      </c>
      <c r="I12" s="603">
        <v>1</v>
      </c>
      <c r="J12" s="603">
        <v>2</v>
      </c>
      <c r="K12" s="603">
        <v>3</v>
      </c>
      <c r="L12" s="603">
        <v>4</v>
      </c>
      <c r="M12" s="603">
        <v>5</v>
      </c>
      <c r="N12" s="603">
        <v>6</v>
      </c>
      <c r="O12" s="603">
        <v>7</v>
      </c>
      <c r="P12" s="603">
        <v>8</v>
      </c>
      <c r="Q12" s="603">
        <v>9</v>
      </c>
      <c r="R12" s="603">
        <v>10</v>
      </c>
      <c r="S12" s="603">
        <v>11</v>
      </c>
      <c r="T12" s="603">
        <v>12</v>
      </c>
      <c r="U12" s="603">
        <v>13</v>
      </c>
      <c r="V12" s="603">
        <v>14</v>
      </c>
      <c r="W12" s="603">
        <v>15</v>
      </c>
      <c r="X12" s="603">
        <v>16</v>
      </c>
      <c r="Y12" s="603">
        <v>17</v>
      </c>
      <c r="Z12" s="603">
        <v>18</v>
      </c>
      <c r="AA12" s="603">
        <v>19</v>
      </c>
      <c r="AB12" s="603">
        <v>20</v>
      </c>
      <c r="AC12" s="603">
        <v>21</v>
      </c>
      <c r="AD12" s="603">
        <v>22</v>
      </c>
      <c r="AE12" s="603">
        <v>23</v>
      </c>
      <c r="AF12" s="603">
        <v>24</v>
      </c>
      <c r="AG12" s="603">
        <v>25</v>
      </c>
      <c r="AH12" s="603">
        <v>26</v>
      </c>
      <c r="AI12" s="603">
        <v>27</v>
      </c>
      <c r="AJ12" s="603">
        <v>28</v>
      </c>
      <c r="AK12" s="603">
        <v>29</v>
      </c>
      <c r="AL12" s="603">
        <v>30</v>
      </c>
      <c r="AM12" s="603">
        <v>31</v>
      </c>
      <c r="AN12" s="603">
        <v>32</v>
      </c>
      <c r="AO12" s="603">
        <v>33</v>
      </c>
      <c r="AP12" s="603">
        <v>34</v>
      </c>
      <c r="AQ12" s="603">
        <v>35</v>
      </c>
      <c r="AR12" s="603">
        <v>36</v>
      </c>
      <c r="AS12" s="603">
        <v>37</v>
      </c>
      <c r="AT12" s="603">
        <v>38</v>
      </c>
      <c r="AU12" s="603">
        <v>39</v>
      </c>
      <c r="AV12" s="603">
        <v>40</v>
      </c>
      <c r="AW12" s="603">
        <v>41</v>
      </c>
      <c r="AX12" s="603">
        <v>42</v>
      </c>
      <c r="AY12" s="603">
        <v>43</v>
      </c>
      <c r="AZ12" s="603">
        <v>44</v>
      </c>
      <c r="BA12" s="603">
        <v>45</v>
      </c>
      <c r="BB12" s="603">
        <v>46</v>
      </c>
      <c r="BC12" s="603">
        <v>47</v>
      </c>
      <c r="BD12" s="603">
        <v>48</v>
      </c>
      <c r="BE12" s="603">
        <v>49</v>
      </c>
      <c r="BF12" s="603">
        <v>50</v>
      </c>
      <c r="BG12" s="603">
        <v>51</v>
      </c>
      <c r="BH12" s="603">
        <v>52</v>
      </c>
      <c r="BI12" s="603">
        <v>53</v>
      </c>
      <c r="BJ12" s="603">
        <v>54</v>
      </c>
      <c r="BK12" s="603">
        <v>55</v>
      </c>
      <c r="BL12" s="603">
        <v>56</v>
      </c>
      <c r="BM12" s="603">
        <v>57</v>
      </c>
      <c r="BN12" s="603">
        <v>58</v>
      </c>
      <c r="BO12" s="603">
        <v>59</v>
      </c>
      <c r="BP12" s="603">
        <v>60</v>
      </c>
      <c r="BQ12" s="603">
        <v>61</v>
      </c>
      <c r="BR12" s="603">
        <v>62</v>
      </c>
      <c r="BS12" s="603">
        <v>63</v>
      </c>
      <c r="BT12" s="603">
        <v>64</v>
      </c>
      <c r="BU12" s="603">
        <v>65</v>
      </c>
      <c r="BV12" s="603">
        <v>66</v>
      </c>
      <c r="BW12" s="603">
        <v>67</v>
      </c>
      <c r="BX12" s="603">
        <v>68</v>
      </c>
      <c r="BY12" s="603">
        <v>69</v>
      </c>
      <c r="BZ12" s="603">
        <v>70</v>
      </c>
      <c r="CA12" s="603">
        <v>71</v>
      </c>
      <c r="CB12" s="603">
        <v>72</v>
      </c>
      <c r="CC12" s="603"/>
      <c r="CD12" s="603"/>
      <c r="CE12" s="603"/>
      <c r="CF12" s="603"/>
      <c r="CG12" s="603"/>
      <c r="CH12" s="603"/>
      <c r="CI12" s="603"/>
      <c r="CJ12" s="603"/>
      <c r="CK12" s="603"/>
      <c r="CL12" s="603"/>
      <c r="CM12" s="603"/>
      <c r="CN12" s="603"/>
    </row>
    <row r="13" spans="2:92" x14ac:dyDescent="0.45">
      <c r="B13" s="607" t="s">
        <v>1654</v>
      </c>
      <c r="C13" s="604">
        <v>15</v>
      </c>
      <c r="D13" t="s">
        <v>0</v>
      </c>
      <c r="F13" s="611" t="s">
        <v>1663</v>
      </c>
      <c r="G13" s="2" t="s">
        <v>1645</v>
      </c>
      <c r="H13" s="595" t="s">
        <v>1090</v>
      </c>
      <c r="I13" s="615">
        <v>1</v>
      </c>
      <c r="J13" s="615">
        <v>2</v>
      </c>
      <c r="K13" s="615">
        <v>3</v>
      </c>
      <c r="L13" s="615">
        <v>4</v>
      </c>
      <c r="M13" s="615">
        <v>5</v>
      </c>
      <c r="N13" s="615">
        <v>6</v>
      </c>
      <c r="O13" s="615">
        <v>7</v>
      </c>
      <c r="P13" s="615">
        <v>8</v>
      </c>
      <c r="Q13" s="615">
        <v>9</v>
      </c>
      <c r="R13" s="615">
        <v>10</v>
      </c>
      <c r="S13" s="615">
        <v>11</v>
      </c>
      <c r="T13" s="615">
        <v>12</v>
      </c>
      <c r="U13" s="615">
        <v>13</v>
      </c>
      <c r="V13" s="615">
        <v>14</v>
      </c>
      <c r="W13" s="615">
        <v>15</v>
      </c>
      <c r="X13" s="615">
        <v>16</v>
      </c>
      <c r="Y13" s="615">
        <v>17</v>
      </c>
      <c r="Z13" s="615">
        <v>18</v>
      </c>
      <c r="AA13" s="615">
        <v>19</v>
      </c>
      <c r="AB13" s="615">
        <v>20</v>
      </c>
      <c r="AC13" s="615">
        <v>21</v>
      </c>
      <c r="AD13" s="615">
        <v>22</v>
      </c>
      <c r="AE13" s="615">
        <v>23</v>
      </c>
      <c r="AF13" s="615">
        <v>24</v>
      </c>
      <c r="AG13" s="616">
        <v>1</v>
      </c>
      <c r="AH13" s="616">
        <v>2</v>
      </c>
      <c r="AI13" s="616">
        <v>3</v>
      </c>
      <c r="AJ13" s="616">
        <v>4</v>
      </c>
      <c r="AK13" s="616">
        <v>5</v>
      </c>
      <c r="AL13" s="616">
        <v>6</v>
      </c>
      <c r="AM13" s="616">
        <v>7</v>
      </c>
      <c r="AN13" s="616">
        <v>8</v>
      </c>
      <c r="AO13" s="616">
        <v>9</v>
      </c>
      <c r="AP13" s="616">
        <v>10</v>
      </c>
      <c r="AQ13" s="616">
        <v>11</v>
      </c>
      <c r="AR13" s="616">
        <v>12</v>
      </c>
      <c r="AS13" s="616">
        <v>13</v>
      </c>
      <c r="AT13" s="616">
        <v>14</v>
      </c>
      <c r="AU13" s="616">
        <v>15</v>
      </c>
      <c r="AV13" s="616">
        <v>16</v>
      </c>
      <c r="AW13" s="616">
        <v>17</v>
      </c>
      <c r="AX13" s="616">
        <v>18</v>
      </c>
      <c r="AY13" s="616">
        <v>19</v>
      </c>
      <c r="AZ13" s="616">
        <v>20</v>
      </c>
      <c r="BA13" s="616">
        <v>21</v>
      </c>
      <c r="BB13" s="616">
        <v>22</v>
      </c>
      <c r="BC13" s="616">
        <v>23</v>
      </c>
      <c r="BD13" s="616">
        <v>24</v>
      </c>
      <c r="BE13" s="615">
        <v>1</v>
      </c>
      <c r="BF13" s="615">
        <v>2</v>
      </c>
      <c r="BG13" s="615">
        <v>3</v>
      </c>
      <c r="BH13" s="615">
        <v>4</v>
      </c>
      <c r="BI13" s="615">
        <v>5</v>
      </c>
      <c r="BJ13" s="615">
        <v>6</v>
      </c>
      <c r="BK13" s="615">
        <v>7</v>
      </c>
      <c r="BL13" s="615">
        <v>8</v>
      </c>
      <c r="BM13" s="615">
        <v>9</v>
      </c>
      <c r="BN13" s="615">
        <v>10</v>
      </c>
      <c r="BO13" s="615">
        <v>11</v>
      </c>
      <c r="BP13" s="615">
        <v>12</v>
      </c>
      <c r="BQ13" s="615">
        <v>13</v>
      </c>
      <c r="BR13" s="615">
        <v>14</v>
      </c>
      <c r="BS13" s="615">
        <v>15</v>
      </c>
      <c r="BT13" s="615">
        <v>16</v>
      </c>
      <c r="BU13" s="615">
        <v>17</v>
      </c>
      <c r="BV13" s="615">
        <v>18</v>
      </c>
      <c r="BW13" s="615">
        <v>19</v>
      </c>
      <c r="BX13" s="615">
        <v>20</v>
      </c>
      <c r="BY13" s="615">
        <v>21</v>
      </c>
      <c r="BZ13" s="615">
        <v>22</v>
      </c>
      <c r="CA13" s="615">
        <v>23</v>
      </c>
      <c r="CB13" s="615">
        <v>24</v>
      </c>
    </row>
    <row r="14" spans="2:92" x14ac:dyDescent="0.45">
      <c r="B14" s="607" t="s">
        <v>1657</v>
      </c>
      <c r="C14" s="604">
        <v>16</v>
      </c>
      <c r="D14" t="s">
        <v>26</v>
      </c>
      <c r="F14" s="612" t="s">
        <v>1661</v>
      </c>
      <c r="G14" s="600" t="s">
        <v>1660</v>
      </c>
      <c r="H14" s="614" t="s">
        <v>1</v>
      </c>
      <c r="I14" s="597">
        <f>$C$15 + (16+$C$14*$C$17*(I13)) * (1/$C$13)</f>
        <v>27.966666666666669</v>
      </c>
      <c r="J14" s="597">
        <f>I14 + ($C$14*$C$17*(J13-I13))*(1/$C$13)</f>
        <v>53.56666666666667</v>
      </c>
      <c r="K14" s="597">
        <f t="shared" ref="K14:AE14" si="6">J14 + ($C$14*$C$17*(K13-J13))*(1/$C$13)</f>
        <v>79.166666666666671</v>
      </c>
      <c r="L14" s="597">
        <f t="shared" si="6"/>
        <v>104.76666666666668</v>
      </c>
      <c r="M14" s="597">
        <f t="shared" si="6"/>
        <v>130.36666666666667</v>
      </c>
      <c r="N14" s="597">
        <f t="shared" si="6"/>
        <v>155.96666666666667</v>
      </c>
      <c r="O14" s="597">
        <f t="shared" si="6"/>
        <v>181.56666666666666</v>
      </c>
      <c r="P14" s="597">
        <f t="shared" si="6"/>
        <v>207.16666666666666</v>
      </c>
      <c r="Q14" s="597">
        <f t="shared" si="6"/>
        <v>232.76666666666665</v>
      </c>
      <c r="R14" s="597">
        <f t="shared" si="6"/>
        <v>258.36666666666667</v>
      </c>
      <c r="S14" s="597">
        <f t="shared" si="6"/>
        <v>283.9666666666667</v>
      </c>
      <c r="T14" s="597">
        <f t="shared" si="6"/>
        <v>309.56666666666672</v>
      </c>
      <c r="U14" s="597">
        <f t="shared" si="6"/>
        <v>335.16666666666674</v>
      </c>
      <c r="V14" s="597">
        <f t="shared" si="6"/>
        <v>360.76666666666677</v>
      </c>
      <c r="W14" s="597">
        <f t="shared" si="6"/>
        <v>386.36666666666679</v>
      </c>
      <c r="X14" s="597">
        <f t="shared" si="6"/>
        <v>411.96666666666681</v>
      </c>
      <c r="Y14" s="597">
        <f t="shared" si="6"/>
        <v>437.56666666666683</v>
      </c>
      <c r="Z14" s="597">
        <f t="shared" si="6"/>
        <v>463.16666666666686</v>
      </c>
      <c r="AA14" s="597">
        <f t="shared" si="6"/>
        <v>488.76666666666688</v>
      </c>
      <c r="AB14" s="597">
        <f t="shared" si="6"/>
        <v>514.3666666666669</v>
      </c>
      <c r="AC14" s="597">
        <f t="shared" si="6"/>
        <v>539.96666666666692</v>
      </c>
      <c r="AD14" s="597">
        <f t="shared" si="6"/>
        <v>565.56666666666695</v>
      </c>
      <c r="AE14" s="597">
        <f t="shared" si="6"/>
        <v>591.16666666666697</v>
      </c>
      <c r="AF14" s="597">
        <f>AE14 + ($C$14*$C$17*(AF13-AE13))*(1/$C$13)</f>
        <v>616.76666666666699</v>
      </c>
      <c r="AG14" s="597">
        <f xml:space="preserve"> AF14 + (C15+C16) + (16+$C$14*$C$17*(AG13))*(1/$C$13)</f>
        <v>727.73333333333358</v>
      </c>
      <c r="AH14" s="597">
        <f xml:space="preserve"> AG14 + ($C$4*$C$7*(AH13-AG13))*(1/$C$3)</f>
        <v>753.3333333333336</v>
      </c>
      <c r="AI14" s="597">
        <f xml:space="preserve"> AH14 + ($C$14*$C$17*(AI13-AH13))*(1/$C$13)</f>
        <v>778.93333333333362</v>
      </c>
      <c r="AJ14" s="597">
        <f t="shared" ref="AJ14:BC14" si="7" xml:space="preserve"> AI14 + ($C$14*$C$17*(AJ13-AI13))*(1/$C$13)</f>
        <v>804.53333333333364</v>
      </c>
      <c r="AK14" s="597">
        <f t="shared" si="7"/>
        <v>830.13333333333367</v>
      </c>
      <c r="AL14" s="597">
        <f t="shared" si="7"/>
        <v>855.73333333333369</v>
      </c>
      <c r="AM14" s="597">
        <f t="shared" si="7"/>
        <v>881.33333333333371</v>
      </c>
      <c r="AN14" s="597">
        <f t="shared" si="7"/>
        <v>906.93333333333374</v>
      </c>
      <c r="AO14" s="597">
        <f t="shared" si="7"/>
        <v>932.53333333333376</v>
      </c>
      <c r="AP14" s="597">
        <f t="shared" si="7"/>
        <v>958.13333333333378</v>
      </c>
      <c r="AQ14" s="597">
        <f t="shared" si="7"/>
        <v>983.7333333333338</v>
      </c>
      <c r="AR14" s="597">
        <f t="shared" si="7"/>
        <v>1009.3333333333338</v>
      </c>
      <c r="AS14" s="597">
        <f t="shared" si="7"/>
        <v>1034.9333333333338</v>
      </c>
      <c r="AT14" s="597">
        <f t="shared" si="7"/>
        <v>1060.5333333333338</v>
      </c>
      <c r="AU14" s="597">
        <f t="shared" si="7"/>
        <v>1086.1333333333337</v>
      </c>
      <c r="AV14" s="597">
        <f t="shared" si="7"/>
        <v>1111.7333333333336</v>
      </c>
      <c r="AW14" s="597">
        <f t="shared" si="7"/>
        <v>1137.3333333333335</v>
      </c>
      <c r="AX14" s="597">
        <f t="shared" si="7"/>
        <v>1162.9333333333334</v>
      </c>
      <c r="AY14" s="597">
        <f t="shared" si="7"/>
        <v>1188.5333333333333</v>
      </c>
      <c r="AZ14" s="597">
        <f t="shared" si="7"/>
        <v>1214.1333333333332</v>
      </c>
      <c r="BA14" s="597">
        <f t="shared" si="7"/>
        <v>1239.7333333333331</v>
      </c>
      <c r="BB14" s="597">
        <f t="shared" si="7"/>
        <v>1265.333333333333</v>
      </c>
      <c r="BC14" s="597">
        <f t="shared" si="7"/>
        <v>1290.9333333333329</v>
      </c>
      <c r="BD14" s="597">
        <f xml:space="preserve"> BC14 + ($C$14*$C$17*(BD13-BC13))*(1/$C$13)</f>
        <v>1316.5333333333328</v>
      </c>
      <c r="BE14" s="597">
        <f xml:space="preserve"> BD14 + (C15+C16) + (16+$C$14*$C$17*(BE13))*(1/$C$13)</f>
        <v>1427.4999999999995</v>
      </c>
      <c r="BF14" s="597">
        <f xml:space="preserve"> BE14 + ($C$14*$C$17*(BF13-BE13))*(1/$C$13)</f>
        <v>1453.0999999999995</v>
      </c>
      <c r="BG14" s="597">
        <f t="shared" ref="BG14:CB14" si="8" xml:space="preserve"> BF14 + ($C$14*$C$17*(BG13-BF13))*(1/$C$13)</f>
        <v>1478.6999999999994</v>
      </c>
      <c r="BH14" s="597">
        <f t="shared" si="8"/>
        <v>1504.2999999999993</v>
      </c>
      <c r="BI14" s="597">
        <f t="shared" si="8"/>
        <v>1529.8999999999992</v>
      </c>
      <c r="BJ14" s="597">
        <f t="shared" si="8"/>
        <v>1555.4999999999991</v>
      </c>
      <c r="BK14" s="597">
        <f t="shared" si="8"/>
        <v>1581.099999999999</v>
      </c>
      <c r="BL14" s="597">
        <f t="shared" si="8"/>
        <v>1606.6999999999989</v>
      </c>
      <c r="BM14" s="597">
        <f t="shared" si="8"/>
        <v>1632.2999999999988</v>
      </c>
      <c r="BN14" s="597">
        <f t="shared" si="8"/>
        <v>1657.8999999999987</v>
      </c>
      <c r="BO14" s="597">
        <f t="shared" si="8"/>
        <v>1683.4999999999986</v>
      </c>
      <c r="BP14" s="597">
        <f t="shared" si="8"/>
        <v>1709.0999999999985</v>
      </c>
      <c r="BQ14" s="597">
        <f t="shared" si="8"/>
        <v>1734.6999999999985</v>
      </c>
      <c r="BR14" s="597">
        <f t="shared" si="8"/>
        <v>1760.2999999999984</v>
      </c>
      <c r="BS14" s="597">
        <f t="shared" si="8"/>
        <v>1785.8999999999983</v>
      </c>
      <c r="BT14" s="597">
        <f t="shared" si="8"/>
        <v>1811.4999999999982</v>
      </c>
      <c r="BU14" s="597">
        <f t="shared" si="8"/>
        <v>1837.0999999999981</v>
      </c>
      <c r="BV14" s="597">
        <f t="shared" si="8"/>
        <v>1862.699999999998</v>
      </c>
      <c r="BW14" s="597">
        <f t="shared" si="8"/>
        <v>1888.2999999999979</v>
      </c>
      <c r="BX14" s="597">
        <f t="shared" si="8"/>
        <v>1913.8999999999978</v>
      </c>
      <c r="BY14" s="597">
        <f t="shared" si="8"/>
        <v>1939.4999999999977</v>
      </c>
      <c r="BZ14" s="597">
        <f t="shared" si="8"/>
        <v>1965.0999999999976</v>
      </c>
      <c r="CA14" s="597">
        <f t="shared" si="8"/>
        <v>1990.6999999999975</v>
      </c>
      <c r="CB14" s="597">
        <f t="shared" si="8"/>
        <v>2016.2999999999975</v>
      </c>
      <c r="CC14" s="597"/>
      <c r="CD14" s="597"/>
      <c r="CE14" s="597"/>
      <c r="CF14" s="597"/>
      <c r="CG14" s="597"/>
      <c r="CH14" s="597"/>
      <c r="CI14" s="597"/>
      <c r="CJ14" s="597"/>
      <c r="CK14" s="597"/>
      <c r="CL14" s="597"/>
      <c r="CM14" s="597"/>
      <c r="CN14" s="597"/>
    </row>
    <row r="15" spans="2:92" x14ac:dyDescent="0.45">
      <c r="B15" s="607" t="s">
        <v>1656</v>
      </c>
      <c r="C15" s="604">
        <v>1.3</v>
      </c>
      <c r="D15" t="s">
        <v>1</v>
      </c>
      <c r="F15" s="611" t="s">
        <v>1664</v>
      </c>
      <c r="G15" s="2" t="s">
        <v>1651</v>
      </c>
      <c r="H15" s="595" t="s">
        <v>1090</v>
      </c>
      <c r="I15" s="1"/>
      <c r="U15" s="617">
        <v>1</v>
      </c>
      <c r="V15" s="617">
        <v>2</v>
      </c>
      <c r="W15" s="617">
        <v>3</v>
      </c>
      <c r="X15" s="617">
        <v>4</v>
      </c>
      <c r="Y15" s="617">
        <v>5</v>
      </c>
      <c r="Z15" s="617">
        <v>6</v>
      </c>
      <c r="AA15" s="617">
        <v>7</v>
      </c>
      <c r="AB15" s="617">
        <v>8</v>
      </c>
      <c r="AC15" s="617">
        <v>9</v>
      </c>
      <c r="AD15" s="617">
        <v>10</v>
      </c>
      <c r="AE15" s="617">
        <v>11</v>
      </c>
      <c r="AF15" s="617">
        <v>12</v>
      </c>
      <c r="AG15" s="617">
        <v>13</v>
      </c>
      <c r="AH15" s="617">
        <v>14</v>
      </c>
      <c r="AI15" s="617">
        <v>15</v>
      </c>
      <c r="AJ15" s="617">
        <v>16</v>
      </c>
      <c r="AK15" s="617">
        <v>17</v>
      </c>
      <c r="AL15" s="617">
        <v>18</v>
      </c>
      <c r="AM15" s="617">
        <v>19</v>
      </c>
      <c r="AN15" s="617">
        <v>20</v>
      </c>
      <c r="AO15" s="617">
        <v>21</v>
      </c>
      <c r="AP15" s="617">
        <v>22</v>
      </c>
      <c r="AQ15" s="617">
        <v>23</v>
      </c>
      <c r="AR15" s="617">
        <v>24</v>
      </c>
      <c r="AS15" s="617">
        <v>25</v>
      </c>
      <c r="AT15" s="617">
        <v>26</v>
      </c>
      <c r="AU15" s="617">
        <v>27</v>
      </c>
      <c r="AV15" s="617">
        <v>28</v>
      </c>
      <c r="AW15" s="617">
        <v>29</v>
      </c>
      <c r="AX15" s="617">
        <v>30</v>
      </c>
      <c r="AY15" s="617">
        <v>31</v>
      </c>
      <c r="AZ15" s="617">
        <v>32</v>
      </c>
      <c r="BA15" s="617">
        <v>33</v>
      </c>
      <c r="BB15" s="617">
        <v>34</v>
      </c>
      <c r="BC15" s="617">
        <v>35</v>
      </c>
      <c r="BD15" s="617">
        <v>36</v>
      </c>
      <c r="BE15" s="617">
        <v>37</v>
      </c>
      <c r="BF15" s="617">
        <v>38</v>
      </c>
      <c r="BG15" s="617">
        <v>39</v>
      </c>
      <c r="BH15" s="617">
        <v>40</v>
      </c>
      <c r="BI15" s="617">
        <v>41</v>
      </c>
      <c r="BJ15" s="617">
        <v>42</v>
      </c>
      <c r="BK15" s="617">
        <v>43</v>
      </c>
      <c r="BL15" s="617">
        <v>44</v>
      </c>
      <c r="BM15" s="617">
        <v>45</v>
      </c>
      <c r="BN15" s="617">
        <v>46</v>
      </c>
      <c r="BO15" s="617">
        <v>47</v>
      </c>
      <c r="BP15" s="617">
        <v>48</v>
      </c>
      <c r="BQ15" s="617">
        <v>49</v>
      </c>
      <c r="BR15" s="617">
        <v>50</v>
      </c>
      <c r="BS15" s="617">
        <v>51</v>
      </c>
      <c r="BT15" s="617">
        <v>52</v>
      </c>
      <c r="BU15" s="617">
        <v>53</v>
      </c>
      <c r="BV15" s="617">
        <v>54</v>
      </c>
      <c r="BW15" s="617">
        <v>55</v>
      </c>
      <c r="BX15" s="617">
        <v>56</v>
      </c>
      <c r="BY15" s="617">
        <v>57</v>
      </c>
      <c r="BZ15" s="617">
        <v>58</v>
      </c>
      <c r="CA15" s="617">
        <v>59</v>
      </c>
      <c r="CB15" s="617">
        <v>60</v>
      </c>
      <c r="CC15" s="617">
        <v>61</v>
      </c>
      <c r="CD15" s="617">
        <v>62</v>
      </c>
      <c r="CE15" s="617">
        <v>63</v>
      </c>
      <c r="CF15" s="617">
        <v>64</v>
      </c>
      <c r="CG15" s="617">
        <v>65</v>
      </c>
      <c r="CH15" s="617">
        <v>66</v>
      </c>
      <c r="CI15" s="617">
        <v>67</v>
      </c>
      <c r="CJ15" s="617">
        <v>68</v>
      </c>
      <c r="CK15" s="617">
        <v>69</v>
      </c>
      <c r="CL15" s="617">
        <v>70</v>
      </c>
      <c r="CM15" s="617">
        <v>71</v>
      </c>
      <c r="CN15" s="617">
        <v>72</v>
      </c>
    </row>
    <row r="16" spans="2:92" x14ac:dyDescent="0.45">
      <c r="B16" s="607" t="s">
        <v>1658</v>
      </c>
      <c r="C16" s="604">
        <f>1.7+80+C15</f>
        <v>83</v>
      </c>
      <c r="D16" t="s">
        <v>1</v>
      </c>
      <c r="F16" s="611"/>
      <c r="G16" s="600" t="s">
        <v>1660</v>
      </c>
      <c r="H16" s="614" t="s">
        <v>1</v>
      </c>
      <c r="I16" s="1"/>
      <c r="U16" s="597">
        <f xml:space="preserve"> $T$14 + (4*ROUNDUP(U15/$C$18,0)+($C$14)*U15) /$C$19</f>
        <v>345.56666666666672</v>
      </c>
      <c r="V16" s="597">
        <f t="shared" ref="V16:CG16" si="9" xml:space="preserve"> $T$14 + (4*ROUNDUP(V15/$C$18,0)+($C$14)*V15) /$C$19</f>
        <v>374.36666666666673</v>
      </c>
      <c r="W16" s="597">
        <f t="shared" si="9"/>
        <v>403.16666666666674</v>
      </c>
      <c r="X16" s="597">
        <f t="shared" si="9"/>
        <v>431.9666666666667</v>
      </c>
      <c r="Y16" s="597">
        <f t="shared" si="9"/>
        <v>460.76666666666671</v>
      </c>
      <c r="Z16" s="597">
        <f t="shared" si="9"/>
        <v>489.56666666666672</v>
      </c>
      <c r="AA16" s="597">
        <f t="shared" si="9"/>
        <v>518.36666666666667</v>
      </c>
      <c r="AB16" s="597">
        <f t="shared" si="9"/>
        <v>547.16666666666674</v>
      </c>
      <c r="AC16" s="597">
        <f t="shared" si="9"/>
        <v>575.9666666666667</v>
      </c>
      <c r="AD16" s="597">
        <f t="shared" si="9"/>
        <v>604.76666666666665</v>
      </c>
      <c r="AE16" s="597">
        <f t="shared" si="9"/>
        <v>633.56666666666672</v>
      </c>
      <c r="AF16" s="597">
        <f t="shared" si="9"/>
        <v>662.36666666666679</v>
      </c>
      <c r="AG16" s="597">
        <f t="shared" si="9"/>
        <v>698.36666666666667</v>
      </c>
      <c r="AH16" s="597">
        <f t="shared" si="9"/>
        <v>727.16666666666674</v>
      </c>
      <c r="AI16" s="597">
        <f t="shared" si="9"/>
        <v>755.9666666666667</v>
      </c>
      <c r="AJ16" s="597">
        <f t="shared" si="9"/>
        <v>784.76666666666665</v>
      </c>
      <c r="AK16" s="597">
        <f t="shared" si="9"/>
        <v>813.56666666666672</v>
      </c>
      <c r="AL16" s="597">
        <f t="shared" si="9"/>
        <v>842.36666666666667</v>
      </c>
      <c r="AM16" s="597">
        <f t="shared" si="9"/>
        <v>871.16666666666674</v>
      </c>
      <c r="AN16" s="597">
        <f t="shared" si="9"/>
        <v>899.9666666666667</v>
      </c>
      <c r="AO16" s="597">
        <f t="shared" si="9"/>
        <v>928.76666666666665</v>
      </c>
      <c r="AP16" s="597">
        <f t="shared" si="9"/>
        <v>957.56666666666672</v>
      </c>
      <c r="AQ16" s="597">
        <f t="shared" si="9"/>
        <v>986.36666666666667</v>
      </c>
      <c r="AR16" s="597">
        <f t="shared" si="9"/>
        <v>1015.1666666666667</v>
      </c>
      <c r="AS16" s="597">
        <f t="shared" si="9"/>
        <v>1051.1666666666667</v>
      </c>
      <c r="AT16" s="597">
        <f t="shared" si="9"/>
        <v>1079.9666666666667</v>
      </c>
      <c r="AU16" s="597">
        <f t="shared" si="9"/>
        <v>1108.7666666666667</v>
      </c>
      <c r="AV16" s="597">
        <f t="shared" si="9"/>
        <v>1137.5666666666666</v>
      </c>
      <c r="AW16" s="597">
        <f t="shared" si="9"/>
        <v>1166.3666666666668</v>
      </c>
      <c r="AX16" s="597">
        <f t="shared" si="9"/>
        <v>1195.1666666666665</v>
      </c>
      <c r="AY16" s="597">
        <f t="shared" si="9"/>
        <v>1223.9666666666667</v>
      </c>
      <c r="AZ16" s="597">
        <f t="shared" si="9"/>
        <v>1252.7666666666667</v>
      </c>
      <c r="BA16" s="597">
        <f t="shared" si="9"/>
        <v>1281.5666666666666</v>
      </c>
      <c r="BB16" s="597">
        <f t="shared" si="9"/>
        <v>1310.3666666666668</v>
      </c>
      <c r="BC16" s="597">
        <f t="shared" si="9"/>
        <v>1339.1666666666665</v>
      </c>
      <c r="BD16" s="597">
        <f t="shared" si="9"/>
        <v>1367.9666666666667</v>
      </c>
      <c r="BE16" s="597">
        <f t="shared" si="9"/>
        <v>1403.9666666666667</v>
      </c>
      <c r="BF16" s="597">
        <f t="shared" si="9"/>
        <v>1432.7666666666669</v>
      </c>
      <c r="BG16" s="597">
        <f t="shared" si="9"/>
        <v>1461.5666666666666</v>
      </c>
      <c r="BH16" s="597">
        <f t="shared" si="9"/>
        <v>1490.3666666666668</v>
      </c>
      <c r="BI16" s="597">
        <f t="shared" si="9"/>
        <v>1519.1666666666665</v>
      </c>
      <c r="BJ16" s="597">
        <f t="shared" si="9"/>
        <v>1547.9666666666667</v>
      </c>
      <c r="BK16" s="597">
        <f t="shared" si="9"/>
        <v>1576.7666666666669</v>
      </c>
      <c r="BL16" s="597">
        <f t="shared" si="9"/>
        <v>1605.5666666666666</v>
      </c>
      <c r="BM16" s="597">
        <f t="shared" si="9"/>
        <v>1634.3666666666668</v>
      </c>
      <c r="BN16" s="597">
        <f t="shared" si="9"/>
        <v>1663.1666666666665</v>
      </c>
      <c r="BO16" s="597">
        <f t="shared" si="9"/>
        <v>1691.9666666666667</v>
      </c>
      <c r="BP16" s="597">
        <f t="shared" si="9"/>
        <v>1720.7666666666669</v>
      </c>
      <c r="BQ16" s="597">
        <f t="shared" si="9"/>
        <v>1756.7666666666669</v>
      </c>
      <c r="BR16" s="597">
        <f t="shared" si="9"/>
        <v>1785.5666666666666</v>
      </c>
      <c r="BS16" s="597">
        <f t="shared" si="9"/>
        <v>1814.3666666666668</v>
      </c>
      <c r="BT16" s="597">
        <f t="shared" si="9"/>
        <v>1843.1666666666665</v>
      </c>
      <c r="BU16" s="597">
        <f t="shared" si="9"/>
        <v>1871.9666666666667</v>
      </c>
      <c r="BV16" s="597">
        <f t="shared" si="9"/>
        <v>1900.7666666666664</v>
      </c>
      <c r="BW16" s="597">
        <f t="shared" si="9"/>
        <v>1929.5666666666666</v>
      </c>
      <c r="BX16" s="597">
        <f t="shared" si="9"/>
        <v>1958.3666666666668</v>
      </c>
      <c r="BY16" s="597">
        <f t="shared" si="9"/>
        <v>1987.1666666666665</v>
      </c>
      <c r="BZ16" s="597">
        <f t="shared" si="9"/>
        <v>2015.9666666666667</v>
      </c>
      <c r="CA16" s="597">
        <f t="shared" si="9"/>
        <v>2044.7666666666664</v>
      </c>
      <c r="CB16" s="597">
        <f t="shared" si="9"/>
        <v>2073.5666666666666</v>
      </c>
      <c r="CC16" s="597">
        <f t="shared" si="9"/>
        <v>2109.5666666666666</v>
      </c>
      <c r="CD16" s="597">
        <f t="shared" si="9"/>
        <v>2138.3666666666668</v>
      </c>
      <c r="CE16" s="597">
        <f t="shared" si="9"/>
        <v>2167.1666666666665</v>
      </c>
      <c r="CF16" s="597">
        <f t="shared" si="9"/>
        <v>2195.9666666666667</v>
      </c>
      <c r="CG16" s="597">
        <f t="shared" si="9"/>
        <v>2224.7666666666664</v>
      </c>
      <c r="CH16" s="597">
        <f t="shared" ref="CH16:CM16" si="10" xml:space="preserve"> $T$14 + (4*ROUNDUP(CH15/$C$18,0)+($C$14)*CH15) /$C$19</f>
        <v>2253.5666666666666</v>
      </c>
      <c r="CI16" s="597">
        <f t="shared" si="10"/>
        <v>2282.3666666666668</v>
      </c>
      <c r="CJ16" s="597">
        <f t="shared" si="10"/>
        <v>2311.1666666666665</v>
      </c>
      <c r="CK16" s="597">
        <f t="shared" si="10"/>
        <v>2339.9666666666667</v>
      </c>
      <c r="CL16" s="597">
        <f t="shared" si="10"/>
        <v>2368.7666666666664</v>
      </c>
      <c r="CM16" s="597">
        <f t="shared" si="10"/>
        <v>2397.5666666666666</v>
      </c>
      <c r="CN16" s="597">
        <f xml:space="preserve"> $T$14 + (4*ROUNDUP(CN15/$C$18,0)+($C$14)*CN15) /$C$19</f>
        <v>2426.3666666666663</v>
      </c>
    </row>
    <row r="17" spans="2:92" x14ac:dyDescent="0.45">
      <c r="B17" s="607" t="s">
        <v>1655</v>
      </c>
      <c r="C17" s="604">
        <v>24</v>
      </c>
      <c r="D17" t="s">
        <v>5</v>
      </c>
      <c r="F17" s="611" t="s">
        <v>1666</v>
      </c>
      <c r="G17" s="619">
        <v>12</v>
      </c>
      <c r="H17" s="614" t="s">
        <v>5</v>
      </c>
    </row>
    <row r="18" spans="2:92" x14ac:dyDescent="0.45">
      <c r="B18" s="607" t="s">
        <v>1659</v>
      </c>
      <c r="C18" s="604">
        <v>12</v>
      </c>
      <c r="D18" t="s">
        <v>5</v>
      </c>
      <c r="F18" s="611"/>
      <c r="G18" s="596"/>
      <c r="H18" s="595"/>
    </row>
    <row r="19" spans="2:92" x14ac:dyDescent="0.45">
      <c r="B19" s="607" t="s">
        <v>1647</v>
      </c>
      <c r="C19" s="605">
        <f>1/1.8</f>
        <v>0.55555555555555558</v>
      </c>
      <c r="D19" t="s">
        <v>10</v>
      </c>
      <c r="F19" s="611" t="s">
        <v>1650</v>
      </c>
      <c r="G19" s="2" t="s">
        <v>1653</v>
      </c>
      <c r="H19" s="595" t="s">
        <v>5</v>
      </c>
      <c r="I19" s="601"/>
      <c r="J19" s="599"/>
      <c r="K19" s="599"/>
      <c r="L19" s="599"/>
      <c r="M19" s="599"/>
      <c r="N19" s="599"/>
      <c r="O19" s="599"/>
      <c r="P19" s="599"/>
      <c r="Q19" s="599"/>
      <c r="R19" s="599"/>
      <c r="S19" s="599"/>
      <c r="T19" s="602"/>
      <c r="U19" s="602"/>
      <c r="V19" s="602"/>
      <c r="W19" s="602"/>
      <c r="X19" s="602"/>
      <c r="Y19" s="602"/>
      <c r="Z19" s="602"/>
      <c r="AA19" s="602"/>
      <c r="AB19" s="602"/>
      <c r="AC19" s="602"/>
      <c r="AD19" s="602"/>
      <c r="AE19" s="602"/>
      <c r="AF19" s="602"/>
      <c r="AG19" s="602"/>
      <c r="AH19" s="602"/>
      <c r="AI19" s="602"/>
      <c r="AJ19" s="602"/>
      <c r="AK19" s="602"/>
      <c r="AL19" s="602"/>
      <c r="AM19" s="602"/>
      <c r="AN19" s="602"/>
      <c r="AO19" s="602"/>
      <c r="AP19" s="602"/>
      <c r="AQ19" s="602"/>
      <c r="AR19" s="602"/>
      <c r="AS19" s="602"/>
      <c r="AT19" s="602"/>
      <c r="AU19" s="602"/>
      <c r="AV19" s="602"/>
      <c r="AW19" s="602"/>
      <c r="AX19" s="602"/>
      <c r="AY19" s="602"/>
      <c r="AZ19" s="602"/>
      <c r="BA19" s="602"/>
      <c r="BB19" s="602"/>
      <c r="BC19" s="602"/>
      <c r="BD19" s="602"/>
      <c r="BE19" s="602"/>
      <c r="BF19" s="602"/>
      <c r="BG19" s="602"/>
      <c r="BH19" s="602"/>
      <c r="BI19" s="602"/>
      <c r="BJ19" s="602"/>
      <c r="BK19" s="602"/>
      <c r="BL19" s="602"/>
      <c r="BM19" s="602"/>
      <c r="BN19" s="602"/>
      <c r="BO19" s="602"/>
      <c r="BP19" s="602"/>
      <c r="BQ19" s="602"/>
      <c r="BR19" s="602"/>
      <c r="BS19" s="602"/>
      <c r="BT19" s="602"/>
      <c r="BU19" s="602"/>
      <c r="BV19" s="598"/>
      <c r="BW19" s="598"/>
      <c r="BX19" s="598"/>
      <c r="BY19" s="598"/>
      <c r="BZ19" s="598">
        <f>$CB$12-BZ15</f>
        <v>14</v>
      </c>
      <c r="CA19" s="598">
        <f t="shared" ref="CA19:CN19" si="11">$CB$12-CA15</f>
        <v>13</v>
      </c>
      <c r="CB19" s="598">
        <f t="shared" si="11"/>
        <v>12</v>
      </c>
      <c r="CC19" s="598">
        <f t="shared" si="11"/>
        <v>11</v>
      </c>
      <c r="CD19" s="598">
        <f t="shared" si="11"/>
        <v>10</v>
      </c>
      <c r="CE19" s="598">
        <f t="shared" si="11"/>
        <v>9</v>
      </c>
      <c r="CF19" s="598">
        <f t="shared" si="11"/>
        <v>8</v>
      </c>
      <c r="CG19" s="598">
        <f t="shared" si="11"/>
        <v>7</v>
      </c>
      <c r="CH19" s="598">
        <f t="shared" si="11"/>
        <v>6</v>
      </c>
      <c r="CI19" s="598">
        <f t="shared" si="11"/>
        <v>5</v>
      </c>
      <c r="CJ19" s="598">
        <f t="shared" si="11"/>
        <v>4</v>
      </c>
      <c r="CK19" s="598">
        <f t="shared" si="11"/>
        <v>3</v>
      </c>
      <c r="CL19" s="598">
        <f t="shared" si="11"/>
        <v>2</v>
      </c>
      <c r="CM19" s="598">
        <f t="shared" si="11"/>
        <v>1</v>
      </c>
      <c r="CN19" s="598">
        <f t="shared" si="11"/>
        <v>0</v>
      </c>
    </row>
    <row r="21" spans="2:92" x14ac:dyDescent="0.45">
      <c r="U21" s="597"/>
      <c r="V21" s="597"/>
      <c r="W21" s="597"/>
      <c r="X21" s="597"/>
      <c r="Y21" s="597"/>
      <c r="Z21" s="597"/>
      <c r="AA21" s="597"/>
      <c r="AB21" s="597"/>
      <c r="AC21" s="597"/>
      <c r="AD21" s="597"/>
      <c r="AE21" s="597"/>
      <c r="AF21" s="597"/>
      <c r="AG21" s="597"/>
      <c r="AH21" s="597"/>
      <c r="AI21" s="597"/>
      <c r="AJ21" s="597"/>
      <c r="AK21" s="597"/>
      <c r="AL21" s="597"/>
      <c r="AM21" s="597"/>
      <c r="AN21" s="597"/>
      <c r="AO21" s="597"/>
      <c r="AP21" s="597"/>
      <c r="AQ21" s="597"/>
      <c r="AR21" s="597"/>
      <c r="AS21" s="597"/>
      <c r="AT21" s="597"/>
      <c r="AU21" s="597"/>
      <c r="AV21" s="597"/>
      <c r="AW21" s="597"/>
      <c r="AX21" s="597"/>
      <c r="AY21" s="597"/>
      <c r="AZ21" s="597"/>
      <c r="BA21" s="597"/>
      <c r="BB21" s="597"/>
      <c r="BC21" s="597"/>
      <c r="BD21" s="597"/>
      <c r="BE21" s="597"/>
      <c r="BF21" s="597"/>
      <c r="BG21" s="597"/>
      <c r="BH21" s="597"/>
      <c r="BI21" s="597"/>
      <c r="BJ21" s="597"/>
      <c r="BK21" s="597"/>
      <c r="BL21" s="597"/>
      <c r="BM21" s="597"/>
      <c r="BN21" s="597"/>
      <c r="BO21" s="597"/>
      <c r="BP21" s="597"/>
      <c r="BQ21" s="597"/>
      <c r="BR21" s="597"/>
      <c r="BS21" s="597"/>
      <c r="BT21" s="597"/>
      <c r="BU21" s="597"/>
      <c r="BV21" s="597"/>
      <c r="BW21" s="597"/>
      <c r="BX21" s="597"/>
      <c r="BY21" s="597"/>
      <c r="BZ21" s="597"/>
      <c r="CA21" s="597"/>
      <c r="CB21" s="597"/>
      <c r="CC21" s="597"/>
      <c r="CD21" s="597"/>
      <c r="CE21" s="597"/>
      <c r="CF21" s="597"/>
      <c r="CG21" s="597"/>
      <c r="CH21" s="597"/>
      <c r="CI21" s="597"/>
      <c r="CJ21" s="597"/>
      <c r="CK21" s="597"/>
      <c r="CL21" s="597"/>
      <c r="CM21" s="597"/>
      <c r="CN21" s="597"/>
    </row>
    <row r="22" spans="2:92" x14ac:dyDescent="0.45">
      <c r="B22" s="2"/>
      <c r="C22" s="231"/>
      <c r="D22" s="224"/>
      <c r="F22" s="224"/>
      <c r="G22" s="224"/>
      <c r="H22" s="224"/>
      <c r="I22" s="224"/>
    </row>
    <row r="23" spans="2:92" x14ac:dyDescent="0.45">
      <c r="B23" s="2" t="s">
        <v>1643</v>
      </c>
      <c r="C23" s="13">
        <v>2</v>
      </c>
      <c r="D23" s="5" t="s">
        <v>0</v>
      </c>
      <c r="F23" s="13"/>
      <c r="G23" s="13"/>
      <c r="H23" s="13"/>
      <c r="I23" s="13"/>
    </row>
    <row r="24" spans="2:92" x14ac:dyDescent="0.45">
      <c r="B24" s="2"/>
      <c r="C24" s="13">
        <f>1/C23</f>
        <v>0.5</v>
      </c>
      <c r="D24" s="5" t="s">
        <v>1</v>
      </c>
      <c r="F24" s="13"/>
      <c r="G24" s="13"/>
      <c r="H24" s="13"/>
      <c r="I24" s="13"/>
    </row>
    <row r="25" spans="2:92" x14ac:dyDescent="0.45">
      <c r="B25" s="2" t="s">
        <v>1665</v>
      </c>
      <c r="C25" s="13">
        <v>720</v>
      </c>
      <c r="D25" s="5" t="s">
        <v>5</v>
      </c>
      <c r="F25" s="13"/>
      <c r="G25" s="13"/>
      <c r="H25" s="13"/>
      <c r="I25" s="13"/>
    </row>
    <row r="26" spans="2:92" x14ac:dyDescent="0.45">
      <c r="B26" s="2" t="s">
        <v>1644</v>
      </c>
      <c r="C26" s="13">
        <v>1</v>
      </c>
      <c r="D26" s="5" t="s">
        <v>1645</v>
      </c>
      <c r="G26" s="13">
        <f>(C25/C26+1)*14*C24+2</f>
        <v>5049</v>
      </c>
      <c r="H26" s="13"/>
      <c r="I26" s="13"/>
    </row>
    <row r="27" spans="2:92" x14ac:dyDescent="0.45">
      <c r="B27" s="2" t="s">
        <v>1646</v>
      </c>
      <c r="C27" s="231">
        <v>15</v>
      </c>
      <c r="D27" s="224" t="s">
        <v>0</v>
      </c>
      <c r="F27" s="231"/>
      <c r="G27" s="231">
        <v>72</v>
      </c>
      <c r="H27" s="231" t="s">
        <v>5</v>
      </c>
      <c r="I27" s="231"/>
    </row>
    <row r="28" spans="2:92" x14ac:dyDescent="0.45">
      <c r="B28" s="2"/>
      <c r="C28" s="585">
        <f>1/C27</f>
        <v>6.6666666666666666E-2</v>
      </c>
      <c r="D28" s="224" t="s">
        <v>1</v>
      </c>
      <c r="F28" s="586"/>
      <c r="G28" s="586">
        <f xml:space="preserve"> ((16+16*24*24)*$C$28 + 2)*3 + 100*2</f>
        <v>2052.4</v>
      </c>
      <c r="H28" s="586" t="s">
        <v>1</v>
      </c>
      <c r="I28" s="586"/>
    </row>
    <row r="29" spans="2:92" x14ac:dyDescent="0.45">
      <c r="B29" s="2" t="s">
        <v>1088</v>
      </c>
      <c r="C29" s="13">
        <v>10</v>
      </c>
      <c r="D29" s="5" t="s">
        <v>0</v>
      </c>
      <c r="F29" s="587"/>
      <c r="G29" s="587">
        <f>G31-G28</f>
        <v>64.399999999999636</v>
      </c>
      <c r="H29" s="587"/>
      <c r="I29" s="587"/>
      <c r="J29" s="587"/>
      <c r="K29" s="587"/>
      <c r="L29" s="587"/>
    </row>
    <row r="30" spans="2:92" x14ac:dyDescent="0.45">
      <c r="B30" s="2"/>
      <c r="C30" s="13">
        <f>1/C29</f>
        <v>0.1</v>
      </c>
      <c r="D30" s="5" t="s">
        <v>1</v>
      </c>
      <c r="F30" s="587"/>
      <c r="G30" s="587"/>
      <c r="H30" s="587"/>
      <c r="I30" s="587"/>
    </row>
    <row r="31" spans="2:92" x14ac:dyDescent="0.45">
      <c r="B31" s="2" t="s">
        <v>1647</v>
      </c>
      <c r="C31" s="573">
        <f>1/(C30*(C32+D32))</f>
        <v>0.55555555555555558</v>
      </c>
      <c r="D31" s="228" t="s">
        <v>10</v>
      </c>
      <c r="F31" s="589"/>
      <c r="G31" s="589">
        <f xml:space="preserve"> ((4+16*12)*6)*(1/C31)</f>
        <v>2116.7999999999997</v>
      </c>
      <c r="H31" s="589" t="s">
        <v>1</v>
      </c>
      <c r="I31" s="589"/>
    </row>
    <row r="32" spans="2:92" x14ac:dyDescent="0.45">
      <c r="B32" s="2" t="s">
        <v>1648</v>
      </c>
      <c r="C32" s="573">
        <v>6</v>
      </c>
      <c r="D32" s="573">
        <f>C32*2</f>
        <v>12</v>
      </c>
      <c r="F32" s="590">
        <f>C40*C42/C30</f>
        <v>6.1001260042027425</v>
      </c>
      <c r="G32" s="590">
        <f>C40*D42/C30</f>
        <v>12.200252008405485</v>
      </c>
      <c r="H32" s="573"/>
      <c r="I32" s="573"/>
    </row>
    <row r="33" spans="2:9" x14ac:dyDescent="0.45">
      <c r="B33" s="2" t="s">
        <v>1</v>
      </c>
      <c r="C33" s="13">
        <f>$C$30*C32</f>
        <v>0.60000000000000009</v>
      </c>
      <c r="D33" s="13">
        <f>$C$30*D32</f>
        <v>1.2000000000000002</v>
      </c>
      <c r="F33" s="587">
        <f>C33+D33</f>
        <v>1.8000000000000003</v>
      </c>
      <c r="G33" s="587"/>
      <c r="H33" s="13"/>
      <c r="I33" s="13"/>
    </row>
    <row r="34" spans="2:9" x14ac:dyDescent="0.45">
      <c r="B34" s="2" t="s">
        <v>1649</v>
      </c>
      <c r="C34" s="231"/>
      <c r="D34" s="224"/>
      <c r="F34" s="585"/>
      <c r="G34" s="585"/>
      <c r="H34" s="585"/>
      <c r="I34" s="585"/>
    </row>
    <row r="35" spans="2:9" x14ac:dyDescent="0.45">
      <c r="B35" s="2"/>
      <c r="C35" s="2"/>
      <c r="D35" s="224"/>
      <c r="F35" s="591"/>
      <c r="G35" s="591"/>
      <c r="H35" s="591"/>
      <c r="I35" s="591"/>
    </row>
    <row r="36" spans="2:9" x14ac:dyDescent="0.45">
      <c r="B36" s="2" t="s">
        <v>1232</v>
      </c>
      <c r="C36" s="2">
        <v>120</v>
      </c>
      <c r="D36" s="224" t="s">
        <v>4</v>
      </c>
      <c r="F36" s="592"/>
      <c r="G36" s="592"/>
      <c r="H36" s="592"/>
      <c r="I36" s="592"/>
    </row>
    <row r="37" spans="2:9" x14ac:dyDescent="0.45">
      <c r="B37" s="2"/>
      <c r="C37" s="2"/>
      <c r="D37" s="2"/>
      <c r="F37" s="2"/>
      <c r="G37" s="2"/>
      <c r="H37" s="2"/>
      <c r="I37" s="2"/>
    </row>
    <row r="38" spans="2:9" x14ac:dyDescent="0.45">
      <c r="B38" s="2"/>
      <c r="C38" s="2"/>
      <c r="D38" s="2"/>
      <c r="F38" s="2"/>
      <c r="G38" s="2"/>
      <c r="H38" s="2"/>
      <c r="I38" s="2"/>
    </row>
    <row r="39" spans="2:9" x14ac:dyDescent="0.45">
      <c r="B39" s="2" t="s">
        <v>24</v>
      </c>
      <c r="C39" s="13">
        <v>39.3434496</v>
      </c>
      <c r="D39" s="5" t="s">
        <v>0</v>
      </c>
      <c r="F39" s="13"/>
      <c r="G39" s="13"/>
      <c r="H39" s="13"/>
      <c r="I39" s="13"/>
    </row>
    <row r="40" spans="2:9" x14ac:dyDescent="0.45">
      <c r="B40" s="2"/>
      <c r="C40" s="583">
        <f>1/C39</f>
        <v>2.5417191684178095E-2</v>
      </c>
      <c r="D40" s="5" t="s">
        <v>1</v>
      </c>
      <c r="F40" s="13"/>
      <c r="G40" s="13"/>
      <c r="H40" s="13"/>
      <c r="I40" s="13"/>
    </row>
    <row r="41" spans="2:9" x14ac:dyDescent="0.45">
      <c r="B41" s="2" t="s">
        <v>1647</v>
      </c>
      <c r="C41" s="583">
        <f>1/(C40*(C42+D42))</f>
        <v>0.54643679999999994</v>
      </c>
      <c r="D41" s="5" t="s">
        <v>10</v>
      </c>
      <c r="F41" s="13"/>
      <c r="G41" s="13"/>
      <c r="H41" s="13"/>
      <c r="I41" s="13"/>
    </row>
    <row r="42" spans="2:9" x14ac:dyDescent="0.45">
      <c r="B42" s="2" t="s">
        <v>1648</v>
      </c>
      <c r="C42" s="13">
        <v>24</v>
      </c>
      <c r="D42" s="13">
        <f>C42*2</f>
        <v>48</v>
      </c>
      <c r="F42" s="618">
        <f>C30*C32/C40</f>
        <v>23.606069760000004</v>
      </c>
      <c r="G42" s="618">
        <f>C30*D32/C40</f>
        <v>47.212139520000008</v>
      </c>
      <c r="H42" s="13"/>
      <c r="I42" s="13"/>
    </row>
    <row r="43" spans="2:9" x14ac:dyDescent="0.45">
      <c r="B43" s="2" t="s">
        <v>1</v>
      </c>
      <c r="C43" s="13">
        <f>$C$40*C42</f>
        <v>0.61001260042027428</v>
      </c>
      <c r="D43" s="13">
        <f>$C$40*D42</f>
        <v>1.2200252008405486</v>
      </c>
      <c r="F43" s="593">
        <f>C43+D43</f>
        <v>1.8300378012608229</v>
      </c>
      <c r="G43" s="593"/>
      <c r="H43" s="13"/>
      <c r="I43" s="13"/>
    </row>
    <row r="44" spans="2:9" x14ac:dyDescent="0.45">
      <c r="B44" s="2"/>
      <c r="C44" s="2"/>
      <c r="D44" s="2"/>
      <c r="F44" s="2"/>
      <c r="G44" s="2"/>
      <c r="H44" s="2"/>
      <c r="I44" s="2"/>
    </row>
  </sheetData>
  <phoneticPr fontId="2" type="noConversion"/>
  <pageMargins left="0.7" right="0.7" top="0.75" bottom="0.75" header="0.3" footer="0.3"/>
  <ignoredErrors>
    <ignoredError sqref="BE14 BE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6A47-C2C8-4998-BCDE-E962A28DC77B}">
  <dimension ref="B2:AF39"/>
  <sheetViews>
    <sheetView showGridLines="0" zoomScale="110" zoomScaleNormal="110" workbookViewId="0">
      <selection activeCell="E28" sqref="E28"/>
    </sheetView>
  </sheetViews>
  <sheetFormatPr defaultRowHeight="17" x14ac:dyDescent="0.45"/>
  <cols>
    <col min="2" max="2" width="11" style="1" bestFit="1" customWidth="1"/>
    <col min="3" max="3" width="7.1640625" style="13" bestFit="1" customWidth="1"/>
    <col min="4" max="4" width="6.1640625" style="13" bestFit="1" customWidth="1"/>
    <col min="5" max="5" width="6.9140625" style="13" bestFit="1" customWidth="1"/>
    <col min="6" max="6" width="8.1640625" style="13" bestFit="1" customWidth="1"/>
    <col min="7" max="9" width="8.6640625" style="13" bestFit="1" customWidth="1"/>
    <col min="10" max="10" width="6.25" style="13" bestFit="1" customWidth="1"/>
    <col min="11" max="11" width="6.1640625" style="13" bestFit="1" customWidth="1"/>
    <col min="12" max="12" width="8.25" style="13" bestFit="1" customWidth="1"/>
    <col min="13" max="13" width="7.25" style="13" bestFit="1" customWidth="1"/>
    <col min="14" max="14" width="9.6640625" style="13" bestFit="1" customWidth="1"/>
    <col min="15" max="15" width="9.25" style="13" bestFit="1" customWidth="1"/>
    <col min="16" max="16" width="7.08203125" style="1" customWidth="1"/>
    <col min="17" max="17" width="8" style="1" bestFit="1" customWidth="1"/>
    <col min="18" max="18" width="5.1640625" style="13" customWidth="1"/>
    <col min="19" max="19" width="5.25" style="13" customWidth="1"/>
    <col min="20" max="21" width="7.25" style="1" bestFit="1" customWidth="1"/>
    <col min="22" max="22" width="6.75" style="1" bestFit="1" customWidth="1"/>
    <col min="23" max="23" width="7.25" style="1" bestFit="1" customWidth="1"/>
    <col min="24" max="24" width="6.33203125" style="1" customWidth="1"/>
  </cols>
  <sheetData>
    <row r="2" spans="2:25" x14ac:dyDescent="0.45">
      <c r="B2" s="516" t="s">
        <v>1610</v>
      </c>
      <c r="C2" s="689" t="s">
        <v>1611</v>
      </c>
      <c r="D2" s="689"/>
      <c r="E2" s="689"/>
      <c r="F2" s="563" t="s">
        <v>1612</v>
      </c>
      <c r="G2" s="563" t="s">
        <v>1613</v>
      </c>
      <c r="H2" s="563" t="s">
        <v>1614</v>
      </c>
      <c r="I2" s="689" t="s">
        <v>1615</v>
      </c>
      <c r="J2" s="689"/>
      <c r="K2" s="689" t="s">
        <v>1616</v>
      </c>
      <c r="L2" s="689"/>
      <c r="M2" s="689"/>
      <c r="N2" s="622" t="s">
        <v>1617</v>
      </c>
      <c r="O2" s="624"/>
      <c r="P2" s="622" t="s">
        <v>1618</v>
      </c>
      <c r="Q2" s="624"/>
      <c r="R2" s="687" t="s">
        <v>1619</v>
      </c>
      <c r="S2" s="688"/>
      <c r="T2" s="563" t="s">
        <v>1620</v>
      </c>
      <c r="U2" s="563" t="s">
        <v>1230</v>
      </c>
      <c r="V2" s="563" t="s">
        <v>1230</v>
      </c>
      <c r="W2" s="563" t="s">
        <v>1230</v>
      </c>
      <c r="X2" s="563" t="s">
        <v>1621</v>
      </c>
    </row>
    <row r="3" spans="2:25" x14ac:dyDescent="0.45">
      <c r="B3" s="518"/>
      <c r="C3" s="566" t="s">
        <v>1622</v>
      </c>
      <c r="D3" s="566" t="s">
        <v>1623</v>
      </c>
      <c r="E3" s="566" t="s">
        <v>1624</v>
      </c>
      <c r="F3" s="566" t="s">
        <v>1625</v>
      </c>
      <c r="G3" s="566" t="s">
        <v>1626</v>
      </c>
      <c r="H3" s="566" t="s">
        <v>1627</v>
      </c>
      <c r="I3" s="566" t="s">
        <v>1622</v>
      </c>
      <c r="J3" s="566" t="s">
        <v>1623</v>
      </c>
      <c r="K3" s="566" t="s">
        <v>1622</v>
      </c>
      <c r="L3" s="566" t="s">
        <v>1623</v>
      </c>
      <c r="M3" s="566" t="s">
        <v>1624</v>
      </c>
      <c r="N3" s="300" t="s">
        <v>1628</v>
      </c>
      <c r="O3" s="567">
        <v>8</v>
      </c>
      <c r="P3" s="566" t="s">
        <v>1627</v>
      </c>
      <c r="Q3" s="566" t="s">
        <v>1624</v>
      </c>
      <c r="R3" s="568"/>
      <c r="S3" s="569"/>
      <c r="T3" s="566" t="s">
        <v>1627</v>
      </c>
      <c r="U3" s="566" t="s">
        <v>1627</v>
      </c>
      <c r="V3" s="566" t="s">
        <v>1629</v>
      </c>
      <c r="W3" s="566" t="s">
        <v>1624</v>
      </c>
      <c r="X3" s="566" t="s">
        <v>1630</v>
      </c>
    </row>
    <row r="4" spans="2:25" x14ac:dyDescent="0.45">
      <c r="B4" s="2" t="s">
        <v>1631</v>
      </c>
      <c r="F4" s="135"/>
      <c r="G4" s="13">
        <v>6</v>
      </c>
      <c r="H4" s="13">
        <f>E4/G4</f>
        <v>0</v>
      </c>
      <c r="I4" s="13">
        <v>3</v>
      </c>
      <c r="J4" s="13">
        <f>$G$4/I4</f>
        <v>2</v>
      </c>
      <c r="K4" s="13">
        <f>$C$4/I4</f>
        <v>0</v>
      </c>
      <c r="L4" s="13">
        <f>$D$4/J4</f>
        <v>0</v>
      </c>
      <c r="M4" s="13">
        <f>K4*L4</f>
        <v>0</v>
      </c>
      <c r="N4" s="570">
        <f>M4/$O$3</f>
        <v>0</v>
      </c>
      <c r="O4" s="222">
        <f>ROUNDUP(N4,0)</f>
        <v>0</v>
      </c>
      <c r="P4" s="13"/>
      <c r="Q4" s="13">
        <f>G4*P4</f>
        <v>0</v>
      </c>
      <c r="R4" s="571" t="e">
        <f>O4/P4</f>
        <v>#DIV/0!</v>
      </c>
      <c r="S4" s="13" t="e">
        <f>ROUNDUP(R4,0)</f>
        <v>#DIV/0!</v>
      </c>
      <c r="U4" s="572">
        <f>E11*M4</f>
        <v>0</v>
      </c>
      <c r="V4" s="572" t="e">
        <f>U4/L4</f>
        <v>#DIV/0!</v>
      </c>
      <c r="W4" s="572">
        <f>U4*G4</f>
        <v>0</v>
      </c>
      <c r="X4" s="572">
        <f>G11*$O$3</f>
        <v>207.52</v>
      </c>
    </row>
    <row r="5" spans="2:25" x14ac:dyDescent="0.45">
      <c r="B5" s="2" t="s">
        <v>1632</v>
      </c>
      <c r="C5" s="573">
        <v>40</v>
      </c>
      <c r="D5" s="573">
        <v>18</v>
      </c>
      <c r="E5" s="573">
        <f t="shared" ref="E5" si="0">C5*D5</f>
        <v>720</v>
      </c>
      <c r="F5" s="573"/>
      <c r="G5" s="573">
        <v>8</v>
      </c>
      <c r="H5" s="573">
        <f t="shared" ref="H5" si="1">E5/G5</f>
        <v>90</v>
      </c>
      <c r="I5" s="573">
        <v>4</v>
      </c>
      <c r="J5" s="573">
        <f>$G$5/I5</f>
        <v>2</v>
      </c>
      <c r="K5" s="573">
        <f>$C$5/I5</f>
        <v>10</v>
      </c>
      <c r="L5" s="573">
        <f>$D$5/J5</f>
        <v>9</v>
      </c>
      <c r="M5" s="573">
        <f t="shared" ref="M5" si="2">K5*L5</f>
        <v>90</v>
      </c>
      <c r="N5" s="574">
        <f>M5/$O$3</f>
        <v>11.25</v>
      </c>
      <c r="O5" s="575">
        <f t="shared" ref="O5:O7" si="3">ROUNDUP(N5,0)</f>
        <v>12</v>
      </c>
      <c r="P5" s="573">
        <v>2</v>
      </c>
      <c r="Q5" s="573">
        <f>G5*P5</f>
        <v>16</v>
      </c>
      <c r="R5" s="576">
        <f>O5/P5</f>
        <v>6</v>
      </c>
      <c r="S5" s="573">
        <f>ROUNDUP(R5,0)</f>
        <v>6</v>
      </c>
      <c r="T5" s="227"/>
      <c r="U5" s="577">
        <f>E12*M5</f>
        <v>2364.3000000000002</v>
      </c>
      <c r="V5" s="577">
        <f>U5/L5</f>
        <v>262.70000000000005</v>
      </c>
      <c r="W5" s="577">
        <f>U5*G5</f>
        <v>18914.400000000001</v>
      </c>
      <c r="X5" s="572">
        <f t="shared" ref="X5:X7" si="4">G12*$O$3</f>
        <v>210.16</v>
      </c>
    </row>
    <row r="6" spans="2:25" x14ac:dyDescent="0.45">
      <c r="B6" s="2" t="s">
        <v>1633</v>
      </c>
      <c r="G6" s="13">
        <v>10</v>
      </c>
      <c r="H6" s="13">
        <f>E6/G6</f>
        <v>0</v>
      </c>
      <c r="I6" s="13">
        <v>5</v>
      </c>
      <c r="J6" s="13">
        <f>$G$6/I6</f>
        <v>2</v>
      </c>
      <c r="K6" s="13">
        <f>$C$6/I6</f>
        <v>0</v>
      </c>
      <c r="L6" s="13">
        <f>$D$6/J6</f>
        <v>0</v>
      </c>
      <c r="M6" s="13">
        <f>K6*L6</f>
        <v>0</v>
      </c>
      <c r="N6" s="570">
        <f>M6/$O$3</f>
        <v>0</v>
      </c>
      <c r="O6" s="222">
        <f t="shared" si="3"/>
        <v>0</v>
      </c>
      <c r="P6" s="13"/>
      <c r="Q6" s="13">
        <f>G6*P6</f>
        <v>0</v>
      </c>
      <c r="R6" s="571" t="e">
        <f>O6/P6</f>
        <v>#DIV/0!</v>
      </c>
      <c r="S6" s="13" t="e">
        <f>ROUNDUP(R6,0)</f>
        <v>#DIV/0!</v>
      </c>
      <c r="U6" s="572">
        <f>E13*M6</f>
        <v>0</v>
      </c>
      <c r="V6" s="572" t="e">
        <f>U6/L6</f>
        <v>#DIV/0!</v>
      </c>
      <c r="W6" s="572">
        <f>U6*G6</f>
        <v>0</v>
      </c>
      <c r="X6" s="572">
        <f t="shared" si="4"/>
        <v>214.72</v>
      </c>
    </row>
    <row r="7" spans="2:25" x14ac:dyDescent="0.45">
      <c r="B7" s="2" t="s">
        <v>1634</v>
      </c>
      <c r="C7" s="573"/>
      <c r="D7" s="573"/>
      <c r="E7" s="573"/>
      <c r="F7" s="573"/>
      <c r="G7" s="573">
        <v>12</v>
      </c>
      <c r="H7" s="573">
        <f>E7/G7</f>
        <v>0</v>
      </c>
      <c r="I7" s="573">
        <v>6</v>
      </c>
      <c r="J7" s="573">
        <f>$G$7/I7</f>
        <v>2</v>
      </c>
      <c r="K7" s="573">
        <f>$C$7/I7</f>
        <v>0</v>
      </c>
      <c r="L7" s="573">
        <f>$D$7/J7</f>
        <v>0</v>
      </c>
      <c r="M7" s="573">
        <f>K7*L7</f>
        <v>0</v>
      </c>
      <c r="N7" s="574">
        <f>M7/$O$3</f>
        <v>0</v>
      </c>
      <c r="O7" s="575">
        <f t="shared" si="3"/>
        <v>0</v>
      </c>
      <c r="P7" s="573"/>
      <c r="Q7" s="573">
        <f>G7*P7</f>
        <v>0</v>
      </c>
      <c r="R7" s="576" t="e">
        <f>O7/P7</f>
        <v>#DIV/0!</v>
      </c>
      <c r="S7" s="573" t="e">
        <f>ROUNDUP(R7,0)</f>
        <v>#DIV/0!</v>
      </c>
      <c r="T7" s="227"/>
      <c r="U7" s="577">
        <f>E14*M7</f>
        <v>0</v>
      </c>
      <c r="V7" s="577" t="e">
        <f>U7/L7</f>
        <v>#DIV/0!</v>
      </c>
      <c r="W7" s="577">
        <f>U7*G7</f>
        <v>0</v>
      </c>
      <c r="X7" s="572">
        <f t="shared" si="4"/>
        <v>222.08</v>
      </c>
    </row>
    <row r="8" spans="2:25" x14ac:dyDescent="0.45">
      <c r="Y8" s="1"/>
    </row>
    <row r="9" spans="2:25" x14ac:dyDescent="0.45">
      <c r="B9" s="516" t="s">
        <v>1610</v>
      </c>
      <c r="C9" s="622" t="s">
        <v>1635</v>
      </c>
      <c r="D9" s="623"/>
      <c r="E9" s="624"/>
      <c r="F9" s="622" t="s">
        <v>1187</v>
      </c>
      <c r="G9" s="624"/>
      <c r="H9" s="578" t="s">
        <v>1636</v>
      </c>
      <c r="I9" s="622" t="s">
        <v>1637</v>
      </c>
      <c r="J9" s="624"/>
      <c r="K9" s="579" t="s">
        <v>1187</v>
      </c>
      <c r="L9" s="565" t="s">
        <v>1638</v>
      </c>
      <c r="M9" s="564" t="s">
        <v>1187</v>
      </c>
      <c r="N9" s="565" t="s">
        <v>1638</v>
      </c>
      <c r="O9" s="687" t="s">
        <v>1639</v>
      </c>
      <c r="P9" s="688"/>
      <c r="Q9" s="2"/>
    </row>
    <row r="10" spans="2:25" x14ac:dyDescent="0.45">
      <c r="B10" s="518"/>
      <c r="C10" s="566" t="s">
        <v>1207</v>
      </c>
      <c r="D10" s="566" t="s">
        <v>1640</v>
      </c>
      <c r="E10" s="566" t="s">
        <v>1641</v>
      </c>
      <c r="F10" s="566">
        <v>0</v>
      </c>
      <c r="G10" s="566">
        <v>1023</v>
      </c>
      <c r="H10" s="566"/>
      <c r="I10" s="232"/>
      <c r="J10" s="566">
        <v>4095</v>
      </c>
      <c r="K10" s="568">
        <v>0</v>
      </c>
      <c r="L10" s="569"/>
      <c r="M10" s="568">
        <v>1023</v>
      </c>
      <c r="N10" s="569"/>
      <c r="O10" s="300"/>
      <c r="P10" s="580"/>
      <c r="Q10" s="2" t="s">
        <v>1642</v>
      </c>
    </row>
    <row r="11" spans="2:25" x14ac:dyDescent="0.45">
      <c r="B11" s="2" t="s">
        <v>1631</v>
      </c>
      <c r="C11" s="13">
        <v>6.83</v>
      </c>
      <c r="D11" s="13">
        <v>18.579999999999998</v>
      </c>
      <c r="E11" s="13">
        <v>25.94</v>
      </c>
      <c r="F11" s="13">
        <f>C11*0.7</f>
        <v>4.7809999999999997</v>
      </c>
      <c r="G11" s="13">
        <f>E11</f>
        <v>25.94</v>
      </c>
      <c r="H11" s="581">
        <f>(G11-F11)/1023</f>
        <v>2.0683284457478007E-2</v>
      </c>
      <c r="I11" s="582">
        <v>32</v>
      </c>
      <c r="J11" s="583">
        <f>I11/$J$10</f>
        <v>7.8144078144078144E-3</v>
      </c>
      <c r="K11" s="13">
        <f xml:space="preserve"> ( (G11-F11)/1023 )*$K$10 + F11</f>
        <v>4.7809999999999997</v>
      </c>
      <c r="L11" s="583">
        <f>K11/J11</f>
        <v>611.81859374999999</v>
      </c>
      <c r="M11" s="13">
        <f xml:space="preserve"> ( (G11-F11)/1023 )*$M$10 + F11</f>
        <v>25.94</v>
      </c>
      <c r="N11" s="583">
        <f>M11/J11</f>
        <v>3319.5093750000001</v>
      </c>
      <c r="O11" s="584">
        <f>N11-L11</f>
        <v>2707.6907812500003</v>
      </c>
      <c r="P11" s="286">
        <f>MROUND(N11,1)-MROUND(L11,1)</f>
        <v>2708</v>
      </c>
      <c r="Q11" s="230">
        <f>O11/$G$10</f>
        <v>2.6468140579178887</v>
      </c>
    </row>
    <row r="12" spans="2:25" x14ac:dyDescent="0.45">
      <c r="B12" s="2" t="s">
        <v>1632</v>
      </c>
      <c r="C12" s="13">
        <v>6.91</v>
      </c>
      <c r="D12" s="13">
        <v>18.809999999999999</v>
      </c>
      <c r="E12" s="13">
        <v>26.27</v>
      </c>
      <c r="F12" s="13">
        <f>C12*0.7</f>
        <v>4.8369999999999997</v>
      </c>
      <c r="G12" s="13">
        <f>E12</f>
        <v>26.27</v>
      </c>
      <c r="H12" s="581">
        <f t="shared" ref="H12:H14" si="5">(G12-F12)/1023</f>
        <v>2.0951124144672532E-2</v>
      </c>
      <c r="I12" s="582">
        <v>32</v>
      </c>
      <c r="J12" s="583">
        <f>I12/$J$10</f>
        <v>7.8144078144078144E-3</v>
      </c>
      <c r="K12" s="13">
        <f xml:space="preserve"> ( (G12-F12)/1023 )*$K$10 + F12</f>
        <v>4.8369999999999997</v>
      </c>
      <c r="L12" s="583">
        <f t="shared" ref="L12:L13" si="6">K12/J12</f>
        <v>618.98484374999998</v>
      </c>
      <c r="M12" s="13">
        <f xml:space="preserve"> ( (G12-F12)/1023 )*$M$10 + F12</f>
        <v>26.27</v>
      </c>
      <c r="N12" s="583">
        <f t="shared" ref="N12:N14" si="7">M12/J12</f>
        <v>3361.7390624999998</v>
      </c>
      <c r="O12" s="584">
        <f t="shared" ref="O12:O13" si="8">N12-L12</f>
        <v>2742.7542187499998</v>
      </c>
      <c r="P12" s="286">
        <f>MROUND(N12,1)-MROUND(L12,1)</f>
        <v>2743</v>
      </c>
      <c r="Q12" s="230">
        <f t="shared" ref="Q12:Q14" si="9">O12/$G$10</f>
        <v>2.6810891678885631</v>
      </c>
    </row>
    <row r="13" spans="2:25" x14ac:dyDescent="0.45">
      <c r="B13" s="2" t="s">
        <v>1633</v>
      </c>
      <c r="C13" s="13">
        <v>7.04</v>
      </c>
      <c r="D13" s="13">
        <v>19.21</v>
      </c>
      <c r="E13" s="13">
        <v>26.84</v>
      </c>
      <c r="F13" s="13">
        <f>C13*0.7</f>
        <v>4.9279999999999999</v>
      </c>
      <c r="G13" s="13">
        <f>E13</f>
        <v>26.84</v>
      </c>
      <c r="H13" s="581">
        <f t="shared" si="5"/>
        <v>2.1419354838709676E-2</v>
      </c>
      <c r="I13" s="582">
        <v>32</v>
      </c>
      <c r="J13" s="583">
        <f>I13/$J$10</f>
        <v>7.8144078144078144E-3</v>
      </c>
      <c r="K13" s="13">
        <f xml:space="preserve"> ( (G13-F13)/1023 )*$K$10 + F13</f>
        <v>4.9279999999999999</v>
      </c>
      <c r="L13" s="583">
        <f t="shared" si="6"/>
        <v>630.63</v>
      </c>
      <c r="M13" s="13">
        <f xml:space="preserve"> ( (G13-F13)/1023 )*$M$10 + F13</f>
        <v>26.84</v>
      </c>
      <c r="N13" s="583">
        <f t="shared" si="7"/>
        <v>3434.6812500000001</v>
      </c>
      <c r="O13" s="584">
        <f t="shared" si="8"/>
        <v>2804.05125</v>
      </c>
      <c r="P13" s="286">
        <f>MROUND(N13,1)-MROUND(L13,1)</f>
        <v>2804</v>
      </c>
      <c r="Q13" s="230">
        <f t="shared" si="9"/>
        <v>2.7410080645161292</v>
      </c>
    </row>
    <row r="14" spans="2:25" x14ac:dyDescent="0.45">
      <c r="B14" s="2" t="s">
        <v>1634</v>
      </c>
      <c r="C14" s="13">
        <v>7.26</v>
      </c>
      <c r="D14" s="13">
        <v>19.84</v>
      </c>
      <c r="E14" s="13">
        <v>27.76</v>
      </c>
      <c r="F14" s="13">
        <f>C14*0.7</f>
        <v>5.0819999999999999</v>
      </c>
      <c r="G14" s="13">
        <f>E14</f>
        <v>27.76</v>
      </c>
      <c r="H14" s="581">
        <f t="shared" si="5"/>
        <v>2.2168132942326491E-2</v>
      </c>
      <c r="I14" s="582">
        <v>32</v>
      </c>
      <c r="J14" s="583">
        <f>I14/$J$10</f>
        <v>7.8144078144078144E-3</v>
      </c>
      <c r="K14" s="13">
        <f xml:space="preserve"> ( (G14-F14)/1023 )*$K$10 + F14</f>
        <v>5.0819999999999999</v>
      </c>
      <c r="L14" s="583">
        <f>K14/J14</f>
        <v>650.33718750000003</v>
      </c>
      <c r="M14" s="13">
        <f xml:space="preserve"> ( (G14-F14)/1023 )*$M$10 + F14</f>
        <v>27.76</v>
      </c>
      <c r="N14" s="583">
        <f t="shared" si="7"/>
        <v>3552.4125000000004</v>
      </c>
      <c r="O14" s="584">
        <f>N14-L14</f>
        <v>2902.0753125000001</v>
      </c>
      <c r="P14" s="286">
        <f>MROUND(N14,1)-MROUND(L14,1)</f>
        <v>2902</v>
      </c>
      <c r="Q14" s="230">
        <f t="shared" si="9"/>
        <v>2.8368282624633432</v>
      </c>
    </row>
    <row r="17" spans="2:32" x14ac:dyDescent="0.45">
      <c r="B17" s="2"/>
      <c r="C17" s="231"/>
      <c r="D17" s="224"/>
      <c r="E17" s="224"/>
      <c r="F17" s="224"/>
      <c r="G17" s="224"/>
      <c r="H17" s="224"/>
      <c r="I17" s="224"/>
    </row>
    <row r="18" spans="2:32" x14ac:dyDescent="0.45">
      <c r="B18" s="2" t="s">
        <v>1643</v>
      </c>
      <c r="C18" s="13">
        <v>2</v>
      </c>
      <c r="D18" s="5" t="s">
        <v>0</v>
      </c>
    </row>
    <row r="19" spans="2:32" x14ac:dyDescent="0.45">
      <c r="B19" s="2"/>
      <c r="C19" s="13">
        <f>1/C18</f>
        <v>0.5</v>
      </c>
      <c r="D19" s="5" t="s">
        <v>1</v>
      </c>
      <c r="AE19" s="1"/>
      <c r="AF19" s="1"/>
    </row>
    <row r="20" spans="2:32" x14ac:dyDescent="0.45">
      <c r="B20" s="2" t="s">
        <v>1665</v>
      </c>
      <c r="C20" s="13">
        <f>720</f>
        <v>720</v>
      </c>
      <c r="D20" s="5" t="s">
        <v>5</v>
      </c>
      <c r="AE20" s="1"/>
      <c r="AF20" s="1"/>
    </row>
    <row r="21" spans="2:32" x14ac:dyDescent="0.45">
      <c r="B21" s="2" t="s">
        <v>1644</v>
      </c>
      <c r="C21" s="13">
        <v>1</v>
      </c>
      <c r="D21" s="5" t="s">
        <v>1645</v>
      </c>
      <c r="F21" s="13">
        <f>(E4/$C$21+1)*14*$C$19+2</f>
        <v>9</v>
      </c>
      <c r="G21" s="13">
        <f>(C20/$C$21+1)*14*$C$19+2</f>
        <v>5049</v>
      </c>
      <c r="H21" s="13">
        <f>(E6/$C$21+1)*14*$C$19+2</f>
        <v>9</v>
      </c>
      <c r="I21" s="13">
        <f>(E7/$C$21+1)*14*$C$19+2</f>
        <v>9</v>
      </c>
    </row>
    <row r="22" spans="2:32" x14ac:dyDescent="0.45">
      <c r="B22" s="2" t="s">
        <v>1646</v>
      </c>
      <c r="C22" s="231">
        <v>15</v>
      </c>
      <c r="D22" s="224" t="s">
        <v>0</v>
      </c>
      <c r="E22" s="231"/>
      <c r="F22" s="231"/>
      <c r="G22" s="231">
        <v>72</v>
      </c>
      <c r="H22" s="231">
        <v>12</v>
      </c>
      <c r="I22" s="231"/>
      <c r="Q22" s="5"/>
    </row>
    <row r="23" spans="2:32" x14ac:dyDescent="0.45">
      <c r="B23" s="2"/>
      <c r="C23" s="585">
        <f>1/C22</f>
        <v>6.6666666666666666E-2</v>
      </c>
      <c r="D23" s="224" t="s">
        <v>1</v>
      </c>
      <c r="E23" s="231"/>
      <c r="F23" s="586"/>
      <c r="G23" s="586">
        <f xml:space="preserve"> ((16+16*24*24)*$C$23 + 2)*3 + 100*2</f>
        <v>2052.4</v>
      </c>
      <c r="H23" s="586">
        <f>(16+16*16*H22)*$C$23 + 2</f>
        <v>207.86666666666667</v>
      </c>
      <c r="I23" s="586"/>
    </row>
    <row r="24" spans="2:32" x14ac:dyDescent="0.45">
      <c r="B24" s="2" t="s">
        <v>1088</v>
      </c>
      <c r="C24" s="13">
        <v>10</v>
      </c>
      <c r="D24" s="5" t="s">
        <v>0</v>
      </c>
      <c r="F24" s="587"/>
      <c r="G24" s="587"/>
      <c r="H24" s="588">
        <f>G23-G26</f>
        <v>-64.399999999999636</v>
      </c>
      <c r="I24" s="588">
        <f>G26+H23</f>
        <v>2324.6666666666665</v>
      </c>
    </row>
    <row r="25" spans="2:32" x14ac:dyDescent="0.45">
      <c r="B25" s="2"/>
      <c r="C25" s="13">
        <f>1/C24</f>
        <v>0.1</v>
      </c>
      <c r="D25" s="5" t="s">
        <v>1</v>
      </c>
      <c r="F25" s="587"/>
      <c r="G25" s="587"/>
      <c r="H25" s="587"/>
      <c r="I25" s="587"/>
    </row>
    <row r="26" spans="2:32" x14ac:dyDescent="0.45">
      <c r="B26" s="2" t="s">
        <v>1647</v>
      </c>
      <c r="C26" s="573">
        <f>1/(C25*(C27+D27))</f>
        <v>0.55555555555555558</v>
      </c>
      <c r="D26" s="228" t="s">
        <v>10</v>
      </c>
      <c r="E26" s="573"/>
      <c r="F26" s="589"/>
      <c r="G26" s="589">
        <f xml:space="preserve"> ((4+16*12)*6)*(1/$C$26)</f>
        <v>2116.7999999999997</v>
      </c>
      <c r="H26" s="589"/>
      <c r="I26" s="589"/>
      <c r="U26" s="13"/>
      <c r="V26" s="13"/>
      <c r="W26" s="13"/>
      <c r="X26" s="13"/>
      <c r="Y26" s="13"/>
      <c r="Z26" s="13"/>
    </row>
    <row r="27" spans="2:32" x14ac:dyDescent="0.45">
      <c r="B27" s="2" t="s">
        <v>1648</v>
      </c>
      <c r="C27" s="573">
        <v>6</v>
      </c>
      <c r="D27" s="573">
        <f>C27*2</f>
        <v>12</v>
      </c>
      <c r="E27" s="573"/>
      <c r="F27" s="590">
        <f>C35*C37/C25</f>
        <v>6.1001260042027425</v>
      </c>
      <c r="G27" s="590">
        <f>C35*D37/C25</f>
        <v>12.200252008405485</v>
      </c>
      <c r="H27" s="573"/>
      <c r="I27" s="573"/>
    </row>
    <row r="28" spans="2:32" x14ac:dyDescent="0.45">
      <c r="B28" s="2" t="s">
        <v>1</v>
      </c>
      <c r="C28" s="13">
        <f>$C$25*C27</f>
        <v>0.60000000000000009</v>
      </c>
      <c r="D28" s="13">
        <f>$C$25*D27</f>
        <v>1.2000000000000002</v>
      </c>
      <c r="E28" s="594">
        <f>C28+D28</f>
        <v>1.8000000000000003</v>
      </c>
      <c r="F28" s="587"/>
      <c r="G28" s="587"/>
      <c r="T28" s="473"/>
    </row>
    <row r="29" spans="2:32" x14ac:dyDescent="0.45">
      <c r="B29" s="2" t="s">
        <v>1649</v>
      </c>
      <c r="C29" s="231"/>
      <c r="D29" s="224"/>
      <c r="E29" s="231"/>
      <c r="F29" s="585"/>
      <c r="G29" s="585">
        <f>(G21+G23+G26)/1000</f>
        <v>9.2181999999999995</v>
      </c>
      <c r="H29" s="585"/>
      <c r="I29" s="585"/>
      <c r="T29" s="473"/>
      <c r="U29" s="473"/>
      <c r="W29" s="473"/>
    </row>
    <row r="30" spans="2:32" x14ac:dyDescent="0.45">
      <c r="B30" s="2"/>
      <c r="C30" s="2"/>
      <c r="D30" s="224"/>
      <c r="E30" s="2"/>
      <c r="F30" s="591"/>
      <c r="G30" s="591">
        <f t="shared" ref="G30" si="10">1/G29*1000</f>
        <v>108.48104836085136</v>
      </c>
      <c r="H30" s="591"/>
      <c r="I30" s="591"/>
      <c r="T30" s="473"/>
    </row>
    <row r="31" spans="2:32" x14ac:dyDescent="0.45">
      <c r="B31" s="2" t="s">
        <v>1232</v>
      </c>
      <c r="C31" s="2">
        <v>120</v>
      </c>
      <c r="D31" s="224" t="s">
        <v>4</v>
      </c>
      <c r="E31" s="2" t="s">
        <v>1650</v>
      </c>
      <c r="F31" s="592"/>
      <c r="G31" s="592">
        <f t="shared" ref="G31" si="11">G30-$C$31</f>
        <v>-11.518951639148639</v>
      </c>
      <c r="H31" s="592"/>
      <c r="I31" s="592"/>
      <c r="Y31" s="1"/>
      <c r="Z31" s="1"/>
      <c r="AA31" s="1"/>
      <c r="AB31" s="1"/>
    </row>
    <row r="32" spans="2:32" x14ac:dyDescent="0.45">
      <c r="B32" s="2"/>
      <c r="C32" s="2"/>
      <c r="D32" s="2"/>
      <c r="E32" s="2"/>
      <c r="F32" s="2"/>
      <c r="G32" s="2"/>
      <c r="H32" s="2"/>
      <c r="I32" s="2"/>
    </row>
    <row r="33" spans="2:32" x14ac:dyDescent="0.45">
      <c r="B33" s="2"/>
      <c r="C33" s="2"/>
      <c r="D33" s="2"/>
      <c r="E33" s="2"/>
      <c r="F33" s="2"/>
      <c r="G33" s="2"/>
      <c r="H33" s="2"/>
      <c r="I33" s="2"/>
      <c r="AE33" s="474"/>
    </row>
    <row r="34" spans="2:32" x14ac:dyDescent="0.45">
      <c r="B34" s="2" t="s">
        <v>24</v>
      </c>
      <c r="C34" s="13">
        <v>39.3434496</v>
      </c>
      <c r="D34" s="5" t="s">
        <v>0</v>
      </c>
    </row>
    <row r="35" spans="2:32" x14ac:dyDescent="0.45">
      <c r="B35" s="2"/>
      <c r="C35" s="583">
        <f>1/C34</f>
        <v>2.5417191684178095E-2</v>
      </c>
      <c r="D35" s="5" t="s">
        <v>1</v>
      </c>
    </row>
    <row r="36" spans="2:32" x14ac:dyDescent="0.45">
      <c r="B36" s="2" t="s">
        <v>1647</v>
      </c>
      <c r="C36" s="583">
        <f>1/(C35*(C37+D37))</f>
        <v>0.54643679999999994</v>
      </c>
      <c r="D36" s="5" t="s">
        <v>10</v>
      </c>
    </row>
    <row r="37" spans="2:32" s="1" customFormat="1" x14ac:dyDescent="0.45">
      <c r="B37" s="2" t="s">
        <v>1648</v>
      </c>
      <c r="C37" s="13">
        <v>24</v>
      </c>
      <c r="D37" s="13">
        <f>C37*2</f>
        <v>48</v>
      </c>
      <c r="E37" s="13"/>
      <c r="F37" s="593">
        <f>C25*C27/C35</f>
        <v>23.606069760000004</v>
      </c>
      <c r="G37" s="593">
        <f>C25*D27/C35</f>
        <v>47.212139520000008</v>
      </c>
      <c r="H37" s="13"/>
      <c r="I37" s="13"/>
      <c r="J37" s="13"/>
      <c r="K37" s="13"/>
      <c r="L37" s="13"/>
      <c r="M37" s="13"/>
      <c r="N37" s="13"/>
      <c r="O37" s="13"/>
      <c r="R37" s="13"/>
      <c r="S37" s="13"/>
      <c r="Y37"/>
      <c r="Z37"/>
      <c r="AA37"/>
      <c r="AB37"/>
      <c r="AC37"/>
      <c r="AD37"/>
      <c r="AE37"/>
      <c r="AF37"/>
    </row>
    <row r="38" spans="2:32" s="1" customFormat="1" x14ac:dyDescent="0.45">
      <c r="B38" s="2" t="s">
        <v>1</v>
      </c>
      <c r="C38" s="13">
        <f>$C$35*C37</f>
        <v>0.61001260042027428</v>
      </c>
      <c r="D38" s="13">
        <f>$C$35*D37</f>
        <v>1.2200252008405486</v>
      </c>
      <c r="E38" s="594">
        <f>C38+D38</f>
        <v>1.8300378012608229</v>
      </c>
      <c r="F38" s="593"/>
      <c r="G38" s="593"/>
      <c r="H38" s="13"/>
      <c r="I38" s="13"/>
      <c r="J38" s="13"/>
      <c r="K38" s="13"/>
      <c r="L38" s="13"/>
      <c r="M38" s="13"/>
      <c r="N38" s="13"/>
      <c r="O38" s="13"/>
      <c r="R38" s="13"/>
      <c r="S38" s="13"/>
      <c r="Y38"/>
      <c r="Z38"/>
      <c r="AA38"/>
      <c r="AB38"/>
      <c r="AC38"/>
      <c r="AD38"/>
      <c r="AE38"/>
      <c r="AF38"/>
    </row>
    <row r="39" spans="2:32" s="1" customFormat="1" x14ac:dyDescent="0.45">
      <c r="B39" s="2"/>
      <c r="C39" s="2"/>
      <c r="D39" s="2"/>
      <c r="E39" s="2"/>
      <c r="F39" s="2"/>
      <c r="G39" s="2"/>
      <c r="H39" s="2"/>
      <c r="I39" s="2"/>
      <c r="J39" s="13"/>
      <c r="K39" s="13"/>
      <c r="L39" s="13"/>
      <c r="M39" s="13"/>
      <c r="N39" s="13"/>
      <c r="O39" s="13"/>
      <c r="R39" s="13"/>
      <c r="S39" s="13"/>
      <c r="Y39"/>
      <c r="Z39"/>
      <c r="AA39"/>
      <c r="AB39"/>
      <c r="AC39"/>
      <c r="AD39"/>
      <c r="AE39"/>
      <c r="AF39"/>
    </row>
  </sheetData>
  <mergeCells count="10">
    <mergeCell ref="R2:S2"/>
    <mergeCell ref="C9:E9"/>
    <mergeCell ref="F9:G9"/>
    <mergeCell ref="I9:J9"/>
    <mergeCell ref="O9:P9"/>
    <mergeCell ref="C2:E2"/>
    <mergeCell ref="I2:J2"/>
    <mergeCell ref="K2:M2"/>
    <mergeCell ref="N2:O2"/>
    <mergeCell ref="P2:Q2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8C50-FCE6-4521-877D-DFE83A5EAFFB}">
  <dimension ref="A1:AH51"/>
  <sheetViews>
    <sheetView zoomScaleNormal="100" workbookViewId="0"/>
  </sheetViews>
  <sheetFormatPr defaultRowHeight="17" x14ac:dyDescent="0.45"/>
  <cols>
    <col min="2" max="2" width="3.58203125" style="1" bestFit="1" customWidth="1"/>
    <col min="3" max="3" width="28.33203125" style="1" bestFit="1" customWidth="1"/>
    <col min="4" max="4" width="3.08203125" style="1" bestFit="1" customWidth="1"/>
    <col min="5" max="5" width="9.6640625" style="1" bestFit="1" customWidth="1"/>
    <col min="6" max="6" width="8.1640625" style="1" bestFit="1" customWidth="1"/>
    <col min="7" max="7" width="7.1640625" style="1" bestFit="1" customWidth="1"/>
    <col min="8" max="8" width="8.1640625" bestFit="1" customWidth="1"/>
    <col min="9" max="10" width="8.1640625" style="1" bestFit="1" customWidth="1"/>
    <col min="11" max="11" width="2.1640625" style="1" customWidth="1"/>
    <col min="18" max="18" width="3.58203125" customWidth="1"/>
    <col min="20" max="20" width="8.58203125" style="1" bestFit="1" customWidth="1"/>
    <col min="21" max="21" width="12.1640625" style="1" bestFit="1" customWidth="1"/>
    <col min="22" max="22" width="7.1640625" style="5" bestFit="1" customWidth="1"/>
    <col min="23" max="23" width="13.1640625" bestFit="1" customWidth="1"/>
    <col min="24" max="24" width="7.1640625" style="1" bestFit="1" customWidth="1"/>
    <col min="25" max="25" width="8" style="6" bestFit="1" customWidth="1"/>
    <col min="26" max="26" width="3.08203125" bestFit="1" customWidth="1"/>
    <col min="27" max="27" width="7.1640625" bestFit="1" customWidth="1"/>
    <col min="28" max="28" width="3.08203125" bestFit="1" customWidth="1"/>
    <col min="29" max="29" width="13.1640625" bestFit="1" customWidth="1"/>
    <col min="30" max="30" width="6.1640625" bestFit="1" customWidth="1"/>
    <col min="31" max="31" width="8" bestFit="1" customWidth="1"/>
    <col min="32" max="32" width="3.08203125" bestFit="1" customWidth="1"/>
    <col min="33" max="33" width="7.1640625" bestFit="1" customWidth="1"/>
    <col min="34" max="34" width="3.08203125" bestFit="1" customWidth="1"/>
  </cols>
  <sheetData>
    <row r="1" spans="2:34" x14ac:dyDescent="0.45">
      <c r="B1" s="2"/>
      <c r="C1" s="2"/>
      <c r="D1" s="2"/>
      <c r="E1" s="2" t="s">
        <v>1074</v>
      </c>
      <c r="F1" s="2"/>
      <c r="G1" s="2"/>
      <c r="H1" s="3"/>
      <c r="I1" s="2"/>
      <c r="J1" s="2"/>
      <c r="K1" s="2"/>
      <c r="L1" s="2" t="s">
        <v>1075</v>
      </c>
      <c r="M1" s="2"/>
      <c r="N1" s="2"/>
      <c r="O1" s="3"/>
      <c r="P1" s="2"/>
      <c r="Q1" s="2"/>
      <c r="R1" s="2"/>
    </row>
    <row r="2" spans="2:34" x14ac:dyDescent="0.45">
      <c r="B2" s="2" t="s">
        <v>1076</v>
      </c>
      <c r="C2" s="226" t="s">
        <v>1077</v>
      </c>
      <c r="D2" s="2" t="s">
        <v>1078</v>
      </c>
      <c r="E2" s="233">
        <v>8.8810000000000002</v>
      </c>
      <c r="K2" s="2"/>
      <c r="L2" s="233">
        <v>4.7759999999999998</v>
      </c>
      <c r="M2" s="1">
        <f>L2/E2</f>
        <v>0.53777727733363356</v>
      </c>
      <c r="N2" s="1"/>
      <c r="P2" s="1"/>
      <c r="Q2" s="1"/>
      <c r="R2" s="2"/>
    </row>
    <row r="3" spans="2:34" x14ac:dyDescent="0.45">
      <c r="B3" s="2"/>
      <c r="C3" s="226" t="s">
        <v>1079</v>
      </c>
      <c r="D3" s="2" t="s">
        <v>1078</v>
      </c>
      <c r="E3" s="233">
        <v>9.3160000000000007</v>
      </c>
      <c r="K3" s="2"/>
      <c r="L3" s="233">
        <v>5.0110000000000001</v>
      </c>
      <c r="M3" s="1">
        <f>L3/E3</f>
        <v>0.53789179905538853</v>
      </c>
      <c r="N3" s="1"/>
      <c r="P3" s="1"/>
      <c r="Q3" s="1"/>
      <c r="R3" s="2"/>
    </row>
    <row r="4" spans="2:34" x14ac:dyDescent="0.45">
      <c r="B4" s="2"/>
      <c r="C4" s="2"/>
      <c r="D4" s="2"/>
      <c r="K4" s="2"/>
      <c r="L4" s="1"/>
      <c r="M4" s="1"/>
      <c r="N4" s="1"/>
      <c r="P4" s="1"/>
      <c r="Q4" s="1"/>
      <c r="R4" s="2"/>
    </row>
    <row r="5" spans="2:34" x14ac:dyDescent="0.45">
      <c r="B5" s="2"/>
      <c r="C5" s="226" t="s">
        <v>1080</v>
      </c>
      <c r="D5" s="2"/>
      <c r="E5" s="2" t="s">
        <v>1081</v>
      </c>
      <c r="F5" s="2" t="s">
        <v>1082</v>
      </c>
      <c r="G5" s="2"/>
      <c r="H5" s="2" t="s">
        <v>1081</v>
      </c>
      <c r="I5" s="2" t="s">
        <v>1082</v>
      </c>
      <c r="J5" s="2"/>
      <c r="K5" s="2"/>
      <c r="L5" s="2" t="s">
        <v>1081</v>
      </c>
      <c r="M5" s="2" t="s">
        <v>1082</v>
      </c>
      <c r="N5" s="2"/>
      <c r="O5" s="2" t="s">
        <v>1081</v>
      </c>
      <c r="P5" s="2" t="s">
        <v>1082</v>
      </c>
      <c r="Q5" s="2"/>
      <c r="R5" s="2"/>
    </row>
    <row r="6" spans="2:34" x14ac:dyDescent="0.45">
      <c r="B6" s="2"/>
      <c r="C6" s="2" t="s">
        <v>1083</v>
      </c>
      <c r="D6" s="2" t="s">
        <v>1078</v>
      </c>
      <c r="E6" s="1">
        <v>406.8</v>
      </c>
      <c r="F6" s="1">
        <v>203.4</v>
      </c>
      <c r="G6" s="1">
        <f>SUM(E6:F6)</f>
        <v>610.20000000000005</v>
      </c>
      <c r="H6">
        <v>203.4</v>
      </c>
      <c r="I6" s="1">
        <v>406.8</v>
      </c>
      <c r="J6" s="1">
        <f>SUM(H6:I6)</f>
        <v>610.20000000000005</v>
      </c>
      <c r="K6" s="2"/>
      <c r="L6" s="1">
        <v>406.8</v>
      </c>
      <c r="M6" s="1">
        <v>203.4</v>
      </c>
      <c r="N6" s="1">
        <f>SUM(L6:M6)</f>
        <v>610.20000000000005</v>
      </c>
      <c r="O6">
        <v>203.4</v>
      </c>
      <c r="P6" s="1">
        <v>406.8</v>
      </c>
      <c r="Q6" s="1">
        <f>SUM(O6:P6)</f>
        <v>610.20000000000005</v>
      </c>
      <c r="R6" s="2"/>
      <c r="T6" s="225" t="s">
        <v>1135</v>
      </c>
      <c r="U6" s="2"/>
      <c r="V6" s="224"/>
      <c r="W6" s="3"/>
      <c r="X6" s="2"/>
      <c r="Y6" s="234"/>
      <c r="Z6" s="3"/>
      <c r="AA6" s="3"/>
      <c r="AB6" s="3"/>
      <c r="AC6" s="3"/>
      <c r="AD6" s="3"/>
      <c r="AE6" s="3"/>
      <c r="AF6" s="3"/>
      <c r="AG6" s="3"/>
      <c r="AH6" s="3"/>
    </row>
    <row r="7" spans="2:34" x14ac:dyDescent="0.45">
      <c r="B7" s="2"/>
      <c r="C7" s="2" t="s">
        <v>1084</v>
      </c>
      <c r="D7" s="2" t="s">
        <v>1078</v>
      </c>
      <c r="E7" s="1">
        <v>404.27499999999998</v>
      </c>
      <c r="F7" s="1">
        <v>205.92500000000001</v>
      </c>
      <c r="G7" s="1">
        <f>SUM(E7:F7)</f>
        <v>610.20000000000005</v>
      </c>
      <c r="H7">
        <v>200.875</v>
      </c>
      <c r="I7" s="1">
        <v>409.32499999999999</v>
      </c>
      <c r="J7" s="1">
        <f>SUM(H7:I7)</f>
        <v>610.20000000000005</v>
      </c>
      <c r="K7" s="2"/>
      <c r="L7" s="1">
        <v>405.35300000000001</v>
      </c>
      <c r="M7" s="1">
        <v>204.84700000000001</v>
      </c>
      <c r="N7" s="1">
        <f>SUM(L7:M7)</f>
        <v>610.20000000000005</v>
      </c>
      <c r="O7">
        <v>201.953</v>
      </c>
      <c r="P7" s="1">
        <v>408.24700000000001</v>
      </c>
      <c r="Q7" s="1">
        <f>SUM(O7:P7)</f>
        <v>610.20000000000005</v>
      </c>
      <c r="R7" s="2"/>
      <c r="T7" s="2"/>
      <c r="U7" s="2"/>
      <c r="V7" s="2"/>
      <c r="W7" s="689" t="s">
        <v>1085</v>
      </c>
      <c r="X7" s="689"/>
      <c r="Y7" s="689"/>
      <c r="Z7" s="689"/>
      <c r="AA7" s="689"/>
      <c r="AB7" s="689"/>
      <c r="AC7" s="689" t="s">
        <v>1086</v>
      </c>
      <c r="AD7" s="689"/>
      <c r="AE7" s="689"/>
      <c r="AF7" s="689"/>
      <c r="AG7" s="689"/>
      <c r="AH7" s="689"/>
    </row>
    <row r="8" spans="2:34" x14ac:dyDescent="0.45">
      <c r="B8" s="2"/>
      <c r="C8" s="2" t="s">
        <v>1087</v>
      </c>
      <c r="D8" s="2" t="s">
        <v>1078</v>
      </c>
      <c r="E8" s="235">
        <f>E7-E6</f>
        <v>-2.5250000000000341</v>
      </c>
      <c r="F8" s="236">
        <f t="shared" ref="F8:J8" si="0">F7-F6</f>
        <v>2.5250000000000057</v>
      </c>
      <c r="G8" s="236">
        <f t="shared" si="0"/>
        <v>0</v>
      </c>
      <c r="H8" s="235">
        <f t="shared" si="0"/>
        <v>-2.5250000000000057</v>
      </c>
      <c r="I8" s="236">
        <f t="shared" si="0"/>
        <v>2.5249999999999773</v>
      </c>
      <c r="J8" s="236">
        <f t="shared" si="0"/>
        <v>0</v>
      </c>
      <c r="K8" s="237"/>
      <c r="L8" s="235">
        <f>L7-L6</f>
        <v>-1.4470000000000027</v>
      </c>
      <c r="M8" s="236">
        <f t="shared" ref="M8:Q8" si="1">M7-M6</f>
        <v>1.4470000000000027</v>
      </c>
      <c r="N8" s="236">
        <f t="shared" si="1"/>
        <v>0</v>
      </c>
      <c r="O8" s="235">
        <f t="shared" si="1"/>
        <v>-1.4470000000000027</v>
      </c>
      <c r="P8" s="236">
        <f t="shared" si="1"/>
        <v>1.4470000000000027</v>
      </c>
      <c r="Q8" s="236">
        <f t="shared" si="1"/>
        <v>0</v>
      </c>
      <c r="R8" s="237"/>
      <c r="T8" s="2" t="s">
        <v>1088</v>
      </c>
      <c r="U8" s="264">
        <v>16</v>
      </c>
      <c r="V8" s="5" t="s">
        <v>0</v>
      </c>
      <c r="W8" s="2" t="s">
        <v>1089</v>
      </c>
      <c r="X8" s="1" t="s">
        <v>1090</v>
      </c>
      <c r="Y8" s="266">
        <v>31</v>
      </c>
      <c r="Z8" s="5" t="s">
        <v>5</v>
      </c>
      <c r="AC8" s="2" t="s">
        <v>1089</v>
      </c>
      <c r="AD8" s="1" t="s">
        <v>1090</v>
      </c>
      <c r="AE8" s="266">
        <v>31</v>
      </c>
      <c r="AF8" s="5" t="s">
        <v>5</v>
      </c>
    </row>
    <row r="9" spans="2:34" x14ac:dyDescent="0.45">
      <c r="B9" s="2"/>
      <c r="C9" s="2"/>
      <c r="D9" s="2"/>
      <c r="E9" s="236"/>
      <c r="F9" s="236"/>
      <c r="G9" s="236"/>
      <c r="H9" s="236"/>
      <c r="I9" s="236"/>
      <c r="J9" s="236"/>
      <c r="K9" s="237"/>
      <c r="L9" s="236"/>
      <c r="M9" s="236"/>
      <c r="N9" s="236"/>
      <c r="O9" s="236"/>
      <c r="P9" s="236"/>
      <c r="Q9" s="236"/>
      <c r="R9" s="237"/>
      <c r="T9" s="2"/>
      <c r="U9" s="265">
        <v>0</v>
      </c>
      <c r="V9" s="5" t="s">
        <v>1091</v>
      </c>
      <c r="W9" s="2" t="s">
        <v>1092</v>
      </c>
      <c r="X9" s="1" t="s">
        <v>1093</v>
      </c>
      <c r="Y9" s="230">
        <v>-2.5249999999999999</v>
      </c>
      <c r="Z9" t="s">
        <v>1078</v>
      </c>
      <c r="AC9" s="2" t="s">
        <v>1092</v>
      </c>
      <c r="AD9" s="1" t="s">
        <v>1093</v>
      </c>
      <c r="AE9" s="230">
        <v>-2.2480000000000002</v>
      </c>
      <c r="AF9" t="s">
        <v>1078</v>
      </c>
    </row>
    <row r="10" spans="2:34" x14ac:dyDescent="0.45">
      <c r="B10" s="2"/>
      <c r="C10" s="2" t="s">
        <v>1094</v>
      </c>
      <c r="D10" s="2" t="s">
        <v>1078</v>
      </c>
      <c r="E10" s="236">
        <f>E2*(31-1)</f>
        <v>266.43</v>
      </c>
      <c r="F10" s="236"/>
      <c r="G10" s="236"/>
      <c r="H10" s="236"/>
      <c r="I10" s="236"/>
      <c r="J10" s="236"/>
      <c r="K10" s="237"/>
      <c r="L10" s="236">
        <f>L2*(31-1)</f>
        <v>143.28</v>
      </c>
      <c r="M10" s="236"/>
      <c r="N10" s="236"/>
      <c r="O10" s="236"/>
      <c r="P10" s="236"/>
      <c r="Q10" s="236"/>
      <c r="R10" s="237"/>
      <c r="T10" s="2"/>
      <c r="U10" s="1">
        <f>U8+U8*U9</f>
        <v>16</v>
      </c>
      <c r="V10" s="5" t="s">
        <v>0</v>
      </c>
      <c r="W10" s="3"/>
      <c r="X10" s="1" t="s">
        <v>1095</v>
      </c>
      <c r="Y10" s="6">
        <f>-Y9</f>
        <v>2.5249999999999999</v>
      </c>
      <c r="Z10" t="s">
        <v>1078</v>
      </c>
      <c r="AC10" s="3"/>
      <c r="AD10" s="1" t="s">
        <v>1095</v>
      </c>
      <c r="AE10" s="6">
        <f>-AE9</f>
        <v>2.2480000000000002</v>
      </c>
      <c r="AF10" t="s">
        <v>1078</v>
      </c>
    </row>
    <row r="11" spans="2:34" x14ac:dyDescent="0.45">
      <c r="B11" s="2"/>
      <c r="C11" s="2" t="s">
        <v>1096</v>
      </c>
      <c r="D11" s="2" t="s">
        <v>1078</v>
      </c>
      <c r="E11" s="236">
        <v>331.05</v>
      </c>
      <c r="F11" s="236">
        <v>279.14999999999998</v>
      </c>
      <c r="G11" s="1">
        <f>SUM(E11:F11)</f>
        <v>610.20000000000005</v>
      </c>
      <c r="H11" s="236">
        <v>127.65</v>
      </c>
      <c r="I11" s="236">
        <v>482.55</v>
      </c>
      <c r="J11" s="236">
        <f>SUM(H11:I11)</f>
        <v>610.20000000000005</v>
      </c>
      <c r="K11" s="237"/>
      <c r="L11" s="236">
        <v>363.39</v>
      </c>
      <c r="M11" s="236">
        <v>246.81</v>
      </c>
      <c r="N11" s="1">
        <f>SUM(L11:M11)</f>
        <v>610.20000000000005</v>
      </c>
      <c r="O11" s="236">
        <v>159.99</v>
      </c>
      <c r="P11" s="236">
        <v>450.21</v>
      </c>
      <c r="Q11" s="236">
        <f>SUM(O11:P11)</f>
        <v>610.20000000000005</v>
      </c>
      <c r="R11" s="237"/>
      <c r="T11" s="2"/>
      <c r="U11" s="1">
        <f>1/U10*1000</f>
        <v>62.5</v>
      </c>
      <c r="V11" s="5" t="s">
        <v>1078</v>
      </c>
      <c r="W11" s="2" t="s">
        <v>1097</v>
      </c>
      <c r="X11" s="1" t="s">
        <v>1093</v>
      </c>
      <c r="Y11" s="6">
        <f>Y9*(W16-1)</f>
        <v>-75.75</v>
      </c>
      <c r="Z11" t="s">
        <v>1078</v>
      </c>
      <c r="AC11" s="2" t="s">
        <v>1097</v>
      </c>
      <c r="AD11" s="1" t="s">
        <v>1093</v>
      </c>
      <c r="AE11" s="6">
        <f>AE9*(AC16-1)</f>
        <v>-67.440000000000012</v>
      </c>
      <c r="AF11" t="s">
        <v>1078</v>
      </c>
    </row>
    <row r="12" spans="2:34" x14ac:dyDescent="0.45">
      <c r="B12" s="2"/>
      <c r="C12" s="2" t="s">
        <v>1098</v>
      </c>
      <c r="D12" s="2" t="s">
        <v>1078</v>
      </c>
      <c r="E12" s="236">
        <f>E8*(31-1)</f>
        <v>-75.750000000001023</v>
      </c>
      <c r="F12" s="236">
        <f t="shared" ref="F12:J12" si="2">F8*(31-1)</f>
        <v>75.750000000000171</v>
      </c>
      <c r="G12" s="236">
        <f t="shared" si="2"/>
        <v>0</v>
      </c>
      <c r="H12" s="236">
        <f t="shared" si="2"/>
        <v>-75.750000000000171</v>
      </c>
      <c r="I12" s="236">
        <f t="shared" si="2"/>
        <v>75.749999999999318</v>
      </c>
      <c r="J12" s="236">
        <f t="shared" si="2"/>
        <v>0</v>
      </c>
      <c r="K12" s="237"/>
      <c r="L12" s="236">
        <f>L8*(31-1)</f>
        <v>-43.410000000000082</v>
      </c>
      <c r="M12" s="236">
        <f t="shared" ref="M12:Q12" si="3">M8*(31-1)</f>
        <v>43.410000000000082</v>
      </c>
      <c r="N12" s="236">
        <f t="shared" si="3"/>
        <v>0</v>
      </c>
      <c r="O12" s="236">
        <f t="shared" si="3"/>
        <v>-43.410000000000082</v>
      </c>
      <c r="P12" s="236">
        <f t="shared" si="3"/>
        <v>43.410000000000082</v>
      </c>
      <c r="Q12" s="236">
        <f t="shared" si="3"/>
        <v>0</v>
      </c>
      <c r="R12" s="237"/>
      <c r="T12" s="2" t="s">
        <v>1099</v>
      </c>
      <c r="U12" s="261">
        <v>3</v>
      </c>
      <c r="V12" s="5" t="s">
        <v>5</v>
      </c>
      <c r="W12" s="3"/>
      <c r="X12" s="1" t="s">
        <v>1095</v>
      </c>
      <c r="Y12" s="6">
        <f>Y10*(W16-1)</f>
        <v>75.75</v>
      </c>
      <c r="Z12" t="s">
        <v>1078</v>
      </c>
      <c r="AC12" s="3"/>
      <c r="AD12" s="1" t="s">
        <v>1095</v>
      </c>
      <c r="AE12" s="6">
        <f>AE10*(AC16-1)</f>
        <v>67.440000000000012</v>
      </c>
      <c r="AF12" t="s">
        <v>1078</v>
      </c>
    </row>
    <row r="13" spans="2:34" x14ac:dyDescent="0.45">
      <c r="B13" s="2"/>
      <c r="C13" s="2"/>
      <c r="D13" s="2"/>
      <c r="E13" s="238"/>
      <c r="F13" s="238"/>
      <c r="G13" s="236"/>
      <c r="H13" s="236"/>
      <c r="I13" s="236"/>
      <c r="J13" s="236"/>
      <c r="K13" s="237"/>
      <c r="L13" s="238"/>
      <c r="M13" s="236"/>
      <c r="N13" s="236"/>
      <c r="O13" s="236"/>
      <c r="P13" s="236"/>
      <c r="Q13" s="236"/>
      <c r="R13" s="237"/>
      <c r="T13" s="2" t="s">
        <v>1100</v>
      </c>
      <c r="U13" s="261">
        <v>6</v>
      </c>
      <c r="V13" s="5" t="s">
        <v>5</v>
      </c>
      <c r="W13" s="3"/>
      <c r="X13" s="689" t="s">
        <v>1101</v>
      </c>
      <c r="Y13" s="689"/>
      <c r="Z13" s="689" t="s">
        <v>1102</v>
      </c>
      <c r="AA13" s="689"/>
      <c r="AB13" s="3"/>
      <c r="AC13" s="3"/>
      <c r="AD13" s="689" t="s">
        <v>1101</v>
      </c>
      <c r="AE13" s="689"/>
      <c r="AF13" s="689" t="s">
        <v>1102</v>
      </c>
      <c r="AG13" s="689"/>
    </row>
    <row r="14" spans="2:34" x14ac:dyDescent="0.45">
      <c r="B14" s="2"/>
      <c r="C14" s="226" t="s">
        <v>1103</v>
      </c>
      <c r="D14" s="2" t="s">
        <v>1078</v>
      </c>
      <c r="E14" s="2" t="s">
        <v>1081</v>
      </c>
      <c r="F14" s="2" t="s">
        <v>1082</v>
      </c>
      <c r="G14" s="2"/>
      <c r="H14" s="2" t="s">
        <v>1081</v>
      </c>
      <c r="I14" s="2" t="s">
        <v>1082</v>
      </c>
      <c r="J14" s="2"/>
      <c r="K14" s="2"/>
      <c r="L14" s="2" t="s">
        <v>1081</v>
      </c>
      <c r="M14" s="2" t="s">
        <v>1082</v>
      </c>
      <c r="N14" s="2"/>
      <c r="O14" s="2" t="s">
        <v>1081</v>
      </c>
      <c r="P14" s="2" t="s">
        <v>1082</v>
      </c>
      <c r="Q14" s="2"/>
      <c r="R14" s="2"/>
      <c r="T14" s="2" t="s">
        <v>9</v>
      </c>
      <c r="U14" s="230">
        <f>U11*(U12+U13)</f>
        <v>562.5</v>
      </c>
      <c r="V14" s="5" t="s">
        <v>1078</v>
      </c>
      <c r="W14" s="2">
        <v>1</v>
      </c>
      <c r="X14" s="1" t="s">
        <v>1093</v>
      </c>
      <c r="Y14" s="239">
        <f>U11*U12</f>
        <v>187.5</v>
      </c>
      <c r="Z14" t="s">
        <v>1078</v>
      </c>
      <c r="AA14" s="34">
        <f>Y15</f>
        <v>375</v>
      </c>
      <c r="AB14" t="s">
        <v>1078</v>
      </c>
      <c r="AC14" s="2">
        <v>1</v>
      </c>
      <c r="AD14" s="1" t="s">
        <v>1093</v>
      </c>
      <c r="AE14" s="239">
        <f>U20*U21</f>
        <v>508.6573480640501</v>
      </c>
      <c r="AF14" t="s">
        <v>1078</v>
      </c>
      <c r="AG14" s="34">
        <f>AE15</f>
        <v>254.32867403202505</v>
      </c>
      <c r="AH14" t="s">
        <v>1078</v>
      </c>
    </row>
    <row r="15" spans="2:34" x14ac:dyDescent="0.45">
      <c r="B15" s="2"/>
      <c r="C15" s="2" t="s">
        <v>1104</v>
      </c>
      <c r="D15" s="2" t="s">
        <v>1078</v>
      </c>
      <c r="E15" s="1">
        <v>361.05200000000002</v>
      </c>
      <c r="F15" s="1">
        <v>184.46799999999999</v>
      </c>
      <c r="G15" s="1">
        <f t="shared" ref="G15:G16" si="4">SUM(E15:F15)</f>
        <v>545.52</v>
      </c>
      <c r="H15">
        <v>179.21199999999999</v>
      </c>
      <c r="I15" s="1">
        <v>366.30799999999999</v>
      </c>
      <c r="J15" s="1">
        <f>SUM(H15:I15)</f>
        <v>545.52</v>
      </c>
      <c r="K15" s="2"/>
      <c r="L15" s="1">
        <v>362.12400000000002</v>
      </c>
      <c r="M15" s="1">
        <v>183.39599999999999</v>
      </c>
      <c r="N15" s="1">
        <f t="shared" ref="N15:N16" si="5">SUM(L15:M15)</f>
        <v>545.52</v>
      </c>
      <c r="O15">
        <v>180.28399999999999</v>
      </c>
      <c r="P15" s="1">
        <v>365.23599999999999</v>
      </c>
      <c r="Q15" s="1">
        <f>SUM(O15:P15)</f>
        <v>545.52</v>
      </c>
      <c r="R15" s="2"/>
      <c r="T15" s="2"/>
      <c r="U15" s="230">
        <f>1/U14*1000</f>
        <v>1.7777777777777779</v>
      </c>
      <c r="V15" s="5" t="s">
        <v>10</v>
      </c>
      <c r="W15" s="2"/>
      <c r="X15" s="1" t="s">
        <v>1095</v>
      </c>
      <c r="Y15" s="239">
        <f>U11*U13</f>
        <v>375</v>
      </c>
      <c r="Z15" t="s">
        <v>1078</v>
      </c>
      <c r="AA15" s="34">
        <f>Y14</f>
        <v>187.5</v>
      </c>
      <c r="AB15" t="s">
        <v>1078</v>
      </c>
      <c r="AC15" s="2"/>
      <c r="AD15" s="1" t="s">
        <v>1095</v>
      </c>
      <c r="AE15" s="239">
        <f>U20*U22</f>
        <v>254.32867403202505</v>
      </c>
      <c r="AF15" t="s">
        <v>1078</v>
      </c>
      <c r="AG15" s="34">
        <f>AE14</f>
        <v>508.6573480640501</v>
      </c>
      <c r="AH15" t="s">
        <v>1078</v>
      </c>
    </row>
    <row r="16" spans="2:34" x14ac:dyDescent="0.45">
      <c r="B16" s="2"/>
      <c r="C16" s="2" t="s">
        <v>1105</v>
      </c>
      <c r="D16" s="2" t="s">
        <v>1078</v>
      </c>
      <c r="E16" s="1">
        <v>358.80399999999997</v>
      </c>
      <c r="F16" s="1">
        <v>186.71600000000001</v>
      </c>
      <c r="G16" s="1">
        <f t="shared" si="4"/>
        <v>545.52</v>
      </c>
      <c r="H16">
        <v>176.964</v>
      </c>
      <c r="I16" s="1">
        <v>368.55599999999998</v>
      </c>
      <c r="J16" s="1">
        <f t="shared" ref="J16" si="6">SUM(H16:I16)</f>
        <v>545.52</v>
      </c>
      <c r="K16" s="2"/>
      <c r="L16" s="1">
        <v>360.791</v>
      </c>
      <c r="M16" s="1">
        <v>184.72900000000001</v>
      </c>
      <c r="N16" s="1">
        <f t="shared" si="5"/>
        <v>545.52</v>
      </c>
      <c r="O16">
        <v>178.95099999999999</v>
      </c>
      <c r="P16" s="1">
        <v>366.56900000000002</v>
      </c>
      <c r="Q16" s="1">
        <f t="shared" ref="Q16" si="7">SUM(O16:P16)</f>
        <v>545.52</v>
      </c>
      <c r="R16" s="2"/>
      <c r="T16" s="2"/>
      <c r="U16" s="2"/>
      <c r="V16" s="224"/>
      <c r="W16" s="2">
        <f>Y8</f>
        <v>31</v>
      </c>
      <c r="X16" s="1" t="s">
        <v>1093</v>
      </c>
      <c r="Y16" s="34">
        <f>Y14+Y11</f>
        <v>111.75</v>
      </c>
      <c r="Z16" t="s">
        <v>1078</v>
      </c>
      <c r="AA16" s="34">
        <f>AA14+Y11</f>
        <v>299.25</v>
      </c>
      <c r="AB16" t="s">
        <v>1078</v>
      </c>
      <c r="AC16" s="2">
        <f>AE8</f>
        <v>31</v>
      </c>
      <c r="AD16" s="1" t="s">
        <v>1093</v>
      </c>
      <c r="AE16" s="34">
        <f>AE14+AE11</f>
        <v>441.2173480640501</v>
      </c>
      <c r="AF16" t="s">
        <v>1078</v>
      </c>
      <c r="AG16" s="34">
        <f>AG14+AE11</f>
        <v>186.88867403202505</v>
      </c>
      <c r="AH16" t="s">
        <v>1078</v>
      </c>
    </row>
    <row r="17" spans="1:34" x14ac:dyDescent="0.45">
      <c r="B17" s="2"/>
      <c r="C17" s="2" t="s">
        <v>1106</v>
      </c>
      <c r="D17" s="2" t="s">
        <v>1078</v>
      </c>
      <c r="E17" s="235">
        <f>E16-E15</f>
        <v>-2.2480000000000473</v>
      </c>
      <c r="F17" s="236">
        <f>F16-F15</f>
        <v>2.2480000000000189</v>
      </c>
      <c r="G17" s="236">
        <f t="shared" ref="G17:J17" si="8">G16-G15</f>
        <v>0</v>
      </c>
      <c r="H17" s="235">
        <f>H16-H15</f>
        <v>-2.2479999999999905</v>
      </c>
      <c r="I17" s="236">
        <f t="shared" si="8"/>
        <v>2.2479999999999905</v>
      </c>
      <c r="J17" s="236">
        <f t="shared" si="8"/>
        <v>0</v>
      </c>
      <c r="K17" s="237"/>
      <c r="L17" s="235">
        <f>L16-L15</f>
        <v>-1.3330000000000268</v>
      </c>
      <c r="M17" s="236">
        <f t="shared" ref="M17:N17" si="9">M16-M15</f>
        <v>1.3330000000000268</v>
      </c>
      <c r="N17" s="236">
        <f t="shared" si="9"/>
        <v>0</v>
      </c>
      <c r="O17" s="235">
        <f>O16-O15</f>
        <v>-1.3329999999999984</v>
      </c>
      <c r="P17" s="236">
        <f t="shared" ref="P17:Q17" si="10">P16-P15</f>
        <v>1.3330000000000268</v>
      </c>
      <c r="Q17" s="236">
        <f t="shared" si="10"/>
        <v>0</v>
      </c>
      <c r="R17" s="237"/>
      <c r="T17" s="2" t="s">
        <v>24</v>
      </c>
      <c r="U17" s="264">
        <v>39.319200000000002</v>
      </c>
      <c r="V17" s="5" t="s">
        <v>0</v>
      </c>
      <c r="W17" s="3"/>
      <c r="X17" s="1" t="s">
        <v>1095</v>
      </c>
      <c r="Y17" s="34">
        <f>Y15+Y12</f>
        <v>450.75</v>
      </c>
      <c r="Z17" t="s">
        <v>1078</v>
      </c>
      <c r="AA17" s="34">
        <f>AA15+Y12</f>
        <v>263.25</v>
      </c>
      <c r="AB17" t="s">
        <v>1078</v>
      </c>
      <c r="AC17" s="3"/>
      <c r="AD17" s="1" t="s">
        <v>1095</v>
      </c>
      <c r="AE17" s="34">
        <f>AE15+AE12</f>
        <v>321.76867403202505</v>
      </c>
      <c r="AF17" t="s">
        <v>1078</v>
      </c>
      <c r="AG17" s="34">
        <f>AG15+AE12</f>
        <v>576.09734806405015</v>
      </c>
      <c r="AH17" t="s">
        <v>1078</v>
      </c>
    </row>
    <row r="18" spans="1:34" x14ac:dyDescent="0.45">
      <c r="B18" s="2"/>
      <c r="C18" s="2"/>
      <c r="D18" s="2"/>
      <c r="E18" s="236"/>
      <c r="F18" s="236"/>
      <c r="K18" s="2"/>
      <c r="L18" s="236"/>
      <c r="M18" s="236"/>
      <c r="N18" s="1"/>
      <c r="P18" s="1"/>
      <c r="Q18" s="1"/>
      <c r="R18" s="2"/>
      <c r="T18" s="2"/>
      <c r="U18" s="265">
        <v>0</v>
      </c>
      <c r="V18" s="5" t="s">
        <v>1091</v>
      </c>
      <c r="W18" s="224" t="s">
        <v>1107</v>
      </c>
      <c r="X18" s="689" t="s">
        <v>1101</v>
      </c>
      <c r="Y18" s="689"/>
      <c r="Z18" s="689" t="s">
        <v>1102</v>
      </c>
      <c r="AA18" s="689"/>
      <c r="AB18" s="3"/>
      <c r="AC18" s="224" t="s">
        <v>1107</v>
      </c>
      <c r="AD18" s="689" t="s">
        <v>1101</v>
      </c>
      <c r="AE18" s="689"/>
      <c r="AF18" s="689" t="s">
        <v>1102</v>
      </c>
      <c r="AG18" s="689"/>
    </row>
    <row r="19" spans="1:34" x14ac:dyDescent="0.45">
      <c r="B19" s="2"/>
      <c r="C19" s="2" t="s">
        <v>1108</v>
      </c>
      <c r="D19" s="2" t="s">
        <v>1078</v>
      </c>
      <c r="E19" s="236">
        <f>E3*(31-1)</f>
        <v>279.48</v>
      </c>
      <c r="F19" s="236"/>
      <c r="K19" s="2"/>
      <c r="L19" s="236">
        <f>L3*(31-1)</f>
        <v>150.33000000000001</v>
      </c>
      <c r="M19" s="236"/>
      <c r="N19" s="1"/>
      <c r="P19" s="1"/>
      <c r="Q19" s="1"/>
      <c r="R19" s="2"/>
      <c r="T19" s="2"/>
      <c r="U19" s="1">
        <f>U17+U17*U18</f>
        <v>39.319200000000002</v>
      </c>
      <c r="V19" s="5" t="s">
        <v>0</v>
      </c>
      <c r="W19" s="3"/>
      <c r="X19" s="1" t="s">
        <v>1099</v>
      </c>
      <c r="Y19" s="6">
        <f>Y16/$U$20</f>
        <v>4.3939206000000004</v>
      </c>
      <c r="Z19" t="s">
        <v>5</v>
      </c>
      <c r="AA19" s="6">
        <f>AA16/$U$20</f>
        <v>11.7662706</v>
      </c>
      <c r="AB19" t="s">
        <v>5</v>
      </c>
      <c r="AC19" s="3"/>
      <c r="AD19" s="1" t="s">
        <v>1099</v>
      </c>
      <c r="AE19" s="6">
        <f>AE16/$U$11</f>
        <v>7.0594775690248017</v>
      </c>
      <c r="AF19" t="s">
        <v>5</v>
      </c>
      <c r="AG19" s="6">
        <f>AG16/$U$11</f>
        <v>2.9902187845124009</v>
      </c>
      <c r="AH19" t="s">
        <v>5</v>
      </c>
    </row>
    <row r="20" spans="1:34" x14ac:dyDescent="0.45">
      <c r="B20" s="2"/>
      <c r="C20" s="2" t="s">
        <v>1083</v>
      </c>
      <c r="D20" s="2" t="s">
        <v>1078</v>
      </c>
      <c r="E20" s="236">
        <v>293.61200000000002</v>
      </c>
      <c r="F20" s="236">
        <v>251.90799999999999</v>
      </c>
      <c r="G20" s="1">
        <f>SUM(E20:F20)</f>
        <v>545.52</v>
      </c>
      <c r="H20" s="236">
        <v>111.77200000000001</v>
      </c>
      <c r="I20" s="236">
        <v>433.74799999999999</v>
      </c>
      <c r="J20" s="236">
        <f>SUM(H20:I20)</f>
        <v>545.52</v>
      </c>
      <c r="K20" s="237"/>
      <c r="L20" s="236">
        <v>322.13400000000001</v>
      </c>
      <c r="M20" s="236">
        <v>223.386</v>
      </c>
      <c r="N20" s="1">
        <f>SUM(L20:M20)</f>
        <v>545.52</v>
      </c>
      <c r="O20" s="236">
        <v>140.29400000000001</v>
      </c>
      <c r="P20" s="236">
        <v>405.226</v>
      </c>
      <c r="Q20" s="236">
        <f>SUM(O20:P20)</f>
        <v>545.52</v>
      </c>
      <c r="R20" s="237"/>
      <c r="T20" s="2"/>
      <c r="U20" s="1">
        <f>1/U19*1000</f>
        <v>25.432867403202504</v>
      </c>
      <c r="V20" s="5" t="s">
        <v>1078</v>
      </c>
      <c r="W20" s="3"/>
      <c r="X20" s="1" t="s">
        <v>1100</v>
      </c>
      <c r="Y20" s="6">
        <f>Y17/$U$20</f>
        <v>17.723129400000001</v>
      </c>
      <c r="Z20" t="s">
        <v>5</v>
      </c>
      <c r="AA20" s="6">
        <f>AA17/$U$20</f>
        <v>10.3507794</v>
      </c>
      <c r="AB20" t="s">
        <v>5</v>
      </c>
      <c r="AC20" s="3"/>
      <c r="AD20" s="1" t="s">
        <v>1100</v>
      </c>
      <c r="AE20" s="6">
        <f>AE17/$U$11</f>
        <v>5.1482987845124004</v>
      </c>
      <c r="AF20" t="s">
        <v>5</v>
      </c>
      <c r="AG20" s="6">
        <f>AG17/$U$11</f>
        <v>9.2175575690248017</v>
      </c>
      <c r="AH20" t="s">
        <v>5</v>
      </c>
    </row>
    <row r="21" spans="1:34" ht="17.5" thickBot="1" x14ac:dyDescent="0.5">
      <c r="B21" s="2"/>
      <c r="C21" s="2" t="s">
        <v>1087</v>
      </c>
      <c r="D21" s="2" t="s">
        <v>1078</v>
      </c>
      <c r="E21" s="236">
        <f>E17*(31-1)</f>
        <v>-67.440000000001419</v>
      </c>
      <c r="F21" s="236">
        <f>F17*(31-1)</f>
        <v>67.440000000000566</v>
      </c>
      <c r="G21" s="236">
        <f t="shared" ref="G21:J21" si="11">G17*(31-1)</f>
        <v>0</v>
      </c>
      <c r="H21" s="236">
        <f>H17*(31-1)</f>
        <v>-67.439999999999714</v>
      </c>
      <c r="I21" s="236">
        <f t="shared" si="11"/>
        <v>67.439999999999714</v>
      </c>
      <c r="J21" s="236">
        <f t="shared" si="11"/>
        <v>0</v>
      </c>
      <c r="K21" s="237"/>
      <c r="L21" s="236">
        <f>L17*(31-1)</f>
        <v>-39.990000000000805</v>
      </c>
      <c r="M21" s="236">
        <f>M17*(31-1)</f>
        <v>39.990000000000805</v>
      </c>
      <c r="N21" s="236">
        <f t="shared" ref="N21" si="12">N17*(31-1)</f>
        <v>0</v>
      </c>
      <c r="O21" s="236">
        <f>O17*(31-1)</f>
        <v>-39.989999999999952</v>
      </c>
      <c r="P21" s="236">
        <f t="shared" ref="P21:Q21" si="13">P17*(31-1)</f>
        <v>39.990000000000805</v>
      </c>
      <c r="Q21" s="236">
        <f t="shared" si="13"/>
        <v>0</v>
      </c>
      <c r="R21" s="237"/>
      <c r="T21" s="2" t="s">
        <v>1099</v>
      </c>
      <c r="U21" s="261">
        <v>20</v>
      </c>
      <c r="V21" s="5" t="s">
        <v>5</v>
      </c>
      <c r="W21" s="3"/>
      <c r="AC21" s="3"/>
    </row>
    <row r="22" spans="1:34" ht="17.5" thickTop="1" x14ac:dyDescent="0.45">
      <c r="A22" s="238"/>
      <c r="B22" s="2"/>
      <c r="C22" s="2"/>
      <c r="D22" s="2"/>
      <c r="E22" s="238"/>
      <c r="F22" s="238"/>
      <c r="G22" s="238"/>
      <c r="H22" s="238"/>
      <c r="I22" s="238"/>
      <c r="J22" s="238"/>
      <c r="K22" s="237"/>
      <c r="L22" s="238"/>
      <c r="M22" s="238"/>
      <c r="N22" s="238"/>
      <c r="O22" s="238"/>
      <c r="P22" s="238"/>
      <c r="Q22" s="238"/>
      <c r="R22" s="237"/>
      <c r="T22" s="2" t="s">
        <v>1100</v>
      </c>
      <c r="U22" s="261">
        <v>10</v>
      </c>
      <c r="V22" s="5" t="s">
        <v>5</v>
      </c>
      <c r="W22" s="240" t="s">
        <v>1109</v>
      </c>
      <c r="X22" s="241"/>
      <c r="Y22" s="242">
        <f>ROUNDDOWN(Y19,0)</f>
        <v>4</v>
      </c>
      <c r="Z22" s="243" t="s">
        <v>5</v>
      </c>
      <c r="AA22" s="242">
        <f>ROUNDUP(AA19,0)</f>
        <v>12</v>
      </c>
      <c r="AB22" s="243" t="s">
        <v>5</v>
      </c>
      <c r="AC22" s="244" t="s">
        <v>1109</v>
      </c>
      <c r="AD22" s="243"/>
      <c r="AE22" s="242">
        <f>ROUNDDOWN(AE19,0)</f>
        <v>7</v>
      </c>
      <c r="AF22" s="243" t="s">
        <v>5</v>
      </c>
      <c r="AG22" s="242">
        <f>ROUNDUP(AG19,0)</f>
        <v>3</v>
      </c>
      <c r="AH22" s="245" t="s">
        <v>5</v>
      </c>
    </row>
    <row r="23" spans="1:34" ht="17.5" thickBot="1" x14ac:dyDescent="0.5">
      <c r="A23" s="238"/>
      <c r="B23" s="2"/>
      <c r="C23" s="226" t="s">
        <v>1110</v>
      </c>
      <c r="D23" s="2" t="s">
        <v>1078</v>
      </c>
      <c r="E23" s="234">
        <v>8.6560000000000006</v>
      </c>
      <c r="F23" s="246"/>
      <c r="G23" s="246"/>
      <c r="H23" s="246"/>
      <c r="I23" s="246"/>
      <c r="J23" s="246"/>
      <c r="K23" s="237"/>
      <c r="L23" s="234"/>
      <c r="M23" s="246"/>
      <c r="N23" s="246"/>
      <c r="O23" s="246"/>
      <c r="P23" s="246"/>
      <c r="Q23" s="246"/>
      <c r="R23" s="237"/>
      <c r="T23" s="2" t="s">
        <v>9</v>
      </c>
      <c r="U23" s="230">
        <f>U20*(U21+U22)</f>
        <v>762.98602209607509</v>
      </c>
      <c r="V23" s="5" t="s">
        <v>1078</v>
      </c>
      <c r="W23" s="257" t="s">
        <v>1133</v>
      </c>
      <c r="Y23" s="7">
        <f>ROUNDUP(Y20,0)</f>
        <v>18</v>
      </c>
      <c r="Z23" t="s">
        <v>5</v>
      </c>
      <c r="AA23" s="7">
        <f>ROUNDDOWN(AA20,0)</f>
        <v>10</v>
      </c>
      <c r="AB23" t="s">
        <v>5</v>
      </c>
      <c r="AC23" s="258" t="s">
        <v>1132</v>
      </c>
      <c r="AE23" s="7">
        <f>ROUNDUP(AE20,0)</f>
        <v>6</v>
      </c>
      <c r="AF23" t="s">
        <v>5</v>
      </c>
      <c r="AG23" s="7">
        <f>ROUNDDOWN(AG20,0)</f>
        <v>9</v>
      </c>
      <c r="AH23" s="247" t="s">
        <v>5</v>
      </c>
    </row>
    <row r="24" spans="1:34" ht="18" thickTop="1" thickBot="1" x14ac:dyDescent="0.5">
      <c r="A24" s="238"/>
      <c r="B24" s="2"/>
      <c r="C24" s="226" t="s">
        <v>1111</v>
      </c>
      <c r="D24" s="2" t="s">
        <v>1078</v>
      </c>
      <c r="E24" s="234"/>
      <c r="F24" s="246"/>
      <c r="G24" s="246"/>
      <c r="H24" s="246"/>
      <c r="I24" s="246"/>
      <c r="J24" s="246"/>
      <c r="K24" s="237"/>
      <c r="L24" s="234">
        <f>E23*M2</f>
        <v>4.6550001125999323</v>
      </c>
      <c r="M24" s="246"/>
      <c r="N24" s="246"/>
      <c r="O24" s="246"/>
      <c r="P24" s="246"/>
      <c r="Q24" s="246"/>
      <c r="R24" s="237"/>
      <c r="T24" s="2"/>
      <c r="U24" s="230">
        <f>1/U23*1000</f>
        <v>1.3106400000000002</v>
      </c>
      <c r="V24" s="5" t="s">
        <v>10</v>
      </c>
      <c r="W24" s="252" t="s">
        <v>1130</v>
      </c>
      <c r="X24" s="253" t="s">
        <v>1131</v>
      </c>
      <c r="Y24" s="254"/>
      <c r="Z24" s="255"/>
      <c r="AA24" s="255"/>
      <c r="AB24" s="255"/>
      <c r="AC24" s="255"/>
      <c r="AD24" s="255"/>
      <c r="AE24" s="255"/>
      <c r="AF24" s="255"/>
      <c r="AG24" s="255"/>
      <c r="AH24" s="256"/>
    </row>
    <row r="25" spans="1:34" ht="17.5" thickTop="1" x14ac:dyDescent="0.45">
      <c r="A25" s="238"/>
      <c r="B25" s="238"/>
      <c r="C25" s="238"/>
      <c r="D25" s="238"/>
      <c r="E25" s="238"/>
      <c r="F25" s="238"/>
      <c r="G25" s="238"/>
      <c r="H25" s="238"/>
      <c r="I25" s="238"/>
      <c r="J25" s="238"/>
      <c r="K25" s="238"/>
    </row>
    <row r="26" spans="1:34" x14ac:dyDescent="0.45">
      <c r="B26" s="2"/>
      <c r="C26" s="2"/>
      <c r="D26" s="2"/>
      <c r="E26" s="2" t="s">
        <v>1065</v>
      </c>
      <c r="F26" s="2"/>
      <c r="G26" s="2"/>
      <c r="H26" s="237">
        <v>30</v>
      </c>
      <c r="I26" s="3" t="s">
        <v>0</v>
      </c>
      <c r="J26" s="2"/>
      <c r="K26" s="2"/>
      <c r="L26" s="2" t="s">
        <v>1112</v>
      </c>
      <c r="M26" s="2"/>
      <c r="N26" s="2"/>
      <c r="O26" s="237">
        <v>30</v>
      </c>
      <c r="P26" s="3" t="s">
        <v>0</v>
      </c>
      <c r="Q26" s="2"/>
      <c r="R26" s="237"/>
      <c r="T26" s="225" t="s">
        <v>1134</v>
      </c>
      <c r="U26" s="226"/>
      <c r="V26" s="226"/>
      <c r="W26" s="226"/>
      <c r="X26"/>
      <c r="Y26"/>
    </row>
    <row r="27" spans="1:34" x14ac:dyDescent="0.45">
      <c r="B27" s="2" t="s">
        <v>1063</v>
      </c>
      <c r="C27" s="2"/>
      <c r="D27" s="2"/>
      <c r="E27" s="2" t="s">
        <v>1113</v>
      </c>
      <c r="F27" s="2"/>
      <c r="G27" s="2"/>
      <c r="H27" s="2">
        <f>1/H26*1000</f>
        <v>33.333333333333336</v>
      </c>
      <c r="I27" s="224" t="s">
        <v>1078</v>
      </c>
      <c r="J27" s="2"/>
      <c r="K27" s="2"/>
      <c r="L27" s="2" t="s">
        <v>1113</v>
      </c>
      <c r="M27" s="2"/>
      <c r="N27" s="2"/>
      <c r="O27" s="2">
        <f>1/O26*1000</f>
        <v>33.333333333333336</v>
      </c>
      <c r="P27" s="224" t="s">
        <v>1078</v>
      </c>
      <c r="Q27" s="2"/>
      <c r="R27" s="237"/>
      <c r="T27" s="2">
        <v>39.311999999999998</v>
      </c>
      <c r="U27" s="224" t="s">
        <v>0</v>
      </c>
      <c r="V27" s="267">
        <v>9.0999999999999998E-2</v>
      </c>
      <c r="W27" s="224" t="s">
        <v>1061</v>
      </c>
      <c r="X27"/>
      <c r="Y27"/>
    </row>
    <row r="28" spans="1:34" x14ac:dyDescent="0.45">
      <c r="B28" s="2"/>
      <c r="C28" s="2"/>
      <c r="D28" s="2"/>
      <c r="E28" s="2" t="s">
        <v>1081</v>
      </c>
      <c r="F28" s="2" t="s">
        <v>1082</v>
      </c>
      <c r="G28" s="2"/>
      <c r="H28" s="2">
        <f>H27/2</f>
        <v>16.666666666666668</v>
      </c>
      <c r="I28" s="224" t="s">
        <v>1078</v>
      </c>
      <c r="J28" s="3"/>
      <c r="K28" s="2"/>
      <c r="L28" s="2" t="s">
        <v>1081</v>
      </c>
      <c r="M28" s="2" t="s">
        <v>1082</v>
      </c>
      <c r="N28" s="2"/>
      <c r="O28" s="2">
        <f>O27/2</f>
        <v>16.666666666666668</v>
      </c>
      <c r="P28" s="224" t="s">
        <v>1078</v>
      </c>
      <c r="Q28" s="3"/>
      <c r="R28" s="237"/>
      <c r="T28" s="227">
        <f>T27+T27*V27</f>
        <v>42.889392000000001</v>
      </c>
      <c r="U28" s="228" t="s">
        <v>0</v>
      </c>
      <c r="V28" s="219">
        <f>1/T28*1000</f>
        <v>23.315788668675928</v>
      </c>
      <c r="W28" s="218" t="s">
        <v>1078</v>
      </c>
      <c r="X28"/>
      <c r="Y28"/>
    </row>
    <row r="29" spans="1:34" x14ac:dyDescent="0.45">
      <c r="B29" s="2"/>
      <c r="C29" s="2" t="s">
        <v>412</v>
      </c>
      <c r="D29" s="2" t="s">
        <v>1078</v>
      </c>
      <c r="E29" s="1">
        <v>16.670000000000002</v>
      </c>
      <c r="F29" s="1">
        <f>E29</f>
        <v>16.670000000000002</v>
      </c>
      <c r="H29" s="1"/>
      <c r="K29" s="2"/>
      <c r="L29" s="1">
        <v>16.670000000000002</v>
      </c>
      <c r="M29" s="1">
        <f>L29</f>
        <v>16.670000000000002</v>
      </c>
      <c r="N29" s="1"/>
      <c r="O29" s="1"/>
      <c r="P29" s="1"/>
      <c r="Q29" s="1"/>
      <c r="R29" s="237"/>
      <c r="T29" s="227">
        <f>T27-T27*V27</f>
        <v>35.734607999999994</v>
      </c>
      <c r="U29" s="228" t="s">
        <v>0</v>
      </c>
      <c r="V29" s="219">
        <f>1/T29*1000</f>
        <v>27.984076388916879</v>
      </c>
      <c r="W29" s="218" t="s">
        <v>1078</v>
      </c>
      <c r="X29"/>
      <c r="Y29"/>
    </row>
    <row r="30" spans="1:34" x14ac:dyDescent="0.45">
      <c r="B30" s="2"/>
      <c r="C30" s="2" t="s">
        <v>1114</v>
      </c>
      <c r="D30" s="2" t="s">
        <v>1078</v>
      </c>
      <c r="E30" s="1">
        <v>13.972</v>
      </c>
      <c r="F30" s="1">
        <v>19.367999999999999</v>
      </c>
      <c r="H30" s="1"/>
      <c r="K30" s="2"/>
      <c r="L30" s="1">
        <v>15.157999999999999</v>
      </c>
      <c r="M30" s="1">
        <v>18.181999999999999</v>
      </c>
      <c r="N30" s="1"/>
      <c r="O30" s="1"/>
      <c r="P30" s="1"/>
      <c r="Q30" s="1"/>
      <c r="R30" s="237"/>
      <c r="T30" s="261">
        <v>60</v>
      </c>
      <c r="U30" s="224" t="s">
        <v>5</v>
      </c>
      <c r="V30" s="234">
        <f>(T30+12)*V28/1000</f>
        <v>1.678736784144667</v>
      </c>
      <c r="W30" s="3" t="s">
        <v>1</v>
      </c>
      <c r="X30"/>
      <c r="Y30"/>
    </row>
    <row r="31" spans="1:34" x14ac:dyDescent="0.45">
      <c r="B31" s="2"/>
      <c r="C31" s="2" t="s">
        <v>1115</v>
      </c>
      <c r="D31" s="2" t="s">
        <v>1078</v>
      </c>
      <c r="E31" s="230">
        <f>E30-E29</f>
        <v>-2.6980000000000022</v>
      </c>
      <c r="F31" s="230">
        <f>F30-F29</f>
        <v>2.6979999999999968</v>
      </c>
      <c r="H31" s="1"/>
      <c r="K31" s="2"/>
      <c r="L31" s="230">
        <f>L30-L29</f>
        <v>-1.5120000000000022</v>
      </c>
      <c r="M31" s="230">
        <f>M30-M29</f>
        <v>1.5119999999999969</v>
      </c>
      <c r="N31" s="1"/>
      <c r="O31" s="1"/>
      <c r="P31" s="1"/>
      <c r="Q31" s="1"/>
      <c r="R31" s="237"/>
      <c r="T31" s="2"/>
      <c r="U31" s="2"/>
      <c r="V31" s="234">
        <f>T30*V29/1000</f>
        <v>1.6790445833350127</v>
      </c>
      <c r="W31" s="3" t="s">
        <v>1</v>
      </c>
      <c r="X31"/>
      <c r="Y31"/>
    </row>
    <row r="32" spans="1:34" x14ac:dyDescent="0.45">
      <c r="B32" s="2"/>
      <c r="C32" s="2" t="s">
        <v>1116</v>
      </c>
      <c r="D32" s="2" t="s">
        <v>1078</v>
      </c>
      <c r="E32" s="233">
        <v>10.218</v>
      </c>
      <c r="K32" s="2"/>
      <c r="L32" s="233">
        <v>5.3869999999999996</v>
      </c>
      <c r="M32" s="248">
        <f>L32/E32</f>
        <v>0.52720688980230956</v>
      </c>
      <c r="N32" s="1"/>
      <c r="P32" s="1"/>
      <c r="Q32" s="1"/>
      <c r="R32" s="237"/>
      <c r="T32" s="227" t="s">
        <v>1062</v>
      </c>
      <c r="U32" s="228" t="s">
        <v>1</v>
      </c>
      <c r="V32" s="219">
        <f>V30-V31</f>
        <v>-3.0779919034573666E-4</v>
      </c>
      <c r="W32" s="218" t="s">
        <v>1</v>
      </c>
      <c r="X32"/>
      <c r="Y32"/>
    </row>
    <row r="33" spans="1:29" x14ac:dyDescent="0.45">
      <c r="B33" s="2"/>
      <c r="C33" s="2"/>
      <c r="D33" s="2"/>
      <c r="E33" s="2" t="s">
        <v>1081</v>
      </c>
      <c r="F33" s="2" t="s">
        <v>1082</v>
      </c>
      <c r="K33" s="2"/>
      <c r="L33" s="2" t="s">
        <v>1081</v>
      </c>
      <c r="M33" s="2" t="s">
        <v>1082</v>
      </c>
      <c r="N33" s="1"/>
      <c r="P33" s="1"/>
      <c r="Q33" s="1"/>
      <c r="R33" s="237"/>
      <c r="U33" s="5"/>
      <c r="V33"/>
      <c r="X33"/>
      <c r="Y33"/>
    </row>
    <row r="34" spans="1:29" s="1" customFormat="1" x14ac:dyDescent="0.45">
      <c r="A34"/>
      <c r="B34" s="2"/>
      <c r="C34" s="2" t="s">
        <v>1117</v>
      </c>
      <c r="D34" s="2" t="s">
        <v>1078</v>
      </c>
      <c r="E34" s="233">
        <v>9.7609999999999992</v>
      </c>
      <c r="F34" s="1">
        <v>6.9749999999999996</v>
      </c>
      <c r="H34"/>
      <c r="K34" s="2"/>
      <c r="L34" s="233">
        <v>5.1639999999999997</v>
      </c>
      <c r="M34" s="1">
        <v>3.6190000000000002</v>
      </c>
      <c r="O34"/>
      <c r="R34" s="237"/>
      <c r="T34" s="259" t="s">
        <v>1064</v>
      </c>
      <c r="U34" s="224"/>
      <c r="V34" s="224"/>
      <c r="W34" s="224"/>
      <c r="X34" s="3"/>
      <c r="Y34" s="3"/>
      <c r="Z34" s="3"/>
      <c r="AA34" s="3"/>
      <c r="AB34" s="3"/>
      <c r="AC34" s="3"/>
    </row>
    <row r="35" spans="1:29" s="1" customFormat="1" x14ac:dyDescent="0.45">
      <c r="A35"/>
      <c r="B35" s="2"/>
      <c r="C35" s="2" t="s">
        <v>1118</v>
      </c>
      <c r="D35" s="2" t="s">
        <v>1078</v>
      </c>
      <c r="E35" s="249">
        <f>E34-E32</f>
        <v>-0.45700000000000074</v>
      </c>
      <c r="H35"/>
      <c r="K35" s="2"/>
      <c r="L35" s="249">
        <f>L34-L32</f>
        <v>-0.22299999999999986</v>
      </c>
      <c r="O35"/>
      <c r="R35" s="237"/>
      <c r="T35" s="224"/>
      <c r="U35" s="3" t="s">
        <v>1140</v>
      </c>
      <c r="V35" s="224"/>
      <c r="W35" s="224" t="s">
        <v>1070</v>
      </c>
      <c r="X35" s="231"/>
      <c r="Y35" s="231"/>
      <c r="Z35" s="3"/>
      <c r="AA35" s="3"/>
      <c r="AB35" s="3"/>
      <c r="AC35" s="3" t="s">
        <v>1073</v>
      </c>
    </row>
    <row r="36" spans="1:29" s="1" customFormat="1" x14ac:dyDescent="0.45">
      <c r="A36"/>
      <c r="B36" s="2"/>
      <c r="C36" s="2"/>
      <c r="D36" s="2"/>
      <c r="E36"/>
      <c r="H36"/>
      <c r="K36" s="2"/>
      <c r="L36"/>
      <c r="O36"/>
      <c r="R36" s="237"/>
      <c r="T36" s="224"/>
      <c r="U36" s="232" t="s">
        <v>1139</v>
      </c>
      <c r="V36" s="260"/>
      <c r="W36" s="229" t="s">
        <v>1066</v>
      </c>
      <c r="X36" s="229" t="s">
        <v>2</v>
      </c>
      <c r="Y36" s="229" t="s">
        <v>1141</v>
      </c>
      <c r="Z36" s="3"/>
      <c r="AA36" s="2" t="s">
        <v>1071</v>
      </c>
      <c r="AB36" s="3"/>
      <c r="AC36" s="229" t="s">
        <v>1072</v>
      </c>
    </row>
    <row r="37" spans="1:29" s="1" customFormat="1" x14ac:dyDescent="0.45">
      <c r="A37"/>
      <c r="B37" s="2"/>
      <c r="C37" s="2" t="s">
        <v>1119</v>
      </c>
      <c r="D37" s="2" t="s">
        <v>1078</v>
      </c>
      <c r="E37" s="233">
        <v>11.964</v>
      </c>
      <c r="H37"/>
      <c r="K37" s="2"/>
      <c r="L37" s="233">
        <v>6.2610000000000001</v>
      </c>
      <c r="M37" s="248">
        <f>L37/E37</f>
        <v>0.52331995987963886</v>
      </c>
      <c r="O37"/>
      <c r="R37" s="237"/>
      <c r="T37" s="224"/>
      <c r="U37" s="2" t="s">
        <v>1138</v>
      </c>
      <c r="V37" s="2"/>
      <c r="W37" s="2">
        <v>16</v>
      </c>
      <c r="X37" s="2" t="s">
        <v>1069</v>
      </c>
      <c r="Y37" s="2" t="s">
        <v>23</v>
      </c>
      <c r="Z37" s="3"/>
      <c r="AA37" s="2" t="s">
        <v>23</v>
      </c>
      <c r="AB37" s="3"/>
      <c r="AC37" s="2" t="s">
        <v>23</v>
      </c>
    </row>
    <row r="38" spans="1:29" s="1" customFormat="1" x14ac:dyDescent="0.45">
      <c r="A38"/>
      <c r="B38" s="2"/>
      <c r="C38" s="2" t="s">
        <v>1120</v>
      </c>
      <c r="D38" s="2" t="s">
        <v>1078</v>
      </c>
      <c r="E38" s="1">
        <f>E32+E37</f>
        <v>22.182000000000002</v>
      </c>
      <c r="H38" s="236"/>
      <c r="I38" s="236"/>
      <c r="J38"/>
      <c r="K38" s="2"/>
      <c r="L38" s="1">
        <f>L32+L37</f>
        <v>11.648</v>
      </c>
      <c r="O38" s="236"/>
      <c r="P38" s="236"/>
      <c r="Q38"/>
      <c r="R38" s="237"/>
      <c r="T38" s="2" t="s">
        <v>1063</v>
      </c>
      <c r="U38" s="1" t="s">
        <v>1136</v>
      </c>
      <c r="W38" s="1">
        <f>2^W37</f>
        <v>65536</v>
      </c>
      <c r="X38" s="261">
        <v>10</v>
      </c>
      <c r="Y38" s="230">
        <f>W38*(1/X38)/1000</f>
        <v>6.5536000000000003</v>
      </c>
      <c r="AA38">
        <v>1</v>
      </c>
      <c r="AC38" s="6">
        <f>Y38+AA38</f>
        <v>7.5536000000000003</v>
      </c>
    </row>
    <row r="39" spans="1:29" s="1" customFormat="1" x14ac:dyDescent="0.45">
      <c r="A39"/>
      <c r="B39" s="2"/>
      <c r="C39" s="2" t="s">
        <v>1121</v>
      </c>
      <c r="D39" s="2" t="s">
        <v>1078</v>
      </c>
      <c r="E39" s="1">
        <f>E32*2+E37</f>
        <v>32.4</v>
      </c>
      <c r="H39" s="236"/>
      <c r="I39" s="236"/>
      <c r="J39"/>
      <c r="K39" s="2"/>
      <c r="L39" s="1">
        <f>L32*2+L37</f>
        <v>17.035</v>
      </c>
      <c r="O39" s="236"/>
      <c r="P39" s="236"/>
      <c r="Q39"/>
      <c r="R39" s="237"/>
      <c r="T39" s="2" t="s">
        <v>1067</v>
      </c>
      <c r="U39" s="1" t="s">
        <v>1137</v>
      </c>
      <c r="W39" s="1">
        <f>2^W37</f>
        <v>65536</v>
      </c>
      <c r="X39" s="262">
        <f>14.75</f>
        <v>14.75</v>
      </c>
      <c r="Y39" s="230">
        <f t="shared" ref="Y39:Y40" si="14">W39*(1/X39)/1000</f>
        <v>4.4431186440677966</v>
      </c>
      <c r="AA39">
        <v>1</v>
      </c>
      <c r="AC39" s="6">
        <f>Y39+AA39</f>
        <v>5.4431186440677966</v>
      </c>
    </row>
    <row r="40" spans="1:29" s="1" customFormat="1" x14ac:dyDescent="0.45">
      <c r="A40"/>
      <c r="B40" s="2"/>
      <c r="C40" s="2"/>
      <c r="D40" s="2"/>
      <c r="H40" s="236"/>
      <c r="I40" s="236"/>
      <c r="J40"/>
      <c r="K40" s="2"/>
      <c r="O40" s="236"/>
      <c r="P40" s="236"/>
      <c r="Q40"/>
      <c r="R40" s="237"/>
      <c r="T40" s="2" t="s">
        <v>1068</v>
      </c>
      <c r="U40" s="1" t="s">
        <v>1137</v>
      </c>
      <c r="W40">
        <f>2^W37</f>
        <v>65536</v>
      </c>
      <c r="X40" s="263">
        <v>39.311999999999998</v>
      </c>
      <c r="Y40" s="230">
        <f t="shared" si="14"/>
        <v>1.6670736670736672</v>
      </c>
      <c r="AA40">
        <v>1</v>
      </c>
      <c r="AC40" s="6">
        <f>Y40+AA40</f>
        <v>2.6670736670736672</v>
      </c>
    </row>
    <row r="41" spans="1:29" s="1" customFormat="1" x14ac:dyDescent="0.45">
      <c r="A41"/>
      <c r="B41" s="2"/>
      <c r="C41" s="2" t="s">
        <v>1122</v>
      </c>
      <c r="D41" s="2" t="s">
        <v>1078</v>
      </c>
      <c r="H41" s="236" t="s">
        <v>1123</v>
      </c>
      <c r="I41" s="250" t="s">
        <v>1124</v>
      </c>
      <c r="J41"/>
      <c r="K41" s="2"/>
      <c r="O41" s="236" t="s">
        <v>1123</v>
      </c>
      <c r="P41" s="250" t="s">
        <v>1124</v>
      </c>
      <c r="Q41"/>
      <c r="R41" s="237"/>
      <c r="V41" s="5"/>
      <c r="Y41" s="230"/>
    </row>
    <row r="42" spans="1:29" s="1" customFormat="1" x14ac:dyDescent="0.45">
      <c r="A42"/>
      <c r="B42" s="2"/>
      <c r="C42" s="2" t="s">
        <v>1125</v>
      </c>
      <c r="D42" s="2" t="s">
        <v>1078</v>
      </c>
      <c r="H42" s="236">
        <f>H28-E37</f>
        <v>4.7026666666666674</v>
      </c>
      <c r="I42" s="250" t="s">
        <v>1126</v>
      </c>
      <c r="J42" s="251"/>
      <c r="K42" s="2"/>
      <c r="O42" s="236">
        <f>O28-L37</f>
        <v>10.405666666666669</v>
      </c>
      <c r="P42" s="250" t="s">
        <v>1126</v>
      </c>
      <c r="Q42" s="251"/>
      <c r="R42" s="237"/>
      <c r="V42" s="5"/>
      <c r="Y42" s="230"/>
    </row>
    <row r="43" spans="1:29" s="1" customFormat="1" x14ac:dyDescent="0.45">
      <c r="A43"/>
      <c r="B43" s="2"/>
      <c r="C43" s="2"/>
      <c r="D43" s="2"/>
      <c r="G43" s="236"/>
      <c r="K43" s="2"/>
      <c r="N43" s="236"/>
      <c r="R43" s="237"/>
      <c r="V43" s="5"/>
      <c r="Y43" s="230"/>
    </row>
    <row r="44" spans="1:29" s="1" customFormat="1" x14ac:dyDescent="0.45">
      <c r="A44"/>
      <c r="B44" s="2"/>
      <c r="C44" s="2" t="s">
        <v>1127</v>
      </c>
      <c r="D44" s="2" t="s">
        <v>1078</v>
      </c>
      <c r="H44" s="236" t="s">
        <v>1123</v>
      </c>
      <c r="I44" s="250" t="s">
        <v>1124</v>
      </c>
      <c r="K44" s="2"/>
      <c r="O44" s="236" t="s">
        <v>1123</v>
      </c>
      <c r="P44" s="250" t="s">
        <v>1124</v>
      </c>
      <c r="R44" s="237"/>
      <c r="V44" s="5"/>
      <c r="Y44" s="230"/>
    </row>
    <row r="45" spans="1:29" s="1" customFormat="1" x14ac:dyDescent="0.45">
      <c r="A45"/>
      <c r="B45" s="2"/>
      <c r="C45" s="2" t="s">
        <v>1128</v>
      </c>
      <c r="D45" s="2" t="s">
        <v>1078</v>
      </c>
      <c r="H45" s="1">
        <f>1/(2* (E32+E37+5))*1000</f>
        <v>18.394525789125154</v>
      </c>
      <c r="I45" s="250" t="s">
        <v>1129</v>
      </c>
      <c r="K45" s="2"/>
      <c r="O45" s="1">
        <f>1/(2* (L32+L37+5))*1000</f>
        <v>30.033637674195099</v>
      </c>
      <c r="P45" s="250" t="s">
        <v>1129</v>
      </c>
      <c r="R45" s="237"/>
      <c r="V45" s="5"/>
      <c r="Y45" s="230"/>
    </row>
    <row r="46" spans="1:29" s="1" customFormat="1" x14ac:dyDescent="0.45">
      <c r="A4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V46" s="5"/>
      <c r="Y46" s="230"/>
    </row>
    <row r="51" spans="1:25" s="1" customFormat="1" x14ac:dyDescent="0.45">
      <c r="A51"/>
      <c r="C51" s="5"/>
      <c r="H51"/>
      <c r="L51"/>
      <c r="M51"/>
      <c r="N51"/>
      <c r="O51"/>
      <c r="P51"/>
      <c r="Q51"/>
      <c r="R51"/>
      <c r="V51" s="5"/>
      <c r="Y51" s="230"/>
    </row>
  </sheetData>
  <mergeCells count="10">
    <mergeCell ref="X18:Y18"/>
    <mergeCell ref="Z18:AA18"/>
    <mergeCell ref="AD18:AE18"/>
    <mergeCell ref="AF18:AG18"/>
    <mergeCell ref="W7:AB7"/>
    <mergeCell ref="AC7:AH7"/>
    <mergeCell ref="X13:Y13"/>
    <mergeCell ref="Z13:AA13"/>
    <mergeCell ref="AD13:AE13"/>
    <mergeCell ref="AF13:AG1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F4BB-9071-4373-93A0-1DEB0B610E10}">
  <dimension ref="B1:AO33"/>
  <sheetViews>
    <sheetView showGridLines="0" zoomScaleNormal="100" workbookViewId="0"/>
  </sheetViews>
  <sheetFormatPr defaultRowHeight="17" x14ac:dyDescent="0.45"/>
  <cols>
    <col min="2" max="2" width="10.1640625" style="1" bestFit="1" customWidth="1"/>
    <col min="3" max="3" width="6.6640625" style="5" bestFit="1" customWidth="1"/>
    <col min="4" max="4" width="10.6640625" bestFit="1" customWidth="1"/>
    <col min="5" max="7" width="9.6640625" bestFit="1" customWidth="1"/>
    <col min="8" max="8" width="11.08203125" bestFit="1" customWidth="1"/>
    <col min="9" max="10" width="9.6640625" bestFit="1" customWidth="1"/>
    <col min="11" max="12" width="9.1640625" bestFit="1" customWidth="1"/>
    <col min="13" max="13" width="6.08203125" style="5" bestFit="1" customWidth="1"/>
    <col min="14" max="14" width="6.08203125" style="5" customWidth="1"/>
    <col min="15" max="15" width="9.6640625" style="43" bestFit="1" customWidth="1"/>
    <col min="16" max="16" width="5.6640625" style="43" bestFit="1" customWidth="1"/>
    <col min="17" max="17" width="10.6640625" style="43" bestFit="1" customWidth="1"/>
    <col min="18" max="18" width="9.6640625" style="43" bestFit="1" customWidth="1"/>
    <col min="19" max="20" width="10.1640625" style="43" bestFit="1" customWidth="1"/>
    <col min="21" max="23" width="9.6640625" style="43" bestFit="1" customWidth="1"/>
    <col min="24" max="25" width="9.1640625" style="50" bestFit="1" customWidth="1"/>
    <col min="26" max="26" width="6.08203125" style="41" bestFit="1" customWidth="1"/>
    <col min="27" max="27" width="6.08203125" bestFit="1" customWidth="1"/>
    <col min="28" max="28" width="9.6640625" style="43" bestFit="1" customWidth="1"/>
    <col min="29" max="29" width="5.6640625" style="48" bestFit="1" customWidth="1"/>
    <col min="30" max="30" width="10.6640625" style="43" bestFit="1" customWidth="1"/>
    <col min="31" max="37" width="9.6640625" style="43" bestFit="1" customWidth="1"/>
    <col min="38" max="41" width="9.1640625" style="43" bestFit="1" customWidth="1"/>
  </cols>
  <sheetData>
    <row r="1" spans="2:41" ht="17.5" thickBot="1" x14ac:dyDescent="0.5"/>
    <row r="2" spans="2:41" x14ac:dyDescent="0.45">
      <c r="B2" s="2" t="s">
        <v>3</v>
      </c>
      <c r="C2" s="2" t="s">
        <v>4</v>
      </c>
      <c r="D2" s="3">
        <v>100</v>
      </c>
      <c r="E2" s="3">
        <v>120</v>
      </c>
      <c r="F2" s="3">
        <v>144</v>
      </c>
      <c r="G2" s="3">
        <v>165</v>
      </c>
      <c r="H2" s="3">
        <v>240</v>
      </c>
      <c r="I2" s="3">
        <f>D2*2^(D4-I4)</f>
        <v>800</v>
      </c>
      <c r="J2" s="3">
        <f>E2*2^(E4-J4)</f>
        <v>960</v>
      </c>
      <c r="K2" s="65">
        <f>G2*2^(F4-K4)</f>
        <v>1320</v>
      </c>
      <c r="L2" s="65">
        <f>H2*2^(G4-L4)</f>
        <v>1920</v>
      </c>
      <c r="O2" s="39" t="s">
        <v>3</v>
      </c>
      <c r="P2" s="58" t="s">
        <v>4</v>
      </c>
      <c r="Q2" s="40">
        <v>100</v>
      </c>
      <c r="R2" s="40">
        <v>120</v>
      </c>
      <c r="S2" s="40">
        <v>144</v>
      </c>
      <c r="T2" s="40">
        <v>165</v>
      </c>
      <c r="U2" s="40">
        <v>240</v>
      </c>
      <c r="V2" s="40">
        <f>Q2*2^(Q4-V4)</f>
        <v>800</v>
      </c>
      <c r="W2" s="40">
        <f>R2*2^(R4-W4)</f>
        <v>960</v>
      </c>
      <c r="X2" s="65">
        <f>T2*2^(S4-X4)</f>
        <v>1320</v>
      </c>
      <c r="Y2" s="65">
        <f>U2*2^(T4-Y4)</f>
        <v>1920</v>
      </c>
      <c r="AB2" s="58" t="s">
        <v>3</v>
      </c>
      <c r="AC2" s="58" t="s">
        <v>4</v>
      </c>
      <c r="AD2" s="69">
        <v>100</v>
      </c>
      <c r="AE2" s="70">
        <v>120</v>
      </c>
      <c r="AF2" s="69">
        <f>AD2*2^(AD4-AF4)</f>
        <v>200</v>
      </c>
      <c r="AG2" s="70">
        <f>AE2*2^(AE4-AG4)</f>
        <v>240</v>
      </c>
      <c r="AH2" s="69">
        <f>AD2*2^(AD4-AH4)</f>
        <v>400</v>
      </c>
      <c r="AI2" s="70">
        <f>AE2*2^(AE4-AI4)</f>
        <v>480</v>
      </c>
      <c r="AJ2" s="69">
        <f>AD2*2^(AD4-AJ4)</f>
        <v>800</v>
      </c>
      <c r="AK2" s="71">
        <f>AE2*2^(AE4-AK4)</f>
        <v>960</v>
      </c>
      <c r="AL2" s="70">
        <f>AJ2*2^(AJ4-AL4)</f>
        <v>1600</v>
      </c>
      <c r="AM2" s="71">
        <f>AK2*2^(AK4-AM4)</f>
        <v>1920</v>
      </c>
      <c r="AN2" s="70">
        <f>AL2*2^(AL4-AN4)</f>
        <v>3200</v>
      </c>
      <c r="AO2" s="71">
        <f>AM2*2^(AM4-AO4)</f>
        <v>3840</v>
      </c>
    </row>
    <row r="3" spans="2:41" x14ac:dyDescent="0.45">
      <c r="B3" s="2"/>
      <c r="C3" s="2" t="s">
        <v>1</v>
      </c>
      <c r="D3" s="6">
        <f>1/D2*1000000</f>
        <v>10000</v>
      </c>
      <c r="E3" s="6">
        <f t="shared" ref="E3:L3" si="0">1/E2*1000000</f>
        <v>8333.3333333333339</v>
      </c>
      <c r="F3" s="6">
        <f>1/F2*1000000</f>
        <v>6944.4444444444443</v>
      </c>
      <c r="G3" s="6">
        <f t="shared" si="0"/>
        <v>6060.606060606061</v>
      </c>
      <c r="H3" s="6">
        <f t="shared" si="0"/>
        <v>4166.666666666667</v>
      </c>
      <c r="I3" s="6">
        <f t="shared" si="0"/>
        <v>1250</v>
      </c>
      <c r="J3" s="6">
        <f t="shared" si="0"/>
        <v>1041.6666666666667</v>
      </c>
      <c r="K3" s="49">
        <f t="shared" si="0"/>
        <v>757.57575757575762</v>
      </c>
      <c r="L3" s="49">
        <f t="shared" si="0"/>
        <v>520.83333333333337</v>
      </c>
      <c r="O3" s="39"/>
      <c r="P3" s="58" t="s">
        <v>1</v>
      </c>
      <c r="Q3" s="42">
        <f>1/Q2*1000000</f>
        <v>10000</v>
      </c>
      <c r="R3" s="42">
        <f t="shared" ref="R3" si="1">1/R2*1000000</f>
        <v>8333.3333333333339</v>
      </c>
      <c r="S3" s="42">
        <f>1/S2*1000000</f>
        <v>6944.4444444444443</v>
      </c>
      <c r="T3" s="42">
        <f t="shared" ref="T3:Y3" si="2">1/T2*1000000</f>
        <v>6060.606060606061</v>
      </c>
      <c r="U3" s="42">
        <f t="shared" si="2"/>
        <v>4166.666666666667</v>
      </c>
      <c r="V3" s="42">
        <f>1/V2*1000000</f>
        <v>1250</v>
      </c>
      <c r="W3" s="42">
        <f t="shared" si="2"/>
        <v>1041.6666666666667</v>
      </c>
      <c r="X3" s="49">
        <f>1/X2*1000000</f>
        <v>757.57575757575762</v>
      </c>
      <c r="Y3" s="49">
        <f t="shared" si="2"/>
        <v>520.83333333333337</v>
      </c>
      <c r="AB3" s="58"/>
      <c r="AC3" s="58" t="s">
        <v>1</v>
      </c>
      <c r="AD3" s="72">
        <f>1/AD2*1000000</f>
        <v>10000</v>
      </c>
      <c r="AE3" s="42">
        <f t="shared" ref="AE3" si="3">1/AE2*1000000</f>
        <v>8333.3333333333339</v>
      </c>
      <c r="AF3" s="72">
        <f>1/AF2*1000000</f>
        <v>5000</v>
      </c>
      <c r="AG3" s="42">
        <f t="shared" ref="AG3" si="4">1/AG2*1000000</f>
        <v>4166.666666666667</v>
      </c>
      <c r="AH3" s="72">
        <f>1/AH2*1000000</f>
        <v>2500</v>
      </c>
      <c r="AI3" s="42">
        <f t="shared" ref="AI3" si="5">1/AI2*1000000</f>
        <v>2083.3333333333335</v>
      </c>
      <c r="AJ3" s="72">
        <f>1/AJ2*1000000</f>
        <v>1250</v>
      </c>
      <c r="AK3" s="73">
        <f t="shared" ref="AK3:AO3" si="6">1/AK2*1000000</f>
        <v>1041.6666666666667</v>
      </c>
      <c r="AL3" s="42">
        <f t="shared" si="6"/>
        <v>625</v>
      </c>
      <c r="AM3" s="73">
        <f t="shared" si="6"/>
        <v>520.83333333333337</v>
      </c>
      <c r="AN3" s="42">
        <f t="shared" si="6"/>
        <v>312.5</v>
      </c>
      <c r="AO3" s="73">
        <f t="shared" si="6"/>
        <v>260.41666666666669</v>
      </c>
    </row>
    <row r="4" spans="2:41" x14ac:dyDescent="0.45">
      <c r="B4" s="2" t="s">
        <v>25</v>
      </c>
      <c r="C4" s="2" t="s">
        <v>26</v>
      </c>
      <c r="D4" s="57">
        <v>12</v>
      </c>
      <c r="E4" s="64">
        <v>12</v>
      </c>
      <c r="F4" s="64">
        <v>12</v>
      </c>
      <c r="G4" s="64">
        <v>12</v>
      </c>
      <c r="H4" s="64">
        <v>12</v>
      </c>
      <c r="I4" s="57">
        <v>9</v>
      </c>
      <c r="J4" s="57">
        <v>9</v>
      </c>
      <c r="K4" s="66">
        <v>9</v>
      </c>
      <c r="L4" s="66">
        <v>9</v>
      </c>
      <c r="O4" s="2" t="s">
        <v>25</v>
      </c>
      <c r="P4" s="58" t="s">
        <v>26</v>
      </c>
      <c r="Q4" s="63">
        <v>14</v>
      </c>
      <c r="R4" s="45">
        <v>14</v>
      </c>
      <c r="S4" s="45">
        <v>14</v>
      </c>
      <c r="T4" s="45">
        <v>14</v>
      </c>
      <c r="U4" s="45">
        <v>14</v>
      </c>
      <c r="V4" s="57">
        <v>11</v>
      </c>
      <c r="W4" s="45">
        <v>11</v>
      </c>
      <c r="X4" s="52">
        <v>11</v>
      </c>
      <c r="Y4" s="52">
        <v>11</v>
      </c>
      <c r="AB4" s="58" t="s">
        <v>25</v>
      </c>
      <c r="AC4" s="58" t="s">
        <v>26</v>
      </c>
      <c r="AD4" s="74">
        <v>14</v>
      </c>
      <c r="AE4" s="45">
        <v>14</v>
      </c>
      <c r="AF4" s="80">
        <v>13</v>
      </c>
      <c r="AG4" s="45">
        <v>13</v>
      </c>
      <c r="AH4" s="80">
        <v>12</v>
      </c>
      <c r="AI4" s="45">
        <v>12</v>
      </c>
      <c r="AJ4" s="80">
        <v>11</v>
      </c>
      <c r="AK4" s="75">
        <v>11</v>
      </c>
      <c r="AL4" s="45">
        <v>10</v>
      </c>
      <c r="AM4" s="75">
        <v>10</v>
      </c>
      <c r="AN4" s="45">
        <v>9</v>
      </c>
      <c r="AO4" s="75">
        <v>9</v>
      </c>
    </row>
    <row r="5" spans="2:41" x14ac:dyDescent="0.45">
      <c r="B5" s="2"/>
      <c r="C5" s="61" t="s">
        <v>5</v>
      </c>
      <c r="D5">
        <f>2^$D$4-1</f>
        <v>4095</v>
      </c>
      <c r="E5">
        <f>2^$D$4-1</f>
        <v>4095</v>
      </c>
      <c r="F5">
        <f>2^$D$4-1</f>
        <v>4095</v>
      </c>
      <c r="G5">
        <f>2^$D$4-1</f>
        <v>4095</v>
      </c>
      <c r="H5">
        <f>2^$D$4-1</f>
        <v>4095</v>
      </c>
      <c r="I5">
        <f>2^$I$4-1</f>
        <v>511</v>
      </c>
      <c r="J5">
        <f t="shared" ref="J5:L5" si="7">2^$I$4-1</f>
        <v>511</v>
      </c>
      <c r="K5" s="50">
        <f t="shared" si="7"/>
        <v>511</v>
      </c>
      <c r="L5" s="50">
        <f t="shared" si="7"/>
        <v>511</v>
      </c>
      <c r="O5" s="39"/>
      <c r="P5" s="59" t="s">
        <v>5</v>
      </c>
      <c r="Q5" s="43">
        <f>2^$Q$4-1</f>
        <v>16383</v>
      </c>
      <c r="R5" s="43">
        <f>2^$Q$4-1</f>
        <v>16383</v>
      </c>
      <c r="S5" s="43">
        <f>2^$Q$4-1</f>
        <v>16383</v>
      </c>
      <c r="T5" s="43">
        <f>2^$Q$4-1</f>
        <v>16383</v>
      </c>
      <c r="U5" s="43">
        <f>2^$Q$4-1</f>
        <v>16383</v>
      </c>
      <c r="V5" s="43">
        <f>2^$V$4-1</f>
        <v>2047</v>
      </c>
      <c r="W5" s="43">
        <f t="shared" ref="W5:Y5" si="8">2^$V$4-1</f>
        <v>2047</v>
      </c>
      <c r="X5" s="50">
        <f t="shared" si="8"/>
        <v>2047</v>
      </c>
      <c r="Y5" s="50">
        <f t="shared" si="8"/>
        <v>2047</v>
      </c>
      <c r="AB5" s="58"/>
      <c r="AC5" s="59" t="s">
        <v>5</v>
      </c>
      <c r="AD5" s="76">
        <f>2^$Q$4-1</f>
        <v>16383</v>
      </c>
      <c r="AE5" s="43">
        <f>2^$Q$4-1</f>
        <v>16383</v>
      </c>
      <c r="AF5" s="76">
        <f>2^AF4-1</f>
        <v>8191</v>
      </c>
      <c r="AG5" s="43">
        <f t="shared" ref="AG5:AO5" si="9">2^AG4-1</f>
        <v>8191</v>
      </c>
      <c r="AH5" s="76">
        <f t="shared" si="9"/>
        <v>4095</v>
      </c>
      <c r="AI5" s="43">
        <f t="shared" si="9"/>
        <v>4095</v>
      </c>
      <c r="AJ5" s="76">
        <f t="shared" si="9"/>
        <v>2047</v>
      </c>
      <c r="AK5" s="77">
        <f t="shared" si="9"/>
        <v>2047</v>
      </c>
      <c r="AL5" s="43">
        <f t="shared" si="9"/>
        <v>1023</v>
      </c>
      <c r="AM5" s="77">
        <f t="shared" si="9"/>
        <v>1023</v>
      </c>
      <c r="AN5" s="43">
        <f t="shared" si="9"/>
        <v>511</v>
      </c>
      <c r="AO5" s="77">
        <f t="shared" si="9"/>
        <v>511</v>
      </c>
    </row>
    <row r="6" spans="2:41" x14ac:dyDescent="0.45">
      <c r="B6" s="2"/>
      <c r="C6" s="62" t="s">
        <v>1</v>
      </c>
      <c r="D6" s="33">
        <f>D3/D5</f>
        <v>2.4420024420024422</v>
      </c>
      <c r="E6" s="33">
        <f t="shared" ref="E6:L6" si="10">E3/E5</f>
        <v>2.035002035002035</v>
      </c>
      <c r="F6" s="33">
        <f t="shared" si="10"/>
        <v>1.6958350291683624</v>
      </c>
      <c r="G6" s="33">
        <f t="shared" si="10"/>
        <v>1.48000148000148</v>
      </c>
      <c r="H6" s="33">
        <f t="shared" si="10"/>
        <v>1.0175010175010175</v>
      </c>
      <c r="I6" s="33">
        <f t="shared" si="10"/>
        <v>2.4461839530332683</v>
      </c>
      <c r="J6" s="33">
        <f t="shared" si="10"/>
        <v>2.0384866275277234</v>
      </c>
      <c r="K6" s="51">
        <f t="shared" si="10"/>
        <v>1.4825357291110717</v>
      </c>
      <c r="L6" s="51">
        <f t="shared" si="10"/>
        <v>1.0192433137638617</v>
      </c>
      <c r="O6" s="39"/>
      <c r="P6" s="60" t="s">
        <v>1</v>
      </c>
      <c r="Q6" s="44">
        <f>Q3/Q5</f>
        <v>0.61038881767686015</v>
      </c>
      <c r="R6" s="44">
        <f t="shared" ref="R6:Y6" si="11">R3/R5</f>
        <v>0.50865734806405016</v>
      </c>
      <c r="S6" s="44">
        <f t="shared" si="11"/>
        <v>0.42388112338670841</v>
      </c>
      <c r="T6" s="44">
        <f t="shared" si="11"/>
        <v>0.36993261677385464</v>
      </c>
      <c r="U6" s="44">
        <f t="shared" si="11"/>
        <v>0.25432867403202508</v>
      </c>
      <c r="V6" s="44">
        <f t="shared" si="11"/>
        <v>0.61064973131411826</v>
      </c>
      <c r="W6" s="44">
        <f t="shared" si="11"/>
        <v>0.50887477609509857</v>
      </c>
      <c r="X6" s="51">
        <f t="shared" si="11"/>
        <v>0.37009074625098076</v>
      </c>
      <c r="Y6" s="51">
        <f t="shared" si="11"/>
        <v>0.25443738804754928</v>
      </c>
      <c r="AB6" s="58"/>
      <c r="AC6" s="60" t="s">
        <v>1</v>
      </c>
      <c r="AD6" s="78">
        <f t="shared" ref="AD6:AO6" si="12">AD3/AD5</f>
        <v>0.61038881767686015</v>
      </c>
      <c r="AE6" s="44">
        <f t="shared" si="12"/>
        <v>0.50865734806405016</v>
      </c>
      <c r="AF6" s="78">
        <f t="shared" si="12"/>
        <v>0.61042607740202659</v>
      </c>
      <c r="AG6" s="44">
        <f t="shared" si="12"/>
        <v>0.50868839783502218</v>
      </c>
      <c r="AH6" s="78">
        <f t="shared" si="12"/>
        <v>0.61050061050061055</v>
      </c>
      <c r="AI6" s="44">
        <f t="shared" si="12"/>
        <v>0.50875050875050876</v>
      </c>
      <c r="AJ6" s="78">
        <f t="shared" si="12"/>
        <v>0.61064973131411826</v>
      </c>
      <c r="AK6" s="79">
        <f t="shared" si="12"/>
        <v>0.50887477609509857</v>
      </c>
      <c r="AL6" s="44">
        <f t="shared" si="12"/>
        <v>0.6109481915933529</v>
      </c>
      <c r="AM6" s="79">
        <f t="shared" si="12"/>
        <v>0.5091234929944608</v>
      </c>
      <c r="AN6" s="44">
        <f t="shared" si="12"/>
        <v>0.61154598825831707</v>
      </c>
      <c r="AO6" s="79">
        <f t="shared" si="12"/>
        <v>0.50962165688193084</v>
      </c>
    </row>
    <row r="7" spans="2:41" x14ac:dyDescent="0.45">
      <c r="B7" s="2" t="s">
        <v>21</v>
      </c>
      <c r="C7" s="2" t="s">
        <v>5</v>
      </c>
      <c r="D7" s="8">
        <v>96</v>
      </c>
      <c r="E7" s="8">
        <v>80</v>
      </c>
      <c r="F7" s="8">
        <v>68</v>
      </c>
      <c r="G7" s="8">
        <v>60</v>
      </c>
      <c r="H7" s="8">
        <f>E7/2</f>
        <v>40</v>
      </c>
      <c r="I7" s="8">
        <f>D7</f>
        <v>96</v>
      </c>
      <c r="J7" s="8">
        <f t="shared" ref="J7" si="13">E7</f>
        <v>80</v>
      </c>
      <c r="K7" s="52">
        <f>G7</f>
        <v>60</v>
      </c>
      <c r="L7" s="52">
        <f>H7</f>
        <v>40</v>
      </c>
      <c r="O7" s="39" t="s">
        <v>21</v>
      </c>
      <c r="P7" s="58" t="s">
        <v>5</v>
      </c>
      <c r="Q7" s="45">
        <v>24</v>
      </c>
      <c r="R7" s="45">
        <v>20</v>
      </c>
      <c r="S7" s="45">
        <f>F7/4</f>
        <v>17</v>
      </c>
      <c r="T7" s="45">
        <f>G7/4</f>
        <v>15</v>
      </c>
      <c r="U7" s="45">
        <f>H7/4</f>
        <v>10</v>
      </c>
      <c r="V7" s="45">
        <f>Q7</f>
        <v>24</v>
      </c>
      <c r="W7" s="45">
        <f>R7</f>
        <v>20</v>
      </c>
      <c r="X7" s="52">
        <f>T7</f>
        <v>15</v>
      </c>
      <c r="Y7" s="52">
        <f>U7</f>
        <v>10</v>
      </c>
      <c r="Z7" s="46"/>
      <c r="AB7" s="58" t="s">
        <v>21</v>
      </c>
      <c r="AC7" s="58" t="s">
        <v>5</v>
      </c>
      <c r="AD7" s="80">
        <f>Q7</f>
        <v>24</v>
      </c>
      <c r="AE7" s="45">
        <f>R7</f>
        <v>20</v>
      </c>
      <c r="AF7" s="80">
        <f t="shared" ref="AF7:AO7" si="14">AD7</f>
        <v>24</v>
      </c>
      <c r="AG7" s="45">
        <f t="shared" si="14"/>
        <v>20</v>
      </c>
      <c r="AH7" s="80">
        <f t="shared" si="14"/>
        <v>24</v>
      </c>
      <c r="AI7" s="45">
        <f t="shared" si="14"/>
        <v>20</v>
      </c>
      <c r="AJ7" s="80">
        <f t="shared" si="14"/>
        <v>24</v>
      </c>
      <c r="AK7" s="75">
        <f t="shared" si="14"/>
        <v>20</v>
      </c>
      <c r="AL7" s="45">
        <f t="shared" si="14"/>
        <v>24</v>
      </c>
      <c r="AM7" s="75">
        <f t="shared" si="14"/>
        <v>20</v>
      </c>
      <c r="AN7" s="45">
        <f t="shared" si="14"/>
        <v>24</v>
      </c>
      <c r="AO7" s="75">
        <f t="shared" si="14"/>
        <v>20</v>
      </c>
    </row>
    <row r="8" spans="2:41" x14ac:dyDescent="0.45">
      <c r="B8" s="2" t="s">
        <v>2</v>
      </c>
      <c r="C8" s="2" t="s">
        <v>0</v>
      </c>
      <c r="D8" s="32">
        <f>1/D9</f>
        <v>39.311999999999998</v>
      </c>
      <c r="E8" s="32">
        <f t="shared" ref="E8:J8" si="15">1/E9</f>
        <v>39.311999999999998</v>
      </c>
      <c r="F8" s="32">
        <f t="shared" si="15"/>
        <v>40.098240000000004</v>
      </c>
      <c r="G8" s="32">
        <f t="shared" si="15"/>
        <v>40.540499999999994</v>
      </c>
      <c r="H8" s="32">
        <f t="shared" si="15"/>
        <v>39.311999999999998</v>
      </c>
      <c r="I8" s="32">
        <f t="shared" si="15"/>
        <v>39.244799999999998</v>
      </c>
      <c r="J8" s="32">
        <f t="shared" si="15"/>
        <v>39.244800000000005</v>
      </c>
      <c r="K8" s="53">
        <f>1/K9</f>
        <v>40.471199999999996</v>
      </c>
      <c r="L8" s="53">
        <f>1/L9</f>
        <v>39.244800000000005</v>
      </c>
      <c r="M8" s="36"/>
      <c r="N8" s="36"/>
      <c r="O8" s="39" t="s">
        <v>2</v>
      </c>
      <c r="P8" s="58" t="s">
        <v>0</v>
      </c>
      <c r="Q8" s="47">
        <f>1/Q9</f>
        <v>39.319200000000002</v>
      </c>
      <c r="R8" s="47">
        <f t="shared" ref="R8:X8" si="16">1/R9</f>
        <v>39.319200000000002</v>
      </c>
      <c r="S8" s="47">
        <f t="shared" si="16"/>
        <v>40.105584000000007</v>
      </c>
      <c r="T8" s="47">
        <f t="shared" si="16"/>
        <v>40.547924999999999</v>
      </c>
      <c r="U8" s="47">
        <f t="shared" si="16"/>
        <v>39.319200000000002</v>
      </c>
      <c r="V8" s="47">
        <f t="shared" si="16"/>
        <v>39.302399999999999</v>
      </c>
      <c r="W8" s="47">
        <f>1/W9</f>
        <v>39.302399999999992</v>
      </c>
      <c r="X8" s="53">
        <f t="shared" si="16"/>
        <v>40.530599999999993</v>
      </c>
      <c r="Y8" s="53">
        <f>1/Y9</f>
        <v>39.302399999999992</v>
      </c>
      <c r="Z8" s="36"/>
      <c r="AA8" s="36"/>
      <c r="AB8" s="58" t="s">
        <v>2</v>
      </c>
      <c r="AC8" s="58" t="s">
        <v>0</v>
      </c>
      <c r="AD8" s="81">
        <f>1/AD9</f>
        <v>39.319200000000002</v>
      </c>
      <c r="AE8" s="47">
        <f t="shared" ref="AE8:AO8" si="17">1/AE9</f>
        <v>39.319200000000002</v>
      </c>
      <c r="AF8" s="81">
        <f t="shared" si="17"/>
        <v>39.316800000000001</v>
      </c>
      <c r="AG8" s="47">
        <f t="shared" si="17"/>
        <v>39.316800000000001</v>
      </c>
      <c r="AH8" s="81">
        <f t="shared" si="17"/>
        <v>39.311999999999998</v>
      </c>
      <c r="AI8" s="47">
        <f t="shared" si="17"/>
        <v>39.311999999999998</v>
      </c>
      <c r="AJ8" s="81">
        <f t="shared" si="17"/>
        <v>39.302399999999999</v>
      </c>
      <c r="AK8" s="82">
        <f t="shared" si="17"/>
        <v>39.302399999999992</v>
      </c>
      <c r="AL8" s="47">
        <f t="shared" si="17"/>
        <v>39.283200000000001</v>
      </c>
      <c r="AM8" s="82">
        <f t="shared" si="17"/>
        <v>39.283199999999994</v>
      </c>
      <c r="AN8" s="47">
        <f t="shared" si="17"/>
        <v>39.244799999999998</v>
      </c>
      <c r="AO8" s="82">
        <f t="shared" si="17"/>
        <v>39.244800000000005</v>
      </c>
    </row>
    <row r="9" spans="2:41" x14ac:dyDescent="0.45">
      <c r="B9" s="2"/>
      <c r="C9" s="2" t="s">
        <v>1</v>
      </c>
      <c r="D9" s="33">
        <f>D3/D5/D7</f>
        <v>2.5437525437525439E-2</v>
      </c>
      <c r="E9" s="33">
        <f t="shared" ref="E9:H9" si="18">E3/E5/E7</f>
        <v>2.5437525437525439E-2</v>
      </c>
      <c r="F9" s="33">
        <f t="shared" si="18"/>
        <v>2.4938750428946506E-2</v>
      </c>
      <c r="G9" s="33">
        <f t="shared" si="18"/>
        <v>2.4666691333358002E-2</v>
      </c>
      <c r="H9" s="33">
        <f t="shared" si="18"/>
        <v>2.5437525437525439E-2</v>
      </c>
      <c r="I9" s="44">
        <f>(I3*I15)/(I5*I15)/I7</f>
        <v>2.5481082844096545E-2</v>
      </c>
      <c r="J9" s="44">
        <f t="shared" ref="J9:L9" si="19">(J3*J15)/(J5*J15)/J7</f>
        <v>2.5481082844096541E-2</v>
      </c>
      <c r="K9" s="51">
        <f t="shared" si="19"/>
        <v>2.4708928818517863E-2</v>
      </c>
      <c r="L9" s="51">
        <f t="shared" si="19"/>
        <v>2.5481082844096541E-2</v>
      </c>
      <c r="M9" s="36"/>
      <c r="N9" s="36"/>
      <c r="O9" s="39"/>
      <c r="P9" s="58" t="s">
        <v>1</v>
      </c>
      <c r="Q9" s="44">
        <f t="shared" ref="Q9:T9" si="20">Q3/Q5/Q7</f>
        <v>2.5432867403202507E-2</v>
      </c>
      <c r="R9" s="44">
        <f t="shared" si="20"/>
        <v>2.5432867403202507E-2</v>
      </c>
      <c r="S9" s="44">
        <f t="shared" si="20"/>
        <v>2.4934183728629905E-2</v>
      </c>
      <c r="T9" s="44">
        <f t="shared" si="20"/>
        <v>2.4662174451590309E-2</v>
      </c>
      <c r="U9" s="44">
        <f>U3/U5/U7</f>
        <v>2.5432867403202507E-2</v>
      </c>
      <c r="V9" s="44">
        <f>(V3*V15)/(V5*V15)/V7</f>
        <v>2.5443738804754926E-2</v>
      </c>
      <c r="W9" s="44">
        <f t="shared" ref="W9:Y9" si="21">(W3*W15)/(W5*W15)/W7</f>
        <v>2.544373880475493E-2</v>
      </c>
      <c r="X9" s="51">
        <f t="shared" si="21"/>
        <v>2.4672716416732052E-2</v>
      </c>
      <c r="Y9" s="51">
        <f t="shared" si="21"/>
        <v>2.544373880475493E-2</v>
      </c>
      <c r="Z9" s="36"/>
      <c r="AB9" s="58"/>
      <c r="AC9" s="58" t="s">
        <v>1</v>
      </c>
      <c r="AD9" s="78">
        <f>AD3/AD5/AD7</f>
        <v>2.5432867403202507E-2</v>
      </c>
      <c r="AE9" s="44">
        <f t="shared" ref="AE9:AO9" si="22">AE3/AE5/AE7</f>
        <v>2.5432867403202507E-2</v>
      </c>
      <c r="AF9" s="78">
        <f t="shared" si="22"/>
        <v>2.5434419891751107E-2</v>
      </c>
      <c r="AG9" s="44">
        <f t="shared" si="22"/>
        <v>2.543441989175111E-2</v>
      </c>
      <c r="AH9" s="78">
        <f t="shared" si="22"/>
        <v>2.5437525437525439E-2</v>
      </c>
      <c r="AI9" s="44">
        <f t="shared" si="22"/>
        <v>2.5437525437525439E-2</v>
      </c>
      <c r="AJ9" s="78">
        <f t="shared" si="22"/>
        <v>2.5443738804754926E-2</v>
      </c>
      <c r="AK9" s="79">
        <f t="shared" si="22"/>
        <v>2.544373880475493E-2</v>
      </c>
      <c r="AL9" s="44">
        <f t="shared" si="22"/>
        <v>2.5456174649723037E-2</v>
      </c>
      <c r="AM9" s="79">
        <f t="shared" si="22"/>
        <v>2.5456174649723041E-2</v>
      </c>
      <c r="AN9" s="44">
        <f t="shared" si="22"/>
        <v>2.5481082844096545E-2</v>
      </c>
      <c r="AO9" s="79">
        <f t="shared" si="22"/>
        <v>2.5481082844096541E-2</v>
      </c>
    </row>
    <row r="10" spans="2:41" x14ac:dyDescent="0.45">
      <c r="B10" s="2" t="s">
        <v>11</v>
      </c>
      <c r="C10" s="2" t="s">
        <v>5</v>
      </c>
      <c r="D10" s="7">
        <f>D3/D9</f>
        <v>393120</v>
      </c>
      <c r="E10" s="7">
        <f>E3/E9</f>
        <v>327600</v>
      </c>
      <c r="F10" s="7">
        <f>F3/F9</f>
        <v>278460</v>
      </c>
      <c r="G10" s="7">
        <f>G3/G9</f>
        <v>245700</v>
      </c>
      <c r="H10" s="7">
        <f>H3/H9</f>
        <v>163800</v>
      </c>
      <c r="I10" s="7">
        <f>I3*I15/I9</f>
        <v>392447.99999999994</v>
      </c>
      <c r="J10" s="7">
        <f t="shared" ref="J10" si="23">J3*J15/J9</f>
        <v>327040.00000000006</v>
      </c>
      <c r="K10" s="54">
        <f t="shared" ref="K10" si="24">K3*K15/K9</f>
        <v>245279.99999999997</v>
      </c>
      <c r="L10" s="54">
        <f t="shared" ref="L10" si="25">L3*L15/L9</f>
        <v>163520.00000000003</v>
      </c>
      <c r="M10" s="35"/>
      <c r="N10" s="35"/>
      <c r="O10" s="2" t="s">
        <v>11</v>
      </c>
      <c r="P10" s="2" t="s">
        <v>5</v>
      </c>
      <c r="Q10" s="7">
        <f>Q3/Q9</f>
        <v>393192</v>
      </c>
      <c r="R10" s="7">
        <f>R3/R9</f>
        <v>327660</v>
      </c>
      <c r="S10" s="7">
        <f>S3/S9</f>
        <v>278511.00000000006</v>
      </c>
      <c r="T10" s="7">
        <f>T3/T9</f>
        <v>245745.00000000003</v>
      </c>
      <c r="U10" s="7">
        <f>U3/U9</f>
        <v>163830</v>
      </c>
      <c r="V10" s="7">
        <f>V3*V15/V9</f>
        <v>393024</v>
      </c>
      <c r="W10" s="7">
        <f t="shared" ref="W10:Y10" si="26">W3*W15/W9</f>
        <v>327520</v>
      </c>
      <c r="X10" s="54">
        <f t="shared" si="26"/>
        <v>245639.99999999997</v>
      </c>
      <c r="Y10" s="54">
        <f t="shared" si="26"/>
        <v>163760</v>
      </c>
      <c r="AB10" s="58" t="s">
        <v>11</v>
      </c>
      <c r="AC10" s="58" t="s">
        <v>5</v>
      </c>
      <c r="AD10" s="83">
        <f>AD3/AD9</f>
        <v>393192</v>
      </c>
      <c r="AE10" s="67">
        <f t="shared" ref="AE10" si="27">AE3/AE9</f>
        <v>327660</v>
      </c>
      <c r="AF10" s="92">
        <f>AF3*2^($AD$4-AF4)/AF9</f>
        <v>393168.00000000006</v>
      </c>
      <c r="AG10" s="7">
        <f>AG3*2^($AE$4-AG4)/AG9</f>
        <v>327640</v>
      </c>
      <c r="AH10" s="92">
        <f>AH3*2^($AD$4-AH4)/AH9</f>
        <v>393120</v>
      </c>
      <c r="AI10" s="7">
        <f>AI3*2^($AE$4-AI4)/AI9</f>
        <v>327600</v>
      </c>
      <c r="AJ10" s="92">
        <f>AJ3*2^($AD$4-AJ4)/AJ9</f>
        <v>393024</v>
      </c>
      <c r="AK10" s="84">
        <f>AK3*2^($AE$4-AK4)/AK9</f>
        <v>327520</v>
      </c>
      <c r="AL10" s="7">
        <f>AL3*2^($AD$4-AL4)/AL9</f>
        <v>392832</v>
      </c>
      <c r="AM10" s="84">
        <f>AM3*2^($AE$4-AM4)/AM9</f>
        <v>327360</v>
      </c>
      <c r="AN10" s="7">
        <f>AN3*2^($AD$4-AN4)/AN9</f>
        <v>392447.99999999994</v>
      </c>
      <c r="AO10" s="84">
        <f>AO3*2^($AE$4-AO4)/AO9</f>
        <v>327040.00000000006</v>
      </c>
    </row>
    <row r="11" spans="2:41" x14ac:dyDescent="0.45">
      <c r="B11" s="2"/>
      <c r="C11" s="2" t="s">
        <v>12</v>
      </c>
      <c r="D11" s="1" t="str">
        <f>DEC2HEX(D10)</f>
        <v>5FFA0</v>
      </c>
      <c r="E11" s="1" t="str">
        <f t="shared" ref="E11:L11" si="28">DEC2HEX(E10)</f>
        <v>4FFB0</v>
      </c>
      <c r="F11" s="1" t="str">
        <f t="shared" si="28"/>
        <v>43FBC</v>
      </c>
      <c r="G11" s="1" t="str">
        <f t="shared" si="28"/>
        <v>3BFC4</v>
      </c>
      <c r="H11" s="1" t="str">
        <f t="shared" si="28"/>
        <v>27FD8</v>
      </c>
      <c r="I11" s="1" t="str">
        <f t="shared" si="28"/>
        <v>5FCFF</v>
      </c>
      <c r="J11" s="1" t="str">
        <f t="shared" si="28"/>
        <v>4FD80</v>
      </c>
      <c r="K11" s="55" t="str">
        <f t="shared" si="28"/>
        <v>3BE1F</v>
      </c>
      <c r="L11" s="55" t="str">
        <f t="shared" si="28"/>
        <v>27EC0</v>
      </c>
      <c r="O11" s="2"/>
      <c r="P11" s="2" t="s">
        <v>12</v>
      </c>
      <c r="Q11" s="1" t="str">
        <f>DEC2HEX(Q10)</f>
        <v>5FFE8</v>
      </c>
      <c r="R11" s="1" t="str">
        <f t="shared" ref="R11" si="29">DEC2HEX(R10)</f>
        <v>4FFEC</v>
      </c>
      <c r="S11" s="1" t="str">
        <f t="shared" ref="S11" si="30">DEC2HEX(S10)</f>
        <v>43FEF</v>
      </c>
      <c r="T11" s="1" t="str">
        <f t="shared" ref="T11" si="31">DEC2HEX(T10)</f>
        <v>3BFF1</v>
      </c>
      <c r="U11" s="1" t="str">
        <f t="shared" ref="U11" si="32">DEC2HEX(U10)</f>
        <v>27FF6</v>
      </c>
      <c r="V11" s="1" t="str">
        <f t="shared" ref="V11" si="33">DEC2HEX(V10)</f>
        <v>5FF40</v>
      </c>
      <c r="W11" s="1" t="str">
        <f t="shared" ref="W11" si="34">DEC2HEX(W10)</f>
        <v>4FF60</v>
      </c>
      <c r="X11" s="55" t="str">
        <f t="shared" ref="X11" si="35">DEC2HEX(X10)</f>
        <v>3BF87</v>
      </c>
      <c r="Y11" s="55" t="str">
        <f t="shared" ref="Y11" si="36">DEC2HEX(Y10)</f>
        <v>27FB0</v>
      </c>
      <c r="AB11" s="58"/>
      <c r="AC11" s="58" t="s">
        <v>12</v>
      </c>
      <c r="AD11" s="85" t="str">
        <f>DEC2HEX(AD10)</f>
        <v>5FFE8</v>
      </c>
      <c r="AE11" s="48" t="str">
        <f t="shared" ref="AE11:AO11" si="37">DEC2HEX(AE10)</f>
        <v>4FFEC</v>
      </c>
      <c r="AF11" s="85" t="str">
        <f t="shared" si="37"/>
        <v>5FFD0</v>
      </c>
      <c r="AG11" s="48" t="str">
        <f t="shared" si="37"/>
        <v>4FFD8</v>
      </c>
      <c r="AH11" s="85" t="str">
        <f t="shared" si="37"/>
        <v>5FFA0</v>
      </c>
      <c r="AI11" s="48" t="str">
        <f t="shared" si="37"/>
        <v>4FFB0</v>
      </c>
      <c r="AJ11" s="85" t="str">
        <f t="shared" si="37"/>
        <v>5FF40</v>
      </c>
      <c r="AK11" s="86" t="str">
        <f t="shared" si="37"/>
        <v>4FF60</v>
      </c>
      <c r="AL11" s="48" t="str">
        <f t="shared" si="37"/>
        <v>5FE80</v>
      </c>
      <c r="AM11" s="86" t="str">
        <f t="shared" si="37"/>
        <v>4FEC0</v>
      </c>
      <c r="AN11" s="48" t="str">
        <f t="shared" si="37"/>
        <v>5FCFF</v>
      </c>
      <c r="AO11" s="86" t="str">
        <f t="shared" si="37"/>
        <v>4FD80</v>
      </c>
    </row>
    <row r="12" spans="2:41" x14ac:dyDescent="0.45">
      <c r="B12" s="2"/>
      <c r="C12" s="2">
        <v>20</v>
      </c>
      <c r="D12" s="7">
        <f>2^C12-1</f>
        <v>1048575</v>
      </c>
      <c r="K12" s="50"/>
      <c r="L12" s="50"/>
      <c r="O12" s="2"/>
      <c r="P12" s="2"/>
      <c r="Q12" s="7"/>
      <c r="R12"/>
      <c r="S12"/>
      <c r="T12"/>
      <c r="U12"/>
      <c r="V12"/>
      <c r="W12"/>
      <c r="AB12" s="58"/>
      <c r="AC12" s="58"/>
      <c r="AD12" s="83"/>
      <c r="AF12" s="76"/>
      <c r="AH12" s="76"/>
      <c r="AJ12" s="76"/>
      <c r="AK12" s="77"/>
      <c r="AM12" s="77"/>
      <c r="AO12" s="77"/>
    </row>
    <row r="13" spans="2:41" x14ac:dyDescent="0.45">
      <c r="B13" s="2"/>
      <c r="C13" s="2" t="s">
        <v>23</v>
      </c>
      <c r="D13" s="34">
        <f t="shared" ref="D13:L13" si="38">$D$12*D9</f>
        <v>26673.153235653237</v>
      </c>
      <c r="E13" s="34">
        <f t="shared" si="38"/>
        <v>26673.153235653237</v>
      </c>
      <c r="F13" s="34">
        <f t="shared" si="38"/>
        <v>26150.150231032581</v>
      </c>
      <c r="G13" s="34">
        <f t="shared" si="38"/>
        <v>25864.875864875867</v>
      </c>
      <c r="H13" s="34">
        <f t="shared" si="38"/>
        <v>26673.153235653237</v>
      </c>
      <c r="I13" s="34">
        <f t="shared" si="38"/>
        <v>26718.826443248534</v>
      </c>
      <c r="J13" s="34">
        <f t="shared" si="38"/>
        <v>26718.82644324853</v>
      </c>
      <c r="K13" s="56">
        <f t="shared" si="38"/>
        <v>25909.16503587737</v>
      </c>
      <c r="L13" s="56">
        <f t="shared" si="38"/>
        <v>26718.82644324853</v>
      </c>
      <c r="O13" s="2"/>
      <c r="P13" s="2"/>
      <c r="Q13" s="34"/>
      <c r="R13" s="34"/>
      <c r="S13" s="34"/>
      <c r="T13" s="34"/>
      <c r="U13" s="34"/>
      <c r="V13" s="34"/>
      <c r="W13" s="34"/>
      <c r="X13" s="56"/>
      <c r="Y13" s="56"/>
      <c r="AB13" s="58"/>
      <c r="AC13" s="58"/>
      <c r="AD13" s="87"/>
      <c r="AE13" s="68"/>
      <c r="AF13" s="87"/>
      <c r="AG13" s="68"/>
      <c r="AH13" s="87"/>
      <c r="AI13" s="68"/>
      <c r="AJ13" s="87"/>
      <c r="AK13" s="88"/>
      <c r="AL13" s="68"/>
      <c r="AM13" s="88"/>
      <c r="AN13" s="68"/>
      <c r="AO13" s="88"/>
    </row>
    <row r="14" spans="2:41" x14ac:dyDescent="0.45">
      <c r="B14" s="2"/>
      <c r="C14" s="2" t="s">
        <v>22</v>
      </c>
      <c r="D14" s="7">
        <f>D10*2</f>
        <v>786240</v>
      </c>
      <c r="K14" s="50"/>
      <c r="L14" s="50"/>
      <c r="O14" s="2"/>
      <c r="P14" s="2"/>
      <c r="Q14" s="7"/>
      <c r="R14"/>
      <c r="S14"/>
      <c r="T14"/>
      <c r="U14"/>
      <c r="V14"/>
      <c r="W14"/>
      <c r="AB14" s="58"/>
      <c r="AC14" s="58"/>
      <c r="AD14" s="83"/>
      <c r="AF14" s="76"/>
      <c r="AH14" s="76"/>
      <c r="AJ14" s="76"/>
      <c r="AK14" s="77"/>
      <c r="AM14" s="77"/>
      <c r="AO14" s="77"/>
    </row>
    <row r="15" spans="2:41" ht="17.5" thickBot="1" x14ac:dyDescent="0.5">
      <c r="B15" s="58" t="s">
        <v>20</v>
      </c>
      <c r="C15" s="58" t="s">
        <v>5</v>
      </c>
      <c r="D15">
        <f>2^($D$4-D4)</f>
        <v>1</v>
      </c>
      <c r="E15">
        <f>2^($E$4-E4)</f>
        <v>1</v>
      </c>
      <c r="F15">
        <f>2^($F$4-F4)</f>
        <v>1</v>
      </c>
      <c r="G15">
        <f>2^($G$4-G4)</f>
        <v>1</v>
      </c>
      <c r="H15">
        <f>2^($H$4-H4)</f>
        <v>1</v>
      </c>
      <c r="I15">
        <f>2^(D4-I4)</f>
        <v>8</v>
      </c>
      <c r="J15">
        <f>2^(E4-J4)</f>
        <v>8</v>
      </c>
      <c r="K15" s="50">
        <f>2^(G4-K4)</f>
        <v>8</v>
      </c>
      <c r="L15" s="50">
        <f>2^(H4-L4)</f>
        <v>8</v>
      </c>
      <c r="O15" s="58" t="s">
        <v>20</v>
      </c>
      <c r="P15" s="58" t="s">
        <v>5</v>
      </c>
      <c r="Q15">
        <f>2^($Q$4-Q4)</f>
        <v>1</v>
      </c>
      <c r="R15">
        <f>2^($Q$4-R4)</f>
        <v>1</v>
      </c>
      <c r="S15">
        <f>2^($Q$4-S4)</f>
        <v>1</v>
      </c>
      <c r="T15">
        <f t="shared" ref="T15:U15" si="39">2^($Q$4-T4)</f>
        <v>1</v>
      </c>
      <c r="U15">
        <f t="shared" si="39"/>
        <v>1</v>
      </c>
      <c r="V15">
        <v>8</v>
      </c>
      <c r="W15">
        <v>8</v>
      </c>
      <c r="X15" s="50">
        <v>8</v>
      </c>
      <c r="Y15" s="50">
        <v>8</v>
      </c>
      <c r="AB15" s="58" t="s">
        <v>20</v>
      </c>
      <c r="AC15" s="58" t="s">
        <v>5</v>
      </c>
      <c r="AD15" s="89">
        <f>2^($AD$4-AD4)</f>
        <v>1</v>
      </c>
      <c r="AE15" s="90">
        <f>2^($AD$4-AE4)</f>
        <v>1</v>
      </c>
      <c r="AF15" s="89">
        <f>2^($AD$4-AF4)</f>
        <v>2</v>
      </c>
      <c r="AG15" s="90">
        <f>2^($AE$4-AG4)</f>
        <v>2</v>
      </c>
      <c r="AH15" s="89">
        <f>2^($AD$4-AH4)</f>
        <v>4</v>
      </c>
      <c r="AI15" s="90">
        <f>2^($AE$4-AI4)</f>
        <v>4</v>
      </c>
      <c r="AJ15" s="89">
        <f>2^($AD$4-AJ4)</f>
        <v>8</v>
      </c>
      <c r="AK15" s="91">
        <f>2^($AE$4-AK4)</f>
        <v>8</v>
      </c>
      <c r="AL15" s="90">
        <f>2^($AD$4-AL4)</f>
        <v>16</v>
      </c>
      <c r="AM15" s="91">
        <f>2^($AE$4-AM4)</f>
        <v>16</v>
      </c>
      <c r="AN15" s="90">
        <f>2^($AD$4-AN4)</f>
        <v>32</v>
      </c>
      <c r="AO15" s="91">
        <f>2^($AE$4-AO4)</f>
        <v>32</v>
      </c>
    </row>
    <row r="16" spans="2:41" x14ac:dyDescent="0.45">
      <c r="B16" s="58"/>
      <c r="C16" s="2"/>
      <c r="F16" s="38"/>
      <c r="K16" s="37"/>
      <c r="O16" s="58"/>
      <c r="P16" s="58"/>
      <c r="U16" s="6"/>
      <c r="V16"/>
      <c r="W16"/>
    </row>
    <row r="17" spans="2:25" x14ac:dyDescent="0.45">
      <c r="B17" s="2" t="s">
        <v>24</v>
      </c>
      <c r="C17" s="2" t="s">
        <v>0</v>
      </c>
      <c r="D17" s="218">
        <f>D8</f>
        <v>39.311999999999998</v>
      </c>
      <c r="E17" s="219"/>
      <c r="F17" s="215" t="s">
        <v>1037</v>
      </c>
      <c r="G17" s="216">
        <f>D17</f>
        <v>39.311999999999998</v>
      </c>
      <c r="H17" s="215" t="s">
        <v>1036</v>
      </c>
      <c r="I17" s="216">
        <v>8</v>
      </c>
      <c r="J17" s="217">
        <v>12</v>
      </c>
      <c r="K17" s="220">
        <v>14.75</v>
      </c>
      <c r="O17" s="58"/>
      <c r="P17" s="58"/>
      <c r="U17" s="6"/>
      <c r="V17"/>
      <c r="W17"/>
    </row>
    <row r="18" spans="2:25" x14ac:dyDescent="0.45">
      <c r="B18" s="2" t="s">
        <v>6</v>
      </c>
      <c r="C18" s="2">
        <v>53</v>
      </c>
      <c r="D18" s="6">
        <f>(1/$D$17)*C18</f>
        <v>1.3481888481888482</v>
      </c>
      <c r="E18" s="6" t="s">
        <v>1</v>
      </c>
      <c r="F18" s="112">
        <v>20</v>
      </c>
      <c r="G18" s="210">
        <f>$G$9*F18</f>
        <v>0.49333382666716002</v>
      </c>
      <c r="H18" s="112"/>
      <c r="I18" s="210">
        <f>G18/(1/$I$17)</f>
        <v>3.9466706133372802</v>
      </c>
      <c r="J18" s="213">
        <f>G18/(1/$J$17)</f>
        <v>5.920005920005921</v>
      </c>
      <c r="K18" s="213">
        <f>G18/(1/$K$17)</f>
        <v>7.2766739433406107</v>
      </c>
      <c r="O18" s="58"/>
      <c r="P18" s="58"/>
      <c r="U18" s="6"/>
      <c r="V18"/>
      <c r="W18"/>
    </row>
    <row r="19" spans="2:25" x14ac:dyDescent="0.45">
      <c r="B19" s="2" t="s">
        <v>7</v>
      </c>
      <c r="C19" s="2">
        <v>26</v>
      </c>
      <c r="D19" s="6">
        <f t="shared" ref="D19:D20" si="40">(1/$D$17)*C19</f>
        <v>0.66137566137566139</v>
      </c>
      <c r="E19" s="6" t="s">
        <v>1</v>
      </c>
      <c r="F19" s="112">
        <v>10</v>
      </c>
      <c r="G19" s="210">
        <f t="shared" ref="G19:G20" si="41">$G$9*F19</f>
        <v>0.24666691333358001</v>
      </c>
      <c r="H19" s="112"/>
      <c r="I19" s="210">
        <f>G19/(1/$I$17)</f>
        <v>1.9733353066686401</v>
      </c>
      <c r="J19" s="213">
        <f t="shared" ref="J19:J20" si="42">G19/(1/$J$17)</f>
        <v>2.9600029600029605</v>
      </c>
      <c r="K19" s="213">
        <f t="shared" ref="K19:K20" si="43">G19/(1/$K$17)</f>
        <v>3.6383369716703053</v>
      </c>
      <c r="O19" s="58"/>
      <c r="P19" s="58"/>
      <c r="U19" s="6"/>
      <c r="V19"/>
      <c r="W19"/>
    </row>
    <row r="20" spans="2:25" x14ac:dyDescent="0.45">
      <c r="B20" s="2" t="s">
        <v>8</v>
      </c>
      <c r="C20" s="2">
        <f>C18+C19</f>
        <v>79</v>
      </c>
      <c r="D20" s="6">
        <f t="shared" si="40"/>
        <v>2.0095645095645098</v>
      </c>
      <c r="E20" s="6" t="s">
        <v>1</v>
      </c>
      <c r="F20" s="112">
        <f>F18+F19</f>
        <v>30</v>
      </c>
      <c r="G20" s="210">
        <f t="shared" si="41"/>
        <v>0.74000074000074001</v>
      </c>
      <c r="H20" s="112"/>
      <c r="I20" s="210">
        <f>G20/(1/$I$17)</f>
        <v>5.9200059200059201</v>
      </c>
      <c r="J20" s="213">
        <f t="shared" si="42"/>
        <v>8.8800088800088801</v>
      </c>
      <c r="K20" s="213">
        <f t="shared" si="43"/>
        <v>10.915010915010916</v>
      </c>
      <c r="O20" s="58"/>
      <c r="P20" s="58"/>
      <c r="U20" s="6"/>
      <c r="V20"/>
      <c r="W20"/>
    </row>
    <row r="21" spans="2:25" x14ac:dyDescent="0.45">
      <c r="B21" s="2" t="s">
        <v>9</v>
      </c>
      <c r="C21" s="2" t="s">
        <v>10</v>
      </c>
      <c r="D21" s="6">
        <f>1/D20</f>
        <v>0.49762025316455688</v>
      </c>
      <c r="E21" s="6" t="s">
        <v>10</v>
      </c>
      <c r="F21" s="113"/>
      <c r="G21" s="214">
        <f>1/G20</f>
        <v>1.3513500000000001</v>
      </c>
      <c r="H21" s="113"/>
      <c r="I21" s="211"/>
      <c r="J21" s="212"/>
      <c r="K21" s="212"/>
      <c r="O21" s="58"/>
      <c r="P21" s="58"/>
      <c r="U21" s="6"/>
      <c r="V21"/>
      <c r="W21"/>
    </row>
    <row r="22" spans="2:25" x14ac:dyDescent="0.45">
      <c r="B22" s="2"/>
      <c r="C22" s="2"/>
      <c r="O22" s="58"/>
      <c r="P22" s="58"/>
      <c r="U22" s="6"/>
      <c r="V22"/>
      <c r="W22"/>
    </row>
    <row r="23" spans="2:25" x14ac:dyDescent="0.45">
      <c r="B23" s="2"/>
      <c r="C23" s="2"/>
      <c r="O23" s="58"/>
      <c r="P23" s="58"/>
    </row>
    <row r="24" spans="2:25" x14ac:dyDescent="0.45">
      <c r="B24" s="233"/>
      <c r="C24" s="556">
        <v>8.0000000000000004E-4</v>
      </c>
      <c r="D24" s="557">
        <f>$C$24*D10+D10</f>
        <v>393434.49599999998</v>
      </c>
      <c r="E24" s="557">
        <f t="shared" ref="E24:L24" si="44">$C$24*E10+E10</f>
        <v>327862.08</v>
      </c>
      <c r="F24" s="557">
        <f t="shared" si="44"/>
        <v>278682.76799999998</v>
      </c>
      <c r="G24" s="557">
        <f t="shared" si="44"/>
        <v>245896.56</v>
      </c>
      <c r="H24" s="557">
        <f t="shared" si="44"/>
        <v>163931.04</v>
      </c>
      <c r="I24" s="557">
        <f t="shared" si="44"/>
        <v>392761.95839999994</v>
      </c>
      <c r="J24" s="557">
        <f t="shared" si="44"/>
        <v>327301.63200000004</v>
      </c>
      <c r="K24" s="557">
        <f t="shared" si="44"/>
        <v>245476.22399999996</v>
      </c>
      <c r="L24" s="557">
        <f t="shared" si="44"/>
        <v>163650.81600000002</v>
      </c>
      <c r="O24" s="233"/>
      <c r="P24" s="556">
        <v>8.0000000000000004E-4</v>
      </c>
      <c r="Q24" s="557">
        <f>$C$24*Q10+Q10</f>
        <v>393506.55359999998</v>
      </c>
      <c r="R24" s="557">
        <f t="shared" ref="R24:Y24" si="45">$C$24*R10+R10</f>
        <v>327922.12800000003</v>
      </c>
      <c r="S24" s="557">
        <f t="shared" si="45"/>
        <v>278733.80880000006</v>
      </c>
      <c r="T24" s="557">
        <f t="shared" si="45"/>
        <v>245941.59600000002</v>
      </c>
      <c r="U24" s="557">
        <f t="shared" si="45"/>
        <v>163961.06400000001</v>
      </c>
      <c r="V24" s="557">
        <f t="shared" si="45"/>
        <v>393338.4192</v>
      </c>
      <c r="W24" s="557">
        <f t="shared" si="45"/>
        <v>327782.016</v>
      </c>
      <c r="X24" s="557">
        <f t="shared" si="45"/>
        <v>245836.51199999996</v>
      </c>
      <c r="Y24" s="557">
        <f t="shared" si="45"/>
        <v>163891.008</v>
      </c>
    </row>
    <row r="25" spans="2:25" x14ac:dyDescent="0.45">
      <c r="D25" s="5"/>
    </row>
    <row r="26" spans="2:25" x14ac:dyDescent="0.45">
      <c r="D26" s="5"/>
    </row>
    <row r="27" spans="2:25" x14ac:dyDescent="0.45">
      <c r="M27" s="36"/>
      <c r="N27" s="36"/>
    </row>
    <row r="30" spans="2:25" x14ac:dyDescent="0.45">
      <c r="M30"/>
      <c r="N30"/>
      <c r="O30"/>
      <c r="P30"/>
      <c r="Q30"/>
      <c r="R30"/>
      <c r="S30"/>
      <c r="T30"/>
    </row>
    <row r="31" spans="2:25" x14ac:dyDescent="0.45">
      <c r="M31"/>
      <c r="N31"/>
      <c r="O31"/>
      <c r="P31"/>
      <c r="Q31"/>
      <c r="R31"/>
      <c r="S31"/>
      <c r="T31"/>
    </row>
    <row r="32" spans="2:25" x14ac:dyDescent="0.45">
      <c r="M32"/>
      <c r="N32"/>
      <c r="O32"/>
      <c r="P32"/>
      <c r="Q32"/>
      <c r="R32"/>
      <c r="S32"/>
      <c r="T32"/>
    </row>
    <row r="33" spans="13:20" x14ac:dyDescent="0.45">
      <c r="M33"/>
      <c r="N33"/>
      <c r="O33"/>
      <c r="P33"/>
      <c r="Q33"/>
      <c r="R33"/>
      <c r="S33"/>
      <c r="T33"/>
    </row>
  </sheetData>
  <phoneticPr fontId="2" type="noConversion"/>
  <pageMargins left="0.7" right="0.7" top="0.75" bottom="0.75" header="0.3" footer="0.3"/>
  <pageSetup paperSize="9" orientation="portrait" r:id="rId1"/>
  <ignoredErrors>
    <ignoredError sqref="AJ15:AO15 AG6:AI15 AK10:AM10 AJ10 AN10" 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759A-64AA-490C-9C88-D258A93F43CA}">
  <dimension ref="B2:AG38"/>
  <sheetViews>
    <sheetView showGridLines="0" zoomScaleNormal="100" workbookViewId="0">
      <selection activeCell="B17" sqref="B17"/>
    </sheetView>
  </sheetViews>
  <sheetFormatPr defaultRowHeight="17" x14ac:dyDescent="0.45"/>
  <cols>
    <col min="2" max="2" width="11.33203125" style="1" bestFit="1" customWidth="1"/>
    <col min="3" max="3" width="5.83203125" style="5" bestFit="1" customWidth="1"/>
    <col min="4" max="5" width="10.6640625" bestFit="1" customWidth="1"/>
    <col min="6" max="12" width="9.6640625" bestFit="1" customWidth="1"/>
    <col min="13" max="13" width="9.6640625" style="5" bestFit="1" customWidth="1"/>
    <col min="14" max="20" width="9.6640625" bestFit="1" customWidth="1"/>
    <col min="21" max="24" width="10.6640625" bestFit="1" customWidth="1"/>
    <col min="26" max="26" width="12.1640625" bestFit="1" customWidth="1"/>
    <col min="27" max="27" width="4.6640625" bestFit="1" customWidth="1"/>
    <col min="28" max="28" width="10.6640625" bestFit="1" customWidth="1"/>
    <col min="29" max="31" width="9.6640625" bestFit="1" customWidth="1"/>
    <col min="32" max="33" width="10.6640625" bestFit="1" customWidth="1"/>
  </cols>
  <sheetData>
    <row r="2" spans="2:33" x14ac:dyDescent="0.45">
      <c r="B2" s="222" t="s">
        <v>1208</v>
      </c>
      <c r="Z2" s="222" t="s">
        <v>1209</v>
      </c>
      <c r="AA2" s="5"/>
    </row>
    <row r="3" spans="2:33" x14ac:dyDescent="0.45">
      <c r="B3" s="226" t="s">
        <v>1143</v>
      </c>
      <c r="C3" s="2">
        <f>20/16</f>
        <v>1.25</v>
      </c>
      <c r="D3" s="3" t="s">
        <v>4</v>
      </c>
      <c r="E3" s="3"/>
      <c r="F3" s="3">
        <v>1</v>
      </c>
      <c r="G3" s="3">
        <f>F3+1</f>
        <v>2</v>
      </c>
      <c r="H3" s="3">
        <f t="shared" ref="H3:T3" si="0">G3+1</f>
        <v>3</v>
      </c>
      <c r="I3" s="3">
        <f t="shared" si="0"/>
        <v>4</v>
      </c>
      <c r="J3" s="3">
        <f t="shared" si="0"/>
        <v>5</v>
      </c>
      <c r="K3" s="3">
        <f t="shared" si="0"/>
        <v>6</v>
      </c>
      <c r="L3" s="3">
        <f t="shared" si="0"/>
        <v>7</v>
      </c>
      <c r="M3" s="3">
        <f t="shared" si="0"/>
        <v>8</v>
      </c>
      <c r="N3" s="3">
        <f t="shared" si="0"/>
        <v>9</v>
      </c>
      <c r="O3" s="3">
        <f t="shared" si="0"/>
        <v>10</v>
      </c>
      <c r="P3" s="3">
        <f t="shared" si="0"/>
        <v>11</v>
      </c>
      <c r="Q3" s="3">
        <f t="shared" si="0"/>
        <v>12</v>
      </c>
      <c r="R3" s="3">
        <f t="shared" si="0"/>
        <v>13</v>
      </c>
      <c r="S3" s="3">
        <f t="shared" si="0"/>
        <v>14</v>
      </c>
      <c r="T3" s="3">
        <f t="shared" si="0"/>
        <v>15</v>
      </c>
      <c r="U3" s="3">
        <f>T3+1</f>
        <v>16</v>
      </c>
      <c r="V3" s="3"/>
      <c r="W3" s="3"/>
      <c r="X3" s="3"/>
      <c r="Z3" s="226" t="s">
        <v>1143</v>
      </c>
      <c r="AA3" s="2">
        <f>20/4</f>
        <v>5</v>
      </c>
      <c r="AB3" s="3" t="s">
        <v>4</v>
      </c>
      <c r="AC3" s="3"/>
      <c r="AD3" s="3"/>
      <c r="AE3" s="3"/>
      <c r="AF3" s="3"/>
      <c r="AG3" s="3"/>
    </row>
    <row r="4" spans="2:33" x14ac:dyDescent="0.45">
      <c r="B4" s="2" t="s">
        <v>3</v>
      </c>
      <c r="C4" s="2" t="s">
        <v>4</v>
      </c>
      <c r="D4" s="3">
        <v>100</v>
      </c>
      <c r="E4" s="3">
        <v>100</v>
      </c>
      <c r="F4" s="3">
        <f>E4+$C$3</f>
        <v>101.25</v>
      </c>
      <c r="G4" s="3">
        <f t="shared" ref="G4:T4" si="1">F4+$C$3</f>
        <v>102.5</v>
      </c>
      <c r="H4" s="3">
        <f t="shared" si="1"/>
        <v>103.75</v>
      </c>
      <c r="I4" s="3">
        <f t="shared" si="1"/>
        <v>105</v>
      </c>
      <c r="J4" s="3">
        <f t="shared" si="1"/>
        <v>106.25</v>
      </c>
      <c r="K4" s="3">
        <f t="shared" si="1"/>
        <v>107.5</v>
      </c>
      <c r="L4" s="3">
        <f t="shared" si="1"/>
        <v>108.75</v>
      </c>
      <c r="M4" s="3">
        <f t="shared" si="1"/>
        <v>110</v>
      </c>
      <c r="N4" s="3">
        <f t="shared" si="1"/>
        <v>111.25</v>
      </c>
      <c r="O4" s="3">
        <f t="shared" si="1"/>
        <v>112.5</v>
      </c>
      <c r="P4" s="3">
        <f t="shared" si="1"/>
        <v>113.75</v>
      </c>
      <c r="Q4" s="3">
        <f t="shared" si="1"/>
        <v>115</v>
      </c>
      <c r="R4" s="3">
        <f t="shared" si="1"/>
        <v>116.25</v>
      </c>
      <c r="S4" s="3">
        <f t="shared" si="1"/>
        <v>117.5</v>
      </c>
      <c r="T4" s="3">
        <f t="shared" si="1"/>
        <v>118.75</v>
      </c>
      <c r="U4" s="3">
        <f>T4+$C$3</f>
        <v>120</v>
      </c>
      <c r="V4" s="3">
        <f>U4</f>
        <v>120</v>
      </c>
      <c r="W4" s="3">
        <f t="shared" ref="W4:X4" si="2">V4</f>
        <v>120</v>
      </c>
      <c r="X4" s="3">
        <f t="shared" si="2"/>
        <v>120</v>
      </c>
      <c r="Z4" s="2" t="s">
        <v>3</v>
      </c>
      <c r="AA4" s="2" t="s">
        <v>4</v>
      </c>
      <c r="AB4" s="40">
        <v>100</v>
      </c>
      <c r="AC4" s="40">
        <f>AB4+5</f>
        <v>105</v>
      </c>
      <c r="AD4" s="40">
        <f t="shared" ref="AD4:AE4" si="3">AC4+5</f>
        <v>110</v>
      </c>
      <c r="AE4" s="40">
        <f t="shared" si="3"/>
        <v>115</v>
      </c>
      <c r="AF4" s="40">
        <f>AE4+5</f>
        <v>120</v>
      </c>
      <c r="AG4" s="3">
        <f>AF4</f>
        <v>120</v>
      </c>
    </row>
    <row r="5" spans="2:33" x14ac:dyDescent="0.45">
      <c r="B5" s="2"/>
      <c r="C5" s="2" t="s">
        <v>1</v>
      </c>
      <c r="D5" s="6">
        <f>1/D4*1000000</f>
        <v>10000</v>
      </c>
      <c r="E5" s="6">
        <f>1/E4*1000000</f>
        <v>10000</v>
      </c>
      <c r="F5" s="6">
        <f t="shared" ref="F5:X5" si="4">1/F4*1000000</f>
        <v>9876.5432098765432</v>
      </c>
      <c r="G5" s="6">
        <f t="shared" si="4"/>
        <v>9756.0975609756097</v>
      </c>
      <c r="H5" s="6">
        <f t="shared" si="4"/>
        <v>9638.554216867471</v>
      </c>
      <c r="I5" s="6">
        <f t="shared" si="4"/>
        <v>9523.8095238095248</v>
      </c>
      <c r="J5" s="6">
        <f t="shared" si="4"/>
        <v>9411.7647058823513</v>
      </c>
      <c r="K5" s="6">
        <f t="shared" si="4"/>
        <v>9302.3255813953492</v>
      </c>
      <c r="L5" s="6">
        <f t="shared" si="4"/>
        <v>9195.4022988505749</v>
      </c>
      <c r="M5" s="6">
        <f t="shared" si="4"/>
        <v>9090.9090909090901</v>
      </c>
      <c r="N5" s="6">
        <f t="shared" si="4"/>
        <v>8988.7640449438204</v>
      </c>
      <c r="O5" s="6">
        <f t="shared" si="4"/>
        <v>8888.8888888888887</v>
      </c>
      <c r="P5" s="6">
        <f t="shared" si="4"/>
        <v>8791.2087912087918</v>
      </c>
      <c r="Q5" s="6">
        <f t="shared" si="4"/>
        <v>8695.652173913044</v>
      </c>
      <c r="R5" s="6">
        <f t="shared" si="4"/>
        <v>8602.1505376344085</v>
      </c>
      <c r="S5" s="6">
        <f t="shared" si="4"/>
        <v>8510.6382978723414</v>
      </c>
      <c r="T5" s="6">
        <f t="shared" si="4"/>
        <v>8421.0526315789466</v>
      </c>
      <c r="U5" s="6">
        <f t="shared" si="4"/>
        <v>8333.3333333333339</v>
      </c>
      <c r="V5" s="6">
        <f t="shared" si="4"/>
        <v>8333.3333333333339</v>
      </c>
      <c r="W5" s="6">
        <f t="shared" si="4"/>
        <v>8333.3333333333339</v>
      </c>
      <c r="X5" s="6">
        <f t="shared" si="4"/>
        <v>8333.3333333333339</v>
      </c>
      <c r="Z5" s="2"/>
      <c r="AA5" s="2" t="s">
        <v>1</v>
      </c>
      <c r="AB5" s="42">
        <f>1/AB4*1000000</f>
        <v>10000</v>
      </c>
      <c r="AC5" s="42">
        <f t="shared" ref="AC5:AG5" si="5">1/AC4*1000000</f>
        <v>9523.8095238095248</v>
      </c>
      <c r="AD5" s="42">
        <f t="shared" si="5"/>
        <v>9090.9090909090901</v>
      </c>
      <c r="AE5" s="42">
        <f t="shared" si="5"/>
        <v>8695.652173913044</v>
      </c>
      <c r="AF5" s="42">
        <f t="shared" si="5"/>
        <v>8333.3333333333339</v>
      </c>
      <c r="AG5" s="42">
        <f t="shared" si="5"/>
        <v>8333.3333333333339</v>
      </c>
    </row>
    <row r="6" spans="2:33" x14ac:dyDescent="0.45">
      <c r="B6" s="2" t="s">
        <v>25</v>
      </c>
      <c r="C6" s="2" t="s">
        <v>26</v>
      </c>
      <c r="D6" s="1">
        <v>12</v>
      </c>
      <c r="E6" s="182">
        <f>D6</f>
        <v>12</v>
      </c>
      <c r="F6" s="182">
        <f t="shared" ref="F6:X6" si="6">E6</f>
        <v>12</v>
      </c>
      <c r="G6" s="182">
        <f t="shared" si="6"/>
        <v>12</v>
      </c>
      <c r="H6" s="182">
        <f t="shared" si="6"/>
        <v>12</v>
      </c>
      <c r="I6" s="182">
        <f t="shared" si="6"/>
        <v>12</v>
      </c>
      <c r="J6" s="182">
        <f t="shared" si="6"/>
        <v>12</v>
      </c>
      <c r="K6" s="182">
        <f t="shared" si="6"/>
        <v>12</v>
      </c>
      <c r="L6" s="182">
        <f t="shared" si="6"/>
        <v>12</v>
      </c>
      <c r="M6" s="182">
        <f t="shared" si="6"/>
        <v>12</v>
      </c>
      <c r="N6" s="182">
        <f t="shared" si="6"/>
        <v>12</v>
      </c>
      <c r="O6" s="182">
        <f t="shared" si="6"/>
        <v>12</v>
      </c>
      <c r="P6" s="182">
        <f t="shared" si="6"/>
        <v>12</v>
      </c>
      <c r="Q6" s="182">
        <f t="shared" si="6"/>
        <v>12</v>
      </c>
      <c r="R6" s="182">
        <f t="shared" si="6"/>
        <v>12</v>
      </c>
      <c r="S6" s="182">
        <f t="shared" si="6"/>
        <v>12</v>
      </c>
      <c r="T6" s="182">
        <f t="shared" si="6"/>
        <v>12</v>
      </c>
      <c r="U6" s="182">
        <f t="shared" si="6"/>
        <v>12</v>
      </c>
      <c r="V6" s="182">
        <f t="shared" si="6"/>
        <v>12</v>
      </c>
      <c r="W6" s="182">
        <f t="shared" si="6"/>
        <v>12</v>
      </c>
      <c r="X6" s="182">
        <f t="shared" si="6"/>
        <v>12</v>
      </c>
      <c r="Z6" s="2" t="s">
        <v>25</v>
      </c>
      <c r="AA6" s="2" t="s">
        <v>26</v>
      </c>
      <c r="AB6" s="48">
        <v>14</v>
      </c>
      <c r="AC6" s="48">
        <v>14</v>
      </c>
      <c r="AD6" s="48">
        <v>14</v>
      </c>
      <c r="AE6" s="182">
        <f t="shared" ref="AE6:AG6" si="7">AD6</f>
        <v>14</v>
      </c>
      <c r="AF6" s="182">
        <f t="shared" si="7"/>
        <v>14</v>
      </c>
      <c r="AG6" s="182">
        <f t="shared" si="7"/>
        <v>14</v>
      </c>
    </row>
    <row r="7" spans="2:33" x14ac:dyDescent="0.45">
      <c r="B7" s="2"/>
      <c r="C7" s="61" t="s">
        <v>5</v>
      </c>
      <c r="D7">
        <f>2^$D$6-1</f>
        <v>4095</v>
      </c>
      <c r="E7">
        <f>2^$D$6-1</f>
        <v>4095</v>
      </c>
      <c r="F7">
        <f>2^$D$6-1</f>
        <v>4095</v>
      </c>
      <c r="G7">
        <f t="shared" ref="G7:X7" si="8">2^$D$6-1</f>
        <v>4095</v>
      </c>
      <c r="H7">
        <f t="shared" si="8"/>
        <v>4095</v>
      </c>
      <c r="I7">
        <f t="shared" si="8"/>
        <v>4095</v>
      </c>
      <c r="J7">
        <f t="shared" si="8"/>
        <v>4095</v>
      </c>
      <c r="K7">
        <f t="shared" si="8"/>
        <v>4095</v>
      </c>
      <c r="L7">
        <f t="shared" si="8"/>
        <v>4095</v>
      </c>
      <c r="M7">
        <f t="shared" si="8"/>
        <v>4095</v>
      </c>
      <c r="N7">
        <f t="shared" si="8"/>
        <v>4095</v>
      </c>
      <c r="O7">
        <f t="shared" si="8"/>
        <v>4095</v>
      </c>
      <c r="P7">
        <f t="shared" si="8"/>
        <v>4095</v>
      </c>
      <c r="Q7">
        <f t="shared" si="8"/>
        <v>4095</v>
      </c>
      <c r="R7">
        <f t="shared" si="8"/>
        <v>4095</v>
      </c>
      <c r="S7">
        <f t="shared" si="8"/>
        <v>4095</v>
      </c>
      <c r="T7">
        <f t="shared" si="8"/>
        <v>4095</v>
      </c>
      <c r="U7">
        <f>2^$D$6-1</f>
        <v>4095</v>
      </c>
      <c r="V7">
        <f t="shared" si="8"/>
        <v>4095</v>
      </c>
      <c r="W7">
        <f t="shared" si="8"/>
        <v>4095</v>
      </c>
      <c r="X7">
        <f t="shared" si="8"/>
        <v>4095</v>
      </c>
      <c r="Z7" s="2"/>
      <c r="AA7" s="61" t="s">
        <v>5</v>
      </c>
      <c r="AB7" s="43">
        <f>2^$AB$6-1</f>
        <v>16383</v>
      </c>
      <c r="AC7" s="43">
        <f t="shared" ref="AC7:AG7" si="9">2^$AB$6-1</f>
        <v>16383</v>
      </c>
      <c r="AD7" s="43">
        <f t="shared" si="9"/>
        <v>16383</v>
      </c>
      <c r="AE7" s="43">
        <f t="shared" si="9"/>
        <v>16383</v>
      </c>
      <c r="AF7" s="43">
        <f t="shared" si="9"/>
        <v>16383</v>
      </c>
      <c r="AG7" s="43">
        <f t="shared" si="9"/>
        <v>16383</v>
      </c>
    </row>
    <row r="8" spans="2:33" x14ac:dyDescent="0.45">
      <c r="B8" s="2"/>
      <c r="C8" s="62" t="s">
        <v>1</v>
      </c>
      <c r="D8" s="33">
        <f>D5/D7</f>
        <v>2.4420024420024422</v>
      </c>
      <c r="E8" s="33">
        <f t="shared" ref="E8:F8" si="10">E5/E7</f>
        <v>2.4420024420024422</v>
      </c>
      <c r="F8" s="33">
        <f t="shared" si="10"/>
        <v>2.4118542637061156</v>
      </c>
      <c r="G8" s="33">
        <f t="shared" ref="G8:U8" si="11">G5/G7</f>
        <v>2.3824414068316506</v>
      </c>
      <c r="H8" s="33">
        <f t="shared" si="11"/>
        <v>2.3537372934963301</v>
      </c>
      <c r="I8" s="33">
        <f t="shared" si="11"/>
        <v>2.3257166114308974</v>
      </c>
      <c r="J8" s="33">
        <f t="shared" si="11"/>
        <v>2.2983552395317099</v>
      </c>
      <c r="K8" s="33">
        <f t="shared" si="11"/>
        <v>2.2716301786069231</v>
      </c>
      <c r="L8" s="33">
        <f t="shared" si="11"/>
        <v>2.2455194868987971</v>
      </c>
      <c r="M8" s="33">
        <f t="shared" si="11"/>
        <v>2.2200022200022196</v>
      </c>
      <c r="N8" s="33">
        <f t="shared" si="11"/>
        <v>2.1950583748336556</v>
      </c>
      <c r="O8" s="33">
        <f t="shared" si="11"/>
        <v>2.1706688373355041</v>
      </c>
      <c r="P8" s="33">
        <f t="shared" si="11"/>
        <v>2.1468153336285205</v>
      </c>
      <c r="Q8" s="33">
        <f t="shared" si="11"/>
        <v>2.1234803843499499</v>
      </c>
      <c r="R8" s="33">
        <f t="shared" si="11"/>
        <v>2.1006472619375844</v>
      </c>
      <c r="S8" s="33">
        <f t="shared" si="11"/>
        <v>2.0782999506403765</v>
      </c>
      <c r="T8" s="33">
        <f t="shared" si="11"/>
        <v>2.0564231090546876</v>
      </c>
      <c r="U8" s="33">
        <f t="shared" si="11"/>
        <v>2.035002035002035</v>
      </c>
      <c r="V8" s="33">
        <f t="shared" ref="V8:X8" si="12">V5/V7</f>
        <v>2.035002035002035</v>
      </c>
      <c r="W8" s="33">
        <f t="shared" si="12"/>
        <v>2.035002035002035</v>
      </c>
      <c r="X8" s="33">
        <f t="shared" si="12"/>
        <v>2.035002035002035</v>
      </c>
      <c r="Z8" s="2"/>
      <c r="AA8" s="62" t="s">
        <v>1</v>
      </c>
      <c r="AB8" s="44">
        <f>AB5/AB7</f>
        <v>0.61038881767686015</v>
      </c>
      <c r="AC8" s="44">
        <f t="shared" ref="AC8:AG8" si="13">AC5/AC7</f>
        <v>0.58132268350177163</v>
      </c>
      <c r="AD8" s="44">
        <f t="shared" si="13"/>
        <v>0.55489892516078188</v>
      </c>
      <c r="AE8" s="44">
        <f t="shared" si="13"/>
        <v>0.53077288493640018</v>
      </c>
      <c r="AF8" s="44">
        <f t="shared" si="13"/>
        <v>0.50865734806405016</v>
      </c>
      <c r="AG8" s="44">
        <f t="shared" si="13"/>
        <v>0.50865734806405016</v>
      </c>
    </row>
    <row r="9" spans="2:33" x14ac:dyDescent="0.45">
      <c r="B9" s="2" t="s">
        <v>21</v>
      </c>
      <c r="C9" s="2" t="s">
        <v>5</v>
      </c>
      <c r="D9" s="11">
        <v>96</v>
      </c>
      <c r="E9" s="11">
        <f>D9</f>
        <v>96</v>
      </c>
      <c r="F9" s="11">
        <f t="shared" ref="F9:U9" si="14">E9-1</f>
        <v>95</v>
      </c>
      <c r="G9" s="11">
        <f t="shared" si="14"/>
        <v>94</v>
      </c>
      <c r="H9" s="11">
        <f t="shared" si="14"/>
        <v>93</v>
      </c>
      <c r="I9" s="11">
        <f t="shared" si="14"/>
        <v>92</v>
      </c>
      <c r="J9" s="11">
        <f t="shared" si="14"/>
        <v>91</v>
      </c>
      <c r="K9" s="11">
        <f t="shared" si="14"/>
        <v>90</v>
      </c>
      <c r="L9" s="11">
        <f t="shared" si="14"/>
        <v>89</v>
      </c>
      <c r="M9" s="11">
        <f t="shared" si="14"/>
        <v>88</v>
      </c>
      <c r="N9" s="11">
        <f t="shared" si="14"/>
        <v>87</v>
      </c>
      <c r="O9" s="11">
        <f t="shared" si="14"/>
        <v>86</v>
      </c>
      <c r="P9" s="11">
        <f t="shared" si="14"/>
        <v>85</v>
      </c>
      <c r="Q9" s="11">
        <f t="shared" si="14"/>
        <v>84</v>
      </c>
      <c r="R9" s="11">
        <f t="shared" si="14"/>
        <v>83</v>
      </c>
      <c r="S9" s="11">
        <f t="shared" si="14"/>
        <v>82</v>
      </c>
      <c r="T9" s="11">
        <f t="shared" si="14"/>
        <v>81</v>
      </c>
      <c r="U9" s="11">
        <f t="shared" si="14"/>
        <v>80</v>
      </c>
      <c r="V9" s="11">
        <f>U9</f>
        <v>80</v>
      </c>
      <c r="W9" s="11">
        <f>V9</f>
        <v>80</v>
      </c>
      <c r="X9" s="11">
        <f>W9</f>
        <v>80</v>
      </c>
      <c r="Z9" s="2" t="s">
        <v>21</v>
      </c>
      <c r="AA9" s="2" t="s">
        <v>5</v>
      </c>
      <c r="AB9" s="354">
        <v>24</v>
      </c>
      <c r="AC9" s="354">
        <f>AB9-1</f>
        <v>23</v>
      </c>
      <c r="AD9" s="354">
        <f t="shared" ref="AD9:AF9" si="15">AC9-1</f>
        <v>22</v>
      </c>
      <c r="AE9" s="354">
        <f t="shared" si="15"/>
        <v>21</v>
      </c>
      <c r="AF9" s="354">
        <f t="shared" si="15"/>
        <v>20</v>
      </c>
      <c r="AG9" s="11">
        <f>AF9</f>
        <v>20</v>
      </c>
    </row>
    <row r="10" spans="2:33" x14ac:dyDescent="0.45">
      <c r="B10" s="2" t="s">
        <v>2</v>
      </c>
      <c r="C10" s="2" t="s">
        <v>0</v>
      </c>
      <c r="D10" s="352">
        <f>1/D11</f>
        <v>39.311999999999998</v>
      </c>
      <c r="E10" s="352">
        <f t="shared" ref="E10:X10" si="16">1/E11</f>
        <v>39.311999999999998</v>
      </c>
      <c r="F10" s="352">
        <f>1/F11</f>
        <v>39.388781250000001</v>
      </c>
      <c r="G10" s="352">
        <f t="shared" si="16"/>
        <v>39.455325000000002</v>
      </c>
      <c r="H10" s="352">
        <f t="shared" si="16"/>
        <v>39.511631249999994</v>
      </c>
      <c r="I10" s="352">
        <f t="shared" si="16"/>
        <v>39.557699999999997</v>
      </c>
      <c r="J10" s="352">
        <f t="shared" si="16"/>
        <v>39.593531250000005</v>
      </c>
      <c r="K10" s="352">
        <f t="shared" si="16"/>
        <v>39.619124999999997</v>
      </c>
      <c r="L10" s="352">
        <f t="shared" si="16"/>
        <v>39.634481250000007</v>
      </c>
      <c r="M10" s="353">
        <f t="shared" si="16"/>
        <v>39.639600000000002</v>
      </c>
      <c r="N10" s="352">
        <f t="shared" si="16"/>
        <v>39.634481250000007</v>
      </c>
      <c r="O10" s="352">
        <f t="shared" si="16"/>
        <v>39.619124999999997</v>
      </c>
      <c r="P10" s="352">
        <f t="shared" si="16"/>
        <v>39.593531249999998</v>
      </c>
      <c r="Q10" s="352">
        <f t="shared" si="16"/>
        <v>39.557699999999997</v>
      </c>
      <c r="R10" s="352">
        <f t="shared" si="16"/>
        <v>39.511631250000001</v>
      </c>
      <c r="S10" s="352">
        <f t="shared" si="16"/>
        <v>39.455324999999995</v>
      </c>
      <c r="T10" s="352">
        <f t="shared" si="16"/>
        <v>39.388781250000008</v>
      </c>
      <c r="U10" s="352">
        <f t="shared" si="16"/>
        <v>39.311999999999998</v>
      </c>
      <c r="V10" s="352">
        <f t="shared" si="16"/>
        <v>39.311999999999998</v>
      </c>
      <c r="W10" s="352">
        <f t="shared" si="16"/>
        <v>39.311999999999998</v>
      </c>
      <c r="X10" s="352">
        <f t="shared" si="16"/>
        <v>39.311999999999998</v>
      </c>
      <c r="Z10" s="2" t="s">
        <v>2</v>
      </c>
      <c r="AA10" s="2" t="s">
        <v>0</v>
      </c>
      <c r="AB10" s="351">
        <f>1/AB11</f>
        <v>39.319200000000002</v>
      </c>
      <c r="AC10" s="351">
        <f>1/AC11</f>
        <v>39.564945000000002</v>
      </c>
      <c r="AD10" s="353">
        <f>1/AD11</f>
        <v>39.646860000000004</v>
      </c>
      <c r="AE10" s="352">
        <f t="shared" ref="AE10:AG10" si="17">1/AE11</f>
        <v>39.564945000000002</v>
      </c>
      <c r="AF10" s="352">
        <f t="shared" si="17"/>
        <v>39.319200000000002</v>
      </c>
      <c r="AG10" s="352">
        <f t="shared" si="17"/>
        <v>39.319200000000002</v>
      </c>
    </row>
    <row r="11" spans="2:33" x14ac:dyDescent="0.45">
      <c r="B11" s="2"/>
      <c r="C11" s="2" t="s">
        <v>1</v>
      </c>
      <c r="D11" s="33">
        <f>D5/D7/D9</f>
        <v>2.5437525437525439E-2</v>
      </c>
      <c r="E11" s="33">
        <f t="shared" ref="E11:F11" si="18">E5/E7/E9</f>
        <v>2.5437525437525439E-2</v>
      </c>
      <c r="F11" s="33">
        <f t="shared" si="18"/>
        <v>2.5387939617959113E-2</v>
      </c>
      <c r="G11" s="33">
        <f t="shared" ref="G11:U11" si="19">G5/G7/G9</f>
        <v>2.534512134927288E-2</v>
      </c>
      <c r="H11" s="33">
        <f t="shared" si="19"/>
        <v>2.5309003155874518E-2</v>
      </c>
      <c r="I11" s="33">
        <f t="shared" si="19"/>
        <v>2.527952838511845E-2</v>
      </c>
      <c r="J11" s="33">
        <f t="shared" si="19"/>
        <v>2.5256650983864943E-2</v>
      </c>
      <c r="K11" s="33">
        <f t="shared" si="19"/>
        <v>2.52403353178547E-2</v>
      </c>
      <c r="L11" s="33">
        <f t="shared" si="19"/>
        <v>2.5230556032570753E-2</v>
      </c>
      <c r="M11" s="33">
        <f t="shared" si="19"/>
        <v>2.5227297954570679E-2</v>
      </c>
      <c r="N11" s="33">
        <f t="shared" si="19"/>
        <v>2.5230556032570753E-2</v>
      </c>
      <c r="O11" s="33">
        <f t="shared" si="19"/>
        <v>2.52403353178547E-2</v>
      </c>
      <c r="P11" s="33">
        <f t="shared" si="19"/>
        <v>2.5256650983864946E-2</v>
      </c>
      <c r="Q11" s="33">
        <f t="shared" si="19"/>
        <v>2.527952838511845E-2</v>
      </c>
      <c r="R11" s="33">
        <f t="shared" si="19"/>
        <v>2.5309003155874511E-2</v>
      </c>
      <c r="S11" s="33">
        <f t="shared" si="19"/>
        <v>2.5345121349272883E-2</v>
      </c>
      <c r="T11" s="33">
        <f t="shared" si="19"/>
        <v>2.5387939617959106E-2</v>
      </c>
      <c r="U11" s="33">
        <f t="shared" si="19"/>
        <v>2.5437525437525439E-2</v>
      </c>
      <c r="V11" s="33">
        <f t="shared" ref="V11:X11" si="20">V5/V7/V9</f>
        <v>2.5437525437525439E-2</v>
      </c>
      <c r="W11" s="33">
        <f t="shared" si="20"/>
        <v>2.5437525437525439E-2</v>
      </c>
      <c r="X11" s="33">
        <f t="shared" si="20"/>
        <v>2.5437525437525439E-2</v>
      </c>
      <c r="Z11" s="2"/>
      <c r="AA11" s="2" t="s">
        <v>1</v>
      </c>
      <c r="AB11" s="44">
        <f>AB5/AB7/AB9</f>
        <v>2.5432867403202507E-2</v>
      </c>
      <c r="AC11" s="44">
        <f t="shared" ref="AC11:AG11" si="21">AC5/AC7/AC9</f>
        <v>2.5274899282685722E-2</v>
      </c>
      <c r="AD11" s="44">
        <f t="shared" si="21"/>
        <v>2.5222678416399177E-2</v>
      </c>
      <c r="AE11" s="44">
        <f t="shared" si="21"/>
        <v>2.5274899282685722E-2</v>
      </c>
      <c r="AF11" s="44">
        <f t="shared" si="21"/>
        <v>2.5432867403202507E-2</v>
      </c>
      <c r="AG11" s="44">
        <f t="shared" si="21"/>
        <v>2.5432867403202507E-2</v>
      </c>
    </row>
    <row r="12" spans="2:33" x14ac:dyDescent="0.45">
      <c r="B12" s="2" t="s">
        <v>1211</v>
      </c>
      <c r="C12" s="2" t="s">
        <v>1142</v>
      </c>
      <c r="E12" s="4">
        <f>(E10-D10)/D10</f>
        <v>0</v>
      </c>
      <c r="F12" s="4">
        <f t="shared" ref="F12:X12" si="22">(F10-E10)/E10</f>
        <v>1.9531250000000854E-3</v>
      </c>
      <c r="G12" s="4">
        <f t="shared" si="22"/>
        <v>1.6894087069525923E-3</v>
      </c>
      <c r="H12" s="4">
        <f t="shared" si="22"/>
        <v>1.4270887389722822E-3</v>
      </c>
      <c r="I12" s="4">
        <f t="shared" si="22"/>
        <v>1.165954139137281E-3</v>
      </c>
      <c r="J12" s="4">
        <f t="shared" si="22"/>
        <v>9.0579710144948267E-4</v>
      </c>
      <c r="K12" s="4">
        <f t="shared" si="22"/>
        <v>6.4641241111808236E-4</v>
      </c>
      <c r="L12" s="4">
        <f t="shared" si="22"/>
        <v>3.8759689922507427E-4</v>
      </c>
      <c r="M12" s="4">
        <f t="shared" si="22"/>
        <v>1.2914890869157179E-4</v>
      </c>
      <c r="N12" s="4">
        <f t="shared" si="22"/>
        <v>-1.2913223140480895E-4</v>
      </c>
      <c r="O12" s="4">
        <f t="shared" si="22"/>
        <v>-3.8744672607543247E-4</v>
      </c>
      <c r="P12" s="4">
        <f t="shared" si="22"/>
        <v>-6.4599483204131215E-4</v>
      </c>
      <c r="Q12" s="4">
        <f t="shared" si="22"/>
        <v>-9.0497737556563844E-4</v>
      </c>
      <c r="R12" s="4">
        <f t="shared" si="22"/>
        <v>-1.1645962732918327E-3</v>
      </c>
      <c r="S12" s="4">
        <f t="shared" si="22"/>
        <v>-1.4250550589456055E-3</v>
      </c>
      <c r="T12" s="4">
        <f t="shared" si="22"/>
        <v>-1.686559418785343E-3</v>
      </c>
      <c r="U12" s="4">
        <f t="shared" si="22"/>
        <v>-1.9493177387916881E-3</v>
      </c>
      <c r="V12" s="4">
        <f t="shared" si="22"/>
        <v>0</v>
      </c>
      <c r="W12" s="4">
        <f t="shared" si="22"/>
        <v>0</v>
      </c>
      <c r="X12" s="4">
        <f t="shared" si="22"/>
        <v>0</v>
      </c>
      <c r="Z12" s="2" t="s">
        <v>1211</v>
      </c>
      <c r="AA12" s="2" t="s">
        <v>1142</v>
      </c>
      <c r="AB12" s="4"/>
      <c r="AC12" s="4">
        <f>(AC10-AB10)/$AB$10</f>
        <v>6.2499999999999856E-3</v>
      </c>
      <c r="AD12" s="4">
        <f t="shared" ref="AD12:AG12" si="23">(AD10-AC10)/$AB$10</f>
        <v>2.0833333333333888E-3</v>
      </c>
      <c r="AE12" s="4">
        <f t="shared" si="23"/>
        <v>-2.0833333333333888E-3</v>
      </c>
      <c r="AF12" s="4">
        <f t="shared" si="23"/>
        <v>-6.2499999999999856E-3</v>
      </c>
      <c r="AG12" s="4">
        <f t="shared" si="23"/>
        <v>0</v>
      </c>
    </row>
    <row r="13" spans="2:33" x14ac:dyDescent="0.45">
      <c r="B13" s="2" t="s">
        <v>1212</v>
      </c>
      <c r="C13" s="2" t="s">
        <v>1142</v>
      </c>
      <c r="D13" s="4">
        <f>(D10-$D$10)/$D$10</f>
        <v>0</v>
      </c>
      <c r="E13" s="4">
        <f>(E10-$D$10)/$D$10</f>
        <v>0</v>
      </c>
      <c r="F13" s="4">
        <f t="shared" ref="F13:X13" si="24">(F10-$D$10)/$D$10</f>
        <v>1.9531250000000854E-3</v>
      </c>
      <c r="G13" s="4">
        <f t="shared" si="24"/>
        <v>3.6458333333334444E-3</v>
      </c>
      <c r="H13" s="4">
        <f t="shared" si="24"/>
        <v>5.078124999999897E-3</v>
      </c>
      <c r="I13" s="4">
        <f t="shared" si="24"/>
        <v>6.2499999999999839E-3</v>
      </c>
      <c r="J13" s="4">
        <f t="shared" si="24"/>
        <v>7.1614583333335265E-3</v>
      </c>
      <c r="K13" s="4">
        <f t="shared" si="24"/>
        <v>7.8124999999999801E-3</v>
      </c>
      <c r="L13" s="4">
        <f t="shared" si="24"/>
        <v>8.2031250000002501E-3</v>
      </c>
      <c r="M13" s="9">
        <f>(M10-$D$10)/$D$10</f>
        <v>8.3333333333334321E-3</v>
      </c>
      <c r="N13" s="4">
        <f t="shared" si="24"/>
        <v>8.2031250000002501E-3</v>
      </c>
      <c r="O13" s="4">
        <f t="shared" si="24"/>
        <v>7.8124999999999801E-3</v>
      </c>
      <c r="P13" s="4">
        <f t="shared" si="24"/>
        <v>7.1614583333333452E-3</v>
      </c>
      <c r="Q13" s="4">
        <f t="shared" si="24"/>
        <v>6.2499999999999839E-3</v>
      </c>
      <c r="R13" s="4">
        <f t="shared" si="24"/>
        <v>5.0781250000000774E-3</v>
      </c>
      <c r="S13" s="4">
        <f t="shared" si="24"/>
        <v>3.645833333333264E-3</v>
      </c>
      <c r="T13" s="4">
        <f t="shared" si="24"/>
        <v>1.9531250000002663E-3</v>
      </c>
      <c r="U13" s="4">
        <f t="shared" si="24"/>
        <v>0</v>
      </c>
      <c r="V13" s="4">
        <f t="shared" si="24"/>
        <v>0</v>
      </c>
      <c r="W13" s="4">
        <f t="shared" si="24"/>
        <v>0</v>
      </c>
      <c r="X13" s="4">
        <f t="shared" si="24"/>
        <v>0</v>
      </c>
      <c r="Z13" s="2" t="s">
        <v>1212</v>
      </c>
      <c r="AA13" s="2" t="s">
        <v>1142</v>
      </c>
      <c r="AB13" s="4">
        <f t="shared" ref="AB13:AG13" si="25">(AB10-$AB$10)/$AB$10</f>
        <v>0</v>
      </c>
      <c r="AC13" s="4">
        <f t="shared" si="25"/>
        <v>6.2499999999999856E-3</v>
      </c>
      <c r="AD13" s="9">
        <f t="shared" si="25"/>
        <v>8.3333333333333749E-3</v>
      </c>
      <c r="AE13" s="4">
        <f t="shared" si="25"/>
        <v>6.2499999999999856E-3</v>
      </c>
      <c r="AF13" s="4">
        <f t="shared" si="25"/>
        <v>0</v>
      </c>
      <c r="AG13" s="4">
        <f t="shared" si="25"/>
        <v>0</v>
      </c>
    </row>
    <row r="14" spans="2:33" x14ac:dyDescent="0.45">
      <c r="B14" s="2"/>
      <c r="C14" s="2"/>
      <c r="Z14" s="2"/>
      <c r="AA14" s="2"/>
    </row>
    <row r="15" spans="2:33" x14ac:dyDescent="0.45">
      <c r="B15" s="2" t="s">
        <v>11</v>
      </c>
      <c r="C15" s="2" t="s">
        <v>5</v>
      </c>
      <c r="D15" s="349">
        <f>(D5/D11)+(D5/D11)*$B$16</f>
        <v>393120</v>
      </c>
      <c r="E15" s="349">
        <f t="shared" ref="E15:X15" si="26">(E5/E11)+(E5/E11)*$B$16</f>
        <v>393120</v>
      </c>
      <c r="F15" s="349">
        <f t="shared" si="26"/>
        <v>389025</v>
      </c>
      <c r="G15" s="349">
        <f t="shared" si="26"/>
        <v>384930</v>
      </c>
      <c r="H15" s="349">
        <f t="shared" si="26"/>
        <v>380834.99999999994</v>
      </c>
      <c r="I15" s="349">
        <f t="shared" si="26"/>
        <v>376740</v>
      </c>
      <c r="J15" s="349">
        <f t="shared" si="26"/>
        <v>372645</v>
      </c>
      <c r="K15" s="349">
        <f t="shared" si="26"/>
        <v>368550</v>
      </c>
      <c r="L15" s="349">
        <f t="shared" si="26"/>
        <v>364455.00000000006</v>
      </c>
      <c r="M15" s="349">
        <f t="shared" si="26"/>
        <v>360360</v>
      </c>
      <c r="N15" s="349">
        <f t="shared" si="26"/>
        <v>356265.00000000006</v>
      </c>
      <c r="O15" s="349">
        <f t="shared" si="26"/>
        <v>352169.99999999994</v>
      </c>
      <c r="P15" s="349">
        <f t="shared" si="26"/>
        <v>348075</v>
      </c>
      <c r="Q15" s="349">
        <f t="shared" si="26"/>
        <v>343980</v>
      </c>
      <c r="R15" s="349">
        <f t="shared" si="26"/>
        <v>339885</v>
      </c>
      <c r="S15" s="349">
        <f t="shared" si="26"/>
        <v>335790</v>
      </c>
      <c r="T15" s="349">
        <f t="shared" si="26"/>
        <v>331695.00000000006</v>
      </c>
      <c r="U15" s="349">
        <f t="shared" si="26"/>
        <v>327600</v>
      </c>
      <c r="V15" s="349">
        <f t="shared" si="26"/>
        <v>327600</v>
      </c>
      <c r="W15" s="349">
        <f t="shared" si="26"/>
        <v>327600</v>
      </c>
      <c r="X15" s="349">
        <f t="shared" si="26"/>
        <v>327600</v>
      </c>
      <c r="Z15" s="2" t="s">
        <v>11</v>
      </c>
      <c r="AA15" s="2" t="s">
        <v>5</v>
      </c>
      <c r="AB15" s="349">
        <f>(AB5/AB11)+(AB5/AB11)*$Z$16</f>
        <v>393192</v>
      </c>
      <c r="AC15" s="349">
        <f t="shared" ref="AC15:AG15" si="27">(AC5/AC11)+(AC5/AC11)*$Z$16</f>
        <v>376809</v>
      </c>
      <c r="AD15" s="349">
        <f t="shared" si="27"/>
        <v>360426</v>
      </c>
      <c r="AE15" s="349">
        <f t="shared" si="27"/>
        <v>344043</v>
      </c>
      <c r="AF15" s="349">
        <f t="shared" si="27"/>
        <v>327660</v>
      </c>
      <c r="AG15" s="349">
        <f t="shared" si="27"/>
        <v>327660</v>
      </c>
    </row>
    <row r="16" spans="2:33" x14ac:dyDescent="0.45">
      <c r="B16" s="551">
        <v>0</v>
      </c>
      <c r="C16" s="2" t="s">
        <v>12</v>
      </c>
      <c r="D16" s="1" t="str">
        <f>DEC2HEX(D15)</f>
        <v>5FFA0</v>
      </c>
      <c r="E16" s="1" t="str">
        <f t="shared" ref="E16:F16" si="28">DEC2HEX(E15)</f>
        <v>5FFA0</v>
      </c>
      <c r="F16" s="1" t="str">
        <f t="shared" si="28"/>
        <v>5EFA1</v>
      </c>
      <c r="G16" s="1" t="str">
        <f t="shared" ref="G16:U16" si="29">DEC2HEX(G15)</f>
        <v>5DFA2</v>
      </c>
      <c r="H16" s="1" t="str">
        <f t="shared" si="29"/>
        <v>5CFA2</v>
      </c>
      <c r="I16" s="1" t="str">
        <f t="shared" si="29"/>
        <v>5BFA4</v>
      </c>
      <c r="J16" s="1" t="str">
        <f t="shared" si="29"/>
        <v>5AFA5</v>
      </c>
      <c r="K16" s="1" t="str">
        <f t="shared" si="29"/>
        <v>59FA6</v>
      </c>
      <c r="L16" s="1" t="str">
        <f t="shared" si="29"/>
        <v>58FA7</v>
      </c>
      <c r="M16" s="1" t="str">
        <f t="shared" si="29"/>
        <v>57FA8</v>
      </c>
      <c r="N16" s="1" t="str">
        <f t="shared" si="29"/>
        <v>56FA9</v>
      </c>
      <c r="O16" s="1" t="str">
        <f t="shared" si="29"/>
        <v>55FA9</v>
      </c>
      <c r="P16" s="1" t="str">
        <f t="shared" si="29"/>
        <v>54FAB</v>
      </c>
      <c r="Q16" s="1" t="str">
        <f t="shared" si="29"/>
        <v>53FAC</v>
      </c>
      <c r="R16" s="1" t="str">
        <f t="shared" si="29"/>
        <v>52FAD</v>
      </c>
      <c r="S16" s="1" t="str">
        <f t="shared" si="29"/>
        <v>51FAE</v>
      </c>
      <c r="T16" s="1" t="str">
        <f t="shared" si="29"/>
        <v>50FAF</v>
      </c>
      <c r="U16" s="1" t="str">
        <f t="shared" si="29"/>
        <v>4FFB0</v>
      </c>
      <c r="V16" s="1" t="str">
        <f t="shared" ref="V16:X16" si="30">DEC2HEX(V15)</f>
        <v>4FFB0</v>
      </c>
      <c r="W16" s="1" t="str">
        <f t="shared" si="30"/>
        <v>4FFB0</v>
      </c>
      <c r="X16" s="1" t="str">
        <f t="shared" si="30"/>
        <v>4FFB0</v>
      </c>
      <c r="Z16" s="551">
        <v>0</v>
      </c>
      <c r="AA16" s="2" t="s">
        <v>12</v>
      </c>
      <c r="AB16" s="1" t="str">
        <f>DEC2HEX(AB15)</f>
        <v>5FFE8</v>
      </c>
      <c r="AC16" s="1" t="str">
        <f t="shared" ref="AC16:AG16" si="31">DEC2HEX(AC15)</f>
        <v>5BFE9</v>
      </c>
      <c r="AD16" s="1" t="str">
        <f t="shared" si="31"/>
        <v>57FEA</v>
      </c>
      <c r="AE16" s="1" t="str">
        <f t="shared" si="31"/>
        <v>53FEB</v>
      </c>
      <c r="AF16" s="1" t="str">
        <f t="shared" si="31"/>
        <v>4FFEC</v>
      </c>
      <c r="AG16" s="1" t="str">
        <f t="shared" si="31"/>
        <v>4FFEC</v>
      </c>
    </row>
    <row r="17" spans="2:33" x14ac:dyDescent="0.45">
      <c r="B17" s="2" t="s">
        <v>1212</v>
      </c>
      <c r="C17" s="2" t="s">
        <v>1142</v>
      </c>
      <c r="D17" s="4">
        <f>(D15-$D$15)/$D$15</f>
        <v>0</v>
      </c>
      <c r="E17" s="4">
        <f t="shared" ref="E17:X17" si="32">(E15-$D$15)/$D$15</f>
        <v>0</v>
      </c>
      <c r="F17" s="4">
        <f t="shared" si="32"/>
        <v>-1.0416666666666666E-2</v>
      </c>
      <c r="G17" s="4">
        <f t="shared" si="32"/>
        <v>-2.0833333333333332E-2</v>
      </c>
      <c r="H17" s="4">
        <f t="shared" si="32"/>
        <v>-3.1250000000000146E-2</v>
      </c>
      <c r="I17" s="4">
        <f t="shared" si="32"/>
        <v>-4.1666666666666664E-2</v>
      </c>
      <c r="J17" s="4">
        <f t="shared" si="32"/>
        <v>-5.2083333333333336E-2</v>
      </c>
      <c r="K17" s="4">
        <f t="shared" si="32"/>
        <v>-6.25E-2</v>
      </c>
      <c r="L17" s="4">
        <f t="shared" si="32"/>
        <v>-7.2916666666666519E-2</v>
      </c>
      <c r="M17" s="4">
        <f t="shared" si="32"/>
        <v>-8.3333333333333329E-2</v>
      </c>
      <c r="N17" s="4">
        <f t="shared" si="32"/>
        <v>-9.3749999999999847E-2</v>
      </c>
      <c r="O17" s="4">
        <f t="shared" si="32"/>
        <v>-0.10416666666666681</v>
      </c>
      <c r="P17" s="4">
        <f t="shared" si="32"/>
        <v>-0.11458333333333333</v>
      </c>
      <c r="Q17" s="4">
        <f t="shared" si="32"/>
        <v>-0.125</v>
      </c>
      <c r="R17" s="4">
        <f t="shared" si="32"/>
        <v>-0.13541666666666666</v>
      </c>
      <c r="S17" s="4">
        <f t="shared" si="32"/>
        <v>-0.14583333333333334</v>
      </c>
      <c r="T17" s="4">
        <f t="shared" si="32"/>
        <v>-0.15624999999999986</v>
      </c>
      <c r="U17" s="4">
        <f t="shared" si="32"/>
        <v>-0.16666666666666666</v>
      </c>
      <c r="V17" s="4">
        <f t="shared" si="32"/>
        <v>-0.16666666666666666</v>
      </c>
      <c r="W17" s="4">
        <f t="shared" si="32"/>
        <v>-0.16666666666666666</v>
      </c>
      <c r="X17" s="4">
        <f t="shared" si="32"/>
        <v>-0.16666666666666666</v>
      </c>
      <c r="Z17" s="2" t="s">
        <v>1212</v>
      </c>
      <c r="AA17" s="2" t="s">
        <v>1142</v>
      </c>
      <c r="AB17" s="4">
        <f>(AB15-$AB$15)/$AB$15</f>
        <v>0</v>
      </c>
      <c r="AC17" s="4">
        <f t="shared" ref="AC17:AG17" si="33">(AC15-$AB$15)/$AB$15</f>
        <v>-4.1666666666666664E-2</v>
      </c>
      <c r="AD17" s="4">
        <f t="shared" si="33"/>
        <v>-8.3333333333333329E-2</v>
      </c>
      <c r="AE17" s="4">
        <f t="shared" si="33"/>
        <v>-0.125</v>
      </c>
      <c r="AF17" s="4">
        <f t="shared" si="33"/>
        <v>-0.16666666666666666</v>
      </c>
      <c r="AG17" s="4">
        <f t="shared" si="33"/>
        <v>-0.16666666666666666</v>
      </c>
    </row>
    <row r="18" spans="2:33" x14ac:dyDescent="0.45">
      <c r="B18"/>
      <c r="C18"/>
    </row>
    <row r="19" spans="2:33" x14ac:dyDescent="0.45">
      <c r="B19" s="226" t="s">
        <v>1143</v>
      </c>
      <c r="C19" s="2">
        <f>-20/16</f>
        <v>-1.25</v>
      </c>
      <c r="D19" s="3" t="s">
        <v>4</v>
      </c>
      <c r="E19" s="3"/>
      <c r="F19" s="3">
        <v>1</v>
      </c>
      <c r="G19" s="3">
        <f>F19+1</f>
        <v>2</v>
      </c>
      <c r="H19" s="3">
        <f t="shared" ref="H19:T19" si="34">G19+1</f>
        <v>3</v>
      </c>
      <c r="I19" s="3">
        <f t="shared" si="34"/>
        <v>4</v>
      </c>
      <c r="J19" s="3">
        <f t="shared" si="34"/>
        <v>5</v>
      </c>
      <c r="K19" s="3">
        <f t="shared" si="34"/>
        <v>6</v>
      </c>
      <c r="L19" s="3">
        <f t="shared" si="34"/>
        <v>7</v>
      </c>
      <c r="M19" s="3">
        <f t="shared" si="34"/>
        <v>8</v>
      </c>
      <c r="N19" s="3">
        <f t="shared" si="34"/>
        <v>9</v>
      </c>
      <c r="O19" s="3">
        <f t="shared" si="34"/>
        <v>10</v>
      </c>
      <c r="P19" s="3">
        <f t="shared" si="34"/>
        <v>11</v>
      </c>
      <c r="Q19" s="3">
        <f t="shared" si="34"/>
        <v>12</v>
      </c>
      <c r="R19" s="3">
        <f t="shared" si="34"/>
        <v>13</v>
      </c>
      <c r="S19" s="3">
        <f t="shared" si="34"/>
        <v>14</v>
      </c>
      <c r="T19" s="3">
        <f t="shared" si="34"/>
        <v>15</v>
      </c>
      <c r="U19" s="3">
        <f>T19+1</f>
        <v>16</v>
      </c>
      <c r="V19" s="3"/>
      <c r="W19" s="3"/>
      <c r="X19" s="3"/>
      <c r="Z19" s="226" t="s">
        <v>1143</v>
      </c>
      <c r="AA19" s="2">
        <f>20/4</f>
        <v>5</v>
      </c>
      <c r="AB19" s="3" t="s">
        <v>4</v>
      </c>
      <c r="AC19" s="3"/>
      <c r="AD19" s="3"/>
      <c r="AE19" s="3"/>
      <c r="AF19" s="3"/>
      <c r="AG19" s="3"/>
    </row>
    <row r="20" spans="2:33" x14ac:dyDescent="0.45">
      <c r="B20" s="2" t="s">
        <v>3</v>
      </c>
      <c r="C20" s="2" t="s">
        <v>4</v>
      </c>
      <c r="D20" s="3">
        <v>120</v>
      </c>
      <c r="E20" s="3">
        <f>D20</f>
        <v>120</v>
      </c>
      <c r="F20" s="3">
        <f t="shared" ref="F20:U20" si="35">E20+$C$19</f>
        <v>118.75</v>
      </c>
      <c r="G20" s="3">
        <f t="shared" si="35"/>
        <v>117.5</v>
      </c>
      <c r="H20" s="3">
        <f t="shared" si="35"/>
        <v>116.25</v>
      </c>
      <c r="I20" s="3">
        <f t="shared" si="35"/>
        <v>115</v>
      </c>
      <c r="J20" s="3">
        <f t="shared" si="35"/>
        <v>113.75</v>
      </c>
      <c r="K20" s="3">
        <f t="shared" si="35"/>
        <v>112.5</v>
      </c>
      <c r="L20" s="3">
        <f t="shared" si="35"/>
        <v>111.25</v>
      </c>
      <c r="M20" s="3">
        <f t="shared" si="35"/>
        <v>110</v>
      </c>
      <c r="N20" s="3">
        <f t="shared" si="35"/>
        <v>108.75</v>
      </c>
      <c r="O20" s="3">
        <f t="shared" si="35"/>
        <v>107.5</v>
      </c>
      <c r="P20" s="3">
        <f t="shared" si="35"/>
        <v>106.25</v>
      </c>
      <c r="Q20" s="3">
        <f t="shared" si="35"/>
        <v>105</v>
      </c>
      <c r="R20" s="3">
        <f t="shared" si="35"/>
        <v>103.75</v>
      </c>
      <c r="S20" s="3">
        <f t="shared" si="35"/>
        <v>102.5</v>
      </c>
      <c r="T20" s="3">
        <f t="shared" si="35"/>
        <v>101.25</v>
      </c>
      <c r="U20" s="3">
        <f t="shared" si="35"/>
        <v>100</v>
      </c>
      <c r="V20" s="3">
        <f>U20</f>
        <v>100</v>
      </c>
      <c r="W20" s="3">
        <f t="shared" ref="W20:X20" si="36">V20</f>
        <v>100</v>
      </c>
      <c r="X20" s="3">
        <f t="shared" si="36"/>
        <v>100</v>
      </c>
      <c r="Z20" s="2" t="s">
        <v>3</v>
      </c>
      <c r="AA20" s="2" t="s">
        <v>4</v>
      </c>
      <c r="AB20" s="3">
        <v>120</v>
      </c>
      <c r="AC20" s="3">
        <f>AB20-5</f>
        <v>115</v>
      </c>
      <c r="AD20" s="3">
        <f t="shared" ref="AD20:AF20" si="37">AC20-5</f>
        <v>110</v>
      </c>
      <c r="AE20" s="3">
        <f t="shared" si="37"/>
        <v>105</v>
      </c>
      <c r="AF20" s="3">
        <f t="shared" si="37"/>
        <v>100</v>
      </c>
      <c r="AG20" s="3">
        <f>AF20</f>
        <v>100</v>
      </c>
    </row>
    <row r="21" spans="2:33" x14ac:dyDescent="0.45">
      <c r="B21" s="2"/>
      <c r="C21" s="2" t="s">
        <v>1</v>
      </c>
      <c r="D21" s="6">
        <f>1/D20*1000000</f>
        <v>8333.3333333333339</v>
      </c>
      <c r="E21" s="6">
        <f>1/E20*1000000</f>
        <v>8333.3333333333339</v>
      </c>
      <c r="F21" s="6">
        <f t="shared" ref="F21" si="38">1/F20*1000000</f>
        <v>8421.0526315789466</v>
      </c>
      <c r="G21" s="6">
        <f t="shared" ref="G21" si="39">1/G20*1000000</f>
        <v>8510.6382978723414</v>
      </c>
      <c r="H21" s="6">
        <f t="shared" ref="H21" si="40">1/H20*1000000</f>
        <v>8602.1505376344085</v>
      </c>
      <c r="I21" s="6">
        <f t="shared" ref="I21" si="41">1/I20*1000000</f>
        <v>8695.652173913044</v>
      </c>
      <c r="J21" s="6">
        <f t="shared" ref="J21" si="42">1/J20*1000000</f>
        <v>8791.2087912087918</v>
      </c>
      <c r="K21" s="6">
        <f t="shared" ref="K21" si="43">1/K20*1000000</f>
        <v>8888.8888888888887</v>
      </c>
      <c r="L21" s="6">
        <f t="shared" ref="L21" si="44">1/L20*1000000</f>
        <v>8988.7640449438204</v>
      </c>
      <c r="M21" s="6">
        <f t="shared" ref="M21" si="45">1/M20*1000000</f>
        <v>9090.9090909090901</v>
      </c>
      <c r="N21" s="6">
        <f t="shared" ref="N21" si="46">1/N20*1000000</f>
        <v>9195.4022988505749</v>
      </c>
      <c r="O21" s="6">
        <f t="shared" ref="O21" si="47">1/O20*1000000</f>
        <v>9302.3255813953492</v>
      </c>
      <c r="P21" s="6">
        <f t="shared" ref="P21" si="48">1/P20*1000000</f>
        <v>9411.7647058823513</v>
      </c>
      <c r="Q21" s="6">
        <f t="shared" ref="Q21" si="49">1/Q20*1000000</f>
        <v>9523.8095238095248</v>
      </c>
      <c r="R21" s="6">
        <f t="shared" ref="R21" si="50">1/R20*1000000</f>
        <v>9638.554216867471</v>
      </c>
      <c r="S21" s="6">
        <f t="shared" ref="S21" si="51">1/S20*1000000</f>
        <v>9756.0975609756097</v>
      </c>
      <c r="T21" s="6">
        <f t="shared" ref="T21" si="52">1/T20*1000000</f>
        <v>9876.5432098765432</v>
      </c>
      <c r="U21" s="6">
        <f t="shared" ref="U21" si="53">1/U20*1000000</f>
        <v>10000</v>
      </c>
      <c r="V21" s="6">
        <f t="shared" ref="V21" si="54">1/V20*1000000</f>
        <v>10000</v>
      </c>
      <c r="W21" s="6">
        <f t="shared" ref="W21" si="55">1/W20*1000000</f>
        <v>10000</v>
      </c>
      <c r="X21" s="6">
        <f t="shared" ref="X21" si="56">1/X20*1000000</f>
        <v>10000</v>
      </c>
      <c r="Z21" s="2"/>
      <c r="AA21" s="2" t="s">
        <v>1</v>
      </c>
      <c r="AB21" s="6">
        <f>1/AB20*1000000</f>
        <v>8333.3333333333339</v>
      </c>
      <c r="AC21" s="6">
        <f>1/AC20*1000000</f>
        <v>8695.652173913044</v>
      </c>
      <c r="AD21" s="6">
        <f t="shared" ref="AD21" si="57">1/AD20*1000000</f>
        <v>9090.9090909090901</v>
      </c>
      <c r="AE21" s="6">
        <f t="shared" ref="AE21" si="58">1/AE20*1000000</f>
        <v>9523.8095238095248</v>
      </c>
      <c r="AF21" s="6">
        <f t="shared" ref="AF21" si="59">1/AF20*1000000</f>
        <v>10000</v>
      </c>
      <c r="AG21" s="6">
        <f t="shared" ref="AG21" si="60">1/AG20*1000000</f>
        <v>10000</v>
      </c>
    </row>
    <row r="22" spans="2:33" x14ac:dyDescent="0.45">
      <c r="B22" s="2" t="s">
        <v>25</v>
      </c>
      <c r="C22" s="2" t="s">
        <v>26</v>
      </c>
      <c r="D22" s="1">
        <v>12</v>
      </c>
      <c r="E22" s="182">
        <f>D22</f>
        <v>12</v>
      </c>
      <c r="F22" s="182">
        <f t="shared" ref="F22:X22" si="61">E22</f>
        <v>12</v>
      </c>
      <c r="G22" s="182">
        <f t="shared" si="61"/>
        <v>12</v>
      </c>
      <c r="H22" s="182">
        <f t="shared" si="61"/>
        <v>12</v>
      </c>
      <c r="I22" s="182">
        <f t="shared" si="61"/>
        <v>12</v>
      </c>
      <c r="J22" s="182">
        <f t="shared" si="61"/>
        <v>12</v>
      </c>
      <c r="K22" s="182">
        <f t="shared" si="61"/>
        <v>12</v>
      </c>
      <c r="L22" s="182">
        <f t="shared" si="61"/>
        <v>12</v>
      </c>
      <c r="M22" s="182">
        <f t="shared" si="61"/>
        <v>12</v>
      </c>
      <c r="N22" s="182">
        <f t="shared" si="61"/>
        <v>12</v>
      </c>
      <c r="O22" s="182">
        <f t="shared" si="61"/>
        <v>12</v>
      </c>
      <c r="P22" s="182">
        <f t="shared" si="61"/>
        <v>12</v>
      </c>
      <c r="Q22" s="182">
        <f t="shared" si="61"/>
        <v>12</v>
      </c>
      <c r="R22" s="182">
        <f t="shared" si="61"/>
        <v>12</v>
      </c>
      <c r="S22" s="182">
        <f t="shared" si="61"/>
        <v>12</v>
      </c>
      <c r="T22" s="182">
        <f t="shared" si="61"/>
        <v>12</v>
      </c>
      <c r="U22" s="182">
        <f t="shared" si="61"/>
        <v>12</v>
      </c>
      <c r="V22" s="182">
        <f t="shared" si="61"/>
        <v>12</v>
      </c>
      <c r="W22" s="182">
        <f t="shared" si="61"/>
        <v>12</v>
      </c>
      <c r="X22" s="182">
        <f t="shared" si="61"/>
        <v>12</v>
      </c>
      <c r="Z22" s="2" t="s">
        <v>25</v>
      </c>
      <c r="AA22" s="2" t="s">
        <v>26</v>
      </c>
      <c r="AB22" s="1">
        <v>14</v>
      </c>
      <c r="AC22" s="182">
        <f>AB22</f>
        <v>14</v>
      </c>
      <c r="AD22" s="182">
        <f t="shared" ref="AD22:AG22" si="62">AC22</f>
        <v>14</v>
      </c>
      <c r="AE22" s="182">
        <f t="shared" si="62"/>
        <v>14</v>
      </c>
      <c r="AF22" s="182">
        <f t="shared" si="62"/>
        <v>14</v>
      </c>
      <c r="AG22" s="182">
        <f t="shared" si="62"/>
        <v>14</v>
      </c>
    </row>
    <row r="23" spans="2:33" x14ac:dyDescent="0.45">
      <c r="B23" s="2"/>
      <c r="C23" s="61" t="s">
        <v>5</v>
      </c>
      <c r="D23">
        <f>2^$D$6-1</f>
        <v>4095</v>
      </c>
      <c r="E23">
        <f>2^$D$6-1</f>
        <v>4095</v>
      </c>
      <c r="F23">
        <f>2^$D$6-1</f>
        <v>4095</v>
      </c>
      <c r="G23">
        <f t="shared" ref="G23:X23" si="63">2^$D$6-1</f>
        <v>4095</v>
      </c>
      <c r="H23">
        <f t="shared" si="63"/>
        <v>4095</v>
      </c>
      <c r="I23">
        <f t="shared" si="63"/>
        <v>4095</v>
      </c>
      <c r="J23">
        <f t="shared" si="63"/>
        <v>4095</v>
      </c>
      <c r="K23">
        <f t="shared" si="63"/>
        <v>4095</v>
      </c>
      <c r="L23">
        <f t="shared" si="63"/>
        <v>4095</v>
      </c>
      <c r="M23">
        <f t="shared" si="63"/>
        <v>4095</v>
      </c>
      <c r="N23">
        <f t="shared" si="63"/>
        <v>4095</v>
      </c>
      <c r="O23">
        <f t="shared" si="63"/>
        <v>4095</v>
      </c>
      <c r="P23">
        <f t="shared" si="63"/>
        <v>4095</v>
      </c>
      <c r="Q23">
        <f t="shared" si="63"/>
        <v>4095</v>
      </c>
      <c r="R23">
        <f t="shared" si="63"/>
        <v>4095</v>
      </c>
      <c r="S23">
        <f t="shared" si="63"/>
        <v>4095</v>
      </c>
      <c r="T23">
        <f t="shared" si="63"/>
        <v>4095</v>
      </c>
      <c r="U23">
        <f>2^$D$6-1</f>
        <v>4095</v>
      </c>
      <c r="V23">
        <f t="shared" si="63"/>
        <v>4095</v>
      </c>
      <c r="W23">
        <f t="shared" si="63"/>
        <v>4095</v>
      </c>
      <c r="X23">
        <f t="shared" si="63"/>
        <v>4095</v>
      </c>
      <c r="Z23" s="2"/>
      <c r="AA23" s="61" t="s">
        <v>5</v>
      </c>
      <c r="AB23">
        <f t="shared" ref="AB23:AG23" si="64">2^$AB$22-1</f>
        <v>16383</v>
      </c>
      <c r="AC23">
        <f t="shared" si="64"/>
        <v>16383</v>
      </c>
      <c r="AD23">
        <f t="shared" si="64"/>
        <v>16383</v>
      </c>
      <c r="AE23">
        <f t="shared" si="64"/>
        <v>16383</v>
      </c>
      <c r="AF23">
        <f t="shared" si="64"/>
        <v>16383</v>
      </c>
      <c r="AG23">
        <f t="shared" si="64"/>
        <v>16383</v>
      </c>
    </row>
    <row r="24" spans="2:33" x14ac:dyDescent="0.45">
      <c r="B24" s="2"/>
      <c r="C24" s="62" t="s">
        <v>1</v>
      </c>
      <c r="D24" s="33">
        <f>D21/D23</f>
        <v>2.035002035002035</v>
      </c>
      <c r="E24" s="33">
        <f t="shared" ref="E24:X24" si="65">E21/E23</f>
        <v>2.035002035002035</v>
      </c>
      <c r="F24" s="33">
        <f t="shared" si="65"/>
        <v>2.0564231090546876</v>
      </c>
      <c r="G24" s="33">
        <f t="shared" si="65"/>
        <v>2.0782999506403765</v>
      </c>
      <c r="H24" s="33">
        <f t="shared" si="65"/>
        <v>2.1006472619375844</v>
      </c>
      <c r="I24" s="33">
        <f t="shared" si="65"/>
        <v>2.1234803843499499</v>
      </c>
      <c r="J24" s="33">
        <f t="shared" si="65"/>
        <v>2.1468153336285205</v>
      </c>
      <c r="K24" s="33">
        <f t="shared" si="65"/>
        <v>2.1706688373355041</v>
      </c>
      <c r="L24" s="33">
        <f t="shared" si="65"/>
        <v>2.1950583748336556</v>
      </c>
      <c r="M24" s="33">
        <f t="shared" si="65"/>
        <v>2.2200022200022196</v>
      </c>
      <c r="N24" s="33">
        <f t="shared" si="65"/>
        <v>2.2455194868987971</v>
      </c>
      <c r="O24" s="33">
        <f t="shared" si="65"/>
        <v>2.2716301786069231</v>
      </c>
      <c r="P24" s="33">
        <f t="shared" si="65"/>
        <v>2.2983552395317099</v>
      </c>
      <c r="Q24" s="33">
        <f t="shared" si="65"/>
        <v>2.3257166114308974</v>
      </c>
      <c r="R24" s="33">
        <f t="shared" si="65"/>
        <v>2.3537372934963301</v>
      </c>
      <c r="S24" s="33">
        <f t="shared" si="65"/>
        <v>2.3824414068316506</v>
      </c>
      <c r="T24" s="33">
        <f t="shared" si="65"/>
        <v>2.4118542637061156</v>
      </c>
      <c r="U24" s="33">
        <f t="shared" si="65"/>
        <v>2.4420024420024422</v>
      </c>
      <c r="V24" s="33">
        <f t="shared" si="65"/>
        <v>2.4420024420024422</v>
      </c>
      <c r="W24" s="33">
        <f t="shared" si="65"/>
        <v>2.4420024420024422</v>
      </c>
      <c r="X24" s="33">
        <f t="shared" si="65"/>
        <v>2.4420024420024422</v>
      </c>
      <c r="Z24" s="2"/>
      <c r="AA24" s="62" t="s">
        <v>1</v>
      </c>
      <c r="AB24" s="33">
        <f>AB21/AB23</f>
        <v>0.50865734806405016</v>
      </c>
      <c r="AC24" s="33">
        <f t="shared" ref="AC24:AG24" si="66">AC21/AC23</f>
        <v>0.53077288493640018</v>
      </c>
      <c r="AD24" s="33">
        <f t="shared" si="66"/>
        <v>0.55489892516078188</v>
      </c>
      <c r="AE24" s="33">
        <f t="shared" si="66"/>
        <v>0.58132268350177163</v>
      </c>
      <c r="AF24" s="33">
        <f t="shared" si="66"/>
        <v>0.61038881767686015</v>
      </c>
      <c r="AG24" s="33">
        <f t="shared" si="66"/>
        <v>0.61038881767686015</v>
      </c>
    </row>
    <row r="25" spans="2:33" x14ac:dyDescent="0.45">
      <c r="B25" s="2" t="s">
        <v>21</v>
      </c>
      <c r="C25" s="2" t="s">
        <v>5</v>
      </c>
      <c r="D25" s="11">
        <v>80</v>
      </c>
      <c r="E25" s="11">
        <f>D25</f>
        <v>80</v>
      </c>
      <c r="F25" s="11">
        <f>E25+1</f>
        <v>81</v>
      </c>
      <c r="G25" s="11">
        <f t="shared" ref="G25:U25" si="67">F25+1</f>
        <v>82</v>
      </c>
      <c r="H25" s="11">
        <f t="shared" si="67"/>
        <v>83</v>
      </c>
      <c r="I25" s="11">
        <f t="shared" si="67"/>
        <v>84</v>
      </c>
      <c r="J25" s="11">
        <f t="shared" si="67"/>
        <v>85</v>
      </c>
      <c r="K25" s="11">
        <f t="shared" si="67"/>
        <v>86</v>
      </c>
      <c r="L25" s="11">
        <f t="shared" si="67"/>
        <v>87</v>
      </c>
      <c r="M25" s="11">
        <f t="shared" si="67"/>
        <v>88</v>
      </c>
      <c r="N25" s="11">
        <f t="shared" si="67"/>
        <v>89</v>
      </c>
      <c r="O25" s="11">
        <f t="shared" si="67"/>
        <v>90</v>
      </c>
      <c r="P25" s="11">
        <f t="shared" si="67"/>
        <v>91</v>
      </c>
      <c r="Q25" s="11">
        <f t="shared" si="67"/>
        <v>92</v>
      </c>
      <c r="R25" s="11">
        <f t="shared" si="67"/>
        <v>93</v>
      </c>
      <c r="S25" s="11">
        <f t="shared" si="67"/>
        <v>94</v>
      </c>
      <c r="T25" s="11">
        <f t="shared" si="67"/>
        <v>95</v>
      </c>
      <c r="U25" s="11">
        <f t="shared" si="67"/>
        <v>96</v>
      </c>
      <c r="V25" s="11">
        <f>U25</f>
        <v>96</v>
      </c>
      <c r="W25" s="11">
        <f>V25</f>
        <v>96</v>
      </c>
      <c r="X25" s="11">
        <f>W25</f>
        <v>96</v>
      </c>
      <c r="Z25" s="2" t="s">
        <v>21</v>
      </c>
      <c r="AA25" s="2" t="s">
        <v>5</v>
      </c>
      <c r="AB25" s="11">
        <v>20</v>
      </c>
      <c r="AC25" s="11">
        <f>AB25+1</f>
        <v>21</v>
      </c>
      <c r="AD25" s="11">
        <f>AC25+1</f>
        <v>22</v>
      </c>
      <c r="AE25" s="11">
        <f t="shared" ref="AE25:AF25" si="68">AD25+1</f>
        <v>23</v>
      </c>
      <c r="AF25" s="11">
        <f t="shared" si="68"/>
        <v>24</v>
      </c>
      <c r="AG25" s="11">
        <f>AF25</f>
        <v>24</v>
      </c>
    </row>
    <row r="26" spans="2:33" x14ac:dyDescent="0.45">
      <c r="B26" s="2" t="s">
        <v>2</v>
      </c>
      <c r="C26" s="2" t="s">
        <v>0</v>
      </c>
      <c r="D26" s="352">
        <f>1/D27</f>
        <v>39.311999999999998</v>
      </c>
      <c r="E26" s="352">
        <f t="shared" ref="E26:X26" si="69">1/E27</f>
        <v>39.311999999999998</v>
      </c>
      <c r="F26" s="352">
        <f>1/F27</f>
        <v>39.388781250000008</v>
      </c>
      <c r="G26" s="352">
        <f t="shared" si="69"/>
        <v>39.455324999999995</v>
      </c>
      <c r="H26" s="352">
        <f t="shared" si="69"/>
        <v>39.511631250000001</v>
      </c>
      <c r="I26" s="352">
        <f t="shared" si="69"/>
        <v>39.557699999999997</v>
      </c>
      <c r="J26" s="352">
        <f t="shared" si="69"/>
        <v>39.593531249999998</v>
      </c>
      <c r="K26" s="352">
        <f t="shared" si="69"/>
        <v>39.619124999999997</v>
      </c>
      <c r="L26" s="352">
        <f t="shared" si="69"/>
        <v>39.634481250000007</v>
      </c>
      <c r="M26" s="353">
        <f t="shared" si="69"/>
        <v>39.639600000000002</v>
      </c>
      <c r="N26" s="352">
        <f t="shared" si="69"/>
        <v>39.634481250000007</v>
      </c>
      <c r="O26" s="352">
        <f t="shared" si="69"/>
        <v>39.619124999999997</v>
      </c>
      <c r="P26" s="352">
        <f t="shared" si="69"/>
        <v>39.593531250000005</v>
      </c>
      <c r="Q26" s="352">
        <f t="shared" si="69"/>
        <v>39.557699999999997</v>
      </c>
      <c r="R26" s="352">
        <f t="shared" si="69"/>
        <v>39.511631249999994</v>
      </c>
      <c r="S26" s="352">
        <f t="shared" si="69"/>
        <v>39.455325000000002</v>
      </c>
      <c r="T26" s="352">
        <f t="shared" si="69"/>
        <v>39.388781250000001</v>
      </c>
      <c r="U26" s="352">
        <f t="shared" si="69"/>
        <v>39.311999999999998</v>
      </c>
      <c r="V26" s="352">
        <f t="shared" si="69"/>
        <v>39.311999999999998</v>
      </c>
      <c r="W26" s="352">
        <f t="shared" si="69"/>
        <v>39.311999999999998</v>
      </c>
      <c r="X26" s="352">
        <f t="shared" si="69"/>
        <v>39.311999999999998</v>
      </c>
      <c r="Z26" s="2" t="s">
        <v>2</v>
      </c>
      <c r="AA26" s="2" t="s">
        <v>0</v>
      </c>
      <c r="AB26" s="352">
        <f>1/AB27</f>
        <v>39.319200000000002</v>
      </c>
      <c r="AC26" s="352">
        <f t="shared" ref="AC26:AG26" si="70">1/AC27</f>
        <v>39.564945000000002</v>
      </c>
      <c r="AD26" s="353">
        <f>1/AD27</f>
        <v>39.646860000000004</v>
      </c>
      <c r="AE26" s="352">
        <f t="shared" si="70"/>
        <v>39.564945000000002</v>
      </c>
      <c r="AF26" s="352">
        <f t="shared" si="70"/>
        <v>39.319200000000002</v>
      </c>
      <c r="AG26" s="352">
        <f t="shared" si="70"/>
        <v>39.319200000000002</v>
      </c>
    </row>
    <row r="27" spans="2:33" x14ac:dyDescent="0.45">
      <c r="B27" s="2"/>
      <c r="C27" s="2" t="s">
        <v>1</v>
      </c>
      <c r="D27" s="33">
        <f>D21/D23/D25</f>
        <v>2.5437525437525439E-2</v>
      </c>
      <c r="E27" s="33">
        <f t="shared" ref="E27:X27" si="71">E21/E23/E25</f>
        <v>2.5437525437525439E-2</v>
      </c>
      <c r="F27" s="33">
        <f t="shared" si="71"/>
        <v>2.5387939617959106E-2</v>
      </c>
      <c r="G27" s="33">
        <f t="shared" si="71"/>
        <v>2.5345121349272883E-2</v>
      </c>
      <c r="H27" s="33">
        <f t="shared" si="71"/>
        <v>2.5309003155874511E-2</v>
      </c>
      <c r="I27" s="33">
        <f t="shared" si="71"/>
        <v>2.527952838511845E-2</v>
      </c>
      <c r="J27" s="33">
        <f t="shared" si="71"/>
        <v>2.5256650983864946E-2</v>
      </c>
      <c r="K27" s="33">
        <f t="shared" si="71"/>
        <v>2.52403353178547E-2</v>
      </c>
      <c r="L27" s="33">
        <f t="shared" si="71"/>
        <v>2.5230556032570753E-2</v>
      </c>
      <c r="M27" s="33">
        <f t="shared" si="71"/>
        <v>2.5227297954570679E-2</v>
      </c>
      <c r="N27" s="33">
        <f t="shared" si="71"/>
        <v>2.5230556032570753E-2</v>
      </c>
      <c r="O27" s="33">
        <f t="shared" si="71"/>
        <v>2.52403353178547E-2</v>
      </c>
      <c r="P27" s="33">
        <f t="shared" si="71"/>
        <v>2.5256650983864943E-2</v>
      </c>
      <c r="Q27" s="33">
        <f t="shared" si="71"/>
        <v>2.527952838511845E-2</v>
      </c>
      <c r="R27" s="33">
        <f t="shared" si="71"/>
        <v>2.5309003155874518E-2</v>
      </c>
      <c r="S27" s="33">
        <f t="shared" si="71"/>
        <v>2.534512134927288E-2</v>
      </c>
      <c r="T27" s="33">
        <f t="shared" si="71"/>
        <v>2.5387939617959113E-2</v>
      </c>
      <c r="U27" s="33">
        <f t="shared" si="71"/>
        <v>2.5437525437525439E-2</v>
      </c>
      <c r="V27" s="33">
        <f t="shared" si="71"/>
        <v>2.5437525437525439E-2</v>
      </c>
      <c r="W27" s="33">
        <f t="shared" si="71"/>
        <v>2.5437525437525439E-2</v>
      </c>
      <c r="X27" s="33">
        <f t="shared" si="71"/>
        <v>2.5437525437525439E-2</v>
      </c>
      <c r="Z27" s="2"/>
      <c r="AA27" s="2" t="s">
        <v>1</v>
      </c>
      <c r="AB27" s="33">
        <f>AB21/AB23/AB25</f>
        <v>2.5432867403202507E-2</v>
      </c>
      <c r="AC27" s="33">
        <f t="shared" ref="AC27:AG27" si="72">AC21/AC23/AC25</f>
        <v>2.5274899282685722E-2</v>
      </c>
      <c r="AD27" s="33">
        <f t="shared" si="72"/>
        <v>2.5222678416399177E-2</v>
      </c>
      <c r="AE27" s="33">
        <f t="shared" si="72"/>
        <v>2.5274899282685722E-2</v>
      </c>
      <c r="AF27" s="33">
        <f t="shared" si="72"/>
        <v>2.5432867403202507E-2</v>
      </c>
      <c r="AG27" s="33">
        <f t="shared" si="72"/>
        <v>2.5432867403202507E-2</v>
      </c>
    </row>
    <row r="28" spans="2:33" x14ac:dyDescent="0.45">
      <c r="B28" s="2" t="s">
        <v>1211</v>
      </c>
      <c r="C28" s="2" t="s">
        <v>1142</v>
      </c>
      <c r="E28" s="4">
        <f>(E26-D26)/D26</f>
        <v>0</v>
      </c>
      <c r="F28" s="4">
        <f t="shared" ref="F28:X28" si="73">(F26-E26)/E26</f>
        <v>1.9531250000002663E-3</v>
      </c>
      <c r="G28" s="4">
        <f t="shared" si="73"/>
        <v>1.6894087069522312E-3</v>
      </c>
      <c r="H28" s="4">
        <f t="shared" si="73"/>
        <v>1.4270887389726426E-3</v>
      </c>
      <c r="I28" s="4">
        <f t="shared" si="73"/>
        <v>1.165954139137101E-3</v>
      </c>
      <c r="J28" s="4">
        <f t="shared" si="73"/>
        <v>9.0579710144930302E-4</v>
      </c>
      <c r="K28" s="4">
        <f t="shared" si="73"/>
        <v>6.464124111182619E-4</v>
      </c>
      <c r="L28" s="4">
        <f t="shared" si="73"/>
        <v>3.8759689922507427E-4</v>
      </c>
      <c r="M28" s="4">
        <f t="shared" si="73"/>
        <v>1.2914890869157179E-4</v>
      </c>
      <c r="N28" s="4">
        <f t="shared" si="73"/>
        <v>-1.2913223140480895E-4</v>
      </c>
      <c r="O28" s="4">
        <f t="shared" si="73"/>
        <v>-3.8744672607543247E-4</v>
      </c>
      <c r="P28" s="4">
        <f t="shared" si="73"/>
        <v>-6.4599483204113282E-4</v>
      </c>
      <c r="Q28" s="4">
        <f t="shared" si="73"/>
        <v>-9.0497737556581776E-4</v>
      </c>
      <c r="R28" s="4">
        <f t="shared" si="73"/>
        <v>-1.1645962732920124E-3</v>
      </c>
      <c r="S28" s="4">
        <f t="shared" si="73"/>
        <v>-1.425055058945246E-3</v>
      </c>
      <c r="T28" s="4">
        <f t="shared" si="73"/>
        <v>-1.6865594187857027E-3</v>
      </c>
      <c r="U28" s="4">
        <f t="shared" si="73"/>
        <v>-1.9493177387915081E-3</v>
      </c>
      <c r="V28" s="4">
        <f t="shared" si="73"/>
        <v>0</v>
      </c>
      <c r="W28" s="4">
        <f t="shared" si="73"/>
        <v>0</v>
      </c>
      <c r="X28" s="4">
        <f t="shared" si="73"/>
        <v>0</v>
      </c>
      <c r="Z28" s="2" t="s">
        <v>1211</v>
      </c>
      <c r="AA28" s="2" t="s">
        <v>1142</v>
      </c>
      <c r="AB28" s="4"/>
      <c r="AC28" s="4">
        <f>(AC26-AB26)/$AB$26</f>
        <v>6.2499999999999856E-3</v>
      </c>
      <c r="AD28" s="4">
        <f>(AD26-AC26)/$AB$26</f>
        <v>2.0833333333333888E-3</v>
      </c>
      <c r="AE28" s="4">
        <f>(AE26-AD26)/$AB$26</f>
        <v>-2.0833333333333888E-3</v>
      </c>
      <c r="AF28" s="4">
        <f>(AF26-AE26)/$AB$26</f>
        <v>-6.2499999999999856E-3</v>
      </c>
      <c r="AG28" s="4">
        <f>(AG26-AF26)/$AB$26</f>
        <v>0</v>
      </c>
    </row>
    <row r="29" spans="2:33" x14ac:dyDescent="0.45">
      <c r="B29" s="2" t="s">
        <v>1212</v>
      </c>
      <c r="C29" s="2" t="s">
        <v>1142</v>
      </c>
      <c r="D29" s="4">
        <f>(D26-$D$26)/$D$26</f>
        <v>0</v>
      </c>
      <c r="E29" s="4">
        <f>(E26-$D$26)/$D$26</f>
        <v>0</v>
      </c>
      <c r="F29" s="4">
        <f t="shared" ref="F29:X29" si="74">(F26-$D$26)/$D$26</f>
        <v>1.9531250000002663E-3</v>
      </c>
      <c r="G29" s="4">
        <f t="shared" si="74"/>
        <v>3.645833333333264E-3</v>
      </c>
      <c r="H29" s="4">
        <f t="shared" si="74"/>
        <v>5.0781250000000774E-3</v>
      </c>
      <c r="I29" s="4">
        <f t="shared" si="74"/>
        <v>6.2499999999999839E-3</v>
      </c>
      <c r="J29" s="4">
        <f t="shared" si="74"/>
        <v>7.1614583333333452E-3</v>
      </c>
      <c r="K29" s="4">
        <f t="shared" si="74"/>
        <v>7.8124999999999801E-3</v>
      </c>
      <c r="L29" s="4">
        <f t="shared" si="74"/>
        <v>8.2031250000002501E-3</v>
      </c>
      <c r="M29" s="9">
        <f t="shared" si="74"/>
        <v>8.3333333333334321E-3</v>
      </c>
      <c r="N29" s="4">
        <f t="shared" si="74"/>
        <v>8.2031250000002501E-3</v>
      </c>
      <c r="O29" s="4">
        <f t="shared" si="74"/>
        <v>7.8124999999999801E-3</v>
      </c>
      <c r="P29" s="4">
        <f t="shared" si="74"/>
        <v>7.1614583333335265E-3</v>
      </c>
      <c r="Q29" s="4">
        <f t="shared" si="74"/>
        <v>6.2499999999999839E-3</v>
      </c>
      <c r="R29" s="4">
        <f t="shared" si="74"/>
        <v>5.078124999999897E-3</v>
      </c>
      <c r="S29" s="4">
        <f t="shared" si="74"/>
        <v>3.6458333333334444E-3</v>
      </c>
      <c r="T29" s="4">
        <f t="shared" si="74"/>
        <v>1.9531250000000854E-3</v>
      </c>
      <c r="U29" s="4">
        <f t="shared" si="74"/>
        <v>0</v>
      </c>
      <c r="V29" s="4">
        <f t="shared" si="74"/>
        <v>0</v>
      </c>
      <c r="W29" s="4">
        <f t="shared" si="74"/>
        <v>0</v>
      </c>
      <c r="X29" s="4">
        <f t="shared" si="74"/>
        <v>0</v>
      </c>
      <c r="Z29" s="2" t="s">
        <v>1212</v>
      </c>
      <c r="AA29" s="2" t="s">
        <v>1142</v>
      </c>
      <c r="AB29" s="4">
        <f t="shared" ref="AB29:AG29" si="75">(AB26-$AB$26)/$AB$26</f>
        <v>0</v>
      </c>
      <c r="AC29" s="4">
        <f t="shared" si="75"/>
        <v>6.2499999999999856E-3</v>
      </c>
      <c r="AD29" s="9">
        <f t="shared" si="75"/>
        <v>8.3333333333333749E-3</v>
      </c>
      <c r="AE29" s="4">
        <f t="shared" si="75"/>
        <v>6.2499999999999856E-3</v>
      </c>
      <c r="AF29" s="4">
        <f t="shared" si="75"/>
        <v>0</v>
      </c>
      <c r="AG29" s="4">
        <f t="shared" si="75"/>
        <v>0</v>
      </c>
    </row>
    <row r="30" spans="2:33" x14ac:dyDescent="0.45">
      <c r="B30" s="2"/>
      <c r="C30" s="2"/>
      <c r="Z30" s="2"/>
      <c r="AA30" s="2"/>
    </row>
    <row r="31" spans="2:33" x14ac:dyDescent="0.45">
      <c r="B31" s="2" t="s">
        <v>11</v>
      </c>
      <c r="C31" s="2" t="s">
        <v>5</v>
      </c>
      <c r="D31" s="349">
        <f t="shared" ref="D31:X31" si="76">(D21/D27)+(D21/D27)*$B$32</f>
        <v>327600</v>
      </c>
      <c r="E31" s="349">
        <f t="shared" si="76"/>
        <v>327600</v>
      </c>
      <c r="F31" s="349">
        <f t="shared" si="76"/>
        <v>331695.00000000006</v>
      </c>
      <c r="G31" s="349">
        <f t="shared" si="76"/>
        <v>335790</v>
      </c>
      <c r="H31" s="349">
        <f t="shared" si="76"/>
        <v>339885</v>
      </c>
      <c r="I31" s="349">
        <f t="shared" si="76"/>
        <v>343980</v>
      </c>
      <c r="J31" s="349">
        <f t="shared" si="76"/>
        <v>348075</v>
      </c>
      <c r="K31" s="349">
        <f t="shared" si="76"/>
        <v>352169.99999999994</v>
      </c>
      <c r="L31" s="349">
        <f t="shared" si="76"/>
        <v>356265.00000000006</v>
      </c>
      <c r="M31" s="349">
        <f t="shared" si="76"/>
        <v>360360</v>
      </c>
      <c r="N31" s="349">
        <f t="shared" si="76"/>
        <v>364455.00000000006</v>
      </c>
      <c r="O31" s="349">
        <f t="shared" si="76"/>
        <v>368550</v>
      </c>
      <c r="P31" s="349">
        <f t="shared" si="76"/>
        <v>372645</v>
      </c>
      <c r="Q31" s="349">
        <f t="shared" si="76"/>
        <v>376740</v>
      </c>
      <c r="R31" s="349">
        <f t="shared" si="76"/>
        <v>380834.99999999994</v>
      </c>
      <c r="S31" s="349">
        <f t="shared" si="76"/>
        <v>384930</v>
      </c>
      <c r="T31" s="349">
        <f t="shared" si="76"/>
        <v>389025</v>
      </c>
      <c r="U31" s="349">
        <f t="shared" si="76"/>
        <v>393120</v>
      </c>
      <c r="V31" s="349">
        <f t="shared" si="76"/>
        <v>393120</v>
      </c>
      <c r="W31" s="349">
        <f t="shared" si="76"/>
        <v>393120</v>
      </c>
      <c r="X31" s="349">
        <f t="shared" si="76"/>
        <v>393120</v>
      </c>
      <c r="Z31" s="2" t="s">
        <v>11</v>
      </c>
      <c r="AA31" s="2" t="s">
        <v>5</v>
      </c>
      <c r="AB31" s="349">
        <f t="shared" ref="AB31:AG31" si="77">(AB21/AB27)+(AB21/AB27)*$Z$32</f>
        <v>327660</v>
      </c>
      <c r="AC31" s="349">
        <f t="shared" si="77"/>
        <v>344043</v>
      </c>
      <c r="AD31" s="349">
        <f t="shared" si="77"/>
        <v>360426</v>
      </c>
      <c r="AE31" s="349">
        <f t="shared" si="77"/>
        <v>376809</v>
      </c>
      <c r="AF31" s="349">
        <f t="shared" si="77"/>
        <v>393192</v>
      </c>
      <c r="AG31" s="349">
        <f t="shared" si="77"/>
        <v>393192</v>
      </c>
    </row>
    <row r="32" spans="2:33" x14ac:dyDescent="0.45">
      <c r="B32" s="551">
        <f>B16</f>
        <v>0</v>
      </c>
      <c r="C32" s="2" t="s">
        <v>5</v>
      </c>
      <c r="D32" s="1" t="str">
        <f>DEC2HEX(D31)</f>
        <v>4FFB0</v>
      </c>
      <c r="E32" s="1" t="str">
        <f t="shared" ref="E32:X32" si="78">DEC2HEX(E31)</f>
        <v>4FFB0</v>
      </c>
      <c r="F32" s="1" t="str">
        <f t="shared" si="78"/>
        <v>50FAF</v>
      </c>
      <c r="G32" s="1" t="str">
        <f t="shared" si="78"/>
        <v>51FAE</v>
      </c>
      <c r="H32" s="1" t="str">
        <f t="shared" si="78"/>
        <v>52FAD</v>
      </c>
      <c r="I32" s="1" t="str">
        <f t="shared" si="78"/>
        <v>53FAC</v>
      </c>
      <c r="J32" s="1" t="str">
        <f t="shared" si="78"/>
        <v>54FAB</v>
      </c>
      <c r="K32" s="1" t="str">
        <f t="shared" si="78"/>
        <v>55FA9</v>
      </c>
      <c r="L32" s="1" t="str">
        <f t="shared" si="78"/>
        <v>56FA9</v>
      </c>
      <c r="M32" s="1" t="str">
        <f t="shared" si="78"/>
        <v>57FA8</v>
      </c>
      <c r="N32" s="1" t="str">
        <f t="shared" si="78"/>
        <v>58FA7</v>
      </c>
      <c r="O32" s="1" t="str">
        <f t="shared" si="78"/>
        <v>59FA6</v>
      </c>
      <c r="P32" s="1" t="str">
        <f t="shared" si="78"/>
        <v>5AFA5</v>
      </c>
      <c r="Q32" s="1" t="str">
        <f t="shared" si="78"/>
        <v>5BFA4</v>
      </c>
      <c r="R32" s="1" t="str">
        <f t="shared" si="78"/>
        <v>5CFA2</v>
      </c>
      <c r="S32" s="1" t="str">
        <f t="shared" si="78"/>
        <v>5DFA2</v>
      </c>
      <c r="T32" s="1" t="str">
        <f t="shared" si="78"/>
        <v>5EFA1</v>
      </c>
      <c r="U32" s="1" t="str">
        <f t="shared" si="78"/>
        <v>5FFA0</v>
      </c>
      <c r="V32" s="1" t="str">
        <f t="shared" si="78"/>
        <v>5FFA0</v>
      </c>
      <c r="W32" s="1" t="str">
        <f t="shared" si="78"/>
        <v>5FFA0</v>
      </c>
      <c r="X32" s="1" t="str">
        <f t="shared" si="78"/>
        <v>5FFA0</v>
      </c>
      <c r="Z32" s="551">
        <f>Z16</f>
        <v>0</v>
      </c>
      <c r="AA32" s="2" t="s">
        <v>12</v>
      </c>
      <c r="AB32" s="1" t="str">
        <f>DEC2HEX(AB31)</f>
        <v>4FFEC</v>
      </c>
      <c r="AC32" s="1" t="str">
        <f t="shared" ref="AC32:AG32" si="79">DEC2HEX(AC31)</f>
        <v>53FEB</v>
      </c>
      <c r="AD32" s="1" t="str">
        <f t="shared" si="79"/>
        <v>57FEA</v>
      </c>
      <c r="AE32" s="1" t="str">
        <f t="shared" si="79"/>
        <v>5BFE9</v>
      </c>
      <c r="AF32" s="1" t="str">
        <f t="shared" si="79"/>
        <v>5FFE8</v>
      </c>
      <c r="AG32" s="1" t="str">
        <f t="shared" si="79"/>
        <v>5FFE8</v>
      </c>
    </row>
    <row r="33" spans="2:33" x14ac:dyDescent="0.45">
      <c r="B33" s="2"/>
      <c r="C33" s="2" t="s">
        <v>12</v>
      </c>
      <c r="D33" s="4">
        <f>(D31-$D$31)/$D$31</f>
        <v>0</v>
      </c>
      <c r="E33" s="4">
        <f t="shared" ref="E33:X33" si="80">(E31-$D$31)/$D$31</f>
        <v>0</v>
      </c>
      <c r="F33" s="4">
        <f t="shared" si="80"/>
        <v>1.2500000000000178E-2</v>
      </c>
      <c r="G33" s="4">
        <f t="shared" si="80"/>
        <v>2.5000000000000001E-2</v>
      </c>
      <c r="H33" s="4">
        <f t="shared" si="80"/>
        <v>3.7499999999999999E-2</v>
      </c>
      <c r="I33" s="4">
        <f t="shared" si="80"/>
        <v>0.05</v>
      </c>
      <c r="J33" s="4">
        <f t="shared" si="80"/>
        <v>6.25E-2</v>
      </c>
      <c r="K33" s="4">
        <f t="shared" si="80"/>
        <v>7.4999999999999817E-2</v>
      </c>
      <c r="L33" s="4">
        <f t="shared" si="80"/>
        <v>8.7500000000000175E-2</v>
      </c>
      <c r="M33" s="4">
        <f t="shared" si="80"/>
        <v>0.1</v>
      </c>
      <c r="N33" s="4">
        <f t="shared" si="80"/>
        <v>0.11250000000000018</v>
      </c>
      <c r="O33" s="4">
        <f t="shared" si="80"/>
        <v>0.125</v>
      </c>
      <c r="P33" s="4">
        <f t="shared" si="80"/>
        <v>0.13750000000000001</v>
      </c>
      <c r="Q33" s="4">
        <f t="shared" si="80"/>
        <v>0.15</v>
      </c>
      <c r="R33" s="4">
        <f t="shared" si="80"/>
        <v>0.16249999999999981</v>
      </c>
      <c r="S33" s="4">
        <f t="shared" si="80"/>
        <v>0.17499999999999999</v>
      </c>
      <c r="T33" s="4">
        <f t="shared" si="80"/>
        <v>0.1875</v>
      </c>
      <c r="U33" s="4">
        <f t="shared" si="80"/>
        <v>0.2</v>
      </c>
      <c r="V33" s="4">
        <f t="shared" si="80"/>
        <v>0.2</v>
      </c>
      <c r="W33" s="4">
        <f t="shared" si="80"/>
        <v>0.2</v>
      </c>
      <c r="X33" s="4">
        <f t="shared" si="80"/>
        <v>0.2</v>
      </c>
      <c r="Z33" s="2" t="s">
        <v>1212</v>
      </c>
      <c r="AA33" s="2" t="s">
        <v>1142</v>
      </c>
      <c r="AB33" s="4">
        <f>(AB31-$AB$31)/$AB$31</f>
        <v>0</v>
      </c>
      <c r="AC33" s="4">
        <f t="shared" ref="AC33:AG33" si="81">(AC31-$AB$31)/$AB$31</f>
        <v>0.05</v>
      </c>
      <c r="AD33" s="4">
        <f t="shared" si="81"/>
        <v>0.1</v>
      </c>
      <c r="AE33" s="4">
        <f t="shared" si="81"/>
        <v>0.15</v>
      </c>
      <c r="AF33" s="4">
        <f>(AF31-$AB$31)/$AB$31</f>
        <v>0.2</v>
      </c>
      <c r="AG33" s="4">
        <f t="shared" si="81"/>
        <v>0.2</v>
      </c>
    </row>
    <row r="35" spans="2:33" x14ac:dyDescent="0.45">
      <c r="C35" s="1"/>
      <c r="D35" s="1"/>
      <c r="Z35" s="7"/>
    </row>
    <row r="36" spans="2:33" x14ac:dyDescent="0.45">
      <c r="C36" s="1"/>
      <c r="D36" s="1"/>
    </row>
    <row r="37" spans="2:33" x14ac:dyDescent="0.45">
      <c r="C37" s="1"/>
      <c r="D37" s="1"/>
    </row>
    <row r="38" spans="2:33" x14ac:dyDescent="0.45">
      <c r="C38" s="1"/>
      <c r="D38" s="1"/>
    </row>
  </sheetData>
  <phoneticPr fontId="2" type="noConversion"/>
  <pageMargins left="0.7" right="0.7" top="0.75" bottom="0.75" header="0.3" footer="0.3"/>
  <pageSetup paperSize="9" orientation="portrait" r:id="rId1"/>
  <ignoredErrors>
    <ignoredError sqref="V5:X5 AG5 V21:X21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F183-91F4-4202-9AD2-4C3CEBD70209}">
  <sheetPr>
    <tabColor theme="1"/>
  </sheetPr>
  <dimension ref="B2:ES72"/>
  <sheetViews>
    <sheetView showGridLines="0" zoomScaleNormal="100" workbookViewId="0"/>
  </sheetViews>
  <sheetFormatPr defaultColWidth="8.6640625" defaultRowHeight="17" x14ac:dyDescent="0.45"/>
  <cols>
    <col min="1" max="1" width="8.6640625" style="118"/>
    <col min="2" max="2" width="14.6640625" style="1" bestFit="1" customWidth="1"/>
    <col min="3" max="3" width="9.1640625" style="1" bestFit="1" customWidth="1"/>
    <col min="4" max="4" width="1.83203125" style="358" customWidth="1"/>
    <col min="5" max="149" width="1.83203125" style="359" customWidth="1"/>
    <col min="150" max="16384" width="8.6640625" style="118"/>
  </cols>
  <sheetData>
    <row r="2" spans="2:149" x14ac:dyDescent="0.45">
      <c r="B2" s="348" t="s">
        <v>1206</v>
      </c>
    </row>
    <row r="3" spans="2:149" x14ac:dyDescent="0.45">
      <c r="B3" s="350">
        <f>mclk_transition1!X15</f>
        <v>327600</v>
      </c>
      <c r="C3" s="350">
        <f>mclk_transition1!D15</f>
        <v>393120</v>
      </c>
    </row>
    <row r="4" spans="2:149" s="5" customFormat="1" x14ac:dyDescent="0.45">
      <c r="B4" s="227" t="s">
        <v>1215</v>
      </c>
      <c r="C4" s="227" t="s">
        <v>1189</v>
      </c>
      <c r="D4" s="360"/>
      <c r="E4" s="360"/>
      <c r="F4" s="697" t="s">
        <v>1216</v>
      </c>
      <c r="G4" s="698"/>
      <c r="H4" s="698"/>
      <c r="I4" s="699"/>
      <c r="J4" s="690">
        <v>3</v>
      </c>
      <c r="K4" s="690"/>
      <c r="L4" s="690"/>
      <c r="M4" s="690"/>
      <c r="N4" s="690">
        <v>3</v>
      </c>
      <c r="O4" s="690"/>
      <c r="P4" s="690"/>
      <c r="Q4" s="690"/>
      <c r="R4" s="690">
        <v>3</v>
      </c>
      <c r="S4" s="690"/>
      <c r="T4" s="690"/>
      <c r="U4" s="690"/>
      <c r="V4" s="690">
        <v>3</v>
      </c>
      <c r="W4" s="690"/>
      <c r="X4" s="690"/>
      <c r="Y4" s="690"/>
      <c r="Z4" s="690">
        <v>3</v>
      </c>
      <c r="AA4" s="690"/>
      <c r="AB4" s="690"/>
      <c r="AC4" s="690"/>
      <c r="AD4" s="690">
        <v>3</v>
      </c>
      <c r="AE4" s="690"/>
      <c r="AF4" s="690"/>
      <c r="AG4" s="690"/>
      <c r="AH4" s="690">
        <v>3</v>
      </c>
      <c r="AI4" s="690"/>
      <c r="AJ4" s="690"/>
      <c r="AK4" s="690"/>
      <c r="AL4" s="690">
        <v>3</v>
      </c>
      <c r="AM4" s="690"/>
      <c r="AN4" s="690"/>
      <c r="AO4" s="690"/>
      <c r="AP4" s="690">
        <v>3</v>
      </c>
      <c r="AQ4" s="690"/>
      <c r="AR4" s="690"/>
      <c r="AS4" s="690"/>
      <c r="AT4" s="690">
        <v>1</v>
      </c>
      <c r="AU4" s="690"/>
      <c r="AV4" s="690"/>
      <c r="AW4" s="690"/>
      <c r="AX4" s="690">
        <v>1</v>
      </c>
      <c r="AY4" s="690"/>
      <c r="AZ4" s="690"/>
      <c r="BA4" s="690"/>
      <c r="BB4" s="690">
        <v>1</v>
      </c>
      <c r="BC4" s="690"/>
      <c r="BD4" s="690"/>
      <c r="BE4" s="690"/>
      <c r="BF4" s="690">
        <v>1</v>
      </c>
      <c r="BG4" s="690"/>
      <c r="BH4" s="690"/>
      <c r="BI4" s="690"/>
      <c r="BJ4" s="690">
        <v>1</v>
      </c>
      <c r="BK4" s="690"/>
      <c r="BL4" s="690"/>
      <c r="BM4" s="690"/>
      <c r="BN4" s="690">
        <v>1</v>
      </c>
      <c r="BO4" s="690"/>
      <c r="BP4" s="690"/>
      <c r="BQ4" s="690"/>
      <c r="BR4" s="690">
        <v>1</v>
      </c>
      <c r="BS4" s="690"/>
      <c r="BT4" s="690"/>
      <c r="BU4" s="690"/>
      <c r="BV4" s="690">
        <v>1</v>
      </c>
      <c r="BW4" s="690"/>
      <c r="BX4" s="690"/>
      <c r="BY4" s="690"/>
      <c r="BZ4" s="690">
        <v>1</v>
      </c>
      <c r="CA4" s="690"/>
      <c r="CB4" s="690"/>
      <c r="CC4" s="690"/>
      <c r="CD4" s="690">
        <v>1</v>
      </c>
      <c r="CE4" s="690"/>
      <c r="CF4" s="690"/>
      <c r="CG4" s="690"/>
      <c r="CH4" s="690">
        <v>1</v>
      </c>
      <c r="CI4" s="690"/>
      <c r="CJ4" s="690"/>
      <c r="CK4" s="690"/>
      <c r="CL4" s="690">
        <v>1</v>
      </c>
      <c r="CM4" s="690"/>
      <c r="CN4" s="690"/>
      <c r="CO4" s="690"/>
      <c r="CP4" s="690">
        <v>1</v>
      </c>
      <c r="CQ4" s="690"/>
      <c r="CR4" s="690"/>
      <c r="CS4" s="690"/>
      <c r="CT4" s="690">
        <v>1</v>
      </c>
      <c r="CU4" s="690"/>
      <c r="CV4" s="690"/>
      <c r="CW4" s="690"/>
      <c r="CX4" s="690">
        <v>1</v>
      </c>
      <c r="CY4" s="690"/>
      <c r="CZ4" s="690"/>
      <c r="DA4" s="690"/>
      <c r="DB4" s="690">
        <v>1</v>
      </c>
      <c r="DC4" s="690"/>
      <c r="DD4" s="690"/>
      <c r="DE4" s="690"/>
      <c r="DF4" s="690">
        <v>1</v>
      </c>
      <c r="DG4" s="690"/>
      <c r="DH4" s="690"/>
      <c r="DI4" s="690"/>
      <c r="DJ4" s="690">
        <v>3</v>
      </c>
      <c r="DK4" s="690"/>
      <c r="DL4" s="690"/>
      <c r="DM4" s="690"/>
      <c r="DN4" s="690">
        <v>3</v>
      </c>
      <c r="DO4" s="690"/>
      <c r="DP4" s="690"/>
      <c r="DQ4" s="690"/>
      <c r="DR4" s="690">
        <v>3</v>
      </c>
      <c r="DS4" s="690"/>
      <c r="DT4" s="690"/>
      <c r="DU4" s="690"/>
      <c r="DV4" s="690">
        <v>3</v>
      </c>
      <c r="DW4" s="690"/>
      <c r="DX4" s="690"/>
      <c r="DY4" s="690"/>
      <c r="DZ4" s="690">
        <v>3</v>
      </c>
      <c r="EA4" s="690"/>
      <c r="EB4" s="690"/>
      <c r="EC4" s="690"/>
      <c r="ED4" s="690">
        <v>3</v>
      </c>
      <c r="EE4" s="690"/>
      <c r="EF4" s="690"/>
      <c r="EG4" s="690"/>
      <c r="EH4" s="690">
        <v>3</v>
      </c>
      <c r="EI4" s="690"/>
      <c r="EJ4" s="690"/>
      <c r="EK4" s="690"/>
      <c r="EL4" s="690">
        <v>3</v>
      </c>
      <c r="EM4" s="690"/>
      <c r="EN4" s="690"/>
      <c r="EO4" s="690"/>
      <c r="EP4" s="697" t="s">
        <v>1210</v>
      </c>
      <c r="EQ4" s="698"/>
      <c r="ER4" s="698"/>
      <c r="ES4" s="699"/>
    </row>
    <row r="5" spans="2:149" x14ac:dyDescent="0.45">
      <c r="B5" s="227"/>
      <c r="C5" s="227" t="s">
        <v>13</v>
      </c>
      <c r="E5" s="361"/>
      <c r="F5" s="362"/>
      <c r="G5" s="363"/>
      <c r="H5" s="363"/>
      <c r="I5" s="363"/>
      <c r="J5" s="364"/>
      <c r="K5" s="361"/>
      <c r="L5" s="361"/>
      <c r="M5" s="361"/>
      <c r="N5" s="364"/>
      <c r="O5" s="361"/>
      <c r="P5" s="361"/>
      <c r="Q5" s="361"/>
      <c r="R5" s="364"/>
      <c r="S5" s="361"/>
      <c r="T5" s="361"/>
      <c r="U5" s="361"/>
      <c r="V5" s="364"/>
      <c r="W5" s="361"/>
      <c r="X5" s="361"/>
      <c r="Y5" s="361"/>
      <c r="Z5" s="364"/>
      <c r="AA5" s="361"/>
      <c r="AB5" s="361"/>
      <c r="AC5" s="361"/>
      <c r="AD5" s="364"/>
      <c r="AE5" s="361"/>
      <c r="AF5" s="361"/>
      <c r="AG5" s="361"/>
      <c r="AH5" s="364"/>
      <c r="AI5" s="361"/>
      <c r="AJ5" s="361"/>
      <c r="AK5" s="361"/>
      <c r="AL5" s="364"/>
      <c r="AM5" s="361"/>
      <c r="AN5" s="361"/>
      <c r="AO5" s="361"/>
      <c r="AP5" s="364"/>
      <c r="AQ5" s="361"/>
      <c r="AR5" s="361"/>
      <c r="AS5" s="361"/>
      <c r="AT5" s="364"/>
      <c r="AU5" s="361"/>
      <c r="AV5" s="361"/>
      <c r="AW5" s="361"/>
      <c r="AX5" s="364"/>
      <c r="AY5" s="361"/>
      <c r="AZ5" s="361"/>
      <c r="BA5" s="361"/>
      <c r="BB5" s="364"/>
      <c r="BC5" s="361"/>
      <c r="BD5" s="361"/>
      <c r="BE5" s="361"/>
      <c r="BF5" s="364"/>
      <c r="BG5" s="361"/>
      <c r="BH5" s="361"/>
      <c r="BI5" s="361"/>
      <c r="BJ5" s="364"/>
      <c r="BK5" s="361"/>
      <c r="BL5" s="361"/>
      <c r="BM5" s="361"/>
      <c r="BN5" s="364"/>
      <c r="BO5" s="361"/>
      <c r="BP5" s="361"/>
      <c r="BQ5" s="361"/>
      <c r="BR5" s="364"/>
      <c r="BS5" s="361"/>
      <c r="BT5" s="361"/>
      <c r="BU5" s="361"/>
      <c r="BV5" s="364"/>
      <c r="BW5" s="361"/>
      <c r="BX5" s="361"/>
      <c r="BY5" s="361"/>
      <c r="BZ5" s="364"/>
      <c r="CA5" s="361"/>
      <c r="CB5" s="361"/>
      <c r="CC5" s="361"/>
      <c r="CD5" s="364"/>
      <c r="CE5" s="361"/>
      <c r="CF5" s="361"/>
      <c r="CG5" s="361"/>
      <c r="CH5" s="364"/>
      <c r="CI5" s="361"/>
      <c r="CJ5" s="361"/>
      <c r="CK5" s="361"/>
      <c r="CL5" s="364"/>
      <c r="CM5" s="361"/>
      <c r="CN5" s="361"/>
      <c r="CO5" s="361"/>
      <c r="CP5" s="364"/>
      <c r="CQ5" s="361"/>
      <c r="CR5" s="361"/>
      <c r="CS5" s="361"/>
      <c r="CT5" s="364"/>
      <c r="CU5" s="361"/>
      <c r="CV5" s="361"/>
      <c r="CW5" s="361"/>
      <c r="CX5" s="364"/>
      <c r="CY5" s="361"/>
      <c r="CZ5" s="361"/>
      <c r="DA5" s="361"/>
      <c r="DB5" s="364"/>
      <c r="DC5" s="361"/>
      <c r="DD5" s="361"/>
      <c r="DE5" s="361"/>
      <c r="DF5" s="364"/>
      <c r="DG5" s="361"/>
      <c r="DH5" s="361"/>
      <c r="DI5" s="361"/>
      <c r="DJ5" s="364"/>
      <c r="DK5" s="361"/>
      <c r="DL5" s="361"/>
      <c r="DM5" s="361"/>
      <c r="DN5" s="364"/>
      <c r="DO5" s="361"/>
      <c r="DP5" s="361"/>
      <c r="DQ5" s="361"/>
      <c r="DR5" s="364"/>
      <c r="DS5" s="361"/>
      <c r="DT5" s="361"/>
      <c r="DU5" s="361"/>
      <c r="DV5" s="364"/>
      <c r="DW5" s="361"/>
      <c r="DX5" s="361"/>
      <c r="DY5" s="361"/>
      <c r="DZ5" s="364"/>
      <c r="EA5" s="361"/>
      <c r="EB5" s="361"/>
      <c r="EC5" s="361"/>
      <c r="ED5" s="364"/>
      <c r="EE5" s="361"/>
      <c r="EF5" s="361"/>
      <c r="EG5" s="361"/>
      <c r="EH5" s="364"/>
      <c r="EI5" s="361"/>
      <c r="EJ5" s="361"/>
      <c r="EK5" s="361"/>
      <c r="EL5" s="364"/>
      <c r="EM5" s="361"/>
      <c r="EN5" s="361"/>
      <c r="EO5" s="361"/>
      <c r="EP5" s="362"/>
      <c r="EQ5" s="363"/>
      <c r="ER5" s="363"/>
      <c r="ES5" s="365"/>
    </row>
    <row r="6" spans="2:149" x14ac:dyDescent="0.45">
      <c r="B6" s="227"/>
      <c r="C6" s="227"/>
      <c r="F6" s="366"/>
      <c r="G6" s="367"/>
      <c r="H6" s="367"/>
      <c r="I6" s="368"/>
      <c r="J6" s="369"/>
      <c r="M6" s="370"/>
      <c r="N6" s="369"/>
      <c r="Q6" s="370"/>
      <c r="R6" s="369"/>
      <c r="U6" s="370"/>
      <c r="V6" s="369"/>
      <c r="Y6" s="370"/>
      <c r="Z6" s="369"/>
      <c r="AC6" s="370"/>
      <c r="AD6" s="369"/>
      <c r="AG6" s="370"/>
      <c r="AH6" s="369"/>
      <c r="AK6" s="370"/>
      <c r="AL6" s="369"/>
      <c r="AO6" s="370"/>
      <c r="AP6" s="369"/>
      <c r="AS6" s="370"/>
      <c r="AT6" s="369"/>
      <c r="AW6" s="370"/>
      <c r="AX6" s="369"/>
      <c r="BA6" s="370"/>
      <c r="BB6" s="369"/>
      <c r="BE6" s="370"/>
      <c r="BF6" s="369"/>
      <c r="BI6" s="370"/>
      <c r="BJ6" s="369"/>
      <c r="BM6" s="370"/>
      <c r="BN6" s="369"/>
      <c r="BQ6" s="370"/>
      <c r="BR6" s="369"/>
      <c r="BU6" s="370"/>
      <c r="BV6" s="369"/>
      <c r="BY6" s="370"/>
      <c r="BZ6" s="369"/>
      <c r="CC6" s="370"/>
      <c r="CD6" s="369"/>
      <c r="CG6" s="370"/>
      <c r="CH6" s="369"/>
      <c r="CK6" s="370"/>
      <c r="CL6" s="369"/>
      <c r="CO6" s="370"/>
      <c r="CP6" s="369"/>
      <c r="CS6" s="370"/>
      <c r="CT6" s="369"/>
      <c r="CW6" s="370"/>
      <c r="CX6" s="369"/>
      <c r="DA6" s="370"/>
      <c r="DB6" s="369"/>
      <c r="DE6" s="370"/>
      <c r="DF6" s="369"/>
      <c r="DI6" s="370"/>
      <c r="DJ6" s="369"/>
      <c r="DM6" s="370"/>
      <c r="DN6" s="369"/>
      <c r="DQ6" s="370"/>
      <c r="DR6" s="369"/>
      <c r="DU6" s="370"/>
      <c r="DV6" s="369"/>
      <c r="DY6" s="370"/>
      <c r="DZ6" s="369"/>
      <c r="EC6" s="370"/>
      <c r="ED6" s="369"/>
      <c r="EG6" s="370"/>
      <c r="EH6" s="369"/>
      <c r="EK6" s="370"/>
      <c r="EL6" s="369"/>
      <c r="EP6" s="366"/>
      <c r="EQ6" s="367"/>
      <c r="ER6" s="367"/>
      <c r="ES6" s="368"/>
    </row>
    <row r="7" spans="2:149" x14ac:dyDescent="0.45">
      <c r="B7" s="227" t="s">
        <v>3</v>
      </c>
      <c r="C7" s="227" t="s">
        <v>1200</v>
      </c>
      <c r="F7" s="691">
        <v>120</v>
      </c>
      <c r="G7" s="692"/>
      <c r="H7" s="692"/>
      <c r="I7" s="693"/>
      <c r="J7" s="694">
        <f>F7</f>
        <v>120</v>
      </c>
      <c r="K7" s="695"/>
      <c r="L7" s="695"/>
      <c r="M7" s="696"/>
      <c r="N7" s="694">
        <f>J7</f>
        <v>120</v>
      </c>
      <c r="O7" s="695"/>
      <c r="P7" s="695"/>
      <c r="Q7" s="696"/>
      <c r="R7" s="694">
        <f t="shared" ref="R7" si="0">N7</f>
        <v>120</v>
      </c>
      <c r="S7" s="695"/>
      <c r="T7" s="695"/>
      <c r="U7" s="696"/>
      <c r="V7" s="694">
        <f t="shared" ref="V7" si="1">R7</f>
        <v>120</v>
      </c>
      <c r="W7" s="695"/>
      <c r="X7" s="695"/>
      <c r="Y7" s="696"/>
      <c r="Z7" s="694">
        <f t="shared" ref="Z7" si="2">V7</f>
        <v>120</v>
      </c>
      <c r="AA7" s="695"/>
      <c r="AB7" s="695"/>
      <c r="AC7" s="696"/>
      <c r="AD7" s="694">
        <f t="shared" ref="AD7" si="3">Z7</f>
        <v>120</v>
      </c>
      <c r="AE7" s="695"/>
      <c r="AF7" s="695"/>
      <c r="AG7" s="696"/>
      <c r="AH7" s="694">
        <f t="shared" ref="AH7" si="4">AD7</f>
        <v>120</v>
      </c>
      <c r="AI7" s="695"/>
      <c r="AJ7" s="695"/>
      <c r="AK7" s="696"/>
      <c r="AL7" s="694">
        <f t="shared" ref="AL7" si="5">AH7</f>
        <v>120</v>
      </c>
      <c r="AM7" s="695"/>
      <c r="AN7" s="695"/>
      <c r="AO7" s="696"/>
      <c r="AP7" s="694">
        <f t="shared" ref="AP7" si="6">AL7</f>
        <v>120</v>
      </c>
      <c r="AQ7" s="695"/>
      <c r="AR7" s="695"/>
      <c r="AS7" s="696"/>
      <c r="AT7" s="694">
        <f t="shared" ref="AT7" si="7">AP7</f>
        <v>120</v>
      </c>
      <c r="AU7" s="695"/>
      <c r="AV7" s="695"/>
      <c r="AW7" s="696"/>
      <c r="AX7" s="708">
        <f>AT7-1.25</f>
        <v>118.75</v>
      </c>
      <c r="AY7" s="709"/>
      <c r="AZ7" s="709"/>
      <c r="BA7" s="710"/>
      <c r="BB7" s="708">
        <f>AX7-1.25</f>
        <v>117.5</v>
      </c>
      <c r="BC7" s="709"/>
      <c r="BD7" s="709"/>
      <c r="BE7" s="710"/>
      <c r="BF7" s="708">
        <f>BB7-1.25</f>
        <v>116.25</v>
      </c>
      <c r="BG7" s="709"/>
      <c r="BH7" s="709"/>
      <c r="BI7" s="710"/>
      <c r="BJ7" s="708">
        <f>BF7-1.25</f>
        <v>115</v>
      </c>
      <c r="BK7" s="709"/>
      <c r="BL7" s="709"/>
      <c r="BM7" s="710"/>
      <c r="BN7" s="708">
        <f>BJ7-1.25</f>
        <v>113.75</v>
      </c>
      <c r="BO7" s="709"/>
      <c r="BP7" s="709"/>
      <c r="BQ7" s="710"/>
      <c r="BR7" s="708">
        <f>BN7-1.25</f>
        <v>112.5</v>
      </c>
      <c r="BS7" s="709"/>
      <c r="BT7" s="709"/>
      <c r="BU7" s="710"/>
      <c r="BV7" s="708">
        <f>BR7-1.25</f>
        <v>111.25</v>
      </c>
      <c r="BW7" s="709"/>
      <c r="BX7" s="709"/>
      <c r="BY7" s="710"/>
      <c r="BZ7" s="708">
        <f>BV7-1.25</f>
        <v>110</v>
      </c>
      <c r="CA7" s="709"/>
      <c r="CB7" s="709"/>
      <c r="CC7" s="710"/>
      <c r="CD7" s="708">
        <f>BZ7-1.25</f>
        <v>108.75</v>
      </c>
      <c r="CE7" s="709"/>
      <c r="CF7" s="709"/>
      <c r="CG7" s="710"/>
      <c r="CH7" s="708">
        <f>CD7-1.25</f>
        <v>107.5</v>
      </c>
      <c r="CI7" s="709"/>
      <c r="CJ7" s="709"/>
      <c r="CK7" s="710"/>
      <c r="CL7" s="708">
        <f>CH7-1.25</f>
        <v>106.25</v>
      </c>
      <c r="CM7" s="709"/>
      <c r="CN7" s="709"/>
      <c r="CO7" s="710"/>
      <c r="CP7" s="708">
        <f>CL7-1.25</f>
        <v>105</v>
      </c>
      <c r="CQ7" s="709"/>
      <c r="CR7" s="709"/>
      <c r="CS7" s="710"/>
      <c r="CT7" s="708">
        <f>CP7-1.25</f>
        <v>103.75</v>
      </c>
      <c r="CU7" s="709"/>
      <c r="CV7" s="709"/>
      <c r="CW7" s="710"/>
      <c r="CX7" s="708">
        <f>CT7-1.25</f>
        <v>102.5</v>
      </c>
      <c r="CY7" s="709"/>
      <c r="CZ7" s="709"/>
      <c r="DA7" s="710"/>
      <c r="DB7" s="708">
        <f>CX7-1.25</f>
        <v>101.25</v>
      </c>
      <c r="DC7" s="709"/>
      <c r="DD7" s="709"/>
      <c r="DE7" s="710"/>
      <c r="DF7" s="694">
        <f>DB7-1.25</f>
        <v>100</v>
      </c>
      <c r="DG7" s="695"/>
      <c r="DH7" s="695"/>
      <c r="DI7" s="696"/>
      <c r="DJ7" s="694">
        <f>DF7</f>
        <v>100</v>
      </c>
      <c r="DK7" s="695"/>
      <c r="DL7" s="695"/>
      <c r="DM7" s="696"/>
      <c r="DN7" s="694">
        <f>DJ7</f>
        <v>100</v>
      </c>
      <c r="DO7" s="695"/>
      <c r="DP7" s="695"/>
      <c r="DQ7" s="696"/>
      <c r="DR7" s="694">
        <f t="shared" ref="DR7" si="8">DN7</f>
        <v>100</v>
      </c>
      <c r="DS7" s="695"/>
      <c r="DT7" s="695"/>
      <c r="DU7" s="696"/>
      <c r="DV7" s="694">
        <f t="shared" ref="DV7" si="9">DR7</f>
        <v>100</v>
      </c>
      <c r="DW7" s="695"/>
      <c r="DX7" s="695"/>
      <c r="DY7" s="696"/>
      <c r="DZ7" s="694">
        <f t="shared" ref="DZ7" si="10">DV7</f>
        <v>100</v>
      </c>
      <c r="EA7" s="695"/>
      <c r="EB7" s="695"/>
      <c r="EC7" s="696"/>
      <c r="ED7" s="694">
        <f t="shared" ref="ED7" si="11">DZ7</f>
        <v>100</v>
      </c>
      <c r="EE7" s="695"/>
      <c r="EF7" s="695"/>
      <c r="EG7" s="696"/>
      <c r="EH7" s="694">
        <f t="shared" ref="EH7" si="12">ED7</f>
        <v>100</v>
      </c>
      <c r="EI7" s="695"/>
      <c r="EJ7" s="695"/>
      <c r="EK7" s="696"/>
      <c r="EL7" s="694">
        <f t="shared" ref="EL7" si="13">EH7</f>
        <v>100</v>
      </c>
      <c r="EM7" s="695"/>
      <c r="EN7" s="695"/>
      <c r="EO7" s="695"/>
      <c r="EP7" s="691">
        <f t="shared" ref="EP7" si="14">EL7</f>
        <v>100</v>
      </c>
      <c r="EQ7" s="692"/>
      <c r="ER7" s="692"/>
      <c r="ES7" s="693"/>
    </row>
    <row r="8" spans="2:149" x14ac:dyDescent="0.45">
      <c r="B8" s="227"/>
      <c r="C8" s="227"/>
      <c r="F8" s="371"/>
      <c r="G8" s="372"/>
      <c r="H8" s="372"/>
      <c r="I8" s="373"/>
      <c r="J8" s="374"/>
      <c r="K8" s="375"/>
      <c r="L8" s="375"/>
      <c r="M8" s="376"/>
      <c r="N8" s="374"/>
      <c r="O8" s="375"/>
      <c r="P8" s="375"/>
      <c r="Q8" s="376"/>
      <c r="R8" s="374"/>
      <c r="S8" s="375"/>
      <c r="T8" s="375"/>
      <c r="U8" s="376"/>
      <c r="V8" s="374"/>
      <c r="W8" s="375"/>
      <c r="X8" s="375"/>
      <c r="Y8" s="376"/>
      <c r="Z8" s="374"/>
      <c r="AA8" s="375"/>
      <c r="AB8" s="375"/>
      <c r="AC8" s="376"/>
      <c r="AD8" s="374"/>
      <c r="AE8" s="375"/>
      <c r="AF8" s="375"/>
      <c r="AG8" s="376"/>
      <c r="AH8" s="374"/>
      <c r="AI8" s="375"/>
      <c r="AJ8" s="375"/>
      <c r="AK8" s="376"/>
      <c r="AL8" s="374"/>
      <c r="AM8" s="375"/>
      <c r="AN8" s="375"/>
      <c r="AO8" s="376"/>
      <c r="AP8" s="374"/>
      <c r="AQ8" s="375"/>
      <c r="AR8" s="375"/>
      <c r="AS8" s="376"/>
      <c r="AT8" s="374"/>
      <c r="AU8" s="375"/>
      <c r="AV8" s="375"/>
      <c r="AW8" s="376"/>
      <c r="AX8" s="374"/>
      <c r="AY8" s="375"/>
      <c r="AZ8" s="375"/>
      <c r="BA8" s="376"/>
      <c r="BB8" s="374"/>
      <c r="BC8" s="375"/>
      <c r="BD8" s="375"/>
      <c r="BE8" s="376"/>
      <c r="BF8" s="374"/>
      <c r="BG8" s="375"/>
      <c r="BH8" s="375"/>
      <c r="BI8" s="376"/>
      <c r="BJ8" s="374"/>
      <c r="BK8" s="375"/>
      <c r="BL8" s="375"/>
      <c r="BM8" s="376"/>
      <c r="BN8" s="374"/>
      <c r="BO8" s="375"/>
      <c r="BP8" s="375"/>
      <c r="BQ8" s="376"/>
      <c r="BR8" s="374"/>
      <c r="BS8" s="375"/>
      <c r="BT8" s="375"/>
      <c r="BU8" s="376"/>
      <c r="BV8" s="374"/>
      <c r="BW8" s="375"/>
      <c r="BX8" s="375"/>
      <c r="BY8" s="376"/>
      <c r="BZ8" s="374"/>
      <c r="CA8" s="375"/>
      <c r="CB8" s="375"/>
      <c r="CC8" s="376"/>
      <c r="CD8" s="374"/>
      <c r="CE8" s="375"/>
      <c r="CF8" s="375"/>
      <c r="CG8" s="376"/>
      <c r="CH8" s="374"/>
      <c r="CI8" s="375"/>
      <c r="CJ8" s="375"/>
      <c r="CK8" s="376"/>
      <c r="CL8" s="374"/>
      <c r="CM8" s="375"/>
      <c r="CN8" s="375"/>
      <c r="CO8" s="376"/>
      <c r="CP8" s="374"/>
      <c r="CQ8" s="375"/>
      <c r="CR8" s="375"/>
      <c r="CS8" s="376"/>
      <c r="CT8" s="374"/>
      <c r="CU8" s="375"/>
      <c r="CV8" s="375"/>
      <c r="CW8" s="376"/>
      <c r="CX8" s="374"/>
      <c r="CY8" s="375"/>
      <c r="CZ8" s="375"/>
      <c r="DA8" s="376"/>
      <c r="DB8" s="374"/>
      <c r="DC8" s="375"/>
      <c r="DD8" s="375"/>
      <c r="DE8" s="376"/>
      <c r="DF8" s="374"/>
      <c r="DG8" s="375"/>
      <c r="DH8" s="375"/>
      <c r="DI8" s="376"/>
      <c r="DJ8" s="374"/>
      <c r="DK8" s="375"/>
      <c r="DL8" s="375"/>
      <c r="DM8" s="376"/>
      <c r="DN8" s="374"/>
      <c r="DO8" s="375"/>
      <c r="DP8" s="375"/>
      <c r="DQ8" s="376"/>
      <c r="DR8" s="374"/>
      <c r="DS8" s="375"/>
      <c r="DT8" s="375"/>
      <c r="DU8" s="376"/>
      <c r="DV8" s="374"/>
      <c r="DW8" s="375"/>
      <c r="DX8" s="375"/>
      <c r="DY8" s="376"/>
      <c r="DZ8" s="374"/>
      <c r="EA8" s="375"/>
      <c r="EB8" s="375"/>
      <c r="EC8" s="376"/>
      <c r="ED8" s="374"/>
      <c r="EE8" s="375"/>
      <c r="EF8" s="375"/>
      <c r="EG8" s="376"/>
      <c r="EH8" s="374"/>
      <c r="EI8" s="375"/>
      <c r="EJ8" s="375"/>
      <c r="EK8" s="376"/>
      <c r="EL8" s="374"/>
      <c r="EM8" s="375"/>
      <c r="EN8" s="375"/>
      <c r="EO8" s="375"/>
      <c r="EP8" s="371"/>
      <c r="EQ8" s="372"/>
      <c r="ER8" s="372"/>
      <c r="ES8" s="373"/>
    </row>
    <row r="9" spans="2:149" x14ac:dyDescent="0.45">
      <c r="B9" s="356" t="s">
        <v>1213</v>
      </c>
      <c r="C9" s="356" t="s">
        <v>1214</v>
      </c>
      <c r="F9" s="371"/>
      <c r="G9" s="372"/>
      <c r="H9" s="372"/>
      <c r="I9" s="373"/>
      <c r="J9" s="374"/>
      <c r="K9" s="375"/>
      <c r="L9" s="375"/>
      <c r="M9" s="376"/>
      <c r="N9" s="374"/>
      <c r="O9" s="375"/>
      <c r="P9" s="375"/>
      <c r="Q9" s="376"/>
      <c r="R9" s="374"/>
      <c r="S9" s="375"/>
      <c r="T9" s="375"/>
      <c r="U9" s="376"/>
      <c r="V9" s="374"/>
      <c r="W9" s="375"/>
      <c r="X9" s="375"/>
      <c r="Y9" s="376"/>
      <c r="Z9" s="374"/>
      <c r="AA9" s="375"/>
      <c r="AB9" s="375"/>
      <c r="AC9" s="376"/>
      <c r="AD9" s="374"/>
      <c r="AE9" s="375"/>
      <c r="AF9" s="375"/>
      <c r="AG9" s="376"/>
      <c r="AH9" s="374"/>
      <c r="AI9" s="375"/>
      <c r="AJ9" s="375"/>
      <c r="AK9" s="376"/>
      <c r="AL9" s="374"/>
      <c r="AM9" s="375"/>
      <c r="AN9" s="375"/>
      <c r="AO9" s="376"/>
      <c r="AP9" s="374"/>
      <c r="AQ9" s="375"/>
      <c r="AR9" s="375"/>
      <c r="AS9" s="376"/>
      <c r="AT9" s="374"/>
      <c r="AU9" s="375"/>
      <c r="AV9" s="375"/>
      <c r="AW9" s="376"/>
      <c r="AX9" s="374"/>
      <c r="AY9" s="375"/>
      <c r="AZ9" s="375"/>
      <c r="BA9" s="376"/>
      <c r="BB9" s="374"/>
      <c r="BC9" s="375"/>
      <c r="BD9" s="375"/>
      <c r="BE9" s="376"/>
      <c r="BF9" s="374"/>
      <c r="BG9" s="375"/>
      <c r="BH9" s="375"/>
      <c r="BI9" s="376"/>
      <c r="BJ9" s="374"/>
      <c r="BK9" s="375"/>
      <c r="BL9" s="375"/>
      <c r="BM9" s="376"/>
      <c r="BN9" s="374"/>
      <c r="BO9" s="375"/>
      <c r="BP9" s="375"/>
      <c r="BQ9" s="376"/>
      <c r="BR9" s="374"/>
      <c r="BS9" s="375"/>
      <c r="BT9" s="375"/>
      <c r="BU9" s="376"/>
      <c r="BV9" s="374"/>
      <c r="BW9" s="375"/>
      <c r="BX9" s="375"/>
      <c r="BY9" s="376"/>
      <c r="BZ9" s="374"/>
      <c r="CA9" s="375"/>
      <c r="CB9" s="375"/>
      <c r="CC9" s="376"/>
      <c r="CD9" s="374"/>
      <c r="CE9" s="375"/>
      <c r="CF9" s="375"/>
      <c r="CG9" s="376"/>
      <c r="CH9" s="374"/>
      <c r="CI9" s="375"/>
      <c r="CJ9" s="375"/>
      <c r="CK9" s="376"/>
      <c r="CL9" s="374"/>
      <c r="CM9" s="375"/>
      <c r="CN9" s="375"/>
      <c r="CO9" s="376"/>
      <c r="CP9" s="374"/>
      <c r="CQ9" s="375"/>
      <c r="CR9" s="375"/>
      <c r="CS9" s="376"/>
      <c r="CT9" s="374"/>
      <c r="CU9" s="375"/>
      <c r="CV9" s="375"/>
      <c r="CW9" s="376"/>
      <c r="CX9" s="374"/>
      <c r="CY9" s="375"/>
      <c r="CZ9" s="375"/>
      <c r="DA9" s="376"/>
      <c r="DB9" s="374"/>
      <c r="DC9" s="375"/>
      <c r="DD9" s="375"/>
      <c r="DE9" s="376"/>
      <c r="DF9" s="374"/>
      <c r="DG9" s="375"/>
      <c r="DH9" s="375"/>
      <c r="DI9" s="376"/>
      <c r="DJ9" s="374"/>
      <c r="DK9" s="375"/>
      <c r="DL9" s="375"/>
      <c r="DM9" s="376"/>
      <c r="DN9" s="374"/>
      <c r="DO9" s="375"/>
      <c r="DP9" s="375"/>
      <c r="DQ9" s="376"/>
      <c r="DR9" s="374"/>
      <c r="DS9" s="375"/>
      <c r="DT9" s="375"/>
      <c r="DU9" s="376"/>
      <c r="DV9" s="374"/>
      <c r="DW9" s="375"/>
      <c r="DX9" s="375"/>
      <c r="DY9" s="376"/>
      <c r="DZ9" s="374"/>
      <c r="EA9" s="375"/>
      <c r="EB9" s="375"/>
      <c r="EC9" s="376"/>
      <c r="ED9" s="374"/>
      <c r="EE9" s="375"/>
      <c r="EF9" s="375"/>
      <c r="EG9" s="376"/>
      <c r="EH9" s="374"/>
      <c r="EI9" s="375"/>
      <c r="EJ9" s="375"/>
      <c r="EK9" s="376"/>
      <c r="EL9" s="374"/>
      <c r="EM9" s="375"/>
      <c r="EN9" s="375"/>
      <c r="EO9" s="375"/>
      <c r="EP9" s="371"/>
      <c r="EQ9" s="372"/>
      <c r="ER9" s="372"/>
      <c r="ES9" s="373"/>
    </row>
    <row r="10" spans="2:149" x14ac:dyDescent="0.45">
      <c r="B10" s="227" t="s">
        <v>21</v>
      </c>
      <c r="C10" s="227" t="s">
        <v>1201</v>
      </c>
      <c r="F10" s="697">
        <v>79</v>
      </c>
      <c r="G10" s="698"/>
      <c r="H10" s="698"/>
      <c r="I10" s="699"/>
      <c r="J10" s="703">
        <f>F10</f>
        <v>79</v>
      </c>
      <c r="K10" s="690"/>
      <c r="L10" s="690"/>
      <c r="M10" s="704"/>
      <c r="N10" s="703">
        <f>J10</f>
        <v>79</v>
      </c>
      <c r="O10" s="690"/>
      <c r="P10" s="690"/>
      <c r="Q10" s="704"/>
      <c r="R10" s="703">
        <f t="shared" ref="R10" si="15">N10</f>
        <v>79</v>
      </c>
      <c r="S10" s="690"/>
      <c r="T10" s="690"/>
      <c r="U10" s="704"/>
      <c r="V10" s="703">
        <f t="shared" ref="V10" si="16">R10</f>
        <v>79</v>
      </c>
      <c r="W10" s="690"/>
      <c r="X10" s="690"/>
      <c r="Y10" s="704"/>
      <c r="Z10" s="703">
        <f t="shared" ref="Z10" si="17">V10</f>
        <v>79</v>
      </c>
      <c r="AA10" s="690"/>
      <c r="AB10" s="690"/>
      <c r="AC10" s="704"/>
      <c r="AD10" s="703">
        <f t="shared" ref="AD10" si="18">Z10</f>
        <v>79</v>
      </c>
      <c r="AE10" s="690"/>
      <c r="AF10" s="690"/>
      <c r="AG10" s="704"/>
      <c r="AH10" s="703">
        <f t="shared" ref="AH10" si="19">AD10</f>
        <v>79</v>
      </c>
      <c r="AI10" s="690"/>
      <c r="AJ10" s="690"/>
      <c r="AK10" s="704"/>
      <c r="AL10" s="703">
        <f t="shared" ref="AL10" si="20">AH10</f>
        <v>79</v>
      </c>
      <c r="AM10" s="690"/>
      <c r="AN10" s="690"/>
      <c r="AO10" s="704"/>
      <c r="AP10" s="703">
        <f t="shared" ref="AP10" si="21">AL10</f>
        <v>79</v>
      </c>
      <c r="AQ10" s="690"/>
      <c r="AR10" s="690"/>
      <c r="AS10" s="704"/>
      <c r="AT10" s="700">
        <f>AP10+1</f>
        <v>80</v>
      </c>
      <c r="AU10" s="701"/>
      <c r="AV10" s="701"/>
      <c r="AW10" s="702"/>
      <c r="AX10" s="700">
        <f>AT10+1</f>
        <v>81</v>
      </c>
      <c r="AY10" s="701"/>
      <c r="AZ10" s="701"/>
      <c r="BA10" s="702"/>
      <c r="BB10" s="700">
        <f>AX10+1</f>
        <v>82</v>
      </c>
      <c r="BC10" s="701"/>
      <c r="BD10" s="701"/>
      <c r="BE10" s="702"/>
      <c r="BF10" s="700">
        <f>BB10+1</f>
        <v>83</v>
      </c>
      <c r="BG10" s="701"/>
      <c r="BH10" s="701"/>
      <c r="BI10" s="702"/>
      <c r="BJ10" s="700">
        <f>BF10+1</f>
        <v>84</v>
      </c>
      <c r="BK10" s="701"/>
      <c r="BL10" s="701"/>
      <c r="BM10" s="702"/>
      <c r="BN10" s="700">
        <f>BJ10+1</f>
        <v>85</v>
      </c>
      <c r="BO10" s="701"/>
      <c r="BP10" s="701"/>
      <c r="BQ10" s="702"/>
      <c r="BR10" s="700">
        <f>BN10+1</f>
        <v>86</v>
      </c>
      <c r="BS10" s="701"/>
      <c r="BT10" s="701"/>
      <c r="BU10" s="702"/>
      <c r="BV10" s="700">
        <f>BR10+1</f>
        <v>87</v>
      </c>
      <c r="BW10" s="701"/>
      <c r="BX10" s="701"/>
      <c r="BY10" s="702"/>
      <c r="BZ10" s="700">
        <f>BV10+1</f>
        <v>88</v>
      </c>
      <c r="CA10" s="701"/>
      <c r="CB10" s="701"/>
      <c r="CC10" s="702"/>
      <c r="CD10" s="700">
        <f>BZ10+1</f>
        <v>89</v>
      </c>
      <c r="CE10" s="701"/>
      <c r="CF10" s="701"/>
      <c r="CG10" s="702"/>
      <c r="CH10" s="700">
        <f>CD10+1</f>
        <v>90</v>
      </c>
      <c r="CI10" s="701"/>
      <c r="CJ10" s="701"/>
      <c r="CK10" s="702"/>
      <c r="CL10" s="700">
        <f>CH10+1</f>
        <v>91</v>
      </c>
      <c r="CM10" s="701"/>
      <c r="CN10" s="701"/>
      <c r="CO10" s="702"/>
      <c r="CP10" s="700">
        <f>CL10+1</f>
        <v>92</v>
      </c>
      <c r="CQ10" s="701"/>
      <c r="CR10" s="701"/>
      <c r="CS10" s="702"/>
      <c r="CT10" s="700">
        <f>CP10+1</f>
        <v>93</v>
      </c>
      <c r="CU10" s="701"/>
      <c r="CV10" s="701"/>
      <c r="CW10" s="702"/>
      <c r="CX10" s="700">
        <f>CT10+1</f>
        <v>94</v>
      </c>
      <c r="CY10" s="701"/>
      <c r="CZ10" s="701"/>
      <c r="DA10" s="702"/>
      <c r="DB10" s="700">
        <f>CX10+1</f>
        <v>95</v>
      </c>
      <c r="DC10" s="701"/>
      <c r="DD10" s="701"/>
      <c r="DE10" s="702"/>
      <c r="DF10" s="703">
        <f>DB10</f>
        <v>95</v>
      </c>
      <c r="DG10" s="690"/>
      <c r="DH10" s="690"/>
      <c r="DI10" s="704"/>
      <c r="DJ10" s="703">
        <f>DF10</f>
        <v>95</v>
      </c>
      <c r="DK10" s="690"/>
      <c r="DL10" s="690"/>
      <c r="DM10" s="704"/>
      <c r="DN10" s="703">
        <f>DJ10</f>
        <v>95</v>
      </c>
      <c r="DO10" s="690"/>
      <c r="DP10" s="690"/>
      <c r="DQ10" s="704"/>
      <c r="DR10" s="703">
        <f t="shared" ref="DR10" si="22">DN10</f>
        <v>95</v>
      </c>
      <c r="DS10" s="690"/>
      <c r="DT10" s="690"/>
      <c r="DU10" s="704"/>
      <c r="DV10" s="703">
        <f t="shared" ref="DV10" si="23">DR10</f>
        <v>95</v>
      </c>
      <c r="DW10" s="690"/>
      <c r="DX10" s="690"/>
      <c r="DY10" s="704"/>
      <c r="DZ10" s="703">
        <f t="shared" ref="DZ10" si="24">DV10</f>
        <v>95</v>
      </c>
      <c r="EA10" s="690"/>
      <c r="EB10" s="690"/>
      <c r="EC10" s="704"/>
      <c r="ED10" s="703">
        <f t="shared" ref="ED10" si="25">DZ10</f>
        <v>95</v>
      </c>
      <c r="EE10" s="690"/>
      <c r="EF10" s="690"/>
      <c r="EG10" s="704"/>
      <c r="EH10" s="703">
        <f t="shared" ref="EH10" si="26">ED10</f>
        <v>95</v>
      </c>
      <c r="EI10" s="690"/>
      <c r="EJ10" s="690"/>
      <c r="EK10" s="704"/>
      <c r="EL10" s="703">
        <f t="shared" ref="EL10" si="27">EH10</f>
        <v>95</v>
      </c>
      <c r="EM10" s="690"/>
      <c r="EN10" s="690"/>
      <c r="EO10" s="690"/>
      <c r="EP10" s="697">
        <f t="shared" ref="EP10" si="28">EL10</f>
        <v>95</v>
      </c>
      <c r="EQ10" s="698"/>
      <c r="ER10" s="698"/>
      <c r="ES10" s="699"/>
    </row>
    <row r="11" spans="2:149" x14ac:dyDescent="0.45">
      <c r="B11" s="227" t="s">
        <v>1205</v>
      </c>
      <c r="C11" s="227" t="s">
        <v>1202</v>
      </c>
      <c r="F11" s="716">
        <f>B3+B3*0.004</f>
        <v>328910.40000000002</v>
      </c>
      <c r="G11" s="717"/>
      <c r="H11" s="717"/>
      <c r="I11" s="718"/>
      <c r="J11" s="705">
        <f>B3+B3*0.005</f>
        <v>329238</v>
      </c>
      <c r="K11" s="706"/>
      <c r="L11" s="706"/>
      <c r="M11" s="707"/>
      <c r="N11" s="705">
        <f>B3+B3*0.006</f>
        <v>329565.59999999998</v>
      </c>
      <c r="O11" s="706"/>
      <c r="P11" s="706"/>
      <c r="Q11" s="707"/>
      <c r="R11" s="705">
        <f>B3+B3*0.007</f>
        <v>329893.2</v>
      </c>
      <c r="S11" s="706"/>
      <c r="T11" s="706"/>
      <c r="U11" s="707"/>
      <c r="V11" s="705">
        <f>B3+B3*0.008</f>
        <v>330220.79999999999</v>
      </c>
      <c r="W11" s="706"/>
      <c r="X11" s="706"/>
      <c r="Y11" s="707"/>
      <c r="Z11" s="705">
        <f>B3+B3*0.009</f>
        <v>330548.40000000002</v>
      </c>
      <c r="AA11" s="706"/>
      <c r="AB11" s="706"/>
      <c r="AC11" s="707"/>
      <c r="AD11" s="705">
        <f>B3+B3*0.01</f>
        <v>330876</v>
      </c>
      <c r="AE11" s="706"/>
      <c r="AF11" s="706"/>
      <c r="AG11" s="707"/>
      <c r="AH11" s="705">
        <f>B3+B3*0.011</f>
        <v>331203.59999999998</v>
      </c>
      <c r="AI11" s="706"/>
      <c r="AJ11" s="706"/>
      <c r="AK11" s="707"/>
      <c r="AL11" s="705">
        <f>B3+B3*0.01235</f>
        <v>331645.86</v>
      </c>
      <c r="AM11" s="706"/>
      <c r="AN11" s="706"/>
      <c r="AO11" s="707"/>
      <c r="AP11" s="705">
        <f>B3+B3*0.01235</f>
        <v>331645.86</v>
      </c>
      <c r="AQ11" s="706"/>
      <c r="AR11" s="706"/>
      <c r="AS11" s="707"/>
      <c r="AT11" s="711">
        <f>C3+C3*0.01235</f>
        <v>397975.03200000001</v>
      </c>
      <c r="AU11" s="712"/>
      <c r="AV11" s="712"/>
      <c r="AW11" s="713"/>
      <c r="AX11" s="711">
        <f>AT11</f>
        <v>397975.03200000001</v>
      </c>
      <c r="AY11" s="714"/>
      <c r="AZ11" s="714"/>
      <c r="BA11" s="715"/>
      <c r="BB11" s="711">
        <f t="shared" ref="BB11" si="29">AX11</f>
        <v>397975.03200000001</v>
      </c>
      <c r="BC11" s="714"/>
      <c r="BD11" s="714"/>
      <c r="BE11" s="715"/>
      <c r="BF11" s="711">
        <f t="shared" ref="BF11" si="30">BB11</f>
        <v>397975.03200000001</v>
      </c>
      <c r="BG11" s="714"/>
      <c r="BH11" s="714"/>
      <c r="BI11" s="715"/>
      <c r="BJ11" s="711">
        <f t="shared" ref="BJ11" si="31">BF11</f>
        <v>397975.03200000001</v>
      </c>
      <c r="BK11" s="714"/>
      <c r="BL11" s="714"/>
      <c r="BM11" s="715"/>
      <c r="BN11" s="711">
        <f t="shared" ref="BN11" si="32">BJ11</f>
        <v>397975.03200000001</v>
      </c>
      <c r="BO11" s="714"/>
      <c r="BP11" s="714"/>
      <c r="BQ11" s="715"/>
      <c r="BR11" s="711">
        <f t="shared" ref="BR11" si="33">BN11</f>
        <v>397975.03200000001</v>
      </c>
      <c r="BS11" s="714"/>
      <c r="BT11" s="714"/>
      <c r="BU11" s="715"/>
      <c r="BV11" s="711">
        <f t="shared" ref="BV11" si="34">BR11</f>
        <v>397975.03200000001</v>
      </c>
      <c r="BW11" s="714"/>
      <c r="BX11" s="714"/>
      <c r="BY11" s="715"/>
      <c r="BZ11" s="711">
        <f t="shared" ref="BZ11" si="35">BV11</f>
        <v>397975.03200000001</v>
      </c>
      <c r="CA11" s="714"/>
      <c r="CB11" s="714"/>
      <c r="CC11" s="715"/>
      <c r="CD11" s="711">
        <f t="shared" ref="CD11" si="36">BZ11</f>
        <v>397975.03200000001</v>
      </c>
      <c r="CE11" s="714"/>
      <c r="CF11" s="714"/>
      <c r="CG11" s="715"/>
      <c r="CH11" s="711">
        <f t="shared" ref="CH11" si="37">CD11</f>
        <v>397975.03200000001</v>
      </c>
      <c r="CI11" s="714"/>
      <c r="CJ11" s="714"/>
      <c r="CK11" s="715"/>
      <c r="CL11" s="711">
        <f t="shared" ref="CL11" si="38">CH11</f>
        <v>397975.03200000001</v>
      </c>
      <c r="CM11" s="714"/>
      <c r="CN11" s="714"/>
      <c r="CO11" s="715"/>
      <c r="CP11" s="711">
        <f t="shared" ref="CP11" si="39">CL11</f>
        <v>397975.03200000001</v>
      </c>
      <c r="CQ11" s="714"/>
      <c r="CR11" s="714"/>
      <c r="CS11" s="715"/>
      <c r="CT11" s="711">
        <f t="shared" ref="CT11" si="40">CP11</f>
        <v>397975.03200000001</v>
      </c>
      <c r="CU11" s="714"/>
      <c r="CV11" s="714"/>
      <c r="CW11" s="715"/>
      <c r="CX11" s="711">
        <f t="shared" ref="CX11" si="41">CT11</f>
        <v>397975.03200000001</v>
      </c>
      <c r="CY11" s="714"/>
      <c r="CZ11" s="714"/>
      <c r="DA11" s="715"/>
      <c r="DB11" s="711">
        <f t="shared" ref="DB11" si="42">CX11</f>
        <v>397975.03200000001</v>
      </c>
      <c r="DC11" s="714"/>
      <c r="DD11" s="714"/>
      <c r="DE11" s="715"/>
      <c r="DF11" s="711">
        <f>DB11</f>
        <v>397975.03200000001</v>
      </c>
      <c r="DG11" s="714"/>
      <c r="DH11" s="714"/>
      <c r="DI11" s="715"/>
      <c r="DJ11" s="705">
        <f>DF11</f>
        <v>397975.03200000001</v>
      </c>
      <c r="DK11" s="706"/>
      <c r="DL11" s="706"/>
      <c r="DM11" s="707"/>
      <c r="DN11" s="705">
        <f>C3+C3*0.011</f>
        <v>397444.32</v>
      </c>
      <c r="DO11" s="706"/>
      <c r="DP11" s="706"/>
      <c r="DQ11" s="707"/>
      <c r="DR11" s="705">
        <f>C3+C3*0.01</f>
        <v>397051.2</v>
      </c>
      <c r="DS11" s="706"/>
      <c r="DT11" s="706"/>
      <c r="DU11" s="707"/>
      <c r="DV11" s="705">
        <f>C3+C3*0.009</f>
        <v>396658.08</v>
      </c>
      <c r="DW11" s="706"/>
      <c r="DX11" s="706"/>
      <c r="DY11" s="707"/>
      <c r="DZ11" s="705">
        <f>C3+C3*0.008</f>
        <v>396264.96000000002</v>
      </c>
      <c r="EA11" s="706"/>
      <c r="EB11" s="706"/>
      <c r="EC11" s="707"/>
      <c r="ED11" s="705">
        <f>C3+C3*0.007</f>
        <v>395871.84</v>
      </c>
      <c r="EE11" s="706"/>
      <c r="EF11" s="706"/>
      <c r="EG11" s="707"/>
      <c r="EH11" s="705">
        <f>C3+C3*0.006</f>
        <v>395478.72</v>
      </c>
      <c r="EI11" s="706"/>
      <c r="EJ11" s="706"/>
      <c r="EK11" s="707"/>
      <c r="EL11" s="705">
        <f>C3+C3*0.005</f>
        <v>395085.6</v>
      </c>
      <c r="EM11" s="706"/>
      <c r="EN11" s="706"/>
      <c r="EO11" s="706"/>
      <c r="EP11" s="716">
        <f>C3+C3*0.004</f>
        <v>394692.48</v>
      </c>
      <c r="EQ11" s="717"/>
      <c r="ER11" s="717"/>
      <c r="ES11" s="718"/>
    </row>
    <row r="12" spans="2:149" x14ac:dyDescent="0.45">
      <c r="B12" s="227" t="s">
        <v>1204</v>
      </c>
      <c r="C12" s="227" t="s">
        <v>1203</v>
      </c>
      <c r="F12" s="697">
        <v>0</v>
      </c>
      <c r="G12" s="698"/>
      <c r="H12" s="698"/>
      <c r="I12" s="699"/>
      <c r="J12" s="703">
        <v>0</v>
      </c>
      <c r="K12" s="690"/>
      <c r="L12" s="690"/>
      <c r="M12" s="704"/>
      <c r="N12" s="703">
        <v>0</v>
      </c>
      <c r="O12" s="690"/>
      <c r="P12" s="690"/>
      <c r="Q12" s="704"/>
      <c r="R12" s="703">
        <v>0</v>
      </c>
      <c r="S12" s="690"/>
      <c r="T12" s="690"/>
      <c r="U12" s="704"/>
      <c r="V12" s="703">
        <v>0</v>
      </c>
      <c r="W12" s="690"/>
      <c r="X12" s="690"/>
      <c r="Y12" s="704"/>
      <c r="Z12" s="703">
        <v>0</v>
      </c>
      <c r="AA12" s="690"/>
      <c r="AB12" s="690"/>
      <c r="AC12" s="704"/>
      <c r="AD12" s="703">
        <v>0</v>
      </c>
      <c r="AE12" s="690"/>
      <c r="AF12" s="690"/>
      <c r="AG12" s="704"/>
      <c r="AH12" s="703">
        <v>0</v>
      </c>
      <c r="AI12" s="690"/>
      <c r="AJ12" s="690"/>
      <c r="AK12" s="704"/>
      <c r="AL12" s="703">
        <v>0</v>
      </c>
      <c r="AM12" s="690"/>
      <c r="AN12" s="690"/>
      <c r="AO12" s="704"/>
      <c r="AP12" s="719">
        <v>1</v>
      </c>
      <c r="AQ12" s="714"/>
      <c r="AR12" s="714"/>
      <c r="AS12" s="715"/>
      <c r="AT12" s="719">
        <v>1</v>
      </c>
      <c r="AU12" s="714"/>
      <c r="AV12" s="714"/>
      <c r="AW12" s="715"/>
      <c r="AX12" s="719">
        <v>1</v>
      </c>
      <c r="AY12" s="714"/>
      <c r="AZ12" s="714"/>
      <c r="BA12" s="715"/>
      <c r="BB12" s="719">
        <v>1</v>
      </c>
      <c r="BC12" s="714"/>
      <c r="BD12" s="714"/>
      <c r="BE12" s="715"/>
      <c r="BF12" s="719">
        <v>1</v>
      </c>
      <c r="BG12" s="714"/>
      <c r="BH12" s="714"/>
      <c r="BI12" s="715"/>
      <c r="BJ12" s="719">
        <v>1</v>
      </c>
      <c r="BK12" s="714"/>
      <c r="BL12" s="714"/>
      <c r="BM12" s="715"/>
      <c r="BN12" s="719">
        <v>1</v>
      </c>
      <c r="BO12" s="714"/>
      <c r="BP12" s="714"/>
      <c r="BQ12" s="715"/>
      <c r="BR12" s="719">
        <v>1</v>
      </c>
      <c r="BS12" s="714"/>
      <c r="BT12" s="714"/>
      <c r="BU12" s="715"/>
      <c r="BV12" s="719">
        <v>1</v>
      </c>
      <c r="BW12" s="714"/>
      <c r="BX12" s="714"/>
      <c r="BY12" s="715"/>
      <c r="BZ12" s="719">
        <v>1</v>
      </c>
      <c r="CA12" s="714"/>
      <c r="CB12" s="714"/>
      <c r="CC12" s="715"/>
      <c r="CD12" s="719">
        <v>1</v>
      </c>
      <c r="CE12" s="714"/>
      <c r="CF12" s="714"/>
      <c r="CG12" s="715"/>
      <c r="CH12" s="719">
        <v>1</v>
      </c>
      <c r="CI12" s="714"/>
      <c r="CJ12" s="714"/>
      <c r="CK12" s="715"/>
      <c r="CL12" s="719">
        <v>1</v>
      </c>
      <c r="CM12" s="714"/>
      <c r="CN12" s="714"/>
      <c r="CO12" s="715"/>
      <c r="CP12" s="719">
        <v>1</v>
      </c>
      <c r="CQ12" s="714"/>
      <c r="CR12" s="714"/>
      <c r="CS12" s="715"/>
      <c r="CT12" s="719">
        <v>1</v>
      </c>
      <c r="CU12" s="714"/>
      <c r="CV12" s="714"/>
      <c r="CW12" s="715"/>
      <c r="CX12" s="719">
        <v>1</v>
      </c>
      <c r="CY12" s="714"/>
      <c r="CZ12" s="714"/>
      <c r="DA12" s="715"/>
      <c r="DB12" s="719">
        <v>1</v>
      </c>
      <c r="DC12" s="714"/>
      <c r="DD12" s="714"/>
      <c r="DE12" s="715"/>
      <c r="DF12" s="719">
        <v>1</v>
      </c>
      <c r="DG12" s="714"/>
      <c r="DH12" s="714"/>
      <c r="DI12" s="715"/>
      <c r="DJ12" s="703">
        <v>0</v>
      </c>
      <c r="DK12" s="690"/>
      <c r="DL12" s="690"/>
      <c r="DM12" s="704"/>
      <c r="DN12" s="703">
        <v>0</v>
      </c>
      <c r="DO12" s="690"/>
      <c r="DP12" s="690"/>
      <c r="DQ12" s="704"/>
      <c r="DR12" s="703">
        <v>0</v>
      </c>
      <c r="DS12" s="690"/>
      <c r="DT12" s="690"/>
      <c r="DU12" s="704"/>
      <c r="DV12" s="703">
        <v>0</v>
      </c>
      <c r="DW12" s="690"/>
      <c r="DX12" s="690"/>
      <c r="DY12" s="704"/>
      <c r="DZ12" s="703">
        <v>0</v>
      </c>
      <c r="EA12" s="690"/>
      <c r="EB12" s="690"/>
      <c r="EC12" s="704"/>
      <c r="ED12" s="703">
        <v>0</v>
      </c>
      <c r="EE12" s="690"/>
      <c r="EF12" s="690"/>
      <c r="EG12" s="704"/>
      <c r="EH12" s="703">
        <v>0</v>
      </c>
      <c r="EI12" s="690"/>
      <c r="EJ12" s="690"/>
      <c r="EK12" s="704"/>
      <c r="EL12" s="703">
        <v>0</v>
      </c>
      <c r="EM12" s="690"/>
      <c r="EN12" s="690"/>
      <c r="EO12" s="690"/>
      <c r="EP12" s="697">
        <v>0</v>
      </c>
      <c r="EQ12" s="698"/>
      <c r="ER12" s="698"/>
      <c r="ES12" s="699"/>
    </row>
    <row r="13" spans="2:149" x14ac:dyDescent="0.45">
      <c r="F13" s="377"/>
      <c r="G13" s="377"/>
      <c r="H13" s="377"/>
      <c r="I13" s="377"/>
      <c r="DF13" s="377"/>
      <c r="DG13" s="377"/>
      <c r="DH13" s="377"/>
      <c r="DI13" s="377"/>
    </row>
    <row r="14" spans="2:149" x14ac:dyDescent="0.45">
      <c r="B14" s="350">
        <f>C3</f>
        <v>393120</v>
      </c>
      <c r="C14" s="350">
        <f>B3</f>
        <v>327600</v>
      </c>
      <c r="F14" s="377"/>
      <c r="G14" s="377"/>
      <c r="H14" s="377"/>
      <c r="I14" s="377"/>
      <c r="DF14" s="377"/>
      <c r="DG14" s="377"/>
      <c r="DH14" s="377"/>
      <c r="DI14" s="377"/>
    </row>
    <row r="15" spans="2:149" s="5" customFormat="1" x14ac:dyDescent="0.45">
      <c r="B15" s="227" t="s">
        <v>1215</v>
      </c>
      <c r="C15" s="227" t="s">
        <v>1189</v>
      </c>
      <c r="D15" s="360"/>
      <c r="E15" s="360"/>
      <c r="F15" s="697" t="s">
        <v>1207</v>
      </c>
      <c r="G15" s="698"/>
      <c r="H15" s="698"/>
      <c r="I15" s="699"/>
      <c r="J15" s="690">
        <v>3</v>
      </c>
      <c r="K15" s="690"/>
      <c r="L15" s="690"/>
      <c r="M15" s="690"/>
      <c r="N15" s="690">
        <v>3</v>
      </c>
      <c r="O15" s="690"/>
      <c r="P15" s="690"/>
      <c r="Q15" s="690"/>
      <c r="R15" s="690">
        <v>3</v>
      </c>
      <c r="S15" s="690"/>
      <c r="T15" s="690"/>
      <c r="U15" s="690"/>
      <c r="V15" s="690">
        <v>3</v>
      </c>
      <c r="W15" s="690"/>
      <c r="X15" s="690"/>
      <c r="Y15" s="690"/>
      <c r="Z15" s="690">
        <v>3</v>
      </c>
      <c r="AA15" s="690"/>
      <c r="AB15" s="690"/>
      <c r="AC15" s="690"/>
      <c r="AD15" s="690">
        <v>3</v>
      </c>
      <c r="AE15" s="690"/>
      <c r="AF15" s="690"/>
      <c r="AG15" s="690"/>
      <c r="AH15" s="690">
        <v>3</v>
      </c>
      <c r="AI15" s="690"/>
      <c r="AJ15" s="690"/>
      <c r="AK15" s="690"/>
      <c r="AL15" s="690">
        <v>3</v>
      </c>
      <c r="AM15" s="690"/>
      <c r="AN15" s="690"/>
      <c r="AO15" s="690"/>
      <c r="AP15" s="690">
        <v>3</v>
      </c>
      <c r="AQ15" s="690"/>
      <c r="AR15" s="690"/>
      <c r="AS15" s="690"/>
      <c r="AT15" s="690">
        <v>1</v>
      </c>
      <c r="AU15" s="690"/>
      <c r="AV15" s="690"/>
      <c r="AW15" s="690"/>
      <c r="AX15" s="690">
        <v>1</v>
      </c>
      <c r="AY15" s="690"/>
      <c r="AZ15" s="690"/>
      <c r="BA15" s="690"/>
      <c r="BB15" s="690">
        <v>1</v>
      </c>
      <c r="BC15" s="690"/>
      <c r="BD15" s="690"/>
      <c r="BE15" s="690"/>
      <c r="BF15" s="690">
        <v>1</v>
      </c>
      <c r="BG15" s="690"/>
      <c r="BH15" s="690"/>
      <c r="BI15" s="690"/>
      <c r="BJ15" s="690">
        <v>1</v>
      </c>
      <c r="BK15" s="690"/>
      <c r="BL15" s="690"/>
      <c r="BM15" s="690"/>
      <c r="BN15" s="690">
        <v>1</v>
      </c>
      <c r="BO15" s="690"/>
      <c r="BP15" s="690"/>
      <c r="BQ15" s="690"/>
      <c r="BR15" s="690">
        <v>1</v>
      </c>
      <c r="BS15" s="690"/>
      <c r="BT15" s="690"/>
      <c r="BU15" s="690"/>
      <c r="BV15" s="690">
        <v>1</v>
      </c>
      <c r="BW15" s="690"/>
      <c r="BX15" s="690"/>
      <c r="BY15" s="690"/>
      <c r="BZ15" s="690">
        <v>1</v>
      </c>
      <c r="CA15" s="690"/>
      <c r="CB15" s="690"/>
      <c r="CC15" s="690"/>
      <c r="CD15" s="690">
        <v>1</v>
      </c>
      <c r="CE15" s="690"/>
      <c r="CF15" s="690"/>
      <c r="CG15" s="690"/>
      <c r="CH15" s="690">
        <v>1</v>
      </c>
      <c r="CI15" s="690"/>
      <c r="CJ15" s="690"/>
      <c r="CK15" s="690"/>
      <c r="CL15" s="690">
        <v>1</v>
      </c>
      <c r="CM15" s="690"/>
      <c r="CN15" s="690"/>
      <c r="CO15" s="690"/>
      <c r="CP15" s="690">
        <v>1</v>
      </c>
      <c r="CQ15" s="690"/>
      <c r="CR15" s="690"/>
      <c r="CS15" s="690"/>
      <c r="CT15" s="690">
        <v>1</v>
      </c>
      <c r="CU15" s="690"/>
      <c r="CV15" s="690"/>
      <c r="CW15" s="690"/>
      <c r="CX15" s="690">
        <v>1</v>
      </c>
      <c r="CY15" s="690"/>
      <c r="CZ15" s="690"/>
      <c r="DA15" s="690"/>
      <c r="DB15" s="690">
        <v>1</v>
      </c>
      <c r="DC15" s="690"/>
      <c r="DD15" s="690"/>
      <c r="DE15" s="690"/>
      <c r="DF15" s="690">
        <v>1</v>
      </c>
      <c r="DG15" s="690"/>
      <c r="DH15" s="690"/>
      <c r="DI15" s="690"/>
      <c r="DJ15" s="690">
        <v>3</v>
      </c>
      <c r="DK15" s="690"/>
      <c r="DL15" s="690"/>
      <c r="DM15" s="690"/>
      <c r="DN15" s="690">
        <v>3</v>
      </c>
      <c r="DO15" s="690"/>
      <c r="DP15" s="690"/>
      <c r="DQ15" s="690"/>
      <c r="DR15" s="690">
        <v>3</v>
      </c>
      <c r="DS15" s="690"/>
      <c r="DT15" s="690"/>
      <c r="DU15" s="690"/>
      <c r="DV15" s="690">
        <v>3</v>
      </c>
      <c r="DW15" s="690"/>
      <c r="DX15" s="690"/>
      <c r="DY15" s="690"/>
      <c r="DZ15" s="690">
        <v>3</v>
      </c>
      <c r="EA15" s="690"/>
      <c r="EB15" s="690"/>
      <c r="EC15" s="690"/>
      <c r="ED15" s="690">
        <v>3</v>
      </c>
      <c r="EE15" s="690"/>
      <c r="EF15" s="690"/>
      <c r="EG15" s="690"/>
      <c r="EH15" s="690">
        <v>3</v>
      </c>
      <c r="EI15" s="690"/>
      <c r="EJ15" s="690"/>
      <c r="EK15" s="690"/>
      <c r="EL15" s="690">
        <v>3</v>
      </c>
      <c r="EM15" s="690"/>
      <c r="EN15" s="690"/>
      <c r="EO15" s="690"/>
      <c r="EP15" s="697" t="s">
        <v>1210</v>
      </c>
      <c r="EQ15" s="698"/>
      <c r="ER15" s="698"/>
      <c r="ES15" s="699"/>
    </row>
    <row r="16" spans="2:149" x14ac:dyDescent="0.45">
      <c r="B16" s="227"/>
      <c r="C16" s="227" t="s">
        <v>13</v>
      </c>
      <c r="E16" s="361"/>
      <c r="F16" s="362"/>
      <c r="G16" s="363"/>
      <c r="H16" s="363"/>
      <c r="I16" s="365"/>
      <c r="J16" s="364"/>
      <c r="K16" s="361"/>
      <c r="L16" s="361"/>
      <c r="M16" s="361"/>
      <c r="N16" s="364"/>
      <c r="O16" s="361"/>
      <c r="P16" s="361"/>
      <c r="Q16" s="361"/>
      <c r="R16" s="364"/>
      <c r="S16" s="361"/>
      <c r="T16" s="361"/>
      <c r="U16" s="361"/>
      <c r="V16" s="364"/>
      <c r="W16" s="361"/>
      <c r="X16" s="361"/>
      <c r="Y16" s="361"/>
      <c r="Z16" s="364"/>
      <c r="AA16" s="361"/>
      <c r="AB16" s="361"/>
      <c r="AC16" s="361"/>
      <c r="AD16" s="364"/>
      <c r="AE16" s="361"/>
      <c r="AF16" s="361"/>
      <c r="AG16" s="361"/>
      <c r="AH16" s="364"/>
      <c r="AI16" s="361"/>
      <c r="AJ16" s="361"/>
      <c r="AK16" s="361"/>
      <c r="AL16" s="364"/>
      <c r="AM16" s="361"/>
      <c r="AN16" s="361"/>
      <c r="AO16" s="361"/>
      <c r="AP16" s="364"/>
      <c r="AQ16" s="361"/>
      <c r="AR16" s="361"/>
      <c r="AS16" s="361"/>
      <c r="AT16" s="364"/>
      <c r="AU16" s="361"/>
      <c r="AV16" s="361"/>
      <c r="AW16" s="361"/>
      <c r="AX16" s="364"/>
      <c r="AY16" s="361"/>
      <c r="AZ16" s="361"/>
      <c r="BA16" s="361"/>
      <c r="BB16" s="364"/>
      <c r="BC16" s="361"/>
      <c r="BD16" s="361"/>
      <c r="BE16" s="361"/>
      <c r="BF16" s="364"/>
      <c r="BG16" s="361"/>
      <c r="BH16" s="361"/>
      <c r="BI16" s="361"/>
      <c r="BJ16" s="364"/>
      <c r="BK16" s="361"/>
      <c r="BL16" s="361"/>
      <c r="BM16" s="361"/>
      <c r="BN16" s="364"/>
      <c r="BO16" s="361"/>
      <c r="BP16" s="361"/>
      <c r="BQ16" s="361"/>
      <c r="BR16" s="364"/>
      <c r="BS16" s="361"/>
      <c r="BT16" s="361"/>
      <c r="BU16" s="361"/>
      <c r="BV16" s="364"/>
      <c r="BW16" s="361"/>
      <c r="BX16" s="361"/>
      <c r="BY16" s="361"/>
      <c r="BZ16" s="364"/>
      <c r="CA16" s="361"/>
      <c r="CB16" s="361"/>
      <c r="CC16" s="361"/>
      <c r="CD16" s="364"/>
      <c r="CE16" s="361"/>
      <c r="CF16" s="361"/>
      <c r="CG16" s="361"/>
      <c r="CH16" s="364"/>
      <c r="CI16" s="361"/>
      <c r="CJ16" s="361"/>
      <c r="CK16" s="361"/>
      <c r="CL16" s="364"/>
      <c r="CM16" s="361"/>
      <c r="CN16" s="361"/>
      <c r="CO16" s="361"/>
      <c r="CP16" s="364"/>
      <c r="CQ16" s="361"/>
      <c r="CR16" s="361"/>
      <c r="CS16" s="361"/>
      <c r="CT16" s="364"/>
      <c r="CU16" s="361"/>
      <c r="CV16" s="361"/>
      <c r="CW16" s="361"/>
      <c r="CX16" s="364"/>
      <c r="CY16" s="361"/>
      <c r="CZ16" s="361"/>
      <c r="DA16" s="361"/>
      <c r="DB16" s="364"/>
      <c r="DC16" s="361"/>
      <c r="DD16" s="361"/>
      <c r="DE16" s="361"/>
      <c r="DF16" s="364"/>
      <c r="DG16" s="361"/>
      <c r="DH16" s="361"/>
      <c r="DI16" s="361"/>
      <c r="DJ16" s="364"/>
      <c r="DK16" s="361"/>
      <c r="DL16" s="361"/>
      <c r="DM16" s="361"/>
      <c r="DN16" s="364"/>
      <c r="DO16" s="361"/>
      <c r="DP16" s="361"/>
      <c r="DQ16" s="361"/>
      <c r="DR16" s="364"/>
      <c r="DS16" s="361"/>
      <c r="DT16" s="361"/>
      <c r="DU16" s="361"/>
      <c r="DV16" s="364"/>
      <c r="DW16" s="361"/>
      <c r="DX16" s="361"/>
      <c r="DY16" s="361"/>
      <c r="DZ16" s="364"/>
      <c r="EA16" s="361"/>
      <c r="EB16" s="361"/>
      <c r="EC16" s="361"/>
      <c r="ED16" s="364"/>
      <c r="EE16" s="361"/>
      <c r="EF16" s="361"/>
      <c r="EG16" s="361"/>
      <c r="EH16" s="364"/>
      <c r="EI16" s="361"/>
      <c r="EJ16" s="361"/>
      <c r="EK16" s="361"/>
      <c r="EL16" s="364"/>
      <c r="EM16" s="361"/>
      <c r="EN16" s="361"/>
      <c r="EO16" s="361"/>
      <c r="EP16" s="362"/>
      <c r="EQ16" s="363"/>
      <c r="ER16" s="363"/>
      <c r="ES16" s="365"/>
    </row>
    <row r="17" spans="2:149" x14ac:dyDescent="0.45">
      <c r="B17" s="227"/>
      <c r="C17" s="227"/>
      <c r="F17" s="366"/>
      <c r="G17" s="367"/>
      <c r="H17" s="367"/>
      <c r="I17" s="368"/>
      <c r="J17" s="369"/>
      <c r="M17" s="370"/>
      <c r="N17" s="369"/>
      <c r="Q17" s="370"/>
      <c r="R17" s="369"/>
      <c r="U17" s="370"/>
      <c r="V17" s="369"/>
      <c r="Y17" s="370"/>
      <c r="Z17" s="369"/>
      <c r="AC17" s="370"/>
      <c r="AD17" s="369"/>
      <c r="AG17" s="370"/>
      <c r="AH17" s="369"/>
      <c r="AK17" s="370"/>
      <c r="AL17" s="369"/>
      <c r="AO17" s="370"/>
      <c r="AP17" s="369"/>
      <c r="AS17" s="370"/>
      <c r="AT17" s="369"/>
      <c r="AW17" s="370"/>
      <c r="AX17" s="369"/>
      <c r="BA17" s="370"/>
      <c r="BB17" s="369"/>
      <c r="BE17" s="370"/>
      <c r="BF17" s="369"/>
      <c r="BI17" s="370"/>
      <c r="BJ17" s="369"/>
      <c r="BM17" s="370"/>
      <c r="BN17" s="369"/>
      <c r="BQ17" s="370"/>
      <c r="BR17" s="369"/>
      <c r="BU17" s="370"/>
      <c r="BV17" s="369"/>
      <c r="BY17" s="370"/>
      <c r="BZ17" s="369"/>
      <c r="CC17" s="370"/>
      <c r="CD17" s="369"/>
      <c r="CG17" s="370"/>
      <c r="CH17" s="369"/>
      <c r="CK17" s="370"/>
      <c r="CL17" s="369"/>
      <c r="CO17" s="370"/>
      <c r="CP17" s="369"/>
      <c r="CS17" s="370"/>
      <c r="CT17" s="369"/>
      <c r="CW17" s="370"/>
      <c r="CX17" s="369"/>
      <c r="DA17" s="370"/>
      <c r="DB17" s="369"/>
      <c r="DE17" s="370"/>
      <c r="DF17" s="369"/>
      <c r="DI17" s="370"/>
      <c r="DJ17" s="369"/>
      <c r="DM17" s="370"/>
      <c r="DN17" s="369"/>
      <c r="DQ17" s="370"/>
      <c r="DR17" s="369"/>
      <c r="DU17" s="370"/>
      <c r="DV17" s="369"/>
      <c r="DY17" s="370"/>
      <c r="DZ17" s="369"/>
      <c r="EC17" s="370"/>
      <c r="ED17" s="369"/>
      <c r="EG17" s="370"/>
      <c r="EH17" s="369"/>
      <c r="EK17" s="370"/>
      <c r="EL17" s="369"/>
      <c r="EP17" s="366"/>
      <c r="EQ17" s="367"/>
      <c r="ER17" s="367"/>
      <c r="ES17" s="368"/>
    </row>
    <row r="18" spans="2:149" x14ac:dyDescent="0.45">
      <c r="B18" s="227" t="s">
        <v>3</v>
      </c>
      <c r="C18" s="227" t="s">
        <v>1200</v>
      </c>
      <c r="F18" s="691">
        <v>100</v>
      </c>
      <c r="G18" s="692"/>
      <c r="H18" s="692"/>
      <c r="I18" s="693"/>
      <c r="J18" s="694">
        <f>F18</f>
        <v>100</v>
      </c>
      <c r="K18" s="695"/>
      <c r="L18" s="695"/>
      <c r="M18" s="696"/>
      <c r="N18" s="694">
        <f>J18</f>
        <v>100</v>
      </c>
      <c r="O18" s="695"/>
      <c r="P18" s="695"/>
      <c r="Q18" s="696"/>
      <c r="R18" s="694">
        <f t="shared" ref="R18" si="43">N18</f>
        <v>100</v>
      </c>
      <c r="S18" s="695"/>
      <c r="T18" s="695"/>
      <c r="U18" s="696"/>
      <c r="V18" s="694">
        <f t="shared" ref="V18" si="44">R18</f>
        <v>100</v>
      </c>
      <c r="W18" s="695"/>
      <c r="X18" s="695"/>
      <c r="Y18" s="696"/>
      <c r="Z18" s="694">
        <f t="shared" ref="Z18" si="45">V18</f>
        <v>100</v>
      </c>
      <c r="AA18" s="695"/>
      <c r="AB18" s="695"/>
      <c r="AC18" s="696"/>
      <c r="AD18" s="694">
        <f t="shared" ref="AD18" si="46">Z18</f>
        <v>100</v>
      </c>
      <c r="AE18" s="695"/>
      <c r="AF18" s="695"/>
      <c r="AG18" s="696"/>
      <c r="AH18" s="694">
        <f t="shared" ref="AH18" si="47">AD18</f>
        <v>100</v>
      </c>
      <c r="AI18" s="695"/>
      <c r="AJ18" s="695"/>
      <c r="AK18" s="696"/>
      <c r="AL18" s="694">
        <f t="shared" ref="AL18" si="48">AH18</f>
        <v>100</v>
      </c>
      <c r="AM18" s="695"/>
      <c r="AN18" s="695"/>
      <c r="AO18" s="696"/>
      <c r="AP18" s="694">
        <f t="shared" ref="AP18" si="49">AL18</f>
        <v>100</v>
      </c>
      <c r="AQ18" s="695"/>
      <c r="AR18" s="695"/>
      <c r="AS18" s="696"/>
      <c r="AT18" s="694">
        <f t="shared" ref="AT18" si="50">AP18</f>
        <v>100</v>
      </c>
      <c r="AU18" s="695"/>
      <c r="AV18" s="695"/>
      <c r="AW18" s="696"/>
      <c r="AX18" s="708">
        <f>AT18+1.25</f>
        <v>101.25</v>
      </c>
      <c r="AY18" s="709"/>
      <c r="AZ18" s="709"/>
      <c r="BA18" s="710"/>
      <c r="BB18" s="708">
        <f>AX18+1.25</f>
        <v>102.5</v>
      </c>
      <c r="BC18" s="709"/>
      <c r="BD18" s="709"/>
      <c r="BE18" s="710"/>
      <c r="BF18" s="708">
        <f>BB18+1.25</f>
        <v>103.75</v>
      </c>
      <c r="BG18" s="709"/>
      <c r="BH18" s="709"/>
      <c r="BI18" s="710"/>
      <c r="BJ18" s="708">
        <f>BF18+1.25</f>
        <v>105</v>
      </c>
      <c r="BK18" s="709"/>
      <c r="BL18" s="709"/>
      <c r="BM18" s="710"/>
      <c r="BN18" s="708">
        <f>BJ18+1.25</f>
        <v>106.25</v>
      </c>
      <c r="BO18" s="709"/>
      <c r="BP18" s="709"/>
      <c r="BQ18" s="710"/>
      <c r="BR18" s="708">
        <f>BN18+1.25</f>
        <v>107.5</v>
      </c>
      <c r="BS18" s="709"/>
      <c r="BT18" s="709"/>
      <c r="BU18" s="710"/>
      <c r="BV18" s="708">
        <f>BR18+1.25</f>
        <v>108.75</v>
      </c>
      <c r="BW18" s="709"/>
      <c r="BX18" s="709"/>
      <c r="BY18" s="710"/>
      <c r="BZ18" s="708">
        <f>BV18+1.25</f>
        <v>110</v>
      </c>
      <c r="CA18" s="709"/>
      <c r="CB18" s="709"/>
      <c r="CC18" s="710"/>
      <c r="CD18" s="708">
        <f>BZ18+1.25</f>
        <v>111.25</v>
      </c>
      <c r="CE18" s="709"/>
      <c r="CF18" s="709"/>
      <c r="CG18" s="710"/>
      <c r="CH18" s="708">
        <f>CD18+1.25</f>
        <v>112.5</v>
      </c>
      <c r="CI18" s="709"/>
      <c r="CJ18" s="709"/>
      <c r="CK18" s="710"/>
      <c r="CL18" s="708">
        <f>CH18+1.25</f>
        <v>113.75</v>
      </c>
      <c r="CM18" s="709"/>
      <c r="CN18" s="709"/>
      <c r="CO18" s="710"/>
      <c r="CP18" s="708">
        <f>CL18+1.25</f>
        <v>115</v>
      </c>
      <c r="CQ18" s="709"/>
      <c r="CR18" s="709"/>
      <c r="CS18" s="710"/>
      <c r="CT18" s="708">
        <f>CP18+1.25</f>
        <v>116.25</v>
      </c>
      <c r="CU18" s="709"/>
      <c r="CV18" s="709"/>
      <c r="CW18" s="710"/>
      <c r="CX18" s="708">
        <f>CT18+1.25</f>
        <v>117.5</v>
      </c>
      <c r="CY18" s="709"/>
      <c r="CZ18" s="709"/>
      <c r="DA18" s="710"/>
      <c r="DB18" s="708">
        <f>CX18+1.25</f>
        <v>118.75</v>
      </c>
      <c r="DC18" s="709"/>
      <c r="DD18" s="709"/>
      <c r="DE18" s="710"/>
      <c r="DF18" s="694">
        <f>DB18+1.25</f>
        <v>120</v>
      </c>
      <c r="DG18" s="695"/>
      <c r="DH18" s="695"/>
      <c r="DI18" s="696"/>
      <c r="DJ18" s="694">
        <f>DF18</f>
        <v>120</v>
      </c>
      <c r="DK18" s="695"/>
      <c r="DL18" s="695"/>
      <c r="DM18" s="696"/>
      <c r="DN18" s="694">
        <f>DJ18</f>
        <v>120</v>
      </c>
      <c r="DO18" s="695"/>
      <c r="DP18" s="695"/>
      <c r="DQ18" s="696"/>
      <c r="DR18" s="694">
        <f t="shared" ref="DR18" si="51">DN18</f>
        <v>120</v>
      </c>
      <c r="DS18" s="695"/>
      <c r="DT18" s="695"/>
      <c r="DU18" s="696"/>
      <c r="DV18" s="694">
        <f t="shared" ref="DV18" si="52">DR18</f>
        <v>120</v>
      </c>
      <c r="DW18" s="695"/>
      <c r="DX18" s="695"/>
      <c r="DY18" s="696"/>
      <c r="DZ18" s="694">
        <f t="shared" ref="DZ18" si="53">DV18</f>
        <v>120</v>
      </c>
      <c r="EA18" s="695"/>
      <c r="EB18" s="695"/>
      <c r="EC18" s="696"/>
      <c r="ED18" s="694">
        <f t="shared" ref="ED18" si="54">DZ18</f>
        <v>120</v>
      </c>
      <c r="EE18" s="695"/>
      <c r="EF18" s="695"/>
      <c r="EG18" s="696"/>
      <c r="EH18" s="694">
        <f t="shared" ref="EH18" si="55">ED18</f>
        <v>120</v>
      </c>
      <c r="EI18" s="695"/>
      <c r="EJ18" s="695"/>
      <c r="EK18" s="696"/>
      <c r="EL18" s="694">
        <f t="shared" ref="EL18" si="56">EH18</f>
        <v>120</v>
      </c>
      <c r="EM18" s="695"/>
      <c r="EN18" s="695"/>
      <c r="EO18" s="695"/>
      <c r="EP18" s="691">
        <f t="shared" ref="EP18" si="57">EL18</f>
        <v>120</v>
      </c>
      <c r="EQ18" s="692"/>
      <c r="ER18" s="692"/>
      <c r="ES18" s="693"/>
    </row>
    <row r="19" spans="2:149" x14ac:dyDescent="0.45">
      <c r="B19" s="227"/>
      <c r="C19" s="227"/>
      <c r="F19" s="371"/>
      <c r="G19" s="372"/>
      <c r="H19" s="372"/>
      <c r="I19" s="373"/>
      <c r="J19" s="374"/>
      <c r="K19" s="375"/>
      <c r="L19" s="375"/>
      <c r="M19" s="376"/>
      <c r="N19" s="374"/>
      <c r="O19" s="375"/>
      <c r="P19" s="375"/>
      <c r="Q19" s="376"/>
      <c r="R19" s="374"/>
      <c r="S19" s="375"/>
      <c r="T19" s="375"/>
      <c r="U19" s="376"/>
      <c r="V19" s="374"/>
      <c r="W19" s="375"/>
      <c r="X19" s="375"/>
      <c r="Y19" s="376"/>
      <c r="Z19" s="374"/>
      <c r="AA19" s="375"/>
      <c r="AB19" s="375"/>
      <c r="AC19" s="376"/>
      <c r="AD19" s="374"/>
      <c r="AE19" s="375"/>
      <c r="AF19" s="375"/>
      <c r="AG19" s="376"/>
      <c r="AH19" s="374"/>
      <c r="AI19" s="375"/>
      <c r="AJ19" s="375"/>
      <c r="AK19" s="376"/>
      <c r="AL19" s="374"/>
      <c r="AM19" s="375"/>
      <c r="AN19" s="375"/>
      <c r="AO19" s="376"/>
      <c r="AP19" s="374"/>
      <c r="AQ19" s="375"/>
      <c r="AR19" s="375"/>
      <c r="AS19" s="376"/>
      <c r="AT19" s="374"/>
      <c r="AU19" s="375"/>
      <c r="AV19" s="375"/>
      <c r="AW19" s="376"/>
      <c r="AX19" s="374"/>
      <c r="AY19" s="375"/>
      <c r="AZ19" s="375"/>
      <c r="BA19" s="376"/>
      <c r="BB19" s="374"/>
      <c r="BC19" s="375"/>
      <c r="BD19" s="375"/>
      <c r="BE19" s="376"/>
      <c r="BF19" s="374"/>
      <c r="BG19" s="375"/>
      <c r="BH19" s="375"/>
      <c r="BI19" s="376"/>
      <c r="BJ19" s="374"/>
      <c r="BK19" s="375"/>
      <c r="BL19" s="375"/>
      <c r="BM19" s="376"/>
      <c r="BN19" s="374"/>
      <c r="BO19" s="375"/>
      <c r="BP19" s="375"/>
      <c r="BQ19" s="376"/>
      <c r="BR19" s="374"/>
      <c r="BS19" s="375"/>
      <c r="BT19" s="375"/>
      <c r="BU19" s="376"/>
      <c r="BV19" s="374"/>
      <c r="BW19" s="375"/>
      <c r="BX19" s="375"/>
      <c r="BY19" s="376"/>
      <c r="BZ19" s="374"/>
      <c r="CA19" s="375"/>
      <c r="CB19" s="375"/>
      <c r="CC19" s="376"/>
      <c r="CD19" s="374"/>
      <c r="CE19" s="375"/>
      <c r="CF19" s="375"/>
      <c r="CG19" s="376"/>
      <c r="CH19" s="374"/>
      <c r="CI19" s="375"/>
      <c r="CJ19" s="375"/>
      <c r="CK19" s="376"/>
      <c r="CL19" s="374"/>
      <c r="CM19" s="375"/>
      <c r="CN19" s="375"/>
      <c r="CO19" s="376"/>
      <c r="CP19" s="374"/>
      <c r="CQ19" s="375"/>
      <c r="CR19" s="375"/>
      <c r="CS19" s="376"/>
      <c r="CT19" s="374"/>
      <c r="CU19" s="375"/>
      <c r="CV19" s="375"/>
      <c r="CW19" s="376"/>
      <c r="CX19" s="374"/>
      <c r="CY19" s="375"/>
      <c r="CZ19" s="375"/>
      <c r="DA19" s="376"/>
      <c r="DB19" s="374"/>
      <c r="DC19" s="375"/>
      <c r="DD19" s="375"/>
      <c r="DE19" s="376"/>
      <c r="DF19" s="374"/>
      <c r="DG19" s="375"/>
      <c r="DH19" s="375"/>
      <c r="DI19" s="376"/>
      <c r="DJ19" s="374"/>
      <c r="DK19" s="375"/>
      <c r="DL19" s="375"/>
      <c r="DM19" s="376"/>
      <c r="DN19" s="374"/>
      <c r="DO19" s="375"/>
      <c r="DP19" s="375"/>
      <c r="DQ19" s="376"/>
      <c r="DR19" s="374"/>
      <c r="DS19" s="375"/>
      <c r="DT19" s="375"/>
      <c r="DU19" s="376"/>
      <c r="DV19" s="374"/>
      <c r="DW19" s="375"/>
      <c r="DX19" s="375"/>
      <c r="DY19" s="376"/>
      <c r="DZ19" s="374"/>
      <c r="EA19" s="375"/>
      <c r="EB19" s="375"/>
      <c r="EC19" s="376"/>
      <c r="ED19" s="374"/>
      <c r="EE19" s="375"/>
      <c r="EF19" s="375"/>
      <c r="EG19" s="376"/>
      <c r="EH19" s="374"/>
      <c r="EI19" s="375"/>
      <c r="EJ19" s="375"/>
      <c r="EK19" s="376"/>
      <c r="EL19" s="374"/>
      <c r="EM19" s="375"/>
      <c r="EN19" s="375"/>
      <c r="EO19" s="375"/>
      <c r="EP19" s="371"/>
      <c r="EQ19" s="372"/>
      <c r="ER19" s="372"/>
      <c r="ES19" s="373"/>
    </row>
    <row r="20" spans="2:149" x14ac:dyDescent="0.45">
      <c r="B20" s="356" t="s">
        <v>1213</v>
      </c>
      <c r="C20" s="356" t="s">
        <v>1214</v>
      </c>
      <c r="F20" s="371"/>
      <c r="G20" s="372"/>
      <c r="H20" s="372"/>
      <c r="I20" s="373"/>
      <c r="J20" s="374"/>
      <c r="K20" s="375"/>
      <c r="L20" s="375"/>
      <c r="M20" s="376"/>
      <c r="N20" s="374"/>
      <c r="O20" s="375"/>
      <c r="P20" s="375"/>
      <c r="Q20" s="376"/>
      <c r="R20" s="374"/>
      <c r="S20" s="375"/>
      <c r="T20" s="375"/>
      <c r="U20" s="376"/>
      <c r="V20" s="374"/>
      <c r="W20" s="375"/>
      <c r="X20" s="375"/>
      <c r="Y20" s="376"/>
      <c r="Z20" s="374"/>
      <c r="AA20" s="375"/>
      <c r="AB20" s="375"/>
      <c r="AC20" s="376"/>
      <c r="AD20" s="374"/>
      <c r="AE20" s="375"/>
      <c r="AF20" s="375"/>
      <c r="AG20" s="376"/>
      <c r="AH20" s="374"/>
      <c r="AI20" s="375"/>
      <c r="AJ20" s="375"/>
      <c r="AK20" s="376"/>
      <c r="AL20" s="374"/>
      <c r="AM20" s="375"/>
      <c r="AN20" s="375"/>
      <c r="AO20" s="376"/>
      <c r="AP20" s="374"/>
      <c r="AQ20" s="375"/>
      <c r="AR20" s="375"/>
      <c r="AS20" s="376"/>
      <c r="AT20" s="374"/>
      <c r="AU20" s="375"/>
      <c r="AV20" s="375"/>
      <c r="AW20" s="376"/>
      <c r="AX20" s="374"/>
      <c r="AY20" s="375"/>
      <c r="AZ20" s="375"/>
      <c r="BA20" s="376"/>
      <c r="BB20" s="374"/>
      <c r="BC20" s="375"/>
      <c r="BD20" s="375"/>
      <c r="BE20" s="376"/>
      <c r="BF20" s="374"/>
      <c r="BG20" s="375"/>
      <c r="BH20" s="375"/>
      <c r="BI20" s="376"/>
      <c r="BJ20" s="374"/>
      <c r="BK20" s="375"/>
      <c r="BL20" s="375"/>
      <c r="BM20" s="376"/>
      <c r="BN20" s="374"/>
      <c r="BO20" s="375"/>
      <c r="BP20" s="375"/>
      <c r="BQ20" s="376"/>
      <c r="BR20" s="374"/>
      <c r="BS20" s="375"/>
      <c r="BT20" s="375"/>
      <c r="BU20" s="376"/>
      <c r="BV20" s="374"/>
      <c r="BW20" s="375"/>
      <c r="BX20" s="375"/>
      <c r="BY20" s="376"/>
      <c r="BZ20" s="374"/>
      <c r="CA20" s="375"/>
      <c r="CB20" s="375"/>
      <c r="CC20" s="376"/>
      <c r="CD20" s="374"/>
      <c r="CE20" s="375"/>
      <c r="CF20" s="375"/>
      <c r="CG20" s="376"/>
      <c r="CH20" s="374"/>
      <c r="CI20" s="375"/>
      <c r="CJ20" s="375"/>
      <c r="CK20" s="376"/>
      <c r="CL20" s="374"/>
      <c r="CM20" s="375"/>
      <c r="CN20" s="375"/>
      <c r="CO20" s="376"/>
      <c r="CP20" s="374"/>
      <c r="CQ20" s="375"/>
      <c r="CR20" s="375"/>
      <c r="CS20" s="376"/>
      <c r="CT20" s="374"/>
      <c r="CU20" s="375"/>
      <c r="CV20" s="375"/>
      <c r="CW20" s="376"/>
      <c r="CX20" s="374"/>
      <c r="CY20" s="375"/>
      <c r="CZ20" s="375"/>
      <c r="DA20" s="376"/>
      <c r="DB20" s="374"/>
      <c r="DC20" s="375"/>
      <c r="DD20" s="375"/>
      <c r="DE20" s="376"/>
      <c r="DF20" s="374"/>
      <c r="DG20" s="375"/>
      <c r="DH20" s="375"/>
      <c r="DI20" s="376"/>
      <c r="DJ20" s="374"/>
      <c r="DK20" s="375"/>
      <c r="DL20" s="375"/>
      <c r="DM20" s="376"/>
      <c r="DN20" s="374"/>
      <c r="DO20" s="375"/>
      <c r="DP20" s="375"/>
      <c r="DQ20" s="376"/>
      <c r="DR20" s="374"/>
      <c r="DS20" s="375"/>
      <c r="DT20" s="375"/>
      <c r="DU20" s="376"/>
      <c r="DV20" s="374"/>
      <c r="DW20" s="375"/>
      <c r="DX20" s="375"/>
      <c r="DY20" s="376"/>
      <c r="DZ20" s="374"/>
      <c r="EA20" s="375"/>
      <c r="EB20" s="375"/>
      <c r="EC20" s="376"/>
      <c r="ED20" s="374"/>
      <c r="EE20" s="375"/>
      <c r="EF20" s="375"/>
      <c r="EG20" s="376"/>
      <c r="EH20" s="374"/>
      <c r="EI20" s="375"/>
      <c r="EJ20" s="375"/>
      <c r="EK20" s="376"/>
      <c r="EL20" s="374"/>
      <c r="EM20" s="375"/>
      <c r="EN20" s="375"/>
      <c r="EO20" s="375"/>
      <c r="EP20" s="371"/>
      <c r="EQ20" s="372"/>
      <c r="ER20" s="372"/>
      <c r="ES20" s="373"/>
    </row>
    <row r="21" spans="2:149" x14ac:dyDescent="0.45">
      <c r="B21" s="227" t="s">
        <v>21</v>
      </c>
      <c r="C21" s="227" t="s">
        <v>1201</v>
      </c>
      <c r="F21" s="697">
        <v>95</v>
      </c>
      <c r="G21" s="698"/>
      <c r="H21" s="698"/>
      <c r="I21" s="699"/>
      <c r="J21" s="703">
        <f>F21</f>
        <v>95</v>
      </c>
      <c r="K21" s="690"/>
      <c r="L21" s="690"/>
      <c r="M21" s="704"/>
      <c r="N21" s="703">
        <f>J21</f>
        <v>95</v>
      </c>
      <c r="O21" s="690"/>
      <c r="P21" s="690"/>
      <c r="Q21" s="704"/>
      <c r="R21" s="703">
        <f t="shared" ref="R21" si="58">N21</f>
        <v>95</v>
      </c>
      <c r="S21" s="690"/>
      <c r="T21" s="690"/>
      <c r="U21" s="704"/>
      <c r="V21" s="703">
        <f t="shared" ref="V21" si="59">R21</f>
        <v>95</v>
      </c>
      <c r="W21" s="690"/>
      <c r="X21" s="690"/>
      <c r="Y21" s="704"/>
      <c r="Z21" s="703">
        <f t="shared" ref="Z21" si="60">V21</f>
        <v>95</v>
      </c>
      <c r="AA21" s="690"/>
      <c r="AB21" s="690"/>
      <c r="AC21" s="704"/>
      <c r="AD21" s="703">
        <f t="shared" ref="AD21" si="61">Z21</f>
        <v>95</v>
      </c>
      <c r="AE21" s="690"/>
      <c r="AF21" s="690"/>
      <c r="AG21" s="704"/>
      <c r="AH21" s="703">
        <f t="shared" ref="AH21" si="62">AD21</f>
        <v>95</v>
      </c>
      <c r="AI21" s="690"/>
      <c r="AJ21" s="690"/>
      <c r="AK21" s="704"/>
      <c r="AL21" s="703">
        <f t="shared" ref="AL21" si="63">AH21</f>
        <v>95</v>
      </c>
      <c r="AM21" s="690"/>
      <c r="AN21" s="690"/>
      <c r="AO21" s="704"/>
      <c r="AP21" s="703">
        <f t="shared" ref="AP21" si="64">AL21</f>
        <v>95</v>
      </c>
      <c r="AQ21" s="690"/>
      <c r="AR21" s="690"/>
      <c r="AS21" s="704"/>
      <c r="AT21" s="719">
        <f>AP21-1</f>
        <v>94</v>
      </c>
      <c r="AU21" s="714"/>
      <c r="AV21" s="714"/>
      <c r="AW21" s="715"/>
      <c r="AX21" s="719">
        <f>AT21-1</f>
        <v>93</v>
      </c>
      <c r="AY21" s="714"/>
      <c r="AZ21" s="714"/>
      <c r="BA21" s="715"/>
      <c r="BB21" s="719">
        <f>AX21-1</f>
        <v>92</v>
      </c>
      <c r="BC21" s="714"/>
      <c r="BD21" s="714"/>
      <c r="BE21" s="715"/>
      <c r="BF21" s="719">
        <f>BB21-1</f>
        <v>91</v>
      </c>
      <c r="BG21" s="714"/>
      <c r="BH21" s="714"/>
      <c r="BI21" s="715"/>
      <c r="BJ21" s="719">
        <f>BF21-1</f>
        <v>90</v>
      </c>
      <c r="BK21" s="714"/>
      <c r="BL21" s="714"/>
      <c r="BM21" s="715"/>
      <c r="BN21" s="719">
        <f>BJ21-1</f>
        <v>89</v>
      </c>
      <c r="BO21" s="714"/>
      <c r="BP21" s="714"/>
      <c r="BQ21" s="715"/>
      <c r="BR21" s="719">
        <f>BN21-1</f>
        <v>88</v>
      </c>
      <c r="BS21" s="714"/>
      <c r="BT21" s="714"/>
      <c r="BU21" s="715"/>
      <c r="BV21" s="719">
        <f>BR21-1</f>
        <v>87</v>
      </c>
      <c r="BW21" s="714"/>
      <c r="BX21" s="714"/>
      <c r="BY21" s="715"/>
      <c r="BZ21" s="719">
        <f>BV21-1</f>
        <v>86</v>
      </c>
      <c r="CA21" s="714"/>
      <c r="CB21" s="714"/>
      <c r="CC21" s="715"/>
      <c r="CD21" s="719">
        <f>BZ21-1</f>
        <v>85</v>
      </c>
      <c r="CE21" s="714"/>
      <c r="CF21" s="714"/>
      <c r="CG21" s="715"/>
      <c r="CH21" s="719">
        <f>CD21-1</f>
        <v>84</v>
      </c>
      <c r="CI21" s="714"/>
      <c r="CJ21" s="714"/>
      <c r="CK21" s="715"/>
      <c r="CL21" s="719">
        <f>CH21-1</f>
        <v>83</v>
      </c>
      <c r="CM21" s="714"/>
      <c r="CN21" s="714"/>
      <c r="CO21" s="715"/>
      <c r="CP21" s="719">
        <f>CL21-1</f>
        <v>82</v>
      </c>
      <c r="CQ21" s="714"/>
      <c r="CR21" s="714"/>
      <c r="CS21" s="715"/>
      <c r="CT21" s="719">
        <f>CP21-1</f>
        <v>81</v>
      </c>
      <c r="CU21" s="714"/>
      <c r="CV21" s="714"/>
      <c r="CW21" s="715"/>
      <c r="CX21" s="719">
        <f>CT21-1</f>
        <v>80</v>
      </c>
      <c r="CY21" s="714"/>
      <c r="CZ21" s="714"/>
      <c r="DA21" s="715"/>
      <c r="DB21" s="719">
        <f>CX21-1</f>
        <v>79</v>
      </c>
      <c r="DC21" s="714"/>
      <c r="DD21" s="714"/>
      <c r="DE21" s="715"/>
      <c r="DF21" s="703">
        <f>DB21</f>
        <v>79</v>
      </c>
      <c r="DG21" s="690"/>
      <c r="DH21" s="690"/>
      <c r="DI21" s="704"/>
      <c r="DJ21" s="703">
        <f>DF21</f>
        <v>79</v>
      </c>
      <c r="DK21" s="690"/>
      <c r="DL21" s="690"/>
      <c r="DM21" s="704"/>
      <c r="DN21" s="703">
        <f>DJ21</f>
        <v>79</v>
      </c>
      <c r="DO21" s="690"/>
      <c r="DP21" s="690"/>
      <c r="DQ21" s="704"/>
      <c r="DR21" s="703">
        <f t="shared" ref="DR21" si="65">DN21</f>
        <v>79</v>
      </c>
      <c r="DS21" s="690"/>
      <c r="DT21" s="690"/>
      <c r="DU21" s="704"/>
      <c r="DV21" s="703">
        <f t="shared" ref="DV21" si="66">DR21</f>
        <v>79</v>
      </c>
      <c r="DW21" s="690"/>
      <c r="DX21" s="690"/>
      <c r="DY21" s="704"/>
      <c r="DZ21" s="703">
        <f t="shared" ref="DZ21" si="67">DV21</f>
        <v>79</v>
      </c>
      <c r="EA21" s="690"/>
      <c r="EB21" s="690"/>
      <c r="EC21" s="704"/>
      <c r="ED21" s="703">
        <f t="shared" ref="ED21" si="68">DZ21</f>
        <v>79</v>
      </c>
      <c r="EE21" s="690"/>
      <c r="EF21" s="690"/>
      <c r="EG21" s="704"/>
      <c r="EH21" s="703">
        <f t="shared" ref="EH21" si="69">ED21</f>
        <v>79</v>
      </c>
      <c r="EI21" s="690"/>
      <c r="EJ21" s="690"/>
      <c r="EK21" s="704"/>
      <c r="EL21" s="703">
        <f t="shared" ref="EL21" si="70">EH21</f>
        <v>79</v>
      </c>
      <c r="EM21" s="690"/>
      <c r="EN21" s="690"/>
      <c r="EO21" s="690"/>
      <c r="EP21" s="697">
        <f t="shared" ref="EP21" si="71">EL21</f>
        <v>79</v>
      </c>
      <c r="EQ21" s="698"/>
      <c r="ER21" s="698"/>
      <c r="ES21" s="699"/>
    </row>
    <row r="22" spans="2:149" x14ac:dyDescent="0.45">
      <c r="B22" s="227" t="s">
        <v>1205</v>
      </c>
      <c r="C22" s="227" t="s">
        <v>1202</v>
      </c>
      <c r="F22" s="716">
        <f>B14+B14*0.004</f>
        <v>394692.48</v>
      </c>
      <c r="G22" s="717"/>
      <c r="H22" s="717"/>
      <c r="I22" s="718"/>
      <c r="J22" s="705">
        <f>B14+B14*0.005</f>
        <v>395085.6</v>
      </c>
      <c r="K22" s="706"/>
      <c r="L22" s="706"/>
      <c r="M22" s="707"/>
      <c r="N22" s="705">
        <f>B14+B14*0.006</f>
        <v>395478.72</v>
      </c>
      <c r="O22" s="706"/>
      <c r="P22" s="706"/>
      <c r="Q22" s="707"/>
      <c r="R22" s="705">
        <f>B14+B14*0.007</f>
        <v>395871.84</v>
      </c>
      <c r="S22" s="706"/>
      <c r="T22" s="706"/>
      <c r="U22" s="707"/>
      <c r="V22" s="705">
        <f>B14+B14*0.008</f>
        <v>396264.96000000002</v>
      </c>
      <c r="W22" s="706"/>
      <c r="X22" s="706"/>
      <c r="Y22" s="707"/>
      <c r="Z22" s="705">
        <f>B14+B14*0.009</f>
        <v>396658.08</v>
      </c>
      <c r="AA22" s="706"/>
      <c r="AB22" s="706"/>
      <c r="AC22" s="707"/>
      <c r="AD22" s="705">
        <f>B14+B14*0.01</f>
        <v>397051.2</v>
      </c>
      <c r="AE22" s="706"/>
      <c r="AF22" s="706"/>
      <c r="AG22" s="707"/>
      <c r="AH22" s="705">
        <f>B14+B14*0.011</f>
        <v>397444.32</v>
      </c>
      <c r="AI22" s="706"/>
      <c r="AJ22" s="706"/>
      <c r="AK22" s="707"/>
      <c r="AL22" s="705">
        <f>B14+B14*0.01235</f>
        <v>397975.03200000001</v>
      </c>
      <c r="AM22" s="706"/>
      <c r="AN22" s="706"/>
      <c r="AO22" s="707"/>
      <c r="AP22" s="705">
        <f>B14+B14*0.01235</f>
        <v>397975.03200000001</v>
      </c>
      <c r="AQ22" s="706"/>
      <c r="AR22" s="706"/>
      <c r="AS22" s="707"/>
      <c r="AT22" s="711">
        <f>C14+C14*0.01235</f>
        <v>331645.86</v>
      </c>
      <c r="AU22" s="712"/>
      <c r="AV22" s="712"/>
      <c r="AW22" s="713"/>
      <c r="AX22" s="711">
        <f>AT22</f>
        <v>331645.86</v>
      </c>
      <c r="AY22" s="714"/>
      <c r="AZ22" s="714"/>
      <c r="BA22" s="715"/>
      <c r="BB22" s="711">
        <f t="shared" ref="BB22" si="72">AX22</f>
        <v>331645.86</v>
      </c>
      <c r="BC22" s="714"/>
      <c r="BD22" s="714"/>
      <c r="BE22" s="715"/>
      <c r="BF22" s="711">
        <f t="shared" ref="BF22" si="73">BB22</f>
        <v>331645.86</v>
      </c>
      <c r="BG22" s="714"/>
      <c r="BH22" s="714"/>
      <c r="BI22" s="715"/>
      <c r="BJ22" s="711">
        <f t="shared" ref="BJ22" si="74">BF22</f>
        <v>331645.86</v>
      </c>
      <c r="BK22" s="714"/>
      <c r="BL22" s="714"/>
      <c r="BM22" s="715"/>
      <c r="BN22" s="711">
        <f t="shared" ref="BN22" si="75">BJ22</f>
        <v>331645.86</v>
      </c>
      <c r="BO22" s="714"/>
      <c r="BP22" s="714"/>
      <c r="BQ22" s="715"/>
      <c r="BR22" s="711">
        <f t="shared" ref="BR22" si="76">BN22</f>
        <v>331645.86</v>
      </c>
      <c r="BS22" s="714"/>
      <c r="BT22" s="714"/>
      <c r="BU22" s="715"/>
      <c r="BV22" s="711">
        <f t="shared" ref="BV22" si="77">BR22</f>
        <v>331645.86</v>
      </c>
      <c r="BW22" s="714"/>
      <c r="BX22" s="714"/>
      <c r="BY22" s="715"/>
      <c r="BZ22" s="711">
        <f t="shared" ref="BZ22" si="78">BV22</f>
        <v>331645.86</v>
      </c>
      <c r="CA22" s="714"/>
      <c r="CB22" s="714"/>
      <c r="CC22" s="715"/>
      <c r="CD22" s="711">
        <f t="shared" ref="CD22" si="79">BZ22</f>
        <v>331645.86</v>
      </c>
      <c r="CE22" s="714"/>
      <c r="CF22" s="714"/>
      <c r="CG22" s="715"/>
      <c r="CH22" s="711">
        <f t="shared" ref="CH22" si="80">CD22</f>
        <v>331645.86</v>
      </c>
      <c r="CI22" s="714"/>
      <c r="CJ22" s="714"/>
      <c r="CK22" s="715"/>
      <c r="CL22" s="711">
        <f t="shared" ref="CL22" si="81">CH22</f>
        <v>331645.86</v>
      </c>
      <c r="CM22" s="714"/>
      <c r="CN22" s="714"/>
      <c r="CO22" s="715"/>
      <c r="CP22" s="711">
        <f t="shared" ref="CP22" si="82">CL22</f>
        <v>331645.86</v>
      </c>
      <c r="CQ22" s="714"/>
      <c r="CR22" s="714"/>
      <c r="CS22" s="715"/>
      <c r="CT22" s="711">
        <f t="shared" ref="CT22" si="83">CP22</f>
        <v>331645.86</v>
      </c>
      <c r="CU22" s="714"/>
      <c r="CV22" s="714"/>
      <c r="CW22" s="715"/>
      <c r="CX22" s="711">
        <f t="shared" ref="CX22" si="84">CT22</f>
        <v>331645.86</v>
      </c>
      <c r="CY22" s="714"/>
      <c r="CZ22" s="714"/>
      <c r="DA22" s="715"/>
      <c r="DB22" s="711">
        <f t="shared" ref="DB22" si="85">CX22</f>
        <v>331645.86</v>
      </c>
      <c r="DC22" s="714"/>
      <c r="DD22" s="714"/>
      <c r="DE22" s="715"/>
      <c r="DF22" s="711">
        <f t="shared" ref="DF22" si="86">DB22</f>
        <v>331645.86</v>
      </c>
      <c r="DG22" s="714"/>
      <c r="DH22" s="714"/>
      <c r="DI22" s="715"/>
      <c r="DJ22" s="705">
        <f>DF22</f>
        <v>331645.86</v>
      </c>
      <c r="DK22" s="706"/>
      <c r="DL22" s="706"/>
      <c r="DM22" s="707"/>
      <c r="DN22" s="705">
        <f>C14+C14*0.011</f>
        <v>331203.59999999998</v>
      </c>
      <c r="DO22" s="706"/>
      <c r="DP22" s="706"/>
      <c r="DQ22" s="707"/>
      <c r="DR22" s="705">
        <f>C14+C14*0.01</f>
        <v>330876</v>
      </c>
      <c r="DS22" s="706"/>
      <c r="DT22" s="706"/>
      <c r="DU22" s="707"/>
      <c r="DV22" s="705">
        <f>C14+C14*0.009</f>
        <v>330548.40000000002</v>
      </c>
      <c r="DW22" s="706"/>
      <c r="DX22" s="706"/>
      <c r="DY22" s="707"/>
      <c r="DZ22" s="705">
        <f>C14+C14*0.008</f>
        <v>330220.79999999999</v>
      </c>
      <c r="EA22" s="706"/>
      <c r="EB22" s="706"/>
      <c r="EC22" s="707"/>
      <c r="ED22" s="705">
        <f>C14+C14*0.007</f>
        <v>329893.2</v>
      </c>
      <c r="EE22" s="706"/>
      <c r="EF22" s="706"/>
      <c r="EG22" s="707"/>
      <c r="EH22" s="705">
        <f>C14+C14*0.006</f>
        <v>329565.59999999998</v>
      </c>
      <c r="EI22" s="706"/>
      <c r="EJ22" s="706"/>
      <c r="EK22" s="707"/>
      <c r="EL22" s="705">
        <f>C14+C14*0.005</f>
        <v>329238</v>
      </c>
      <c r="EM22" s="706"/>
      <c r="EN22" s="706"/>
      <c r="EO22" s="706"/>
      <c r="EP22" s="716">
        <f>C14+C14*0.004</f>
        <v>328910.40000000002</v>
      </c>
      <c r="EQ22" s="717"/>
      <c r="ER22" s="717"/>
      <c r="ES22" s="718"/>
    </row>
    <row r="23" spans="2:149" x14ac:dyDescent="0.45">
      <c r="B23" s="227" t="s">
        <v>1204</v>
      </c>
      <c r="C23" s="227" t="s">
        <v>1203</v>
      </c>
      <c r="F23" s="697">
        <v>0</v>
      </c>
      <c r="G23" s="698"/>
      <c r="H23" s="698"/>
      <c r="I23" s="699"/>
      <c r="J23" s="703">
        <v>0</v>
      </c>
      <c r="K23" s="690"/>
      <c r="L23" s="690"/>
      <c r="M23" s="704"/>
      <c r="N23" s="703">
        <v>0</v>
      </c>
      <c r="O23" s="690"/>
      <c r="P23" s="690"/>
      <c r="Q23" s="704"/>
      <c r="R23" s="703">
        <v>0</v>
      </c>
      <c r="S23" s="690"/>
      <c r="T23" s="690"/>
      <c r="U23" s="704"/>
      <c r="V23" s="703">
        <v>0</v>
      </c>
      <c r="W23" s="690"/>
      <c r="X23" s="690"/>
      <c r="Y23" s="704"/>
      <c r="Z23" s="703">
        <v>0</v>
      </c>
      <c r="AA23" s="690"/>
      <c r="AB23" s="690"/>
      <c r="AC23" s="704"/>
      <c r="AD23" s="703">
        <v>0</v>
      </c>
      <c r="AE23" s="690"/>
      <c r="AF23" s="690"/>
      <c r="AG23" s="704"/>
      <c r="AH23" s="703">
        <v>0</v>
      </c>
      <c r="AI23" s="690"/>
      <c r="AJ23" s="690"/>
      <c r="AK23" s="704"/>
      <c r="AL23" s="703">
        <v>0</v>
      </c>
      <c r="AM23" s="690"/>
      <c r="AN23" s="690"/>
      <c r="AO23" s="704"/>
      <c r="AP23" s="719">
        <v>1</v>
      </c>
      <c r="AQ23" s="714"/>
      <c r="AR23" s="714"/>
      <c r="AS23" s="715"/>
      <c r="AT23" s="719">
        <v>1</v>
      </c>
      <c r="AU23" s="714"/>
      <c r="AV23" s="714"/>
      <c r="AW23" s="715"/>
      <c r="AX23" s="719">
        <v>1</v>
      </c>
      <c r="AY23" s="714"/>
      <c r="AZ23" s="714"/>
      <c r="BA23" s="715"/>
      <c r="BB23" s="719">
        <v>1</v>
      </c>
      <c r="BC23" s="714"/>
      <c r="BD23" s="714"/>
      <c r="BE23" s="715"/>
      <c r="BF23" s="719">
        <v>1</v>
      </c>
      <c r="BG23" s="714"/>
      <c r="BH23" s="714"/>
      <c r="BI23" s="715"/>
      <c r="BJ23" s="719">
        <v>1</v>
      </c>
      <c r="BK23" s="714"/>
      <c r="BL23" s="714"/>
      <c r="BM23" s="715"/>
      <c r="BN23" s="719">
        <v>1</v>
      </c>
      <c r="BO23" s="714"/>
      <c r="BP23" s="714"/>
      <c r="BQ23" s="715"/>
      <c r="BR23" s="719">
        <v>1</v>
      </c>
      <c r="BS23" s="714"/>
      <c r="BT23" s="714"/>
      <c r="BU23" s="715"/>
      <c r="BV23" s="719">
        <v>1</v>
      </c>
      <c r="BW23" s="714"/>
      <c r="BX23" s="714"/>
      <c r="BY23" s="715"/>
      <c r="BZ23" s="719">
        <v>1</v>
      </c>
      <c r="CA23" s="714"/>
      <c r="CB23" s="714"/>
      <c r="CC23" s="715"/>
      <c r="CD23" s="719">
        <v>1</v>
      </c>
      <c r="CE23" s="714"/>
      <c r="CF23" s="714"/>
      <c r="CG23" s="715"/>
      <c r="CH23" s="719">
        <v>1</v>
      </c>
      <c r="CI23" s="714"/>
      <c r="CJ23" s="714"/>
      <c r="CK23" s="715"/>
      <c r="CL23" s="719">
        <v>1</v>
      </c>
      <c r="CM23" s="714"/>
      <c r="CN23" s="714"/>
      <c r="CO23" s="715"/>
      <c r="CP23" s="719">
        <v>1</v>
      </c>
      <c r="CQ23" s="714"/>
      <c r="CR23" s="714"/>
      <c r="CS23" s="715"/>
      <c r="CT23" s="719">
        <v>1</v>
      </c>
      <c r="CU23" s="714"/>
      <c r="CV23" s="714"/>
      <c r="CW23" s="715"/>
      <c r="CX23" s="719">
        <v>1</v>
      </c>
      <c r="CY23" s="714"/>
      <c r="CZ23" s="714"/>
      <c r="DA23" s="715"/>
      <c r="DB23" s="719">
        <v>1</v>
      </c>
      <c r="DC23" s="714"/>
      <c r="DD23" s="714"/>
      <c r="DE23" s="715"/>
      <c r="DF23" s="719">
        <v>1</v>
      </c>
      <c r="DG23" s="714"/>
      <c r="DH23" s="714"/>
      <c r="DI23" s="715"/>
      <c r="DJ23" s="703">
        <v>0</v>
      </c>
      <c r="DK23" s="690"/>
      <c r="DL23" s="690"/>
      <c r="DM23" s="704"/>
      <c r="DN23" s="703">
        <v>0</v>
      </c>
      <c r="DO23" s="690"/>
      <c r="DP23" s="690"/>
      <c r="DQ23" s="704"/>
      <c r="DR23" s="703">
        <v>0</v>
      </c>
      <c r="DS23" s="690"/>
      <c r="DT23" s="690"/>
      <c r="DU23" s="704"/>
      <c r="DV23" s="703">
        <v>0</v>
      </c>
      <c r="DW23" s="690"/>
      <c r="DX23" s="690"/>
      <c r="DY23" s="704"/>
      <c r="DZ23" s="703">
        <v>0</v>
      </c>
      <c r="EA23" s="690"/>
      <c r="EB23" s="690"/>
      <c r="EC23" s="704"/>
      <c r="ED23" s="703">
        <v>0</v>
      </c>
      <c r="EE23" s="690"/>
      <c r="EF23" s="690"/>
      <c r="EG23" s="704"/>
      <c r="EH23" s="703">
        <v>0</v>
      </c>
      <c r="EI23" s="690"/>
      <c r="EJ23" s="690"/>
      <c r="EK23" s="704"/>
      <c r="EL23" s="703">
        <v>0</v>
      </c>
      <c r="EM23" s="690"/>
      <c r="EN23" s="690"/>
      <c r="EO23" s="690"/>
      <c r="EP23" s="697">
        <v>0</v>
      </c>
      <c r="EQ23" s="698"/>
      <c r="ER23" s="698"/>
      <c r="ES23" s="699"/>
    </row>
    <row r="24" spans="2:149" x14ac:dyDescent="0.45">
      <c r="B24" s="118"/>
      <c r="C24" s="118"/>
      <c r="D24" s="359"/>
    </row>
    <row r="25" spans="2:149" x14ac:dyDescent="0.45">
      <c r="C25" s="118"/>
      <c r="D25" s="359"/>
    </row>
    <row r="26" spans="2:149" x14ac:dyDescent="0.45">
      <c r="B26" s="118"/>
      <c r="C26" s="118"/>
      <c r="D26" s="359"/>
    </row>
    <row r="27" spans="2:149" x14ac:dyDescent="0.45">
      <c r="B27" s="357" t="s">
        <v>1217</v>
      </c>
    </row>
    <row r="28" spans="2:149" x14ac:dyDescent="0.45">
      <c r="B28" s="350">
        <f>mclk_transition1!AG15</f>
        <v>327660</v>
      </c>
      <c r="C28" s="350">
        <f>mclk_transition1!AB15</f>
        <v>393192</v>
      </c>
    </row>
    <row r="29" spans="2:149" s="5" customFormat="1" x14ac:dyDescent="0.45">
      <c r="B29" s="227" t="s">
        <v>1215</v>
      </c>
      <c r="C29" s="227" t="s">
        <v>1189</v>
      </c>
      <c r="D29" s="360"/>
      <c r="E29" s="360"/>
      <c r="F29" s="697" t="s">
        <v>1216</v>
      </c>
      <c r="G29" s="698"/>
      <c r="H29" s="698"/>
      <c r="I29" s="699"/>
      <c r="J29" s="690">
        <v>3</v>
      </c>
      <c r="K29" s="690"/>
      <c r="L29" s="690"/>
      <c r="M29" s="690"/>
      <c r="N29" s="690">
        <v>3</v>
      </c>
      <c r="O29" s="690"/>
      <c r="P29" s="690"/>
      <c r="Q29" s="690"/>
      <c r="R29" s="690">
        <v>3</v>
      </c>
      <c r="S29" s="690"/>
      <c r="T29" s="690"/>
      <c r="U29" s="690"/>
      <c r="V29" s="690">
        <v>3</v>
      </c>
      <c r="W29" s="690"/>
      <c r="X29" s="690"/>
      <c r="Y29" s="690"/>
      <c r="Z29" s="690">
        <v>3</v>
      </c>
      <c r="AA29" s="690"/>
      <c r="AB29" s="690"/>
      <c r="AC29" s="690"/>
      <c r="AD29" s="690">
        <v>3</v>
      </c>
      <c r="AE29" s="690"/>
      <c r="AF29" s="690"/>
      <c r="AG29" s="690"/>
      <c r="AH29" s="690">
        <v>3</v>
      </c>
      <c r="AI29" s="690"/>
      <c r="AJ29" s="690"/>
      <c r="AK29" s="690"/>
      <c r="AL29" s="690">
        <v>3</v>
      </c>
      <c r="AM29" s="690"/>
      <c r="AN29" s="690"/>
      <c r="AO29" s="690"/>
      <c r="AP29" s="690">
        <v>3</v>
      </c>
      <c r="AQ29" s="690"/>
      <c r="AR29" s="690"/>
      <c r="AS29" s="690"/>
      <c r="AT29" s="690">
        <v>1</v>
      </c>
      <c r="AU29" s="690"/>
      <c r="AV29" s="690"/>
      <c r="AW29" s="690"/>
      <c r="AX29" s="690">
        <v>1</v>
      </c>
      <c r="AY29" s="690"/>
      <c r="AZ29" s="690"/>
      <c r="BA29" s="690"/>
      <c r="BB29" s="690">
        <v>1</v>
      </c>
      <c r="BC29" s="690"/>
      <c r="BD29" s="690"/>
      <c r="BE29" s="690"/>
      <c r="BF29" s="690">
        <v>1</v>
      </c>
      <c r="BG29" s="690"/>
      <c r="BH29" s="690"/>
      <c r="BI29" s="690"/>
      <c r="BJ29" s="690">
        <v>1</v>
      </c>
      <c r="BK29" s="690"/>
      <c r="BL29" s="690"/>
      <c r="BM29" s="690"/>
      <c r="BN29" s="690">
        <v>3</v>
      </c>
      <c r="BO29" s="690"/>
      <c r="BP29" s="690"/>
      <c r="BQ29" s="690"/>
      <c r="BR29" s="690">
        <v>3</v>
      </c>
      <c r="BS29" s="690"/>
      <c r="BT29" s="690"/>
      <c r="BU29" s="690"/>
      <c r="BV29" s="690">
        <v>3</v>
      </c>
      <c r="BW29" s="690"/>
      <c r="BX29" s="690"/>
      <c r="BY29" s="690"/>
      <c r="BZ29" s="690">
        <v>3</v>
      </c>
      <c r="CA29" s="690"/>
      <c r="CB29" s="690"/>
      <c r="CC29" s="690"/>
      <c r="CD29" s="690">
        <v>3</v>
      </c>
      <c r="CE29" s="690"/>
      <c r="CF29" s="690"/>
      <c r="CG29" s="690"/>
      <c r="CH29" s="690">
        <v>3</v>
      </c>
      <c r="CI29" s="690"/>
      <c r="CJ29" s="690"/>
      <c r="CK29" s="690"/>
      <c r="CL29" s="690">
        <v>3</v>
      </c>
      <c r="CM29" s="690"/>
      <c r="CN29" s="690"/>
      <c r="CO29" s="690"/>
      <c r="CP29" s="690">
        <v>3</v>
      </c>
      <c r="CQ29" s="690"/>
      <c r="CR29" s="690"/>
      <c r="CS29" s="690"/>
      <c r="CT29" s="697" t="s">
        <v>1210</v>
      </c>
      <c r="CU29" s="698"/>
      <c r="CV29" s="698"/>
      <c r="CW29" s="699"/>
      <c r="CX29" s="360"/>
      <c r="CY29" s="360"/>
      <c r="CZ29" s="360"/>
      <c r="DA29" s="360"/>
      <c r="DB29" s="360"/>
      <c r="DC29" s="360"/>
      <c r="DD29" s="360"/>
      <c r="DE29" s="360"/>
      <c r="DF29" s="360"/>
      <c r="DG29" s="360"/>
      <c r="DH29" s="360"/>
      <c r="DI29" s="360"/>
      <c r="DJ29" s="360"/>
      <c r="DK29" s="360"/>
      <c r="DL29" s="360"/>
      <c r="DM29" s="360"/>
      <c r="DN29" s="360"/>
      <c r="DO29" s="360"/>
      <c r="DP29" s="360"/>
      <c r="DQ29" s="360"/>
      <c r="DR29" s="360"/>
      <c r="DS29" s="360"/>
      <c r="DT29" s="360"/>
      <c r="DU29" s="360"/>
      <c r="DV29" s="360"/>
      <c r="DW29" s="360"/>
      <c r="DX29" s="360"/>
      <c r="DY29" s="360"/>
      <c r="DZ29" s="360"/>
      <c r="EA29" s="360"/>
      <c r="EB29" s="360"/>
      <c r="EC29" s="360"/>
      <c r="ED29" s="360"/>
      <c r="EE29" s="360"/>
      <c r="EF29" s="360"/>
      <c r="EG29" s="360"/>
      <c r="EH29" s="360"/>
      <c r="EI29" s="360"/>
      <c r="EJ29" s="360"/>
      <c r="EK29" s="360"/>
      <c r="EL29" s="360"/>
      <c r="EM29" s="360"/>
      <c r="EN29" s="360"/>
      <c r="EO29" s="360"/>
      <c r="EP29" s="360"/>
      <c r="EQ29" s="360"/>
      <c r="ER29" s="360"/>
      <c r="ES29" s="360"/>
    </row>
    <row r="30" spans="2:149" x14ac:dyDescent="0.45">
      <c r="B30" s="227"/>
      <c r="C30" s="227" t="s">
        <v>13</v>
      </c>
      <c r="E30" s="361"/>
      <c r="F30" s="362"/>
      <c r="G30" s="363"/>
      <c r="H30" s="363"/>
      <c r="I30" s="363"/>
      <c r="J30" s="364"/>
      <c r="K30" s="361"/>
      <c r="L30" s="361"/>
      <c r="M30" s="361"/>
      <c r="N30" s="364"/>
      <c r="O30" s="361"/>
      <c r="P30" s="361"/>
      <c r="Q30" s="361"/>
      <c r="R30" s="364"/>
      <c r="S30" s="361"/>
      <c r="T30" s="361"/>
      <c r="U30" s="361"/>
      <c r="V30" s="364"/>
      <c r="W30" s="361"/>
      <c r="X30" s="361"/>
      <c r="Y30" s="361"/>
      <c r="Z30" s="364"/>
      <c r="AA30" s="361"/>
      <c r="AB30" s="361"/>
      <c r="AC30" s="361"/>
      <c r="AD30" s="364"/>
      <c r="AE30" s="361"/>
      <c r="AF30" s="361"/>
      <c r="AG30" s="361"/>
      <c r="AH30" s="364"/>
      <c r="AI30" s="361"/>
      <c r="AJ30" s="361"/>
      <c r="AK30" s="361"/>
      <c r="AL30" s="364"/>
      <c r="AM30" s="361"/>
      <c r="AN30" s="361"/>
      <c r="AO30" s="361"/>
      <c r="AP30" s="364"/>
      <c r="AQ30" s="361"/>
      <c r="AR30" s="361"/>
      <c r="AS30" s="361"/>
      <c r="AT30" s="364"/>
      <c r="AU30" s="361"/>
      <c r="AV30" s="361"/>
      <c r="AW30" s="361"/>
      <c r="AX30" s="364"/>
      <c r="AY30" s="361"/>
      <c r="AZ30" s="361"/>
      <c r="BA30" s="361"/>
      <c r="BB30" s="364"/>
      <c r="BC30" s="361"/>
      <c r="BD30" s="361"/>
      <c r="BE30" s="361"/>
      <c r="BF30" s="364"/>
      <c r="BG30" s="361"/>
      <c r="BH30" s="361"/>
      <c r="BI30" s="361"/>
      <c r="BJ30" s="364"/>
      <c r="BK30" s="361"/>
      <c r="BL30" s="361"/>
      <c r="BM30" s="361"/>
      <c r="BN30" s="364"/>
      <c r="BO30" s="361"/>
      <c r="BP30" s="361"/>
      <c r="BQ30" s="361"/>
      <c r="BR30" s="364"/>
      <c r="BS30" s="361"/>
      <c r="BT30" s="361"/>
      <c r="BU30" s="361"/>
      <c r="BV30" s="364"/>
      <c r="BW30" s="361"/>
      <c r="BX30" s="361"/>
      <c r="BY30" s="361"/>
      <c r="BZ30" s="364"/>
      <c r="CA30" s="361"/>
      <c r="CB30" s="361"/>
      <c r="CC30" s="361"/>
      <c r="CD30" s="364"/>
      <c r="CE30" s="361"/>
      <c r="CF30" s="361"/>
      <c r="CG30" s="361"/>
      <c r="CH30" s="364"/>
      <c r="CI30" s="361"/>
      <c r="CJ30" s="361"/>
      <c r="CK30" s="361"/>
      <c r="CL30" s="364"/>
      <c r="CM30" s="361"/>
      <c r="CN30" s="361"/>
      <c r="CO30" s="361"/>
      <c r="CP30" s="364"/>
      <c r="CQ30" s="361"/>
      <c r="CR30" s="361"/>
      <c r="CS30" s="361"/>
      <c r="CT30" s="362"/>
      <c r="CU30" s="363"/>
      <c r="CV30" s="363"/>
      <c r="CW30" s="365"/>
    </row>
    <row r="31" spans="2:149" x14ac:dyDescent="0.45">
      <c r="B31" s="227"/>
      <c r="C31" s="227"/>
      <c r="F31" s="366"/>
      <c r="G31" s="367"/>
      <c r="H31" s="367"/>
      <c r="I31" s="368"/>
      <c r="M31" s="370"/>
      <c r="N31" s="369"/>
      <c r="Q31" s="370"/>
      <c r="R31" s="369"/>
      <c r="U31" s="370"/>
      <c r="V31" s="369"/>
      <c r="Y31" s="370"/>
      <c r="Z31" s="369"/>
      <c r="AC31" s="370"/>
      <c r="AD31" s="369"/>
      <c r="AG31" s="370"/>
      <c r="AH31" s="369"/>
      <c r="AK31" s="370"/>
      <c r="AL31" s="369"/>
      <c r="AO31" s="370"/>
      <c r="AP31" s="369"/>
      <c r="AS31" s="370"/>
      <c r="AT31" s="369"/>
      <c r="AW31" s="370"/>
      <c r="AX31" s="369"/>
      <c r="BA31" s="370"/>
      <c r="BB31" s="369"/>
      <c r="BE31" s="370"/>
      <c r="BF31" s="369"/>
      <c r="BI31" s="370"/>
      <c r="BJ31" s="369"/>
      <c r="BM31" s="370"/>
      <c r="BN31" s="369"/>
      <c r="BQ31" s="370"/>
      <c r="BR31" s="369"/>
      <c r="BU31" s="370"/>
      <c r="BV31" s="369"/>
      <c r="BY31" s="370"/>
      <c r="BZ31" s="369"/>
      <c r="CC31" s="370"/>
      <c r="CD31" s="369"/>
      <c r="CG31" s="370"/>
      <c r="CH31" s="369"/>
      <c r="CK31" s="370"/>
      <c r="CL31" s="369"/>
      <c r="CO31" s="370"/>
      <c r="CP31" s="369"/>
      <c r="CT31" s="366"/>
      <c r="CU31" s="367"/>
      <c r="CV31" s="367"/>
      <c r="CW31" s="368"/>
    </row>
    <row r="32" spans="2:149" x14ac:dyDescent="0.45">
      <c r="B32" s="227" t="s">
        <v>3</v>
      </c>
      <c r="C32" s="227" t="s">
        <v>1200</v>
      </c>
      <c r="F32" s="691">
        <v>120</v>
      </c>
      <c r="G32" s="692"/>
      <c r="H32" s="692"/>
      <c r="I32" s="693"/>
      <c r="J32" s="695">
        <f>F32</f>
        <v>120</v>
      </c>
      <c r="K32" s="695"/>
      <c r="L32" s="695"/>
      <c r="M32" s="696"/>
      <c r="N32" s="694">
        <f>J32</f>
        <v>120</v>
      </c>
      <c r="O32" s="695"/>
      <c r="P32" s="695"/>
      <c r="Q32" s="696"/>
      <c r="R32" s="694">
        <f t="shared" ref="R32" si="87">N32</f>
        <v>120</v>
      </c>
      <c r="S32" s="695"/>
      <c r="T32" s="695"/>
      <c r="U32" s="696"/>
      <c r="V32" s="694">
        <f t="shared" ref="V32" si="88">R32</f>
        <v>120</v>
      </c>
      <c r="W32" s="695"/>
      <c r="X32" s="695"/>
      <c r="Y32" s="696"/>
      <c r="Z32" s="694">
        <f t="shared" ref="Z32" si="89">V32</f>
        <v>120</v>
      </c>
      <c r="AA32" s="695"/>
      <c r="AB32" s="695"/>
      <c r="AC32" s="696"/>
      <c r="AD32" s="694">
        <f t="shared" ref="AD32" si="90">Z32</f>
        <v>120</v>
      </c>
      <c r="AE32" s="695"/>
      <c r="AF32" s="695"/>
      <c r="AG32" s="696"/>
      <c r="AH32" s="694">
        <f t="shared" ref="AH32" si="91">AD32</f>
        <v>120</v>
      </c>
      <c r="AI32" s="695"/>
      <c r="AJ32" s="695"/>
      <c r="AK32" s="696"/>
      <c r="AL32" s="694">
        <f t="shared" ref="AL32" si="92">AH32</f>
        <v>120</v>
      </c>
      <c r="AM32" s="695"/>
      <c r="AN32" s="695"/>
      <c r="AO32" s="696"/>
      <c r="AP32" s="694">
        <f t="shared" ref="AP32" si="93">AL32</f>
        <v>120</v>
      </c>
      <c r="AQ32" s="695"/>
      <c r="AR32" s="695"/>
      <c r="AS32" s="696"/>
      <c r="AT32" s="694">
        <f>AP32</f>
        <v>120</v>
      </c>
      <c r="AU32" s="695"/>
      <c r="AV32" s="695"/>
      <c r="AW32" s="696"/>
      <c r="AX32" s="708">
        <f>AT32-5</f>
        <v>115</v>
      </c>
      <c r="AY32" s="709"/>
      <c r="AZ32" s="709"/>
      <c r="BA32" s="710"/>
      <c r="BB32" s="708">
        <f>AX32-5</f>
        <v>110</v>
      </c>
      <c r="BC32" s="709"/>
      <c r="BD32" s="709"/>
      <c r="BE32" s="710"/>
      <c r="BF32" s="708">
        <f>BB32-5</f>
        <v>105</v>
      </c>
      <c r="BG32" s="709"/>
      <c r="BH32" s="709"/>
      <c r="BI32" s="710"/>
      <c r="BJ32" s="694">
        <f>BF32-5</f>
        <v>100</v>
      </c>
      <c r="BK32" s="695"/>
      <c r="BL32" s="695"/>
      <c r="BM32" s="696"/>
      <c r="BN32" s="694">
        <f>BJ32</f>
        <v>100</v>
      </c>
      <c r="BO32" s="695"/>
      <c r="BP32" s="695"/>
      <c r="BQ32" s="696"/>
      <c r="BR32" s="694">
        <f>BN32</f>
        <v>100</v>
      </c>
      <c r="BS32" s="695"/>
      <c r="BT32" s="695"/>
      <c r="BU32" s="696"/>
      <c r="BV32" s="694">
        <f t="shared" ref="BV32" si="94">BR32</f>
        <v>100</v>
      </c>
      <c r="BW32" s="695"/>
      <c r="BX32" s="695"/>
      <c r="BY32" s="696"/>
      <c r="BZ32" s="694">
        <f t="shared" ref="BZ32" si="95">BV32</f>
        <v>100</v>
      </c>
      <c r="CA32" s="695"/>
      <c r="CB32" s="695"/>
      <c r="CC32" s="696"/>
      <c r="CD32" s="694">
        <f t="shared" ref="CD32" si="96">BZ32</f>
        <v>100</v>
      </c>
      <c r="CE32" s="695"/>
      <c r="CF32" s="695"/>
      <c r="CG32" s="696"/>
      <c r="CH32" s="694">
        <f t="shared" ref="CH32" si="97">CD32</f>
        <v>100</v>
      </c>
      <c r="CI32" s="695"/>
      <c r="CJ32" s="695"/>
      <c r="CK32" s="696"/>
      <c r="CL32" s="694">
        <f t="shared" ref="CL32" si="98">CH32</f>
        <v>100</v>
      </c>
      <c r="CM32" s="695"/>
      <c r="CN32" s="695"/>
      <c r="CO32" s="696"/>
      <c r="CP32" s="694">
        <f t="shared" ref="CP32" si="99">CL32</f>
        <v>100</v>
      </c>
      <c r="CQ32" s="695"/>
      <c r="CR32" s="695"/>
      <c r="CS32" s="695"/>
      <c r="CT32" s="691">
        <f t="shared" ref="CT32" si="100">CP32</f>
        <v>100</v>
      </c>
      <c r="CU32" s="692"/>
      <c r="CV32" s="692"/>
      <c r="CW32" s="693"/>
    </row>
    <row r="33" spans="2:149" x14ac:dyDescent="0.45">
      <c r="B33" s="227"/>
      <c r="C33" s="227"/>
      <c r="F33" s="371"/>
      <c r="G33" s="372"/>
      <c r="H33" s="372"/>
      <c r="I33" s="373"/>
      <c r="J33" s="375"/>
      <c r="K33" s="375"/>
      <c r="L33" s="375"/>
      <c r="M33" s="376"/>
      <c r="N33" s="374"/>
      <c r="O33" s="375"/>
      <c r="P33" s="375"/>
      <c r="Q33" s="376"/>
      <c r="R33" s="374"/>
      <c r="S33" s="375"/>
      <c r="T33" s="375"/>
      <c r="U33" s="376"/>
      <c r="V33" s="374"/>
      <c r="W33" s="375"/>
      <c r="X33" s="375"/>
      <c r="Y33" s="376"/>
      <c r="Z33" s="374"/>
      <c r="AA33" s="375"/>
      <c r="AB33" s="375"/>
      <c r="AC33" s="376"/>
      <c r="AD33" s="374"/>
      <c r="AE33" s="375"/>
      <c r="AF33" s="375"/>
      <c r="AG33" s="376"/>
      <c r="AH33" s="374"/>
      <c r="AI33" s="375"/>
      <c r="AJ33" s="375"/>
      <c r="AK33" s="376"/>
      <c r="AL33" s="374"/>
      <c r="AM33" s="375"/>
      <c r="AN33" s="375"/>
      <c r="AO33" s="376"/>
      <c r="AP33" s="374"/>
      <c r="AQ33" s="375"/>
      <c r="AR33" s="375"/>
      <c r="AS33" s="376"/>
      <c r="AT33" s="374"/>
      <c r="AU33" s="375"/>
      <c r="AV33" s="375"/>
      <c r="AW33" s="376"/>
      <c r="AX33" s="374"/>
      <c r="AY33" s="375"/>
      <c r="AZ33" s="375"/>
      <c r="BA33" s="376"/>
      <c r="BB33" s="374"/>
      <c r="BC33" s="375"/>
      <c r="BD33" s="375"/>
      <c r="BE33" s="376"/>
      <c r="BF33" s="374"/>
      <c r="BG33" s="375"/>
      <c r="BH33" s="375"/>
      <c r="BI33" s="376"/>
      <c r="BJ33" s="374"/>
      <c r="BK33" s="375"/>
      <c r="BL33" s="375"/>
      <c r="BM33" s="376"/>
      <c r="BN33" s="374"/>
      <c r="BO33" s="375"/>
      <c r="BP33" s="375"/>
      <c r="BQ33" s="376"/>
      <c r="BR33" s="374"/>
      <c r="BS33" s="375"/>
      <c r="BT33" s="375"/>
      <c r="BU33" s="376"/>
      <c r="BV33" s="374"/>
      <c r="BW33" s="375"/>
      <c r="BX33" s="375"/>
      <c r="BY33" s="376"/>
      <c r="BZ33" s="374"/>
      <c r="CA33" s="375"/>
      <c r="CB33" s="375"/>
      <c r="CC33" s="376"/>
      <c r="CD33" s="374"/>
      <c r="CE33" s="375"/>
      <c r="CF33" s="375"/>
      <c r="CG33" s="376"/>
      <c r="CH33" s="374"/>
      <c r="CI33" s="375"/>
      <c r="CJ33" s="375"/>
      <c r="CK33" s="376"/>
      <c r="CL33" s="374"/>
      <c r="CM33" s="375"/>
      <c r="CN33" s="375"/>
      <c r="CO33" s="376"/>
      <c r="CP33" s="374"/>
      <c r="CQ33" s="375"/>
      <c r="CR33" s="375"/>
      <c r="CS33" s="375"/>
      <c r="CT33" s="371"/>
      <c r="CU33" s="372"/>
      <c r="CV33" s="372"/>
      <c r="CW33" s="373"/>
    </row>
    <row r="34" spans="2:149" x14ac:dyDescent="0.45">
      <c r="B34" s="356" t="s">
        <v>1213</v>
      </c>
      <c r="C34" s="356" t="s">
        <v>1214</v>
      </c>
      <c r="F34" s="371"/>
      <c r="G34" s="372"/>
      <c r="H34" s="372"/>
      <c r="I34" s="373"/>
      <c r="J34" s="375"/>
      <c r="K34" s="375"/>
      <c r="L34" s="375"/>
      <c r="M34" s="376"/>
      <c r="N34" s="374"/>
      <c r="O34" s="375"/>
      <c r="P34" s="375"/>
      <c r="Q34" s="376"/>
      <c r="R34" s="374"/>
      <c r="S34" s="375"/>
      <c r="T34" s="375"/>
      <c r="U34" s="376"/>
      <c r="V34" s="374"/>
      <c r="W34" s="375"/>
      <c r="X34" s="375"/>
      <c r="Y34" s="376"/>
      <c r="Z34" s="374"/>
      <c r="AA34" s="375"/>
      <c r="AB34" s="375"/>
      <c r="AC34" s="376"/>
      <c r="AD34" s="374"/>
      <c r="AE34" s="375"/>
      <c r="AF34" s="375"/>
      <c r="AG34" s="376"/>
      <c r="AH34" s="374"/>
      <c r="AI34" s="375"/>
      <c r="AJ34" s="375"/>
      <c r="AK34" s="376"/>
      <c r="AL34" s="374"/>
      <c r="AM34" s="375"/>
      <c r="AN34" s="375"/>
      <c r="AO34" s="376"/>
      <c r="AP34" s="374"/>
      <c r="AQ34" s="375"/>
      <c r="AR34" s="375"/>
      <c r="AS34" s="376"/>
      <c r="AT34" s="374"/>
      <c r="AU34" s="375"/>
      <c r="AV34" s="375"/>
      <c r="AW34" s="376"/>
      <c r="AX34" s="374"/>
      <c r="AY34" s="375"/>
      <c r="AZ34" s="375"/>
      <c r="BA34" s="376"/>
      <c r="BB34" s="374"/>
      <c r="BC34" s="375"/>
      <c r="BD34" s="375"/>
      <c r="BE34" s="376"/>
      <c r="BF34" s="374"/>
      <c r="BG34" s="375"/>
      <c r="BH34" s="375"/>
      <c r="BI34" s="376"/>
      <c r="BJ34" s="374"/>
      <c r="BK34" s="375"/>
      <c r="BL34" s="375"/>
      <c r="BM34" s="376"/>
      <c r="BN34" s="374"/>
      <c r="BO34" s="375"/>
      <c r="BP34" s="375"/>
      <c r="BQ34" s="376"/>
      <c r="BR34" s="374"/>
      <c r="BS34" s="375"/>
      <c r="BT34" s="375"/>
      <c r="BU34" s="376"/>
      <c r="BV34" s="374"/>
      <c r="BW34" s="375"/>
      <c r="BX34" s="375"/>
      <c r="BY34" s="376"/>
      <c r="BZ34" s="374"/>
      <c r="CA34" s="375"/>
      <c r="CB34" s="375"/>
      <c r="CC34" s="376"/>
      <c r="CD34" s="374"/>
      <c r="CE34" s="375"/>
      <c r="CF34" s="375"/>
      <c r="CG34" s="376"/>
      <c r="CH34" s="374"/>
      <c r="CI34" s="375"/>
      <c r="CJ34" s="375"/>
      <c r="CK34" s="376"/>
      <c r="CL34" s="374"/>
      <c r="CM34" s="375"/>
      <c r="CN34" s="375"/>
      <c r="CO34" s="376"/>
      <c r="CP34" s="374"/>
      <c r="CQ34" s="375"/>
      <c r="CR34" s="375"/>
      <c r="CS34" s="375"/>
      <c r="CT34" s="371"/>
      <c r="CU34" s="372"/>
      <c r="CV34" s="372"/>
      <c r="CW34" s="373"/>
    </row>
    <row r="35" spans="2:149" x14ac:dyDescent="0.45">
      <c r="B35" s="227" t="s">
        <v>21</v>
      </c>
      <c r="C35" s="227" t="s">
        <v>1201</v>
      </c>
      <c r="F35" s="697">
        <v>19</v>
      </c>
      <c r="G35" s="698"/>
      <c r="H35" s="698"/>
      <c r="I35" s="699"/>
      <c r="J35" s="690">
        <f>F35</f>
        <v>19</v>
      </c>
      <c r="K35" s="690"/>
      <c r="L35" s="690"/>
      <c r="M35" s="704"/>
      <c r="N35" s="703">
        <f>J35</f>
        <v>19</v>
      </c>
      <c r="O35" s="690"/>
      <c r="P35" s="690"/>
      <c r="Q35" s="704"/>
      <c r="R35" s="703">
        <f t="shared" ref="R35" si="101">N35</f>
        <v>19</v>
      </c>
      <c r="S35" s="690"/>
      <c r="T35" s="690"/>
      <c r="U35" s="704"/>
      <c r="V35" s="703">
        <f t="shared" ref="V35" si="102">R35</f>
        <v>19</v>
      </c>
      <c r="W35" s="690"/>
      <c r="X35" s="690"/>
      <c r="Y35" s="704"/>
      <c r="Z35" s="703">
        <f t="shared" ref="Z35" si="103">V35</f>
        <v>19</v>
      </c>
      <c r="AA35" s="690"/>
      <c r="AB35" s="690"/>
      <c r="AC35" s="704"/>
      <c r="AD35" s="703">
        <f t="shared" ref="AD35" si="104">Z35</f>
        <v>19</v>
      </c>
      <c r="AE35" s="690"/>
      <c r="AF35" s="690"/>
      <c r="AG35" s="704"/>
      <c r="AH35" s="703">
        <f t="shared" ref="AH35" si="105">AD35</f>
        <v>19</v>
      </c>
      <c r="AI35" s="690"/>
      <c r="AJ35" s="690"/>
      <c r="AK35" s="704"/>
      <c r="AL35" s="703">
        <f t="shared" ref="AL35" si="106">AH35</f>
        <v>19</v>
      </c>
      <c r="AM35" s="690"/>
      <c r="AN35" s="690"/>
      <c r="AO35" s="704"/>
      <c r="AP35" s="703">
        <f t="shared" ref="AP35" si="107">AL35</f>
        <v>19</v>
      </c>
      <c r="AQ35" s="690"/>
      <c r="AR35" s="690"/>
      <c r="AS35" s="704"/>
      <c r="AT35" s="700">
        <f>AP35+1</f>
        <v>20</v>
      </c>
      <c r="AU35" s="701"/>
      <c r="AV35" s="701"/>
      <c r="AW35" s="702"/>
      <c r="AX35" s="700">
        <f>AT35+1</f>
        <v>21</v>
      </c>
      <c r="AY35" s="701"/>
      <c r="AZ35" s="701"/>
      <c r="BA35" s="702"/>
      <c r="BB35" s="700">
        <f>AX35+1</f>
        <v>22</v>
      </c>
      <c r="BC35" s="701"/>
      <c r="BD35" s="701"/>
      <c r="BE35" s="702"/>
      <c r="BF35" s="700">
        <f>BB35+1</f>
        <v>23</v>
      </c>
      <c r="BG35" s="701"/>
      <c r="BH35" s="701"/>
      <c r="BI35" s="702"/>
      <c r="BJ35" s="703">
        <f>BF35</f>
        <v>23</v>
      </c>
      <c r="BK35" s="690"/>
      <c r="BL35" s="690"/>
      <c r="BM35" s="704"/>
      <c r="BN35" s="703">
        <f>BJ35</f>
        <v>23</v>
      </c>
      <c r="BO35" s="690"/>
      <c r="BP35" s="690"/>
      <c r="BQ35" s="704"/>
      <c r="BR35" s="703">
        <f>BN35</f>
        <v>23</v>
      </c>
      <c r="BS35" s="690"/>
      <c r="BT35" s="690"/>
      <c r="BU35" s="704"/>
      <c r="BV35" s="703">
        <f t="shared" ref="BV35" si="108">BR35</f>
        <v>23</v>
      </c>
      <c r="BW35" s="690"/>
      <c r="BX35" s="690"/>
      <c r="BY35" s="704"/>
      <c r="BZ35" s="703">
        <f t="shared" ref="BZ35" si="109">BV35</f>
        <v>23</v>
      </c>
      <c r="CA35" s="690"/>
      <c r="CB35" s="690"/>
      <c r="CC35" s="704"/>
      <c r="CD35" s="703">
        <f t="shared" ref="CD35" si="110">BZ35</f>
        <v>23</v>
      </c>
      <c r="CE35" s="690"/>
      <c r="CF35" s="690"/>
      <c r="CG35" s="704"/>
      <c r="CH35" s="703">
        <f t="shared" ref="CH35" si="111">CD35</f>
        <v>23</v>
      </c>
      <c r="CI35" s="690"/>
      <c r="CJ35" s="690"/>
      <c r="CK35" s="704"/>
      <c r="CL35" s="703">
        <f t="shared" ref="CL35" si="112">CH35</f>
        <v>23</v>
      </c>
      <c r="CM35" s="690"/>
      <c r="CN35" s="690"/>
      <c r="CO35" s="704"/>
      <c r="CP35" s="703">
        <f t="shared" ref="CP35" si="113">CL35</f>
        <v>23</v>
      </c>
      <c r="CQ35" s="690"/>
      <c r="CR35" s="690"/>
      <c r="CS35" s="690"/>
      <c r="CT35" s="697">
        <f t="shared" ref="CT35" si="114">CP35</f>
        <v>23</v>
      </c>
      <c r="CU35" s="698"/>
      <c r="CV35" s="698"/>
      <c r="CW35" s="699"/>
    </row>
    <row r="36" spans="2:149" x14ac:dyDescent="0.45">
      <c r="B36" s="227" t="s">
        <v>1205</v>
      </c>
      <c r="C36" s="227" t="s">
        <v>1202</v>
      </c>
      <c r="F36" s="716">
        <f>B28+B28*0.004</f>
        <v>328970.64</v>
      </c>
      <c r="G36" s="717"/>
      <c r="H36" s="717"/>
      <c r="I36" s="718"/>
      <c r="J36" s="706">
        <f>B28+B28*0.005</f>
        <v>329298.3</v>
      </c>
      <c r="K36" s="706"/>
      <c r="L36" s="706"/>
      <c r="M36" s="707"/>
      <c r="N36" s="705">
        <f>B28+B28*0.006</f>
        <v>329625.96000000002</v>
      </c>
      <c r="O36" s="706"/>
      <c r="P36" s="706"/>
      <c r="Q36" s="707"/>
      <c r="R36" s="705">
        <f>B28+B28*0.007</f>
        <v>329953.62</v>
      </c>
      <c r="S36" s="706"/>
      <c r="T36" s="706"/>
      <c r="U36" s="707"/>
      <c r="V36" s="705">
        <f>B28+B28*0.008</f>
        <v>330281.28000000003</v>
      </c>
      <c r="W36" s="706"/>
      <c r="X36" s="706"/>
      <c r="Y36" s="707"/>
      <c r="Z36" s="705">
        <f>B28+B28*0.009</f>
        <v>330608.94</v>
      </c>
      <c r="AA36" s="706"/>
      <c r="AB36" s="706"/>
      <c r="AC36" s="707"/>
      <c r="AD36" s="705">
        <f>B28+B28*0.01</f>
        <v>330936.59999999998</v>
      </c>
      <c r="AE36" s="706"/>
      <c r="AF36" s="706"/>
      <c r="AG36" s="707"/>
      <c r="AH36" s="705">
        <f>B28+B28*0.011</f>
        <v>331264.26</v>
      </c>
      <c r="AI36" s="706"/>
      <c r="AJ36" s="706"/>
      <c r="AK36" s="707"/>
      <c r="AL36" s="705">
        <f>B28+B28*0.01235</f>
        <v>331706.60100000002</v>
      </c>
      <c r="AM36" s="706"/>
      <c r="AN36" s="706"/>
      <c r="AO36" s="707"/>
      <c r="AP36" s="705">
        <f>B28+B28*0.01235</f>
        <v>331706.60100000002</v>
      </c>
      <c r="AQ36" s="706"/>
      <c r="AR36" s="706"/>
      <c r="AS36" s="707"/>
      <c r="AT36" s="711">
        <f>C28+C28*0.01235</f>
        <v>398047.92119999998</v>
      </c>
      <c r="AU36" s="714"/>
      <c r="AV36" s="714"/>
      <c r="AW36" s="715"/>
      <c r="AX36" s="711">
        <f>AT36</f>
        <v>398047.92119999998</v>
      </c>
      <c r="AY36" s="714"/>
      <c r="AZ36" s="714"/>
      <c r="BA36" s="715"/>
      <c r="BB36" s="711">
        <f>AX36</f>
        <v>398047.92119999998</v>
      </c>
      <c r="BC36" s="714"/>
      <c r="BD36" s="714"/>
      <c r="BE36" s="715"/>
      <c r="BF36" s="711">
        <f>BB36</f>
        <v>398047.92119999998</v>
      </c>
      <c r="BG36" s="714"/>
      <c r="BH36" s="714"/>
      <c r="BI36" s="715"/>
      <c r="BJ36" s="711">
        <f>BF36</f>
        <v>398047.92119999998</v>
      </c>
      <c r="BK36" s="714"/>
      <c r="BL36" s="714"/>
      <c r="BM36" s="715"/>
      <c r="BN36" s="705">
        <f>BJ36</f>
        <v>398047.92119999998</v>
      </c>
      <c r="BO36" s="706"/>
      <c r="BP36" s="706"/>
      <c r="BQ36" s="707"/>
      <c r="BR36" s="705">
        <f>C28+C28*0.011</f>
        <v>397517.11200000002</v>
      </c>
      <c r="BS36" s="706"/>
      <c r="BT36" s="706"/>
      <c r="BU36" s="707"/>
      <c r="BV36" s="705">
        <f>C28+C28*0.01</f>
        <v>397123.92</v>
      </c>
      <c r="BW36" s="706"/>
      <c r="BX36" s="706"/>
      <c r="BY36" s="707"/>
      <c r="BZ36" s="705">
        <f>C28+C28*0.009</f>
        <v>396730.728</v>
      </c>
      <c r="CA36" s="706"/>
      <c r="CB36" s="706"/>
      <c r="CC36" s="707"/>
      <c r="CD36" s="705">
        <f>C28+C28*0.008</f>
        <v>396337.53600000002</v>
      </c>
      <c r="CE36" s="706"/>
      <c r="CF36" s="706"/>
      <c r="CG36" s="707"/>
      <c r="CH36" s="705">
        <f>C28+C28*0.007</f>
        <v>395944.34399999998</v>
      </c>
      <c r="CI36" s="706"/>
      <c r="CJ36" s="706"/>
      <c r="CK36" s="707"/>
      <c r="CL36" s="705">
        <f>C28+C28*0.006</f>
        <v>395551.152</v>
      </c>
      <c r="CM36" s="706"/>
      <c r="CN36" s="706"/>
      <c r="CO36" s="707"/>
      <c r="CP36" s="705">
        <f>C28+C28*0.005</f>
        <v>395157.96</v>
      </c>
      <c r="CQ36" s="706"/>
      <c r="CR36" s="706"/>
      <c r="CS36" s="706"/>
      <c r="CT36" s="716">
        <f>C28+C28*0.004</f>
        <v>394764.76799999998</v>
      </c>
      <c r="CU36" s="717"/>
      <c r="CV36" s="717"/>
      <c r="CW36" s="718"/>
    </row>
    <row r="37" spans="2:149" x14ac:dyDescent="0.45">
      <c r="B37" s="227" t="s">
        <v>1204</v>
      </c>
      <c r="C37" s="227" t="s">
        <v>1203</v>
      </c>
      <c r="F37" s="697">
        <v>0</v>
      </c>
      <c r="G37" s="698"/>
      <c r="H37" s="698"/>
      <c r="I37" s="699"/>
      <c r="J37" s="690">
        <v>0</v>
      </c>
      <c r="K37" s="690"/>
      <c r="L37" s="690"/>
      <c r="M37" s="704"/>
      <c r="N37" s="703">
        <v>0</v>
      </c>
      <c r="O37" s="690"/>
      <c r="P37" s="690"/>
      <c r="Q37" s="704"/>
      <c r="R37" s="703">
        <v>0</v>
      </c>
      <c r="S37" s="690"/>
      <c r="T37" s="690"/>
      <c r="U37" s="704"/>
      <c r="V37" s="703">
        <v>0</v>
      </c>
      <c r="W37" s="690"/>
      <c r="X37" s="690"/>
      <c r="Y37" s="704"/>
      <c r="Z37" s="703">
        <v>0</v>
      </c>
      <c r="AA37" s="690"/>
      <c r="AB37" s="690"/>
      <c r="AC37" s="704"/>
      <c r="AD37" s="703">
        <v>0</v>
      </c>
      <c r="AE37" s="690"/>
      <c r="AF37" s="690"/>
      <c r="AG37" s="704"/>
      <c r="AH37" s="703">
        <v>0</v>
      </c>
      <c r="AI37" s="690"/>
      <c r="AJ37" s="690"/>
      <c r="AK37" s="704"/>
      <c r="AL37" s="703">
        <v>0</v>
      </c>
      <c r="AM37" s="690"/>
      <c r="AN37" s="690"/>
      <c r="AO37" s="704"/>
      <c r="AP37" s="719">
        <v>1</v>
      </c>
      <c r="AQ37" s="714"/>
      <c r="AR37" s="714"/>
      <c r="AS37" s="715"/>
      <c r="AT37" s="719">
        <v>1</v>
      </c>
      <c r="AU37" s="714"/>
      <c r="AV37" s="714"/>
      <c r="AW37" s="715"/>
      <c r="AX37" s="719">
        <v>1</v>
      </c>
      <c r="AY37" s="714"/>
      <c r="AZ37" s="714"/>
      <c r="BA37" s="715"/>
      <c r="BB37" s="719">
        <v>1</v>
      </c>
      <c r="BC37" s="714"/>
      <c r="BD37" s="714"/>
      <c r="BE37" s="715"/>
      <c r="BF37" s="719">
        <v>1</v>
      </c>
      <c r="BG37" s="714"/>
      <c r="BH37" s="714"/>
      <c r="BI37" s="715"/>
      <c r="BJ37" s="719">
        <v>1</v>
      </c>
      <c r="BK37" s="714"/>
      <c r="BL37" s="714"/>
      <c r="BM37" s="715"/>
      <c r="BN37" s="703">
        <v>0</v>
      </c>
      <c r="BO37" s="690"/>
      <c r="BP37" s="690"/>
      <c r="BQ37" s="704"/>
      <c r="BR37" s="703">
        <v>0</v>
      </c>
      <c r="BS37" s="690"/>
      <c r="BT37" s="690"/>
      <c r="BU37" s="704"/>
      <c r="BV37" s="703">
        <v>0</v>
      </c>
      <c r="BW37" s="690"/>
      <c r="BX37" s="690"/>
      <c r="BY37" s="704"/>
      <c r="BZ37" s="703">
        <v>0</v>
      </c>
      <c r="CA37" s="690"/>
      <c r="CB37" s="690"/>
      <c r="CC37" s="704"/>
      <c r="CD37" s="703">
        <v>0</v>
      </c>
      <c r="CE37" s="690"/>
      <c r="CF37" s="690"/>
      <c r="CG37" s="704"/>
      <c r="CH37" s="703">
        <v>0</v>
      </c>
      <c r="CI37" s="690"/>
      <c r="CJ37" s="690"/>
      <c r="CK37" s="704"/>
      <c r="CL37" s="703">
        <v>0</v>
      </c>
      <c r="CM37" s="690"/>
      <c r="CN37" s="690"/>
      <c r="CO37" s="704"/>
      <c r="CP37" s="703">
        <v>0</v>
      </c>
      <c r="CQ37" s="690"/>
      <c r="CR37" s="690"/>
      <c r="CS37" s="690"/>
      <c r="CT37" s="697">
        <v>0</v>
      </c>
      <c r="CU37" s="698"/>
      <c r="CV37" s="698"/>
      <c r="CW37" s="699"/>
    </row>
    <row r="38" spans="2:149" x14ac:dyDescent="0.45">
      <c r="D38" s="377"/>
      <c r="F38" s="377"/>
      <c r="G38" s="377"/>
      <c r="H38" s="377"/>
      <c r="I38" s="377"/>
      <c r="AT38" s="377"/>
      <c r="AU38" s="377"/>
      <c r="AV38" s="377"/>
      <c r="AW38" s="377"/>
      <c r="AX38" s="377"/>
      <c r="AY38" s="377"/>
      <c r="AZ38" s="377"/>
      <c r="BA38" s="377"/>
      <c r="BB38" s="377"/>
      <c r="BC38" s="377"/>
      <c r="BD38" s="377"/>
      <c r="BE38" s="377"/>
      <c r="BF38" s="377"/>
      <c r="BG38" s="377"/>
      <c r="BH38" s="377"/>
      <c r="BI38" s="377"/>
      <c r="BJ38" s="377"/>
      <c r="BK38" s="377"/>
      <c r="BL38" s="377"/>
      <c r="BM38" s="377"/>
    </row>
    <row r="39" spans="2:149" x14ac:dyDescent="0.45">
      <c r="B39" s="350">
        <f>C28</f>
        <v>393192</v>
      </c>
      <c r="C39" s="350">
        <f>B28</f>
        <v>327660</v>
      </c>
      <c r="D39" s="377"/>
      <c r="F39" s="377"/>
      <c r="G39" s="377"/>
      <c r="H39" s="377"/>
      <c r="I39" s="377"/>
      <c r="AT39" s="377"/>
      <c r="AU39" s="377"/>
      <c r="AV39" s="377"/>
      <c r="AW39" s="377"/>
      <c r="AX39" s="377"/>
      <c r="AY39" s="377"/>
      <c r="AZ39" s="377"/>
      <c r="BA39" s="377"/>
      <c r="BB39" s="377"/>
      <c r="BC39" s="377"/>
      <c r="BD39" s="377"/>
      <c r="BE39" s="377"/>
      <c r="BF39" s="377"/>
      <c r="BG39" s="377"/>
      <c r="BH39" s="377"/>
      <c r="BI39" s="377"/>
      <c r="BJ39" s="377"/>
      <c r="BK39" s="377"/>
      <c r="BL39" s="377"/>
      <c r="BM39" s="377"/>
    </row>
    <row r="40" spans="2:149" s="5" customFormat="1" x14ac:dyDescent="0.45">
      <c r="B40" s="227" t="s">
        <v>1215</v>
      </c>
      <c r="C40" s="227" t="s">
        <v>1189</v>
      </c>
      <c r="D40" s="360"/>
      <c r="E40" s="360"/>
      <c r="F40" s="697" t="s">
        <v>1207</v>
      </c>
      <c r="G40" s="698"/>
      <c r="H40" s="698"/>
      <c r="I40" s="699"/>
      <c r="J40" s="690">
        <v>3</v>
      </c>
      <c r="K40" s="690"/>
      <c r="L40" s="690"/>
      <c r="M40" s="690"/>
      <c r="N40" s="690">
        <v>3</v>
      </c>
      <c r="O40" s="690"/>
      <c r="P40" s="690"/>
      <c r="Q40" s="690"/>
      <c r="R40" s="690">
        <v>3</v>
      </c>
      <c r="S40" s="690"/>
      <c r="T40" s="690"/>
      <c r="U40" s="690"/>
      <c r="V40" s="690">
        <v>3</v>
      </c>
      <c r="W40" s="690"/>
      <c r="X40" s="690"/>
      <c r="Y40" s="690"/>
      <c r="Z40" s="690">
        <v>3</v>
      </c>
      <c r="AA40" s="690"/>
      <c r="AB40" s="690"/>
      <c r="AC40" s="690"/>
      <c r="AD40" s="690">
        <v>3</v>
      </c>
      <c r="AE40" s="690"/>
      <c r="AF40" s="690"/>
      <c r="AG40" s="690"/>
      <c r="AH40" s="690">
        <v>3</v>
      </c>
      <c r="AI40" s="690"/>
      <c r="AJ40" s="690"/>
      <c r="AK40" s="690"/>
      <c r="AL40" s="690">
        <v>3</v>
      </c>
      <c r="AM40" s="690"/>
      <c r="AN40" s="690"/>
      <c r="AO40" s="690"/>
      <c r="AP40" s="690">
        <v>3</v>
      </c>
      <c r="AQ40" s="690"/>
      <c r="AR40" s="690"/>
      <c r="AS40" s="690"/>
      <c r="AT40" s="690">
        <v>1</v>
      </c>
      <c r="AU40" s="690"/>
      <c r="AV40" s="690"/>
      <c r="AW40" s="690"/>
      <c r="AX40" s="690">
        <v>1</v>
      </c>
      <c r="AY40" s="690"/>
      <c r="AZ40" s="690"/>
      <c r="BA40" s="690"/>
      <c r="BB40" s="690">
        <v>1</v>
      </c>
      <c r="BC40" s="690"/>
      <c r="BD40" s="690"/>
      <c r="BE40" s="690"/>
      <c r="BF40" s="690">
        <v>1</v>
      </c>
      <c r="BG40" s="690"/>
      <c r="BH40" s="690"/>
      <c r="BI40" s="690"/>
      <c r="BJ40" s="690">
        <v>1</v>
      </c>
      <c r="BK40" s="690"/>
      <c r="BL40" s="690"/>
      <c r="BM40" s="690"/>
      <c r="BN40" s="690">
        <v>3</v>
      </c>
      <c r="BO40" s="690"/>
      <c r="BP40" s="690"/>
      <c r="BQ40" s="690"/>
      <c r="BR40" s="690">
        <v>3</v>
      </c>
      <c r="BS40" s="690"/>
      <c r="BT40" s="690"/>
      <c r="BU40" s="690"/>
      <c r="BV40" s="690">
        <v>3</v>
      </c>
      <c r="BW40" s="690"/>
      <c r="BX40" s="690"/>
      <c r="BY40" s="690"/>
      <c r="BZ40" s="690">
        <v>3</v>
      </c>
      <c r="CA40" s="690"/>
      <c r="CB40" s="690"/>
      <c r="CC40" s="690"/>
      <c r="CD40" s="690">
        <v>3</v>
      </c>
      <c r="CE40" s="690"/>
      <c r="CF40" s="690"/>
      <c r="CG40" s="690"/>
      <c r="CH40" s="690">
        <v>3</v>
      </c>
      <c r="CI40" s="690"/>
      <c r="CJ40" s="690"/>
      <c r="CK40" s="690"/>
      <c r="CL40" s="690">
        <v>3</v>
      </c>
      <c r="CM40" s="690"/>
      <c r="CN40" s="690"/>
      <c r="CO40" s="690"/>
      <c r="CP40" s="690">
        <v>3</v>
      </c>
      <c r="CQ40" s="690"/>
      <c r="CR40" s="690"/>
      <c r="CS40" s="690"/>
      <c r="CT40" s="697" t="s">
        <v>1210</v>
      </c>
      <c r="CU40" s="698"/>
      <c r="CV40" s="698"/>
      <c r="CW40" s="699"/>
      <c r="CX40" s="360"/>
      <c r="CY40" s="360"/>
      <c r="CZ40" s="360"/>
      <c r="DA40" s="360"/>
      <c r="DB40" s="360"/>
      <c r="DC40" s="360"/>
      <c r="DD40" s="360"/>
      <c r="DE40" s="360"/>
      <c r="DF40" s="360"/>
      <c r="DG40" s="360"/>
      <c r="DH40" s="360"/>
      <c r="DI40" s="360"/>
      <c r="DJ40" s="360"/>
      <c r="DK40" s="360"/>
      <c r="DL40" s="360"/>
      <c r="DM40" s="360"/>
      <c r="DN40" s="360"/>
      <c r="DO40" s="360"/>
      <c r="DP40" s="360"/>
      <c r="DQ40" s="360"/>
      <c r="DR40" s="360"/>
      <c r="DS40" s="360"/>
      <c r="DT40" s="360"/>
      <c r="DU40" s="360"/>
      <c r="DV40" s="360"/>
      <c r="DW40" s="360"/>
      <c r="DX40" s="360"/>
      <c r="DY40" s="360"/>
      <c r="DZ40" s="360"/>
      <c r="EA40" s="360"/>
      <c r="EB40" s="360"/>
      <c r="EC40" s="360"/>
      <c r="ED40" s="360"/>
      <c r="EE40" s="360"/>
      <c r="EF40" s="360"/>
      <c r="EG40" s="360"/>
      <c r="EH40" s="360"/>
      <c r="EI40" s="360"/>
      <c r="EJ40" s="360"/>
      <c r="EK40" s="360"/>
      <c r="EL40" s="360"/>
      <c r="EM40" s="360"/>
      <c r="EN40" s="360"/>
      <c r="EO40" s="360"/>
      <c r="EP40" s="360"/>
      <c r="EQ40" s="360"/>
      <c r="ER40" s="360"/>
      <c r="ES40" s="360"/>
    </row>
    <row r="41" spans="2:149" x14ac:dyDescent="0.45">
      <c r="B41" s="227"/>
      <c r="C41" s="227" t="s">
        <v>13</v>
      </c>
      <c r="E41" s="361"/>
      <c r="F41" s="362"/>
      <c r="G41" s="363"/>
      <c r="H41" s="363"/>
      <c r="I41" s="365"/>
      <c r="J41" s="364"/>
      <c r="K41" s="361"/>
      <c r="L41" s="361"/>
      <c r="M41" s="361"/>
      <c r="N41" s="364"/>
      <c r="O41" s="361"/>
      <c r="P41" s="361"/>
      <c r="Q41" s="361"/>
      <c r="R41" s="364"/>
      <c r="S41" s="361"/>
      <c r="T41" s="361"/>
      <c r="U41" s="361"/>
      <c r="V41" s="364"/>
      <c r="W41" s="361"/>
      <c r="X41" s="361"/>
      <c r="Y41" s="361"/>
      <c r="Z41" s="364"/>
      <c r="AA41" s="361"/>
      <c r="AB41" s="361"/>
      <c r="AC41" s="361"/>
      <c r="AD41" s="364"/>
      <c r="AE41" s="361"/>
      <c r="AF41" s="361"/>
      <c r="AG41" s="361"/>
      <c r="AH41" s="364"/>
      <c r="AI41" s="361"/>
      <c r="AJ41" s="361"/>
      <c r="AK41" s="361"/>
      <c r="AL41" s="364"/>
      <c r="AM41" s="361"/>
      <c r="AN41" s="361"/>
      <c r="AO41" s="361"/>
      <c r="AP41" s="364"/>
      <c r="AQ41" s="361"/>
      <c r="AR41" s="361"/>
      <c r="AS41" s="361"/>
      <c r="AT41" s="364"/>
      <c r="AU41" s="361"/>
      <c r="AV41" s="361"/>
      <c r="AW41" s="361"/>
      <c r="AX41" s="364"/>
      <c r="AY41" s="361"/>
      <c r="AZ41" s="361"/>
      <c r="BA41" s="361"/>
      <c r="BB41" s="364"/>
      <c r="BC41" s="361"/>
      <c r="BD41" s="361"/>
      <c r="BE41" s="361"/>
      <c r="BF41" s="364"/>
      <c r="BG41" s="361"/>
      <c r="BH41" s="361"/>
      <c r="BI41" s="361"/>
      <c r="BJ41" s="364"/>
      <c r="BK41" s="361"/>
      <c r="BL41" s="361"/>
      <c r="BM41" s="361"/>
      <c r="BN41" s="364"/>
      <c r="BO41" s="361"/>
      <c r="BP41" s="361"/>
      <c r="BQ41" s="361"/>
      <c r="BR41" s="364"/>
      <c r="BS41" s="361"/>
      <c r="BT41" s="361"/>
      <c r="BU41" s="361"/>
      <c r="BV41" s="364"/>
      <c r="BW41" s="361"/>
      <c r="BX41" s="361"/>
      <c r="BY41" s="361"/>
      <c r="BZ41" s="364"/>
      <c r="CA41" s="361"/>
      <c r="CB41" s="361"/>
      <c r="CC41" s="361"/>
      <c r="CD41" s="364"/>
      <c r="CE41" s="361"/>
      <c r="CF41" s="361"/>
      <c r="CG41" s="361"/>
      <c r="CH41" s="364"/>
      <c r="CI41" s="361"/>
      <c r="CJ41" s="361"/>
      <c r="CK41" s="361"/>
      <c r="CL41" s="364"/>
      <c r="CM41" s="361"/>
      <c r="CN41" s="361"/>
      <c r="CO41" s="361"/>
      <c r="CP41" s="364"/>
      <c r="CQ41" s="361"/>
      <c r="CR41" s="361"/>
      <c r="CS41" s="361"/>
      <c r="CT41" s="362"/>
      <c r="CU41" s="363"/>
      <c r="CV41" s="363"/>
      <c r="CW41" s="365"/>
    </row>
    <row r="42" spans="2:149" x14ac:dyDescent="0.45">
      <c r="B42" s="227"/>
      <c r="C42" s="227"/>
      <c r="F42" s="366"/>
      <c r="G42" s="367"/>
      <c r="H42" s="367"/>
      <c r="I42" s="368"/>
      <c r="M42" s="370"/>
      <c r="N42" s="369"/>
      <c r="Q42" s="370"/>
      <c r="R42" s="369"/>
      <c r="U42" s="370"/>
      <c r="V42" s="369"/>
      <c r="Y42" s="370"/>
      <c r="Z42" s="369"/>
      <c r="AC42" s="370"/>
      <c r="AD42" s="369"/>
      <c r="AG42" s="370"/>
      <c r="AH42" s="369"/>
      <c r="AK42" s="370"/>
      <c r="AL42" s="369"/>
      <c r="AO42" s="370"/>
      <c r="AP42" s="369"/>
      <c r="AS42" s="370"/>
      <c r="AT42" s="369"/>
      <c r="AW42" s="370"/>
      <c r="AX42" s="369"/>
      <c r="BA42" s="370"/>
      <c r="BB42" s="369"/>
      <c r="BE42" s="370"/>
      <c r="BF42" s="369"/>
      <c r="BI42" s="370"/>
      <c r="BJ42" s="369"/>
      <c r="BM42" s="370"/>
      <c r="BN42" s="369"/>
      <c r="BQ42" s="370"/>
      <c r="BR42" s="369"/>
      <c r="BU42" s="370"/>
      <c r="BV42" s="369"/>
      <c r="BY42" s="370"/>
      <c r="BZ42" s="369"/>
      <c r="CC42" s="370"/>
      <c r="CD42" s="369"/>
      <c r="CG42" s="370"/>
      <c r="CH42" s="369"/>
      <c r="CK42" s="370"/>
      <c r="CL42" s="369"/>
      <c r="CO42" s="370"/>
      <c r="CP42" s="369"/>
      <c r="CT42" s="366"/>
      <c r="CU42" s="367"/>
      <c r="CV42" s="367"/>
      <c r="CW42" s="368"/>
    </row>
    <row r="43" spans="2:149" x14ac:dyDescent="0.45">
      <c r="B43" s="227" t="s">
        <v>3</v>
      </c>
      <c r="C43" s="227" t="s">
        <v>1200</v>
      </c>
      <c r="F43" s="691">
        <v>100</v>
      </c>
      <c r="G43" s="692"/>
      <c r="H43" s="692"/>
      <c r="I43" s="693"/>
      <c r="J43" s="695">
        <f>F43</f>
        <v>100</v>
      </c>
      <c r="K43" s="695"/>
      <c r="L43" s="695"/>
      <c r="M43" s="696"/>
      <c r="N43" s="694">
        <f>J43</f>
        <v>100</v>
      </c>
      <c r="O43" s="695"/>
      <c r="P43" s="695"/>
      <c r="Q43" s="696"/>
      <c r="R43" s="694">
        <f t="shared" ref="R43" si="115">N43</f>
        <v>100</v>
      </c>
      <c r="S43" s="695"/>
      <c r="T43" s="695"/>
      <c r="U43" s="696"/>
      <c r="V43" s="694">
        <f t="shared" ref="V43" si="116">R43</f>
        <v>100</v>
      </c>
      <c r="W43" s="695"/>
      <c r="X43" s="695"/>
      <c r="Y43" s="696"/>
      <c r="Z43" s="694">
        <f t="shared" ref="Z43" si="117">V43</f>
        <v>100</v>
      </c>
      <c r="AA43" s="695"/>
      <c r="AB43" s="695"/>
      <c r="AC43" s="696"/>
      <c r="AD43" s="694">
        <f t="shared" ref="AD43" si="118">Z43</f>
        <v>100</v>
      </c>
      <c r="AE43" s="695"/>
      <c r="AF43" s="695"/>
      <c r="AG43" s="696"/>
      <c r="AH43" s="694">
        <f t="shared" ref="AH43" si="119">AD43</f>
        <v>100</v>
      </c>
      <c r="AI43" s="695"/>
      <c r="AJ43" s="695"/>
      <c r="AK43" s="696"/>
      <c r="AL43" s="694">
        <f t="shared" ref="AL43" si="120">AH43</f>
        <v>100</v>
      </c>
      <c r="AM43" s="695"/>
      <c r="AN43" s="695"/>
      <c r="AO43" s="696"/>
      <c r="AP43" s="694">
        <f t="shared" ref="AP43" si="121">AL43</f>
        <v>100</v>
      </c>
      <c r="AQ43" s="695"/>
      <c r="AR43" s="695"/>
      <c r="AS43" s="696"/>
      <c r="AT43" s="694">
        <f>AP43</f>
        <v>100</v>
      </c>
      <c r="AU43" s="695"/>
      <c r="AV43" s="695"/>
      <c r="AW43" s="696"/>
      <c r="AX43" s="708">
        <f>AT43+5</f>
        <v>105</v>
      </c>
      <c r="AY43" s="709"/>
      <c r="AZ43" s="709"/>
      <c r="BA43" s="710"/>
      <c r="BB43" s="708">
        <f>AX43+5</f>
        <v>110</v>
      </c>
      <c r="BC43" s="709"/>
      <c r="BD43" s="709"/>
      <c r="BE43" s="710"/>
      <c r="BF43" s="708">
        <f>BB43+5</f>
        <v>115</v>
      </c>
      <c r="BG43" s="709"/>
      <c r="BH43" s="709"/>
      <c r="BI43" s="710"/>
      <c r="BJ43" s="694">
        <f>BF43+5</f>
        <v>120</v>
      </c>
      <c r="BK43" s="695"/>
      <c r="BL43" s="695"/>
      <c r="BM43" s="696"/>
      <c r="BN43" s="694">
        <f>BJ43</f>
        <v>120</v>
      </c>
      <c r="BO43" s="695"/>
      <c r="BP43" s="695"/>
      <c r="BQ43" s="696"/>
      <c r="BR43" s="694">
        <f>BN43</f>
        <v>120</v>
      </c>
      <c r="BS43" s="695"/>
      <c r="BT43" s="695"/>
      <c r="BU43" s="696"/>
      <c r="BV43" s="694">
        <f t="shared" ref="BV43" si="122">BR43</f>
        <v>120</v>
      </c>
      <c r="BW43" s="695"/>
      <c r="BX43" s="695"/>
      <c r="BY43" s="696"/>
      <c r="BZ43" s="694">
        <f t="shared" ref="BZ43" si="123">BV43</f>
        <v>120</v>
      </c>
      <c r="CA43" s="695"/>
      <c r="CB43" s="695"/>
      <c r="CC43" s="696"/>
      <c r="CD43" s="694">
        <f t="shared" ref="CD43" si="124">BZ43</f>
        <v>120</v>
      </c>
      <c r="CE43" s="695"/>
      <c r="CF43" s="695"/>
      <c r="CG43" s="696"/>
      <c r="CH43" s="694">
        <f t="shared" ref="CH43" si="125">CD43</f>
        <v>120</v>
      </c>
      <c r="CI43" s="695"/>
      <c r="CJ43" s="695"/>
      <c r="CK43" s="696"/>
      <c r="CL43" s="694">
        <f t="shared" ref="CL43" si="126">CH43</f>
        <v>120</v>
      </c>
      <c r="CM43" s="695"/>
      <c r="CN43" s="695"/>
      <c r="CO43" s="696"/>
      <c r="CP43" s="694">
        <f t="shared" ref="CP43" si="127">CL43</f>
        <v>120</v>
      </c>
      <c r="CQ43" s="695"/>
      <c r="CR43" s="695"/>
      <c r="CS43" s="695"/>
      <c r="CT43" s="691">
        <f t="shared" ref="CT43" si="128">CP43</f>
        <v>120</v>
      </c>
      <c r="CU43" s="692"/>
      <c r="CV43" s="692"/>
      <c r="CW43" s="693"/>
    </row>
    <row r="44" spans="2:149" x14ac:dyDescent="0.45">
      <c r="B44" s="227"/>
      <c r="C44" s="227"/>
      <c r="F44" s="371"/>
      <c r="G44" s="372"/>
      <c r="H44" s="372"/>
      <c r="I44" s="373"/>
      <c r="J44" s="375"/>
      <c r="K44" s="375"/>
      <c r="L44" s="375"/>
      <c r="M44" s="376"/>
      <c r="N44" s="374"/>
      <c r="O44" s="375"/>
      <c r="P44" s="375"/>
      <c r="Q44" s="376"/>
      <c r="R44" s="374"/>
      <c r="S44" s="375"/>
      <c r="T44" s="375"/>
      <c r="U44" s="376"/>
      <c r="V44" s="374"/>
      <c r="W44" s="375"/>
      <c r="X44" s="375"/>
      <c r="Y44" s="376"/>
      <c r="Z44" s="374"/>
      <c r="AA44" s="375"/>
      <c r="AB44" s="375"/>
      <c r="AC44" s="376"/>
      <c r="AD44" s="374"/>
      <c r="AE44" s="375"/>
      <c r="AF44" s="375"/>
      <c r="AG44" s="376"/>
      <c r="AH44" s="374"/>
      <c r="AI44" s="375"/>
      <c r="AJ44" s="375"/>
      <c r="AK44" s="376"/>
      <c r="AL44" s="374"/>
      <c r="AM44" s="375"/>
      <c r="AN44" s="375"/>
      <c r="AO44" s="376"/>
      <c r="AP44" s="374"/>
      <c r="AQ44" s="375"/>
      <c r="AR44" s="375"/>
      <c r="AS44" s="376"/>
      <c r="AT44" s="374"/>
      <c r="AU44" s="375"/>
      <c r="AV44" s="375"/>
      <c r="AW44" s="376"/>
      <c r="AX44" s="374"/>
      <c r="AY44" s="375"/>
      <c r="AZ44" s="375"/>
      <c r="BA44" s="376"/>
      <c r="BB44" s="374"/>
      <c r="BC44" s="375"/>
      <c r="BD44" s="375"/>
      <c r="BE44" s="376"/>
      <c r="BF44" s="374"/>
      <c r="BG44" s="375"/>
      <c r="BH44" s="375"/>
      <c r="BI44" s="376"/>
      <c r="BJ44" s="374"/>
      <c r="BK44" s="375"/>
      <c r="BL44" s="375"/>
      <c r="BM44" s="376"/>
      <c r="BN44" s="374"/>
      <c r="BO44" s="375"/>
      <c r="BP44" s="375"/>
      <c r="BQ44" s="376"/>
      <c r="BR44" s="374"/>
      <c r="BS44" s="375"/>
      <c r="BT44" s="375"/>
      <c r="BU44" s="376"/>
      <c r="BV44" s="374"/>
      <c r="BW44" s="375"/>
      <c r="BX44" s="375"/>
      <c r="BY44" s="376"/>
      <c r="BZ44" s="374"/>
      <c r="CA44" s="375"/>
      <c r="CB44" s="375"/>
      <c r="CC44" s="376"/>
      <c r="CD44" s="374"/>
      <c r="CE44" s="375"/>
      <c r="CF44" s="375"/>
      <c r="CG44" s="376"/>
      <c r="CH44" s="374"/>
      <c r="CI44" s="375"/>
      <c r="CJ44" s="375"/>
      <c r="CK44" s="376"/>
      <c r="CL44" s="374"/>
      <c r="CM44" s="375"/>
      <c r="CN44" s="375"/>
      <c r="CO44" s="376"/>
      <c r="CP44" s="374"/>
      <c r="CQ44" s="375"/>
      <c r="CR44" s="375"/>
      <c r="CS44" s="375"/>
      <c r="CT44" s="371"/>
      <c r="CU44" s="372"/>
      <c r="CV44" s="372"/>
      <c r="CW44" s="373"/>
    </row>
    <row r="45" spans="2:149" x14ac:dyDescent="0.45">
      <c r="B45" s="356" t="s">
        <v>1213</v>
      </c>
      <c r="C45" s="356" t="s">
        <v>1214</v>
      </c>
      <c r="F45" s="371"/>
      <c r="G45" s="372"/>
      <c r="H45" s="372"/>
      <c r="I45" s="373"/>
      <c r="J45" s="375"/>
      <c r="K45" s="375"/>
      <c r="L45" s="375"/>
      <c r="M45" s="376"/>
      <c r="N45" s="374"/>
      <c r="O45" s="375"/>
      <c r="P45" s="375"/>
      <c r="Q45" s="376"/>
      <c r="R45" s="374"/>
      <c r="S45" s="375"/>
      <c r="T45" s="375"/>
      <c r="U45" s="376"/>
      <c r="V45" s="374"/>
      <c r="W45" s="375"/>
      <c r="X45" s="375"/>
      <c r="Y45" s="376"/>
      <c r="Z45" s="374"/>
      <c r="AA45" s="375"/>
      <c r="AB45" s="375"/>
      <c r="AC45" s="376"/>
      <c r="AD45" s="374"/>
      <c r="AE45" s="375"/>
      <c r="AF45" s="375"/>
      <c r="AG45" s="376"/>
      <c r="AH45" s="374"/>
      <c r="AI45" s="375"/>
      <c r="AJ45" s="375"/>
      <c r="AK45" s="376"/>
      <c r="AL45" s="374"/>
      <c r="AM45" s="375"/>
      <c r="AN45" s="375"/>
      <c r="AO45" s="376"/>
      <c r="AP45" s="374"/>
      <c r="AQ45" s="375"/>
      <c r="AR45" s="375"/>
      <c r="AS45" s="376"/>
      <c r="AT45" s="374"/>
      <c r="AU45" s="375"/>
      <c r="AV45" s="375"/>
      <c r="AW45" s="376"/>
      <c r="AX45" s="374"/>
      <c r="AY45" s="375"/>
      <c r="AZ45" s="375"/>
      <c r="BA45" s="376"/>
      <c r="BB45" s="374"/>
      <c r="BC45" s="375"/>
      <c r="BD45" s="375"/>
      <c r="BE45" s="376"/>
      <c r="BF45" s="374"/>
      <c r="BG45" s="375"/>
      <c r="BH45" s="375"/>
      <c r="BI45" s="376"/>
      <c r="BJ45" s="374"/>
      <c r="BK45" s="375"/>
      <c r="BL45" s="375"/>
      <c r="BM45" s="376"/>
      <c r="BN45" s="374"/>
      <c r="BO45" s="375"/>
      <c r="BP45" s="375"/>
      <c r="BQ45" s="376"/>
      <c r="BR45" s="374"/>
      <c r="BS45" s="375"/>
      <c r="BT45" s="375"/>
      <c r="BU45" s="376"/>
      <c r="BV45" s="374"/>
      <c r="BW45" s="375"/>
      <c r="BX45" s="375"/>
      <c r="BY45" s="376"/>
      <c r="BZ45" s="374"/>
      <c r="CA45" s="375"/>
      <c r="CB45" s="375"/>
      <c r="CC45" s="376"/>
      <c r="CD45" s="374"/>
      <c r="CE45" s="375"/>
      <c r="CF45" s="375"/>
      <c r="CG45" s="376"/>
      <c r="CH45" s="374"/>
      <c r="CI45" s="375"/>
      <c r="CJ45" s="375"/>
      <c r="CK45" s="376"/>
      <c r="CL45" s="374"/>
      <c r="CM45" s="375"/>
      <c r="CN45" s="375"/>
      <c r="CO45" s="376"/>
      <c r="CP45" s="374"/>
      <c r="CQ45" s="375"/>
      <c r="CR45" s="375"/>
      <c r="CS45" s="375"/>
      <c r="CT45" s="371"/>
      <c r="CU45" s="372"/>
      <c r="CV45" s="372"/>
      <c r="CW45" s="373"/>
    </row>
    <row r="46" spans="2:149" x14ac:dyDescent="0.45">
      <c r="B46" s="227" t="s">
        <v>21</v>
      </c>
      <c r="C46" s="227" t="s">
        <v>1201</v>
      </c>
      <c r="F46" s="697">
        <v>23</v>
      </c>
      <c r="G46" s="698"/>
      <c r="H46" s="698"/>
      <c r="I46" s="699"/>
      <c r="J46" s="690">
        <f>F46</f>
        <v>23</v>
      </c>
      <c r="K46" s="690"/>
      <c r="L46" s="690"/>
      <c r="M46" s="704"/>
      <c r="N46" s="703">
        <f>J46</f>
        <v>23</v>
      </c>
      <c r="O46" s="690"/>
      <c r="P46" s="690"/>
      <c r="Q46" s="704"/>
      <c r="R46" s="703">
        <f t="shared" ref="R46" si="129">N46</f>
        <v>23</v>
      </c>
      <c r="S46" s="690"/>
      <c r="T46" s="690"/>
      <c r="U46" s="704"/>
      <c r="V46" s="703">
        <f t="shared" ref="V46" si="130">R46</f>
        <v>23</v>
      </c>
      <c r="W46" s="690"/>
      <c r="X46" s="690"/>
      <c r="Y46" s="704"/>
      <c r="Z46" s="703">
        <f t="shared" ref="Z46" si="131">V46</f>
        <v>23</v>
      </c>
      <c r="AA46" s="690"/>
      <c r="AB46" s="690"/>
      <c r="AC46" s="704"/>
      <c r="AD46" s="703">
        <f t="shared" ref="AD46" si="132">Z46</f>
        <v>23</v>
      </c>
      <c r="AE46" s="690"/>
      <c r="AF46" s="690"/>
      <c r="AG46" s="704"/>
      <c r="AH46" s="703">
        <f t="shared" ref="AH46" si="133">AD46</f>
        <v>23</v>
      </c>
      <c r="AI46" s="690"/>
      <c r="AJ46" s="690"/>
      <c r="AK46" s="704"/>
      <c r="AL46" s="703">
        <f t="shared" ref="AL46" si="134">AH46</f>
        <v>23</v>
      </c>
      <c r="AM46" s="690"/>
      <c r="AN46" s="690"/>
      <c r="AO46" s="704"/>
      <c r="AP46" s="703">
        <f t="shared" ref="AP46" si="135">AL46</f>
        <v>23</v>
      </c>
      <c r="AQ46" s="690"/>
      <c r="AR46" s="690"/>
      <c r="AS46" s="704"/>
      <c r="AT46" s="719">
        <f>AP46-1</f>
        <v>22</v>
      </c>
      <c r="AU46" s="714"/>
      <c r="AV46" s="714"/>
      <c r="AW46" s="715"/>
      <c r="AX46" s="719">
        <f>AT46-1</f>
        <v>21</v>
      </c>
      <c r="AY46" s="714"/>
      <c r="AZ46" s="714"/>
      <c r="BA46" s="715"/>
      <c r="BB46" s="719">
        <f>AX46-1</f>
        <v>20</v>
      </c>
      <c r="BC46" s="714"/>
      <c r="BD46" s="714"/>
      <c r="BE46" s="715"/>
      <c r="BF46" s="719">
        <f>BB46-1</f>
        <v>19</v>
      </c>
      <c r="BG46" s="714"/>
      <c r="BH46" s="714"/>
      <c r="BI46" s="715"/>
      <c r="BJ46" s="703">
        <f>BF46</f>
        <v>19</v>
      </c>
      <c r="BK46" s="690"/>
      <c r="BL46" s="690"/>
      <c r="BM46" s="704"/>
      <c r="BN46" s="703">
        <f>BJ46</f>
        <v>19</v>
      </c>
      <c r="BO46" s="690"/>
      <c r="BP46" s="690"/>
      <c r="BQ46" s="704"/>
      <c r="BR46" s="703">
        <f>BN46</f>
        <v>19</v>
      </c>
      <c r="BS46" s="690"/>
      <c r="BT46" s="690"/>
      <c r="BU46" s="704"/>
      <c r="BV46" s="703">
        <f t="shared" ref="BV46" si="136">BR46</f>
        <v>19</v>
      </c>
      <c r="BW46" s="690"/>
      <c r="BX46" s="690"/>
      <c r="BY46" s="704"/>
      <c r="BZ46" s="703">
        <f t="shared" ref="BZ46" si="137">BV46</f>
        <v>19</v>
      </c>
      <c r="CA46" s="690"/>
      <c r="CB46" s="690"/>
      <c r="CC46" s="704"/>
      <c r="CD46" s="703">
        <f t="shared" ref="CD46" si="138">BZ46</f>
        <v>19</v>
      </c>
      <c r="CE46" s="690"/>
      <c r="CF46" s="690"/>
      <c r="CG46" s="704"/>
      <c r="CH46" s="703">
        <f t="shared" ref="CH46" si="139">CD46</f>
        <v>19</v>
      </c>
      <c r="CI46" s="690"/>
      <c r="CJ46" s="690"/>
      <c r="CK46" s="704"/>
      <c r="CL46" s="703">
        <f t="shared" ref="CL46" si="140">CH46</f>
        <v>19</v>
      </c>
      <c r="CM46" s="690"/>
      <c r="CN46" s="690"/>
      <c r="CO46" s="704"/>
      <c r="CP46" s="703">
        <f t="shared" ref="CP46" si="141">CL46</f>
        <v>19</v>
      </c>
      <c r="CQ46" s="690"/>
      <c r="CR46" s="690"/>
      <c r="CS46" s="690"/>
      <c r="CT46" s="697">
        <f t="shared" ref="CT46" si="142">CP46</f>
        <v>19</v>
      </c>
      <c r="CU46" s="698"/>
      <c r="CV46" s="698"/>
      <c r="CW46" s="699"/>
    </row>
    <row r="47" spans="2:149" x14ac:dyDescent="0.45">
      <c r="B47" s="227" t="s">
        <v>1205</v>
      </c>
      <c r="C47" s="227" t="s">
        <v>1202</v>
      </c>
      <c r="F47" s="716">
        <f>B39+B39*0.004</f>
        <v>394764.76799999998</v>
      </c>
      <c r="G47" s="717"/>
      <c r="H47" s="717"/>
      <c r="I47" s="718"/>
      <c r="J47" s="706">
        <f>B39+B39*0.005</f>
        <v>395157.96</v>
      </c>
      <c r="K47" s="706"/>
      <c r="L47" s="706"/>
      <c r="M47" s="707"/>
      <c r="N47" s="705">
        <f>B39+B39*0.006</f>
        <v>395551.152</v>
      </c>
      <c r="O47" s="706"/>
      <c r="P47" s="706"/>
      <c r="Q47" s="707"/>
      <c r="R47" s="705">
        <f>B39+B39*0.007</f>
        <v>395944.34399999998</v>
      </c>
      <c r="S47" s="706"/>
      <c r="T47" s="706"/>
      <c r="U47" s="707"/>
      <c r="V47" s="705">
        <f>B39+B39*0.008</f>
        <v>396337.53600000002</v>
      </c>
      <c r="W47" s="706"/>
      <c r="X47" s="706"/>
      <c r="Y47" s="707"/>
      <c r="Z47" s="705">
        <f>B39+B39*0.009</f>
        <v>396730.728</v>
      </c>
      <c r="AA47" s="706"/>
      <c r="AB47" s="706"/>
      <c r="AC47" s="707"/>
      <c r="AD47" s="705">
        <f>B39+B39*0.01</f>
        <v>397123.92</v>
      </c>
      <c r="AE47" s="706"/>
      <c r="AF47" s="706"/>
      <c r="AG47" s="707"/>
      <c r="AH47" s="705">
        <f>B39+B39*0.011</f>
        <v>397517.11200000002</v>
      </c>
      <c r="AI47" s="706"/>
      <c r="AJ47" s="706"/>
      <c r="AK47" s="707"/>
      <c r="AL47" s="705">
        <f>B39+B39*0.01235</f>
        <v>398047.92119999998</v>
      </c>
      <c r="AM47" s="706"/>
      <c r="AN47" s="706"/>
      <c r="AO47" s="707"/>
      <c r="AP47" s="705">
        <f>B39+B39*0.01235</f>
        <v>398047.92119999998</v>
      </c>
      <c r="AQ47" s="706"/>
      <c r="AR47" s="706"/>
      <c r="AS47" s="707"/>
      <c r="AT47" s="711">
        <f>C39+C39*0.01235</f>
        <v>331706.60100000002</v>
      </c>
      <c r="AU47" s="714"/>
      <c r="AV47" s="714"/>
      <c r="AW47" s="715"/>
      <c r="AX47" s="711">
        <f>AT47</f>
        <v>331706.60100000002</v>
      </c>
      <c r="AY47" s="714"/>
      <c r="AZ47" s="714"/>
      <c r="BA47" s="715"/>
      <c r="BB47" s="711">
        <f>AX47</f>
        <v>331706.60100000002</v>
      </c>
      <c r="BC47" s="714"/>
      <c r="BD47" s="714"/>
      <c r="BE47" s="715"/>
      <c r="BF47" s="711">
        <f>BB47</f>
        <v>331706.60100000002</v>
      </c>
      <c r="BG47" s="714"/>
      <c r="BH47" s="714"/>
      <c r="BI47" s="715"/>
      <c r="BJ47" s="711">
        <f>BF47</f>
        <v>331706.60100000002</v>
      </c>
      <c r="BK47" s="714"/>
      <c r="BL47" s="714"/>
      <c r="BM47" s="715"/>
      <c r="BN47" s="705">
        <f>BJ47</f>
        <v>331706.60100000002</v>
      </c>
      <c r="BO47" s="706"/>
      <c r="BP47" s="706"/>
      <c r="BQ47" s="707"/>
      <c r="BR47" s="705">
        <f>C39+C39*0.011</f>
        <v>331264.26</v>
      </c>
      <c r="BS47" s="706"/>
      <c r="BT47" s="706"/>
      <c r="BU47" s="707"/>
      <c r="BV47" s="705">
        <f>C39+C39*0.01</f>
        <v>330936.59999999998</v>
      </c>
      <c r="BW47" s="706"/>
      <c r="BX47" s="706"/>
      <c r="BY47" s="707"/>
      <c r="BZ47" s="705">
        <f>C39+C39*0.009</f>
        <v>330608.94</v>
      </c>
      <c r="CA47" s="706"/>
      <c r="CB47" s="706"/>
      <c r="CC47" s="707"/>
      <c r="CD47" s="705">
        <f>C39+C39*0.008</f>
        <v>330281.28000000003</v>
      </c>
      <c r="CE47" s="706"/>
      <c r="CF47" s="706"/>
      <c r="CG47" s="707"/>
      <c r="CH47" s="705">
        <f>C39+C39*0.007</f>
        <v>329953.62</v>
      </c>
      <c r="CI47" s="706"/>
      <c r="CJ47" s="706"/>
      <c r="CK47" s="707"/>
      <c r="CL47" s="705">
        <f>C39+C39*0.006</f>
        <v>329625.96000000002</v>
      </c>
      <c r="CM47" s="706"/>
      <c r="CN47" s="706"/>
      <c r="CO47" s="707"/>
      <c r="CP47" s="705">
        <f>C39+C39*0.005</f>
        <v>329298.3</v>
      </c>
      <c r="CQ47" s="706"/>
      <c r="CR47" s="706"/>
      <c r="CS47" s="706"/>
      <c r="CT47" s="716">
        <f>C39+C39*0.004</f>
        <v>328970.64</v>
      </c>
      <c r="CU47" s="717"/>
      <c r="CV47" s="717"/>
      <c r="CW47" s="718"/>
    </row>
    <row r="48" spans="2:149" x14ac:dyDescent="0.45">
      <c r="B48" s="227" t="s">
        <v>1204</v>
      </c>
      <c r="C48" s="227" t="s">
        <v>1203</v>
      </c>
      <c r="F48" s="697">
        <v>0</v>
      </c>
      <c r="G48" s="698"/>
      <c r="H48" s="698"/>
      <c r="I48" s="699"/>
      <c r="J48" s="690">
        <v>0</v>
      </c>
      <c r="K48" s="690"/>
      <c r="L48" s="690"/>
      <c r="M48" s="704"/>
      <c r="N48" s="703">
        <v>0</v>
      </c>
      <c r="O48" s="690"/>
      <c r="P48" s="690"/>
      <c r="Q48" s="704"/>
      <c r="R48" s="703">
        <v>0</v>
      </c>
      <c r="S48" s="690"/>
      <c r="T48" s="690"/>
      <c r="U48" s="704"/>
      <c r="V48" s="703">
        <v>0</v>
      </c>
      <c r="W48" s="690"/>
      <c r="X48" s="690"/>
      <c r="Y48" s="704"/>
      <c r="Z48" s="703">
        <v>0</v>
      </c>
      <c r="AA48" s="690"/>
      <c r="AB48" s="690"/>
      <c r="AC48" s="704"/>
      <c r="AD48" s="703">
        <v>0</v>
      </c>
      <c r="AE48" s="690"/>
      <c r="AF48" s="690"/>
      <c r="AG48" s="704"/>
      <c r="AH48" s="703">
        <v>0</v>
      </c>
      <c r="AI48" s="690"/>
      <c r="AJ48" s="690"/>
      <c r="AK48" s="704"/>
      <c r="AL48" s="703">
        <v>0</v>
      </c>
      <c r="AM48" s="690"/>
      <c r="AN48" s="690"/>
      <c r="AO48" s="704"/>
      <c r="AP48" s="719">
        <v>1</v>
      </c>
      <c r="AQ48" s="714"/>
      <c r="AR48" s="714"/>
      <c r="AS48" s="715"/>
      <c r="AT48" s="719">
        <v>1</v>
      </c>
      <c r="AU48" s="714"/>
      <c r="AV48" s="714"/>
      <c r="AW48" s="715"/>
      <c r="AX48" s="719">
        <v>1</v>
      </c>
      <c r="AY48" s="714"/>
      <c r="AZ48" s="714"/>
      <c r="BA48" s="715"/>
      <c r="BB48" s="719">
        <v>1</v>
      </c>
      <c r="BC48" s="714"/>
      <c r="BD48" s="714"/>
      <c r="BE48" s="715"/>
      <c r="BF48" s="719">
        <v>1</v>
      </c>
      <c r="BG48" s="714"/>
      <c r="BH48" s="714"/>
      <c r="BI48" s="715"/>
      <c r="BJ48" s="719">
        <v>1</v>
      </c>
      <c r="BK48" s="714"/>
      <c r="BL48" s="714"/>
      <c r="BM48" s="715"/>
      <c r="BN48" s="703">
        <v>0</v>
      </c>
      <c r="BO48" s="690"/>
      <c r="BP48" s="690"/>
      <c r="BQ48" s="704"/>
      <c r="BR48" s="703">
        <v>0</v>
      </c>
      <c r="BS48" s="690"/>
      <c r="BT48" s="690"/>
      <c r="BU48" s="704"/>
      <c r="BV48" s="703">
        <v>0</v>
      </c>
      <c r="BW48" s="690"/>
      <c r="BX48" s="690"/>
      <c r="BY48" s="704"/>
      <c r="BZ48" s="703">
        <v>0</v>
      </c>
      <c r="CA48" s="690"/>
      <c r="CB48" s="690"/>
      <c r="CC48" s="704"/>
      <c r="CD48" s="703">
        <v>0</v>
      </c>
      <c r="CE48" s="690"/>
      <c r="CF48" s="690"/>
      <c r="CG48" s="704"/>
      <c r="CH48" s="703">
        <v>0</v>
      </c>
      <c r="CI48" s="690"/>
      <c r="CJ48" s="690"/>
      <c r="CK48" s="704"/>
      <c r="CL48" s="703">
        <v>0</v>
      </c>
      <c r="CM48" s="690"/>
      <c r="CN48" s="690"/>
      <c r="CO48" s="704"/>
      <c r="CP48" s="703">
        <v>0</v>
      </c>
      <c r="CQ48" s="690"/>
      <c r="CR48" s="690"/>
      <c r="CS48" s="690"/>
      <c r="CT48" s="697">
        <v>0</v>
      </c>
      <c r="CU48" s="698"/>
      <c r="CV48" s="698"/>
      <c r="CW48" s="699"/>
    </row>
    <row r="50" spans="2:149" s="1" customFormat="1" x14ac:dyDescent="0.45">
      <c r="B50" s="355"/>
      <c r="D50" s="358"/>
      <c r="E50" s="359"/>
      <c r="F50" s="359"/>
      <c r="G50" s="359"/>
      <c r="H50" s="359"/>
      <c r="I50" s="359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9"/>
      <c r="Y50" s="359"/>
      <c r="Z50" s="359"/>
      <c r="AA50" s="359"/>
      <c r="AB50" s="359"/>
      <c r="AC50" s="359"/>
      <c r="AD50" s="359"/>
      <c r="AE50" s="359"/>
      <c r="AF50" s="359"/>
      <c r="AG50" s="359"/>
      <c r="AH50" s="359"/>
      <c r="AI50" s="359"/>
      <c r="AJ50" s="359"/>
      <c r="AK50" s="359"/>
      <c r="AL50" s="359"/>
      <c r="AM50" s="359"/>
      <c r="AN50" s="359"/>
      <c r="AO50" s="359"/>
      <c r="AP50" s="359"/>
      <c r="AQ50" s="359"/>
      <c r="AR50" s="359"/>
      <c r="AS50" s="359"/>
      <c r="AT50" s="359"/>
      <c r="AU50" s="359"/>
      <c r="AV50" s="359"/>
      <c r="AW50" s="359"/>
      <c r="AX50" s="359"/>
      <c r="AY50" s="359"/>
      <c r="AZ50" s="359"/>
      <c r="BA50" s="359"/>
      <c r="BB50" s="359"/>
      <c r="BC50" s="359"/>
      <c r="BD50" s="359"/>
      <c r="BE50" s="359"/>
      <c r="BF50" s="359"/>
      <c r="BG50" s="359"/>
      <c r="BH50" s="359"/>
      <c r="BI50" s="359"/>
      <c r="BJ50" s="359"/>
      <c r="BK50" s="359"/>
      <c r="BL50" s="359"/>
      <c r="BM50" s="359"/>
      <c r="BN50" s="359"/>
      <c r="BO50" s="359"/>
      <c r="BP50" s="359"/>
      <c r="BQ50" s="359"/>
      <c r="BR50" s="359"/>
      <c r="BS50" s="359"/>
      <c r="BT50" s="359"/>
      <c r="BU50" s="359"/>
      <c r="BV50" s="359"/>
      <c r="BW50" s="359"/>
      <c r="BX50" s="359"/>
      <c r="BY50" s="359"/>
      <c r="BZ50" s="359"/>
      <c r="CA50" s="359"/>
      <c r="CB50" s="359"/>
      <c r="CC50" s="359"/>
      <c r="CD50" s="359"/>
      <c r="CE50" s="359"/>
      <c r="CF50" s="359"/>
      <c r="CG50" s="359"/>
      <c r="CH50" s="359"/>
      <c r="CI50" s="359"/>
      <c r="CJ50" s="359"/>
      <c r="CK50" s="359"/>
      <c r="CL50" s="359"/>
      <c r="CM50" s="359"/>
      <c r="CN50" s="359"/>
      <c r="CO50" s="359"/>
      <c r="CP50" s="359"/>
      <c r="CQ50" s="359"/>
      <c r="CR50" s="359"/>
      <c r="CS50" s="359"/>
      <c r="CT50" s="359"/>
      <c r="CU50" s="359"/>
      <c r="CV50" s="359"/>
      <c r="CW50" s="359"/>
      <c r="CX50" s="359"/>
      <c r="CY50" s="359"/>
      <c r="CZ50" s="358"/>
      <c r="DA50" s="358"/>
      <c r="DB50" s="358"/>
      <c r="DC50" s="358"/>
      <c r="DD50" s="358"/>
      <c r="DE50" s="358"/>
      <c r="DF50" s="358"/>
      <c r="DG50" s="358"/>
      <c r="DH50" s="358"/>
      <c r="DI50" s="358"/>
      <c r="DJ50" s="358"/>
      <c r="DK50" s="358"/>
      <c r="DL50" s="358"/>
      <c r="DM50" s="358"/>
      <c r="DN50" s="358"/>
      <c r="DO50" s="358"/>
      <c r="DP50" s="358"/>
      <c r="DQ50" s="358"/>
      <c r="DR50" s="358"/>
      <c r="DS50" s="358"/>
      <c r="DT50" s="358"/>
      <c r="DU50" s="358"/>
      <c r="DV50" s="358"/>
      <c r="DW50" s="358"/>
      <c r="DX50" s="358"/>
      <c r="DY50" s="358"/>
      <c r="DZ50" s="358"/>
      <c r="EA50" s="358"/>
      <c r="EB50" s="358"/>
      <c r="EC50" s="358"/>
      <c r="ED50" s="358"/>
      <c r="EE50" s="358"/>
      <c r="EF50" s="358"/>
      <c r="EG50" s="358"/>
      <c r="EH50" s="358"/>
      <c r="EI50" s="358"/>
      <c r="EJ50" s="358"/>
      <c r="EK50" s="358"/>
      <c r="EL50" s="358"/>
      <c r="EM50" s="358"/>
      <c r="EN50" s="358"/>
      <c r="EO50" s="358"/>
      <c r="EP50" s="358"/>
      <c r="EQ50" s="358"/>
      <c r="ER50" s="358"/>
      <c r="ES50" s="358"/>
    </row>
    <row r="51" spans="2:149" x14ac:dyDescent="0.45">
      <c r="B51" s="357" t="s">
        <v>1218</v>
      </c>
    </row>
    <row r="52" spans="2:149" x14ac:dyDescent="0.45">
      <c r="B52" s="350">
        <v>327660</v>
      </c>
      <c r="C52" s="350">
        <v>393192</v>
      </c>
    </row>
    <row r="53" spans="2:149" s="5" customFormat="1" x14ac:dyDescent="0.45">
      <c r="B53" s="227" t="s">
        <v>1215</v>
      </c>
      <c r="C53" s="227" t="s">
        <v>1189</v>
      </c>
      <c r="D53" s="360"/>
      <c r="E53" s="360"/>
      <c r="F53" s="697" t="s">
        <v>1216</v>
      </c>
      <c r="G53" s="698"/>
      <c r="H53" s="698"/>
      <c r="I53" s="699"/>
      <c r="J53" s="690">
        <v>3</v>
      </c>
      <c r="K53" s="690"/>
      <c r="L53" s="690"/>
      <c r="M53" s="690"/>
      <c r="N53" s="690">
        <v>3</v>
      </c>
      <c r="O53" s="690"/>
      <c r="P53" s="690"/>
      <c r="Q53" s="690"/>
      <c r="R53" s="690">
        <v>3</v>
      </c>
      <c r="S53" s="690"/>
      <c r="T53" s="690"/>
      <c r="U53" s="690"/>
      <c r="V53" s="690">
        <v>3</v>
      </c>
      <c r="W53" s="690"/>
      <c r="X53" s="690"/>
      <c r="Y53" s="690"/>
      <c r="Z53" s="690">
        <v>3</v>
      </c>
      <c r="AA53" s="690"/>
      <c r="AB53" s="690"/>
      <c r="AC53" s="690"/>
      <c r="AD53" s="690">
        <v>3</v>
      </c>
      <c r="AE53" s="690"/>
      <c r="AF53" s="690"/>
      <c r="AG53" s="690"/>
      <c r="AH53" s="690">
        <v>3</v>
      </c>
      <c r="AI53" s="690"/>
      <c r="AJ53" s="690"/>
      <c r="AK53" s="690"/>
      <c r="AL53" s="690">
        <v>3</v>
      </c>
      <c r="AM53" s="690"/>
      <c r="AN53" s="690"/>
      <c r="AO53" s="690"/>
      <c r="AP53" s="690">
        <v>3</v>
      </c>
      <c r="AQ53" s="690"/>
      <c r="AR53" s="690"/>
      <c r="AS53" s="690"/>
      <c r="AT53" s="690">
        <v>1</v>
      </c>
      <c r="AU53" s="690"/>
      <c r="AV53" s="690"/>
      <c r="AW53" s="690"/>
      <c r="AX53" s="690">
        <v>1</v>
      </c>
      <c r="AY53" s="690"/>
      <c r="AZ53" s="690"/>
      <c r="BA53" s="690"/>
      <c r="BB53" s="690">
        <v>1</v>
      </c>
      <c r="BC53" s="690"/>
      <c r="BD53" s="690"/>
      <c r="BE53" s="690"/>
      <c r="BF53" s="690">
        <v>1</v>
      </c>
      <c r="BG53" s="690"/>
      <c r="BH53" s="690"/>
      <c r="BI53" s="690"/>
      <c r="BJ53" s="690">
        <v>1</v>
      </c>
      <c r="BK53" s="690"/>
      <c r="BL53" s="690"/>
      <c r="BM53" s="690"/>
      <c r="BN53" s="690">
        <v>1</v>
      </c>
      <c r="BO53" s="690"/>
      <c r="BP53" s="690"/>
      <c r="BQ53" s="690"/>
      <c r="BR53" s="690">
        <v>1</v>
      </c>
      <c r="BS53" s="690"/>
      <c r="BT53" s="690"/>
      <c r="BU53" s="690"/>
      <c r="BV53" s="690">
        <v>1</v>
      </c>
      <c r="BW53" s="690"/>
      <c r="BX53" s="690"/>
      <c r="BY53" s="690"/>
      <c r="BZ53" s="690">
        <v>1</v>
      </c>
      <c r="CA53" s="690"/>
      <c r="CB53" s="690"/>
      <c r="CC53" s="690"/>
      <c r="CD53" s="690">
        <v>1</v>
      </c>
      <c r="CE53" s="690"/>
      <c r="CF53" s="690"/>
      <c r="CG53" s="690"/>
      <c r="CH53" s="690">
        <v>3</v>
      </c>
      <c r="CI53" s="690"/>
      <c r="CJ53" s="690"/>
      <c r="CK53" s="690"/>
      <c r="CL53" s="690">
        <v>3</v>
      </c>
      <c r="CM53" s="690"/>
      <c r="CN53" s="690"/>
      <c r="CO53" s="690"/>
      <c r="CP53" s="690">
        <v>3</v>
      </c>
      <c r="CQ53" s="690"/>
      <c r="CR53" s="690"/>
      <c r="CS53" s="690"/>
      <c r="CT53" s="690">
        <v>3</v>
      </c>
      <c r="CU53" s="690"/>
      <c r="CV53" s="690"/>
      <c r="CW53" s="690"/>
      <c r="CX53" s="690">
        <v>3</v>
      </c>
      <c r="CY53" s="690"/>
      <c r="CZ53" s="690"/>
      <c r="DA53" s="690"/>
      <c r="DB53" s="690">
        <v>3</v>
      </c>
      <c r="DC53" s="690"/>
      <c r="DD53" s="690"/>
      <c r="DE53" s="690"/>
      <c r="DF53" s="690">
        <v>3</v>
      </c>
      <c r="DG53" s="690"/>
      <c r="DH53" s="690"/>
      <c r="DI53" s="690"/>
      <c r="DJ53" s="690">
        <v>3</v>
      </c>
      <c r="DK53" s="690"/>
      <c r="DL53" s="690"/>
      <c r="DM53" s="690"/>
      <c r="DN53" s="697" t="s">
        <v>1210</v>
      </c>
      <c r="DO53" s="698"/>
      <c r="DP53" s="698"/>
      <c r="DQ53" s="699"/>
      <c r="DR53" s="360"/>
      <c r="DS53" s="360"/>
      <c r="DT53" s="360"/>
      <c r="DU53" s="360"/>
      <c r="DV53" s="360"/>
      <c r="DW53" s="360"/>
      <c r="DX53" s="360"/>
      <c r="DY53" s="360"/>
      <c r="DZ53" s="360"/>
      <c r="EA53" s="360"/>
      <c r="EB53" s="360"/>
      <c r="EC53" s="360"/>
      <c r="ED53" s="360"/>
      <c r="EE53" s="360"/>
      <c r="EF53" s="360"/>
      <c r="EG53" s="360"/>
      <c r="EH53" s="360"/>
      <c r="EI53" s="360"/>
      <c r="EJ53" s="360"/>
      <c r="EK53" s="360"/>
      <c r="EL53" s="360"/>
      <c r="EM53" s="360"/>
      <c r="EN53" s="360"/>
      <c r="EO53" s="360"/>
      <c r="EP53" s="360"/>
      <c r="EQ53" s="360"/>
      <c r="ER53" s="360"/>
      <c r="ES53" s="360"/>
    </row>
    <row r="54" spans="2:149" x14ac:dyDescent="0.45">
      <c r="B54" s="227"/>
      <c r="C54" s="227" t="s">
        <v>13</v>
      </c>
      <c r="E54" s="361"/>
      <c r="F54" s="362"/>
      <c r="G54" s="363"/>
      <c r="H54" s="363"/>
      <c r="I54" s="363"/>
      <c r="J54" s="364"/>
      <c r="K54" s="361"/>
      <c r="L54" s="361"/>
      <c r="M54" s="361"/>
      <c r="N54" s="364"/>
      <c r="O54" s="361"/>
      <c r="P54" s="361"/>
      <c r="Q54" s="361"/>
      <c r="R54" s="364"/>
      <c r="S54" s="361"/>
      <c r="T54" s="361"/>
      <c r="U54" s="361"/>
      <c r="V54" s="364"/>
      <c r="W54" s="361"/>
      <c r="X54" s="361"/>
      <c r="Y54" s="361"/>
      <c r="Z54" s="364"/>
      <c r="AA54" s="361"/>
      <c r="AB54" s="361"/>
      <c r="AC54" s="361"/>
      <c r="AD54" s="364"/>
      <c r="AE54" s="361"/>
      <c r="AF54" s="361"/>
      <c r="AG54" s="361"/>
      <c r="AH54" s="364"/>
      <c r="AI54" s="361"/>
      <c r="AJ54" s="361"/>
      <c r="AK54" s="361"/>
      <c r="AL54" s="364"/>
      <c r="AM54" s="361"/>
      <c r="AN54" s="361"/>
      <c r="AO54" s="361"/>
      <c r="AP54" s="364"/>
      <c r="AQ54" s="361"/>
      <c r="AR54" s="361"/>
      <c r="AS54" s="361"/>
      <c r="AT54" s="364"/>
      <c r="AU54" s="361"/>
      <c r="AV54" s="361"/>
      <c r="AW54" s="361"/>
      <c r="AX54" s="364"/>
      <c r="AY54" s="361"/>
      <c r="AZ54" s="361"/>
      <c r="BA54" s="361"/>
      <c r="BB54" s="364"/>
      <c r="BC54" s="361"/>
      <c r="BD54" s="361"/>
      <c r="BE54" s="361"/>
      <c r="BF54" s="364"/>
      <c r="BG54" s="361"/>
      <c r="BH54" s="361"/>
      <c r="BI54" s="361"/>
      <c r="BJ54" s="364"/>
      <c r="BK54" s="361"/>
      <c r="BL54" s="361"/>
      <c r="BM54" s="361"/>
      <c r="BN54" s="364"/>
      <c r="BO54" s="361"/>
      <c r="BP54" s="361"/>
      <c r="BQ54" s="361"/>
      <c r="BR54" s="364"/>
      <c r="BS54" s="361"/>
      <c r="BT54" s="361"/>
      <c r="BU54" s="361"/>
      <c r="BV54" s="364"/>
      <c r="BW54" s="361"/>
      <c r="BX54" s="361"/>
      <c r="BY54" s="361"/>
      <c r="BZ54" s="364"/>
      <c r="CA54" s="361"/>
      <c r="CB54" s="361"/>
      <c r="CC54" s="361"/>
      <c r="CD54" s="364"/>
      <c r="CE54" s="361"/>
      <c r="CF54" s="361"/>
      <c r="CG54" s="361"/>
      <c r="CH54" s="364"/>
      <c r="CI54" s="361"/>
      <c r="CJ54" s="361"/>
      <c r="CK54" s="361"/>
      <c r="CL54" s="364"/>
      <c r="CM54" s="361"/>
      <c r="CN54" s="361"/>
      <c r="CO54" s="361"/>
      <c r="CP54" s="364"/>
      <c r="CQ54" s="361"/>
      <c r="CR54" s="361"/>
      <c r="CS54" s="361"/>
      <c r="CT54" s="364"/>
      <c r="CU54" s="361"/>
      <c r="CV54" s="361"/>
      <c r="CW54" s="361"/>
      <c r="CX54" s="364"/>
      <c r="CY54" s="361"/>
      <c r="CZ54" s="361"/>
      <c r="DA54" s="361"/>
      <c r="DB54" s="364"/>
      <c r="DC54" s="361"/>
      <c r="DD54" s="361"/>
      <c r="DE54" s="361"/>
      <c r="DF54" s="364"/>
      <c r="DG54" s="361"/>
      <c r="DH54" s="361"/>
      <c r="DI54" s="361"/>
      <c r="DJ54" s="364"/>
      <c r="DK54" s="361"/>
      <c r="DL54" s="361"/>
      <c r="DM54" s="361"/>
      <c r="DN54" s="362"/>
      <c r="DO54" s="363"/>
      <c r="DP54" s="363"/>
      <c r="DQ54" s="365"/>
    </row>
    <row r="55" spans="2:149" x14ac:dyDescent="0.45">
      <c r="B55" s="227"/>
      <c r="C55" s="227"/>
      <c r="F55" s="366"/>
      <c r="G55" s="367"/>
      <c r="H55" s="367"/>
      <c r="I55" s="368"/>
      <c r="M55" s="370"/>
      <c r="N55" s="369"/>
      <c r="Q55" s="370"/>
      <c r="R55" s="369"/>
      <c r="U55" s="370"/>
      <c r="V55" s="369"/>
      <c r="Y55" s="370"/>
      <c r="Z55" s="369"/>
      <c r="AC55" s="370"/>
      <c r="AD55" s="369"/>
      <c r="AG55" s="370"/>
      <c r="AH55" s="369"/>
      <c r="AK55" s="370"/>
      <c r="AL55" s="369"/>
      <c r="AO55" s="370"/>
      <c r="AP55" s="369"/>
      <c r="AS55" s="370"/>
      <c r="AT55" s="369"/>
      <c r="AW55" s="370"/>
      <c r="AX55" s="369"/>
      <c r="BA55" s="370"/>
      <c r="BB55" s="369"/>
      <c r="BE55" s="370"/>
      <c r="BF55" s="369"/>
      <c r="BI55" s="370"/>
      <c r="BJ55" s="369"/>
      <c r="BM55" s="370"/>
      <c r="BN55" s="369"/>
      <c r="BQ55" s="370"/>
      <c r="BR55" s="369"/>
      <c r="BU55" s="370"/>
      <c r="BV55" s="369"/>
      <c r="BY55" s="370"/>
      <c r="BZ55" s="369"/>
      <c r="CC55" s="370"/>
      <c r="CD55" s="369"/>
      <c r="CG55" s="370"/>
      <c r="CH55" s="369"/>
      <c r="CK55" s="370"/>
      <c r="CL55" s="369"/>
      <c r="CO55" s="370"/>
      <c r="CP55" s="369"/>
      <c r="CS55" s="370"/>
      <c r="CT55" s="369"/>
      <c r="CW55" s="370"/>
      <c r="CX55" s="369"/>
      <c r="DA55" s="370"/>
      <c r="DB55" s="369"/>
      <c r="DE55" s="370"/>
      <c r="DF55" s="369"/>
      <c r="DI55" s="370"/>
      <c r="DJ55" s="369"/>
      <c r="DN55" s="366"/>
      <c r="DO55" s="367"/>
      <c r="DP55" s="367"/>
      <c r="DQ55" s="368"/>
    </row>
    <row r="56" spans="2:149" x14ac:dyDescent="0.45">
      <c r="B56" s="227" t="s">
        <v>3</v>
      </c>
      <c r="C56" s="227" t="s">
        <v>1200</v>
      </c>
      <c r="F56" s="691">
        <v>120</v>
      </c>
      <c r="G56" s="692"/>
      <c r="H56" s="692"/>
      <c r="I56" s="693"/>
      <c r="J56" s="695">
        <f>F56</f>
        <v>120</v>
      </c>
      <c r="K56" s="695"/>
      <c r="L56" s="695"/>
      <c r="M56" s="696"/>
      <c r="N56" s="694">
        <f>J56</f>
        <v>120</v>
      </c>
      <c r="O56" s="695"/>
      <c r="P56" s="695"/>
      <c r="Q56" s="696"/>
      <c r="R56" s="694">
        <f t="shared" ref="R56" si="143">N56</f>
        <v>120</v>
      </c>
      <c r="S56" s="695"/>
      <c r="T56" s="695"/>
      <c r="U56" s="696"/>
      <c r="V56" s="694">
        <f t="shared" ref="V56" si="144">R56</f>
        <v>120</v>
      </c>
      <c r="W56" s="695"/>
      <c r="X56" s="695"/>
      <c r="Y56" s="696"/>
      <c r="Z56" s="694">
        <f t="shared" ref="Z56" si="145">V56</f>
        <v>120</v>
      </c>
      <c r="AA56" s="695"/>
      <c r="AB56" s="695"/>
      <c r="AC56" s="696"/>
      <c r="AD56" s="694">
        <f t="shared" ref="AD56" si="146">Z56</f>
        <v>120</v>
      </c>
      <c r="AE56" s="695"/>
      <c r="AF56" s="695"/>
      <c r="AG56" s="696"/>
      <c r="AH56" s="694">
        <f t="shared" ref="AH56" si="147">AD56</f>
        <v>120</v>
      </c>
      <c r="AI56" s="695"/>
      <c r="AJ56" s="695"/>
      <c r="AK56" s="696"/>
      <c r="AL56" s="694">
        <f t="shared" ref="AL56" si="148">AH56</f>
        <v>120</v>
      </c>
      <c r="AM56" s="695"/>
      <c r="AN56" s="695"/>
      <c r="AO56" s="696"/>
      <c r="AP56" s="694">
        <f t="shared" ref="AP56" si="149">AL56</f>
        <v>120</v>
      </c>
      <c r="AQ56" s="695"/>
      <c r="AR56" s="695"/>
      <c r="AS56" s="696"/>
      <c r="AT56" s="694">
        <f>AP56</f>
        <v>120</v>
      </c>
      <c r="AU56" s="695"/>
      <c r="AV56" s="695"/>
      <c r="AW56" s="696"/>
      <c r="AX56" s="708">
        <f>AT56-2.5</f>
        <v>117.5</v>
      </c>
      <c r="AY56" s="709"/>
      <c r="AZ56" s="709"/>
      <c r="BA56" s="710"/>
      <c r="BB56" s="720">
        <f>AT56-5</f>
        <v>115</v>
      </c>
      <c r="BC56" s="721"/>
      <c r="BD56" s="721"/>
      <c r="BE56" s="722"/>
      <c r="BF56" s="708">
        <f>AX56-5</f>
        <v>112.5</v>
      </c>
      <c r="BG56" s="709"/>
      <c r="BH56" s="709"/>
      <c r="BI56" s="710"/>
      <c r="BJ56" s="720">
        <f>BB56-5</f>
        <v>110</v>
      </c>
      <c r="BK56" s="721"/>
      <c r="BL56" s="721"/>
      <c r="BM56" s="722"/>
      <c r="BN56" s="708">
        <f t="shared" ref="BN56" si="150">BF56-5</f>
        <v>107.5</v>
      </c>
      <c r="BO56" s="709"/>
      <c r="BP56" s="709"/>
      <c r="BQ56" s="710"/>
      <c r="BR56" s="720">
        <f t="shared" ref="BR56" si="151">BJ56-5</f>
        <v>105</v>
      </c>
      <c r="BS56" s="721"/>
      <c r="BT56" s="721"/>
      <c r="BU56" s="722"/>
      <c r="BV56" s="708">
        <f t="shared" ref="BV56" si="152">BN56-5</f>
        <v>102.5</v>
      </c>
      <c r="BW56" s="709"/>
      <c r="BX56" s="709"/>
      <c r="BY56" s="710"/>
      <c r="BZ56" s="720">
        <f t="shared" ref="BZ56" si="153">BR56-5</f>
        <v>100</v>
      </c>
      <c r="CA56" s="721"/>
      <c r="CB56" s="721"/>
      <c r="CC56" s="722"/>
      <c r="CD56" s="694">
        <f>BZ56</f>
        <v>100</v>
      </c>
      <c r="CE56" s="695"/>
      <c r="CF56" s="695"/>
      <c r="CG56" s="696"/>
      <c r="CH56" s="694">
        <f>CD56</f>
        <v>100</v>
      </c>
      <c r="CI56" s="695"/>
      <c r="CJ56" s="695"/>
      <c r="CK56" s="696"/>
      <c r="CL56" s="694">
        <f>CH56</f>
        <v>100</v>
      </c>
      <c r="CM56" s="695"/>
      <c r="CN56" s="695"/>
      <c r="CO56" s="696"/>
      <c r="CP56" s="694">
        <f t="shared" ref="CP56" si="154">CL56</f>
        <v>100</v>
      </c>
      <c r="CQ56" s="695"/>
      <c r="CR56" s="695"/>
      <c r="CS56" s="696"/>
      <c r="CT56" s="694">
        <f t="shared" ref="CT56" si="155">CP56</f>
        <v>100</v>
      </c>
      <c r="CU56" s="695"/>
      <c r="CV56" s="695"/>
      <c r="CW56" s="696"/>
      <c r="CX56" s="694">
        <f t="shared" ref="CX56" si="156">CT56</f>
        <v>100</v>
      </c>
      <c r="CY56" s="695"/>
      <c r="CZ56" s="695"/>
      <c r="DA56" s="696"/>
      <c r="DB56" s="694">
        <f t="shared" ref="DB56" si="157">CX56</f>
        <v>100</v>
      </c>
      <c r="DC56" s="695"/>
      <c r="DD56" s="695"/>
      <c r="DE56" s="696"/>
      <c r="DF56" s="694">
        <f t="shared" ref="DF56" si="158">DB56</f>
        <v>100</v>
      </c>
      <c r="DG56" s="695"/>
      <c r="DH56" s="695"/>
      <c r="DI56" s="696"/>
      <c r="DJ56" s="694">
        <f t="shared" ref="DJ56" si="159">DF56</f>
        <v>100</v>
      </c>
      <c r="DK56" s="695"/>
      <c r="DL56" s="695"/>
      <c r="DM56" s="695"/>
      <c r="DN56" s="691">
        <f t="shared" ref="DN56" si="160">DJ56</f>
        <v>100</v>
      </c>
      <c r="DO56" s="692"/>
      <c r="DP56" s="692"/>
      <c r="DQ56" s="693"/>
    </row>
    <row r="57" spans="2:149" x14ac:dyDescent="0.45">
      <c r="B57" s="227"/>
      <c r="C57" s="227"/>
      <c r="F57" s="371"/>
      <c r="G57" s="372"/>
      <c r="H57" s="372"/>
      <c r="I57" s="373"/>
      <c r="J57" s="375"/>
      <c r="K57" s="375"/>
      <c r="L57" s="375"/>
      <c r="M57" s="376"/>
      <c r="N57" s="374"/>
      <c r="O57" s="375"/>
      <c r="P57" s="375"/>
      <c r="Q57" s="376"/>
      <c r="R57" s="374"/>
      <c r="S57" s="375"/>
      <c r="T57" s="375"/>
      <c r="U57" s="376"/>
      <c r="V57" s="374"/>
      <c r="W57" s="375"/>
      <c r="X57" s="375"/>
      <c r="Y57" s="376"/>
      <c r="Z57" s="374"/>
      <c r="AA57" s="375"/>
      <c r="AB57" s="375"/>
      <c r="AC57" s="376"/>
      <c r="AD57" s="374"/>
      <c r="AE57" s="375"/>
      <c r="AF57" s="375"/>
      <c r="AG57" s="376"/>
      <c r="AH57" s="374"/>
      <c r="AI57" s="375"/>
      <c r="AJ57" s="375"/>
      <c r="AK57" s="376"/>
      <c r="AL57" s="374"/>
      <c r="AM57" s="375"/>
      <c r="AN57" s="375"/>
      <c r="AO57" s="376"/>
      <c r="AP57" s="374"/>
      <c r="AQ57" s="375"/>
      <c r="AR57" s="375"/>
      <c r="AS57" s="376"/>
      <c r="AT57" s="374"/>
      <c r="AU57" s="375"/>
      <c r="AV57" s="375"/>
      <c r="AW57" s="376"/>
      <c r="AX57" s="374"/>
      <c r="AY57" s="375"/>
      <c r="AZ57" s="375"/>
      <c r="BA57" s="376"/>
      <c r="BB57" s="374"/>
      <c r="BC57" s="375"/>
      <c r="BD57" s="375"/>
      <c r="BE57" s="376"/>
      <c r="BF57" s="374"/>
      <c r="BG57" s="375"/>
      <c r="BH57" s="375"/>
      <c r="BI57" s="376"/>
      <c r="BJ57" s="374"/>
      <c r="BK57" s="375"/>
      <c r="BL57" s="375"/>
      <c r="BM57" s="376"/>
      <c r="BN57" s="374"/>
      <c r="BO57" s="375"/>
      <c r="BP57" s="375"/>
      <c r="BQ57" s="376"/>
      <c r="BR57" s="374"/>
      <c r="BS57" s="375"/>
      <c r="BT57" s="375"/>
      <c r="BU57" s="376"/>
      <c r="BV57" s="374"/>
      <c r="BW57" s="375"/>
      <c r="BX57" s="375"/>
      <c r="BY57" s="376"/>
      <c r="BZ57" s="374"/>
      <c r="CA57" s="375"/>
      <c r="CB57" s="375"/>
      <c r="CC57" s="376"/>
      <c r="CD57" s="374"/>
      <c r="CE57" s="375"/>
      <c r="CF57" s="375"/>
      <c r="CG57" s="376"/>
      <c r="CH57" s="374"/>
      <c r="CI57" s="375"/>
      <c r="CJ57" s="375"/>
      <c r="CK57" s="376"/>
      <c r="CL57" s="374"/>
      <c r="CM57" s="375"/>
      <c r="CN57" s="375"/>
      <c r="CO57" s="376"/>
      <c r="CP57" s="374"/>
      <c r="CQ57" s="375"/>
      <c r="CR57" s="375"/>
      <c r="CS57" s="376"/>
      <c r="CT57" s="374"/>
      <c r="CU57" s="375"/>
      <c r="CV57" s="375"/>
      <c r="CW57" s="376"/>
      <c r="CX57" s="374"/>
      <c r="CY57" s="375"/>
      <c r="CZ57" s="375"/>
      <c r="DA57" s="376"/>
      <c r="DB57" s="374"/>
      <c r="DC57" s="375"/>
      <c r="DD57" s="375"/>
      <c r="DE57" s="376"/>
      <c r="DF57" s="374"/>
      <c r="DG57" s="375"/>
      <c r="DH57" s="375"/>
      <c r="DI57" s="376"/>
      <c r="DJ57" s="374"/>
      <c r="DK57" s="375"/>
      <c r="DL57" s="375"/>
      <c r="DM57" s="375"/>
      <c r="DN57" s="371"/>
      <c r="DO57" s="372"/>
      <c r="DP57" s="372"/>
      <c r="DQ57" s="373"/>
    </row>
    <row r="58" spans="2:149" x14ac:dyDescent="0.45">
      <c r="B58" s="356" t="s">
        <v>1213</v>
      </c>
      <c r="C58" s="356" t="s">
        <v>1214</v>
      </c>
      <c r="F58" s="371"/>
      <c r="G58" s="372"/>
      <c r="H58" s="372"/>
      <c r="I58" s="373"/>
      <c r="J58" s="375"/>
      <c r="K58" s="375"/>
      <c r="L58" s="375"/>
      <c r="M58" s="376"/>
      <c r="N58" s="374"/>
      <c r="O58" s="375"/>
      <c r="P58" s="375"/>
      <c r="Q58" s="376"/>
      <c r="R58" s="374"/>
      <c r="S58" s="375"/>
      <c r="T58" s="375"/>
      <c r="U58" s="376"/>
      <c r="V58" s="374"/>
      <c r="W58" s="375"/>
      <c r="X58" s="375"/>
      <c r="Y58" s="376"/>
      <c r="Z58" s="374"/>
      <c r="AA58" s="375"/>
      <c r="AB58" s="375"/>
      <c r="AC58" s="376"/>
      <c r="AD58" s="374"/>
      <c r="AE58" s="375"/>
      <c r="AF58" s="375"/>
      <c r="AG58" s="376"/>
      <c r="AH58" s="374"/>
      <c r="AI58" s="375"/>
      <c r="AJ58" s="375"/>
      <c r="AK58" s="376"/>
      <c r="AL58" s="374"/>
      <c r="AM58" s="375"/>
      <c r="AN58" s="375"/>
      <c r="AO58" s="376"/>
      <c r="AP58" s="374"/>
      <c r="AQ58" s="375"/>
      <c r="AR58" s="375"/>
      <c r="AS58" s="376"/>
      <c r="AT58" s="374"/>
      <c r="AU58" s="375"/>
      <c r="AV58" s="375"/>
      <c r="AW58" s="376"/>
      <c r="AX58" s="374"/>
      <c r="AY58" s="375"/>
      <c r="AZ58" s="375"/>
      <c r="BA58" s="376"/>
      <c r="BB58" s="374"/>
      <c r="BC58" s="375"/>
      <c r="BD58" s="375"/>
      <c r="BE58" s="376"/>
      <c r="BF58" s="374"/>
      <c r="BG58" s="375"/>
      <c r="BH58" s="375"/>
      <c r="BI58" s="376"/>
      <c r="BJ58" s="374"/>
      <c r="BK58" s="375"/>
      <c r="BL58" s="375"/>
      <c r="BM58" s="376"/>
      <c r="BN58" s="374"/>
      <c r="BO58" s="375"/>
      <c r="BP58" s="375"/>
      <c r="BQ58" s="376"/>
      <c r="BR58" s="374"/>
      <c r="BS58" s="375"/>
      <c r="BT58" s="375"/>
      <c r="BU58" s="376"/>
      <c r="BV58" s="374"/>
      <c r="BW58" s="375"/>
      <c r="BX58" s="375"/>
      <c r="BY58" s="376"/>
      <c r="BZ58" s="374"/>
      <c r="CA58" s="375"/>
      <c r="CB58" s="375"/>
      <c r="CC58" s="376"/>
      <c r="CD58" s="374"/>
      <c r="CE58" s="375"/>
      <c r="CF58" s="375"/>
      <c r="CG58" s="376"/>
      <c r="CH58" s="374"/>
      <c r="CI58" s="375"/>
      <c r="CJ58" s="375"/>
      <c r="CK58" s="376"/>
      <c r="CL58" s="374"/>
      <c r="CM58" s="375"/>
      <c r="CN58" s="375"/>
      <c r="CO58" s="376"/>
      <c r="CP58" s="374"/>
      <c r="CQ58" s="375"/>
      <c r="CR58" s="375"/>
      <c r="CS58" s="376"/>
      <c r="CT58" s="374"/>
      <c r="CU58" s="375"/>
      <c r="CV58" s="375"/>
      <c r="CW58" s="376"/>
      <c r="CX58" s="374"/>
      <c r="CY58" s="375"/>
      <c r="CZ58" s="375"/>
      <c r="DA58" s="376"/>
      <c r="DB58" s="374"/>
      <c r="DC58" s="375"/>
      <c r="DD58" s="375"/>
      <c r="DE58" s="376"/>
      <c r="DF58" s="374"/>
      <c r="DG58" s="375"/>
      <c r="DH58" s="375"/>
      <c r="DI58" s="376"/>
      <c r="DJ58" s="374"/>
      <c r="DK58" s="375"/>
      <c r="DL58" s="375"/>
      <c r="DM58" s="375"/>
      <c r="DN58" s="371"/>
      <c r="DO58" s="372"/>
      <c r="DP58" s="372"/>
      <c r="DQ58" s="373"/>
    </row>
    <row r="59" spans="2:149" x14ac:dyDescent="0.45">
      <c r="B59" s="227" t="s">
        <v>21</v>
      </c>
      <c r="C59" s="227" t="s">
        <v>1201</v>
      </c>
      <c r="F59" s="697">
        <v>19</v>
      </c>
      <c r="G59" s="698"/>
      <c r="H59" s="698"/>
      <c r="I59" s="699"/>
      <c r="J59" s="690">
        <f>F59</f>
        <v>19</v>
      </c>
      <c r="K59" s="690"/>
      <c r="L59" s="690"/>
      <c r="M59" s="704"/>
      <c r="N59" s="703">
        <f>J59</f>
        <v>19</v>
      </c>
      <c r="O59" s="690"/>
      <c r="P59" s="690"/>
      <c r="Q59" s="704"/>
      <c r="R59" s="703">
        <f t="shared" ref="R59" si="161">N59</f>
        <v>19</v>
      </c>
      <c r="S59" s="690"/>
      <c r="T59" s="690"/>
      <c r="U59" s="704"/>
      <c r="V59" s="703">
        <f t="shared" ref="V59" si="162">R59</f>
        <v>19</v>
      </c>
      <c r="W59" s="690"/>
      <c r="X59" s="690"/>
      <c r="Y59" s="704"/>
      <c r="Z59" s="703">
        <f t="shared" ref="Z59" si="163">V59</f>
        <v>19</v>
      </c>
      <c r="AA59" s="690"/>
      <c r="AB59" s="690"/>
      <c r="AC59" s="704"/>
      <c r="AD59" s="703">
        <f t="shared" ref="AD59" si="164">Z59</f>
        <v>19</v>
      </c>
      <c r="AE59" s="690"/>
      <c r="AF59" s="690"/>
      <c r="AG59" s="704"/>
      <c r="AH59" s="703">
        <f t="shared" ref="AH59" si="165">AD59</f>
        <v>19</v>
      </c>
      <c r="AI59" s="690"/>
      <c r="AJ59" s="690"/>
      <c r="AK59" s="704"/>
      <c r="AL59" s="703">
        <f t="shared" ref="AL59" si="166">AH59</f>
        <v>19</v>
      </c>
      <c r="AM59" s="690"/>
      <c r="AN59" s="690"/>
      <c r="AO59" s="704"/>
      <c r="AP59" s="703">
        <f t="shared" ref="AP59" si="167">AL59</f>
        <v>19</v>
      </c>
      <c r="AQ59" s="690"/>
      <c r="AR59" s="690"/>
      <c r="AS59" s="704"/>
      <c r="AT59" s="700">
        <f>AP59</f>
        <v>19</v>
      </c>
      <c r="AU59" s="701"/>
      <c r="AV59" s="701"/>
      <c r="AW59" s="702"/>
      <c r="AX59" s="723">
        <f>AT59+1</f>
        <v>20</v>
      </c>
      <c r="AY59" s="724"/>
      <c r="AZ59" s="724"/>
      <c r="BA59" s="725"/>
      <c r="BB59" s="700">
        <f>AX59</f>
        <v>20</v>
      </c>
      <c r="BC59" s="701"/>
      <c r="BD59" s="701"/>
      <c r="BE59" s="702"/>
      <c r="BF59" s="723">
        <f>BB59+1</f>
        <v>21</v>
      </c>
      <c r="BG59" s="724"/>
      <c r="BH59" s="724"/>
      <c r="BI59" s="725"/>
      <c r="BJ59" s="700">
        <f>BF59</f>
        <v>21</v>
      </c>
      <c r="BK59" s="701"/>
      <c r="BL59" s="701"/>
      <c r="BM59" s="702"/>
      <c r="BN59" s="723">
        <f>BJ59+1</f>
        <v>22</v>
      </c>
      <c r="BO59" s="724"/>
      <c r="BP59" s="724"/>
      <c r="BQ59" s="725"/>
      <c r="BR59" s="700">
        <f>BN59</f>
        <v>22</v>
      </c>
      <c r="BS59" s="701"/>
      <c r="BT59" s="701"/>
      <c r="BU59" s="702"/>
      <c r="BV59" s="723">
        <f>BR59+1</f>
        <v>23</v>
      </c>
      <c r="BW59" s="724"/>
      <c r="BX59" s="724"/>
      <c r="BY59" s="725"/>
      <c r="BZ59" s="700">
        <f>BV59</f>
        <v>23</v>
      </c>
      <c r="CA59" s="701"/>
      <c r="CB59" s="701"/>
      <c r="CC59" s="702"/>
      <c r="CD59" s="703">
        <f>BZ59</f>
        <v>23</v>
      </c>
      <c r="CE59" s="690"/>
      <c r="CF59" s="690"/>
      <c r="CG59" s="704"/>
      <c r="CH59" s="703">
        <f>CD59</f>
        <v>23</v>
      </c>
      <c r="CI59" s="690"/>
      <c r="CJ59" s="690"/>
      <c r="CK59" s="704"/>
      <c r="CL59" s="703">
        <f>CH59</f>
        <v>23</v>
      </c>
      <c r="CM59" s="690"/>
      <c r="CN59" s="690"/>
      <c r="CO59" s="704"/>
      <c r="CP59" s="703">
        <f t="shared" ref="CP59" si="168">CL59</f>
        <v>23</v>
      </c>
      <c r="CQ59" s="690"/>
      <c r="CR59" s="690"/>
      <c r="CS59" s="704"/>
      <c r="CT59" s="703">
        <f t="shared" ref="CT59" si="169">CP59</f>
        <v>23</v>
      </c>
      <c r="CU59" s="690"/>
      <c r="CV59" s="690"/>
      <c r="CW59" s="704"/>
      <c r="CX59" s="703">
        <f t="shared" ref="CX59" si="170">CT59</f>
        <v>23</v>
      </c>
      <c r="CY59" s="690"/>
      <c r="CZ59" s="690"/>
      <c r="DA59" s="704"/>
      <c r="DB59" s="703">
        <f t="shared" ref="DB59" si="171">CX59</f>
        <v>23</v>
      </c>
      <c r="DC59" s="690"/>
      <c r="DD59" s="690"/>
      <c r="DE59" s="704"/>
      <c r="DF59" s="703">
        <f t="shared" ref="DF59" si="172">DB59</f>
        <v>23</v>
      </c>
      <c r="DG59" s="690"/>
      <c r="DH59" s="690"/>
      <c r="DI59" s="704"/>
      <c r="DJ59" s="703">
        <f t="shared" ref="DJ59" si="173">DF59</f>
        <v>23</v>
      </c>
      <c r="DK59" s="690"/>
      <c r="DL59" s="690"/>
      <c r="DM59" s="690"/>
      <c r="DN59" s="697">
        <f t="shared" ref="DN59" si="174">DJ59</f>
        <v>23</v>
      </c>
      <c r="DO59" s="698"/>
      <c r="DP59" s="698"/>
      <c r="DQ59" s="699"/>
    </row>
    <row r="60" spans="2:149" x14ac:dyDescent="0.45">
      <c r="B60" s="227" t="s">
        <v>1205</v>
      </c>
      <c r="C60" s="227" t="s">
        <v>1202</v>
      </c>
      <c r="F60" s="716">
        <f>B52+B52*0.004</f>
        <v>328970.64</v>
      </c>
      <c r="G60" s="717"/>
      <c r="H60" s="717"/>
      <c r="I60" s="718"/>
      <c r="J60" s="706">
        <f>B52+B52*0.005</f>
        <v>329298.3</v>
      </c>
      <c r="K60" s="706"/>
      <c r="L60" s="706"/>
      <c r="M60" s="707"/>
      <c r="N60" s="705">
        <f>B52+B52*0.006</f>
        <v>329625.96000000002</v>
      </c>
      <c r="O60" s="706"/>
      <c r="P60" s="706"/>
      <c r="Q60" s="707"/>
      <c r="R60" s="705">
        <f>B52+B52*0.007</f>
        <v>329953.62</v>
      </c>
      <c r="S60" s="706"/>
      <c r="T60" s="706"/>
      <c r="U60" s="707"/>
      <c r="V60" s="705">
        <f>B52+B52*0.008</f>
        <v>330281.28000000003</v>
      </c>
      <c r="W60" s="706"/>
      <c r="X60" s="706"/>
      <c r="Y60" s="707"/>
      <c r="Z60" s="705">
        <f>B52+B52*0.009</f>
        <v>330608.94</v>
      </c>
      <c r="AA60" s="706"/>
      <c r="AB60" s="706"/>
      <c r="AC60" s="707"/>
      <c r="AD60" s="705">
        <f>B52+B52*0.01</f>
        <v>330936.59999999998</v>
      </c>
      <c r="AE60" s="706"/>
      <c r="AF60" s="706"/>
      <c r="AG60" s="707"/>
      <c r="AH60" s="705">
        <f>B52+B52*0.011</f>
        <v>331264.26</v>
      </c>
      <c r="AI60" s="706"/>
      <c r="AJ60" s="706"/>
      <c r="AK60" s="707"/>
      <c r="AL60" s="705">
        <f>B52+B52*0.01235</f>
        <v>331706.60100000002</v>
      </c>
      <c r="AM60" s="706"/>
      <c r="AN60" s="706"/>
      <c r="AO60" s="707"/>
      <c r="AP60" s="705">
        <f>B52+B52*0.01235</f>
        <v>331706.60100000002</v>
      </c>
      <c r="AQ60" s="706"/>
      <c r="AR60" s="706"/>
      <c r="AS60" s="707"/>
      <c r="AT60" s="711">
        <f>C52+C52*0.01235</f>
        <v>398047.92119999998</v>
      </c>
      <c r="AU60" s="714"/>
      <c r="AV60" s="714"/>
      <c r="AW60" s="715"/>
      <c r="AX60" s="711">
        <f>AT60</f>
        <v>398047.92119999998</v>
      </c>
      <c r="AY60" s="714"/>
      <c r="AZ60" s="714"/>
      <c r="BA60" s="715"/>
      <c r="BB60" s="711">
        <f t="shared" ref="BB60" si="175">AX60</f>
        <v>398047.92119999998</v>
      </c>
      <c r="BC60" s="714"/>
      <c r="BD60" s="714"/>
      <c r="BE60" s="715"/>
      <c r="BF60" s="711">
        <f t="shared" ref="BF60" si="176">BB60</f>
        <v>398047.92119999998</v>
      </c>
      <c r="BG60" s="714"/>
      <c r="BH60" s="714"/>
      <c r="BI60" s="715"/>
      <c r="BJ60" s="711">
        <f t="shared" ref="BJ60" si="177">BF60</f>
        <v>398047.92119999998</v>
      </c>
      <c r="BK60" s="714"/>
      <c r="BL60" s="714"/>
      <c r="BM60" s="715"/>
      <c r="BN60" s="711">
        <f t="shared" ref="BN60" si="178">BJ60</f>
        <v>398047.92119999998</v>
      </c>
      <c r="BO60" s="714"/>
      <c r="BP60" s="714"/>
      <c r="BQ60" s="715"/>
      <c r="BR60" s="711">
        <f t="shared" ref="BR60" si="179">BN60</f>
        <v>398047.92119999998</v>
      </c>
      <c r="BS60" s="714"/>
      <c r="BT60" s="714"/>
      <c r="BU60" s="715"/>
      <c r="BV60" s="711">
        <f t="shared" ref="BV60" si="180">BR60</f>
        <v>398047.92119999998</v>
      </c>
      <c r="BW60" s="714"/>
      <c r="BX60" s="714"/>
      <c r="BY60" s="715"/>
      <c r="BZ60" s="711">
        <f t="shared" ref="BZ60" si="181">BV60</f>
        <v>398047.92119999998</v>
      </c>
      <c r="CA60" s="714"/>
      <c r="CB60" s="714"/>
      <c r="CC60" s="715"/>
      <c r="CD60" s="711">
        <f>BZ60</f>
        <v>398047.92119999998</v>
      </c>
      <c r="CE60" s="714"/>
      <c r="CF60" s="714"/>
      <c r="CG60" s="715"/>
      <c r="CH60" s="705">
        <f>CD60</f>
        <v>398047.92119999998</v>
      </c>
      <c r="CI60" s="706"/>
      <c r="CJ60" s="706"/>
      <c r="CK60" s="707"/>
      <c r="CL60" s="705">
        <f>C52+C52*0.011</f>
        <v>397517.11200000002</v>
      </c>
      <c r="CM60" s="706"/>
      <c r="CN60" s="706"/>
      <c r="CO60" s="707"/>
      <c r="CP60" s="705">
        <f>C52+C52*0.01</f>
        <v>397123.92</v>
      </c>
      <c r="CQ60" s="706"/>
      <c r="CR60" s="706"/>
      <c r="CS60" s="707"/>
      <c r="CT60" s="705">
        <f>C52+C52*0.009</f>
        <v>396730.728</v>
      </c>
      <c r="CU60" s="706"/>
      <c r="CV60" s="706"/>
      <c r="CW60" s="707"/>
      <c r="CX60" s="705">
        <f>C52+C52*0.008</f>
        <v>396337.53600000002</v>
      </c>
      <c r="CY60" s="706"/>
      <c r="CZ60" s="706"/>
      <c r="DA60" s="707"/>
      <c r="DB60" s="705">
        <f>C52+C52*0.007</f>
        <v>395944.34399999998</v>
      </c>
      <c r="DC60" s="706"/>
      <c r="DD60" s="706"/>
      <c r="DE60" s="707"/>
      <c r="DF60" s="705">
        <f>C52+C52*0.006</f>
        <v>395551.152</v>
      </c>
      <c r="DG60" s="706"/>
      <c r="DH60" s="706"/>
      <c r="DI60" s="707"/>
      <c r="DJ60" s="705">
        <f>C52+C52*0.005</f>
        <v>395157.96</v>
      </c>
      <c r="DK60" s="706"/>
      <c r="DL60" s="706"/>
      <c r="DM60" s="706"/>
      <c r="DN60" s="716">
        <f>C52+C52*0.004</f>
        <v>394764.76799999998</v>
      </c>
      <c r="DO60" s="717"/>
      <c r="DP60" s="717"/>
      <c r="DQ60" s="718"/>
    </row>
    <row r="61" spans="2:149" x14ac:dyDescent="0.45">
      <c r="B61" s="227" t="s">
        <v>1204</v>
      </c>
      <c r="C61" s="227" t="s">
        <v>1203</v>
      </c>
      <c r="F61" s="697">
        <v>0</v>
      </c>
      <c r="G61" s="698"/>
      <c r="H61" s="698"/>
      <c r="I61" s="699"/>
      <c r="J61" s="690">
        <v>0</v>
      </c>
      <c r="K61" s="690"/>
      <c r="L61" s="690"/>
      <c r="M61" s="704"/>
      <c r="N61" s="703">
        <v>0</v>
      </c>
      <c r="O61" s="690"/>
      <c r="P61" s="690"/>
      <c r="Q61" s="704"/>
      <c r="R61" s="703">
        <v>0</v>
      </c>
      <c r="S61" s="690"/>
      <c r="T61" s="690"/>
      <c r="U61" s="704"/>
      <c r="V61" s="703">
        <v>0</v>
      </c>
      <c r="W61" s="690"/>
      <c r="X61" s="690"/>
      <c r="Y61" s="704"/>
      <c r="Z61" s="703">
        <v>0</v>
      </c>
      <c r="AA61" s="690"/>
      <c r="AB61" s="690"/>
      <c r="AC61" s="704"/>
      <c r="AD61" s="703">
        <v>0</v>
      </c>
      <c r="AE61" s="690"/>
      <c r="AF61" s="690"/>
      <c r="AG61" s="704"/>
      <c r="AH61" s="703">
        <v>0</v>
      </c>
      <c r="AI61" s="690"/>
      <c r="AJ61" s="690"/>
      <c r="AK61" s="704"/>
      <c r="AL61" s="703">
        <v>0</v>
      </c>
      <c r="AM61" s="690"/>
      <c r="AN61" s="690"/>
      <c r="AO61" s="704"/>
      <c r="AP61" s="719">
        <v>1</v>
      </c>
      <c r="AQ61" s="714"/>
      <c r="AR61" s="714"/>
      <c r="AS61" s="715"/>
      <c r="AT61" s="719">
        <v>1</v>
      </c>
      <c r="AU61" s="714"/>
      <c r="AV61" s="714"/>
      <c r="AW61" s="715"/>
      <c r="AX61" s="719">
        <v>1</v>
      </c>
      <c r="AY61" s="714"/>
      <c r="AZ61" s="714"/>
      <c r="BA61" s="715"/>
      <c r="BB61" s="719">
        <v>1</v>
      </c>
      <c r="BC61" s="714"/>
      <c r="BD61" s="714"/>
      <c r="BE61" s="715"/>
      <c r="BF61" s="719">
        <v>1</v>
      </c>
      <c r="BG61" s="714"/>
      <c r="BH61" s="714"/>
      <c r="BI61" s="715"/>
      <c r="BJ61" s="719">
        <v>1</v>
      </c>
      <c r="BK61" s="714"/>
      <c r="BL61" s="714"/>
      <c r="BM61" s="715"/>
      <c r="BN61" s="719">
        <v>1</v>
      </c>
      <c r="BO61" s="714"/>
      <c r="BP61" s="714"/>
      <c r="BQ61" s="715"/>
      <c r="BR61" s="719">
        <v>1</v>
      </c>
      <c r="BS61" s="714"/>
      <c r="BT61" s="714"/>
      <c r="BU61" s="715"/>
      <c r="BV61" s="719">
        <v>1</v>
      </c>
      <c r="BW61" s="714"/>
      <c r="BX61" s="714"/>
      <c r="BY61" s="715"/>
      <c r="BZ61" s="719">
        <v>1</v>
      </c>
      <c r="CA61" s="714"/>
      <c r="CB61" s="714"/>
      <c r="CC61" s="715"/>
      <c r="CD61" s="719">
        <v>1</v>
      </c>
      <c r="CE61" s="714"/>
      <c r="CF61" s="714"/>
      <c r="CG61" s="715"/>
      <c r="CH61" s="703">
        <v>0</v>
      </c>
      <c r="CI61" s="690"/>
      <c r="CJ61" s="690"/>
      <c r="CK61" s="704"/>
      <c r="CL61" s="703">
        <v>0</v>
      </c>
      <c r="CM61" s="690"/>
      <c r="CN61" s="690"/>
      <c r="CO61" s="704"/>
      <c r="CP61" s="703">
        <v>0</v>
      </c>
      <c r="CQ61" s="690"/>
      <c r="CR61" s="690"/>
      <c r="CS61" s="704"/>
      <c r="CT61" s="703">
        <v>0</v>
      </c>
      <c r="CU61" s="690"/>
      <c r="CV61" s="690"/>
      <c r="CW61" s="704"/>
      <c r="CX61" s="703">
        <v>0</v>
      </c>
      <c r="CY61" s="690"/>
      <c r="CZ61" s="690"/>
      <c r="DA61" s="704"/>
      <c r="DB61" s="703">
        <v>0</v>
      </c>
      <c r="DC61" s="690"/>
      <c r="DD61" s="690"/>
      <c r="DE61" s="704"/>
      <c r="DF61" s="703">
        <v>0</v>
      </c>
      <c r="DG61" s="690"/>
      <c r="DH61" s="690"/>
      <c r="DI61" s="704"/>
      <c r="DJ61" s="703">
        <v>0</v>
      </c>
      <c r="DK61" s="690"/>
      <c r="DL61" s="690"/>
      <c r="DM61" s="690"/>
      <c r="DN61" s="697">
        <v>0</v>
      </c>
      <c r="DO61" s="698"/>
      <c r="DP61" s="698"/>
      <c r="DQ61" s="699"/>
    </row>
    <row r="62" spans="2:149" x14ac:dyDescent="0.45">
      <c r="D62" s="377"/>
      <c r="F62" s="377"/>
      <c r="G62" s="377"/>
      <c r="H62" s="377"/>
      <c r="I62" s="377"/>
      <c r="AT62" s="377"/>
      <c r="AU62" s="377"/>
      <c r="AV62" s="377"/>
      <c r="AW62" s="377"/>
      <c r="AX62" s="377"/>
      <c r="AY62" s="377"/>
      <c r="AZ62" s="377"/>
      <c r="BA62" s="377"/>
      <c r="BH62" s="377"/>
      <c r="BI62" s="377"/>
      <c r="BJ62" s="377"/>
      <c r="BK62" s="377"/>
      <c r="CD62" s="377"/>
      <c r="CE62" s="377"/>
      <c r="CF62" s="377"/>
      <c r="CG62" s="377"/>
    </row>
    <row r="63" spans="2:149" x14ac:dyDescent="0.45">
      <c r="B63" s="350">
        <f>C52</f>
        <v>393192</v>
      </c>
      <c r="C63" s="350">
        <f>B52</f>
        <v>327660</v>
      </c>
      <c r="D63" s="377"/>
      <c r="F63" s="377"/>
      <c r="G63" s="377"/>
      <c r="H63" s="377"/>
      <c r="I63" s="377"/>
      <c r="AT63" s="377"/>
      <c r="AU63" s="377"/>
      <c r="AV63" s="377"/>
      <c r="AW63" s="377"/>
      <c r="AX63" s="377"/>
      <c r="AY63" s="377"/>
      <c r="AZ63" s="377"/>
      <c r="BA63" s="377"/>
      <c r="BH63" s="377"/>
      <c r="BI63" s="377"/>
      <c r="BJ63" s="377"/>
      <c r="BK63" s="377"/>
      <c r="CD63" s="377"/>
      <c r="CE63" s="377"/>
      <c r="CF63" s="377"/>
      <c r="CG63" s="377"/>
    </row>
    <row r="64" spans="2:149" s="5" customFormat="1" x14ac:dyDescent="0.45">
      <c r="B64" s="227" t="s">
        <v>1215</v>
      </c>
      <c r="C64" s="227" t="s">
        <v>1189</v>
      </c>
      <c r="D64" s="360"/>
      <c r="E64" s="360"/>
      <c r="F64" s="697" t="s">
        <v>1207</v>
      </c>
      <c r="G64" s="698"/>
      <c r="H64" s="698"/>
      <c r="I64" s="699"/>
      <c r="J64" s="690">
        <v>3</v>
      </c>
      <c r="K64" s="690"/>
      <c r="L64" s="690"/>
      <c r="M64" s="690"/>
      <c r="N64" s="690">
        <v>3</v>
      </c>
      <c r="O64" s="690"/>
      <c r="P64" s="690"/>
      <c r="Q64" s="690"/>
      <c r="R64" s="690">
        <v>3</v>
      </c>
      <c r="S64" s="690"/>
      <c r="T64" s="690"/>
      <c r="U64" s="690"/>
      <c r="V64" s="690">
        <v>3</v>
      </c>
      <c r="W64" s="690"/>
      <c r="X64" s="690"/>
      <c r="Y64" s="690"/>
      <c r="Z64" s="690">
        <v>3</v>
      </c>
      <c r="AA64" s="690"/>
      <c r="AB64" s="690"/>
      <c r="AC64" s="690"/>
      <c r="AD64" s="690">
        <v>3</v>
      </c>
      <c r="AE64" s="690"/>
      <c r="AF64" s="690"/>
      <c r="AG64" s="690"/>
      <c r="AH64" s="690">
        <v>3</v>
      </c>
      <c r="AI64" s="690"/>
      <c r="AJ64" s="690"/>
      <c r="AK64" s="690"/>
      <c r="AL64" s="690">
        <v>3</v>
      </c>
      <c r="AM64" s="690"/>
      <c r="AN64" s="690"/>
      <c r="AO64" s="690"/>
      <c r="AP64" s="690">
        <v>3</v>
      </c>
      <c r="AQ64" s="690"/>
      <c r="AR64" s="690"/>
      <c r="AS64" s="690"/>
      <c r="AT64" s="690">
        <v>1</v>
      </c>
      <c r="AU64" s="690"/>
      <c r="AV64" s="690"/>
      <c r="AW64" s="690"/>
      <c r="AX64" s="690">
        <v>1</v>
      </c>
      <c r="AY64" s="690"/>
      <c r="AZ64" s="690"/>
      <c r="BA64" s="690"/>
      <c r="BB64" s="690">
        <v>1</v>
      </c>
      <c r="BC64" s="690"/>
      <c r="BD64" s="690"/>
      <c r="BE64" s="690"/>
      <c r="BF64" s="690">
        <v>1</v>
      </c>
      <c r="BG64" s="690"/>
      <c r="BH64" s="690"/>
      <c r="BI64" s="690"/>
      <c r="BJ64" s="690">
        <v>1</v>
      </c>
      <c r="BK64" s="690"/>
      <c r="BL64" s="690"/>
      <c r="BM64" s="690"/>
      <c r="BN64" s="690">
        <v>1</v>
      </c>
      <c r="BO64" s="690"/>
      <c r="BP64" s="690"/>
      <c r="BQ64" s="690"/>
      <c r="BR64" s="690">
        <v>1</v>
      </c>
      <c r="BS64" s="690"/>
      <c r="BT64" s="690"/>
      <c r="BU64" s="690"/>
      <c r="BV64" s="690">
        <v>1</v>
      </c>
      <c r="BW64" s="690"/>
      <c r="BX64" s="690"/>
      <c r="BY64" s="690"/>
      <c r="BZ64" s="690">
        <v>1</v>
      </c>
      <c r="CA64" s="690"/>
      <c r="CB64" s="690"/>
      <c r="CC64" s="690"/>
      <c r="CD64" s="690">
        <v>1</v>
      </c>
      <c r="CE64" s="690"/>
      <c r="CF64" s="690"/>
      <c r="CG64" s="690"/>
      <c r="CH64" s="690">
        <v>3</v>
      </c>
      <c r="CI64" s="690"/>
      <c r="CJ64" s="690"/>
      <c r="CK64" s="690"/>
      <c r="CL64" s="690">
        <v>3</v>
      </c>
      <c r="CM64" s="690"/>
      <c r="CN64" s="690"/>
      <c r="CO64" s="690"/>
      <c r="CP64" s="690">
        <v>3</v>
      </c>
      <c r="CQ64" s="690"/>
      <c r="CR64" s="690"/>
      <c r="CS64" s="690"/>
      <c r="CT64" s="690">
        <v>3</v>
      </c>
      <c r="CU64" s="690"/>
      <c r="CV64" s="690"/>
      <c r="CW64" s="690"/>
      <c r="CX64" s="690">
        <v>3</v>
      </c>
      <c r="CY64" s="690"/>
      <c r="CZ64" s="690"/>
      <c r="DA64" s="690"/>
      <c r="DB64" s="690">
        <v>3</v>
      </c>
      <c r="DC64" s="690"/>
      <c r="DD64" s="690"/>
      <c r="DE64" s="690"/>
      <c r="DF64" s="690">
        <v>3</v>
      </c>
      <c r="DG64" s="690"/>
      <c r="DH64" s="690"/>
      <c r="DI64" s="690"/>
      <c r="DJ64" s="690">
        <v>3</v>
      </c>
      <c r="DK64" s="690"/>
      <c r="DL64" s="690"/>
      <c r="DM64" s="690"/>
      <c r="DN64" s="697" t="s">
        <v>1210</v>
      </c>
      <c r="DO64" s="698"/>
      <c r="DP64" s="698"/>
      <c r="DQ64" s="699"/>
      <c r="DR64" s="360"/>
      <c r="DS64" s="360"/>
      <c r="DT64" s="360"/>
      <c r="DU64" s="360"/>
      <c r="DV64" s="360"/>
      <c r="DW64" s="360"/>
      <c r="DX64" s="360"/>
      <c r="DY64" s="360"/>
      <c r="DZ64" s="360"/>
      <c r="EA64" s="360"/>
      <c r="EB64" s="360"/>
      <c r="EC64" s="360"/>
      <c r="ED64" s="360"/>
      <c r="EE64" s="360"/>
      <c r="EF64" s="360"/>
      <c r="EG64" s="360"/>
      <c r="EH64" s="360"/>
      <c r="EI64" s="360"/>
      <c r="EJ64" s="360"/>
      <c r="EK64" s="360"/>
      <c r="EL64" s="360"/>
      <c r="EM64" s="360"/>
      <c r="EN64" s="360"/>
      <c r="EO64" s="360"/>
      <c r="EP64" s="360"/>
      <c r="EQ64" s="360"/>
      <c r="ER64" s="360"/>
      <c r="ES64" s="360"/>
    </row>
    <row r="65" spans="2:121" x14ac:dyDescent="0.45">
      <c r="B65" s="227"/>
      <c r="C65" s="227" t="s">
        <v>13</v>
      </c>
      <c r="E65" s="361"/>
      <c r="F65" s="362"/>
      <c r="G65" s="363"/>
      <c r="H65" s="363"/>
      <c r="I65" s="365"/>
      <c r="J65" s="364"/>
      <c r="K65" s="361"/>
      <c r="L65" s="361"/>
      <c r="M65" s="361"/>
      <c r="N65" s="364"/>
      <c r="O65" s="361"/>
      <c r="P65" s="361"/>
      <c r="Q65" s="361"/>
      <c r="R65" s="364"/>
      <c r="S65" s="361"/>
      <c r="T65" s="361"/>
      <c r="U65" s="361"/>
      <c r="V65" s="364"/>
      <c r="W65" s="361"/>
      <c r="X65" s="361"/>
      <c r="Y65" s="361"/>
      <c r="Z65" s="364"/>
      <c r="AA65" s="361"/>
      <c r="AB65" s="361"/>
      <c r="AC65" s="361"/>
      <c r="AD65" s="364"/>
      <c r="AE65" s="361"/>
      <c r="AF65" s="361"/>
      <c r="AG65" s="361"/>
      <c r="AH65" s="364"/>
      <c r="AI65" s="361"/>
      <c r="AJ65" s="361"/>
      <c r="AK65" s="361"/>
      <c r="AL65" s="364"/>
      <c r="AM65" s="361"/>
      <c r="AN65" s="361"/>
      <c r="AO65" s="361"/>
      <c r="AP65" s="364"/>
      <c r="AQ65" s="361"/>
      <c r="AR65" s="361"/>
      <c r="AS65" s="361"/>
      <c r="AT65" s="364"/>
      <c r="AU65" s="361"/>
      <c r="AV65" s="361"/>
      <c r="AW65" s="361"/>
      <c r="AX65" s="364"/>
      <c r="AY65" s="361"/>
      <c r="AZ65" s="361"/>
      <c r="BA65" s="361"/>
      <c r="BB65" s="364"/>
      <c r="BC65" s="361"/>
      <c r="BD65" s="361"/>
      <c r="BE65" s="361"/>
      <c r="BF65" s="364"/>
      <c r="BG65" s="361"/>
      <c r="BH65" s="361"/>
      <c r="BI65" s="361"/>
      <c r="BJ65" s="364"/>
      <c r="BK65" s="361"/>
      <c r="BL65" s="361"/>
      <c r="BM65" s="361"/>
      <c r="BN65" s="364"/>
      <c r="BO65" s="361"/>
      <c r="BP65" s="361"/>
      <c r="BQ65" s="361"/>
      <c r="BR65" s="364"/>
      <c r="BS65" s="361"/>
      <c r="BT65" s="361"/>
      <c r="BU65" s="361"/>
      <c r="BV65" s="364"/>
      <c r="BW65" s="361"/>
      <c r="BX65" s="361"/>
      <c r="BY65" s="361"/>
      <c r="BZ65" s="364"/>
      <c r="CA65" s="361"/>
      <c r="CB65" s="361"/>
      <c r="CC65" s="361"/>
      <c r="CD65" s="364"/>
      <c r="CE65" s="361"/>
      <c r="CF65" s="361"/>
      <c r="CG65" s="361"/>
      <c r="CH65" s="364"/>
      <c r="CI65" s="361"/>
      <c r="CJ65" s="361"/>
      <c r="CK65" s="361"/>
      <c r="CL65" s="364"/>
      <c r="CM65" s="361"/>
      <c r="CN65" s="361"/>
      <c r="CO65" s="361"/>
      <c r="CP65" s="364"/>
      <c r="CQ65" s="361"/>
      <c r="CR65" s="361"/>
      <c r="CS65" s="361"/>
      <c r="CT65" s="364"/>
      <c r="CU65" s="361"/>
      <c r="CV65" s="361"/>
      <c r="CW65" s="361"/>
      <c r="CX65" s="364"/>
      <c r="CY65" s="361"/>
      <c r="CZ65" s="361"/>
      <c r="DA65" s="361"/>
      <c r="DB65" s="364"/>
      <c r="DC65" s="361"/>
      <c r="DD65" s="361"/>
      <c r="DE65" s="361"/>
      <c r="DF65" s="364"/>
      <c r="DG65" s="361"/>
      <c r="DH65" s="361"/>
      <c r="DI65" s="361"/>
      <c r="DJ65" s="364"/>
      <c r="DK65" s="361"/>
      <c r="DL65" s="361"/>
      <c r="DM65" s="361"/>
      <c r="DN65" s="362"/>
      <c r="DO65" s="363"/>
      <c r="DP65" s="363"/>
      <c r="DQ65" s="365"/>
    </row>
    <row r="66" spans="2:121" x14ac:dyDescent="0.45">
      <c r="B66" s="227"/>
      <c r="C66" s="227"/>
      <c r="F66" s="366"/>
      <c r="G66" s="367"/>
      <c r="H66" s="367"/>
      <c r="I66" s="368"/>
      <c r="M66" s="370"/>
      <c r="N66" s="369"/>
      <c r="Q66" s="370"/>
      <c r="R66" s="369"/>
      <c r="U66" s="370"/>
      <c r="V66" s="369"/>
      <c r="Y66" s="370"/>
      <c r="Z66" s="369"/>
      <c r="AC66" s="370"/>
      <c r="AD66" s="369"/>
      <c r="AG66" s="370"/>
      <c r="AH66" s="369"/>
      <c r="AK66" s="370"/>
      <c r="AL66" s="369"/>
      <c r="AO66" s="370"/>
      <c r="AP66" s="369"/>
      <c r="AS66" s="370"/>
      <c r="AT66" s="369"/>
      <c r="AW66" s="370"/>
      <c r="AX66" s="369"/>
      <c r="BA66" s="370"/>
      <c r="BB66" s="369"/>
      <c r="BE66" s="370"/>
      <c r="BF66" s="369"/>
      <c r="BI66" s="370"/>
      <c r="BJ66" s="369"/>
      <c r="BM66" s="370"/>
      <c r="BN66" s="369"/>
      <c r="BQ66" s="370"/>
      <c r="BR66" s="369"/>
      <c r="BU66" s="370"/>
      <c r="BV66" s="369"/>
      <c r="BY66" s="370"/>
      <c r="BZ66" s="369"/>
      <c r="CC66" s="370"/>
      <c r="CD66" s="369"/>
      <c r="CG66" s="370"/>
      <c r="CH66" s="369"/>
      <c r="CK66" s="370"/>
      <c r="CL66" s="369"/>
      <c r="CO66" s="370"/>
      <c r="CP66" s="369"/>
      <c r="CS66" s="370"/>
      <c r="CT66" s="369"/>
      <c r="CW66" s="370"/>
      <c r="CX66" s="369"/>
      <c r="DA66" s="370"/>
      <c r="DB66" s="369"/>
      <c r="DE66" s="370"/>
      <c r="DF66" s="369"/>
      <c r="DI66" s="370"/>
      <c r="DJ66" s="369"/>
      <c r="DN66" s="366"/>
      <c r="DO66" s="367"/>
      <c r="DP66" s="367"/>
      <c r="DQ66" s="368"/>
    </row>
    <row r="67" spans="2:121" x14ac:dyDescent="0.45">
      <c r="B67" s="227" t="s">
        <v>3</v>
      </c>
      <c r="C67" s="227" t="s">
        <v>1200</v>
      </c>
      <c r="F67" s="691">
        <v>100</v>
      </c>
      <c r="G67" s="692"/>
      <c r="H67" s="692"/>
      <c r="I67" s="693"/>
      <c r="J67" s="695">
        <f>F67</f>
        <v>100</v>
      </c>
      <c r="K67" s="695"/>
      <c r="L67" s="695"/>
      <c r="M67" s="696"/>
      <c r="N67" s="694">
        <f>J67</f>
        <v>100</v>
      </c>
      <c r="O67" s="695"/>
      <c r="P67" s="695"/>
      <c r="Q67" s="696"/>
      <c r="R67" s="694">
        <f t="shared" ref="R67" si="182">N67</f>
        <v>100</v>
      </c>
      <c r="S67" s="695"/>
      <c r="T67" s="695"/>
      <c r="U67" s="696"/>
      <c r="V67" s="694">
        <f t="shared" ref="V67" si="183">R67</f>
        <v>100</v>
      </c>
      <c r="W67" s="695"/>
      <c r="X67" s="695"/>
      <c r="Y67" s="696"/>
      <c r="Z67" s="694">
        <f t="shared" ref="Z67" si="184">V67</f>
        <v>100</v>
      </c>
      <c r="AA67" s="695"/>
      <c r="AB67" s="695"/>
      <c r="AC67" s="696"/>
      <c r="AD67" s="694">
        <f t="shared" ref="AD67" si="185">Z67</f>
        <v>100</v>
      </c>
      <c r="AE67" s="695"/>
      <c r="AF67" s="695"/>
      <c r="AG67" s="696"/>
      <c r="AH67" s="694">
        <f t="shared" ref="AH67" si="186">AD67</f>
        <v>100</v>
      </c>
      <c r="AI67" s="695"/>
      <c r="AJ67" s="695"/>
      <c r="AK67" s="696"/>
      <c r="AL67" s="694">
        <f t="shared" ref="AL67" si="187">AH67</f>
        <v>100</v>
      </c>
      <c r="AM67" s="695"/>
      <c r="AN67" s="695"/>
      <c r="AO67" s="696"/>
      <c r="AP67" s="694">
        <f t="shared" ref="AP67" si="188">AL67</f>
        <v>100</v>
      </c>
      <c r="AQ67" s="695"/>
      <c r="AR67" s="695"/>
      <c r="AS67" s="696"/>
      <c r="AT67" s="694">
        <f>AP67</f>
        <v>100</v>
      </c>
      <c r="AU67" s="695"/>
      <c r="AV67" s="695"/>
      <c r="AW67" s="696"/>
      <c r="AX67" s="708">
        <f>AT67+2.5</f>
        <v>102.5</v>
      </c>
      <c r="AY67" s="709"/>
      <c r="AZ67" s="709"/>
      <c r="BA67" s="710"/>
      <c r="BB67" s="720">
        <f t="shared" ref="BB67" si="189">AX67+2.5</f>
        <v>105</v>
      </c>
      <c r="BC67" s="721"/>
      <c r="BD67" s="721"/>
      <c r="BE67" s="722"/>
      <c r="BF67" s="708">
        <f t="shared" ref="BF67" si="190">BB67+2.5</f>
        <v>107.5</v>
      </c>
      <c r="BG67" s="709"/>
      <c r="BH67" s="709"/>
      <c r="BI67" s="710"/>
      <c r="BJ67" s="720">
        <f t="shared" ref="BJ67" si="191">BF67+2.5</f>
        <v>110</v>
      </c>
      <c r="BK67" s="721"/>
      <c r="BL67" s="721"/>
      <c r="BM67" s="722"/>
      <c r="BN67" s="708">
        <f t="shared" ref="BN67" si="192">BJ67+2.5</f>
        <v>112.5</v>
      </c>
      <c r="BO67" s="709"/>
      <c r="BP67" s="709"/>
      <c r="BQ67" s="710"/>
      <c r="BR67" s="720">
        <f t="shared" ref="BR67" si="193">BN67+2.5</f>
        <v>115</v>
      </c>
      <c r="BS67" s="721"/>
      <c r="BT67" s="721"/>
      <c r="BU67" s="722"/>
      <c r="BV67" s="708">
        <f t="shared" ref="BV67" si="194">BR67+2.5</f>
        <v>117.5</v>
      </c>
      <c r="BW67" s="709"/>
      <c r="BX67" s="709"/>
      <c r="BY67" s="710"/>
      <c r="BZ67" s="720">
        <f t="shared" ref="BZ67" si="195">BV67+2.5</f>
        <v>120</v>
      </c>
      <c r="CA67" s="721"/>
      <c r="CB67" s="721"/>
      <c r="CC67" s="722"/>
      <c r="CD67" s="694">
        <f>BZ67</f>
        <v>120</v>
      </c>
      <c r="CE67" s="695"/>
      <c r="CF67" s="695"/>
      <c r="CG67" s="696"/>
      <c r="CH67" s="694">
        <f>CD67</f>
        <v>120</v>
      </c>
      <c r="CI67" s="695"/>
      <c r="CJ67" s="695"/>
      <c r="CK67" s="696"/>
      <c r="CL67" s="694">
        <f>CH67</f>
        <v>120</v>
      </c>
      <c r="CM67" s="695"/>
      <c r="CN67" s="695"/>
      <c r="CO67" s="696"/>
      <c r="CP67" s="694">
        <f t="shared" ref="CP67" si="196">CL67</f>
        <v>120</v>
      </c>
      <c r="CQ67" s="695"/>
      <c r="CR67" s="695"/>
      <c r="CS67" s="696"/>
      <c r="CT67" s="694">
        <f t="shared" ref="CT67" si="197">CP67</f>
        <v>120</v>
      </c>
      <c r="CU67" s="695"/>
      <c r="CV67" s="695"/>
      <c r="CW67" s="696"/>
      <c r="CX67" s="694">
        <f t="shared" ref="CX67" si="198">CT67</f>
        <v>120</v>
      </c>
      <c r="CY67" s="695"/>
      <c r="CZ67" s="695"/>
      <c r="DA67" s="696"/>
      <c r="DB67" s="694">
        <f t="shared" ref="DB67" si="199">CX67</f>
        <v>120</v>
      </c>
      <c r="DC67" s="695"/>
      <c r="DD67" s="695"/>
      <c r="DE67" s="696"/>
      <c r="DF67" s="694">
        <f t="shared" ref="DF67" si="200">DB67</f>
        <v>120</v>
      </c>
      <c r="DG67" s="695"/>
      <c r="DH67" s="695"/>
      <c r="DI67" s="696"/>
      <c r="DJ67" s="694">
        <f t="shared" ref="DJ67" si="201">DF67</f>
        <v>120</v>
      </c>
      <c r="DK67" s="695"/>
      <c r="DL67" s="695"/>
      <c r="DM67" s="695"/>
      <c r="DN67" s="691">
        <f t="shared" ref="DN67" si="202">DJ67</f>
        <v>120</v>
      </c>
      <c r="DO67" s="692"/>
      <c r="DP67" s="692"/>
      <c r="DQ67" s="693"/>
    </row>
    <row r="68" spans="2:121" x14ac:dyDescent="0.45">
      <c r="B68" s="227"/>
      <c r="C68" s="227"/>
      <c r="F68" s="371"/>
      <c r="G68" s="372"/>
      <c r="H68" s="372"/>
      <c r="I68" s="373"/>
      <c r="J68" s="375"/>
      <c r="K68" s="375"/>
      <c r="L68" s="375"/>
      <c r="M68" s="376"/>
      <c r="N68" s="374"/>
      <c r="O68" s="375"/>
      <c r="P68" s="375"/>
      <c r="Q68" s="376"/>
      <c r="R68" s="374"/>
      <c r="S68" s="375"/>
      <c r="T68" s="375"/>
      <c r="U68" s="376"/>
      <c r="V68" s="374"/>
      <c r="W68" s="375"/>
      <c r="X68" s="375"/>
      <c r="Y68" s="376"/>
      <c r="Z68" s="374"/>
      <c r="AA68" s="375"/>
      <c r="AB68" s="375"/>
      <c r="AC68" s="376"/>
      <c r="AD68" s="374"/>
      <c r="AE68" s="375"/>
      <c r="AF68" s="375"/>
      <c r="AG68" s="376"/>
      <c r="AH68" s="374"/>
      <c r="AI68" s="375"/>
      <c r="AJ68" s="375"/>
      <c r="AK68" s="376"/>
      <c r="AL68" s="374"/>
      <c r="AM68" s="375"/>
      <c r="AN68" s="375"/>
      <c r="AO68" s="376"/>
      <c r="AP68" s="374"/>
      <c r="AQ68" s="375"/>
      <c r="AR68" s="375"/>
      <c r="AS68" s="376"/>
      <c r="AT68" s="374"/>
      <c r="AU68" s="375"/>
      <c r="AV68" s="375"/>
      <c r="AW68" s="376"/>
      <c r="AX68" s="374"/>
      <c r="AY68" s="375"/>
      <c r="AZ68" s="375"/>
      <c r="BA68" s="376"/>
      <c r="BB68" s="374"/>
      <c r="BC68" s="375"/>
      <c r="BD68" s="375"/>
      <c r="BE68" s="376"/>
      <c r="BF68" s="374"/>
      <c r="BG68" s="375"/>
      <c r="BH68" s="375"/>
      <c r="BI68" s="376"/>
      <c r="BJ68" s="374"/>
      <c r="BK68" s="375"/>
      <c r="BL68" s="375"/>
      <c r="BM68" s="376"/>
      <c r="BN68" s="374"/>
      <c r="BO68" s="375"/>
      <c r="BP68" s="375"/>
      <c r="BQ68" s="376"/>
      <c r="BR68" s="374"/>
      <c r="BS68" s="375"/>
      <c r="BT68" s="375"/>
      <c r="BU68" s="376"/>
      <c r="BV68" s="374"/>
      <c r="BW68" s="375"/>
      <c r="BX68" s="375"/>
      <c r="BY68" s="376"/>
      <c r="BZ68" s="374"/>
      <c r="CA68" s="375"/>
      <c r="CB68" s="375"/>
      <c r="CC68" s="376"/>
      <c r="CD68" s="374"/>
      <c r="CE68" s="375"/>
      <c r="CF68" s="375"/>
      <c r="CG68" s="376"/>
      <c r="CH68" s="374"/>
      <c r="CI68" s="375"/>
      <c r="CJ68" s="375"/>
      <c r="CK68" s="376"/>
      <c r="CL68" s="374"/>
      <c r="CM68" s="375"/>
      <c r="CN68" s="375"/>
      <c r="CO68" s="376"/>
      <c r="CP68" s="374"/>
      <c r="CQ68" s="375"/>
      <c r="CR68" s="375"/>
      <c r="CS68" s="376"/>
      <c r="CT68" s="374"/>
      <c r="CU68" s="375"/>
      <c r="CV68" s="375"/>
      <c r="CW68" s="376"/>
      <c r="CX68" s="374"/>
      <c r="CY68" s="375"/>
      <c r="CZ68" s="375"/>
      <c r="DA68" s="376"/>
      <c r="DB68" s="374"/>
      <c r="DC68" s="375"/>
      <c r="DD68" s="375"/>
      <c r="DE68" s="376"/>
      <c r="DF68" s="374"/>
      <c r="DG68" s="375"/>
      <c r="DH68" s="375"/>
      <c r="DI68" s="376"/>
      <c r="DJ68" s="374"/>
      <c r="DK68" s="375"/>
      <c r="DL68" s="375"/>
      <c r="DM68" s="375"/>
      <c r="DN68" s="371"/>
      <c r="DO68" s="372"/>
      <c r="DP68" s="372"/>
      <c r="DQ68" s="373"/>
    </row>
    <row r="69" spans="2:121" x14ac:dyDescent="0.45">
      <c r="B69" s="356" t="s">
        <v>1213</v>
      </c>
      <c r="C69" s="356" t="s">
        <v>1214</v>
      </c>
      <c r="F69" s="371"/>
      <c r="G69" s="372"/>
      <c r="H69" s="372"/>
      <c r="I69" s="373"/>
      <c r="J69" s="375"/>
      <c r="K69" s="375"/>
      <c r="L69" s="375"/>
      <c r="M69" s="376"/>
      <c r="N69" s="374"/>
      <c r="O69" s="375"/>
      <c r="P69" s="375"/>
      <c r="Q69" s="376"/>
      <c r="R69" s="374"/>
      <c r="S69" s="375"/>
      <c r="T69" s="375"/>
      <c r="U69" s="376"/>
      <c r="V69" s="374"/>
      <c r="W69" s="375"/>
      <c r="X69" s="375"/>
      <c r="Y69" s="376"/>
      <c r="Z69" s="374"/>
      <c r="AA69" s="375"/>
      <c r="AB69" s="375"/>
      <c r="AC69" s="376"/>
      <c r="AD69" s="374"/>
      <c r="AE69" s="375"/>
      <c r="AF69" s="375"/>
      <c r="AG69" s="376"/>
      <c r="AH69" s="374"/>
      <c r="AI69" s="375"/>
      <c r="AJ69" s="375"/>
      <c r="AK69" s="376"/>
      <c r="AL69" s="374"/>
      <c r="AM69" s="375"/>
      <c r="AN69" s="375"/>
      <c r="AO69" s="376"/>
      <c r="AP69" s="374"/>
      <c r="AQ69" s="375"/>
      <c r="AR69" s="375"/>
      <c r="AS69" s="376"/>
      <c r="AT69" s="374"/>
      <c r="AU69" s="375"/>
      <c r="AV69" s="375"/>
      <c r="AW69" s="376"/>
      <c r="AX69" s="374"/>
      <c r="AY69" s="375"/>
      <c r="AZ69" s="375"/>
      <c r="BA69" s="376"/>
      <c r="BB69" s="374"/>
      <c r="BC69" s="375"/>
      <c r="BD69" s="375"/>
      <c r="BE69" s="376"/>
      <c r="BF69" s="374"/>
      <c r="BG69" s="375"/>
      <c r="BH69" s="375"/>
      <c r="BI69" s="376"/>
      <c r="BJ69" s="374"/>
      <c r="BK69" s="375"/>
      <c r="BL69" s="375"/>
      <c r="BM69" s="376"/>
      <c r="BN69" s="374"/>
      <c r="BO69" s="375"/>
      <c r="BP69" s="375"/>
      <c r="BQ69" s="376"/>
      <c r="BR69" s="374"/>
      <c r="BS69" s="375"/>
      <c r="BT69" s="375"/>
      <c r="BU69" s="376"/>
      <c r="BV69" s="374"/>
      <c r="BW69" s="375"/>
      <c r="BX69" s="375"/>
      <c r="BY69" s="376"/>
      <c r="BZ69" s="374"/>
      <c r="CA69" s="375"/>
      <c r="CB69" s="375"/>
      <c r="CC69" s="376"/>
      <c r="CD69" s="374"/>
      <c r="CE69" s="375"/>
      <c r="CF69" s="375"/>
      <c r="CG69" s="376"/>
      <c r="CH69" s="374"/>
      <c r="CI69" s="375"/>
      <c r="CJ69" s="375"/>
      <c r="CK69" s="376"/>
      <c r="CL69" s="374"/>
      <c r="CM69" s="375"/>
      <c r="CN69" s="375"/>
      <c r="CO69" s="376"/>
      <c r="CP69" s="374"/>
      <c r="CQ69" s="375"/>
      <c r="CR69" s="375"/>
      <c r="CS69" s="376"/>
      <c r="CT69" s="374"/>
      <c r="CU69" s="375"/>
      <c r="CV69" s="375"/>
      <c r="CW69" s="376"/>
      <c r="CX69" s="374"/>
      <c r="CY69" s="375"/>
      <c r="CZ69" s="375"/>
      <c r="DA69" s="376"/>
      <c r="DB69" s="374"/>
      <c r="DC69" s="375"/>
      <c r="DD69" s="375"/>
      <c r="DE69" s="376"/>
      <c r="DF69" s="374"/>
      <c r="DG69" s="375"/>
      <c r="DH69" s="375"/>
      <c r="DI69" s="376"/>
      <c r="DJ69" s="374"/>
      <c r="DK69" s="375"/>
      <c r="DL69" s="375"/>
      <c r="DM69" s="375"/>
      <c r="DN69" s="371"/>
      <c r="DO69" s="372"/>
      <c r="DP69" s="372"/>
      <c r="DQ69" s="373"/>
    </row>
    <row r="70" spans="2:121" x14ac:dyDescent="0.45">
      <c r="B70" s="227" t="s">
        <v>21</v>
      </c>
      <c r="C70" s="227" t="s">
        <v>1201</v>
      </c>
      <c r="F70" s="697">
        <v>23</v>
      </c>
      <c r="G70" s="698"/>
      <c r="H70" s="698"/>
      <c r="I70" s="699"/>
      <c r="J70" s="690">
        <f>F70</f>
        <v>23</v>
      </c>
      <c r="K70" s="690"/>
      <c r="L70" s="690"/>
      <c r="M70" s="704"/>
      <c r="N70" s="703">
        <f>J70</f>
        <v>23</v>
      </c>
      <c r="O70" s="690"/>
      <c r="P70" s="690"/>
      <c r="Q70" s="704"/>
      <c r="R70" s="703">
        <f t="shared" ref="R70" si="203">N70</f>
        <v>23</v>
      </c>
      <c r="S70" s="690"/>
      <c r="T70" s="690"/>
      <c r="U70" s="704"/>
      <c r="V70" s="703">
        <f t="shared" ref="V70" si="204">R70</f>
        <v>23</v>
      </c>
      <c r="W70" s="690"/>
      <c r="X70" s="690"/>
      <c r="Y70" s="704"/>
      <c r="Z70" s="703">
        <f t="shared" ref="Z70" si="205">V70</f>
        <v>23</v>
      </c>
      <c r="AA70" s="690"/>
      <c r="AB70" s="690"/>
      <c r="AC70" s="704"/>
      <c r="AD70" s="703">
        <f t="shared" ref="AD70" si="206">Z70</f>
        <v>23</v>
      </c>
      <c r="AE70" s="690"/>
      <c r="AF70" s="690"/>
      <c r="AG70" s="704"/>
      <c r="AH70" s="703">
        <f t="shared" ref="AH70" si="207">AD70</f>
        <v>23</v>
      </c>
      <c r="AI70" s="690"/>
      <c r="AJ70" s="690"/>
      <c r="AK70" s="704"/>
      <c r="AL70" s="703">
        <f t="shared" ref="AL70" si="208">AH70</f>
        <v>23</v>
      </c>
      <c r="AM70" s="690"/>
      <c r="AN70" s="690"/>
      <c r="AO70" s="704"/>
      <c r="AP70" s="703">
        <f t="shared" ref="AP70" si="209">AL70</f>
        <v>23</v>
      </c>
      <c r="AQ70" s="690"/>
      <c r="AR70" s="690"/>
      <c r="AS70" s="704"/>
      <c r="AT70" s="700">
        <f>AX70</f>
        <v>22</v>
      </c>
      <c r="AU70" s="701"/>
      <c r="AV70" s="701"/>
      <c r="AW70" s="702"/>
      <c r="AX70" s="723">
        <v>22</v>
      </c>
      <c r="AY70" s="724"/>
      <c r="AZ70" s="724"/>
      <c r="BA70" s="725"/>
      <c r="BB70" s="700">
        <f>BF70</f>
        <v>21</v>
      </c>
      <c r="BC70" s="701"/>
      <c r="BD70" s="701"/>
      <c r="BE70" s="702"/>
      <c r="BF70" s="723">
        <v>21</v>
      </c>
      <c r="BG70" s="724"/>
      <c r="BH70" s="724"/>
      <c r="BI70" s="725"/>
      <c r="BJ70" s="700">
        <f>BN70</f>
        <v>20</v>
      </c>
      <c r="BK70" s="701"/>
      <c r="BL70" s="701"/>
      <c r="BM70" s="702"/>
      <c r="BN70" s="723">
        <v>20</v>
      </c>
      <c r="BO70" s="724"/>
      <c r="BP70" s="724"/>
      <c r="BQ70" s="725"/>
      <c r="BR70" s="700">
        <f>BV70</f>
        <v>19</v>
      </c>
      <c r="BS70" s="701"/>
      <c r="BT70" s="701"/>
      <c r="BU70" s="702"/>
      <c r="BV70" s="723">
        <v>19</v>
      </c>
      <c r="BW70" s="724"/>
      <c r="BX70" s="724"/>
      <c r="BY70" s="725"/>
      <c r="BZ70" s="700">
        <f>BV70</f>
        <v>19</v>
      </c>
      <c r="CA70" s="701"/>
      <c r="CB70" s="701"/>
      <c r="CC70" s="702"/>
      <c r="CD70" s="703">
        <f>BZ70</f>
        <v>19</v>
      </c>
      <c r="CE70" s="690"/>
      <c r="CF70" s="690"/>
      <c r="CG70" s="704"/>
      <c r="CH70" s="703">
        <f>CD70</f>
        <v>19</v>
      </c>
      <c r="CI70" s="690"/>
      <c r="CJ70" s="690"/>
      <c r="CK70" s="704"/>
      <c r="CL70" s="703">
        <f>CH70</f>
        <v>19</v>
      </c>
      <c r="CM70" s="690"/>
      <c r="CN70" s="690"/>
      <c r="CO70" s="704"/>
      <c r="CP70" s="703">
        <f t="shared" ref="CP70" si="210">CL70</f>
        <v>19</v>
      </c>
      <c r="CQ70" s="690"/>
      <c r="CR70" s="690"/>
      <c r="CS70" s="704"/>
      <c r="CT70" s="703">
        <f t="shared" ref="CT70" si="211">CP70</f>
        <v>19</v>
      </c>
      <c r="CU70" s="690"/>
      <c r="CV70" s="690"/>
      <c r="CW70" s="704"/>
      <c r="CX70" s="703">
        <f t="shared" ref="CX70" si="212">CT70</f>
        <v>19</v>
      </c>
      <c r="CY70" s="690"/>
      <c r="CZ70" s="690"/>
      <c r="DA70" s="704"/>
      <c r="DB70" s="703">
        <f t="shared" ref="DB70" si="213">CX70</f>
        <v>19</v>
      </c>
      <c r="DC70" s="690"/>
      <c r="DD70" s="690"/>
      <c r="DE70" s="704"/>
      <c r="DF70" s="703">
        <f t="shared" ref="DF70" si="214">DB70</f>
        <v>19</v>
      </c>
      <c r="DG70" s="690"/>
      <c r="DH70" s="690"/>
      <c r="DI70" s="704"/>
      <c r="DJ70" s="703">
        <f t="shared" ref="DJ70" si="215">DF70</f>
        <v>19</v>
      </c>
      <c r="DK70" s="690"/>
      <c r="DL70" s="690"/>
      <c r="DM70" s="690"/>
      <c r="DN70" s="697">
        <f t="shared" ref="DN70" si="216">DJ70</f>
        <v>19</v>
      </c>
      <c r="DO70" s="698"/>
      <c r="DP70" s="698"/>
      <c r="DQ70" s="699"/>
    </row>
    <row r="71" spans="2:121" x14ac:dyDescent="0.45">
      <c r="B71" s="227" t="s">
        <v>1205</v>
      </c>
      <c r="C71" s="227" t="s">
        <v>1202</v>
      </c>
      <c r="F71" s="716">
        <f>B63+B63*0.004</f>
        <v>394764.76799999998</v>
      </c>
      <c r="G71" s="717"/>
      <c r="H71" s="717"/>
      <c r="I71" s="718"/>
      <c r="J71" s="706">
        <f>B63+B63*0.005</f>
        <v>395157.96</v>
      </c>
      <c r="K71" s="706"/>
      <c r="L71" s="706"/>
      <c r="M71" s="707"/>
      <c r="N71" s="705">
        <f>B63+B63*0.006</f>
        <v>395551.152</v>
      </c>
      <c r="O71" s="706"/>
      <c r="P71" s="706"/>
      <c r="Q71" s="707"/>
      <c r="R71" s="705">
        <f>B63+B63*0.007</f>
        <v>395944.34399999998</v>
      </c>
      <c r="S71" s="706"/>
      <c r="T71" s="706"/>
      <c r="U71" s="707"/>
      <c r="V71" s="705">
        <f>B63+B63*0.008</f>
        <v>396337.53600000002</v>
      </c>
      <c r="W71" s="706"/>
      <c r="X71" s="706"/>
      <c r="Y71" s="707"/>
      <c r="Z71" s="705">
        <f>B63+B63*0.009</f>
        <v>396730.728</v>
      </c>
      <c r="AA71" s="706"/>
      <c r="AB71" s="706"/>
      <c r="AC71" s="707"/>
      <c r="AD71" s="705">
        <f>B63+B63*0.01</f>
        <v>397123.92</v>
      </c>
      <c r="AE71" s="706"/>
      <c r="AF71" s="706"/>
      <c r="AG71" s="707"/>
      <c r="AH71" s="705">
        <f>B63+B63*0.011</f>
        <v>397517.11200000002</v>
      </c>
      <c r="AI71" s="706"/>
      <c r="AJ71" s="706"/>
      <c r="AK71" s="707"/>
      <c r="AL71" s="705">
        <f>B63+B63*0.01235</f>
        <v>398047.92119999998</v>
      </c>
      <c r="AM71" s="706"/>
      <c r="AN71" s="706"/>
      <c r="AO71" s="707"/>
      <c r="AP71" s="705">
        <f>B63+B63*0.01235</f>
        <v>398047.92119999998</v>
      </c>
      <c r="AQ71" s="706"/>
      <c r="AR71" s="706"/>
      <c r="AS71" s="707"/>
      <c r="AT71" s="711">
        <f>C63+C63*0.01235</f>
        <v>331706.60100000002</v>
      </c>
      <c r="AU71" s="714"/>
      <c r="AV71" s="714"/>
      <c r="AW71" s="715"/>
      <c r="AX71" s="711">
        <f>AT71</f>
        <v>331706.60100000002</v>
      </c>
      <c r="AY71" s="714"/>
      <c r="AZ71" s="714"/>
      <c r="BA71" s="715"/>
      <c r="BB71" s="711">
        <f t="shared" ref="BB71" si="217">AX71</f>
        <v>331706.60100000002</v>
      </c>
      <c r="BC71" s="714"/>
      <c r="BD71" s="714"/>
      <c r="BE71" s="715"/>
      <c r="BF71" s="711">
        <f t="shared" ref="BF71" si="218">BB71</f>
        <v>331706.60100000002</v>
      </c>
      <c r="BG71" s="714"/>
      <c r="BH71" s="714"/>
      <c r="BI71" s="715"/>
      <c r="BJ71" s="711">
        <f t="shared" ref="BJ71" si="219">BF71</f>
        <v>331706.60100000002</v>
      </c>
      <c r="BK71" s="714"/>
      <c r="BL71" s="714"/>
      <c r="BM71" s="715"/>
      <c r="BN71" s="711">
        <f t="shared" ref="BN71" si="220">BJ71</f>
        <v>331706.60100000002</v>
      </c>
      <c r="BO71" s="714"/>
      <c r="BP71" s="714"/>
      <c r="BQ71" s="715"/>
      <c r="BR71" s="711">
        <f t="shared" ref="BR71" si="221">BN71</f>
        <v>331706.60100000002</v>
      </c>
      <c r="BS71" s="714"/>
      <c r="BT71" s="714"/>
      <c r="BU71" s="715"/>
      <c r="BV71" s="711">
        <f t="shared" ref="BV71" si="222">BR71</f>
        <v>331706.60100000002</v>
      </c>
      <c r="BW71" s="714"/>
      <c r="BX71" s="714"/>
      <c r="BY71" s="715"/>
      <c r="BZ71" s="711">
        <f t="shared" ref="BZ71" si="223">BV71</f>
        <v>331706.60100000002</v>
      </c>
      <c r="CA71" s="714"/>
      <c r="CB71" s="714"/>
      <c r="CC71" s="715"/>
      <c r="CD71" s="711">
        <f>BZ71</f>
        <v>331706.60100000002</v>
      </c>
      <c r="CE71" s="714"/>
      <c r="CF71" s="714"/>
      <c r="CG71" s="715"/>
      <c r="CH71" s="705">
        <f>CD71</f>
        <v>331706.60100000002</v>
      </c>
      <c r="CI71" s="706"/>
      <c r="CJ71" s="706"/>
      <c r="CK71" s="707"/>
      <c r="CL71" s="705">
        <f>C63+C63*0.011</f>
        <v>331264.26</v>
      </c>
      <c r="CM71" s="706"/>
      <c r="CN71" s="706"/>
      <c r="CO71" s="707"/>
      <c r="CP71" s="705">
        <f>C63+C63*0.01</f>
        <v>330936.59999999998</v>
      </c>
      <c r="CQ71" s="706"/>
      <c r="CR71" s="706"/>
      <c r="CS71" s="707"/>
      <c r="CT71" s="705">
        <f>C63+C63*0.009</f>
        <v>330608.94</v>
      </c>
      <c r="CU71" s="706"/>
      <c r="CV71" s="706"/>
      <c r="CW71" s="707"/>
      <c r="CX71" s="705">
        <f>C63+C63*0.008</f>
        <v>330281.28000000003</v>
      </c>
      <c r="CY71" s="706"/>
      <c r="CZ71" s="706"/>
      <c r="DA71" s="707"/>
      <c r="DB71" s="705">
        <f>C63+C63*0.007</f>
        <v>329953.62</v>
      </c>
      <c r="DC71" s="706"/>
      <c r="DD71" s="706"/>
      <c r="DE71" s="707"/>
      <c r="DF71" s="705">
        <f>C63+C63*0.006</f>
        <v>329625.96000000002</v>
      </c>
      <c r="DG71" s="706"/>
      <c r="DH71" s="706"/>
      <c r="DI71" s="707"/>
      <c r="DJ71" s="705">
        <f>C63+C63*0.005</f>
        <v>329298.3</v>
      </c>
      <c r="DK71" s="706"/>
      <c r="DL71" s="706"/>
      <c r="DM71" s="706"/>
      <c r="DN71" s="716">
        <f>C63+C63*0.004</f>
        <v>328970.64</v>
      </c>
      <c r="DO71" s="717"/>
      <c r="DP71" s="717"/>
      <c r="DQ71" s="718"/>
    </row>
    <row r="72" spans="2:121" x14ac:dyDescent="0.45">
      <c r="B72" s="227" t="s">
        <v>1204</v>
      </c>
      <c r="C72" s="227" t="s">
        <v>1203</v>
      </c>
      <c r="F72" s="697">
        <v>0</v>
      </c>
      <c r="G72" s="698"/>
      <c r="H72" s="698"/>
      <c r="I72" s="699"/>
      <c r="J72" s="690">
        <v>0</v>
      </c>
      <c r="K72" s="690"/>
      <c r="L72" s="690"/>
      <c r="M72" s="704"/>
      <c r="N72" s="703">
        <v>0</v>
      </c>
      <c r="O72" s="690"/>
      <c r="P72" s="690"/>
      <c r="Q72" s="704"/>
      <c r="R72" s="703">
        <v>0</v>
      </c>
      <c r="S72" s="690"/>
      <c r="T72" s="690"/>
      <c r="U72" s="704"/>
      <c r="V72" s="703">
        <v>0</v>
      </c>
      <c r="W72" s="690"/>
      <c r="X72" s="690"/>
      <c r="Y72" s="704"/>
      <c r="Z72" s="703">
        <v>0</v>
      </c>
      <c r="AA72" s="690"/>
      <c r="AB72" s="690"/>
      <c r="AC72" s="704"/>
      <c r="AD72" s="703">
        <v>0</v>
      </c>
      <c r="AE72" s="690"/>
      <c r="AF72" s="690"/>
      <c r="AG72" s="704"/>
      <c r="AH72" s="703">
        <v>0</v>
      </c>
      <c r="AI72" s="690"/>
      <c r="AJ72" s="690"/>
      <c r="AK72" s="704"/>
      <c r="AL72" s="703">
        <v>0</v>
      </c>
      <c r="AM72" s="690"/>
      <c r="AN72" s="690"/>
      <c r="AO72" s="704"/>
      <c r="AP72" s="719">
        <v>1</v>
      </c>
      <c r="AQ72" s="714"/>
      <c r="AR72" s="714"/>
      <c r="AS72" s="715"/>
      <c r="AT72" s="719">
        <v>1</v>
      </c>
      <c r="AU72" s="714"/>
      <c r="AV72" s="714"/>
      <c r="AW72" s="715"/>
      <c r="AX72" s="719">
        <v>1</v>
      </c>
      <c r="AY72" s="714"/>
      <c r="AZ72" s="714"/>
      <c r="BA72" s="715"/>
      <c r="BB72" s="719">
        <v>1</v>
      </c>
      <c r="BC72" s="714"/>
      <c r="BD72" s="714"/>
      <c r="BE72" s="715"/>
      <c r="BF72" s="719">
        <v>1</v>
      </c>
      <c r="BG72" s="714"/>
      <c r="BH72" s="714"/>
      <c r="BI72" s="715"/>
      <c r="BJ72" s="719">
        <v>1</v>
      </c>
      <c r="BK72" s="714"/>
      <c r="BL72" s="714"/>
      <c r="BM72" s="715"/>
      <c r="BN72" s="719">
        <v>1</v>
      </c>
      <c r="BO72" s="714"/>
      <c r="BP72" s="714"/>
      <c r="BQ72" s="715"/>
      <c r="BR72" s="719">
        <v>1</v>
      </c>
      <c r="BS72" s="714"/>
      <c r="BT72" s="714"/>
      <c r="BU72" s="715"/>
      <c r="BV72" s="719">
        <v>1</v>
      </c>
      <c r="BW72" s="714"/>
      <c r="BX72" s="714"/>
      <c r="BY72" s="715"/>
      <c r="BZ72" s="719">
        <v>1</v>
      </c>
      <c r="CA72" s="714"/>
      <c r="CB72" s="714"/>
      <c r="CC72" s="715"/>
      <c r="CD72" s="719">
        <v>1</v>
      </c>
      <c r="CE72" s="714"/>
      <c r="CF72" s="714"/>
      <c r="CG72" s="715"/>
      <c r="CH72" s="703">
        <v>0</v>
      </c>
      <c r="CI72" s="690"/>
      <c r="CJ72" s="690"/>
      <c r="CK72" s="704"/>
      <c r="CL72" s="703">
        <v>0</v>
      </c>
      <c r="CM72" s="690"/>
      <c r="CN72" s="690"/>
      <c r="CO72" s="704"/>
      <c r="CP72" s="703">
        <v>0</v>
      </c>
      <c r="CQ72" s="690"/>
      <c r="CR72" s="690"/>
      <c r="CS72" s="704"/>
      <c r="CT72" s="703">
        <v>0</v>
      </c>
      <c r="CU72" s="690"/>
      <c r="CV72" s="690"/>
      <c r="CW72" s="704"/>
      <c r="CX72" s="703">
        <v>0</v>
      </c>
      <c r="CY72" s="690"/>
      <c r="CZ72" s="690"/>
      <c r="DA72" s="704"/>
      <c r="DB72" s="703">
        <v>0</v>
      </c>
      <c r="DC72" s="690"/>
      <c r="DD72" s="690"/>
      <c r="DE72" s="704"/>
      <c r="DF72" s="703">
        <v>0</v>
      </c>
      <c r="DG72" s="690"/>
      <c r="DH72" s="690"/>
      <c r="DI72" s="704"/>
      <c r="DJ72" s="703">
        <v>0</v>
      </c>
      <c r="DK72" s="690"/>
      <c r="DL72" s="690"/>
      <c r="DM72" s="690"/>
      <c r="DN72" s="697">
        <v>0</v>
      </c>
      <c r="DO72" s="698"/>
      <c r="DP72" s="698"/>
      <c r="DQ72" s="699"/>
    </row>
  </sheetData>
  <mergeCells count="890">
    <mergeCell ref="EP21:ES21"/>
    <mergeCell ref="EP22:ES22"/>
    <mergeCell ref="DV23:DY23"/>
    <mergeCell ref="DZ23:EC23"/>
    <mergeCell ref="ED23:EG23"/>
    <mergeCell ref="EP23:ES23"/>
    <mergeCell ref="EP12:ES12"/>
    <mergeCell ref="EP15:ES15"/>
    <mergeCell ref="DN18:DQ18"/>
    <mergeCell ref="DR18:DU18"/>
    <mergeCell ref="DV18:DY18"/>
    <mergeCell ref="DZ18:EC18"/>
    <mergeCell ref="ED18:EG18"/>
    <mergeCell ref="EP18:ES18"/>
    <mergeCell ref="DN15:DQ15"/>
    <mergeCell ref="DR15:DU15"/>
    <mergeCell ref="DV15:DY15"/>
    <mergeCell ref="DZ15:EC15"/>
    <mergeCell ref="ED15:EG15"/>
    <mergeCell ref="EH15:EK15"/>
    <mergeCell ref="CX12:DA12"/>
    <mergeCell ref="CX15:DA15"/>
    <mergeCell ref="CX18:DA18"/>
    <mergeCell ref="DF18:DI18"/>
    <mergeCell ref="DJ18:DM18"/>
    <mergeCell ref="EH23:EK23"/>
    <mergeCell ref="EL23:EO23"/>
    <mergeCell ref="EH18:EK18"/>
    <mergeCell ref="EL18:EO18"/>
    <mergeCell ref="ED21:EG21"/>
    <mergeCell ref="EH21:EK21"/>
    <mergeCell ref="EL12:EO12"/>
    <mergeCell ref="DZ21:EC21"/>
    <mergeCell ref="EL15:EO15"/>
    <mergeCell ref="DF12:DI12"/>
    <mergeCell ref="DJ12:DM12"/>
    <mergeCell ref="DN12:DQ12"/>
    <mergeCell ref="DR12:DU12"/>
    <mergeCell ref="DV12:DY12"/>
    <mergeCell ref="DZ12:EC12"/>
    <mergeCell ref="ED12:EG12"/>
    <mergeCell ref="EH12:EK12"/>
    <mergeCell ref="DF15:DI15"/>
    <mergeCell ref="DJ15:DM15"/>
    <mergeCell ref="EP4:ES4"/>
    <mergeCell ref="EP7:ES7"/>
    <mergeCell ref="DN10:DQ10"/>
    <mergeCell ref="DR10:DU10"/>
    <mergeCell ref="DV10:DY10"/>
    <mergeCell ref="DZ10:EC10"/>
    <mergeCell ref="EP10:ES10"/>
    <mergeCell ref="EP11:ES11"/>
    <mergeCell ref="DJ10:DM10"/>
    <mergeCell ref="ED10:EG10"/>
    <mergeCell ref="EH10:EK10"/>
    <mergeCell ref="EL10:EO10"/>
    <mergeCell ref="EL4:EO4"/>
    <mergeCell ref="DN4:DQ4"/>
    <mergeCell ref="DR4:DU4"/>
    <mergeCell ref="DV4:DY4"/>
    <mergeCell ref="DZ4:EC4"/>
    <mergeCell ref="ED4:EG4"/>
    <mergeCell ref="EH4:EK4"/>
    <mergeCell ref="DN72:DQ72"/>
    <mergeCell ref="CX4:DA4"/>
    <mergeCell ref="DF4:DI4"/>
    <mergeCell ref="DJ4:DM4"/>
    <mergeCell ref="CX7:DA7"/>
    <mergeCell ref="CX10:DA10"/>
    <mergeCell ref="DF10:DI10"/>
    <mergeCell ref="DB71:DE71"/>
    <mergeCell ref="DF71:DI71"/>
    <mergeCell ref="DJ71:DM71"/>
    <mergeCell ref="DN71:DQ71"/>
    <mergeCell ref="DN70:DQ70"/>
    <mergeCell ref="DB67:DE67"/>
    <mergeCell ref="DF67:DI67"/>
    <mergeCell ref="DJ67:DM67"/>
    <mergeCell ref="DN67:DQ67"/>
    <mergeCell ref="DB64:DE64"/>
    <mergeCell ref="DF64:DI64"/>
    <mergeCell ref="DJ64:DM64"/>
    <mergeCell ref="DN64:DQ64"/>
    <mergeCell ref="DN61:DQ61"/>
    <mergeCell ref="CX22:DA22"/>
    <mergeCell ref="CX23:DA23"/>
    <mergeCell ref="CX11:DA11"/>
    <mergeCell ref="CD72:CG72"/>
    <mergeCell ref="CH72:CK72"/>
    <mergeCell ref="CL72:CO72"/>
    <mergeCell ref="CP72:CS72"/>
    <mergeCell ref="CT72:CW72"/>
    <mergeCell ref="CX72:DA72"/>
    <mergeCell ref="DB70:DE70"/>
    <mergeCell ref="DF70:DI70"/>
    <mergeCell ref="DJ70:DM70"/>
    <mergeCell ref="CD71:CG71"/>
    <mergeCell ref="CH71:CK71"/>
    <mergeCell ref="CL71:CO71"/>
    <mergeCell ref="CP71:CS71"/>
    <mergeCell ref="CT71:CW71"/>
    <mergeCell ref="CX71:DA71"/>
    <mergeCell ref="CD70:CG70"/>
    <mergeCell ref="CH70:CK70"/>
    <mergeCell ref="CL70:CO70"/>
    <mergeCell ref="CP70:CS70"/>
    <mergeCell ref="CT70:CW70"/>
    <mergeCell ref="CX70:DA70"/>
    <mergeCell ref="DB72:DE72"/>
    <mergeCell ref="DF72:DI72"/>
    <mergeCell ref="DJ72:DM72"/>
    <mergeCell ref="DB61:DE61"/>
    <mergeCell ref="DF61:DI61"/>
    <mergeCell ref="DJ61:DM61"/>
    <mergeCell ref="CD64:CG64"/>
    <mergeCell ref="CH64:CK64"/>
    <mergeCell ref="CL64:CO64"/>
    <mergeCell ref="CP64:CS64"/>
    <mergeCell ref="CT64:CW64"/>
    <mergeCell ref="CX64:DA64"/>
    <mergeCell ref="CD61:CG61"/>
    <mergeCell ref="CH61:CK61"/>
    <mergeCell ref="CL61:CO61"/>
    <mergeCell ref="CP61:CS61"/>
    <mergeCell ref="CT61:CW61"/>
    <mergeCell ref="CX61:DA61"/>
    <mergeCell ref="CD67:CG67"/>
    <mergeCell ref="CH67:CK67"/>
    <mergeCell ref="CL67:CO67"/>
    <mergeCell ref="CP67:CS67"/>
    <mergeCell ref="CT67:CW67"/>
    <mergeCell ref="CX67:DA67"/>
    <mergeCell ref="DN59:DQ59"/>
    <mergeCell ref="CD60:CG60"/>
    <mergeCell ref="CH60:CK60"/>
    <mergeCell ref="CL60:CO60"/>
    <mergeCell ref="CP60:CS60"/>
    <mergeCell ref="CT60:CW60"/>
    <mergeCell ref="CX60:DA60"/>
    <mergeCell ref="DB60:DE60"/>
    <mergeCell ref="DF60:DI60"/>
    <mergeCell ref="DJ60:DM60"/>
    <mergeCell ref="DN60:DQ60"/>
    <mergeCell ref="CD59:CG59"/>
    <mergeCell ref="CH59:CK59"/>
    <mergeCell ref="CL59:CO59"/>
    <mergeCell ref="CP59:CS59"/>
    <mergeCell ref="CT59:CW59"/>
    <mergeCell ref="CX59:DA59"/>
    <mergeCell ref="DB59:DE59"/>
    <mergeCell ref="DF59:DI59"/>
    <mergeCell ref="DJ59:DM59"/>
    <mergeCell ref="DB53:DE53"/>
    <mergeCell ref="DF53:DI53"/>
    <mergeCell ref="DJ53:DM53"/>
    <mergeCell ref="DN53:DQ53"/>
    <mergeCell ref="CD56:CG56"/>
    <mergeCell ref="CH56:CK56"/>
    <mergeCell ref="CL56:CO56"/>
    <mergeCell ref="CP56:CS56"/>
    <mergeCell ref="CT56:CW56"/>
    <mergeCell ref="CX56:DA56"/>
    <mergeCell ref="CX53:DA53"/>
    <mergeCell ref="DB56:DE56"/>
    <mergeCell ref="DF56:DI56"/>
    <mergeCell ref="DJ56:DM56"/>
    <mergeCell ref="DN56:DQ56"/>
    <mergeCell ref="BZ72:CC72"/>
    <mergeCell ref="CD53:CG53"/>
    <mergeCell ref="CH53:CK53"/>
    <mergeCell ref="CL53:CO53"/>
    <mergeCell ref="CP53:CS53"/>
    <mergeCell ref="CT53:CW53"/>
    <mergeCell ref="BZ71:CC71"/>
    <mergeCell ref="AP72:AS72"/>
    <mergeCell ref="AT72:AW72"/>
    <mergeCell ref="AX72:BA72"/>
    <mergeCell ref="BB72:BE72"/>
    <mergeCell ref="BF72:BI72"/>
    <mergeCell ref="BJ72:BM72"/>
    <mergeCell ref="BN72:BQ72"/>
    <mergeCell ref="BR72:BU72"/>
    <mergeCell ref="BV72:BY72"/>
    <mergeCell ref="BZ70:CC70"/>
    <mergeCell ref="AP71:AS71"/>
    <mergeCell ref="AT71:AW71"/>
    <mergeCell ref="AX71:BA71"/>
    <mergeCell ref="BB71:BE71"/>
    <mergeCell ref="BF71:BI71"/>
    <mergeCell ref="BJ71:BM71"/>
    <mergeCell ref="BN71:BQ71"/>
    <mergeCell ref="BR71:BU71"/>
    <mergeCell ref="BV71:BY71"/>
    <mergeCell ref="BZ67:CC67"/>
    <mergeCell ref="AP70:AS70"/>
    <mergeCell ref="AT70:AW70"/>
    <mergeCell ref="AX70:BA70"/>
    <mergeCell ref="BB70:BE70"/>
    <mergeCell ref="BF70:BI70"/>
    <mergeCell ref="BJ70:BM70"/>
    <mergeCell ref="BN70:BQ70"/>
    <mergeCell ref="BR70:BU70"/>
    <mergeCell ref="BV70:BY70"/>
    <mergeCell ref="BZ64:CC64"/>
    <mergeCell ref="AP67:AS67"/>
    <mergeCell ref="AT67:AW67"/>
    <mergeCell ref="AX67:BA67"/>
    <mergeCell ref="BB67:BE67"/>
    <mergeCell ref="BF67:BI67"/>
    <mergeCell ref="BJ67:BM67"/>
    <mergeCell ref="BN67:BQ67"/>
    <mergeCell ref="BR67:BU67"/>
    <mergeCell ref="BV67:BY67"/>
    <mergeCell ref="BB64:BE64"/>
    <mergeCell ref="BF64:BI64"/>
    <mergeCell ref="BJ64:BM64"/>
    <mergeCell ref="BN64:BQ64"/>
    <mergeCell ref="BR64:BU64"/>
    <mergeCell ref="BV64:BY64"/>
    <mergeCell ref="AD72:AG72"/>
    <mergeCell ref="AH72:AK72"/>
    <mergeCell ref="AL72:AO72"/>
    <mergeCell ref="F72:I72"/>
    <mergeCell ref="J72:M72"/>
    <mergeCell ref="N72:Q72"/>
    <mergeCell ref="R72:U72"/>
    <mergeCell ref="V72:Y72"/>
    <mergeCell ref="Z72:AC72"/>
    <mergeCell ref="AD71:AG71"/>
    <mergeCell ref="AH71:AK71"/>
    <mergeCell ref="AL71:AO71"/>
    <mergeCell ref="F71:I71"/>
    <mergeCell ref="J71:M71"/>
    <mergeCell ref="N71:Q71"/>
    <mergeCell ref="R71:U71"/>
    <mergeCell ref="V71:Y71"/>
    <mergeCell ref="Z71:AC71"/>
    <mergeCell ref="AD70:AG70"/>
    <mergeCell ref="AH70:AK70"/>
    <mergeCell ref="AL70:AO70"/>
    <mergeCell ref="F70:I70"/>
    <mergeCell ref="J70:M70"/>
    <mergeCell ref="N70:Q70"/>
    <mergeCell ref="R70:U70"/>
    <mergeCell ref="V70:Y70"/>
    <mergeCell ref="Z70:AC70"/>
    <mergeCell ref="AD67:AG67"/>
    <mergeCell ref="AH67:AK67"/>
    <mergeCell ref="AL67:AO67"/>
    <mergeCell ref="F67:I67"/>
    <mergeCell ref="J67:M67"/>
    <mergeCell ref="N67:Q67"/>
    <mergeCell ref="R67:U67"/>
    <mergeCell ref="V67:Y67"/>
    <mergeCell ref="Z67:AC67"/>
    <mergeCell ref="AD64:AG64"/>
    <mergeCell ref="AH64:AK64"/>
    <mergeCell ref="AL64:AO64"/>
    <mergeCell ref="AP64:AS64"/>
    <mergeCell ref="AT64:AW64"/>
    <mergeCell ref="AX64:BA64"/>
    <mergeCell ref="F64:I64"/>
    <mergeCell ref="J64:M64"/>
    <mergeCell ref="N64:Q64"/>
    <mergeCell ref="R64:U64"/>
    <mergeCell ref="V64:Y64"/>
    <mergeCell ref="Z64:AC64"/>
    <mergeCell ref="BV61:BY61"/>
    <mergeCell ref="BZ61:CC61"/>
    <mergeCell ref="AD61:AG61"/>
    <mergeCell ref="AH61:AK61"/>
    <mergeCell ref="AL61:AO61"/>
    <mergeCell ref="AP61:AS61"/>
    <mergeCell ref="AT61:AW61"/>
    <mergeCell ref="BB61:BE61"/>
    <mergeCell ref="AX61:BA61"/>
    <mergeCell ref="BF61:BI61"/>
    <mergeCell ref="BR61:BU61"/>
    <mergeCell ref="BJ61:BM61"/>
    <mergeCell ref="BN61:BQ61"/>
    <mergeCell ref="F60:I60"/>
    <mergeCell ref="J60:M60"/>
    <mergeCell ref="N60:Q60"/>
    <mergeCell ref="R60:U60"/>
    <mergeCell ref="V60:Y60"/>
    <mergeCell ref="Z60:AC60"/>
    <mergeCell ref="F61:I61"/>
    <mergeCell ref="J61:M61"/>
    <mergeCell ref="N61:Q61"/>
    <mergeCell ref="R61:U61"/>
    <mergeCell ref="V61:Y61"/>
    <mergeCell ref="Z61:AC61"/>
    <mergeCell ref="BZ59:CC59"/>
    <mergeCell ref="AD59:AG59"/>
    <mergeCell ref="AH59:AK59"/>
    <mergeCell ref="AL59:AO59"/>
    <mergeCell ref="AP59:AS59"/>
    <mergeCell ref="AT59:AW59"/>
    <mergeCell ref="BB59:BE59"/>
    <mergeCell ref="AX59:BA59"/>
    <mergeCell ref="BZ60:CC60"/>
    <mergeCell ref="AD60:AG60"/>
    <mergeCell ref="AH60:AK60"/>
    <mergeCell ref="AL60:AO60"/>
    <mergeCell ref="AP60:AS60"/>
    <mergeCell ref="AT60:AW60"/>
    <mergeCell ref="BB60:BE60"/>
    <mergeCell ref="AX60:BA60"/>
    <mergeCell ref="BJ60:BM60"/>
    <mergeCell ref="BN60:BQ60"/>
    <mergeCell ref="BV60:BY60"/>
    <mergeCell ref="BF59:BI59"/>
    <mergeCell ref="BF60:BI60"/>
    <mergeCell ref="BR59:BU59"/>
    <mergeCell ref="BR60:BU60"/>
    <mergeCell ref="BJ59:BM59"/>
    <mergeCell ref="F59:I59"/>
    <mergeCell ref="J59:M59"/>
    <mergeCell ref="N59:Q59"/>
    <mergeCell ref="R59:U59"/>
    <mergeCell ref="V59:Y59"/>
    <mergeCell ref="Z59:AC59"/>
    <mergeCell ref="BJ56:BM56"/>
    <mergeCell ref="BN56:BQ56"/>
    <mergeCell ref="BV56:BY56"/>
    <mergeCell ref="BV59:BY59"/>
    <mergeCell ref="BF56:BI56"/>
    <mergeCell ref="BR56:BU56"/>
    <mergeCell ref="BN59:BQ59"/>
    <mergeCell ref="BZ56:CC56"/>
    <mergeCell ref="AD56:AG56"/>
    <mergeCell ref="AH56:AK56"/>
    <mergeCell ref="AL56:AO56"/>
    <mergeCell ref="AP56:AS56"/>
    <mergeCell ref="AT56:AW56"/>
    <mergeCell ref="BB56:BE56"/>
    <mergeCell ref="AX56:BA56"/>
    <mergeCell ref="F56:I56"/>
    <mergeCell ref="J56:M56"/>
    <mergeCell ref="N56:Q56"/>
    <mergeCell ref="R56:U56"/>
    <mergeCell ref="V56:Y56"/>
    <mergeCell ref="Z56:AC56"/>
    <mergeCell ref="AP53:AS53"/>
    <mergeCell ref="AT53:AW53"/>
    <mergeCell ref="BB53:BE53"/>
    <mergeCell ref="BJ53:BM53"/>
    <mergeCell ref="BN53:BQ53"/>
    <mergeCell ref="AX53:BA53"/>
    <mergeCell ref="BF53:BI53"/>
    <mergeCell ref="BV53:BY53"/>
    <mergeCell ref="BZ53:CC53"/>
    <mergeCell ref="BR53:BU53"/>
    <mergeCell ref="F53:I53"/>
    <mergeCell ref="J53:M53"/>
    <mergeCell ref="N53:Q53"/>
    <mergeCell ref="R53:U53"/>
    <mergeCell ref="V53:Y53"/>
    <mergeCell ref="Z53:AC53"/>
    <mergeCell ref="AD53:AG53"/>
    <mergeCell ref="AH53:AK53"/>
    <mergeCell ref="AL53:AO53"/>
    <mergeCell ref="CL48:CO48"/>
    <mergeCell ref="CP48:CS48"/>
    <mergeCell ref="CT48:CW48"/>
    <mergeCell ref="BN48:BQ48"/>
    <mergeCell ref="BR48:BU48"/>
    <mergeCell ref="BV48:BY48"/>
    <mergeCell ref="BZ48:CC48"/>
    <mergeCell ref="CD48:CG48"/>
    <mergeCell ref="CH48:CK48"/>
    <mergeCell ref="BV47:BY47"/>
    <mergeCell ref="BZ47:CC47"/>
    <mergeCell ref="CD47:CG47"/>
    <mergeCell ref="CH47:CK47"/>
    <mergeCell ref="CP47:CS47"/>
    <mergeCell ref="CT47:CW47"/>
    <mergeCell ref="CL43:CO43"/>
    <mergeCell ref="CP43:CS43"/>
    <mergeCell ref="CT43:CW43"/>
    <mergeCell ref="CL47:CO47"/>
    <mergeCell ref="CP46:CS46"/>
    <mergeCell ref="CT46:CW46"/>
    <mergeCell ref="CT40:CW40"/>
    <mergeCell ref="BN46:BQ46"/>
    <mergeCell ref="BR46:BU46"/>
    <mergeCell ref="BV46:BY46"/>
    <mergeCell ref="BZ46:CC46"/>
    <mergeCell ref="CD46:CG46"/>
    <mergeCell ref="CH46:CK46"/>
    <mergeCell ref="CL46:CO46"/>
    <mergeCell ref="BN43:BQ43"/>
    <mergeCell ref="BR43:BU43"/>
    <mergeCell ref="BV43:BY43"/>
    <mergeCell ref="BZ43:CC43"/>
    <mergeCell ref="CD43:CG43"/>
    <mergeCell ref="CH43:CK43"/>
    <mergeCell ref="BV35:BY35"/>
    <mergeCell ref="BV40:BY40"/>
    <mergeCell ref="BZ40:CC40"/>
    <mergeCell ref="CD40:CG40"/>
    <mergeCell ref="CH40:CK40"/>
    <mergeCell ref="CL40:CO40"/>
    <mergeCell ref="CP40:CS40"/>
    <mergeCell ref="CP36:CS36"/>
    <mergeCell ref="BN40:BQ40"/>
    <mergeCell ref="BR40:BU40"/>
    <mergeCell ref="CP35:CS35"/>
    <mergeCell ref="CT35:CW35"/>
    <mergeCell ref="CL35:CO35"/>
    <mergeCell ref="AT43:AW43"/>
    <mergeCell ref="AX43:BA43"/>
    <mergeCell ref="CT36:CW36"/>
    <mergeCell ref="BN37:BQ37"/>
    <mergeCell ref="BR37:BU37"/>
    <mergeCell ref="BV37:BY37"/>
    <mergeCell ref="BZ37:CC37"/>
    <mergeCell ref="CD37:CG37"/>
    <mergeCell ref="CH37:CK37"/>
    <mergeCell ref="CL37:CO37"/>
    <mergeCell ref="CP37:CS37"/>
    <mergeCell ref="CT37:CW37"/>
    <mergeCell ref="CD36:CG36"/>
    <mergeCell ref="CH36:CK36"/>
    <mergeCell ref="CL36:CO36"/>
    <mergeCell ref="BN36:BQ36"/>
    <mergeCell ref="BR36:BU36"/>
    <mergeCell ref="BV36:BY36"/>
    <mergeCell ref="BZ36:CC36"/>
    <mergeCell ref="BN35:BQ35"/>
    <mergeCell ref="BR35:BU35"/>
    <mergeCell ref="BB43:BE43"/>
    <mergeCell ref="CT29:CW29"/>
    <mergeCell ref="BN32:BQ32"/>
    <mergeCell ref="BR32:BU32"/>
    <mergeCell ref="BV32:BY32"/>
    <mergeCell ref="BZ32:CC32"/>
    <mergeCell ref="CD32:CG32"/>
    <mergeCell ref="CH32:CK32"/>
    <mergeCell ref="CL32:CO32"/>
    <mergeCell ref="CP32:CS32"/>
    <mergeCell ref="CT32:CW32"/>
    <mergeCell ref="BN29:BQ29"/>
    <mergeCell ref="BR29:BU29"/>
    <mergeCell ref="BV29:BY29"/>
    <mergeCell ref="BZ29:CC29"/>
    <mergeCell ref="CD29:CG29"/>
    <mergeCell ref="CH29:CK29"/>
    <mergeCell ref="CL29:CO29"/>
    <mergeCell ref="CP29:CS29"/>
    <mergeCell ref="AT48:AW48"/>
    <mergeCell ref="AX48:BA48"/>
    <mergeCell ref="BB48:BE48"/>
    <mergeCell ref="BF48:BI48"/>
    <mergeCell ref="BJ48:BM48"/>
    <mergeCell ref="BN47:BQ47"/>
    <mergeCell ref="BR47:BU47"/>
    <mergeCell ref="AT47:AW47"/>
    <mergeCell ref="AX47:BA47"/>
    <mergeCell ref="BB47:BE47"/>
    <mergeCell ref="BF47:BI47"/>
    <mergeCell ref="AH48:AK48"/>
    <mergeCell ref="J47:M47"/>
    <mergeCell ref="N47:Q47"/>
    <mergeCell ref="R47:U47"/>
    <mergeCell ref="V47:Y47"/>
    <mergeCell ref="Z47:AC47"/>
    <mergeCell ref="AD47:AG47"/>
    <mergeCell ref="AP43:AS43"/>
    <mergeCell ref="AP40:AS40"/>
    <mergeCell ref="AP47:AS47"/>
    <mergeCell ref="J32:M32"/>
    <mergeCell ref="N32:Q32"/>
    <mergeCell ref="R32:U32"/>
    <mergeCell ref="V32:Y32"/>
    <mergeCell ref="Z32:AC32"/>
    <mergeCell ref="AD32:AG32"/>
    <mergeCell ref="AL48:AO48"/>
    <mergeCell ref="AP48:AS48"/>
    <mergeCell ref="AH43:AK43"/>
    <mergeCell ref="J40:M40"/>
    <mergeCell ref="N40:Q40"/>
    <mergeCell ref="R40:U40"/>
    <mergeCell ref="V40:Y40"/>
    <mergeCell ref="Z40:AC40"/>
    <mergeCell ref="AD40:AG40"/>
    <mergeCell ref="AH47:AK47"/>
    <mergeCell ref="AL47:AO47"/>
    <mergeCell ref="AL43:AO43"/>
    <mergeCell ref="J48:M48"/>
    <mergeCell ref="N48:Q48"/>
    <mergeCell ref="R48:U48"/>
    <mergeCell ref="V48:Y48"/>
    <mergeCell ref="Z48:AC48"/>
    <mergeCell ref="AD48:AG48"/>
    <mergeCell ref="J29:M29"/>
    <mergeCell ref="N29:Q29"/>
    <mergeCell ref="R29:U29"/>
    <mergeCell ref="V29:Y29"/>
    <mergeCell ref="Z29:AC29"/>
    <mergeCell ref="AD29:AG29"/>
    <mergeCell ref="AH29:AK29"/>
    <mergeCell ref="AL29:AO29"/>
    <mergeCell ref="EL21:EO21"/>
    <mergeCell ref="DF22:DI22"/>
    <mergeCell ref="DJ22:DM22"/>
    <mergeCell ref="DN22:DQ22"/>
    <mergeCell ref="DR22:DU22"/>
    <mergeCell ref="DV22:DY22"/>
    <mergeCell ref="DZ22:EC22"/>
    <mergeCell ref="ED22:EG22"/>
    <mergeCell ref="EH22:EK22"/>
    <mergeCell ref="EL22:EO22"/>
    <mergeCell ref="DF21:DI21"/>
    <mergeCell ref="DJ21:DM21"/>
    <mergeCell ref="DN21:DQ21"/>
    <mergeCell ref="DR21:DU21"/>
    <mergeCell ref="DV21:DY21"/>
    <mergeCell ref="R21:U21"/>
    <mergeCell ref="DF11:DI11"/>
    <mergeCell ref="DJ11:DM11"/>
    <mergeCell ref="DN11:DQ11"/>
    <mergeCell ref="DR11:DU11"/>
    <mergeCell ref="DV11:DY11"/>
    <mergeCell ref="DZ11:EC11"/>
    <mergeCell ref="ED11:EG11"/>
    <mergeCell ref="EH11:EK11"/>
    <mergeCell ref="EL11:EO11"/>
    <mergeCell ref="DF7:DI7"/>
    <mergeCell ref="DJ7:DM7"/>
    <mergeCell ref="DN7:DQ7"/>
    <mergeCell ref="DR7:DU7"/>
    <mergeCell ref="DV7:DY7"/>
    <mergeCell ref="DZ7:EC7"/>
    <mergeCell ref="ED7:EG7"/>
    <mergeCell ref="EH7:EK7"/>
    <mergeCell ref="EL7:EO7"/>
    <mergeCell ref="AP18:AS18"/>
    <mergeCell ref="AP21:AS21"/>
    <mergeCell ref="AP22:AS22"/>
    <mergeCell ref="AP23:AS23"/>
    <mergeCell ref="AP4:AS4"/>
    <mergeCell ref="AP7:AS7"/>
    <mergeCell ref="AP10:AS10"/>
    <mergeCell ref="AP11:AS11"/>
    <mergeCell ref="AP12:AS12"/>
    <mergeCell ref="AP15:AS15"/>
    <mergeCell ref="V21:Y21"/>
    <mergeCell ref="Z21:AC21"/>
    <mergeCell ref="AD21:AG21"/>
    <mergeCell ref="AH21:AK21"/>
    <mergeCell ref="AL21:AO21"/>
    <mergeCell ref="Z22:AC22"/>
    <mergeCell ref="AD22:AG22"/>
    <mergeCell ref="AH22:AK22"/>
    <mergeCell ref="AL22:AO22"/>
    <mergeCell ref="Z10:AC10"/>
    <mergeCell ref="AD10:AG10"/>
    <mergeCell ref="AH10:AK10"/>
    <mergeCell ref="AL10:AO10"/>
    <mergeCell ref="R11:U11"/>
    <mergeCell ref="V11:Y11"/>
    <mergeCell ref="Z11:AC11"/>
    <mergeCell ref="AD11:AG11"/>
    <mergeCell ref="AH11:AK11"/>
    <mergeCell ref="AL11:AO11"/>
    <mergeCell ref="AD4:AG4"/>
    <mergeCell ref="AH4:AK4"/>
    <mergeCell ref="AL4:AO4"/>
    <mergeCell ref="R7:U7"/>
    <mergeCell ref="V7:Y7"/>
    <mergeCell ref="Z7:AC7"/>
    <mergeCell ref="AD7:AG7"/>
    <mergeCell ref="AH7:AK7"/>
    <mergeCell ref="AL7:AO7"/>
    <mergeCell ref="F46:I46"/>
    <mergeCell ref="F43:I43"/>
    <mergeCell ref="AT40:AW40"/>
    <mergeCell ref="AX40:BA40"/>
    <mergeCell ref="BB40:BE40"/>
    <mergeCell ref="BF40:BI40"/>
    <mergeCell ref="BJ40:BM40"/>
    <mergeCell ref="BJ47:BM47"/>
    <mergeCell ref="F48:I48"/>
    <mergeCell ref="F47:I47"/>
    <mergeCell ref="AP46:AS46"/>
    <mergeCell ref="AT46:AW46"/>
    <mergeCell ref="AX46:BA46"/>
    <mergeCell ref="BB46:BE46"/>
    <mergeCell ref="BF46:BI46"/>
    <mergeCell ref="BJ46:BM46"/>
    <mergeCell ref="J46:M46"/>
    <mergeCell ref="N46:Q46"/>
    <mergeCell ref="R46:U46"/>
    <mergeCell ref="V46:Y46"/>
    <mergeCell ref="Z46:AC46"/>
    <mergeCell ref="AD46:AG46"/>
    <mergeCell ref="AH46:AK46"/>
    <mergeCell ref="AL46:AO46"/>
    <mergeCell ref="BF43:BI43"/>
    <mergeCell ref="BJ43:BM43"/>
    <mergeCell ref="J37:M37"/>
    <mergeCell ref="N37:Q37"/>
    <mergeCell ref="R37:U37"/>
    <mergeCell ref="V37:Y37"/>
    <mergeCell ref="Z37:AC37"/>
    <mergeCell ref="AD37:AG37"/>
    <mergeCell ref="AH37:AK37"/>
    <mergeCell ref="AH40:AK40"/>
    <mergeCell ref="AL40:AO40"/>
    <mergeCell ref="J43:M43"/>
    <mergeCell ref="N43:Q43"/>
    <mergeCell ref="R43:U43"/>
    <mergeCell ref="V43:Y43"/>
    <mergeCell ref="Z43:AC43"/>
    <mergeCell ref="AD43:AG43"/>
    <mergeCell ref="AT37:AW37"/>
    <mergeCell ref="AX37:BA37"/>
    <mergeCell ref="BB37:BE37"/>
    <mergeCell ref="BF37:BI37"/>
    <mergeCell ref="BJ37:BM37"/>
    <mergeCell ref="F40:I40"/>
    <mergeCell ref="F37:I37"/>
    <mergeCell ref="AL37:AO37"/>
    <mergeCell ref="AP37:AS37"/>
    <mergeCell ref="J36:M36"/>
    <mergeCell ref="N36:Q36"/>
    <mergeCell ref="R36:U36"/>
    <mergeCell ref="V36:Y36"/>
    <mergeCell ref="AT35:AW35"/>
    <mergeCell ref="BF35:BI35"/>
    <mergeCell ref="BJ35:BM35"/>
    <mergeCell ref="J35:M35"/>
    <mergeCell ref="N35:Q35"/>
    <mergeCell ref="R35:U35"/>
    <mergeCell ref="V35:Y35"/>
    <mergeCell ref="Z35:AC35"/>
    <mergeCell ref="AD35:AG35"/>
    <mergeCell ref="AH35:AK35"/>
    <mergeCell ref="BF29:BI29"/>
    <mergeCell ref="BJ29:BM29"/>
    <mergeCell ref="F32:I32"/>
    <mergeCell ref="F29:I29"/>
    <mergeCell ref="AP29:AS29"/>
    <mergeCell ref="BZ35:CC35"/>
    <mergeCell ref="CD35:CG35"/>
    <mergeCell ref="CH35:CK35"/>
    <mergeCell ref="F36:I36"/>
    <mergeCell ref="F35:I35"/>
    <mergeCell ref="AL35:AO35"/>
    <mergeCell ref="AP35:AS35"/>
    <mergeCell ref="AT32:AW32"/>
    <mergeCell ref="AX32:BA32"/>
    <mergeCell ref="BB32:BE32"/>
    <mergeCell ref="BF32:BI32"/>
    <mergeCell ref="BJ32:BM32"/>
    <mergeCell ref="AT36:AW36"/>
    <mergeCell ref="AX36:BA36"/>
    <mergeCell ref="BB36:BE36"/>
    <mergeCell ref="BF36:BI36"/>
    <mergeCell ref="BJ36:BM36"/>
    <mergeCell ref="AH36:AK36"/>
    <mergeCell ref="AL36:AO36"/>
    <mergeCell ref="Z23:AC23"/>
    <mergeCell ref="AD23:AG23"/>
    <mergeCell ref="AH23:AK23"/>
    <mergeCell ref="AL23:AO23"/>
    <mergeCell ref="Z36:AC36"/>
    <mergeCell ref="AD36:AG36"/>
    <mergeCell ref="AT29:AW29"/>
    <mergeCell ref="AX29:BA29"/>
    <mergeCell ref="BB29:BE29"/>
    <mergeCell ref="AP36:AS36"/>
    <mergeCell ref="AH32:AK32"/>
    <mergeCell ref="AL32:AO32"/>
    <mergeCell ref="AP32:AS32"/>
    <mergeCell ref="AX35:BA35"/>
    <mergeCell ref="BB35:BE35"/>
    <mergeCell ref="N23:Q23"/>
    <mergeCell ref="R22:U22"/>
    <mergeCell ref="V22:Y22"/>
    <mergeCell ref="CT23:CW23"/>
    <mergeCell ref="DB23:DE23"/>
    <mergeCell ref="DF23:DI23"/>
    <mergeCell ref="DJ23:DM23"/>
    <mergeCell ref="DN23:DQ23"/>
    <mergeCell ref="DR23:DU23"/>
    <mergeCell ref="BR23:BU23"/>
    <mergeCell ref="BV23:BY23"/>
    <mergeCell ref="BZ23:CC23"/>
    <mergeCell ref="CD23:CG23"/>
    <mergeCell ref="CH23:CK23"/>
    <mergeCell ref="CL23:CO23"/>
    <mergeCell ref="CP23:CS23"/>
    <mergeCell ref="AT23:AW23"/>
    <mergeCell ref="AX23:BA23"/>
    <mergeCell ref="BB23:BE23"/>
    <mergeCell ref="BF23:BI23"/>
    <mergeCell ref="BJ23:BM23"/>
    <mergeCell ref="BN23:BQ23"/>
    <mergeCell ref="R23:U23"/>
    <mergeCell ref="V23:Y23"/>
    <mergeCell ref="BZ21:CC21"/>
    <mergeCell ref="CD21:CG21"/>
    <mergeCell ref="CH21:CK21"/>
    <mergeCell ref="CL21:CO21"/>
    <mergeCell ref="CT22:CW22"/>
    <mergeCell ref="DB22:DE22"/>
    <mergeCell ref="F23:I23"/>
    <mergeCell ref="J23:M23"/>
    <mergeCell ref="BV22:BY22"/>
    <mergeCell ref="BZ22:CC22"/>
    <mergeCell ref="CD22:CG22"/>
    <mergeCell ref="CH22:CK22"/>
    <mergeCell ref="CL22:CO22"/>
    <mergeCell ref="CP22:CS22"/>
    <mergeCell ref="AX22:BA22"/>
    <mergeCell ref="BB22:BE22"/>
    <mergeCell ref="BF22:BI22"/>
    <mergeCell ref="BJ22:BM22"/>
    <mergeCell ref="BN22:BQ22"/>
    <mergeCell ref="BR22:BU22"/>
    <mergeCell ref="F22:I22"/>
    <mergeCell ref="J22:M22"/>
    <mergeCell ref="AT22:AW22"/>
    <mergeCell ref="N22:Q22"/>
    <mergeCell ref="CT18:CW18"/>
    <mergeCell ref="DB18:DE18"/>
    <mergeCell ref="F21:I21"/>
    <mergeCell ref="J21:M21"/>
    <mergeCell ref="BV18:BY18"/>
    <mergeCell ref="BZ18:CC18"/>
    <mergeCell ref="CD18:CG18"/>
    <mergeCell ref="CH18:CK18"/>
    <mergeCell ref="CL18:CO18"/>
    <mergeCell ref="CP18:CS18"/>
    <mergeCell ref="AX18:BA18"/>
    <mergeCell ref="BB18:BE18"/>
    <mergeCell ref="BF18:BI18"/>
    <mergeCell ref="BJ18:BM18"/>
    <mergeCell ref="BN18:BQ18"/>
    <mergeCell ref="BR18:BU18"/>
    <mergeCell ref="F18:I18"/>
    <mergeCell ref="J18:M18"/>
    <mergeCell ref="CP21:CS21"/>
    <mergeCell ref="CT21:CW21"/>
    <mergeCell ref="DB21:DE21"/>
    <mergeCell ref="CX21:DA21"/>
    <mergeCell ref="BR21:BU21"/>
    <mergeCell ref="BV21:BY21"/>
    <mergeCell ref="AX15:BA15"/>
    <mergeCell ref="BB15:BE15"/>
    <mergeCell ref="BF15:BI15"/>
    <mergeCell ref="BJ15:BM15"/>
    <mergeCell ref="BN15:BQ15"/>
    <mergeCell ref="AT21:AW21"/>
    <mergeCell ref="AX21:BA21"/>
    <mergeCell ref="BB21:BE21"/>
    <mergeCell ref="BF21:BI21"/>
    <mergeCell ref="BJ21:BM21"/>
    <mergeCell ref="BN21:BQ21"/>
    <mergeCell ref="CP15:CS15"/>
    <mergeCell ref="CT15:CW15"/>
    <mergeCell ref="DB15:DE15"/>
    <mergeCell ref="BR15:BU15"/>
    <mergeCell ref="BV15:BY15"/>
    <mergeCell ref="BZ15:CC15"/>
    <mergeCell ref="CD15:CG15"/>
    <mergeCell ref="CH15:CK15"/>
    <mergeCell ref="CL15:CO15"/>
    <mergeCell ref="N12:Q12"/>
    <mergeCell ref="N15:Q15"/>
    <mergeCell ref="R12:U12"/>
    <mergeCell ref="V12:Y12"/>
    <mergeCell ref="AT18:AW18"/>
    <mergeCell ref="N18:Q18"/>
    <mergeCell ref="N21:Q21"/>
    <mergeCell ref="R18:U18"/>
    <mergeCell ref="V18:Y18"/>
    <mergeCell ref="AT15:AW15"/>
    <mergeCell ref="Z12:AC12"/>
    <mergeCell ref="AD12:AG12"/>
    <mergeCell ref="AH12:AK12"/>
    <mergeCell ref="AL12:AO12"/>
    <mergeCell ref="R15:U15"/>
    <mergeCell ref="V15:Y15"/>
    <mergeCell ref="Z15:AC15"/>
    <mergeCell ref="AD15:AG15"/>
    <mergeCell ref="AH15:AK15"/>
    <mergeCell ref="AL15:AO15"/>
    <mergeCell ref="Z18:AC18"/>
    <mergeCell ref="AD18:AG18"/>
    <mergeCell ref="AH18:AK18"/>
    <mergeCell ref="AL18:AO18"/>
    <mergeCell ref="BV11:BY11"/>
    <mergeCell ref="BZ11:CC11"/>
    <mergeCell ref="CD11:CG11"/>
    <mergeCell ref="CH11:CK11"/>
    <mergeCell ref="CL11:CO11"/>
    <mergeCell ref="CT12:CW12"/>
    <mergeCell ref="DB12:DE12"/>
    <mergeCell ref="F15:I15"/>
    <mergeCell ref="J15:M15"/>
    <mergeCell ref="BV12:BY12"/>
    <mergeCell ref="BZ12:CC12"/>
    <mergeCell ref="CD12:CG12"/>
    <mergeCell ref="CH12:CK12"/>
    <mergeCell ref="CL12:CO12"/>
    <mergeCell ref="CP12:CS12"/>
    <mergeCell ref="AX12:BA12"/>
    <mergeCell ref="BB12:BE12"/>
    <mergeCell ref="BF12:BI12"/>
    <mergeCell ref="BJ12:BM12"/>
    <mergeCell ref="BN12:BQ12"/>
    <mergeCell ref="BR12:BU12"/>
    <mergeCell ref="F12:I12"/>
    <mergeCell ref="J12:M12"/>
    <mergeCell ref="AT12:AW12"/>
    <mergeCell ref="BJ11:BM11"/>
    <mergeCell ref="BN11:BQ11"/>
    <mergeCell ref="CT10:CW10"/>
    <mergeCell ref="DB10:DE10"/>
    <mergeCell ref="F11:I11"/>
    <mergeCell ref="J11:M11"/>
    <mergeCell ref="BV10:BY10"/>
    <mergeCell ref="BZ10:CC10"/>
    <mergeCell ref="CD10:CG10"/>
    <mergeCell ref="CH10:CK10"/>
    <mergeCell ref="CL10:CO10"/>
    <mergeCell ref="CP10:CS10"/>
    <mergeCell ref="AX10:BA10"/>
    <mergeCell ref="BB10:BE10"/>
    <mergeCell ref="BF10:BI10"/>
    <mergeCell ref="BJ10:BM10"/>
    <mergeCell ref="BN10:BQ10"/>
    <mergeCell ref="BR10:BU10"/>
    <mergeCell ref="F10:I10"/>
    <mergeCell ref="J10:M10"/>
    <mergeCell ref="CP11:CS11"/>
    <mergeCell ref="CT11:CW11"/>
    <mergeCell ref="DB11:DE11"/>
    <mergeCell ref="BR11:BU11"/>
    <mergeCell ref="AT10:AW10"/>
    <mergeCell ref="N10:Q10"/>
    <mergeCell ref="N11:Q11"/>
    <mergeCell ref="R10:U10"/>
    <mergeCell ref="V10:Y10"/>
    <mergeCell ref="CP7:CS7"/>
    <mergeCell ref="CT7:CW7"/>
    <mergeCell ref="DB7:DE7"/>
    <mergeCell ref="BR7:BU7"/>
    <mergeCell ref="BV7:BY7"/>
    <mergeCell ref="BZ7:CC7"/>
    <mergeCell ref="CD7:CG7"/>
    <mergeCell ref="CH7:CK7"/>
    <mergeCell ref="CL7:CO7"/>
    <mergeCell ref="AT7:AW7"/>
    <mergeCell ref="AX7:BA7"/>
    <mergeCell ref="BB7:BE7"/>
    <mergeCell ref="BF7:BI7"/>
    <mergeCell ref="BJ7:BM7"/>
    <mergeCell ref="BN7:BQ7"/>
    <mergeCell ref="AT11:AW11"/>
    <mergeCell ref="AX11:BA11"/>
    <mergeCell ref="BB11:BE11"/>
    <mergeCell ref="BF11:BI11"/>
    <mergeCell ref="CT4:CW4"/>
    <mergeCell ref="DB4:DE4"/>
    <mergeCell ref="F7:I7"/>
    <mergeCell ref="J7:M7"/>
    <mergeCell ref="BV4:BY4"/>
    <mergeCell ref="BZ4:CC4"/>
    <mergeCell ref="CD4:CG4"/>
    <mergeCell ref="CH4:CK4"/>
    <mergeCell ref="CL4:CO4"/>
    <mergeCell ref="CP4:CS4"/>
    <mergeCell ref="AX4:BA4"/>
    <mergeCell ref="BB4:BE4"/>
    <mergeCell ref="BF4:BI4"/>
    <mergeCell ref="BJ4:BM4"/>
    <mergeCell ref="BN4:BQ4"/>
    <mergeCell ref="BR4:BU4"/>
    <mergeCell ref="F4:I4"/>
    <mergeCell ref="J4:M4"/>
    <mergeCell ref="AT4:AW4"/>
    <mergeCell ref="N4:Q4"/>
    <mergeCell ref="N7:Q7"/>
    <mergeCell ref="R4:U4"/>
    <mergeCell ref="V4:Y4"/>
    <mergeCell ref="Z4:AC4"/>
  </mergeCells>
  <phoneticPr fontId="2" type="noConversion"/>
  <pageMargins left="0" right="0" top="0" bottom="0.74803149606299213" header="0.31496062992125984" footer="0.31496062992125984"/>
  <pageSetup paperSize="8" scale="55" orientation="landscape" r:id="rId1"/>
  <ignoredErrors>
    <ignoredError sqref="N11 BF59:BI59 AX59 BJ59:BM59 BB59 BW59:BY59 BS59:BU59 BO59:BQ59 BN59 BR59 BV59 AX71:BY72 AY70:BA70 BG70:BI70 BO70:BQ70 BW70:BY70 BC70:BE70 BK70:BM70 BS70:BU70" formula="1"/>
  </ignoredError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BCA6-A430-4C7F-AC7F-340A8F9A2BDA}">
  <sheetPr>
    <tabColor theme="1"/>
  </sheetPr>
  <dimension ref="B2:ES48"/>
  <sheetViews>
    <sheetView showGridLines="0" zoomScaleNormal="100" workbookViewId="0">
      <selection activeCell="B3" sqref="B3"/>
    </sheetView>
  </sheetViews>
  <sheetFormatPr defaultColWidth="8.6640625" defaultRowHeight="17" x14ac:dyDescent="0.45"/>
  <cols>
    <col min="1" max="1" width="8.6640625" style="118"/>
    <col min="2" max="2" width="14.33203125" style="1" bestFit="1" customWidth="1"/>
    <col min="3" max="3" width="8.58203125" style="1" bestFit="1" customWidth="1"/>
    <col min="4" max="4" width="1.83203125" style="358" customWidth="1"/>
    <col min="5" max="149" width="1.83203125" style="359" customWidth="1"/>
    <col min="150" max="16384" width="8.6640625" style="118"/>
  </cols>
  <sheetData>
    <row r="2" spans="2:149" x14ac:dyDescent="0.45">
      <c r="B2" s="348" t="s">
        <v>1206</v>
      </c>
    </row>
    <row r="3" spans="2:149" x14ac:dyDescent="0.45">
      <c r="B3" s="561" t="b">
        <f>A1=mclk_transition1!X15</f>
        <v>0</v>
      </c>
      <c r="C3" s="561">
        <f>mclk_transition1!D15</f>
        <v>393120</v>
      </c>
      <c r="D3" s="558"/>
      <c r="E3" s="559"/>
      <c r="F3" s="729">
        <v>8.0000000000000004E-4</v>
      </c>
      <c r="G3" s="729"/>
      <c r="H3" s="729"/>
      <c r="I3" s="729"/>
      <c r="J3" s="726">
        <v>2E-3</v>
      </c>
      <c r="K3" s="726"/>
      <c r="L3" s="726"/>
      <c r="M3" s="726"/>
      <c r="N3" s="726">
        <v>3.0000000000000001E-3</v>
      </c>
      <c r="O3" s="726"/>
      <c r="P3" s="726"/>
      <c r="Q3" s="726"/>
      <c r="R3" s="726">
        <v>4.0000000000000001E-3</v>
      </c>
      <c r="S3" s="726"/>
      <c r="T3" s="726"/>
      <c r="U3" s="726"/>
      <c r="V3" s="726">
        <v>5.0000000000000001E-3</v>
      </c>
      <c r="W3" s="726"/>
      <c r="X3" s="726"/>
      <c r="Y3" s="726"/>
      <c r="Z3" s="726">
        <v>6.0000000000000001E-3</v>
      </c>
      <c r="AA3" s="726"/>
      <c r="AB3" s="726"/>
      <c r="AC3" s="726"/>
      <c r="AD3" s="726">
        <v>7.0000000000000001E-3</v>
      </c>
      <c r="AE3" s="726"/>
      <c r="AF3" s="726"/>
      <c r="AG3" s="726"/>
      <c r="AH3" s="726">
        <v>8.0000000000000002E-3</v>
      </c>
      <c r="AI3" s="726"/>
      <c r="AJ3" s="726"/>
      <c r="AK3" s="726"/>
      <c r="AL3" s="727">
        <v>9.1299999999999992E-3</v>
      </c>
      <c r="AM3" s="727"/>
      <c r="AN3" s="727"/>
      <c r="AO3" s="727"/>
      <c r="AP3" s="727">
        <v>9.1299999999999992E-3</v>
      </c>
      <c r="AQ3" s="727"/>
      <c r="AR3" s="727"/>
      <c r="AS3" s="727"/>
      <c r="AT3" s="728">
        <v>9.1299999999999992E-3</v>
      </c>
      <c r="AU3" s="728"/>
      <c r="AV3" s="728"/>
      <c r="AW3" s="728"/>
      <c r="AX3" s="726">
        <f>AT3</f>
        <v>9.1299999999999992E-3</v>
      </c>
      <c r="AY3" s="726"/>
      <c r="AZ3" s="726"/>
      <c r="BA3" s="726"/>
      <c r="BB3" s="726">
        <f t="shared" ref="BB3" si="0">AX3</f>
        <v>9.1299999999999992E-3</v>
      </c>
      <c r="BC3" s="726"/>
      <c r="BD3" s="726"/>
      <c r="BE3" s="726"/>
      <c r="BF3" s="726">
        <f t="shared" ref="BF3" si="1">BB3</f>
        <v>9.1299999999999992E-3</v>
      </c>
      <c r="BG3" s="726"/>
      <c r="BH3" s="726"/>
      <c r="BI3" s="726"/>
      <c r="BJ3" s="726">
        <f t="shared" ref="BJ3" si="2">BF3</f>
        <v>9.1299999999999992E-3</v>
      </c>
      <c r="BK3" s="726"/>
      <c r="BL3" s="726"/>
      <c r="BM3" s="726"/>
      <c r="BN3" s="726">
        <f t="shared" ref="BN3" si="3">BJ3</f>
        <v>9.1299999999999992E-3</v>
      </c>
      <c r="BO3" s="726"/>
      <c r="BP3" s="726"/>
      <c r="BQ3" s="726"/>
      <c r="BR3" s="726">
        <f t="shared" ref="BR3" si="4">BN3</f>
        <v>9.1299999999999992E-3</v>
      </c>
      <c r="BS3" s="726"/>
      <c r="BT3" s="726"/>
      <c r="BU3" s="726"/>
      <c r="BV3" s="726">
        <f t="shared" ref="BV3" si="5">BR3</f>
        <v>9.1299999999999992E-3</v>
      </c>
      <c r="BW3" s="726"/>
      <c r="BX3" s="726"/>
      <c r="BY3" s="726"/>
      <c r="BZ3" s="726">
        <f t="shared" ref="BZ3" si="6">BV3</f>
        <v>9.1299999999999992E-3</v>
      </c>
      <c r="CA3" s="726"/>
      <c r="CB3" s="726"/>
      <c r="CC3" s="726"/>
      <c r="CD3" s="726">
        <f t="shared" ref="CD3" si="7">BZ3</f>
        <v>9.1299999999999992E-3</v>
      </c>
      <c r="CE3" s="726"/>
      <c r="CF3" s="726"/>
      <c r="CG3" s="726"/>
      <c r="CH3" s="726">
        <f t="shared" ref="CH3" si="8">CD3</f>
        <v>9.1299999999999992E-3</v>
      </c>
      <c r="CI3" s="726"/>
      <c r="CJ3" s="726"/>
      <c r="CK3" s="726"/>
      <c r="CL3" s="726">
        <f t="shared" ref="CL3" si="9">CH3</f>
        <v>9.1299999999999992E-3</v>
      </c>
      <c r="CM3" s="726"/>
      <c r="CN3" s="726"/>
      <c r="CO3" s="726"/>
      <c r="CP3" s="726">
        <f t="shared" ref="CP3" si="10">CL3</f>
        <v>9.1299999999999992E-3</v>
      </c>
      <c r="CQ3" s="726"/>
      <c r="CR3" s="726"/>
      <c r="CS3" s="726"/>
      <c r="CT3" s="726">
        <f t="shared" ref="CT3" si="11">CP3</f>
        <v>9.1299999999999992E-3</v>
      </c>
      <c r="CU3" s="726"/>
      <c r="CV3" s="726"/>
      <c r="CW3" s="726"/>
      <c r="CX3" s="726">
        <f t="shared" ref="CX3" si="12">CT3</f>
        <v>9.1299999999999992E-3</v>
      </c>
      <c r="CY3" s="726"/>
      <c r="CZ3" s="726"/>
      <c r="DA3" s="726"/>
      <c r="DB3" s="726">
        <f t="shared" ref="DB3" si="13">CX3</f>
        <v>9.1299999999999992E-3</v>
      </c>
      <c r="DC3" s="726"/>
      <c r="DD3" s="726"/>
      <c r="DE3" s="726"/>
      <c r="DF3" s="726">
        <f t="shared" ref="DF3" si="14">DB3</f>
        <v>9.1299999999999992E-3</v>
      </c>
      <c r="DG3" s="726"/>
      <c r="DH3" s="726"/>
      <c r="DI3" s="726"/>
      <c r="DJ3" s="726">
        <f t="shared" ref="DJ3" si="15">DF3</f>
        <v>9.1299999999999992E-3</v>
      </c>
      <c r="DK3" s="726"/>
      <c r="DL3" s="726"/>
      <c r="DM3" s="726"/>
      <c r="DN3" s="726">
        <v>8.0000000000000002E-3</v>
      </c>
      <c r="DO3" s="726"/>
      <c r="DP3" s="726"/>
      <c r="DQ3" s="726"/>
      <c r="DR3" s="726">
        <v>7.0000000000000001E-3</v>
      </c>
      <c r="DS3" s="726"/>
      <c r="DT3" s="726"/>
      <c r="DU3" s="726"/>
      <c r="DV3" s="726">
        <v>6.0000000000000001E-3</v>
      </c>
      <c r="DW3" s="726"/>
      <c r="DX3" s="726"/>
      <c r="DY3" s="726"/>
      <c r="DZ3" s="726">
        <v>5.0000000000000001E-3</v>
      </c>
      <c r="EA3" s="726"/>
      <c r="EB3" s="726"/>
      <c r="EC3" s="726"/>
      <c r="ED3" s="726">
        <v>4.0000000000000001E-3</v>
      </c>
      <c r="EE3" s="726"/>
      <c r="EF3" s="726"/>
      <c r="EG3" s="726"/>
      <c r="EH3" s="726">
        <v>3.0000000000000001E-3</v>
      </c>
      <c r="EI3" s="726"/>
      <c r="EJ3" s="726"/>
      <c r="EK3" s="726"/>
      <c r="EL3" s="726">
        <v>2E-3</v>
      </c>
      <c r="EM3" s="726"/>
      <c r="EN3" s="726"/>
      <c r="EO3" s="726"/>
      <c r="EP3" s="729">
        <v>8.0000000000000004E-4</v>
      </c>
      <c r="EQ3" s="729"/>
      <c r="ER3" s="729"/>
      <c r="ES3" s="729"/>
    </row>
    <row r="4" spans="2:149" s="5" customFormat="1" x14ac:dyDescent="0.45">
      <c r="B4" s="227" t="s">
        <v>1605</v>
      </c>
      <c r="C4" s="227" t="s">
        <v>1606</v>
      </c>
      <c r="D4" s="360"/>
      <c r="E4" s="360"/>
      <c r="F4" s="697" t="s">
        <v>1216</v>
      </c>
      <c r="G4" s="698"/>
      <c r="H4" s="698"/>
      <c r="I4" s="699"/>
      <c r="J4" s="690">
        <v>3</v>
      </c>
      <c r="K4" s="690"/>
      <c r="L4" s="690"/>
      <c r="M4" s="690"/>
      <c r="N4" s="690">
        <v>3</v>
      </c>
      <c r="O4" s="690"/>
      <c r="P4" s="690"/>
      <c r="Q4" s="690"/>
      <c r="R4" s="690">
        <v>3</v>
      </c>
      <c r="S4" s="690"/>
      <c r="T4" s="690"/>
      <c r="U4" s="690"/>
      <c r="V4" s="690">
        <v>3</v>
      </c>
      <c r="W4" s="690"/>
      <c r="X4" s="690"/>
      <c r="Y4" s="690"/>
      <c r="Z4" s="690">
        <v>3</v>
      </c>
      <c r="AA4" s="690"/>
      <c r="AB4" s="690"/>
      <c r="AC4" s="690"/>
      <c r="AD4" s="690">
        <v>3</v>
      </c>
      <c r="AE4" s="690"/>
      <c r="AF4" s="690"/>
      <c r="AG4" s="690"/>
      <c r="AH4" s="690">
        <v>3</v>
      </c>
      <c r="AI4" s="690"/>
      <c r="AJ4" s="690"/>
      <c r="AK4" s="690"/>
      <c r="AL4" s="690">
        <v>3</v>
      </c>
      <c r="AM4" s="690"/>
      <c r="AN4" s="690"/>
      <c r="AO4" s="690"/>
      <c r="AP4" s="690">
        <v>3</v>
      </c>
      <c r="AQ4" s="690"/>
      <c r="AR4" s="690"/>
      <c r="AS4" s="690"/>
      <c r="AT4" s="690">
        <v>1</v>
      </c>
      <c r="AU4" s="690"/>
      <c r="AV4" s="690"/>
      <c r="AW4" s="690"/>
      <c r="AX4" s="690">
        <v>1</v>
      </c>
      <c r="AY4" s="690"/>
      <c r="AZ4" s="690"/>
      <c r="BA4" s="690"/>
      <c r="BB4" s="690">
        <v>1</v>
      </c>
      <c r="BC4" s="690"/>
      <c r="BD4" s="690"/>
      <c r="BE4" s="690"/>
      <c r="BF4" s="690">
        <v>1</v>
      </c>
      <c r="BG4" s="690"/>
      <c r="BH4" s="690"/>
      <c r="BI4" s="690"/>
      <c r="BJ4" s="690">
        <v>1</v>
      </c>
      <c r="BK4" s="690"/>
      <c r="BL4" s="690"/>
      <c r="BM4" s="690"/>
      <c r="BN4" s="690">
        <v>1</v>
      </c>
      <c r="BO4" s="690"/>
      <c r="BP4" s="690"/>
      <c r="BQ4" s="690"/>
      <c r="BR4" s="690">
        <v>1</v>
      </c>
      <c r="BS4" s="690"/>
      <c r="BT4" s="690"/>
      <c r="BU4" s="690"/>
      <c r="BV4" s="690">
        <v>1</v>
      </c>
      <c r="BW4" s="690"/>
      <c r="BX4" s="690"/>
      <c r="BY4" s="690"/>
      <c r="BZ4" s="690">
        <v>1</v>
      </c>
      <c r="CA4" s="690"/>
      <c r="CB4" s="690"/>
      <c r="CC4" s="690"/>
      <c r="CD4" s="690">
        <v>1</v>
      </c>
      <c r="CE4" s="690"/>
      <c r="CF4" s="690"/>
      <c r="CG4" s="690"/>
      <c r="CH4" s="690">
        <v>1</v>
      </c>
      <c r="CI4" s="690"/>
      <c r="CJ4" s="690"/>
      <c r="CK4" s="690"/>
      <c r="CL4" s="690">
        <v>1</v>
      </c>
      <c r="CM4" s="690"/>
      <c r="CN4" s="690"/>
      <c r="CO4" s="690"/>
      <c r="CP4" s="690">
        <v>1</v>
      </c>
      <c r="CQ4" s="690"/>
      <c r="CR4" s="690"/>
      <c r="CS4" s="690"/>
      <c r="CT4" s="690">
        <v>1</v>
      </c>
      <c r="CU4" s="690"/>
      <c r="CV4" s="690"/>
      <c r="CW4" s="690"/>
      <c r="CX4" s="690">
        <v>1</v>
      </c>
      <c r="CY4" s="690"/>
      <c r="CZ4" s="690"/>
      <c r="DA4" s="690"/>
      <c r="DB4" s="690">
        <v>1</v>
      </c>
      <c r="DC4" s="690"/>
      <c r="DD4" s="690"/>
      <c r="DE4" s="690"/>
      <c r="DF4" s="690">
        <v>1</v>
      </c>
      <c r="DG4" s="690"/>
      <c r="DH4" s="690"/>
      <c r="DI4" s="690"/>
      <c r="DJ4" s="690">
        <v>3</v>
      </c>
      <c r="DK4" s="690"/>
      <c r="DL4" s="690"/>
      <c r="DM4" s="690"/>
      <c r="DN4" s="690">
        <v>3</v>
      </c>
      <c r="DO4" s="690"/>
      <c r="DP4" s="690"/>
      <c r="DQ4" s="690"/>
      <c r="DR4" s="690">
        <v>3</v>
      </c>
      <c r="DS4" s="690"/>
      <c r="DT4" s="690"/>
      <c r="DU4" s="690"/>
      <c r="DV4" s="690">
        <v>3</v>
      </c>
      <c r="DW4" s="690"/>
      <c r="DX4" s="690"/>
      <c r="DY4" s="690"/>
      <c r="DZ4" s="690">
        <v>3</v>
      </c>
      <c r="EA4" s="690"/>
      <c r="EB4" s="690"/>
      <c r="EC4" s="690"/>
      <c r="ED4" s="690">
        <v>3</v>
      </c>
      <c r="EE4" s="690"/>
      <c r="EF4" s="690"/>
      <c r="EG4" s="690"/>
      <c r="EH4" s="690">
        <v>3</v>
      </c>
      <c r="EI4" s="690"/>
      <c r="EJ4" s="690"/>
      <c r="EK4" s="690"/>
      <c r="EL4" s="690">
        <v>3</v>
      </c>
      <c r="EM4" s="690"/>
      <c r="EN4" s="690"/>
      <c r="EO4" s="690"/>
      <c r="EP4" s="697" t="s">
        <v>1210</v>
      </c>
      <c r="EQ4" s="698"/>
      <c r="ER4" s="698"/>
      <c r="ES4" s="699"/>
    </row>
    <row r="5" spans="2:149" x14ac:dyDescent="0.45">
      <c r="B5" s="227"/>
      <c r="C5" s="227" t="s">
        <v>13</v>
      </c>
      <c r="E5" s="361"/>
      <c r="F5" s="362"/>
      <c r="G5" s="363"/>
      <c r="H5" s="363"/>
      <c r="I5" s="363"/>
      <c r="J5" s="364"/>
      <c r="K5" s="361"/>
      <c r="L5" s="361"/>
      <c r="M5" s="361"/>
      <c r="N5" s="364"/>
      <c r="O5" s="361"/>
      <c r="P5" s="361"/>
      <c r="Q5" s="361"/>
      <c r="R5" s="364"/>
      <c r="S5" s="361"/>
      <c r="T5" s="361"/>
      <c r="U5" s="361"/>
      <c r="V5" s="364"/>
      <c r="W5" s="361"/>
      <c r="X5" s="361"/>
      <c r="Y5" s="361"/>
      <c r="Z5" s="364"/>
      <c r="AA5" s="361"/>
      <c r="AB5" s="361"/>
      <c r="AC5" s="361"/>
      <c r="AD5" s="364"/>
      <c r="AE5" s="361"/>
      <c r="AF5" s="361"/>
      <c r="AG5" s="361"/>
      <c r="AH5" s="364"/>
      <c r="AI5" s="361"/>
      <c r="AJ5" s="361"/>
      <c r="AK5" s="361"/>
      <c r="AL5" s="364"/>
      <c r="AM5" s="361"/>
      <c r="AN5" s="361"/>
      <c r="AO5" s="361"/>
      <c r="AP5" s="364"/>
      <c r="AQ5" s="361"/>
      <c r="AR5" s="361"/>
      <c r="AS5" s="361"/>
      <c r="AT5" s="364"/>
      <c r="AU5" s="361"/>
      <c r="AV5" s="361"/>
      <c r="AW5" s="361"/>
      <c r="AX5" s="364"/>
      <c r="AY5" s="361"/>
      <c r="AZ5" s="361"/>
      <c r="BA5" s="361"/>
      <c r="BB5" s="364"/>
      <c r="BC5" s="361"/>
      <c r="BD5" s="361"/>
      <c r="BE5" s="361"/>
      <c r="BF5" s="364"/>
      <c r="BG5" s="361"/>
      <c r="BH5" s="361"/>
      <c r="BI5" s="361"/>
      <c r="BJ5" s="364"/>
      <c r="BK5" s="361"/>
      <c r="BL5" s="361"/>
      <c r="BM5" s="361"/>
      <c r="BN5" s="364"/>
      <c r="BO5" s="361"/>
      <c r="BP5" s="361"/>
      <c r="BQ5" s="361"/>
      <c r="BR5" s="364"/>
      <c r="BS5" s="361"/>
      <c r="BT5" s="361"/>
      <c r="BU5" s="361"/>
      <c r="BV5" s="364"/>
      <c r="BW5" s="361"/>
      <c r="BX5" s="361"/>
      <c r="BY5" s="361"/>
      <c r="BZ5" s="364"/>
      <c r="CA5" s="361"/>
      <c r="CB5" s="361"/>
      <c r="CC5" s="361"/>
      <c r="CD5" s="364"/>
      <c r="CE5" s="361"/>
      <c r="CF5" s="361"/>
      <c r="CG5" s="361"/>
      <c r="CH5" s="364"/>
      <c r="CI5" s="361"/>
      <c r="CJ5" s="361"/>
      <c r="CK5" s="361"/>
      <c r="CL5" s="364"/>
      <c r="CM5" s="361"/>
      <c r="CN5" s="361"/>
      <c r="CO5" s="361"/>
      <c r="CP5" s="364"/>
      <c r="CQ5" s="361"/>
      <c r="CR5" s="361"/>
      <c r="CS5" s="361"/>
      <c r="CT5" s="364"/>
      <c r="CU5" s="361"/>
      <c r="CV5" s="361"/>
      <c r="CW5" s="361"/>
      <c r="CX5" s="364"/>
      <c r="CY5" s="361"/>
      <c r="CZ5" s="361"/>
      <c r="DA5" s="361"/>
      <c r="DB5" s="364"/>
      <c r="DC5" s="361"/>
      <c r="DD5" s="361"/>
      <c r="DE5" s="361"/>
      <c r="DF5" s="364"/>
      <c r="DG5" s="361"/>
      <c r="DH5" s="361"/>
      <c r="DI5" s="361"/>
      <c r="DJ5" s="364"/>
      <c r="DK5" s="361"/>
      <c r="DL5" s="361"/>
      <c r="DM5" s="361"/>
      <c r="DN5" s="364"/>
      <c r="DO5" s="361"/>
      <c r="DP5" s="361"/>
      <c r="DQ5" s="361"/>
      <c r="DR5" s="364"/>
      <c r="DS5" s="361"/>
      <c r="DT5" s="361"/>
      <c r="DU5" s="361"/>
      <c r="DV5" s="364"/>
      <c r="DW5" s="361"/>
      <c r="DX5" s="361"/>
      <c r="DY5" s="361"/>
      <c r="DZ5" s="364"/>
      <c r="EA5" s="361"/>
      <c r="EB5" s="361"/>
      <c r="EC5" s="361"/>
      <c r="ED5" s="364"/>
      <c r="EE5" s="361"/>
      <c r="EF5" s="361"/>
      <c r="EG5" s="361"/>
      <c r="EH5" s="364"/>
      <c r="EI5" s="361"/>
      <c r="EJ5" s="361"/>
      <c r="EK5" s="361"/>
      <c r="EL5" s="364"/>
      <c r="EM5" s="361"/>
      <c r="EN5" s="361"/>
      <c r="EO5" s="361"/>
      <c r="EP5" s="362"/>
      <c r="EQ5" s="363"/>
      <c r="ER5" s="363"/>
      <c r="ES5" s="365"/>
    </row>
    <row r="6" spans="2:149" x14ac:dyDescent="0.45">
      <c r="B6" s="227"/>
      <c r="C6" s="227"/>
      <c r="F6" s="366"/>
      <c r="G6" s="367"/>
      <c r="H6" s="367"/>
      <c r="I6" s="368"/>
      <c r="J6" s="369"/>
      <c r="M6" s="370"/>
      <c r="N6" s="369"/>
      <c r="Q6" s="370"/>
      <c r="R6" s="369"/>
      <c r="U6" s="370"/>
      <c r="V6" s="369"/>
      <c r="Y6" s="370"/>
      <c r="Z6" s="369"/>
      <c r="AC6" s="370"/>
      <c r="AD6" s="369"/>
      <c r="AG6" s="370"/>
      <c r="AH6" s="369"/>
      <c r="AK6" s="370"/>
      <c r="AL6" s="369"/>
      <c r="AO6" s="370"/>
      <c r="AP6" s="369"/>
      <c r="AS6" s="370"/>
      <c r="AT6" s="369"/>
      <c r="AW6" s="370"/>
      <c r="AX6" s="369"/>
      <c r="BA6" s="370"/>
      <c r="BB6" s="369"/>
      <c r="BE6" s="370"/>
      <c r="BF6" s="369"/>
      <c r="BI6" s="370"/>
      <c r="BJ6" s="369"/>
      <c r="BM6" s="370"/>
      <c r="BN6" s="369"/>
      <c r="BQ6" s="370"/>
      <c r="BR6" s="369"/>
      <c r="BU6" s="370"/>
      <c r="BV6" s="369"/>
      <c r="BY6" s="370"/>
      <c r="BZ6" s="369"/>
      <c r="CC6" s="370"/>
      <c r="CD6" s="369"/>
      <c r="CG6" s="370"/>
      <c r="CH6" s="369"/>
      <c r="CK6" s="370"/>
      <c r="CL6" s="369"/>
      <c r="CO6" s="370"/>
      <c r="CP6" s="369"/>
      <c r="CS6" s="370"/>
      <c r="CT6" s="369"/>
      <c r="CW6" s="370"/>
      <c r="CX6" s="369"/>
      <c r="DA6" s="370"/>
      <c r="DB6" s="369"/>
      <c r="DE6" s="370"/>
      <c r="DF6" s="369"/>
      <c r="DI6" s="370"/>
      <c r="DJ6" s="369"/>
      <c r="DM6" s="370"/>
      <c r="DN6" s="369"/>
      <c r="DQ6" s="370"/>
      <c r="DR6" s="369"/>
      <c r="DU6" s="370"/>
      <c r="DV6" s="369"/>
      <c r="DY6" s="370"/>
      <c r="DZ6" s="369"/>
      <c r="EC6" s="370"/>
      <c r="ED6" s="369"/>
      <c r="EG6" s="370"/>
      <c r="EH6" s="369"/>
      <c r="EK6" s="370"/>
      <c r="EL6" s="369"/>
      <c r="EP6" s="366"/>
      <c r="EQ6" s="367"/>
      <c r="ER6" s="367"/>
      <c r="ES6" s="368"/>
    </row>
    <row r="7" spans="2:149" x14ac:dyDescent="0.45">
      <c r="B7" s="227" t="s">
        <v>3</v>
      </c>
      <c r="C7" s="227" t="s">
        <v>1200</v>
      </c>
      <c r="F7" s="691">
        <v>120</v>
      </c>
      <c r="G7" s="692"/>
      <c r="H7" s="692"/>
      <c r="I7" s="693"/>
      <c r="J7" s="694">
        <f>F7</f>
        <v>120</v>
      </c>
      <c r="K7" s="695"/>
      <c r="L7" s="695"/>
      <c r="M7" s="696"/>
      <c r="N7" s="694">
        <f>J7</f>
        <v>120</v>
      </c>
      <c r="O7" s="695"/>
      <c r="P7" s="695"/>
      <c r="Q7" s="696"/>
      <c r="R7" s="694">
        <f t="shared" ref="R7" si="16">N7</f>
        <v>120</v>
      </c>
      <c r="S7" s="695"/>
      <c r="T7" s="695"/>
      <c r="U7" s="696"/>
      <c r="V7" s="694">
        <f t="shared" ref="V7" si="17">R7</f>
        <v>120</v>
      </c>
      <c r="W7" s="695"/>
      <c r="X7" s="695"/>
      <c r="Y7" s="696"/>
      <c r="Z7" s="694">
        <f t="shared" ref="Z7" si="18">V7</f>
        <v>120</v>
      </c>
      <c r="AA7" s="695"/>
      <c r="AB7" s="695"/>
      <c r="AC7" s="696"/>
      <c r="AD7" s="694">
        <f t="shared" ref="AD7" si="19">Z7</f>
        <v>120</v>
      </c>
      <c r="AE7" s="695"/>
      <c r="AF7" s="695"/>
      <c r="AG7" s="696"/>
      <c r="AH7" s="694">
        <f t="shared" ref="AH7" si="20">AD7</f>
        <v>120</v>
      </c>
      <c r="AI7" s="695"/>
      <c r="AJ7" s="695"/>
      <c r="AK7" s="696"/>
      <c r="AL7" s="694">
        <f t="shared" ref="AL7" si="21">AH7</f>
        <v>120</v>
      </c>
      <c r="AM7" s="695"/>
      <c r="AN7" s="695"/>
      <c r="AO7" s="696"/>
      <c r="AP7" s="694">
        <f t="shared" ref="AP7" si="22">AL7</f>
        <v>120</v>
      </c>
      <c r="AQ7" s="695"/>
      <c r="AR7" s="695"/>
      <c r="AS7" s="696"/>
      <c r="AT7" s="694">
        <f t="shared" ref="AT7" si="23">AP7</f>
        <v>120</v>
      </c>
      <c r="AU7" s="695"/>
      <c r="AV7" s="695"/>
      <c r="AW7" s="696"/>
      <c r="AX7" s="708">
        <f>AT7-1.25</f>
        <v>118.75</v>
      </c>
      <c r="AY7" s="709"/>
      <c r="AZ7" s="709"/>
      <c r="BA7" s="710"/>
      <c r="BB7" s="708">
        <f>AX7-1.25</f>
        <v>117.5</v>
      </c>
      <c r="BC7" s="709"/>
      <c r="BD7" s="709"/>
      <c r="BE7" s="710"/>
      <c r="BF7" s="708">
        <f>BB7-1.25</f>
        <v>116.25</v>
      </c>
      <c r="BG7" s="709"/>
      <c r="BH7" s="709"/>
      <c r="BI7" s="710"/>
      <c r="BJ7" s="708">
        <f>BF7-1.25</f>
        <v>115</v>
      </c>
      <c r="BK7" s="709"/>
      <c r="BL7" s="709"/>
      <c r="BM7" s="710"/>
      <c r="BN7" s="708">
        <f>BJ7-1.25</f>
        <v>113.75</v>
      </c>
      <c r="BO7" s="709"/>
      <c r="BP7" s="709"/>
      <c r="BQ7" s="710"/>
      <c r="BR7" s="708">
        <f>BN7-1.25</f>
        <v>112.5</v>
      </c>
      <c r="BS7" s="709"/>
      <c r="BT7" s="709"/>
      <c r="BU7" s="710"/>
      <c r="BV7" s="708">
        <f>BR7-1.25</f>
        <v>111.25</v>
      </c>
      <c r="BW7" s="709"/>
      <c r="BX7" s="709"/>
      <c r="BY7" s="710"/>
      <c r="BZ7" s="708">
        <f>BV7-1.25</f>
        <v>110</v>
      </c>
      <c r="CA7" s="709"/>
      <c r="CB7" s="709"/>
      <c r="CC7" s="710"/>
      <c r="CD7" s="708">
        <f>BZ7-1.25</f>
        <v>108.75</v>
      </c>
      <c r="CE7" s="709"/>
      <c r="CF7" s="709"/>
      <c r="CG7" s="710"/>
      <c r="CH7" s="708">
        <f>CD7-1.25</f>
        <v>107.5</v>
      </c>
      <c r="CI7" s="709"/>
      <c r="CJ7" s="709"/>
      <c r="CK7" s="710"/>
      <c r="CL7" s="708">
        <f>CH7-1.25</f>
        <v>106.25</v>
      </c>
      <c r="CM7" s="709"/>
      <c r="CN7" s="709"/>
      <c r="CO7" s="710"/>
      <c r="CP7" s="708">
        <f>CL7-1.25</f>
        <v>105</v>
      </c>
      <c r="CQ7" s="709"/>
      <c r="CR7" s="709"/>
      <c r="CS7" s="710"/>
      <c r="CT7" s="708">
        <f>CP7-1.25</f>
        <v>103.75</v>
      </c>
      <c r="CU7" s="709"/>
      <c r="CV7" s="709"/>
      <c r="CW7" s="710"/>
      <c r="CX7" s="708">
        <f>CT7-1.25</f>
        <v>102.5</v>
      </c>
      <c r="CY7" s="709"/>
      <c r="CZ7" s="709"/>
      <c r="DA7" s="710"/>
      <c r="DB7" s="708">
        <f>CX7-1.25</f>
        <v>101.25</v>
      </c>
      <c r="DC7" s="709"/>
      <c r="DD7" s="709"/>
      <c r="DE7" s="710"/>
      <c r="DF7" s="694">
        <f>DB7-1.25</f>
        <v>100</v>
      </c>
      <c r="DG7" s="695"/>
      <c r="DH7" s="695"/>
      <c r="DI7" s="696"/>
      <c r="DJ7" s="694">
        <f>DF7</f>
        <v>100</v>
      </c>
      <c r="DK7" s="695"/>
      <c r="DL7" s="695"/>
      <c r="DM7" s="696"/>
      <c r="DN7" s="694">
        <f>DJ7</f>
        <v>100</v>
      </c>
      <c r="DO7" s="695"/>
      <c r="DP7" s="695"/>
      <c r="DQ7" s="696"/>
      <c r="DR7" s="694">
        <f t="shared" ref="DR7" si="24">DN7</f>
        <v>100</v>
      </c>
      <c r="DS7" s="695"/>
      <c r="DT7" s="695"/>
      <c r="DU7" s="696"/>
      <c r="DV7" s="694">
        <f t="shared" ref="DV7" si="25">DR7</f>
        <v>100</v>
      </c>
      <c r="DW7" s="695"/>
      <c r="DX7" s="695"/>
      <c r="DY7" s="696"/>
      <c r="DZ7" s="694">
        <f t="shared" ref="DZ7" si="26">DV7</f>
        <v>100</v>
      </c>
      <c r="EA7" s="695"/>
      <c r="EB7" s="695"/>
      <c r="EC7" s="696"/>
      <c r="ED7" s="694">
        <f t="shared" ref="ED7" si="27">DZ7</f>
        <v>100</v>
      </c>
      <c r="EE7" s="695"/>
      <c r="EF7" s="695"/>
      <c r="EG7" s="696"/>
      <c r="EH7" s="694">
        <f t="shared" ref="EH7" si="28">ED7</f>
        <v>100</v>
      </c>
      <c r="EI7" s="695"/>
      <c r="EJ7" s="695"/>
      <c r="EK7" s="696"/>
      <c r="EL7" s="694">
        <f t="shared" ref="EL7" si="29">EH7</f>
        <v>100</v>
      </c>
      <c r="EM7" s="695"/>
      <c r="EN7" s="695"/>
      <c r="EO7" s="695"/>
      <c r="EP7" s="691">
        <f t="shared" ref="EP7" si="30">EL7</f>
        <v>100</v>
      </c>
      <c r="EQ7" s="692"/>
      <c r="ER7" s="692"/>
      <c r="ES7" s="693"/>
    </row>
    <row r="8" spans="2:149" x14ac:dyDescent="0.45">
      <c r="B8" s="227"/>
      <c r="C8" s="227"/>
      <c r="F8" s="371"/>
      <c r="G8" s="372"/>
      <c r="H8" s="372"/>
      <c r="I8" s="373"/>
      <c r="J8" s="374"/>
      <c r="K8" s="375"/>
      <c r="L8" s="375"/>
      <c r="M8" s="376"/>
      <c r="N8" s="374"/>
      <c r="O8" s="375"/>
      <c r="P8" s="375"/>
      <c r="Q8" s="376"/>
      <c r="R8" s="374"/>
      <c r="S8" s="375"/>
      <c r="T8" s="375"/>
      <c r="U8" s="376"/>
      <c r="V8" s="374"/>
      <c r="W8" s="375"/>
      <c r="X8" s="375"/>
      <c r="Y8" s="376"/>
      <c r="Z8" s="374"/>
      <c r="AA8" s="375"/>
      <c r="AB8" s="375"/>
      <c r="AC8" s="376"/>
      <c r="AD8" s="374"/>
      <c r="AE8" s="375"/>
      <c r="AF8" s="375"/>
      <c r="AG8" s="376"/>
      <c r="AH8" s="374"/>
      <c r="AI8" s="375"/>
      <c r="AJ8" s="375"/>
      <c r="AK8" s="376"/>
      <c r="AL8" s="374"/>
      <c r="AM8" s="375"/>
      <c r="AN8" s="375"/>
      <c r="AO8" s="376"/>
      <c r="AP8" s="374"/>
      <c r="AQ8" s="375"/>
      <c r="AR8" s="375"/>
      <c r="AS8" s="376"/>
      <c r="AT8" s="374"/>
      <c r="AU8" s="375"/>
      <c r="AV8" s="375"/>
      <c r="AW8" s="376"/>
      <c r="AX8" s="374"/>
      <c r="AY8" s="375"/>
      <c r="AZ8" s="375"/>
      <c r="BA8" s="376"/>
      <c r="BB8" s="374"/>
      <c r="BC8" s="375"/>
      <c r="BD8" s="375"/>
      <c r="BE8" s="376"/>
      <c r="BF8" s="374"/>
      <c r="BG8" s="375"/>
      <c r="BH8" s="375"/>
      <c r="BI8" s="376"/>
      <c r="BJ8" s="374"/>
      <c r="BK8" s="375"/>
      <c r="BL8" s="375"/>
      <c r="BM8" s="376"/>
      <c r="BN8" s="374"/>
      <c r="BO8" s="375"/>
      <c r="BP8" s="375"/>
      <c r="BQ8" s="376"/>
      <c r="BR8" s="374"/>
      <c r="BS8" s="375"/>
      <c r="BT8" s="375"/>
      <c r="BU8" s="376"/>
      <c r="BV8" s="374"/>
      <c r="BW8" s="375"/>
      <c r="BX8" s="375"/>
      <c r="BY8" s="376"/>
      <c r="BZ8" s="374"/>
      <c r="CA8" s="375"/>
      <c r="CB8" s="375"/>
      <c r="CC8" s="376"/>
      <c r="CD8" s="374"/>
      <c r="CE8" s="375"/>
      <c r="CF8" s="375"/>
      <c r="CG8" s="376"/>
      <c r="CH8" s="374"/>
      <c r="CI8" s="375"/>
      <c r="CJ8" s="375"/>
      <c r="CK8" s="376"/>
      <c r="CL8" s="374"/>
      <c r="CM8" s="375"/>
      <c r="CN8" s="375"/>
      <c r="CO8" s="376"/>
      <c r="CP8" s="374"/>
      <c r="CQ8" s="375"/>
      <c r="CR8" s="375"/>
      <c r="CS8" s="376"/>
      <c r="CT8" s="374"/>
      <c r="CU8" s="375"/>
      <c r="CV8" s="375"/>
      <c r="CW8" s="376"/>
      <c r="CX8" s="374"/>
      <c r="CY8" s="375"/>
      <c r="CZ8" s="375"/>
      <c r="DA8" s="376"/>
      <c r="DB8" s="374"/>
      <c r="DC8" s="375"/>
      <c r="DD8" s="375"/>
      <c r="DE8" s="376"/>
      <c r="DF8" s="374"/>
      <c r="DG8" s="375"/>
      <c r="DH8" s="375"/>
      <c r="DI8" s="376"/>
      <c r="DJ8" s="374"/>
      <c r="DK8" s="375"/>
      <c r="DL8" s="375"/>
      <c r="DM8" s="376"/>
      <c r="DN8" s="374"/>
      <c r="DO8" s="375"/>
      <c r="DP8" s="375"/>
      <c r="DQ8" s="376"/>
      <c r="DR8" s="374"/>
      <c r="DS8" s="375"/>
      <c r="DT8" s="375"/>
      <c r="DU8" s="376"/>
      <c r="DV8" s="374"/>
      <c r="DW8" s="375"/>
      <c r="DX8" s="375"/>
      <c r="DY8" s="376"/>
      <c r="DZ8" s="374"/>
      <c r="EA8" s="375"/>
      <c r="EB8" s="375"/>
      <c r="EC8" s="376"/>
      <c r="ED8" s="374"/>
      <c r="EE8" s="375"/>
      <c r="EF8" s="375"/>
      <c r="EG8" s="376"/>
      <c r="EH8" s="374"/>
      <c r="EI8" s="375"/>
      <c r="EJ8" s="375"/>
      <c r="EK8" s="376"/>
      <c r="EL8" s="374"/>
      <c r="EM8" s="375"/>
      <c r="EN8" s="375"/>
      <c r="EO8" s="375"/>
      <c r="EP8" s="371"/>
      <c r="EQ8" s="372"/>
      <c r="ER8" s="372"/>
      <c r="ES8" s="373"/>
    </row>
    <row r="9" spans="2:149" x14ac:dyDescent="0.45">
      <c r="B9" s="356" t="s">
        <v>1213</v>
      </c>
      <c r="C9" s="356" t="s">
        <v>1214</v>
      </c>
      <c r="F9" s="371"/>
      <c r="G9" s="372"/>
      <c r="H9" s="372"/>
      <c r="I9" s="373"/>
      <c r="J9" s="374"/>
      <c r="K9" s="375"/>
      <c r="L9" s="375"/>
      <c r="M9" s="376"/>
      <c r="N9" s="374"/>
      <c r="O9" s="375"/>
      <c r="P9" s="375"/>
      <c r="Q9" s="376"/>
      <c r="R9" s="374"/>
      <c r="S9" s="375"/>
      <c r="T9" s="375"/>
      <c r="U9" s="376"/>
      <c r="V9" s="374"/>
      <c r="W9" s="375"/>
      <c r="X9" s="375"/>
      <c r="Y9" s="376"/>
      <c r="Z9" s="374"/>
      <c r="AA9" s="375"/>
      <c r="AB9" s="375"/>
      <c r="AC9" s="376"/>
      <c r="AD9" s="374"/>
      <c r="AE9" s="375"/>
      <c r="AF9" s="375"/>
      <c r="AG9" s="376"/>
      <c r="AH9" s="374"/>
      <c r="AI9" s="375"/>
      <c r="AJ9" s="375"/>
      <c r="AK9" s="376"/>
      <c r="AL9" s="374"/>
      <c r="AM9" s="375"/>
      <c r="AN9" s="375"/>
      <c r="AO9" s="376"/>
      <c r="AP9" s="374"/>
      <c r="AQ9" s="375"/>
      <c r="AR9" s="375"/>
      <c r="AS9" s="376"/>
      <c r="AT9" s="374"/>
      <c r="AU9" s="375"/>
      <c r="AV9" s="375"/>
      <c r="AW9" s="376"/>
      <c r="AX9" s="374"/>
      <c r="AY9" s="375"/>
      <c r="AZ9" s="375"/>
      <c r="BA9" s="376"/>
      <c r="BB9" s="374"/>
      <c r="BC9" s="375"/>
      <c r="BD9" s="375"/>
      <c r="BE9" s="376"/>
      <c r="BF9" s="374"/>
      <c r="BG9" s="375"/>
      <c r="BH9" s="375"/>
      <c r="BI9" s="376"/>
      <c r="BJ9" s="374"/>
      <c r="BK9" s="375"/>
      <c r="BL9" s="375"/>
      <c r="BM9" s="376"/>
      <c r="BN9" s="374"/>
      <c r="BO9" s="375"/>
      <c r="BP9" s="375"/>
      <c r="BQ9" s="376"/>
      <c r="BR9" s="374"/>
      <c r="BS9" s="375"/>
      <c r="BT9" s="375"/>
      <c r="BU9" s="376"/>
      <c r="BV9" s="374"/>
      <c r="BW9" s="375"/>
      <c r="BX9" s="375"/>
      <c r="BY9" s="376"/>
      <c r="BZ9" s="374"/>
      <c r="CA9" s="375"/>
      <c r="CB9" s="375"/>
      <c r="CC9" s="376"/>
      <c r="CD9" s="374"/>
      <c r="CE9" s="375"/>
      <c r="CF9" s="375"/>
      <c r="CG9" s="376"/>
      <c r="CH9" s="374"/>
      <c r="CI9" s="375"/>
      <c r="CJ9" s="375"/>
      <c r="CK9" s="376"/>
      <c r="CL9" s="374"/>
      <c r="CM9" s="375"/>
      <c r="CN9" s="375"/>
      <c r="CO9" s="376"/>
      <c r="CP9" s="374"/>
      <c r="CQ9" s="375"/>
      <c r="CR9" s="375"/>
      <c r="CS9" s="376"/>
      <c r="CT9" s="374"/>
      <c r="CU9" s="375"/>
      <c r="CV9" s="375"/>
      <c r="CW9" s="376"/>
      <c r="CX9" s="374"/>
      <c r="CY9" s="375"/>
      <c r="CZ9" s="375"/>
      <c r="DA9" s="376"/>
      <c r="DB9" s="374"/>
      <c r="DC9" s="375"/>
      <c r="DD9" s="375"/>
      <c r="DE9" s="376"/>
      <c r="DF9" s="374"/>
      <c r="DG9" s="375"/>
      <c r="DH9" s="375"/>
      <c r="DI9" s="376"/>
      <c r="DJ9" s="374"/>
      <c r="DK9" s="375"/>
      <c r="DL9" s="375"/>
      <c r="DM9" s="376"/>
      <c r="DN9" s="374"/>
      <c r="DO9" s="375"/>
      <c r="DP9" s="375"/>
      <c r="DQ9" s="376"/>
      <c r="DR9" s="374"/>
      <c r="DS9" s="375"/>
      <c r="DT9" s="375"/>
      <c r="DU9" s="376"/>
      <c r="DV9" s="374"/>
      <c r="DW9" s="375"/>
      <c r="DX9" s="375"/>
      <c r="DY9" s="376"/>
      <c r="DZ9" s="374"/>
      <c r="EA9" s="375"/>
      <c r="EB9" s="375"/>
      <c r="EC9" s="376"/>
      <c r="ED9" s="374"/>
      <c r="EE9" s="375"/>
      <c r="EF9" s="375"/>
      <c r="EG9" s="376"/>
      <c r="EH9" s="374"/>
      <c r="EI9" s="375"/>
      <c r="EJ9" s="375"/>
      <c r="EK9" s="376"/>
      <c r="EL9" s="374"/>
      <c r="EM9" s="375"/>
      <c r="EN9" s="375"/>
      <c r="EO9" s="375"/>
      <c r="EP9" s="371"/>
      <c r="EQ9" s="372"/>
      <c r="ER9" s="372"/>
      <c r="ES9" s="373"/>
    </row>
    <row r="10" spans="2:149" x14ac:dyDescent="0.45">
      <c r="B10" s="227" t="s">
        <v>21</v>
      </c>
      <c r="C10" s="227" t="s">
        <v>1201</v>
      </c>
      <c r="F10" s="697">
        <v>79</v>
      </c>
      <c r="G10" s="698"/>
      <c r="H10" s="698"/>
      <c r="I10" s="699"/>
      <c r="J10" s="703">
        <f>F10</f>
        <v>79</v>
      </c>
      <c r="K10" s="690"/>
      <c r="L10" s="690"/>
      <c r="M10" s="704"/>
      <c r="N10" s="703">
        <f>J10</f>
        <v>79</v>
      </c>
      <c r="O10" s="690"/>
      <c r="P10" s="690"/>
      <c r="Q10" s="704"/>
      <c r="R10" s="703">
        <f t="shared" ref="R10" si="31">N10</f>
        <v>79</v>
      </c>
      <c r="S10" s="690"/>
      <c r="T10" s="690"/>
      <c r="U10" s="704"/>
      <c r="V10" s="703">
        <f t="shared" ref="V10" si="32">R10</f>
        <v>79</v>
      </c>
      <c r="W10" s="690"/>
      <c r="X10" s="690"/>
      <c r="Y10" s="704"/>
      <c r="Z10" s="703">
        <f t="shared" ref="Z10" si="33">V10</f>
        <v>79</v>
      </c>
      <c r="AA10" s="690"/>
      <c r="AB10" s="690"/>
      <c r="AC10" s="704"/>
      <c r="AD10" s="703">
        <f t="shared" ref="AD10" si="34">Z10</f>
        <v>79</v>
      </c>
      <c r="AE10" s="690"/>
      <c r="AF10" s="690"/>
      <c r="AG10" s="704"/>
      <c r="AH10" s="703">
        <f t="shared" ref="AH10" si="35">AD10</f>
        <v>79</v>
      </c>
      <c r="AI10" s="690"/>
      <c r="AJ10" s="690"/>
      <c r="AK10" s="704"/>
      <c r="AL10" s="703">
        <f t="shared" ref="AL10" si="36">AH10</f>
        <v>79</v>
      </c>
      <c r="AM10" s="690"/>
      <c r="AN10" s="690"/>
      <c r="AO10" s="704"/>
      <c r="AP10" s="703">
        <f t="shared" ref="AP10" si="37">AL10</f>
        <v>79</v>
      </c>
      <c r="AQ10" s="690"/>
      <c r="AR10" s="690"/>
      <c r="AS10" s="704"/>
      <c r="AT10" s="700">
        <f>AP10+1</f>
        <v>80</v>
      </c>
      <c r="AU10" s="701"/>
      <c r="AV10" s="701"/>
      <c r="AW10" s="702"/>
      <c r="AX10" s="700">
        <f>AT10+1</f>
        <v>81</v>
      </c>
      <c r="AY10" s="701"/>
      <c r="AZ10" s="701"/>
      <c r="BA10" s="702"/>
      <c r="BB10" s="700">
        <f>AX10+1</f>
        <v>82</v>
      </c>
      <c r="BC10" s="701"/>
      <c r="BD10" s="701"/>
      <c r="BE10" s="702"/>
      <c r="BF10" s="700">
        <f>BB10+1</f>
        <v>83</v>
      </c>
      <c r="BG10" s="701"/>
      <c r="BH10" s="701"/>
      <c r="BI10" s="702"/>
      <c r="BJ10" s="700">
        <f>BF10+1</f>
        <v>84</v>
      </c>
      <c r="BK10" s="701"/>
      <c r="BL10" s="701"/>
      <c r="BM10" s="702"/>
      <c r="BN10" s="700">
        <f>BJ10+1</f>
        <v>85</v>
      </c>
      <c r="BO10" s="701"/>
      <c r="BP10" s="701"/>
      <c r="BQ10" s="702"/>
      <c r="BR10" s="700">
        <f>BN10+1</f>
        <v>86</v>
      </c>
      <c r="BS10" s="701"/>
      <c r="BT10" s="701"/>
      <c r="BU10" s="702"/>
      <c r="BV10" s="700">
        <f>BR10+1</f>
        <v>87</v>
      </c>
      <c r="BW10" s="701"/>
      <c r="BX10" s="701"/>
      <c r="BY10" s="702"/>
      <c r="BZ10" s="700">
        <f>BV10+1</f>
        <v>88</v>
      </c>
      <c r="CA10" s="701"/>
      <c r="CB10" s="701"/>
      <c r="CC10" s="702"/>
      <c r="CD10" s="700">
        <f>BZ10+1</f>
        <v>89</v>
      </c>
      <c r="CE10" s="701"/>
      <c r="CF10" s="701"/>
      <c r="CG10" s="702"/>
      <c r="CH10" s="700">
        <f>CD10+1</f>
        <v>90</v>
      </c>
      <c r="CI10" s="701"/>
      <c r="CJ10" s="701"/>
      <c r="CK10" s="702"/>
      <c r="CL10" s="700">
        <f>CH10+1</f>
        <v>91</v>
      </c>
      <c r="CM10" s="701"/>
      <c r="CN10" s="701"/>
      <c r="CO10" s="702"/>
      <c r="CP10" s="700">
        <f>CL10+1</f>
        <v>92</v>
      </c>
      <c r="CQ10" s="701"/>
      <c r="CR10" s="701"/>
      <c r="CS10" s="702"/>
      <c r="CT10" s="700">
        <f>CP10+1</f>
        <v>93</v>
      </c>
      <c r="CU10" s="701"/>
      <c r="CV10" s="701"/>
      <c r="CW10" s="702"/>
      <c r="CX10" s="700">
        <f>CT10+1</f>
        <v>94</v>
      </c>
      <c r="CY10" s="701"/>
      <c r="CZ10" s="701"/>
      <c r="DA10" s="702"/>
      <c r="DB10" s="700">
        <f>CX10+1</f>
        <v>95</v>
      </c>
      <c r="DC10" s="701"/>
      <c r="DD10" s="701"/>
      <c r="DE10" s="702"/>
      <c r="DF10" s="703">
        <f>DB10</f>
        <v>95</v>
      </c>
      <c r="DG10" s="690"/>
      <c r="DH10" s="690"/>
      <c r="DI10" s="704"/>
      <c r="DJ10" s="703">
        <f>DF10</f>
        <v>95</v>
      </c>
      <c r="DK10" s="690"/>
      <c r="DL10" s="690"/>
      <c r="DM10" s="704"/>
      <c r="DN10" s="703">
        <f>DJ10</f>
        <v>95</v>
      </c>
      <c r="DO10" s="690"/>
      <c r="DP10" s="690"/>
      <c r="DQ10" s="704"/>
      <c r="DR10" s="703">
        <f t="shared" ref="DR10" si="38">DN10</f>
        <v>95</v>
      </c>
      <c r="DS10" s="690"/>
      <c r="DT10" s="690"/>
      <c r="DU10" s="704"/>
      <c r="DV10" s="703">
        <f t="shared" ref="DV10" si="39">DR10</f>
        <v>95</v>
      </c>
      <c r="DW10" s="690"/>
      <c r="DX10" s="690"/>
      <c r="DY10" s="704"/>
      <c r="DZ10" s="703">
        <f t="shared" ref="DZ10" si="40">DV10</f>
        <v>95</v>
      </c>
      <c r="EA10" s="690"/>
      <c r="EB10" s="690"/>
      <c r="EC10" s="704"/>
      <c r="ED10" s="703">
        <f t="shared" ref="ED10" si="41">DZ10</f>
        <v>95</v>
      </c>
      <c r="EE10" s="690"/>
      <c r="EF10" s="690"/>
      <c r="EG10" s="704"/>
      <c r="EH10" s="703">
        <f t="shared" ref="EH10" si="42">ED10</f>
        <v>95</v>
      </c>
      <c r="EI10" s="690"/>
      <c r="EJ10" s="690"/>
      <c r="EK10" s="704"/>
      <c r="EL10" s="703">
        <f t="shared" ref="EL10" si="43">EH10</f>
        <v>95</v>
      </c>
      <c r="EM10" s="690"/>
      <c r="EN10" s="690"/>
      <c r="EO10" s="690"/>
      <c r="EP10" s="697">
        <f t="shared" ref="EP10" si="44">EL10</f>
        <v>95</v>
      </c>
      <c r="EQ10" s="698"/>
      <c r="ER10" s="698"/>
      <c r="ES10" s="699"/>
    </row>
    <row r="11" spans="2:149" x14ac:dyDescent="0.45">
      <c r="B11" s="227" t="s">
        <v>1205</v>
      </c>
      <c r="C11" s="227" t="s">
        <v>1202</v>
      </c>
      <c r="F11" s="716">
        <f>$B$3+$B$3*F3</f>
        <v>0</v>
      </c>
      <c r="G11" s="717"/>
      <c r="H11" s="717"/>
      <c r="I11" s="718"/>
      <c r="J11" s="705">
        <f>$B$3+$B$3*J3</f>
        <v>0</v>
      </c>
      <c r="K11" s="706"/>
      <c r="L11" s="706"/>
      <c r="M11" s="707"/>
      <c r="N11" s="705">
        <f t="shared" ref="N11" si="45">$B$3+$B$3*N3</f>
        <v>0</v>
      </c>
      <c r="O11" s="706"/>
      <c r="P11" s="706"/>
      <c r="Q11" s="707"/>
      <c r="R11" s="705">
        <f t="shared" ref="R11" si="46">$B$3+$B$3*R3</f>
        <v>0</v>
      </c>
      <c r="S11" s="706"/>
      <c r="T11" s="706"/>
      <c r="U11" s="707"/>
      <c r="V11" s="705">
        <f t="shared" ref="V11" si="47">$B$3+$B$3*V3</f>
        <v>0</v>
      </c>
      <c r="W11" s="706"/>
      <c r="X11" s="706"/>
      <c r="Y11" s="707"/>
      <c r="Z11" s="705">
        <f t="shared" ref="Z11" si="48">$B$3+$B$3*Z3</f>
        <v>0</v>
      </c>
      <c r="AA11" s="706"/>
      <c r="AB11" s="706"/>
      <c r="AC11" s="707"/>
      <c r="AD11" s="705">
        <f t="shared" ref="AD11" si="49">$B$3+$B$3*AD3</f>
        <v>0</v>
      </c>
      <c r="AE11" s="706"/>
      <c r="AF11" s="706"/>
      <c r="AG11" s="707"/>
      <c r="AH11" s="705">
        <f t="shared" ref="AH11" si="50">$B$3+$B$3*AH3</f>
        <v>0</v>
      </c>
      <c r="AI11" s="706"/>
      <c r="AJ11" s="706"/>
      <c r="AK11" s="707"/>
      <c r="AL11" s="705">
        <f t="shared" ref="AL11" si="51">$B$3+$B$3*AL3</f>
        <v>0</v>
      </c>
      <c r="AM11" s="706"/>
      <c r="AN11" s="706"/>
      <c r="AO11" s="707"/>
      <c r="AP11" s="705">
        <f>$B$3+$B$3*AP3</f>
        <v>0</v>
      </c>
      <c r="AQ11" s="706"/>
      <c r="AR11" s="706"/>
      <c r="AS11" s="707"/>
      <c r="AT11" s="711">
        <f>$C$3+$C$3*AT3</f>
        <v>396709.18560000003</v>
      </c>
      <c r="AU11" s="712"/>
      <c r="AV11" s="712"/>
      <c r="AW11" s="713"/>
      <c r="AX11" s="711">
        <f t="shared" ref="AX11" si="52">$C$3+$C$3*AX3</f>
        <v>396709.18560000003</v>
      </c>
      <c r="AY11" s="712"/>
      <c r="AZ11" s="712"/>
      <c r="BA11" s="713"/>
      <c r="BB11" s="711">
        <f t="shared" ref="BB11" si="53">$C$3+$C$3*BB3</f>
        <v>396709.18560000003</v>
      </c>
      <c r="BC11" s="712"/>
      <c r="BD11" s="712"/>
      <c r="BE11" s="713"/>
      <c r="BF11" s="711">
        <f t="shared" ref="BF11" si="54">$C$3+$C$3*BF3</f>
        <v>396709.18560000003</v>
      </c>
      <c r="BG11" s="712"/>
      <c r="BH11" s="712"/>
      <c r="BI11" s="713"/>
      <c r="BJ11" s="711">
        <f t="shared" ref="BJ11" si="55">$C$3+$C$3*BJ3</f>
        <v>396709.18560000003</v>
      </c>
      <c r="BK11" s="712"/>
      <c r="BL11" s="712"/>
      <c r="BM11" s="713"/>
      <c r="BN11" s="711">
        <f t="shared" ref="BN11" si="56">$C$3+$C$3*BN3</f>
        <v>396709.18560000003</v>
      </c>
      <c r="BO11" s="712"/>
      <c r="BP11" s="712"/>
      <c r="BQ11" s="713"/>
      <c r="BR11" s="711">
        <f t="shared" ref="BR11" si="57">$C$3+$C$3*BR3</f>
        <v>396709.18560000003</v>
      </c>
      <c r="BS11" s="712"/>
      <c r="BT11" s="712"/>
      <c r="BU11" s="713"/>
      <c r="BV11" s="711">
        <f t="shared" ref="BV11" si="58">$C$3+$C$3*BV3</f>
        <v>396709.18560000003</v>
      </c>
      <c r="BW11" s="712"/>
      <c r="BX11" s="712"/>
      <c r="BY11" s="713"/>
      <c r="BZ11" s="711">
        <f t="shared" ref="BZ11" si="59">$C$3+$C$3*BZ3</f>
        <v>396709.18560000003</v>
      </c>
      <c r="CA11" s="712"/>
      <c r="CB11" s="712"/>
      <c r="CC11" s="713"/>
      <c r="CD11" s="711">
        <f t="shared" ref="CD11" si="60">$C$3+$C$3*CD3</f>
        <v>396709.18560000003</v>
      </c>
      <c r="CE11" s="712"/>
      <c r="CF11" s="712"/>
      <c r="CG11" s="713"/>
      <c r="CH11" s="711">
        <f t="shared" ref="CH11" si="61">$C$3+$C$3*CH3</f>
        <v>396709.18560000003</v>
      </c>
      <c r="CI11" s="712"/>
      <c r="CJ11" s="712"/>
      <c r="CK11" s="713"/>
      <c r="CL11" s="711">
        <f t="shared" ref="CL11" si="62">$C$3+$C$3*CL3</f>
        <v>396709.18560000003</v>
      </c>
      <c r="CM11" s="712"/>
      <c r="CN11" s="712"/>
      <c r="CO11" s="713"/>
      <c r="CP11" s="711">
        <f t="shared" ref="CP11" si="63">$C$3+$C$3*CP3</f>
        <v>396709.18560000003</v>
      </c>
      <c r="CQ11" s="712"/>
      <c r="CR11" s="712"/>
      <c r="CS11" s="713"/>
      <c r="CT11" s="711">
        <f t="shared" ref="CT11" si="64">$C$3+$C$3*CT3</f>
        <v>396709.18560000003</v>
      </c>
      <c r="CU11" s="712"/>
      <c r="CV11" s="712"/>
      <c r="CW11" s="713"/>
      <c r="CX11" s="711">
        <f t="shared" ref="CX11" si="65">$C$3+$C$3*CX3</f>
        <v>396709.18560000003</v>
      </c>
      <c r="CY11" s="712"/>
      <c r="CZ11" s="712"/>
      <c r="DA11" s="713"/>
      <c r="DB11" s="711">
        <f t="shared" ref="DB11" si="66">$C$3+$C$3*DB3</f>
        <v>396709.18560000003</v>
      </c>
      <c r="DC11" s="712"/>
      <c r="DD11" s="712"/>
      <c r="DE11" s="713"/>
      <c r="DF11" s="711">
        <f>$C$3+$C$3*DF3</f>
        <v>396709.18560000003</v>
      </c>
      <c r="DG11" s="712"/>
      <c r="DH11" s="712"/>
      <c r="DI11" s="713"/>
      <c r="DJ11" s="705">
        <f>$C$3+$C$3*DJ3</f>
        <v>396709.18560000003</v>
      </c>
      <c r="DK11" s="706"/>
      <c r="DL11" s="706"/>
      <c r="DM11" s="707"/>
      <c r="DN11" s="705">
        <f>$C$3+$C$3*DN3</f>
        <v>396264.96000000002</v>
      </c>
      <c r="DO11" s="706"/>
      <c r="DP11" s="706"/>
      <c r="DQ11" s="707"/>
      <c r="DR11" s="705">
        <f t="shared" ref="DR11" si="67">$C$3+$C$3*DR3</f>
        <v>395871.84</v>
      </c>
      <c r="DS11" s="706"/>
      <c r="DT11" s="706"/>
      <c r="DU11" s="707"/>
      <c r="DV11" s="705">
        <f t="shared" ref="DV11" si="68">$C$3+$C$3*DV3</f>
        <v>395478.72</v>
      </c>
      <c r="DW11" s="706"/>
      <c r="DX11" s="706"/>
      <c r="DY11" s="707"/>
      <c r="DZ11" s="705">
        <f t="shared" ref="DZ11" si="69">$C$3+$C$3*DZ3</f>
        <v>395085.6</v>
      </c>
      <c r="EA11" s="706"/>
      <c r="EB11" s="706"/>
      <c r="EC11" s="707"/>
      <c r="ED11" s="705">
        <f t="shared" ref="ED11" si="70">$C$3+$C$3*ED3</f>
        <v>394692.48</v>
      </c>
      <c r="EE11" s="706"/>
      <c r="EF11" s="706"/>
      <c r="EG11" s="707"/>
      <c r="EH11" s="705">
        <f t="shared" ref="EH11" si="71">$C$3+$C$3*EH3</f>
        <v>394299.36</v>
      </c>
      <c r="EI11" s="706"/>
      <c r="EJ11" s="706"/>
      <c r="EK11" s="707"/>
      <c r="EL11" s="705">
        <f t="shared" ref="EL11" si="72">$C$3+$C$3*EL3</f>
        <v>393906.24</v>
      </c>
      <c r="EM11" s="706"/>
      <c r="EN11" s="706"/>
      <c r="EO11" s="707"/>
      <c r="EP11" s="716">
        <f>$C$3+$C$3*EP3</f>
        <v>393434.49599999998</v>
      </c>
      <c r="EQ11" s="717"/>
      <c r="ER11" s="717"/>
      <c r="ES11" s="718"/>
    </row>
    <row r="12" spans="2:149" x14ac:dyDescent="0.45">
      <c r="B12" s="227" t="s">
        <v>1204</v>
      </c>
      <c r="C12" s="227" t="s">
        <v>1203</v>
      </c>
      <c r="F12" s="697">
        <v>0</v>
      </c>
      <c r="G12" s="698"/>
      <c r="H12" s="698"/>
      <c r="I12" s="699"/>
      <c r="J12" s="703">
        <v>0</v>
      </c>
      <c r="K12" s="690"/>
      <c r="L12" s="690"/>
      <c r="M12" s="704"/>
      <c r="N12" s="703">
        <v>0</v>
      </c>
      <c r="O12" s="690"/>
      <c r="P12" s="690"/>
      <c r="Q12" s="704"/>
      <c r="R12" s="703">
        <v>0</v>
      </c>
      <c r="S12" s="690"/>
      <c r="T12" s="690"/>
      <c r="U12" s="704"/>
      <c r="V12" s="703">
        <v>0</v>
      </c>
      <c r="W12" s="690"/>
      <c r="X12" s="690"/>
      <c r="Y12" s="704"/>
      <c r="Z12" s="703">
        <v>0</v>
      </c>
      <c r="AA12" s="690"/>
      <c r="AB12" s="690"/>
      <c r="AC12" s="704"/>
      <c r="AD12" s="703">
        <v>0</v>
      </c>
      <c r="AE12" s="690"/>
      <c r="AF12" s="690"/>
      <c r="AG12" s="704"/>
      <c r="AH12" s="703">
        <v>0</v>
      </c>
      <c r="AI12" s="690"/>
      <c r="AJ12" s="690"/>
      <c r="AK12" s="704"/>
      <c r="AL12" s="703">
        <v>0</v>
      </c>
      <c r="AM12" s="690"/>
      <c r="AN12" s="690"/>
      <c r="AO12" s="704"/>
      <c r="AP12" s="719">
        <v>1</v>
      </c>
      <c r="AQ12" s="714"/>
      <c r="AR12" s="714"/>
      <c r="AS12" s="715"/>
      <c r="AT12" s="719">
        <v>1</v>
      </c>
      <c r="AU12" s="714"/>
      <c r="AV12" s="714"/>
      <c r="AW12" s="715"/>
      <c r="AX12" s="719">
        <v>1</v>
      </c>
      <c r="AY12" s="714"/>
      <c r="AZ12" s="714"/>
      <c r="BA12" s="715"/>
      <c r="BB12" s="719">
        <v>1</v>
      </c>
      <c r="BC12" s="714"/>
      <c r="BD12" s="714"/>
      <c r="BE12" s="715"/>
      <c r="BF12" s="719">
        <v>1</v>
      </c>
      <c r="BG12" s="714"/>
      <c r="BH12" s="714"/>
      <c r="BI12" s="715"/>
      <c r="BJ12" s="719">
        <v>1</v>
      </c>
      <c r="BK12" s="714"/>
      <c r="BL12" s="714"/>
      <c r="BM12" s="715"/>
      <c r="BN12" s="719">
        <v>1</v>
      </c>
      <c r="BO12" s="714"/>
      <c r="BP12" s="714"/>
      <c r="BQ12" s="715"/>
      <c r="BR12" s="719">
        <v>1</v>
      </c>
      <c r="BS12" s="714"/>
      <c r="BT12" s="714"/>
      <c r="BU12" s="715"/>
      <c r="BV12" s="719">
        <v>1</v>
      </c>
      <c r="BW12" s="714"/>
      <c r="BX12" s="714"/>
      <c r="BY12" s="715"/>
      <c r="BZ12" s="719">
        <v>1</v>
      </c>
      <c r="CA12" s="714"/>
      <c r="CB12" s="714"/>
      <c r="CC12" s="715"/>
      <c r="CD12" s="719">
        <v>1</v>
      </c>
      <c r="CE12" s="714"/>
      <c r="CF12" s="714"/>
      <c r="CG12" s="715"/>
      <c r="CH12" s="719">
        <v>1</v>
      </c>
      <c r="CI12" s="714"/>
      <c r="CJ12" s="714"/>
      <c r="CK12" s="715"/>
      <c r="CL12" s="719">
        <v>1</v>
      </c>
      <c r="CM12" s="714"/>
      <c r="CN12" s="714"/>
      <c r="CO12" s="715"/>
      <c r="CP12" s="719">
        <v>1</v>
      </c>
      <c r="CQ12" s="714"/>
      <c r="CR12" s="714"/>
      <c r="CS12" s="715"/>
      <c r="CT12" s="719">
        <v>1</v>
      </c>
      <c r="CU12" s="714"/>
      <c r="CV12" s="714"/>
      <c r="CW12" s="715"/>
      <c r="CX12" s="719">
        <v>1</v>
      </c>
      <c r="CY12" s="714"/>
      <c r="CZ12" s="714"/>
      <c r="DA12" s="715"/>
      <c r="DB12" s="719">
        <v>1</v>
      </c>
      <c r="DC12" s="714"/>
      <c r="DD12" s="714"/>
      <c r="DE12" s="715"/>
      <c r="DF12" s="719">
        <v>1</v>
      </c>
      <c r="DG12" s="714"/>
      <c r="DH12" s="714"/>
      <c r="DI12" s="715"/>
      <c r="DJ12" s="703">
        <v>0</v>
      </c>
      <c r="DK12" s="690"/>
      <c r="DL12" s="690"/>
      <c r="DM12" s="704"/>
      <c r="DN12" s="703">
        <v>0</v>
      </c>
      <c r="DO12" s="690"/>
      <c r="DP12" s="690"/>
      <c r="DQ12" s="704"/>
      <c r="DR12" s="703">
        <v>0</v>
      </c>
      <c r="DS12" s="690"/>
      <c r="DT12" s="690"/>
      <c r="DU12" s="704"/>
      <c r="DV12" s="703">
        <v>0</v>
      </c>
      <c r="DW12" s="690"/>
      <c r="DX12" s="690"/>
      <c r="DY12" s="704"/>
      <c r="DZ12" s="703">
        <v>0</v>
      </c>
      <c r="EA12" s="690"/>
      <c r="EB12" s="690"/>
      <c r="EC12" s="704"/>
      <c r="ED12" s="703">
        <v>0</v>
      </c>
      <c r="EE12" s="690"/>
      <c r="EF12" s="690"/>
      <c r="EG12" s="704"/>
      <c r="EH12" s="703">
        <v>0</v>
      </c>
      <c r="EI12" s="690"/>
      <c r="EJ12" s="690"/>
      <c r="EK12" s="704"/>
      <c r="EL12" s="703">
        <v>0</v>
      </c>
      <c r="EM12" s="690"/>
      <c r="EN12" s="690"/>
      <c r="EO12" s="690"/>
      <c r="EP12" s="697">
        <v>0</v>
      </c>
      <c r="EQ12" s="698"/>
      <c r="ER12" s="698"/>
      <c r="ES12" s="699"/>
    </row>
    <row r="13" spans="2:149" x14ac:dyDescent="0.45">
      <c r="F13" s="377"/>
      <c r="G13" s="377"/>
      <c r="H13" s="377"/>
      <c r="I13" s="377"/>
      <c r="DF13" s="377"/>
      <c r="DG13" s="377"/>
      <c r="DH13" s="377"/>
      <c r="DI13" s="377"/>
    </row>
    <row r="14" spans="2:149" x14ac:dyDescent="0.45">
      <c r="B14" s="561">
        <f>C3</f>
        <v>393120</v>
      </c>
      <c r="C14" s="561" t="b">
        <f>B3</f>
        <v>0</v>
      </c>
      <c r="D14" s="558"/>
      <c r="E14" s="559"/>
      <c r="F14" s="729">
        <f>F3</f>
        <v>8.0000000000000004E-4</v>
      </c>
      <c r="G14" s="729"/>
      <c r="H14" s="729"/>
      <c r="I14" s="729"/>
      <c r="J14" s="726">
        <f>J3</f>
        <v>2E-3</v>
      </c>
      <c r="K14" s="726"/>
      <c r="L14" s="726"/>
      <c r="M14" s="726"/>
      <c r="N14" s="726">
        <f>N3</f>
        <v>3.0000000000000001E-3</v>
      </c>
      <c r="O14" s="726"/>
      <c r="P14" s="726"/>
      <c r="Q14" s="726"/>
      <c r="R14" s="726">
        <f t="shared" ref="R14" si="73">R3</f>
        <v>4.0000000000000001E-3</v>
      </c>
      <c r="S14" s="726"/>
      <c r="T14" s="726"/>
      <c r="U14" s="726"/>
      <c r="V14" s="726">
        <f t="shared" ref="V14" si="74">V3</f>
        <v>5.0000000000000001E-3</v>
      </c>
      <c r="W14" s="726"/>
      <c r="X14" s="726"/>
      <c r="Y14" s="726"/>
      <c r="Z14" s="726">
        <f t="shared" ref="Z14" si="75">Z3</f>
        <v>6.0000000000000001E-3</v>
      </c>
      <c r="AA14" s="726"/>
      <c r="AB14" s="726"/>
      <c r="AC14" s="726"/>
      <c r="AD14" s="726">
        <f t="shared" ref="AD14" si="76">AD3</f>
        <v>7.0000000000000001E-3</v>
      </c>
      <c r="AE14" s="726"/>
      <c r="AF14" s="726"/>
      <c r="AG14" s="726"/>
      <c r="AH14" s="726">
        <f t="shared" ref="AH14" si="77">AH3</f>
        <v>8.0000000000000002E-3</v>
      </c>
      <c r="AI14" s="726"/>
      <c r="AJ14" s="726"/>
      <c r="AK14" s="726"/>
      <c r="AL14" s="727">
        <f>AL3</f>
        <v>9.1299999999999992E-3</v>
      </c>
      <c r="AM14" s="727"/>
      <c r="AN14" s="727"/>
      <c r="AO14" s="727"/>
      <c r="AP14" s="727">
        <f>AP3</f>
        <v>9.1299999999999992E-3</v>
      </c>
      <c r="AQ14" s="727"/>
      <c r="AR14" s="727"/>
      <c r="AS14" s="727"/>
      <c r="AT14" s="728">
        <f>AT3</f>
        <v>9.1299999999999992E-3</v>
      </c>
      <c r="AU14" s="728"/>
      <c r="AV14" s="728"/>
      <c r="AW14" s="728"/>
      <c r="AX14" s="726">
        <f>AX3</f>
        <v>9.1299999999999992E-3</v>
      </c>
      <c r="AY14" s="726"/>
      <c r="AZ14" s="726"/>
      <c r="BA14" s="726"/>
      <c r="BB14" s="726">
        <f t="shared" ref="BB14" si="78">BB3</f>
        <v>9.1299999999999992E-3</v>
      </c>
      <c r="BC14" s="726"/>
      <c r="BD14" s="726"/>
      <c r="BE14" s="726"/>
      <c r="BF14" s="726">
        <f t="shared" ref="BF14" si="79">BF3</f>
        <v>9.1299999999999992E-3</v>
      </c>
      <c r="BG14" s="726"/>
      <c r="BH14" s="726"/>
      <c r="BI14" s="726"/>
      <c r="BJ14" s="726">
        <f t="shared" ref="BJ14" si="80">BJ3</f>
        <v>9.1299999999999992E-3</v>
      </c>
      <c r="BK14" s="726"/>
      <c r="BL14" s="726"/>
      <c r="BM14" s="726"/>
      <c r="BN14" s="726">
        <f t="shared" ref="BN14" si="81">BN3</f>
        <v>9.1299999999999992E-3</v>
      </c>
      <c r="BO14" s="726"/>
      <c r="BP14" s="726"/>
      <c r="BQ14" s="726"/>
      <c r="BR14" s="726">
        <f t="shared" ref="BR14" si="82">BR3</f>
        <v>9.1299999999999992E-3</v>
      </c>
      <c r="BS14" s="726"/>
      <c r="BT14" s="726"/>
      <c r="BU14" s="726"/>
      <c r="BV14" s="726">
        <f t="shared" ref="BV14" si="83">BV3</f>
        <v>9.1299999999999992E-3</v>
      </c>
      <c r="BW14" s="726"/>
      <c r="BX14" s="726"/>
      <c r="BY14" s="726"/>
      <c r="BZ14" s="726">
        <f t="shared" ref="BZ14" si="84">BZ3</f>
        <v>9.1299999999999992E-3</v>
      </c>
      <c r="CA14" s="726"/>
      <c r="CB14" s="726"/>
      <c r="CC14" s="726"/>
      <c r="CD14" s="726">
        <f t="shared" ref="CD14" si="85">CD3</f>
        <v>9.1299999999999992E-3</v>
      </c>
      <c r="CE14" s="726"/>
      <c r="CF14" s="726"/>
      <c r="CG14" s="726"/>
      <c r="CH14" s="726">
        <f t="shared" ref="CH14" si="86">CH3</f>
        <v>9.1299999999999992E-3</v>
      </c>
      <c r="CI14" s="726"/>
      <c r="CJ14" s="726"/>
      <c r="CK14" s="726"/>
      <c r="CL14" s="726">
        <f t="shared" ref="CL14" si="87">CL3</f>
        <v>9.1299999999999992E-3</v>
      </c>
      <c r="CM14" s="726"/>
      <c r="CN14" s="726"/>
      <c r="CO14" s="726"/>
      <c r="CP14" s="726">
        <f t="shared" ref="CP14" si="88">CP3</f>
        <v>9.1299999999999992E-3</v>
      </c>
      <c r="CQ14" s="726"/>
      <c r="CR14" s="726"/>
      <c r="CS14" s="726"/>
      <c r="CT14" s="726">
        <f t="shared" ref="CT14" si="89">CT3</f>
        <v>9.1299999999999992E-3</v>
      </c>
      <c r="CU14" s="726"/>
      <c r="CV14" s="726"/>
      <c r="CW14" s="726"/>
      <c r="CX14" s="726">
        <f t="shared" ref="CX14" si="90">CX3</f>
        <v>9.1299999999999992E-3</v>
      </c>
      <c r="CY14" s="726"/>
      <c r="CZ14" s="726"/>
      <c r="DA14" s="726"/>
      <c r="DB14" s="726">
        <f t="shared" ref="DB14" si="91">DB3</f>
        <v>9.1299999999999992E-3</v>
      </c>
      <c r="DC14" s="726"/>
      <c r="DD14" s="726"/>
      <c r="DE14" s="726"/>
      <c r="DF14" s="726">
        <f t="shared" ref="DF14" si="92">DF3</f>
        <v>9.1299999999999992E-3</v>
      </c>
      <c r="DG14" s="726"/>
      <c r="DH14" s="726"/>
      <c r="DI14" s="726"/>
      <c r="DJ14" s="726">
        <f t="shared" ref="DJ14" si="93">DJ3</f>
        <v>9.1299999999999992E-3</v>
      </c>
      <c r="DK14" s="726"/>
      <c r="DL14" s="726"/>
      <c r="DM14" s="726"/>
      <c r="DN14" s="726">
        <f t="shared" ref="DN14" si="94">DN3</f>
        <v>8.0000000000000002E-3</v>
      </c>
      <c r="DO14" s="726"/>
      <c r="DP14" s="726"/>
      <c r="DQ14" s="726"/>
      <c r="DR14" s="726">
        <f t="shared" ref="DR14" si="95">DR3</f>
        <v>7.0000000000000001E-3</v>
      </c>
      <c r="DS14" s="726"/>
      <c r="DT14" s="726"/>
      <c r="DU14" s="726"/>
      <c r="DV14" s="726">
        <f t="shared" ref="DV14" si="96">DV3</f>
        <v>6.0000000000000001E-3</v>
      </c>
      <c r="DW14" s="726"/>
      <c r="DX14" s="726"/>
      <c r="DY14" s="726"/>
      <c r="DZ14" s="726">
        <f t="shared" ref="DZ14" si="97">DZ3</f>
        <v>5.0000000000000001E-3</v>
      </c>
      <c r="EA14" s="726"/>
      <c r="EB14" s="726"/>
      <c r="EC14" s="726"/>
      <c r="ED14" s="726">
        <f t="shared" ref="ED14" si="98">ED3</f>
        <v>4.0000000000000001E-3</v>
      </c>
      <c r="EE14" s="726"/>
      <c r="EF14" s="726"/>
      <c r="EG14" s="726"/>
      <c r="EH14" s="726">
        <f t="shared" ref="EH14" si="99">EH3</f>
        <v>3.0000000000000001E-3</v>
      </c>
      <c r="EI14" s="726"/>
      <c r="EJ14" s="726"/>
      <c r="EK14" s="726"/>
      <c r="EL14" s="726">
        <f t="shared" ref="EL14" si="100">EL3</f>
        <v>2E-3</v>
      </c>
      <c r="EM14" s="726"/>
      <c r="EN14" s="726"/>
      <c r="EO14" s="726"/>
      <c r="EP14" s="729">
        <f>EP3</f>
        <v>8.0000000000000004E-4</v>
      </c>
      <c r="EQ14" s="729"/>
      <c r="ER14" s="729"/>
      <c r="ES14" s="729"/>
    </row>
    <row r="15" spans="2:149" s="5" customFormat="1" x14ac:dyDescent="0.45">
      <c r="B15" s="227" t="s">
        <v>1605</v>
      </c>
      <c r="C15" s="227" t="s">
        <v>1606</v>
      </c>
      <c r="D15" s="360"/>
      <c r="E15" s="360"/>
      <c r="F15" s="697" t="s">
        <v>1207</v>
      </c>
      <c r="G15" s="698"/>
      <c r="H15" s="698"/>
      <c r="I15" s="699"/>
      <c r="J15" s="690">
        <v>3</v>
      </c>
      <c r="K15" s="690"/>
      <c r="L15" s="690"/>
      <c r="M15" s="690"/>
      <c r="N15" s="690">
        <v>3</v>
      </c>
      <c r="O15" s="690"/>
      <c r="P15" s="690"/>
      <c r="Q15" s="690"/>
      <c r="R15" s="690">
        <v>3</v>
      </c>
      <c r="S15" s="690"/>
      <c r="T15" s="690"/>
      <c r="U15" s="690"/>
      <c r="V15" s="690">
        <v>3</v>
      </c>
      <c r="W15" s="690"/>
      <c r="X15" s="690"/>
      <c r="Y15" s="690"/>
      <c r="Z15" s="690">
        <v>3</v>
      </c>
      <c r="AA15" s="690"/>
      <c r="AB15" s="690"/>
      <c r="AC15" s="690"/>
      <c r="AD15" s="690">
        <v>3</v>
      </c>
      <c r="AE15" s="690"/>
      <c r="AF15" s="690"/>
      <c r="AG15" s="690"/>
      <c r="AH15" s="690">
        <v>3</v>
      </c>
      <c r="AI15" s="690"/>
      <c r="AJ15" s="690"/>
      <c r="AK15" s="690"/>
      <c r="AL15" s="690">
        <v>3</v>
      </c>
      <c r="AM15" s="690"/>
      <c r="AN15" s="690"/>
      <c r="AO15" s="690"/>
      <c r="AP15" s="690">
        <v>3</v>
      </c>
      <c r="AQ15" s="690"/>
      <c r="AR15" s="690"/>
      <c r="AS15" s="690"/>
      <c r="AT15" s="690">
        <v>1</v>
      </c>
      <c r="AU15" s="690"/>
      <c r="AV15" s="690"/>
      <c r="AW15" s="690"/>
      <c r="AX15" s="690">
        <v>1</v>
      </c>
      <c r="AY15" s="690"/>
      <c r="AZ15" s="690"/>
      <c r="BA15" s="690"/>
      <c r="BB15" s="690">
        <v>1</v>
      </c>
      <c r="BC15" s="690"/>
      <c r="BD15" s="690"/>
      <c r="BE15" s="690"/>
      <c r="BF15" s="690">
        <v>1</v>
      </c>
      <c r="BG15" s="690"/>
      <c r="BH15" s="690"/>
      <c r="BI15" s="690"/>
      <c r="BJ15" s="690">
        <v>1</v>
      </c>
      <c r="BK15" s="690"/>
      <c r="BL15" s="690"/>
      <c r="BM15" s="690"/>
      <c r="BN15" s="690">
        <v>1</v>
      </c>
      <c r="BO15" s="690"/>
      <c r="BP15" s="690"/>
      <c r="BQ15" s="690"/>
      <c r="BR15" s="690">
        <v>1</v>
      </c>
      <c r="BS15" s="690"/>
      <c r="BT15" s="690"/>
      <c r="BU15" s="690"/>
      <c r="BV15" s="690">
        <v>1</v>
      </c>
      <c r="BW15" s="690"/>
      <c r="BX15" s="690"/>
      <c r="BY15" s="690"/>
      <c r="BZ15" s="690">
        <v>1</v>
      </c>
      <c r="CA15" s="690"/>
      <c r="CB15" s="690"/>
      <c r="CC15" s="690"/>
      <c r="CD15" s="690">
        <v>1</v>
      </c>
      <c r="CE15" s="690"/>
      <c r="CF15" s="690"/>
      <c r="CG15" s="690"/>
      <c r="CH15" s="690">
        <v>1</v>
      </c>
      <c r="CI15" s="690"/>
      <c r="CJ15" s="690"/>
      <c r="CK15" s="690"/>
      <c r="CL15" s="690">
        <v>1</v>
      </c>
      <c r="CM15" s="690"/>
      <c r="CN15" s="690"/>
      <c r="CO15" s="690"/>
      <c r="CP15" s="690">
        <v>1</v>
      </c>
      <c r="CQ15" s="690"/>
      <c r="CR15" s="690"/>
      <c r="CS15" s="690"/>
      <c r="CT15" s="690">
        <v>1</v>
      </c>
      <c r="CU15" s="690"/>
      <c r="CV15" s="690"/>
      <c r="CW15" s="690"/>
      <c r="CX15" s="690">
        <v>1</v>
      </c>
      <c r="CY15" s="690"/>
      <c r="CZ15" s="690"/>
      <c r="DA15" s="690"/>
      <c r="DB15" s="690">
        <v>1</v>
      </c>
      <c r="DC15" s="690"/>
      <c r="DD15" s="690"/>
      <c r="DE15" s="690"/>
      <c r="DF15" s="690">
        <v>1</v>
      </c>
      <c r="DG15" s="690"/>
      <c r="DH15" s="690"/>
      <c r="DI15" s="690"/>
      <c r="DJ15" s="690">
        <v>3</v>
      </c>
      <c r="DK15" s="690"/>
      <c r="DL15" s="690"/>
      <c r="DM15" s="690"/>
      <c r="DN15" s="690">
        <v>3</v>
      </c>
      <c r="DO15" s="690"/>
      <c r="DP15" s="690"/>
      <c r="DQ15" s="690"/>
      <c r="DR15" s="690">
        <v>3</v>
      </c>
      <c r="DS15" s="690"/>
      <c r="DT15" s="690"/>
      <c r="DU15" s="690"/>
      <c r="DV15" s="690">
        <v>3</v>
      </c>
      <c r="DW15" s="690"/>
      <c r="DX15" s="690"/>
      <c r="DY15" s="690"/>
      <c r="DZ15" s="690">
        <v>3</v>
      </c>
      <c r="EA15" s="690"/>
      <c r="EB15" s="690"/>
      <c r="EC15" s="690"/>
      <c r="ED15" s="690">
        <v>3</v>
      </c>
      <c r="EE15" s="690"/>
      <c r="EF15" s="690"/>
      <c r="EG15" s="690"/>
      <c r="EH15" s="690">
        <v>3</v>
      </c>
      <c r="EI15" s="690"/>
      <c r="EJ15" s="690"/>
      <c r="EK15" s="690"/>
      <c r="EL15" s="690">
        <v>3</v>
      </c>
      <c r="EM15" s="690"/>
      <c r="EN15" s="690"/>
      <c r="EO15" s="690"/>
      <c r="EP15" s="697" t="s">
        <v>1210</v>
      </c>
      <c r="EQ15" s="698"/>
      <c r="ER15" s="698"/>
      <c r="ES15" s="699"/>
    </row>
    <row r="16" spans="2:149" x14ac:dyDescent="0.45">
      <c r="B16" s="227"/>
      <c r="C16" s="227" t="s">
        <v>13</v>
      </c>
      <c r="E16" s="361"/>
      <c r="F16" s="362"/>
      <c r="G16" s="363"/>
      <c r="H16" s="363"/>
      <c r="I16" s="365"/>
      <c r="J16" s="364"/>
      <c r="K16" s="361"/>
      <c r="L16" s="361"/>
      <c r="M16" s="361"/>
      <c r="N16" s="364"/>
      <c r="O16" s="361"/>
      <c r="P16" s="361"/>
      <c r="Q16" s="361"/>
      <c r="R16" s="364"/>
      <c r="S16" s="361"/>
      <c r="T16" s="361"/>
      <c r="U16" s="361"/>
      <c r="V16" s="364"/>
      <c r="W16" s="361"/>
      <c r="X16" s="361"/>
      <c r="Y16" s="361"/>
      <c r="Z16" s="364"/>
      <c r="AA16" s="361"/>
      <c r="AB16" s="361"/>
      <c r="AC16" s="361"/>
      <c r="AD16" s="364"/>
      <c r="AE16" s="361"/>
      <c r="AF16" s="361"/>
      <c r="AG16" s="361"/>
      <c r="AH16" s="364"/>
      <c r="AI16" s="361"/>
      <c r="AJ16" s="361"/>
      <c r="AK16" s="361"/>
      <c r="AL16" s="364"/>
      <c r="AM16" s="361"/>
      <c r="AN16" s="361"/>
      <c r="AO16" s="361"/>
      <c r="AP16" s="364"/>
      <c r="AQ16" s="361"/>
      <c r="AR16" s="361"/>
      <c r="AS16" s="361"/>
      <c r="AT16" s="364"/>
      <c r="AU16" s="361"/>
      <c r="AV16" s="361"/>
      <c r="AW16" s="361"/>
      <c r="AX16" s="364"/>
      <c r="AY16" s="361"/>
      <c r="AZ16" s="361"/>
      <c r="BA16" s="361"/>
      <c r="BB16" s="364"/>
      <c r="BC16" s="361"/>
      <c r="BD16" s="361"/>
      <c r="BE16" s="361"/>
      <c r="BF16" s="364"/>
      <c r="BG16" s="361"/>
      <c r="BH16" s="361"/>
      <c r="BI16" s="361"/>
      <c r="BJ16" s="364"/>
      <c r="BK16" s="361"/>
      <c r="BL16" s="361"/>
      <c r="BM16" s="361"/>
      <c r="BN16" s="364"/>
      <c r="BO16" s="361"/>
      <c r="BP16" s="361"/>
      <c r="BQ16" s="361"/>
      <c r="BR16" s="364"/>
      <c r="BS16" s="361"/>
      <c r="BT16" s="361"/>
      <c r="BU16" s="361"/>
      <c r="BV16" s="364"/>
      <c r="BW16" s="361"/>
      <c r="BX16" s="361"/>
      <c r="BY16" s="361"/>
      <c r="BZ16" s="364"/>
      <c r="CA16" s="361"/>
      <c r="CB16" s="361"/>
      <c r="CC16" s="361"/>
      <c r="CD16" s="364"/>
      <c r="CE16" s="361"/>
      <c r="CF16" s="361"/>
      <c r="CG16" s="361"/>
      <c r="CH16" s="364"/>
      <c r="CI16" s="361"/>
      <c r="CJ16" s="361"/>
      <c r="CK16" s="361"/>
      <c r="CL16" s="364"/>
      <c r="CM16" s="361"/>
      <c r="CN16" s="361"/>
      <c r="CO16" s="361"/>
      <c r="CP16" s="364"/>
      <c r="CQ16" s="361"/>
      <c r="CR16" s="361"/>
      <c r="CS16" s="361"/>
      <c r="CT16" s="364"/>
      <c r="CU16" s="361"/>
      <c r="CV16" s="361"/>
      <c r="CW16" s="361"/>
      <c r="CX16" s="364"/>
      <c r="CY16" s="361"/>
      <c r="CZ16" s="361"/>
      <c r="DA16" s="361"/>
      <c r="DB16" s="364"/>
      <c r="DC16" s="361"/>
      <c r="DD16" s="361"/>
      <c r="DE16" s="361"/>
      <c r="DF16" s="364"/>
      <c r="DG16" s="361"/>
      <c r="DH16" s="361"/>
      <c r="DI16" s="361"/>
      <c r="DJ16" s="364"/>
      <c r="DK16" s="361"/>
      <c r="DL16" s="361"/>
      <c r="DM16" s="361"/>
      <c r="DN16" s="364"/>
      <c r="DO16" s="361"/>
      <c r="DP16" s="361"/>
      <c r="DQ16" s="361"/>
      <c r="DR16" s="364"/>
      <c r="DS16" s="361"/>
      <c r="DT16" s="361"/>
      <c r="DU16" s="361"/>
      <c r="DV16" s="364"/>
      <c r="DW16" s="361"/>
      <c r="DX16" s="361"/>
      <c r="DY16" s="361"/>
      <c r="DZ16" s="364"/>
      <c r="EA16" s="361"/>
      <c r="EB16" s="361"/>
      <c r="EC16" s="361"/>
      <c r="ED16" s="364"/>
      <c r="EE16" s="361"/>
      <c r="EF16" s="361"/>
      <c r="EG16" s="361"/>
      <c r="EH16" s="364"/>
      <c r="EI16" s="361"/>
      <c r="EJ16" s="361"/>
      <c r="EK16" s="361"/>
      <c r="EL16" s="364"/>
      <c r="EM16" s="361"/>
      <c r="EN16" s="361"/>
      <c r="EO16" s="361"/>
      <c r="EP16" s="362"/>
      <c r="EQ16" s="363"/>
      <c r="ER16" s="363"/>
      <c r="ES16" s="365"/>
    </row>
    <row r="17" spans="2:149" x14ac:dyDescent="0.45">
      <c r="B17" s="227"/>
      <c r="C17" s="227"/>
      <c r="F17" s="366"/>
      <c r="G17" s="367"/>
      <c r="H17" s="367"/>
      <c r="I17" s="368"/>
      <c r="J17" s="369"/>
      <c r="M17" s="370"/>
      <c r="N17" s="369"/>
      <c r="Q17" s="370"/>
      <c r="R17" s="369"/>
      <c r="U17" s="370"/>
      <c r="V17" s="369"/>
      <c r="Y17" s="370"/>
      <c r="Z17" s="369"/>
      <c r="AC17" s="370"/>
      <c r="AD17" s="369"/>
      <c r="AG17" s="370"/>
      <c r="AH17" s="369"/>
      <c r="AK17" s="370"/>
      <c r="AL17" s="369"/>
      <c r="AO17" s="370"/>
      <c r="AP17" s="369"/>
      <c r="AS17" s="370"/>
      <c r="AT17" s="369"/>
      <c r="AW17" s="370"/>
      <c r="AX17" s="369"/>
      <c r="BA17" s="370"/>
      <c r="BB17" s="369"/>
      <c r="BE17" s="370"/>
      <c r="BF17" s="369"/>
      <c r="BI17" s="370"/>
      <c r="BJ17" s="369"/>
      <c r="BM17" s="370"/>
      <c r="BN17" s="369"/>
      <c r="BQ17" s="370"/>
      <c r="BR17" s="369"/>
      <c r="BU17" s="370"/>
      <c r="BV17" s="369"/>
      <c r="BY17" s="370"/>
      <c r="BZ17" s="369"/>
      <c r="CC17" s="370"/>
      <c r="CD17" s="369"/>
      <c r="CG17" s="370"/>
      <c r="CH17" s="369"/>
      <c r="CK17" s="370"/>
      <c r="CL17" s="369"/>
      <c r="CO17" s="370"/>
      <c r="CP17" s="369"/>
      <c r="CS17" s="370"/>
      <c r="CT17" s="369"/>
      <c r="CW17" s="370"/>
      <c r="CX17" s="369"/>
      <c r="DA17" s="370"/>
      <c r="DB17" s="369"/>
      <c r="DE17" s="370"/>
      <c r="DF17" s="369"/>
      <c r="DI17" s="370"/>
      <c r="DJ17" s="369"/>
      <c r="DM17" s="370"/>
      <c r="DN17" s="369"/>
      <c r="DQ17" s="370"/>
      <c r="DR17" s="369"/>
      <c r="DU17" s="370"/>
      <c r="DV17" s="369"/>
      <c r="DY17" s="370"/>
      <c r="DZ17" s="369"/>
      <c r="EC17" s="370"/>
      <c r="ED17" s="369"/>
      <c r="EG17" s="370"/>
      <c r="EH17" s="369"/>
      <c r="EK17" s="370"/>
      <c r="EL17" s="369"/>
      <c r="EP17" s="366"/>
      <c r="EQ17" s="367"/>
      <c r="ER17" s="367"/>
      <c r="ES17" s="368"/>
    </row>
    <row r="18" spans="2:149" x14ac:dyDescent="0.45">
      <c r="B18" s="227" t="s">
        <v>3</v>
      </c>
      <c r="C18" s="227" t="s">
        <v>1200</v>
      </c>
      <c r="F18" s="691">
        <v>100</v>
      </c>
      <c r="G18" s="692"/>
      <c r="H18" s="692"/>
      <c r="I18" s="693"/>
      <c r="J18" s="694">
        <f>F18</f>
        <v>100</v>
      </c>
      <c r="K18" s="695"/>
      <c r="L18" s="695"/>
      <c r="M18" s="696"/>
      <c r="N18" s="694">
        <f>J18</f>
        <v>100</v>
      </c>
      <c r="O18" s="695"/>
      <c r="P18" s="695"/>
      <c r="Q18" s="696"/>
      <c r="R18" s="694">
        <f t="shared" ref="R18" si="101">N18</f>
        <v>100</v>
      </c>
      <c r="S18" s="695"/>
      <c r="T18" s="695"/>
      <c r="U18" s="696"/>
      <c r="V18" s="694">
        <f t="shared" ref="V18" si="102">R18</f>
        <v>100</v>
      </c>
      <c r="W18" s="695"/>
      <c r="X18" s="695"/>
      <c r="Y18" s="696"/>
      <c r="Z18" s="694">
        <f t="shared" ref="Z18" si="103">V18</f>
        <v>100</v>
      </c>
      <c r="AA18" s="695"/>
      <c r="AB18" s="695"/>
      <c r="AC18" s="696"/>
      <c r="AD18" s="694">
        <f t="shared" ref="AD18" si="104">Z18</f>
        <v>100</v>
      </c>
      <c r="AE18" s="695"/>
      <c r="AF18" s="695"/>
      <c r="AG18" s="696"/>
      <c r="AH18" s="694">
        <f t="shared" ref="AH18" si="105">AD18</f>
        <v>100</v>
      </c>
      <c r="AI18" s="695"/>
      <c r="AJ18" s="695"/>
      <c r="AK18" s="696"/>
      <c r="AL18" s="694">
        <f t="shared" ref="AL18" si="106">AH18</f>
        <v>100</v>
      </c>
      <c r="AM18" s="695"/>
      <c r="AN18" s="695"/>
      <c r="AO18" s="696"/>
      <c r="AP18" s="694">
        <f t="shared" ref="AP18" si="107">AL18</f>
        <v>100</v>
      </c>
      <c r="AQ18" s="695"/>
      <c r="AR18" s="695"/>
      <c r="AS18" s="696"/>
      <c r="AT18" s="694">
        <f t="shared" ref="AT18" si="108">AP18</f>
        <v>100</v>
      </c>
      <c r="AU18" s="695"/>
      <c r="AV18" s="695"/>
      <c r="AW18" s="696"/>
      <c r="AX18" s="708">
        <f>AT18+1.25</f>
        <v>101.25</v>
      </c>
      <c r="AY18" s="709"/>
      <c r="AZ18" s="709"/>
      <c r="BA18" s="710"/>
      <c r="BB18" s="708">
        <f>AX18+1.25</f>
        <v>102.5</v>
      </c>
      <c r="BC18" s="709"/>
      <c r="BD18" s="709"/>
      <c r="BE18" s="710"/>
      <c r="BF18" s="708">
        <f>BB18+1.25</f>
        <v>103.75</v>
      </c>
      <c r="BG18" s="709"/>
      <c r="BH18" s="709"/>
      <c r="BI18" s="710"/>
      <c r="BJ18" s="708">
        <f>BF18+1.25</f>
        <v>105</v>
      </c>
      <c r="BK18" s="709"/>
      <c r="BL18" s="709"/>
      <c r="BM18" s="710"/>
      <c r="BN18" s="708">
        <f>BJ18+1.25</f>
        <v>106.25</v>
      </c>
      <c r="BO18" s="709"/>
      <c r="BP18" s="709"/>
      <c r="BQ18" s="710"/>
      <c r="BR18" s="708">
        <f>BN18+1.25</f>
        <v>107.5</v>
      </c>
      <c r="BS18" s="709"/>
      <c r="BT18" s="709"/>
      <c r="BU18" s="710"/>
      <c r="BV18" s="708">
        <f>BR18+1.25</f>
        <v>108.75</v>
      </c>
      <c r="BW18" s="709"/>
      <c r="BX18" s="709"/>
      <c r="BY18" s="710"/>
      <c r="BZ18" s="708">
        <f>BV18+1.25</f>
        <v>110</v>
      </c>
      <c r="CA18" s="709"/>
      <c r="CB18" s="709"/>
      <c r="CC18" s="710"/>
      <c r="CD18" s="708">
        <f>BZ18+1.25</f>
        <v>111.25</v>
      </c>
      <c r="CE18" s="709"/>
      <c r="CF18" s="709"/>
      <c r="CG18" s="710"/>
      <c r="CH18" s="708">
        <f>CD18+1.25</f>
        <v>112.5</v>
      </c>
      <c r="CI18" s="709"/>
      <c r="CJ18" s="709"/>
      <c r="CK18" s="710"/>
      <c r="CL18" s="708">
        <f>CH18+1.25</f>
        <v>113.75</v>
      </c>
      <c r="CM18" s="709"/>
      <c r="CN18" s="709"/>
      <c r="CO18" s="710"/>
      <c r="CP18" s="708">
        <f>CL18+1.25</f>
        <v>115</v>
      </c>
      <c r="CQ18" s="709"/>
      <c r="CR18" s="709"/>
      <c r="CS18" s="710"/>
      <c r="CT18" s="708">
        <f>CP18+1.25</f>
        <v>116.25</v>
      </c>
      <c r="CU18" s="709"/>
      <c r="CV18" s="709"/>
      <c r="CW18" s="710"/>
      <c r="CX18" s="708">
        <f>CT18+1.25</f>
        <v>117.5</v>
      </c>
      <c r="CY18" s="709"/>
      <c r="CZ18" s="709"/>
      <c r="DA18" s="710"/>
      <c r="DB18" s="708">
        <f>CX18+1.25</f>
        <v>118.75</v>
      </c>
      <c r="DC18" s="709"/>
      <c r="DD18" s="709"/>
      <c r="DE18" s="710"/>
      <c r="DF18" s="694">
        <f>DB18+1.25</f>
        <v>120</v>
      </c>
      <c r="DG18" s="695"/>
      <c r="DH18" s="695"/>
      <c r="DI18" s="696"/>
      <c r="DJ18" s="694">
        <f>DF18</f>
        <v>120</v>
      </c>
      <c r="DK18" s="695"/>
      <c r="DL18" s="695"/>
      <c r="DM18" s="696"/>
      <c r="DN18" s="694">
        <f>DJ18</f>
        <v>120</v>
      </c>
      <c r="DO18" s="695"/>
      <c r="DP18" s="695"/>
      <c r="DQ18" s="696"/>
      <c r="DR18" s="694">
        <f t="shared" ref="DR18" si="109">DN18</f>
        <v>120</v>
      </c>
      <c r="DS18" s="695"/>
      <c r="DT18" s="695"/>
      <c r="DU18" s="696"/>
      <c r="DV18" s="694">
        <f t="shared" ref="DV18" si="110">DR18</f>
        <v>120</v>
      </c>
      <c r="DW18" s="695"/>
      <c r="DX18" s="695"/>
      <c r="DY18" s="696"/>
      <c r="DZ18" s="694">
        <f t="shared" ref="DZ18" si="111">DV18</f>
        <v>120</v>
      </c>
      <c r="EA18" s="695"/>
      <c r="EB18" s="695"/>
      <c r="EC18" s="696"/>
      <c r="ED18" s="694">
        <f t="shared" ref="ED18" si="112">DZ18</f>
        <v>120</v>
      </c>
      <c r="EE18" s="695"/>
      <c r="EF18" s="695"/>
      <c r="EG18" s="696"/>
      <c r="EH18" s="694">
        <f t="shared" ref="EH18" si="113">ED18</f>
        <v>120</v>
      </c>
      <c r="EI18" s="695"/>
      <c r="EJ18" s="695"/>
      <c r="EK18" s="696"/>
      <c r="EL18" s="694">
        <f t="shared" ref="EL18" si="114">EH18</f>
        <v>120</v>
      </c>
      <c r="EM18" s="695"/>
      <c r="EN18" s="695"/>
      <c r="EO18" s="695"/>
      <c r="EP18" s="691">
        <f t="shared" ref="EP18" si="115">EL18</f>
        <v>120</v>
      </c>
      <c r="EQ18" s="692"/>
      <c r="ER18" s="692"/>
      <c r="ES18" s="693"/>
    </row>
    <row r="19" spans="2:149" x14ac:dyDescent="0.45">
      <c r="B19" s="227"/>
      <c r="C19" s="227"/>
      <c r="F19" s="371"/>
      <c r="G19" s="372"/>
      <c r="H19" s="372"/>
      <c r="I19" s="373"/>
      <c r="J19" s="374"/>
      <c r="K19" s="375"/>
      <c r="L19" s="375"/>
      <c r="M19" s="376"/>
      <c r="N19" s="374"/>
      <c r="O19" s="375"/>
      <c r="P19" s="375"/>
      <c r="Q19" s="376"/>
      <c r="R19" s="374"/>
      <c r="S19" s="375"/>
      <c r="T19" s="375"/>
      <c r="U19" s="376"/>
      <c r="V19" s="374"/>
      <c r="W19" s="375"/>
      <c r="X19" s="375"/>
      <c r="Y19" s="376"/>
      <c r="Z19" s="374"/>
      <c r="AA19" s="375"/>
      <c r="AB19" s="375"/>
      <c r="AC19" s="376"/>
      <c r="AD19" s="374"/>
      <c r="AE19" s="375"/>
      <c r="AF19" s="375"/>
      <c r="AG19" s="376"/>
      <c r="AH19" s="374"/>
      <c r="AI19" s="375"/>
      <c r="AJ19" s="375"/>
      <c r="AK19" s="376"/>
      <c r="AL19" s="374"/>
      <c r="AM19" s="375"/>
      <c r="AN19" s="375"/>
      <c r="AO19" s="376"/>
      <c r="AP19" s="374"/>
      <c r="AQ19" s="375"/>
      <c r="AR19" s="375"/>
      <c r="AS19" s="376"/>
      <c r="AT19" s="374"/>
      <c r="AU19" s="375"/>
      <c r="AV19" s="375"/>
      <c r="AW19" s="376"/>
      <c r="AX19" s="374"/>
      <c r="AY19" s="375"/>
      <c r="AZ19" s="375"/>
      <c r="BA19" s="376"/>
      <c r="BB19" s="374"/>
      <c r="BC19" s="375"/>
      <c r="BD19" s="375"/>
      <c r="BE19" s="376"/>
      <c r="BF19" s="374"/>
      <c r="BG19" s="375"/>
      <c r="BH19" s="375"/>
      <c r="BI19" s="376"/>
      <c r="BJ19" s="374"/>
      <c r="BK19" s="375"/>
      <c r="BL19" s="375"/>
      <c r="BM19" s="376"/>
      <c r="BN19" s="374"/>
      <c r="BO19" s="375"/>
      <c r="BP19" s="375"/>
      <c r="BQ19" s="376"/>
      <c r="BR19" s="374"/>
      <c r="BS19" s="375"/>
      <c r="BT19" s="375"/>
      <c r="BU19" s="376"/>
      <c r="BV19" s="374"/>
      <c r="BW19" s="375"/>
      <c r="BX19" s="375"/>
      <c r="BY19" s="376"/>
      <c r="BZ19" s="374"/>
      <c r="CA19" s="375"/>
      <c r="CB19" s="375"/>
      <c r="CC19" s="376"/>
      <c r="CD19" s="374"/>
      <c r="CE19" s="375"/>
      <c r="CF19" s="375"/>
      <c r="CG19" s="376"/>
      <c r="CH19" s="374"/>
      <c r="CI19" s="375"/>
      <c r="CJ19" s="375"/>
      <c r="CK19" s="376"/>
      <c r="CL19" s="374"/>
      <c r="CM19" s="375"/>
      <c r="CN19" s="375"/>
      <c r="CO19" s="376"/>
      <c r="CP19" s="374"/>
      <c r="CQ19" s="375"/>
      <c r="CR19" s="375"/>
      <c r="CS19" s="376"/>
      <c r="CT19" s="374"/>
      <c r="CU19" s="375"/>
      <c r="CV19" s="375"/>
      <c r="CW19" s="376"/>
      <c r="CX19" s="374"/>
      <c r="CY19" s="375"/>
      <c r="CZ19" s="375"/>
      <c r="DA19" s="376"/>
      <c r="DB19" s="374"/>
      <c r="DC19" s="375"/>
      <c r="DD19" s="375"/>
      <c r="DE19" s="376"/>
      <c r="DF19" s="374"/>
      <c r="DG19" s="375"/>
      <c r="DH19" s="375"/>
      <c r="DI19" s="376"/>
      <c r="DJ19" s="374"/>
      <c r="DK19" s="375"/>
      <c r="DL19" s="375"/>
      <c r="DM19" s="376"/>
      <c r="DN19" s="374"/>
      <c r="DO19" s="375"/>
      <c r="DP19" s="375"/>
      <c r="DQ19" s="376"/>
      <c r="DR19" s="374"/>
      <c r="DS19" s="375"/>
      <c r="DT19" s="375"/>
      <c r="DU19" s="376"/>
      <c r="DV19" s="374"/>
      <c r="DW19" s="375"/>
      <c r="DX19" s="375"/>
      <c r="DY19" s="376"/>
      <c r="DZ19" s="374"/>
      <c r="EA19" s="375"/>
      <c r="EB19" s="375"/>
      <c r="EC19" s="376"/>
      <c r="ED19" s="374"/>
      <c r="EE19" s="375"/>
      <c r="EF19" s="375"/>
      <c r="EG19" s="376"/>
      <c r="EH19" s="374"/>
      <c r="EI19" s="375"/>
      <c r="EJ19" s="375"/>
      <c r="EK19" s="376"/>
      <c r="EL19" s="374"/>
      <c r="EM19" s="375"/>
      <c r="EN19" s="375"/>
      <c r="EO19" s="375"/>
      <c r="EP19" s="371"/>
      <c r="EQ19" s="372"/>
      <c r="ER19" s="372"/>
      <c r="ES19" s="373"/>
    </row>
    <row r="20" spans="2:149" x14ac:dyDescent="0.45">
      <c r="B20" s="356" t="s">
        <v>1213</v>
      </c>
      <c r="C20" s="356" t="s">
        <v>1214</v>
      </c>
      <c r="F20" s="371"/>
      <c r="G20" s="372"/>
      <c r="H20" s="372"/>
      <c r="I20" s="373"/>
      <c r="J20" s="374"/>
      <c r="K20" s="375"/>
      <c r="L20" s="375"/>
      <c r="M20" s="376"/>
      <c r="N20" s="374"/>
      <c r="O20" s="375"/>
      <c r="P20" s="375"/>
      <c r="Q20" s="376"/>
      <c r="R20" s="374"/>
      <c r="S20" s="375"/>
      <c r="T20" s="375"/>
      <c r="U20" s="376"/>
      <c r="V20" s="374"/>
      <c r="W20" s="375"/>
      <c r="X20" s="375"/>
      <c r="Y20" s="376"/>
      <c r="Z20" s="374"/>
      <c r="AA20" s="375"/>
      <c r="AB20" s="375"/>
      <c r="AC20" s="376"/>
      <c r="AD20" s="374"/>
      <c r="AE20" s="375"/>
      <c r="AF20" s="375"/>
      <c r="AG20" s="376"/>
      <c r="AH20" s="374"/>
      <c r="AI20" s="375"/>
      <c r="AJ20" s="375"/>
      <c r="AK20" s="376"/>
      <c r="AL20" s="374"/>
      <c r="AM20" s="375"/>
      <c r="AN20" s="375"/>
      <c r="AO20" s="376"/>
      <c r="AP20" s="374"/>
      <c r="AQ20" s="375"/>
      <c r="AR20" s="375"/>
      <c r="AS20" s="376"/>
      <c r="AT20" s="374"/>
      <c r="AU20" s="375"/>
      <c r="AV20" s="375"/>
      <c r="AW20" s="376"/>
      <c r="AX20" s="374"/>
      <c r="AY20" s="375"/>
      <c r="AZ20" s="375"/>
      <c r="BA20" s="376"/>
      <c r="BB20" s="374"/>
      <c r="BC20" s="375"/>
      <c r="BD20" s="375"/>
      <c r="BE20" s="376"/>
      <c r="BF20" s="374"/>
      <c r="BG20" s="375"/>
      <c r="BH20" s="375"/>
      <c r="BI20" s="376"/>
      <c r="BJ20" s="374"/>
      <c r="BK20" s="375"/>
      <c r="BL20" s="375"/>
      <c r="BM20" s="376"/>
      <c r="BN20" s="374"/>
      <c r="BO20" s="375"/>
      <c r="BP20" s="375"/>
      <c r="BQ20" s="376"/>
      <c r="BR20" s="374"/>
      <c r="BS20" s="375"/>
      <c r="BT20" s="375"/>
      <c r="BU20" s="376"/>
      <c r="BV20" s="374"/>
      <c r="BW20" s="375"/>
      <c r="BX20" s="375"/>
      <c r="BY20" s="376"/>
      <c r="BZ20" s="374"/>
      <c r="CA20" s="375"/>
      <c r="CB20" s="375"/>
      <c r="CC20" s="376"/>
      <c r="CD20" s="374"/>
      <c r="CE20" s="375"/>
      <c r="CF20" s="375"/>
      <c r="CG20" s="376"/>
      <c r="CH20" s="374"/>
      <c r="CI20" s="375"/>
      <c r="CJ20" s="375"/>
      <c r="CK20" s="376"/>
      <c r="CL20" s="374"/>
      <c r="CM20" s="375"/>
      <c r="CN20" s="375"/>
      <c r="CO20" s="376"/>
      <c r="CP20" s="374"/>
      <c r="CQ20" s="375"/>
      <c r="CR20" s="375"/>
      <c r="CS20" s="376"/>
      <c r="CT20" s="374"/>
      <c r="CU20" s="375"/>
      <c r="CV20" s="375"/>
      <c r="CW20" s="376"/>
      <c r="CX20" s="374"/>
      <c r="CY20" s="375"/>
      <c r="CZ20" s="375"/>
      <c r="DA20" s="376"/>
      <c r="DB20" s="374"/>
      <c r="DC20" s="375"/>
      <c r="DD20" s="375"/>
      <c r="DE20" s="376"/>
      <c r="DF20" s="374"/>
      <c r="DG20" s="375"/>
      <c r="DH20" s="375"/>
      <c r="DI20" s="376"/>
      <c r="DJ20" s="374"/>
      <c r="DK20" s="375"/>
      <c r="DL20" s="375"/>
      <c r="DM20" s="376"/>
      <c r="DN20" s="374"/>
      <c r="DO20" s="375"/>
      <c r="DP20" s="375"/>
      <c r="DQ20" s="376"/>
      <c r="DR20" s="374"/>
      <c r="DS20" s="375"/>
      <c r="DT20" s="375"/>
      <c r="DU20" s="376"/>
      <c r="DV20" s="374"/>
      <c r="DW20" s="375"/>
      <c r="DX20" s="375"/>
      <c r="DY20" s="376"/>
      <c r="DZ20" s="374"/>
      <c r="EA20" s="375"/>
      <c r="EB20" s="375"/>
      <c r="EC20" s="376"/>
      <c r="ED20" s="374"/>
      <c r="EE20" s="375"/>
      <c r="EF20" s="375"/>
      <c r="EG20" s="376"/>
      <c r="EH20" s="374"/>
      <c r="EI20" s="375"/>
      <c r="EJ20" s="375"/>
      <c r="EK20" s="376"/>
      <c r="EL20" s="374"/>
      <c r="EM20" s="375"/>
      <c r="EN20" s="375"/>
      <c r="EO20" s="375"/>
      <c r="EP20" s="371"/>
      <c r="EQ20" s="372"/>
      <c r="ER20" s="372"/>
      <c r="ES20" s="373"/>
    </row>
    <row r="21" spans="2:149" x14ac:dyDescent="0.45">
      <c r="B21" s="227" t="s">
        <v>21</v>
      </c>
      <c r="C21" s="227" t="s">
        <v>1201</v>
      </c>
      <c r="F21" s="697">
        <v>95</v>
      </c>
      <c r="G21" s="698"/>
      <c r="H21" s="698"/>
      <c r="I21" s="699"/>
      <c r="J21" s="703">
        <f>F21</f>
        <v>95</v>
      </c>
      <c r="K21" s="690"/>
      <c r="L21" s="690"/>
      <c r="M21" s="704"/>
      <c r="N21" s="703">
        <f>J21</f>
        <v>95</v>
      </c>
      <c r="O21" s="690"/>
      <c r="P21" s="690"/>
      <c r="Q21" s="704"/>
      <c r="R21" s="703">
        <f t="shared" ref="R21" si="116">N21</f>
        <v>95</v>
      </c>
      <c r="S21" s="690"/>
      <c r="T21" s="690"/>
      <c r="U21" s="704"/>
      <c r="V21" s="703">
        <f t="shared" ref="V21" si="117">R21</f>
        <v>95</v>
      </c>
      <c r="W21" s="690"/>
      <c r="X21" s="690"/>
      <c r="Y21" s="704"/>
      <c r="Z21" s="703">
        <f t="shared" ref="Z21" si="118">V21</f>
        <v>95</v>
      </c>
      <c r="AA21" s="690"/>
      <c r="AB21" s="690"/>
      <c r="AC21" s="704"/>
      <c r="AD21" s="703">
        <f t="shared" ref="AD21" si="119">Z21</f>
        <v>95</v>
      </c>
      <c r="AE21" s="690"/>
      <c r="AF21" s="690"/>
      <c r="AG21" s="704"/>
      <c r="AH21" s="703">
        <f t="shared" ref="AH21" si="120">AD21</f>
        <v>95</v>
      </c>
      <c r="AI21" s="690"/>
      <c r="AJ21" s="690"/>
      <c r="AK21" s="704"/>
      <c r="AL21" s="703">
        <f t="shared" ref="AL21" si="121">AH21</f>
        <v>95</v>
      </c>
      <c r="AM21" s="690"/>
      <c r="AN21" s="690"/>
      <c r="AO21" s="704"/>
      <c r="AP21" s="703">
        <f t="shared" ref="AP21" si="122">AL21</f>
        <v>95</v>
      </c>
      <c r="AQ21" s="690"/>
      <c r="AR21" s="690"/>
      <c r="AS21" s="704"/>
      <c r="AT21" s="719">
        <f>AP21-1</f>
        <v>94</v>
      </c>
      <c r="AU21" s="714"/>
      <c r="AV21" s="714"/>
      <c r="AW21" s="715"/>
      <c r="AX21" s="719">
        <f>AT21-1</f>
        <v>93</v>
      </c>
      <c r="AY21" s="714"/>
      <c r="AZ21" s="714"/>
      <c r="BA21" s="715"/>
      <c r="BB21" s="719">
        <f>AX21-1</f>
        <v>92</v>
      </c>
      <c r="BC21" s="714"/>
      <c r="BD21" s="714"/>
      <c r="BE21" s="715"/>
      <c r="BF21" s="719">
        <f>BB21-1</f>
        <v>91</v>
      </c>
      <c r="BG21" s="714"/>
      <c r="BH21" s="714"/>
      <c r="BI21" s="715"/>
      <c r="BJ21" s="719">
        <f>BF21-1</f>
        <v>90</v>
      </c>
      <c r="BK21" s="714"/>
      <c r="BL21" s="714"/>
      <c r="BM21" s="715"/>
      <c r="BN21" s="719">
        <f>BJ21-1</f>
        <v>89</v>
      </c>
      <c r="BO21" s="714"/>
      <c r="BP21" s="714"/>
      <c r="BQ21" s="715"/>
      <c r="BR21" s="719">
        <f>BN21-1</f>
        <v>88</v>
      </c>
      <c r="BS21" s="714"/>
      <c r="BT21" s="714"/>
      <c r="BU21" s="715"/>
      <c r="BV21" s="719">
        <f>BR21-1</f>
        <v>87</v>
      </c>
      <c r="BW21" s="714"/>
      <c r="BX21" s="714"/>
      <c r="BY21" s="715"/>
      <c r="BZ21" s="719">
        <f>BV21-1</f>
        <v>86</v>
      </c>
      <c r="CA21" s="714"/>
      <c r="CB21" s="714"/>
      <c r="CC21" s="715"/>
      <c r="CD21" s="719">
        <f>BZ21-1</f>
        <v>85</v>
      </c>
      <c r="CE21" s="714"/>
      <c r="CF21" s="714"/>
      <c r="CG21" s="715"/>
      <c r="CH21" s="719">
        <f>CD21-1</f>
        <v>84</v>
      </c>
      <c r="CI21" s="714"/>
      <c r="CJ21" s="714"/>
      <c r="CK21" s="715"/>
      <c r="CL21" s="719">
        <f>CH21-1</f>
        <v>83</v>
      </c>
      <c r="CM21" s="714"/>
      <c r="CN21" s="714"/>
      <c r="CO21" s="715"/>
      <c r="CP21" s="719">
        <f>CL21-1</f>
        <v>82</v>
      </c>
      <c r="CQ21" s="714"/>
      <c r="CR21" s="714"/>
      <c r="CS21" s="715"/>
      <c r="CT21" s="719">
        <f>CP21-1</f>
        <v>81</v>
      </c>
      <c r="CU21" s="714"/>
      <c r="CV21" s="714"/>
      <c r="CW21" s="715"/>
      <c r="CX21" s="719">
        <f>CT21-1</f>
        <v>80</v>
      </c>
      <c r="CY21" s="714"/>
      <c r="CZ21" s="714"/>
      <c r="DA21" s="715"/>
      <c r="DB21" s="719">
        <f>CX21-1</f>
        <v>79</v>
      </c>
      <c r="DC21" s="714"/>
      <c r="DD21" s="714"/>
      <c r="DE21" s="715"/>
      <c r="DF21" s="703">
        <f>DB21</f>
        <v>79</v>
      </c>
      <c r="DG21" s="690"/>
      <c r="DH21" s="690"/>
      <c r="DI21" s="704"/>
      <c r="DJ21" s="703">
        <f>DF21</f>
        <v>79</v>
      </c>
      <c r="DK21" s="690"/>
      <c r="DL21" s="690"/>
      <c r="DM21" s="704"/>
      <c r="DN21" s="703">
        <f>DJ21</f>
        <v>79</v>
      </c>
      <c r="DO21" s="690"/>
      <c r="DP21" s="690"/>
      <c r="DQ21" s="704"/>
      <c r="DR21" s="703">
        <f t="shared" ref="DR21" si="123">DN21</f>
        <v>79</v>
      </c>
      <c r="DS21" s="690"/>
      <c r="DT21" s="690"/>
      <c r="DU21" s="704"/>
      <c r="DV21" s="703">
        <f t="shared" ref="DV21" si="124">DR21</f>
        <v>79</v>
      </c>
      <c r="DW21" s="690"/>
      <c r="DX21" s="690"/>
      <c r="DY21" s="704"/>
      <c r="DZ21" s="703">
        <f t="shared" ref="DZ21" si="125">DV21</f>
        <v>79</v>
      </c>
      <c r="EA21" s="690"/>
      <c r="EB21" s="690"/>
      <c r="EC21" s="704"/>
      <c r="ED21" s="703">
        <f t="shared" ref="ED21" si="126">DZ21</f>
        <v>79</v>
      </c>
      <c r="EE21" s="690"/>
      <c r="EF21" s="690"/>
      <c r="EG21" s="704"/>
      <c r="EH21" s="703">
        <f t="shared" ref="EH21" si="127">ED21</f>
        <v>79</v>
      </c>
      <c r="EI21" s="690"/>
      <c r="EJ21" s="690"/>
      <c r="EK21" s="704"/>
      <c r="EL21" s="703">
        <f t="shared" ref="EL21" si="128">EH21</f>
        <v>79</v>
      </c>
      <c r="EM21" s="690"/>
      <c r="EN21" s="690"/>
      <c r="EO21" s="690"/>
      <c r="EP21" s="697">
        <f t="shared" ref="EP21" si="129">EL21</f>
        <v>79</v>
      </c>
      <c r="EQ21" s="698"/>
      <c r="ER21" s="698"/>
      <c r="ES21" s="699"/>
    </row>
    <row r="22" spans="2:149" x14ac:dyDescent="0.45">
      <c r="B22" s="227" t="s">
        <v>1205</v>
      </c>
      <c r="C22" s="227" t="s">
        <v>1202</v>
      </c>
      <c r="F22" s="716">
        <f>$B$14+$B$14*F14</f>
        <v>393434.49599999998</v>
      </c>
      <c r="G22" s="717"/>
      <c r="H22" s="717"/>
      <c r="I22" s="718"/>
      <c r="J22" s="705">
        <f>$B$14+$B$14*J14</f>
        <v>393906.24</v>
      </c>
      <c r="K22" s="706"/>
      <c r="L22" s="706"/>
      <c r="M22" s="707"/>
      <c r="N22" s="705">
        <f t="shared" ref="N22" si="130">$B$14+$B$14*N14</f>
        <v>394299.36</v>
      </c>
      <c r="O22" s="706"/>
      <c r="P22" s="706"/>
      <c r="Q22" s="707"/>
      <c r="R22" s="705">
        <f t="shared" ref="R22" si="131">$B$14+$B$14*R14</f>
        <v>394692.48</v>
      </c>
      <c r="S22" s="706"/>
      <c r="T22" s="706"/>
      <c r="U22" s="707"/>
      <c r="V22" s="705">
        <f t="shared" ref="V22" si="132">$B$14+$B$14*V14</f>
        <v>395085.6</v>
      </c>
      <c r="W22" s="706"/>
      <c r="X22" s="706"/>
      <c r="Y22" s="707"/>
      <c r="Z22" s="705">
        <f t="shared" ref="Z22" si="133">$B$14+$B$14*Z14</f>
        <v>395478.72</v>
      </c>
      <c r="AA22" s="706"/>
      <c r="AB22" s="706"/>
      <c r="AC22" s="707"/>
      <c r="AD22" s="705">
        <f t="shared" ref="AD22" si="134">$B$14+$B$14*AD14</f>
        <v>395871.84</v>
      </c>
      <c r="AE22" s="706"/>
      <c r="AF22" s="706"/>
      <c r="AG22" s="707"/>
      <c r="AH22" s="705">
        <f t="shared" ref="AH22" si="135">$B$14+$B$14*AH14</f>
        <v>396264.96000000002</v>
      </c>
      <c r="AI22" s="706"/>
      <c r="AJ22" s="706"/>
      <c r="AK22" s="707"/>
      <c r="AL22" s="705">
        <f t="shared" ref="AL22" si="136">$B$14+$B$14*AL14</f>
        <v>396709.18560000003</v>
      </c>
      <c r="AM22" s="706"/>
      <c r="AN22" s="706"/>
      <c r="AO22" s="707"/>
      <c r="AP22" s="705">
        <f t="shared" ref="AP22" si="137">$B$14+$B$14*AP14</f>
        <v>396709.18560000003</v>
      </c>
      <c r="AQ22" s="706"/>
      <c r="AR22" s="706"/>
      <c r="AS22" s="707"/>
      <c r="AT22" s="711">
        <f>$C$14+$C$14*AT14</f>
        <v>0</v>
      </c>
      <c r="AU22" s="712"/>
      <c r="AV22" s="712"/>
      <c r="AW22" s="713"/>
      <c r="AX22" s="711">
        <f t="shared" ref="AX22" si="138">$C$14+$C$14*AX14</f>
        <v>0</v>
      </c>
      <c r="AY22" s="712"/>
      <c r="AZ22" s="712"/>
      <c r="BA22" s="713"/>
      <c r="BB22" s="711">
        <f t="shared" ref="BB22" si="139">$C$14+$C$14*BB14</f>
        <v>0</v>
      </c>
      <c r="BC22" s="712"/>
      <c r="BD22" s="712"/>
      <c r="BE22" s="713"/>
      <c r="BF22" s="711">
        <f t="shared" ref="BF22" si="140">$C$14+$C$14*BF14</f>
        <v>0</v>
      </c>
      <c r="BG22" s="712"/>
      <c r="BH22" s="712"/>
      <c r="BI22" s="713"/>
      <c r="BJ22" s="711">
        <f t="shared" ref="BJ22" si="141">$C$14+$C$14*BJ14</f>
        <v>0</v>
      </c>
      <c r="BK22" s="712"/>
      <c r="BL22" s="712"/>
      <c r="BM22" s="713"/>
      <c r="BN22" s="711">
        <f t="shared" ref="BN22" si="142">$C$14+$C$14*BN14</f>
        <v>0</v>
      </c>
      <c r="BO22" s="712"/>
      <c r="BP22" s="712"/>
      <c r="BQ22" s="713"/>
      <c r="BR22" s="711">
        <f t="shared" ref="BR22" si="143">$C$14+$C$14*BR14</f>
        <v>0</v>
      </c>
      <c r="BS22" s="712"/>
      <c r="BT22" s="712"/>
      <c r="BU22" s="713"/>
      <c r="BV22" s="711">
        <f t="shared" ref="BV22" si="144">$C$14+$C$14*BV14</f>
        <v>0</v>
      </c>
      <c r="BW22" s="712"/>
      <c r="BX22" s="712"/>
      <c r="BY22" s="713"/>
      <c r="BZ22" s="711">
        <f t="shared" ref="BZ22" si="145">$C$14+$C$14*BZ14</f>
        <v>0</v>
      </c>
      <c r="CA22" s="712"/>
      <c r="CB22" s="712"/>
      <c r="CC22" s="713"/>
      <c r="CD22" s="711">
        <f t="shared" ref="CD22" si="146">$C$14+$C$14*CD14</f>
        <v>0</v>
      </c>
      <c r="CE22" s="712"/>
      <c r="CF22" s="712"/>
      <c r="CG22" s="713"/>
      <c r="CH22" s="711">
        <f t="shared" ref="CH22" si="147">$C$14+$C$14*CH14</f>
        <v>0</v>
      </c>
      <c r="CI22" s="712"/>
      <c r="CJ22" s="712"/>
      <c r="CK22" s="713"/>
      <c r="CL22" s="711">
        <f t="shared" ref="CL22" si="148">$C$14+$C$14*CL14</f>
        <v>0</v>
      </c>
      <c r="CM22" s="712"/>
      <c r="CN22" s="712"/>
      <c r="CO22" s="713"/>
      <c r="CP22" s="711">
        <f t="shared" ref="CP22" si="149">$C$14+$C$14*CP14</f>
        <v>0</v>
      </c>
      <c r="CQ22" s="712"/>
      <c r="CR22" s="712"/>
      <c r="CS22" s="713"/>
      <c r="CT22" s="711">
        <f t="shared" ref="CT22" si="150">$C$14+$C$14*CT14</f>
        <v>0</v>
      </c>
      <c r="CU22" s="712"/>
      <c r="CV22" s="712"/>
      <c r="CW22" s="713"/>
      <c r="CX22" s="711">
        <f t="shared" ref="CX22" si="151">$C$14+$C$14*CX14</f>
        <v>0</v>
      </c>
      <c r="CY22" s="712"/>
      <c r="CZ22" s="712"/>
      <c r="DA22" s="713"/>
      <c r="DB22" s="711">
        <f t="shared" ref="DB22" si="152">$C$14+$C$14*DB14</f>
        <v>0</v>
      </c>
      <c r="DC22" s="712"/>
      <c r="DD22" s="712"/>
      <c r="DE22" s="713"/>
      <c r="DF22" s="711">
        <f>$C$14+$C$14*DF14</f>
        <v>0</v>
      </c>
      <c r="DG22" s="712"/>
      <c r="DH22" s="712"/>
      <c r="DI22" s="713"/>
      <c r="DJ22" s="705">
        <f>$C$14+$C$14*DJ14</f>
        <v>0</v>
      </c>
      <c r="DK22" s="706"/>
      <c r="DL22" s="706"/>
      <c r="DM22" s="707"/>
      <c r="DN22" s="705">
        <f>$C$14+$C$14*DN14</f>
        <v>0</v>
      </c>
      <c r="DO22" s="706"/>
      <c r="DP22" s="706"/>
      <c r="DQ22" s="707"/>
      <c r="DR22" s="705">
        <f t="shared" ref="DR22" si="153">$C$14+$C$14*DR14</f>
        <v>0</v>
      </c>
      <c r="DS22" s="706"/>
      <c r="DT22" s="706"/>
      <c r="DU22" s="707"/>
      <c r="DV22" s="705">
        <f t="shared" ref="DV22" si="154">$C$14+$C$14*DV14</f>
        <v>0</v>
      </c>
      <c r="DW22" s="706"/>
      <c r="DX22" s="706"/>
      <c r="DY22" s="707"/>
      <c r="DZ22" s="705">
        <f t="shared" ref="DZ22" si="155">$C$14+$C$14*DZ14</f>
        <v>0</v>
      </c>
      <c r="EA22" s="706"/>
      <c r="EB22" s="706"/>
      <c r="EC22" s="707"/>
      <c r="ED22" s="705">
        <f t="shared" ref="ED22" si="156">$C$14+$C$14*ED14</f>
        <v>0</v>
      </c>
      <c r="EE22" s="706"/>
      <c r="EF22" s="706"/>
      <c r="EG22" s="707"/>
      <c r="EH22" s="705">
        <f t="shared" ref="EH22" si="157">$C$14+$C$14*EH14</f>
        <v>0</v>
      </c>
      <c r="EI22" s="706"/>
      <c r="EJ22" s="706"/>
      <c r="EK22" s="707"/>
      <c r="EL22" s="705">
        <f>$C$14+$C$14*EL14</f>
        <v>0</v>
      </c>
      <c r="EM22" s="706"/>
      <c r="EN22" s="706"/>
      <c r="EO22" s="707"/>
      <c r="EP22" s="716">
        <f>$C$14+$C$14*EP14</f>
        <v>0</v>
      </c>
      <c r="EQ22" s="717"/>
      <c r="ER22" s="717"/>
      <c r="ES22" s="718"/>
    </row>
    <row r="23" spans="2:149" x14ac:dyDescent="0.45">
      <c r="B23" s="227" t="s">
        <v>1204</v>
      </c>
      <c r="C23" s="227" t="s">
        <v>1203</v>
      </c>
      <c r="F23" s="697">
        <v>0</v>
      </c>
      <c r="G23" s="698"/>
      <c r="H23" s="698"/>
      <c r="I23" s="699"/>
      <c r="J23" s="703">
        <v>0</v>
      </c>
      <c r="K23" s="690"/>
      <c r="L23" s="690"/>
      <c r="M23" s="704"/>
      <c r="N23" s="703">
        <v>0</v>
      </c>
      <c r="O23" s="690"/>
      <c r="P23" s="690"/>
      <c r="Q23" s="704"/>
      <c r="R23" s="703">
        <v>0</v>
      </c>
      <c r="S23" s="690"/>
      <c r="T23" s="690"/>
      <c r="U23" s="704"/>
      <c r="V23" s="703">
        <v>0</v>
      </c>
      <c r="W23" s="690"/>
      <c r="X23" s="690"/>
      <c r="Y23" s="704"/>
      <c r="Z23" s="703">
        <v>0</v>
      </c>
      <c r="AA23" s="690"/>
      <c r="AB23" s="690"/>
      <c r="AC23" s="704"/>
      <c r="AD23" s="703">
        <v>0</v>
      </c>
      <c r="AE23" s="690"/>
      <c r="AF23" s="690"/>
      <c r="AG23" s="704"/>
      <c r="AH23" s="703">
        <v>0</v>
      </c>
      <c r="AI23" s="690"/>
      <c r="AJ23" s="690"/>
      <c r="AK23" s="704"/>
      <c r="AL23" s="703">
        <v>0</v>
      </c>
      <c r="AM23" s="690"/>
      <c r="AN23" s="690"/>
      <c r="AO23" s="704"/>
      <c r="AP23" s="719">
        <v>1</v>
      </c>
      <c r="AQ23" s="714"/>
      <c r="AR23" s="714"/>
      <c r="AS23" s="715"/>
      <c r="AT23" s="719">
        <v>1</v>
      </c>
      <c r="AU23" s="714"/>
      <c r="AV23" s="714"/>
      <c r="AW23" s="715"/>
      <c r="AX23" s="719">
        <v>1</v>
      </c>
      <c r="AY23" s="714"/>
      <c r="AZ23" s="714"/>
      <c r="BA23" s="715"/>
      <c r="BB23" s="719">
        <v>1</v>
      </c>
      <c r="BC23" s="714"/>
      <c r="BD23" s="714"/>
      <c r="BE23" s="715"/>
      <c r="BF23" s="719">
        <v>1</v>
      </c>
      <c r="BG23" s="714"/>
      <c r="BH23" s="714"/>
      <c r="BI23" s="715"/>
      <c r="BJ23" s="719">
        <v>1</v>
      </c>
      <c r="BK23" s="714"/>
      <c r="BL23" s="714"/>
      <c r="BM23" s="715"/>
      <c r="BN23" s="719">
        <v>1</v>
      </c>
      <c r="BO23" s="714"/>
      <c r="BP23" s="714"/>
      <c r="BQ23" s="715"/>
      <c r="BR23" s="719">
        <v>1</v>
      </c>
      <c r="BS23" s="714"/>
      <c r="BT23" s="714"/>
      <c r="BU23" s="715"/>
      <c r="BV23" s="719">
        <v>1</v>
      </c>
      <c r="BW23" s="714"/>
      <c r="BX23" s="714"/>
      <c r="BY23" s="715"/>
      <c r="BZ23" s="719">
        <v>1</v>
      </c>
      <c r="CA23" s="714"/>
      <c r="CB23" s="714"/>
      <c r="CC23" s="715"/>
      <c r="CD23" s="719">
        <v>1</v>
      </c>
      <c r="CE23" s="714"/>
      <c r="CF23" s="714"/>
      <c r="CG23" s="715"/>
      <c r="CH23" s="719">
        <v>1</v>
      </c>
      <c r="CI23" s="714"/>
      <c r="CJ23" s="714"/>
      <c r="CK23" s="715"/>
      <c r="CL23" s="719">
        <v>1</v>
      </c>
      <c r="CM23" s="714"/>
      <c r="CN23" s="714"/>
      <c r="CO23" s="715"/>
      <c r="CP23" s="719">
        <v>1</v>
      </c>
      <c r="CQ23" s="714"/>
      <c r="CR23" s="714"/>
      <c r="CS23" s="715"/>
      <c r="CT23" s="719">
        <v>1</v>
      </c>
      <c r="CU23" s="714"/>
      <c r="CV23" s="714"/>
      <c r="CW23" s="715"/>
      <c r="CX23" s="719">
        <v>1</v>
      </c>
      <c r="CY23" s="714"/>
      <c r="CZ23" s="714"/>
      <c r="DA23" s="715"/>
      <c r="DB23" s="719">
        <v>1</v>
      </c>
      <c r="DC23" s="714"/>
      <c r="DD23" s="714"/>
      <c r="DE23" s="715"/>
      <c r="DF23" s="719">
        <v>1</v>
      </c>
      <c r="DG23" s="714"/>
      <c r="DH23" s="714"/>
      <c r="DI23" s="715"/>
      <c r="DJ23" s="703">
        <v>0</v>
      </c>
      <c r="DK23" s="690"/>
      <c r="DL23" s="690"/>
      <c r="DM23" s="704"/>
      <c r="DN23" s="703">
        <v>0</v>
      </c>
      <c r="DO23" s="690"/>
      <c r="DP23" s="690"/>
      <c r="DQ23" s="704"/>
      <c r="DR23" s="703">
        <v>0</v>
      </c>
      <c r="DS23" s="690"/>
      <c r="DT23" s="690"/>
      <c r="DU23" s="704"/>
      <c r="DV23" s="703">
        <v>0</v>
      </c>
      <c r="DW23" s="690"/>
      <c r="DX23" s="690"/>
      <c r="DY23" s="704"/>
      <c r="DZ23" s="703">
        <v>0</v>
      </c>
      <c r="EA23" s="690"/>
      <c r="EB23" s="690"/>
      <c r="EC23" s="704"/>
      <c r="ED23" s="703">
        <v>0</v>
      </c>
      <c r="EE23" s="690"/>
      <c r="EF23" s="690"/>
      <c r="EG23" s="704"/>
      <c r="EH23" s="703">
        <v>0</v>
      </c>
      <c r="EI23" s="690"/>
      <c r="EJ23" s="690"/>
      <c r="EK23" s="704"/>
      <c r="EL23" s="703">
        <v>0</v>
      </c>
      <c r="EM23" s="690"/>
      <c r="EN23" s="690"/>
      <c r="EO23" s="690"/>
      <c r="EP23" s="697">
        <v>0</v>
      </c>
      <c r="EQ23" s="698"/>
      <c r="ER23" s="698"/>
      <c r="ES23" s="699"/>
    </row>
    <row r="24" spans="2:149" x14ac:dyDescent="0.45">
      <c r="B24" s="118"/>
      <c r="C24" s="118"/>
      <c r="D24" s="359"/>
    </row>
    <row r="25" spans="2:149" x14ac:dyDescent="0.45">
      <c r="C25" s="118"/>
      <c r="D25" s="359"/>
    </row>
    <row r="26" spans="2:149" x14ac:dyDescent="0.45">
      <c r="B26" s="118"/>
      <c r="C26" s="118"/>
      <c r="D26" s="359"/>
    </row>
    <row r="27" spans="2:149" x14ac:dyDescent="0.45">
      <c r="B27" s="357" t="s">
        <v>1217</v>
      </c>
    </row>
    <row r="28" spans="2:149" x14ac:dyDescent="0.45">
      <c r="B28" s="560">
        <f>mclk_transition1!AG15</f>
        <v>327660</v>
      </c>
      <c r="C28" s="560">
        <f>mclk_transition1!AB15</f>
        <v>393192</v>
      </c>
      <c r="D28" s="558"/>
      <c r="E28" s="559"/>
      <c r="F28" s="729">
        <v>8.0000000000000004E-4</v>
      </c>
      <c r="G28" s="729"/>
      <c r="H28" s="729"/>
      <c r="I28" s="729"/>
      <c r="J28" s="726">
        <v>2E-3</v>
      </c>
      <c r="K28" s="726"/>
      <c r="L28" s="726"/>
      <c r="M28" s="726"/>
      <c r="N28" s="726">
        <v>3.0000000000000001E-3</v>
      </c>
      <c r="O28" s="726"/>
      <c r="P28" s="726"/>
      <c r="Q28" s="726"/>
      <c r="R28" s="726">
        <v>4.0000000000000001E-3</v>
      </c>
      <c r="S28" s="726"/>
      <c r="T28" s="726"/>
      <c r="U28" s="726"/>
      <c r="V28" s="726">
        <v>5.0000000000000001E-3</v>
      </c>
      <c r="W28" s="726"/>
      <c r="X28" s="726"/>
      <c r="Y28" s="726"/>
      <c r="Z28" s="726">
        <v>6.0000000000000001E-3</v>
      </c>
      <c r="AA28" s="726"/>
      <c r="AB28" s="726"/>
      <c r="AC28" s="726"/>
      <c r="AD28" s="726">
        <v>7.0000000000000001E-3</v>
      </c>
      <c r="AE28" s="726"/>
      <c r="AF28" s="726"/>
      <c r="AG28" s="726"/>
      <c r="AH28" s="726">
        <v>8.0000000000000002E-3</v>
      </c>
      <c r="AI28" s="726"/>
      <c r="AJ28" s="726"/>
      <c r="AK28" s="726"/>
      <c r="AL28" s="727">
        <v>9.1299999999999992E-3</v>
      </c>
      <c r="AM28" s="727"/>
      <c r="AN28" s="727"/>
      <c r="AO28" s="727"/>
      <c r="AP28" s="727">
        <v>9.1299999999999992E-3</v>
      </c>
      <c r="AQ28" s="727"/>
      <c r="AR28" s="727"/>
      <c r="AS28" s="727"/>
      <c r="AT28" s="728">
        <v>9.1299999999999992E-3</v>
      </c>
      <c r="AU28" s="728"/>
      <c r="AV28" s="728"/>
      <c r="AW28" s="728"/>
      <c r="AX28" s="726">
        <f>AT28</f>
        <v>9.1299999999999992E-3</v>
      </c>
      <c r="AY28" s="726"/>
      <c r="AZ28" s="726"/>
      <c r="BA28" s="726"/>
      <c r="BB28" s="726">
        <f>AX28</f>
        <v>9.1299999999999992E-3</v>
      </c>
      <c r="BC28" s="726"/>
      <c r="BD28" s="726"/>
      <c r="BE28" s="726"/>
      <c r="BF28" s="726">
        <f>BB28</f>
        <v>9.1299999999999992E-3</v>
      </c>
      <c r="BG28" s="726"/>
      <c r="BH28" s="726"/>
      <c r="BI28" s="726"/>
      <c r="BJ28" s="726">
        <f t="shared" ref="BJ28" si="158">BF28</f>
        <v>9.1299999999999992E-3</v>
      </c>
      <c r="BK28" s="726"/>
      <c r="BL28" s="726"/>
      <c r="BM28" s="726"/>
      <c r="BN28" s="726">
        <f t="shared" ref="BN28" si="159">BJ28</f>
        <v>9.1299999999999992E-3</v>
      </c>
      <c r="BO28" s="726"/>
      <c r="BP28" s="726"/>
      <c r="BQ28" s="726"/>
      <c r="BR28" s="726">
        <v>8.0000000000000002E-3</v>
      </c>
      <c r="BS28" s="726"/>
      <c r="BT28" s="726"/>
      <c r="BU28" s="726"/>
      <c r="BV28" s="726">
        <v>7.0000000000000001E-3</v>
      </c>
      <c r="BW28" s="726"/>
      <c r="BX28" s="726"/>
      <c r="BY28" s="726"/>
      <c r="BZ28" s="726">
        <v>6.0000000000000001E-3</v>
      </c>
      <c r="CA28" s="726"/>
      <c r="CB28" s="726"/>
      <c r="CC28" s="726"/>
      <c r="CD28" s="726">
        <v>5.0000000000000001E-3</v>
      </c>
      <c r="CE28" s="726"/>
      <c r="CF28" s="726"/>
      <c r="CG28" s="726"/>
      <c r="CH28" s="726">
        <v>4.0000000000000001E-3</v>
      </c>
      <c r="CI28" s="726"/>
      <c r="CJ28" s="726"/>
      <c r="CK28" s="726"/>
      <c r="CL28" s="726">
        <v>3.0000000000000001E-3</v>
      </c>
      <c r="CM28" s="726"/>
      <c r="CN28" s="726"/>
      <c r="CO28" s="726"/>
      <c r="CP28" s="726">
        <v>2E-3</v>
      </c>
      <c r="CQ28" s="726"/>
      <c r="CR28" s="726"/>
      <c r="CS28" s="726"/>
      <c r="CT28" s="729">
        <v>8.0000000000000004E-4</v>
      </c>
      <c r="CU28" s="729"/>
      <c r="CV28" s="729"/>
      <c r="CW28" s="729"/>
    </row>
    <row r="29" spans="2:149" s="5" customFormat="1" x14ac:dyDescent="0.45">
      <c r="B29" s="227" t="s">
        <v>1605</v>
      </c>
      <c r="C29" s="227" t="s">
        <v>1606</v>
      </c>
      <c r="D29" s="360"/>
      <c r="E29" s="360"/>
      <c r="F29" s="697" t="s">
        <v>1216</v>
      </c>
      <c r="G29" s="698"/>
      <c r="H29" s="698"/>
      <c r="I29" s="699"/>
      <c r="J29" s="690">
        <v>3</v>
      </c>
      <c r="K29" s="690"/>
      <c r="L29" s="690"/>
      <c r="M29" s="690"/>
      <c r="N29" s="690">
        <v>3</v>
      </c>
      <c r="O29" s="690"/>
      <c r="P29" s="690"/>
      <c r="Q29" s="690"/>
      <c r="R29" s="690">
        <v>3</v>
      </c>
      <c r="S29" s="690"/>
      <c r="T29" s="690"/>
      <c r="U29" s="690"/>
      <c r="V29" s="690">
        <v>3</v>
      </c>
      <c r="W29" s="690"/>
      <c r="X29" s="690"/>
      <c r="Y29" s="690"/>
      <c r="Z29" s="690">
        <v>3</v>
      </c>
      <c r="AA29" s="690"/>
      <c r="AB29" s="690"/>
      <c r="AC29" s="690"/>
      <c r="AD29" s="690">
        <v>3</v>
      </c>
      <c r="AE29" s="690"/>
      <c r="AF29" s="690"/>
      <c r="AG29" s="690"/>
      <c r="AH29" s="690">
        <v>3</v>
      </c>
      <c r="AI29" s="690"/>
      <c r="AJ29" s="690"/>
      <c r="AK29" s="690"/>
      <c r="AL29" s="690">
        <v>3</v>
      </c>
      <c r="AM29" s="690"/>
      <c r="AN29" s="690"/>
      <c r="AO29" s="690"/>
      <c r="AP29" s="690">
        <v>3</v>
      </c>
      <c r="AQ29" s="690"/>
      <c r="AR29" s="690"/>
      <c r="AS29" s="690"/>
      <c r="AT29" s="690">
        <v>1</v>
      </c>
      <c r="AU29" s="690"/>
      <c r="AV29" s="690"/>
      <c r="AW29" s="690"/>
      <c r="AX29" s="690">
        <v>1</v>
      </c>
      <c r="AY29" s="690"/>
      <c r="AZ29" s="690"/>
      <c r="BA29" s="690"/>
      <c r="BB29" s="690">
        <v>1</v>
      </c>
      <c r="BC29" s="690"/>
      <c r="BD29" s="690"/>
      <c r="BE29" s="690"/>
      <c r="BF29" s="690">
        <v>1</v>
      </c>
      <c r="BG29" s="690"/>
      <c r="BH29" s="690"/>
      <c r="BI29" s="690"/>
      <c r="BJ29" s="690">
        <v>1</v>
      </c>
      <c r="BK29" s="690"/>
      <c r="BL29" s="690"/>
      <c r="BM29" s="690"/>
      <c r="BN29" s="690">
        <v>3</v>
      </c>
      <c r="BO29" s="690"/>
      <c r="BP29" s="690"/>
      <c r="BQ29" s="690"/>
      <c r="BR29" s="690">
        <v>3</v>
      </c>
      <c r="BS29" s="690"/>
      <c r="BT29" s="690"/>
      <c r="BU29" s="690"/>
      <c r="BV29" s="690">
        <v>3</v>
      </c>
      <c r="BW29" s="690"/>
      <c r="BX29" s="690"/>
      <c r="BY29" s="690"/>
      <c r="BZ29" s="690">
        <v>3</v>
      </c>
      <c r="CA29" s="690"/>
      <c r="CB29" s="690"/>
      <c r="CC29" s="690"/>
      <c r="CD29" s="690">
        <v>3</v>
      </c>
      <c r="CE29" s="690"/>
      <c r="CF29" s="690"/>
      <c r="CG29" s="690"/>
      <c r="CH29" s="690">
        <v>3</v>
      </c>
      <c r="CI29" s="690"/>
      <c r="CJ29" s="690"/>
      <c r="CK29" s="690"/>
      <c r="CL29" s="690">
        <v>3</v>
      </c>
      <c r="CM29" s="690"/>
      <c r="CN29" s="690"/>
      <c r="CO29" s="690"/>
      <c r="CP29" s="690">
        <v>3</v>
      </c>
      <c r="CQ29" s="690"/>
      <c r="CR29" s="690"/>
      <c r="CS29" s="690"/>
      <c r="CT29" s="697" t="s">
        <v>1210</v>
      </c>
      <c r="CU29" s="698"/>
      <c r="CV29" s="698"/>
      <c r="CW29" s="699"/>
      <c r="CX29" s="360"/>
      <c r="CY29" s="360"/>
      <c r="CZ29" s="360"/>
      <c r="DA29" s="360"/>
      <c r="DB29" s="360"/>
      <c r="DC29" s="360"/>
      <c r="DD29" s="360"/>
      <c r="DE29" s="360"/>
      <c r="DF29" s="360"/>
      <c r="DG29" s="360"/>
      <c r="DH29" s="360"/>
      <c r="DI29" s="360"/>
      <c r="DJ29" s="360"/>
      <c r="DK29" s="360"/>
      <c r="DL29" s="360"/>
      <c r="DM29" s="360"/>
      <c r="DN29" s="360"/>
      <c r="DO29" s="360"/>
      <c r="DP29" s="360"/>
      <c r="DQ29" s="360"/>
      <c r="DR29" s="360"/>
      <c r="DS29" s="360"/>
      <c r="DT29" s="360"/>
      <c r="DU29" s="360"/>
      <c r="DV29" s="360"/>
      <c r="DW29" s="360"/>
      <c r="DX29" s="360"/>
      <c r="DY29" s="360"/>
      <c r="DZ29" s="360"/>
      <c r="EA29" s="360"/>
      <c r="EB29" s="360"/>
      <c r="EC29" s="360"/>
      <c r="ED29" s="360"/>
      <c r="EE29" s="360"/>
      <c r="EF29" s="360"/>
      <c r="EG29" s="360"/>
      <c r="EH29" s="360"/>
      <c r="EI29" s="360"/>
      <c r="EJ29" s="360"/>
      <c r="EK29" s="360"/>
      <c r="EL29" s="360"/>
      <c r="EM29" s="360"/>
      <c r="EN29" s="360"/>
      <c r="EO29" s="360"/>
      <c r="EP29" s="360"/>
      <c r="EQ29" s="360"/>
      <c r="ER29" s="360"/>
      <c r="ES29" s="360"/>
    </row>
    <row r="30" spans="2:149" x14ac:dyDescent="0.45">
      <c r="B30" s="227"/>
      <c r="C30" s="227" t="s">
        <v>13</v>
      </c>
      <c r="E30" s="361"/>
      <c r="F30" s="362"/>
      <c r="G30" s="363"/>
      <c r="H30" s="363"/>
      <c r="I30" s="363"/>
      <c r="J30" s="364"/>
      <c r="K30" s="361"/>
      <c r="L30" s="361"/>
      <c r="M30" s="361"/>
      <c r="N30" s="364"/>
      <c r="O30" s="361"/>
      <c r="P30" s="361"/>
      <c r="Q30" s="361"/>
      <c r="R30" s="364"/>
      <c r="S30" s="361"/>
      <c r="T30" s="361"/>
      <c r="U30" s="361"/>
      <c r="V30" s="364"/>
      <c r="W30" s="361"/>
      <c r="X30" s="361"/>
      <c r="Y30" s="361"/>
      <c r="Z30" s="364"/>
      <c r="AA30" s="361"/>
      <c r="AB30" s="361"/>
      <c r="AC30" s="361"/>
      <c r="AD30" s="364"/>
      <c r="AE30" s="361"/>
      <c r="AF30" s="361"/>
      <c r="AG30" s="361"/>
      <c r="AH30" s="364"/>
      <c r="AI30" s="361"/>
      <c r="AJ30" s="361"/>
      <c r="AK30" s="361"/>
      <c r="AL30" s="364"/>
      <c r="AM30" s="361"/>
      <c r="AN30" s="361"/>
      <c r="AO30" s="361"/>
      <c r="AP30" s="364"/>
      <c r="AQ30" s="361"/>
      <c r="AR30" s="361"/>
      <c r="AS30" s="361"/>
      <c r="AT30" s="364"/>
      <c r="AU30" s="361"/>
      <c r="AV30" s="361"/>
      <c r="AW30" s="361"/>
      <c r="AX30" s="364"/>
      <c r="AY30" s="361"/>
      <c r="AZ30" s="361"/>
      <c r="BA30" s="361"/>
      <c r="BB30" s="364"/>
      <c r="BC30" s="361"/>
      <c r="BD30" s="361"/>
      <c r="BE30" s="361"/>
      <c r="BF30" s="364"/>
      <c r="BG30" s="361"/>
      <c r="BH30" s="361"/>
      <c r="BI30" s="361"/>
      <c r="BJ30" s="364"/>
      <c r="BK30" s="361"/>
      <c r="BL30" s="361"/>
      <c r="BM30" s="361"/>
      <c r="BN30" s="364"/>
      <c r="BO30" s="361"/>
      <c r="BP30" s="361"/>
      <c r="BQ30" s="361"/>
      <c r="BR30" s="364"/>
      <c r="BS30" s="361"/>
      <c r="BT30" s="361"/>
      <c r="BU30" s="361"/>
      <c r="BV30" s="364"/>
      <c r="BW30" s="361"/>
      <c r="BX30" s="361"/>
      <c r="BY30" s="361"/>
      <c r="BZ30" s="364"/>
      <c r="CA30" s="361"/>
      <c r="CB30" s="361"/>
      <c r="CC30" s="361"/>
      <c r="CD30" s="364"/>
      <c r="CE30" s="361"/>
      <c r="CF30" s="361"/>
      <c r="CG30" s="361"/>
      <c r="CH30" s="364"/>
      <c r="CI30" s="361"/>
      <c r="CJ30" s="361"/>
      <c r="CK30" s="361"/>
      <c r="CL30" s="364"/>
      <c r="CM30" s="361"/>
      <c r="CN30" s="361"/>
      <c r="CO30" s="361"/>
      <c r="CP30" s="364"/>
      <c r="CQ30" s="361"/>
      <c r="CR30" s="361"/>
      <c r="CS30" s="361"/>
      <c r="CT30" s="362"/>
      <c r="CU30" s="363"/>
      <c r="CV30" s="363"/>
      <c r="CW30" s="365"/>
    </row>
    <row r="31" spans="2:149" x14ac:dyDescent="0.45">
      <c r="B31" s="227"/>
      <c r="C31" s="227"/>
      <c r="F31" s="366"/>
      <c r="G31" s="367"/>
      <c r="H31" s="367"/>
      <c r="I31" s="368"/>
      <c r="M31" s="370"/>
      <c r="N31" s="369"/>
      <c r="Q31" s="370"/>
      <c r="R31" s="369"/>
      <c r="U31" s="370"/>
      <c r="V31" s="369"/>
      <c r="Y31" s="370"/>
      <c r="Z31" s="369"/>
      <c r="AC31" s="370"/>
      <c r="AD31" s="369"/>
      <c r="AG31" s="370"/>
      <c r="AH31" s="369"/>
      <c r="AK31" s="370"/>
      <c r="AL31" s="369"/>
      <c r="AO31" s="370"/>
      <c r="AP31" s="369"/>
      <c r="AS31" s="370"/>
      <c r="AT31" s="369"/>
      <c r="AW31" s="370"/>
      <c r="AX31" s="369"/>
      <c r="BA31" s="370"/>
      <c r="BB31" s="369"/>
      <c r="BE31" s="370"/>
      <c r="BF31" s="369"/>
      <c r="BI31" s="370"/>
      <c r="BJ31" s="369"/>
      <c r="BM31" s="370"/>
      <c r="BN31" s="369"/>
      <c r="BQ31" s="370"/>
      <c r="BR31" s="369"/>
      <c r="BU31" s="370"/>
      <c r="BV31" s="369"/>
      <c r="BY31" s="370"/>
      <c r="BZ31" s="369"/>
      <c r="CC31" s="370"/>
      <c r="CD31" s="369"/>
      <c r="CG31" s="370"/>
      <c r="CH31" s="369"/>
      <c r="CK31" s="370"/>
      <c r="CL31" s="369"/>
      <c r="CO31" s="370"/>
      <c r="CP31" s="369"/>
      <c r="CT31" s="366"/>
      <c r="CU31" s="367"/>
      <c r="CV31" s="367"/>
      <c r="CW31" s="368"/>
    </row>
    <row r="32" spans="2:149" x14ac:dyDescent="0.45">
      <c r="B32" s="227" t="s">
        <v>3</v>
      </c>
      <c r="C32" s="227" t="s">
        <v>1200</v>
      </c>
      <c r="F32" s="691">
        <v>120</v>
      </c>
      <c r="G32" s="692"/>
      <c r="H32" s="692"/>
      <c r="I32" s="693"/>
      <c r="J32" s="695">
        <f>F32</f>
        <v>120</v>
      </c>
      <c r="K32" s="695"/>
      <c r="L32" s="695"/>
      <c r="M32" s="696"/>
      <c r="N32" s="694">
        <f>J32</f>
        <v>120</v>
      </c>
      <c r="O32" s="695"/>
      <c r="P32" s="695"/>
      <c r="Q32" s="696"/>
      <c r="R32" s="694">
        <f t="shared" ref="R32" si="160">N32</f>
        <v>120</v>
      </c>
      <c r="S32" s="695"/>
      <c r="T32" s="695"/>
      <c r="U32" s="696"/>
      <c r="V32" s="694">
        <f t="shared" ref="V32" si="161">R32</f>
        <v>120</v>
      </c>
      <c r="W32" s="695"/>
      <c r="X32" s="695"/>
      <c r="Y32" s="696"/>
      <c r="Z32" s="694">
        <f t="shared" ref="Z32" si="162">V32</f>
        <v>120</v>
      </c>
      <c r="AA32" s="695"/>
      <c r="AB32" s="695"/>
      <c r="AC32" s="696"/>
      <c r="AD32" s="694">
        <f t="shared" ref="AD32" si="163">Z32</f>
        <v>120</v>
      </c>
      <c r="AE32" s="695"/>
      <c r="AF32" s="695"/>
      <c r="AG32" s="696"/>
      <c r="AH32" s="694">
        <f t="shared" ref="AH32" si="164">AD32</f>
        <v>120</v>
      </c>
      <c r="AI32" s="695"/>
      <c r="AJ32" s="695"/>
      <c r="AK32" s="696"/>
      <c r="AL32" s="694">
        <f t="shared" ref="AL32" si="165">AH32</f>
        <v>120</v>
      </c>
      <c r="AM32" s="695"/>
      <c r="AN32" s="695"/>
      <c r="AO32" s="696"/>
      <c r="AP32" s="694">
        <f t="shared" ref="AP32" si="166">AL32</f>
        <v>120</v>
      </c>
      <c r="AQ32" s="695"/>
      <c r="AR32" s="695"/>
      <c r="AS32" s="696"/>
      <c r="AT32" s="694">
        <f>AP32</f>
        <v>120</v>
      </c>
      <c r="AU32" s="695"/>
      <c r="AV32" s="695"/>
      <c r="AW32" s="696"/>
      <c r="AX32" s="708">
        <f>AT32-5</f>
        <v>115</v>
      </c>
      <c r="AY32" s="709"/>
      <c r="AZ32" s="709"/>
      <c r="BA32" s="710"/>
      <c r="BB32" s="708">
        <f>AX32-5</f>
        <v>110</v>
      </c>
      <c r="BC32" s="709"/>
      <c r="BD32" s="709"/>
      <c r="BE32" s="710"/>
      <c r="BF32" s="708">
        <f>BB32-5</f>
        <v>105</v>
      </c>
      <c r="BG32" s="709"/>
      <c r="BH32" s="709"/>
      <c r="BI32" s="710"/>
      <c r="BJ32" s="694">
        <f>BF32-5</f>
        <v>100</v>
      </c>
      <c r="BK32" s="695"/>
      <c r="BL32" s="695"/>
      <c r="BM32" s="696"/>
      <c r="BN32" s="694">
        <f>BJ32</f>
        <v>100</v>
      </c>
      <c r="BO32" s="695"/>
      <c r="BP32" s="695"/>
      <c r="BQ32" s="696"/>
      <c r="BR32" s="694">
        <f>BN32</f>
        <v>100</v>
      </c>
      <c r="BS32" s="695"/>
      <c r="BT32" s="695"/>
      <c r="BU32" s="696"/>
      <c r="BV32" s="694">
        <f t="shared" ref="BV32" si="167">BR32</f>
        <v>100</v>
      </c>
      <c r="BW32" s="695"/>
      <c r="BX32" s="695"/>
      <c r="BY32" s="696"/>
      <c r="BZ32" s="694">
        <f t="shared" ref="BZ32" si="168">BV32</f>
        <v>100</v>
      </c>
      <c r="CA32" s="695"/>
      <c r="CB32" s="695"/>
      <c r="CC32" s="696"/>
      <c r="CD32" s="694">
        <f t="shared" ref="CD32" si="169">BZ32</f>
        <v>100</v>
      </c>
      <c r="CE32" s="695"/>
      <c r="CF32" s="695"/>
      <c r="CG32" s="696"/>
      <c r="CH32" s="694">
        <f t="shared" ref="CH32" si="170">CD32</f>
        <v>100</v>
      </c>
      <c r="CI32" s="695"/>
      <c r="CJ32" s="695"/>
      <c r="CK32" s="696"/>
      <c r="CL32" s="694">
        <f t="shared" ref="CL32" si="171">CH32</f>
        <v>100</v>
      </c>
      <c r="CM32" s="695"/>
      <c r="CN32" s="695"/>
      <c r="CO32" s="696"/>
      <c r="CP32" s="694">
        <f t="shared" ref="CP32" si="172">CL32</f>
        <v>100</v>
      </c>
      <c r="CQ32" s="695"/>
      <c r="CR32" s="695"/>
      <c r="CS32" s="695"/>
      <c r="CT32" s="691">
        <f t="shared" ref="CT32" si="173">CP32</f>
        <v>100</v>
      </c>
      <c r="CU32" s="692"/>
      <c r="CV32" s="692"/>
      <c r="CW32" s="693"/>
    </row>
    <row r="33" spans="2:149" x14ac:dyDescent="0.45">
      <c r="B33" s="227"/>
      <c r="C33" s="227"/>
      <c r="F33" s="371"/>
      <c r="G33" s="372"/>
      <c r="H33" s="372"/>
      <c r="I33" s="373"/>
      <c r="J33" s="375"/>
      <c r="K33" s="375"/>
      <c r="L33" s="375"/>
      <c r="M33" s="376"/>
      <c r="N33" s="374"/>
      <c r="O33" s="375"/>
      <c r="P33" s="375"/>
      <c r="Q33" s="376"/>
      <c r="R33" s="374"/>
      <c r="S33" s="375"/>
      <c r="T33" s="375"/>
      <c r="U33" s="376"/>
      <c r="V33" s="374"/>
      <c r="W33" s="375"/>
      <c r="X33" s="375"/>
      <c r="Y33" s="376"/>
      <c r="Z33" s="374"/>
      <c r="AA33" s="375"/>
      <c r="AB33" s="375"/>
      <c r="AC33" s="376"/>
      <c r="AD33" s="374"/>
      <c r="AE33" s="375"/>
      <c r="AF33" s="375"/>
      <c r="AG33" s="376"/>
      <c r="AH33" s="374"/>
      <c r="AI33" s="375"/>
      <c r="AJ33" s="375"/>
      <c r="AK33" s="376"/>
      <c r="AL33" s="374"/>
      <c r="AM33" s="375"/>
      <c r="AN33" s="375"/>
      <c r="AO33" s="376"/>
      <c r="AP33" s="374"/>
      <c r="AQ33" s="375"/>
      <c r="AR33" s="375"/>
      <c r="AS33" s="376"/>
      <c r="AT33" s="374"/>
      <c r="AU33" s="375"/>
      <c r="AV33" s="375"/>
      <c r="AW33" s="376"/>
      <c r="AX33" s="374"/>
      <c r="AY33" s="375"/>
      <c r="AZ33" s="375"/>
      <c r="BA33" s="376"/>
      <c r="BB33" s="374"/>
      <c r="BC33" s="375"/>
      <c r="BD33" s="375"/>
      <c r="BE33" s="376"/>
      <c r="BF33" s="374"/>
      <c r="BG33" s="375"/>
      <c r="BH33" s="375"/>
      <c r="BI33" s="376"/>
      <c r="BJ33" s="374"/>
      <c r="BK33" s="375"/>
      <c r="BL33" s="375"/>
      <c r="BM33" s="376"/>
      <c r="BN33" s="374"/>
      <c r="BO33" s="375"/>
      <c r="BP33" s="375"/>
      <c r="BQ33" s="376"/>
      <c r="BR33" s="374"/>
      <c r="BS33" s="375"/>
      <c r="BT33" s="375"/>
      <c r="BU33" s="376"/>
      <c r="BV33" s="374"/>
      <c r="BW33" s="375"/>
      <c r="BX33" s="375"/>
      <c r="BY33" s="376"/>
      <c r="BZ33" s="374"/>
      <c r="CA33" s="375"/>
      <c r="CB33" s="375"/>
      <c r="CC33" s="376"/>
      <c r="CD33" s="374"/>
      <c r="CE33" s="375"/>
      <c r="CF33" s="375"/>
      <c r="CG33" s="376"/>
      <c r="CH33" s="374"/>
      <c r="CI33" s="375"/>
      <c r="CJ33" s="375"/>
      <c r="CK33" s="376"/>
      <c r="CL33" s="374"/>
      <c r="CM33" s="375"/>
      <c r="CN33" s="375"/>
      <c r="CO33" s="376"/>
      <c r="CP33" s="374"/>
      <c r="CQ33" s="375"/>
      <c r="CR33" s="375"/>
      <c r="CS33" s="375"/>
      <c r="CT33" s="371"/>
      <c r="CU33" s="372"/>
      <c r="CV33" s="372"/>
      <c r="CW33" s="373"/>
    </row>
    <row r="34" spans="2:149" x14ac:dyDescent="0.45">
      <c r="B34" s="356" t="s">
        <v>1213</v>
      </c>
      <c r="C34" s="356" t="s">
        <v>1214</v>
      </c>
      <c r="F34" s="371"/>
      <c r="G34" s="372"/>
      <c r="H34" s="372"/>
      <c r="I34" s="373"/>
      <c r="J34" s="375"/>
      <c r="K34" s="375"/>
      <c r="L34" s="375"/>
      <c r="M34" s="376"/>
      <c r="N34" s="374"/>
      <c r="O34" s="375"/>
      <c r="P34" s="375"/>
      <c r="Q34" s="376"/>
      <c r="R34" s="374"/>
      <c r="S34" s="375"/>
      <c r="T34" s="375"/>
      <c r="U34" s="376"/>
      <c r="V34" s="374"/>
      <c r="W34" s="375"/>
      <c r="X34" s="375"/>
      <c r="Y34" s="376"/>
      <c r="Z34" s="374"/>
      <c r="AA34" s="375"/>
      <c r="AB34" s="375"/>
      <c r="AC34" s="376"/>
      <c r="AD34" s="374"/>
      <c r="AE34" s="375"/>
      <c r="AF34" s="375"/>
      <c r="AG34" s="376"/>
      <c r="AH34" s="374"/>
      <c r="AI34" s="375"/>
      <c r="AJ34" s="375"/>
      <c r="AK34" s="376"/>
      <c r="AL34" s="374"/>
      <c r="AM34" s="375"/>
      <c r="AN34" s="375"/>
      <c r="AO34" s="376"/>
      <c r="AP34" s="374"/>
      <c r="AQ34" s="375"/>
      <c r="AR34" s="375"/>
      <c r="AS34" s="376"/>
      <c r="AT34" s="374"/>
      <c r="AU34" s="375"/>
      <c r="AV34" s="375"/>
      <c r="AW34" s="376"/>
      <c r="AX34" s="374"/>
      <c r="AY34" s="375"/>
      <c r="AZ34" s="375"/>
      <c r="BA34" s="376"/>
      <c r="BB34" s="374"/>
      <c r="BC34" s="375"/>
      <c r="BD34" s="375"/>
      <c r="BE34" s="376"/>
      <c r="BF34" s="374"/>
      <c r="BG34" s="375"/>
      <c r="BH34" s="375"/>
      <c r="BI34" s="376"/>
      <c r="BJ34" s="374"/>
      <c r="BK34" s="375"/>
      <c r="BL34" s="375"/>
      <c r="BM34" s="376"/>
      <c r="BN34" s="374"/>
      <c r="BO34" s="375"/>
      <c r="BP34" s="375"/>
      <c r="BQ34" s="376"/>
      <c r="BR34" s="374"/>
      <c r="BS34" s="375"/>
      <c r="BT34" s="375"/>
      <c r="BU34" s="376"/>
      <c r="BV34" s="374"/>
      <c r="BW34" s="375"/>
      <c r="BX34" s="375"/>
      <c r="BY34" s="376"/>
      <c r="BZ34" s="374"/>
      <c r="CA34" s="375"/>
      <c r="CB34" s="375"/>
      <c r="CC34" s="376"/>
      <c r="CD34" s="374"/>
      <c r="CE34" s="375"/>
      <c r="CF34" s="375"/>
      <c r="CG34" s="376"/>
      <c r="CH34" s="374"/>
      <c r="CI34" s="375"/>
      <c r="CJ34" s="375"/>
      <c r="CK34" s="376"/>
      <c r="CL34" s="374"/>
      <c r="CM34" s="375"/>
      <c r="CN34" s="375"/>
      <c r="CO34" s="376"/>
      <c r="CP34" s="374"/>
      <c r="CQ34" s="375"/>
      <c r="CR34" s="375"/>
      <c r="CS34" s="375"/>
      <c r="CT34" s="371"/>
      <c r="CU34" s="372"/>
      <c r="CV34" s="372"/>
      <c r="CW34" s="373"/>
    </row>
    <row r="35" spans="2:149" x14ac:dyDescent="0.45">
      <c r="B35" s="227" t="s">
        <v>21</v>
      </c>
      <c r="C35" s="227" t="s">
        <v>1201</v>
      </c>
      <c r="F35" s="697">
        <v>19</v>
      </c>
      <c r="G35" s="698"/>
      <c r="H35" s="698"/>
      <c r="I35" s="699"/>
      <c r="J35" s="690">
        <f>F35</f>
        <v>19</v>
      </c>
      <c r="K35" s="690"/>
      <c r="L35" s="690"/>
      <c r="M35" s="704"/>
      <c r="N35" s="703">
        <f>J35</f>
        <v>19</v>
      </c>
      <c r="O35" s="690"/>
      <c r="P35" s="690"/>
      <c r="Q35" s="704"/>
      <c r="R35" s="703">
        <f t="shared" ref="R35" si="174">N35</f>
        <v>19</v>
      </c>
      <c r="S35" s="690"/>
      <c r="T35" s="690"/>
      <c r="U35" s="704"/>
      <c r="V35" s="703">
        <f t="shared" ref="V35" si="175">R35</f>
        <v>19</v>
      </c>
      <c r="W35" s="690"/>
      <c r="X35" s="690"/>
      <c r="Y35" s="704"/>
      <c r="Z35" s="703">
        <f t="shared" ref="Z35" si="176">V35</f>
        <v>19</v>
      </c>
      <c r="AA35" s="690"/>
      <c r="AB35" s="690"/>
      <c r="AC35" s="704"/>
      <c r="AD35" s="703">
        <f t="shared" ref="AD35" si="177">Z35</f>
        <v>19</v>
      </c>
      <c r="AE35" s="690"/>
      <c r="AF35" s="690"/>
      <c r="AG35" s="704"/>
      <c r="AH35" s="703">
        <f t="shared" ref="AH35" si="178">AD35</f>
        <v>19</v>
      </c>
      <c r="AI35" s="690"/>
      <c r="AJ35" s="690"/>
      <c r="AK35" s="704"/>
      <c r="AL35" s="703">
        <f t="shared" ref="AL35" si="179">AH35</f>
        <v>19</v>
      </c>
      <c r="AM35" s="690"/>
      <c r="AN35" s="690"/>
      <c r="AO35" s="704"/>
      <c r="AP35" s="703">
        <f t="shared" ref="AP35" si="180">AL35</f>
        <v>19</v>
      </c>
      <c r="AQ35" s="690"/>
      <c r="AR35" s="690"/>
      <c r="AS35" s="704"/>
      <c r="AT35" s="700">
        <f>AP35+1</f>
        <v>20</v>
      </c>
      <c r="AU35" s="701"/>
      <c r="AV35" s="701"/>
      <c r="AW35" s="702"/>
      <c r="AX35" s="700">
        <f>AT35+1</f>
        <v>21</v>
      </c>
      <c r="AY35" s="701"/>
      <c r="AZ35" s="701"/>
      <c r="BA35" s="702"/>
      <c r="BB35" s="700">
        <f>AX35+1</f>
        <v>22</v>
      </c>
      <c r="BC35" s="701"/>
      <c r="BD35" s="701"/>
      <c r="BE35" s="702"/>
      <c r="BF35" s="700">
        <f>BB35+1</f>
        <v>23</v>
      </c>
      <c r="BG35" s="701"/>
      <c r="BH35" s="701"/>
      <c r="BI35" s="702"/>
      <c r="BJ35" s="703">
        <f>BF35</f>
        <v>23</v>
      </c>
      <c r="BK35" s="690"/>
      <c r="BL35" s="690"/>
      <c r="BM35" s="704"/>
      <c r="BN35" s="703">
        <f>BJ35</f>
        <v>23</v>
      </c>
      <c r="BO35" s="690"/>
      <c r="BP35" s="690"/>
      <c r="BQ35" s="704"/>
      <c r="BR35" s="703">
        <f>BN35</f>
        <v>23</v>
      </c>
      <c r="BS35" s="690"/>
      <c r="BT35" s="690"/>
      <c r="BU35" s="704"/>
      <c r="BV35" s="703">
        <f t="shared" ref="BV35" si="181">BR35</f>
        <v>23</v>
      </c>
      <c r="BW35" s="690"/>
      <c r="BX35" s="690"/>
      <c r="BY35" s="704"/>
      <c r="BZ35" s="703">
        <f t="shared" ref="BZ35" si="182">BV35</f>
        <v>23</v>
      </c>
      <c r="CA35" s="690"/>
      <c r="CB35" s="690"/>
      <c r="CC35" s="704"/>
      <c r="CD35" s="703">
        <f t="shared" ref="CD35" si="183">BZ35</f>
        <v>23</v>
      </c>
      <c r="CE35" s="690"/>
      <c r="CF35" s="690"/>
      <c r="CG35" s="704"/>
      <c r="CH35" s="703">
        <f t="shared" ref="CH35" si="184">CD35</f>
        <v>23</v>
      </c>
      <c r="CI35" s="690"/>
      <c r="CJ35" s="690"/>
      <c r="CK35" s="704"/>
      <c r="CL35" s="703">
        <f t="shared" ref="CL35" si="185">CH35</f>
        <v>23</v>
      </c>
      <c r="CM35" s="690"/>
      <c r="CN35" s="690"/>
      <c r="CO35" s="704"/>
      <c r="CP35" s="703">
        <f t="shared" ref="CP35" si="186">CL35</f>
        <v>23</v>
      </c>
      <c r="CQ35" s="690"/>
      <c r="CR35" s="690"/>
      <c r="CS35" s="690"/>
      <c r="CT35" s="697">
        <f t="shared" ref="CT35" si="187">CP35</f>
        <v>23</v>
      </c>
      <c r="CU35" s="698"/>
      <c r="CV35" s="698"/>
      <c r="CW35" s="699"/>
    </row>
    <row r="36" spans="2:149" x14ac:dyDescent="0.45">
      <c r="B36" s="227" t="s">
        <v>1205</v>
      </c>
      <c r="C36" s="227" t="s">
        <v>1202</v>
      </c>
      <c r="F36" s="716">
        <f>$B$28+$B$28*F28</f>
        <v>327922.12800000003</v>
      </c>
      <c r="G36" s="717"/>
      <c r="H36" s="717"/>
      <c r="I36" s="718"/>
      <c r="J36" s="706">
        <f>$B$28+$B$28*J28</f>
        <v>328315.32</v>
      </c>
      <c r="K36" s="706"/>
      <c r="L36" s="706"/>
      <c r="M36" s="707"/>
      <c r="N36" s="706">
        <f t="shared" ref="N36" si="188">$B$28+$B$28*N28</f>
        <v>328642.98</v>
      </c>
      <c r="O36" s="706"/>
      <c r="P36" s="706"/>
      <c r="Q36" s="707"/>
      <c r="R36" s="706">
        <f t="shared" ref="R36" si="189">$B$28+$B$28*R28</f>
        <v>328970.64</v>
      </c>
      <c r="S36" s="706"/>
      <c r="T36" s="706"/>
      <c r="U36" s="707"/>
      <c r="V36" s="706">
        <f t="shared" ref="V36" si="190">$B$28+$B$28*V28</f>
        <v>329298.3</v>
      </c>
      <c r="W36" s="706"/>
      <c r="X36" s="706"/>
      <c r="Y36" s="707"/>
      <c r="Z36" s="706">
        <f t="shared" ref="Z36" si="191">$B$28+$B$28*Z28</f>
        <v>329625.96000000002</v>
      </c>
      <c r="AA36" s="706"/>
      <c r="AB36" s="706"/>
      <c r="AC36" s="707"/>
      <c r="AD36" s="706">
        <f t="shared" ref="AD36" si="192">$B$28+$B$28*AD28</f>
        <v>329953.62</v>
      </c>
      <c r="AE36" s="706"/>
      <c r="AF36" s="706"/>
      <c r="AG36" s="707"/>
      <c r="AH36" s="706">
        <f t="shared" ref="AH36" si="193">$B$28+$B$28*AH28</f>
        <v>330281.28000000003</v>
      </c>
      <c r="AI36" s="706"/>
      <c r="AJ36" s="706"/>
      <c r="AK36" s="707"/>
      <c r="AL36" s="706">
        <f t="shared" ref="AL36" si="194">$B$28+$B$28*AL28</f>
        <v>330651.53580000001</v>
      </c>
      <c r="AM36" s="706"/>
      <c r="AN36" s="706"/>
      <c r="AO36" s="707"/>
      <c r="AP36" s="706">
        <f t="shared" ref="AP36" si="195">$B$28+$B$28*AP28</f>
        <v>330651.53580000001</v>
      </c>
      <c r="AQ36" s="706"/>
      <c r="AR36" s="706"/>
      <c r="AS36" s="707"/>
      <c r="AT36" s="711">
        <f>$C$28+$C$28*AT28</f>
        <v>396781.84295999998</v>
      </c>
      <c r="AU36" s="714"/>
      <c r="AV36" s="714"/>
      <c r="AW36" s="715"/>
      <c r="AX36" s="711">
        <f t="shared" ref="AX36" si="196">$C$28+$C$28*AX28</f>
        <v>396781.84295999998</v>
      </c>
      <c r="AY36" s="714"/>
      <c r="AZ36" s="714"/>
      <c r="BA36" s="715"/>
      <c r="BB36" s="711">
        <f t="shared" ref="BB36" si="197">$C$28+$C$28*BB28</f>
        <v>396781.84295999998</v>
      </c>
      <c r="BC36" s="714"/>
      <c r="BD36" s="714"/>
      <c r="BE36" s="715"/>
      <c r="BF36" s="711">
        <f t="shared" ref="BF36" si="198">$C$28+$C$28*BF28</f>
        <v>396781.84295999998</v>
      </c>
      <c r="BG36" s="714"/>
      <c r="BH36" s="714"/>
      <c r="BI36" s="715"/>
      <c r="BJ36" s="711">
        <f t="shared" ref="BJ36" si="199">$C$28+$C$28*BJ28</f>
        <v>396781.84295999998</v>
      </c>
      <c r="BK36" s="714"/>
      <c r="BL36" s="714"/>
      <c r="BM36" s="715"/>
      <c r="BN36" s="705">
        <f>$C$28+$C$28*BN28</f>
        <v>396781.84295999998</v>
      </c>
      <c r="BO36" s="706"/>
      <c r="BP36" s="706"/>
      <c r="BQ36" s="707"/>
      <c r="BR36" s="705">
        <f t="shared" ref="BR36" si="200">$C$28+$C$28*BR28</f>
        <v>396337.53600000002</v>
      </c>
      <c r="BS36" s="706"/>
      <c r="BT36" s="706"/>
      <c r="BU36" s="707"/>
      <c r="BV36" s="705">
        <f t="shared" ref="BV36" si="201">$C$28+$C$28*BV28</f>
        <v>395944.34399999998</v>
      </c>
      <c r="BW36" s="706"/>
      <c r="BX36" s="706"/>
      <c r="BY36" s="707"/>
      <c r="BZ36" s="705">
        <f t="shared" ref="BZ36" si="202">$C$28+$C$28*BZ28</f>
        <v>395551.152</v>
      </c>
      <c r="CA36" s="706"/>
      <c r="CB36" s="706"/>
      <c r="CC36" s="707"/>
      <c r="CD36" s="705">
        <f t="shared" ref="CD36" si="203">$C$28+$C$28*CD28</f>
        <v>395157.96</v>
      </c>
      <c r="CE36" s="706"/>
      <c r="CF36" s="706"/>
      <c r="CG36" s="707"/>
      <c r="CH36" s="705">
        <f t="shared" ref="CH36" si="204">$C$28+$C$28*CH28</f>
        <v>394764.76799999998</v>
      </c>
      <c r="CI36" s="706"/>
      <c r="CJ36" s="706"/>
      <c r="CK36" s="707"/>
      <c r="CL36" s="705">
        <f t="shared" ref="CL36" si="205">$C$28+$C$28*CL28</f>
        <v>394371.576</v>
      </c>
      <c r="CM36" s="706"/>
      <c r="CN36" s="706"/>
      <c r="CO36" s="707"/>
      <c r="CP36" s="705">
        <f t="shared" ref="CP36" si="206">$C$28+$C$28*CP28</f>
        <v>393978.38400000002</v>
      </c>
      <c r="CQ36" s="706"/>
      <c r="CR36" s="706"/>
      <c r="CS36" s="707"/>
      <c r="CT36" s="716">
        <f>$C$28+$C$28*CT28</f>
        <v>393506.55359999998</v>
      </c>
      <c r="CU36" s="717"/>
      <c r="CV36" s="717"/>
      <c r="CW36" s="718"/>
    </row>
    <row r="37" spans="2:149" x14ac:dyDescent="0.45">
      <c r="B37" s="227" t="s">
        <v>1204</v>
      </c>
      <c r="C37" s="227" t="s">
        <v>1203</v>
      </c>
      <c r="F37" s="697">
        <v>0</v>
      </c>
      <c r="G37" s="698"/>
      <c r="H37" s="698"/>
      <c r="I37" s="699"/>
      <c r="J37" s="690">
        <v>0</v>
      </c>
      <c r="K37" s="690"/>
      <c r="L37" s="690"/>
      <c r="M37" s="704"/>
      <c r="N37" s="703">
        <v>0</v>
      </c>
      <c r="O37" s="690"/>
      <c r="P37" s="690"/>
      <c r="Q37" s="704"/>
      <c r="R37" s="703">
        <v>0</v>
      </c>
      <c r="S37" s="690"/>
      <c r="T37" s="690"/>
      <c r="U37" s="704"/>
      <c r="V37" s="703">
        <v>0</v>
      </c>
      <c r="W37" s="690"/>
      <c r="X37" s="690"/>
      <c r="Y37" s="704"/>
      <c r="Z37" s="703">
        <v>0</v>
      </c>
      <c r="AA37" s="690"/>
      <c r="AB37" s="690"/>
      <c r="AC37" s="704"/>
      <c r="AD37" s="703">
        <v>0</v>
      </c>
      <c r="AE37" s="690"/>
      <c r="AF37" s="690"/>
      <c r="AG37" s="704"/>
      <c r="AH37" s="703">
        <v>0</v>
      </c>
      <c r="AI37" s="690"/>
      <c r="AJ37" s="690"/>
      <c r="AK37" s="704"/>
      <c r="AL37" s="703">
        <v>0</v>
      </c>
      <c r="AM37" s="690"/>
      <c r="AN37" s="690"/>
      <c r="AO37" s="704"/>
      <c r="AP37" s="719">
        <v>1</v>
      </c>
      <c r="AQ37" s="714"/>
      <c r="AR37" s="714"/>
      <c r="AS37" s="715"/>
      <c r="AT37" s="719">
        <v>1</v>
      </c>
      <c r="AU37" s="714"/>
      <c r="AV37" s="714"/>
      <c r="AW37" s="715"/>
      <c r="AX37" s="719">
        <v>1</v>
      </c>
      <c r="AY37" s="714"/>
      <c r="AZ37" s="714"/>
      <c r="BA37" s="715"/>
      <c r="BB37" s="719">
        <v>1</v>
      </c>
      <c r="BC37" s="714"/>
      <c r="BD37" s="714"/>
      <c r="BE37" s="715"/>
      <c r="BF37" s="719">
        <v>1</v>
      </c>
      <c r="BG37" s="714"/>
      <c r="BH37" s="714"/>
      <c r="BI37" s="715"/>
      <c r="BJ37" s="719">
        <v>1</v>
      </c>
      <c r="BK37" s="714"/>
      <c r="BL37" s="714"/>
      <c r="BM37" s="715"/>
      <c r="BN37" s="703">
        <v>0</v>
      </c>
      <c r="BO37" s="690"/>
      <c r="BP37" s="690"/>
      <c r="BQ37" s="704"/>
      <c r="BR37" s="703">
        <v>0</v>
      </c>
      <c r="BS37" s="690"/>
      <c r="BT37" s="690"/>
      <c r="BU37" s="704"/>
      <c r="BV37" s="703">
        <v>0</v>
      </c>
      <c r="BW37" s="690"/>
      <c r="BX37" s="690"/>
      <c r="BY37" s="704"/>
      <c r="BZ37" s="703">
        <v>0</v>
      </c>
      <c r="CA37" s="690"/>
      <c r="CB37" s="690"/>
      <c r="CC37" s="704"/>
      <c r="CD37" s="703">
        <v>0</v>
      </c>
      <c r="CE37" s="690"/>
      <c r="CF37" s="690"/>
      <c r="CG37" s="704"/>
      <c r="CH37" s="703">
        <v>0</v>
      </c>
      <c r="CI37" s="690"/>
      <c r="CJ37" s="690"/>
      <c r="CK37" s="704"/>
      <c r="CL37" s="703">
        <v>0</v>
      </c>
      <c r="CM37" s="690"/>
      <c r="CN37" s="690"/>
      <c r="CO37" s="704"/>
      <c r="CP37" s="703">
        <v>0</v>
      </c>
      <c r="CQ37" s="690"/>
      <c r="CR37" s="690"/>
      <c r="CS37" s="690"/>
      <c r="CT37" s="697">
        <v>0</v>
      </c>
      <c r="CU37" s="698"/>
      <c r="CV37" s="698"/>
      <c r="CW37" s="699"/>
    </row>
    <row r="38" spans="2:149" x14ac:dyDescent="0.45">
      <c r="F38" s="377"/>
      <c r="G38" s="377"/>
      <c r="H38" s="377"/>
      <c r="I38" s="377"/>
      <c r="AT38" s="377"/>
      <c r="AU38" s="377"/>
      <c r="AV38" s="377"/>
      <c r="AW38" s="377"/>
      <c r="AX38" s="377"/>
      <c r="AY38" s="377"/>
      <c r="AZ38" s="377"/>
      <c r="BA38" s="377"/>
      <c r="BB38" s="377"/>
      <c r="BC38" s="377"/>
      <c r="BD38" s="377"/>
      <c r="BE38" s="377"/>
      <c r="BF38" s="377"/>
      <c r="BG38" s="377"/>
      <c r="BH38" s="377"/>
      <c r="BI38" s="377"/>
      <c r="BJ38" s="377"/>
      <c r="BK38" s="377"/>
      <c r="BL38" s="377"/>
      <c r="BM38" s="377"/>
    </row>
    <row r="39" spans="2:149" x14ac:dyDescent="0.45">
      <c r="B39" s="561">
        <f>C28</f>
        <v>393192</v>
      </c>
      <c r="C39" s="561">
        <f>B28</f>
        <v>327660</v>
      </c>
      <c r="D39" s="558"/>
      <c r="E39" s="559"/>
      <c r="F39" s="729">
        <f>F28</f>
        <v>8.0000000000000004E-4</v>
      </c>
      <c r="G39" s="729"/>
      <c r="H39" s="729"/>
      <c r="I39" s="729"/>
      <c r="J39" s="726">
        <f>J28</f>
        <v>2E-3</v>
      </c>
      <c r="K39" s="726"/>
      <c r="L39" s="726"/>
      <c r="M39" s="726"/>
      <c r="N39" s="726">
        <f t="shared" ref="N39" si="207">N28</f>
        <v>3.0000000000000001E-3</v>
      </c>
      <c r="O39" s="726"/>
      <c r="P39" s="726"/>
      <c r="Q39" s="726"/>
      <c r="R39" s="726">
        <f t="shared" ref="R39" si="208">R28</f>
        <v>4.0000000000000001E-3</v>
      </c>
      <c r="S39" s="726"/>
      <c r="T39" s="726"/>
      <c r="U39" s="726"/>
      <c r="V39" s="726">
        <f t="shared" ref="V39" si="209">V28</f>
        <v>5.0000000000000001E-3</v>
      </c>
      <c r="W39" s="726"/>
      <c r="X39" s="726"/>
      <c r="Y39" s="726"/>
      <c r="Z39" s="726">
        <f t="shared" ref="Z39" si="210">Z28</f>
        <v>6.0000000000000001E-3</v>
      </c>
      <c r="AA39" s="726"/>
      <c r="AB39" s="726"/>
      <c r="AC39" s="726"/>
      <c r="AD39" s="726">
        <f t="shared" ref="AD39" si="211">AD28</f>
        <v>7.0000000000000001E-3</v>
      </c>
      <c r="AE39" s="726"/>
      <c r="AF39" s="726"/>
      <c r="AG39" s="726"/>
      <c r="AH39" s="726">
        <f t="shared" ref="AH39" si="212">AH28</f>
        <v>8.0000000000000002E-3</v>
      </c>
      <c r="AI39" s="726"/>
      <c r="AJ39" s="726"/>
      <c r="AK39" s="726"/>
      <c r="AL39" s="727">
        <f>AL28</f>
        <v>9.1299999999999992E-3</v>
      </c>
      <c r="AM39" s="727"/>
      <c r="AN39" s="727"/>
      <c r="AO39" s="727"/>
      <c r="AP39" s="727">
        <f>AP28</f>
        <v>9.1299999999999992E-3</v>
      </c>
      <c r="AQ39" s="727"/>
      <c r="AR39" s="727"/>
      <c r="AS39" s="727"/>
      <c r="AT39" s="728">
        <f>AT28</f>
        <v>9.1299999999999992E-3</v>
      </c>
      <c r="AU39" s="728"/>
      <c r="AV39" s="728"/>
      <c r="AW39" s="728"/>
      <c r="AX39" s="726">
        <f>AX28</f>
        <v>9.1299999999999992E-3</v>
      </c>
      <c r="AY39" s="726"/>
      <c r="AZ39" s="726"/>
      <c r="BA39" s="726"/>
      <c r="BB39" s="726">
        <f t="shared" ref="BB39" si="213">BB28</f>
        <v>9.1299999999999992E-3</v>
      </c>
      <c r="BC39" s="726"/>
      <c r="BD39" s="726"/>
      <c r="BE39" s="726"/>
      <c r="BF39" s="726">
        <f t="shared" ref="BF39" si="214">BF28</f>
        <v>9.1299999999999992E-3</v>
      </c>
      <c r="BG39" s="726"/>
      <c r="BH39" s="726"/>
      <c r="BI39" s="726"/>
      <c r="BJ39" s="726">
        <f t="shared" ref="BJ39" si="215">BJ28</f>
        <v>9.1299999999999992E-3</v>
      </c>
      <c r="BK39" s="726"/>
      <c r="BL39" s="726"/>
      <c r="BM39" s="726"/>
      <c r="BN39" s="726">
        <f t="shared" ref="BN39" si="216">BN28</f>
        <v>9.1299999999999992E-3</v>
      </c>
      <c r="BO39" s="726"/>
      <c r="BP39" s="726"/>
      <c r="BQ39" s="726"/>
      <c r="BR39" s="726">
        <f t="shared" ref="BR39" si="217">BR28</f>
        <v>8.0000000000000002E-3</v>
      </c>
      <c r="BS39" s="726"/>
      <c r="BT39" s="726"/>
      <c r="BU39" s="726"/>
      <c r="BV39" s="726">
        <f t="shared" ref="BV39" si="218">BV28</f>
        <v>7.0000000000000001E-3</v>
      </c>
      <c r="BW39" s="726"/>
      <c r="BX39" s="726"/>
      <c r="BY39" s="726"/>
      <c r="BZ39" s="726">
        <f t="shared" ref="BZ39" si="219">BZ28</f>
        <v>6.0000000000000001E-3</v>
      </c>
      <c r="CA39" s="726"/>
      <c r="CB39" s="726"/>
      <c r="CC39" s="726"/>
      <c r="CD39" s="726">
        <f t="shared" ref="CD39" si="220">CD28</f>
        <v>5.0000000000000001E-3</v>
      </c>
      <c r="CE39" s="726"/>
      <c r="CF39" s="726"/>
      <c r="CG39" s="726"/>
      <c r="CH39" s="726">
        <f t="shared" ref="CH39" si="221">CH28</f>
        <v>4.0000000000000001E-3</v>
      </c>
      <c r="CI39" s="726"/>
      <c r="CJ39" s="726"/>
      <c r="CK39" s="726"/>
      <c r="CL39" s="726">
        <f t="shared" ref="CL39" si="222">CL28</f>
        <v>3.0000000000000001E-3</v>
      </c>
      <c r="CM39" s="726"/>
      <c r="CN39" s="726"/>
      <c r="CO39" s="726"/>
      <c r="CP39" s="726">
        <f t="shared" ref="CP39" si="223">CP28</f>
        <v>2E-3</v>
      </c>
      <c r="CQ39" s="726"/>
      <c r="CR39" s="726"/>
      <c r="CS39" s="726"/>
      <c r="CT39" s="729">
        <f>CT28</f>
        <v>8.0000000000000004E-4</v>
      </c>
      <c r="CU39" s="729"/>
      <c r="CV39" s="729"/>
      <c r="CW39" s="729"/>
    </row>
    <row r="40" spans="2:149" s="5" customFormat="1" x14ac:dyDescent="0.45">
      <c r="B40" s="227" t="s">
        <v>1605</v>
      </c>
      <c r="C40" s="227" t="s">
        <v>1606</v>
      </c>
      <c r="D40" s="358"/>
      <c r="E40" s="359"/>
      <c r="F40" s="697" t="s">
        <v>1207</v>
      </c>
      <c r="G40" s="698"/>
      <c r="H40" s="698"/>
      <c r="I40" s="699"/>
      <c r="J40" s="690">
        <v>3</v>
      </c>
      <c r="K40" s="690"/>
      <c r="L40" s="690"/>
      <c r="M40" s="690"/>
      <c r="N40" s="690">
        <v>3</v>
      </c>
      <c r="O40" s="690"/>
      <c r="P40" s="690"/>
      <c r="Q40" s="690"/>
      <c r="R40" s="690">
        <v>3</v>
      </c>
      <c r="S40" s="690"/>
      <c r="T40" s="690"/>
      <c r="U40" s="690"/>
      <c r="V40" s="690">
        <v>3</v>
      </c>
      <c r="W40" s="690"/>
      <c r="X40" s="690"/>
      <c r="Y40" s="690"/>
      <c r="Z40" s="690">
        <v>3</v>
      </c>
      <c r="AA40" s="690"/>
      <c r="AB40" s="690"/>
      <c r="AC40" s="690"/>
      <c r="AD40" s="690">
        <v>3</v>
      </c>
      <c r="AE40" s="690"/>
      <c r="AF40" s="690"/>
      <c r="AG40" s="690"/>
      <c r="AH40" s="690">
        <v>3</v>
      </c>
      <c r="AI40" s="690"/>
      <c r="AJ40" s="690"/>
      <c r="AK40" s="690"/>
      <c r="AL40" s="690">
        <v>3</v>
      </c>
      <c r="AM40" s="690"/>
      <c r="AN40" s="690"/>
      <c r="AO40" s="690"/>
      <c r="AP40" s="690">
        <v>3</v>
      </c>
      <c r="AQ40" s="690"/>
      <c r="AR40" s="690"/>
      <c r="AS40" s="690"/>
      <c r="AT40" s="690">
        <v>1</v>
      </c>
      <c r="AU40" s="690"/>
      <c r="AV40" s="690"/>
      <c r="AW40" s="690"/>
      <c r="AX40" s="690">
        <v>1</v>
      </c>
      <c r="AY40" s="690"/>
      <c r="AZ40" s="690"/>
      <c r="BA40" s="690"/>
      <c r="BB40" s="690">
        <v>1</v>
      </c>
      <c r="BC40" s="690"/>
      <c r="BD40" s="690"/>
      <c r="BE40" s="690"/>
      <c r="BF40" s="690">
        <v>1</v>
      </c>
      <c r="BG40" s="690"/>
      <c r="BH40" s="690"/>
      <c r="BI40" s="690"/>
      <c r="BJ40" s="690">
        <v>1</v>
      </c>
      <c r="BK40" s="690"/>
      <c r="BL40" s="690"/>
      <c r="BM40" s="690"/>
      <c r="BN40" s="690">
        <v>3</v>
      </c>
      <c r="BO40" s="690"/>
      <c r="BP40" s="690"/>
      <c r="BQ40" s="690"/>
      <c r="BR40" s="690">
        <v>3</v>
      </c>
      <c r="BS40" s="690"/>
      <c r="BT40" s="690"/>
      <c r="BU40" s="690"/>
      <c r="BV40" s="690">
        <v>3</v>
      </c>
      <c r="BW40" s="690"/>
      <c r="BX40" s="690"/>
      <c r="BY40" s="690"/>
      <c r="BZ40" s="690">
        <v>3</v>
      </c>
      <c r="CA40" s="690"/>
      <c r="CB40" s="690"/>
      <c r="CC40" s="690"/>
      <c r="CD40" s="690">
        <v>3</v>
      </c>
      <c r="CE40" s="690"/>
      <c r="CF40" s="690"/>
      <c r="CG40" s="690"/>
      <c r="CH40" s="690">
        <v>3</v>
      </c>
      <c r="CI40" s="690"/>
      <c r="CJ40" s="690"/>
      <c r="CK40" s="690"/>
      <c r="CL40" s="690">
        <v>3</v>
      </c>
      <c r="CM40" s="690"/>
      <c r="CN40" s="690"/>
      <c r="CO40" s="690"/>
      <c r="CP40" s="690">
        <v>3</v>
      </c>
      <c r="CQ40" s="690"/>
      <c r="CR40" s="690"/>
      <c r="CS40" s="690"/>
      <c r="CT40" s="697" t="s">
        <v>1210</v>
      </c>
      <c r="CU40" s="698"/>
      <c r="CV40" s="698"/>
      <c r="CW40" s="699"/>
      <c r="CX40" s="360"/>
      <c r="CY40" s="360"/>
      <c r="CZ40" s="360"/>
      <c r="DA40" s="360"/>
      <c r="DB40" s="360"/>
      <c r="DC40" s="360"/>
      <c r="DD40" s="360"/>
      <c r="DE40" s="360"/>
      <c r="DF40" s="360"/>
      <c r="DG40" s="360"/>
      <c r="DH40" s="360"/>
      <c r="DI40" s="360"/>
      <c r="DJ40" s="360"/>
      <c r="DK40" s="360"/>
      <c r="DL40" s="360"/>
      <c r="DM40" s="360"/>
      <c r="DN40" s="360"/>
      <c r="DO40" s="360"/>
      <c r="DP40" s="360"/>
      <c r="DQ40" s="360"/>
      <c r="DR40" s="360"/>
      <c r="DS40" s="360"/>
      <c r="DT40" s="360"/>
      <c r="DU40" s="360"/>
      <c r="DV40" s="360"/>
      <c r="DW40" s="360"/>
      <c r="DX40" s="360"/>
      <c r="DY40" s="360"/>
      <c r="DZ40" s="360"/>
      <c r="EA40" s="360"/>
      <c r="EB40" s="360"/>
      <c r="EC40" s="360"/>
      <c r="ED40" s="360"/>
      <c r="EE40" s="360"/>
      <c r="EF40" s="360"/>
      <c r="EG40" s="360"/>
      <c r="EH40" s="360"/>
      <c r="EI40" s="360"/>
      <c r="EJ40" s="360"/>
      <c r="EK40" s="360"/>
      <c r="EL40" s="360"/>
      <c r="EM40" s="360"/>
      <c r="EN40" s="360"/>
      <c r="EO40" s="360"/>
      <c r="EP40" s="360"/>
      <c r="EQ40" s="360"/>
      <c r="ER40" s="360"/>
      <c r="ES40" s="360"/>
    </row>
    <row r="41" spans="2:149" x14ac:dyDescent="0.45">
      <c r="B41" s="227"/>
      <c r="C41" s="227" t="s">
        <v>13</v>
      </c>
      <c r="F41" s="362"/>
      <c r="G41" s="363"/>
      <c r="H41" s="363"/>
      <c r="I41" s="365"/>
      <c r="J41" s="364"/>
      <c r="K41" s="361"/>
      <c r="L41" s="361"/>
      <c r="M41" s="361"/>
      <c r="N41" s="364"/>
      <c r="O41" s="361"/>
      <c r="P41" s="361"/>
      <c r="Q41" s="361"/>
      <c r="R41" s="364"/>
      <c r="S41" s="361"/>
      <c r="T41" s="361"/>
      <c r="U41" s="361"/>
      <c r="V41" s="364"/>
      <c r="W41" s="361"/>
      <c r="X41" s="361"/>
      <c r="Y41" s="361"/>
      <c r="Z41" s="364"/>
      <c r="AA41" s="361"/>
      <c r="AB41" s="361"/>
      <c r="AC41" s="361"/>
      <c r="AD41" s="364"/>
      <c r="AE41" s="361"/>
      <c r="AF41" s="361"/>
      <c r="AG41" s="361"/>
      <c r="AH41" s="364"/>
      <c r="AI41" s="361"/>
      <c r="AJ41" s="361"/>
      <c r="AK41" s="361"/>
      <c r="AL41" s="364"/>
      <c r="AM41" s="361"/>
      <c r="AN41" s="361"/>
      <c r="AO41" s="361"/>
      <c r="AP41" s="364"/>
      <c r="AQ41" s="361"/>
      <c r="AR41" s="361"/>
      <c r="AS41" s="361"/>
      <c r="AT41" s="364"/>
      <c r="AU41" s="361"/>
      <c r="AV41" s="361"/>
      <c r="AW41" s="361"/>
      <c r="AX41" s="364"/>
      <c r="AY41" s="361"/>
      <c r="AZ41" s="361"/>
      <c r="BA41" s="361"/>
      <c r="BB41" s="364"/>
      <c r="BC41" s="361"/>
      <c r="BD41" s="361"/>
      <c r="BE41" s="361"/>
      <c r="BF41" s="364"/>
      <c r="BG41" s="361"/>
      <c r="BH41" s="361"/>
      <c r="BI41" s="361"/>
      <c r="BJ41" s="364"/>
      <c r="BK41" s="361"/>
      <c r="BL41" s="361"/>
      <c r="BM41" s="361"/>
      <c r="BN41" s="364"/>
      <c r="BO41" s="361"/>
      <c r="BP41" s="361"/>
      <c r="BQ41" s="361"/>
      <c r="BR41" s="364"/>
      <c r="BS41" s="361"/>
      <c r="BT41" s="361"/>
      <c r="BU41" s="361"/>
      <c r="BV41" s="364"/>
      <c r="BW41" s="361"/>
      <c r="BX41" s="361"/>
      <c r="BY41" s="361"/>
      <c r="BZ41" s="364"/>
      <c r="CA41" s="361"/>
      <c r="CB41" s="361"/>
      <c r="CC41" s="361"/>
      <c r="CD41" s="364"/>
      <c r="CE41" s="361"/>
      <c r="CF41" s="361"/>
      <c r="CG41" s="361"/>
      <c r="CH41" s="364"/>
      <c r="CI41" s="361"/>
      <c r="CJ41" s="361"/>
      <c r="CK41" s="361"/>
      <c r="CL41" s="364"/>
      <c r="CM41" s="361"/>
      <c r="CN41" s="361"/>
      <c r="CO41" s="361"/>
      <c r="CP41" s="364"/>
      <c r="CQ41" s="361"/>
      <c r="CR41" s="361"/>
      <c r="CS41" s="361"/>
      <c r="CT41" s="362"/>
      <c r="CU41" s="363"/>
      <c r="CV41" s="363"/>
      <c r="CW41" s="365"/>
    </row>
    <row r="42" spans="2:149" x14ac:dyDescent="0.45">
      <c r="B42" s="227"/>
      <c r="C42" s="227"/>
      <c r="F42" s="366"/>
      <c r="G42" s="367"/>
      <c r="H42" s="367"/>
      <c r="I42" s="368"/>
      <c r="M42" s="370"/>
      <c r="N42" s="369"/>
      <c r="Q42" s="370"/>
      <c r="R42" s="369"/>
      <c r="U42" s="370"/>
      <c r="V42" s="369"/>
      <c r="Y42" s="370"/>
      <c r="Z42" s="369"/>
      <c r="AC42" s="370"/>
      <c r="AD42" s="369"/>
      <c r="AG42" s="370"/>
      <c r="AH42" s="369"/>
      <c r="AK42" s="370"/>
      <c r="AL42" s="369"/>
      <c r="AO42" s="370"/>
      <c r="AP42" s="369"/>
      <c r="AS42" s="370"/>
      <c r="AT42" s="369"/>
      <c r="AW42" s="370"/>
      <c r="AX42" s="369"/>
      <c r="BA42" s="370"/>
      <c r="BB42" s="369"/>
      <c r="BE42" s="370"/>
      <c r="BF42" s="369"/>
      <c r="BI42" s="370"/>
      <c r="BJ42" s="369"/>
      <c r="BM42" s="370"/>
      <c r="BN42" s="369"/>
      <c r="BQ42" s="370"/>
      <c r="BR42" s="369"/>
      <c r="BU42" s="370"/>
      <c r="BV42" s="369"/>
      <c r="BY42" s="370"/>
      <c r="BZ42" s="369"/>
      <c r="CC42" s="370"/>
      <c r="CD42" s="369"/>
      <c r="CG42" s="370"/>
      <c r="CH42" s="369"/>
      <c r="CK42" s="370"/>
      <c r="CL42" s="369"/>
      <c r="CO42" s="370"/>
      <c r="CP42" s="369"/>
      <c r="CT42" s="366"/>
      <c r="CU42" s="367"/>
      <c r="CV42" s="367"/>
      <c r="CW42" s="368"/>
    </row>
    <row r="43" spans="2:149" x14ac:dyDescent="0.45">
      <c r="B43" s="227" t="s">
        <v>3</v>
      </c>
      <c r="C43" s="227" t="s">
        <v>1200</v>
      </c>
      <c r="F43" s="691">
        <v>100</v>
      </c>
      <c r="G43" s="692"/>
      <c r="H43" s="692"/>
      <c r="I43" s="693"/>
      <c r="J43" s="695">
        <f>F43</f>
        <v>100</v>
      </c>
      <c r="K43" s="695"/>
      <c r="L43" s="695"/>
      <c r="M43" s="696"/>
      <c r="N43" s="694">
        <f>J43</f>
        <v>100</v>
      </c>
      <c r="O43" s="695"/>
      <c r="P43" s="695"/>
      <c r="Q43" s="696"/>
      <c r="R43" s="694">
        <f t="shared" ref="R43" si="224">N43</f>
        <v>100</v>
      </c>
      <c r="S43" s="695"/>
      <c r="T43" s="695"/>
      <c r="U43" s="696"/>
      <c r="V43" s="694">
        <f t="shared" ref="V43" si="225">R43</f>
        <v>100</v>
      </c>
      <c r="W43" s="695"/>
      <c r="X43" s="695"/>
      <c r="Y43" s="696"/>
      <c r="Z43" s="694">
        <f t="shared" ref="Z43" si="226">V43</f>
        <v>100</v>
      </c>
      <c r="AA43" s="695"/>
      <c r="AB43" s="695"/>
      <c r="AC43" s="696"/>
      <c r="AD43" s="694">
        <f t="shared" ref="AD43" si="227">Z43</f>
        <v>100</v>
      </c>
      <c r="AE43" s="695"/>
      <c r="AF43" s="695"/>
      <c r="AG43" s="696"/>
      <c r="AH43" s="694">
        <f t="shared" ref="AH43" si="228">AD43</f>
        <v>100</v>
      </c>
      <c r="AI43" s="695"/>
      <c r="AJ43" s="695"/>
      <c r="AK43" s="696"/>
      <c r="AL43" s="694">
        <f t="shared" ref="AL43" si="229">AH43</f>
        <v>100</v>
      </c>
      <c r="AM43" s="695"/>
      <c r="AN43" s="695"/>
      <c r="AO43" s="696"/>
      <c r="AP43" s="694">
        <f t="shared" ref="AP43" si="230">AL43</f>
        <v>100</v>
      </c>
      <c r="AQ43" s="695"/>
      <c r="AR43" s="695"/>
      <c r="AS43" s="696"/>
      <c r="AT43" s="694">
        <f>AP43</f>
        <v>100</v>
      </c>
      <c r="AU43" s="695"/>
      <c r="AV43" s="695"/>
      <c r="AW43" s="696"/>
      <c r="AX43" s="708">
        <f>AT43+5</f>
        <v>105</v>
      </c>
      <c r="AY43" s="709"/>
      <c r="AZ43" s="709"/>
      <c r="BA43" s="710"/>
      <c r="BB43" s="708">
        <f>AX43+5</f>
        <v>110</v>
      </c>
      <c r="BC43" s="709"/>
      <c r="BD43" s="709"/>
      <c r="BE43" s="710"/>
      <c r="BF43" s="708">
        <f>BB43+5</f>
        <v>115</v>
      </c>
      <c r="BG43" s="709"/>
      <c r="BH43" s="709"/>
      <c r="BI43" s="710"/>
      <c r="BJ43" s="694">
        <f>BF43+5</f>
        <v>120</v>
      </c>
      <c r="BK43" s="695"/>
      <c r="BL43" s="695"/>
      <c r="BM43" s="696"/>
      <c r="BN43" s="694">
        <f>BJ43</f>
        <v>120</v>
      </c>
      <c r="BO43" s="695"/>
      <c r="BP43" s="695"/>
      <c r="BQ43" s="696"/>
      <c r="BR43" s="694">
        <f>BN43</f>
        <v>120</v>
      </c>
      <c r="BS43" s="695"/>
      <c r="BT43" s="695"/>
      <c r="BU43" s="696"/>
      <c r="BV43" s="694">
        <f t="shared" ref="BV43" si="231">BR43</f>
        <v>120</v>
      </c>
      <c r="BW43" s="695"/>
      <c r="BX43" s="695"/>
      <c r="BY43" s="696"/>
      <c r="BZ43" s="694">
        <f t="shared" ref="BZ43" si="232">BV43</f>
        <v>120</v>
      </c>
      <c r="CA43" s="695"/>
      <c r="CB43" s="695"/>
      <c r="CC43" s="696"/>
      <c r="CD43" s="694">
        <f t="shared" ref="CD43" si="233">BZ43</f>
        <v>120</v>
      </c>
      <c r="CE43" s="695"/>
      <c r="CF43" s="695"/>
      <c r="CG43" s="696"/>
      <c r="CH43" s="694">
        <f t="shared" ref="CH43" si="234">CD43</f>
        <v>120</v>
      </c>
      <c r="CI43" s="695"/>
      <c r="CJ43" s="695"/>
      <c r="CK43" s="696"/>
      <c r="CL43" s="694">
        <f t="shared" ref="CL43" si="235">CH43</f>
        <v>120</v>
      </c>
      <c r="CM43" s="695"/>
      <c r="CN43" s="695"/>
      <c r="CO43" s="696"/>
      <c r="CP43" s="694">
        <f t="shared" ref="CP43" si="236">CL43</f>
        <v>120</v>
      </c>
      <c r="CQ43" s="695"/>
      <c r="CR43" s="695"/>
      <c r="CS43" s="695"/>
      <c r="CT43" s="691">
        <f t="shared" ref="CT43" si="237">CP43</f>
        <v>120</v>
      </c>
      <c r="CU43" s="692"/>
      <c r="CV43" s="692"/>
      <c r="CW43" s="693"/>
    </row>
    <row r="44" spans="2:149" x14ac:dyDescent="0.45">
      <c r="B44" s="227"/>
      <c r="C44" s="227"/>
      <c r="F44" s="371"/>
      <c r="G44" s="372"/>
      <c r="H44" s="372"/>
      <c r="I44" s="373"/>
      <c r="J44" s="375"/>
      <c r="K44" s="375"/>
      <c r="L44" s="375"/>
      <c r="M44" s="376"/>
      <c r="N44" s="374"/>
      <c r="O44" s="375"/>
      <c r="P44" s="375"/>
      <c r="Q44" s="376"/>
      <c r="R44" s="374"/>
      <c r="S44" s="375"/>
      <c r="T44" s="375"/>
      <c r="U44" s="376"/>
      <c r="V44" s="374"/>
      <c r="W44" s="375"/>
      <c r="X44" s="375"/>
      <c r="Y44" s="376"/>
      <c r="Z44" s="374"/>
      <c r="AA44" s="375"/>
      <c r="AB44" s="375"/>
      <c r="AC44" s="376"/>
      <c r="AD44" s="374"/>
      <c r="AE44" s="375"/>
      <c r="AF44" s="375"/>
      <c r="AG44" s="376"/>
      <c r="AH44" s="374"/>
      <c r="AI44" s="375"/>
      <c r="AJ44" s="375"/>
      <c r="AK44" s="376"/>
      <c r="AL44" s="374"/>
      <c r="AM44" s="375"/>
      <c r="AN44" s="375"/>
      <c r="AO44" s="376"/>
      <c r="AP44" s="374"/>
      <c r="AQ44" s="375"/>
      <c r="AR44" s="375"/>
      <c r="AS44" s="376"/>
      <c r="AT44" s="374"/>
      <c r="AU44" s="375"/>
      <c r="AV44" s="375"/>
      <c r="AW44" s="376"/>
      <c r="AX44" s="374"/>
      <c r="AY44" s="375"/>
      <c r="AZ44" s="375"/>
      <c r="BA44" s="376"/>
      <c r="BB44" s="374"/>
      <c r="BC44" s="375"/>
      <c r="BD44" s="375"/>
      <c r="BE44" s="376"/>
      <c r="BF44" s="374"/>
      <c r="BG44" s="375"/>
      <c r="BH44" s="375"/>
      <c r="BI44" s="376"/>
      <c r="BJ44" s="374"/>
      <c r="BK44" s="375"/>
      <c r="BL44" s="375"/>
      <c r="BM44" s="376"/>
      <c r="BN44" s="374"/>
      <c r="BO44" s="375"/>
      <c r="BP44" s="375"/>
      <c r="BQ44" s="376"/>
      <c r="BR44" s="374"/>
      <c r="BS44" s="375"/>
      <c r="BT44" s="375"/>
      <c r="BU44" s="376"/>
      <c r="BV44" s="374"/>
      <c r="BW44" s="375"/>
      <c r="BX44" s="375"/>
      <c r="BY44" s="376"/>
      <c r="BZ44" s="374"/>
      <c r="CA44" s="375"/>
      <c r="CB44" s="375"/>
      <c r="CC44" s="376"/>
      <c r="CD44" s="374"/>
      <c r="CE44" s="375"/>
      <c r="CF44" s="375"/>
      <c r="CG44" s="376"/>
      <c r="CH44" s="374"/>
      <c r="CI44" s="375"/>
      <c r="CJ44" s="375"/>
      <c r="CK44" s="376"/>
      <c r="CL44" s="374"/>
      <c r="CM44" s="375"/>
      <c r="CN44" s="375"/>
      <c r="CO44" s="376"/>
      <c r="CP44" s="374"/>
      <c r="CQ44" s="375"/>
      <c r="CR44" s="375"/>
      <c r="CS44" s="375"/>
      <c r="CT44" s="371"/>
      <c r="CU44" s="372"/>
      <c r="CV44" s="372"/>
      <c r="CW44" s="373"/>
    </row>
    <row r="45" spans="2:149" x14ac:dyDescent="0.45">
      <c r="B45" s="356" t="s">
        <v>1213</v>
      </c>
      <c r="C45" s="356" t="s">
        <v>1214</v>
      </c>
      <c r="F45" s="371"/>
      <c r="G45" s="372"/>
      <c r="H45" s="372"/>
      <c r="I45" s="373"/>
      <c r="J45" s="375"/>
      <c r="K45" s="375"/>
      <c r="L45" s="375"/>
      <c r="M45" s="376"/>
      <c r="N45" s="374"/>
      <c r="O45" s="375"/>
      <c r="P45" s="375"/>
      <c r="Q45" s="376"/>
      <c r="R45" s="374"/>
      <c r="S45" s="375"/>
      <c r="T45" s="375"/>
      <c r="U45" s="376"/>
      <c r="V45" s="374"/>
      <c r="W45" s="375"/>
      <c r="X45" s="375"/>
      <c r="Y45" s="376"/>
      <c r="Z45" s="374"/>
      <c r="AA45" s="375"/>
      <c r="AB45" s="375"/>
      <c r="AC45" s="376"/>
      <c r="AD45" s="374"/>
      <c r="AE45" s="375"/>
      <c r="AF45" s="375"/>
      <c r="AG45" s="376"/>
      <c r="AH45" s="374"/>
      <c r="AI45" s="375"/>
      <c r="AJ45" s="375"/>
      <c r="AK45" s="376"/>
      <c r="AL45" s="374"/>
      <c r="AM45" s="375"/>
      <c r="AN45" s="375"/>
      <c r="AO45" s="376"/>
      <c r="AP45" s="374"/>
      <c r="AQ45" s="375"/>
      <c r="AR45" s="375"/>
      <c r="AS45" s="376"/>
      <c r="AT45" s="374"/>
      <c r="AU45" s="375"/>
      <c r="AV45" s="375"/>
      <c r="AW45" s="376"/>
      <c r="AX45" s="374"/>
      <c r="AY45" s="375"/>
      <c r="AZ45" s="375"/>
      <c r="BA45" s="376"/>
      <c r="BB45" s="374"/>
      <c r="BC45" s="375"/>
      <c r="BD45" s="375"/>
      <c r="BE45" s="376"/>
      <c r="BF45" s="374"/>
      <c r="BG45" s="375"/>
      <c r="BH45" s="375"/>
      <c r="BI45" s="376"/>
      <c r="BJ45" s="374"/>
      <c r="BK45" s="375"/>
      <c r="BL45" s="375"/>
      <c r="BM45" s="376"/>
      <c r="BN45" s="374"/>
      <c r="BO45" s="375"/>
      <c r="BP45" s="375"/>
      <c r="BQ45" s="376"/>
      <c r="BR45" s="374"/>
      <c r="BS45" s="375"/>
      <c r="BT45" s="375"/>
      <c r="BU45" s="376"/>
      <c r="BV45" s="374"/>
      <c r="BW45" s="375"/>
      <c r="BX45" s="375"/>
      <c r="BY45" s="376"/>
      <c r="BZ45" s="374"/>
      <c r="CA45" s="375"/>
      <c r="CB45" s="375"/>
      <c r="CC45" s="376"/>
      <c r="CD45" s="374"/>
      <c r="CE45" s="375"/>
      <c r="CF45" s="375"/>
      <c r="CG45" s="376"/>
      <c r="CH45" s="374"/>
      <c r="CI45" s="375"/>
      <c r="CJ45" s="375"/>
      <c r="CK45" s="376"/>
      <c r="CL45" s="374"/>
      <c r="CM45" s="375"/>
      <c r="CN45" s="375"/>
      <c r="CO45" s="376"/>
      <c r="CP45" s="374"/>
      <c r="CQ45" s="375"/>
      <c r="CR45" s="375"/>
      <c r="CS45" s="375"/>
      <c r="CT45" s="371"/>
      <c r="CU45" s="372"/>
      <c r="CV45" s="372"/>
      <c r="CW45" s="373"/>
    </row>
    <row r="46" spans="2:149" x14ac:dyDescent="0.45">
      <c r="B46" s="227" t="s">
        <v>21</v>
      </c>
      <c r="C46" s="227" t="s">
        <v>1201</v>
      </c>
      <c r="F46" s="697">
        <v>23</v>
      </c>
      <c r="G46" s="698"/>
      <c r="H46" s="698"/>
      <c r="I46" s="699"/>
      <c r="J46" s="690">
        <f>F46</f>
        <v>23</v>
      </c>
      <c r="K46" s="690"/>
      <c r="L46" s="690"/>
      <c r="M46" s="704"/>
      <c r="N46" s="703">
        <f>J46</f>
        <v>23</v>
      </c>
      <c r="O46" s="690"/>
      <c r="P46" s="690"/>
      <c r="Q46" s="704"/>
      <c r="R46" s="703">
        <f t="shared" ref="R46" si="238">N46</f>
        <v>23</v>
      </c>
      <c r="S46" s="690"/>
      <c r="T46" s="690"/>
      <c r="U46" s="704"/>
      <c r="V46" s="703">
        <f t="shared" ref="V46" si="239">R46</f>
        <v>23</v>
      </c>
      <c r="W46" s="690"/>
      <c r="X46" s="690"/>
      <c r="Y46" s="704"/>
      <c r="Z46" s="703">
        <f t="shared" ref="Z46" si="240">V46</f>
        <v>23</v>
      </c>
      <c r="AA46" s="690"/>
      <c r="AB46" s="690"/>
      <c r="AC46" s="704"/>
      <c r="AD46" s="703">
        <f t="shared" ref="AD46" si="241">Z46</f>
        <v>23</v>
      </c>
      <c r="AE46" s="690"/>
      <c r="AF46" s="690"/>
      <c r="AG46" s="704"/>
      <c r="AH46" s="703">
        <f t="shared" ref="AH46" si="242">AD46</f>
        <v>23</v>
      </c>
      <c r="AI46" s="690"/>
      <c r="AJ46" s="690"/>
      <c r="AK46" s="704"/>
      <c r="AL46" s="703">
        <f t="shared" ref="AL46" si="243">AH46</f>
        <v>23</v>
      </c>
      <c r="AM46" s="690"/>
      <c r="AN46" s="690"/>
      <c r="AO46" s="704"/>
      <c r="AP46" s="703">
        <f t="shared" ref="AP46" si="244">AL46</f>
        <v>23</v>
      </c>
      <c r="AQ46" s="690"/>
      <c r="AR46" s="690"/>
      <c r="AS46" s="704"/>
      <c r="AT46" s="719">
        <f>AP46-1</f>
        <v>22</v>
      </c>
      <c r="AU46" s="714"/>
      <c r="AV46" s="714"/>
      <c r="AW46" s="715"/>
      <c r="AX46" s="719">
        <f>AT46-1</f>
        <v>21</v>
      </c>
      <c r="AY46" s="714"/>
      <c r="AZ46" s="714"/>
      <c r="BA46" s="715"/>
      <c r="BB46" s="719">
        <f>AX46-1</f>
        <v>20</v>
      </c>
      <c r="BC46" s="714"/>
      <c r="BD46" s="714"/>
      <c r="BE46" s="715"/>
      <c r="BF46" s="719">
        <f>BB46-1</f>
        <v>19</v>
      </c>
      <c r="BG46" s="714"/>
      <c r="BH46" s="714"/>
      <c r="BI46" s="715"/>
      <c r="BJ46" s="703">
        <f>BF46</f>
        <v>19</v>
      </c>
      <c r="BK46" s="690"/>
      <c r="BL46" s="690"/>
      <c r="BM46" s="704"/>
      <c r="BN46" s="703">
        <f>BJ46</f>
        <v>19</v>
      </c>
      <c r="BO46" s="690"/>
      <c r="BP46" s="690"/>
      <c r="BQ46" s="704"/>
      <c r="BR46" s="703">
        <f>BN46</f>
        <v>19</v>
      </c>
      <c r="BS46" s="690"/>
      <c r="BT46" s="690"/>
      <c r="BU46" s="704"/>
      <c r="BV46" s="703">
        <f t="shared" ref="BV46" si="245">BR46</f>
        <v>19</v>
      </c>
      <c r="BW46" s="690"/>
      <c r="BX46" s="690"/>
      <c r="BY46" s="704"/>
      <c r="BZ46" s="703">
        <f t="shared" ref="BZ46" si="246">BV46</f>
        <v>19</v>
      </c>
      <c r="CA46" s="690"/>
      <c r="CB46" s="690"/>
      <c r="CC46" s="704"/>
      <c r="CD46" s="703">
        <f t="shared" ref="CD46" si="247">BZ46</f>
        <v>19</v>
      </c>
      <c r="CE46" s="690"/>
      <c r="CF46" s="690"/>
      <c r="CG46" s="704"/>
      <c r="CH46" s="703">
        <f t="shared" ref="CH46" si="248">CD46</f>
        <v>19</v>
      </c>
      <c r="CI46" s="690"/>
      <c r="CJ46" s="690"/>
      <c r="CK46" s="704"/>
      <c r="CL46" s="703">
        <f t="shared" ref="CL46" si="249">CH46</f>
        <v>19</v>
      </c>
      <c r="CM46" s="690"/>
      <c r="CN46" s="690"/>
      <c r="CO46" s="704"/>
      <c r="CP46" s="703">
        <f t="shared" ref="CP46" si="250">CL46</f>
        <v>19</v>
      </c>
      <c r="CQ46" s="690"/>
      <c r="CR46" s="690"/>
      <c r="CS46" s="690"/>
      <c r="CT46" s="697">
        <f t="shared" ref="CT46" si="251">CP46</f>
        <v>19</v>
      </c>
      <c r="CU46" s="698"/>
      <c r="CV46" s="698"/>
      <c r="CW46" s="699"/>
    </row>
    <row r="47" spans="2:149" x14ac:dyDescent="0.45">
      <c r="B47" s="227" t="s">
        <v>1205</v>
      </c>
      <c r="C47" s="227" t="s">
        <v>1202</v>
      </c>
      <c r="F47" s="716">
        <f>$B$39+$B$39*F39</f>
        <v>393506.55359999998</v>
      </c>
      <c r="G47" s="717"/>
      <c r="H47" s="717"/>
      <c r="I47" s="718"/>
      <c r="J47" s="706">
        <f>$B$39+$B$39*J39</f>
        <v>393978.38400000002</v>
      </c>
      <c r="K47" s="706"/>
      <c r="L47" s="706"/>
      <c r="M47" s="707"/>
      <c r="N47" s="706">
        <f t="shared" ref="N47" si="252">$B$39+$B$39*N39</f>
        <v>394371.576</v>
      </c>
      <c r="O47" s="706"/>
      <c r="P47" s="706"/>
      <c r="Q47" s="707"/>
      <c r="R47" s="706">
        <f t="shared" ref="R47" si="253">$B$39+$B$39*R39</f>
        <v>394764.76799999998</v>
      </c>
      <c r="S47" s="706"/>
      <c r="T47" s="706"/>
      <c r="U47" s="707"/>
      <c r="V47" s="706">
        <f t="shared" ref="V47" si="254">$B$39+$B$39*V39</f>
        <v>395157.96</v>
      </c>
      <c r="W47" s="706"/>
      <c r="X47" s="706"/>
      <c r="Y47" s="707"/>
      <c r="Z47" s="706">
        <f t="shared" ref="Z47" si="255">$B$39+$B$39*Z39</f>
        <v>395551.152</v>
      </c>
      <c r="AA47" s="706"/>
      <c r="AB47" s="706"/>
      <c r="AC47" s="707"/>
      <c r="AD47" s="706">
        <f t="shared" ref="AD47" si="256">$B$39+$B$39*AD39</f>
        <v>395944.34399999998</v>
      </c>
      <c r="AE47" s="706"/>
      <c r="AF47" s="706"/>
      <c r="AG47" s="707"/>
      <c r="AH47" s="706">
        <f t="shared" ref="AH47" si="257">$B$39+$B$39*AH39</f>
        <v>396337.53600000002</v>
      </c>
      <c r="AI47" s="706"/>
      <c r="AJ47" s="706"/>
      <c r="AK47" s="707"/>
      <c r="AL47" s="706">
        <f t="shared" ref="AL47" si="258">$B$39+$B$39*AL39</f>
        <v>396781.84295999998</v>
      </c>
      <c r="AM47" s="706"/>
      <c r="AN47" s="706"/>
      <c r="AO47" s="707"/>
      <c r="AP47" s="706">
        <f t="shared" ref="AP47" si="259">$B$39+$B$39*AP39</f>
        <v>396781.84295999998</v>
      </c>
      <c r="AQ47" s="706"/>
      <c r="AR47" s="706"/>
      <c r="AS47" s="707"/>
      <c r="AT47" s="711">
        <f>$C$39+$C$39*AT39</f>
        <v>330651.53580000001</v>
      </c>
      <c r="AU47" s="714"/>
      <c r="AV47" s="714"/>
      <c r="AW47" s="715"/>
      <c r="AX47" s="711">
        <f t="shared" ref="AX47" si="260">$C$39+$C$39*AX39</f>
        <v>330651.53580000001</v>
      </c>
      <c r="AY47" s="714"/>
      <c r="AZ47" s="714"/>
      <c r="BA47" s="715"/>
      <c r="BB47" s="711">
        <f t="shared" ref="BB47" si="261">$C$39+$C$39*BB39</f>
        <v>330651.53580000001</v>
      </c>
      <c r="BC47" s="714"/>
      <c r="BD47" s="714"/>
      <c r="BE47" s="715"/>
      <c r="BF47" s="711">
        <f t="shared" ref="BF47" si="262">$C$39+$C$39*BF39</f>
        <v>330651.53580000001</v>
      </c>
      <c r="BG47" s="714"/>
      <c r="BH47" s="714"/>
      <c r="BI47" s="715"/>
      <c r="BJ47" s="711">
        <f>$C$39+$C$39*BJ39</f>
        <v>330651.53580000001</v>
      </c>
      <c r="BK47" s="714"/>
      <c r="BL47" s="714"/>
      <c r="BM47" s="715"/>
      <c r="BN47" s="705">
        <f>$C$39+$C$39*BN39</f>
        <v>330651.53580000001</v>
      </c>
      <c r="BO47" s="706"/>
      <c r="BP47" s="706"/>
      <c r="BQ47" s="707"/>
      <c r="BR47" s="705">
        <f t="shared" ref="BR47" si="263">$C$39+$C$39*BR39</f>
        <v>330281.28000000003</v>
      </c>
      <c r="BS47" s="706"/>
      <c r="BT47" s="706"/>
      <c r="BU47" s="707"/>
      <c r="BV47" s="705">
        <f t="shared" ref="BV47" si="264">$C$39+$C$39*BV39</f>
        <v>329953.62</v>
      </c>
      <c r="BW47" s="706"/>
      <c r="BX47" s="706"/>
      <c r="BY47" s="707"/>
      <c r="BZ47" s="705">
        <f t="shared" ref="BZ47" si="265">$C$39+$C$39*BZ39</f>
        <v>329625.96000000002</v>
      </c>
      <c r="CA47" s="706"/>
      <c r="CB47" s="706"/>
      <c r="CC47" s="707"/>
      <c r="CD47" s="705">
        <f t="shared" ref="CD47" si="266">$C$39+$C$39*CD39</f>
        <v>329298.3</v>
      </c>
      <c r="CE47" s="706"/>
      <c r="CF47" s="706"/>
      <c r="CG47" s="707"/>
      <c r="CH47" s="705">
        <f t="shared" ref="CH47" si="267">$C$39+$C$39*CH39</f>
        <v>328970.64</v>
      </c>
      <c r="CI47" s="706"/>
      <c r="CJ47" s="706"/>
      <c r="CK47" s="707"/>
      <c r="CL47" s="705">
        <f t="shared" ref="CL47" si="268">$C$39+$C$39*CL39</f>
        <v>328642.98</v>
      </c>
      <c r="CM47" s="706"/>
      <c r="CN47" s="706"/>
      <c r="CO47" s="707"/>
      <c r="CP47" s="705">
        <f t="shared" ref="CP47" si="269">$C$39+$C$39*CP39</f>
        <v>328315.32</v>
      </c>
      <c r="CQ47" s="706"/>
      <c r="CR47" s="706"/>
      <c r="CS47" s="707"/>
      <c r="CT47" s="716">
        <f>$C$39+$C$39*CT39</f>
        <v>327922.12800000003</v>
      </c>
      <c r="CU47" s="717"/>
      <c r="CV47" s="717"/>
      <c r="CW47" s="718"/>
    </row>
    <row r="48" spans="2:149" x14ac:dyDescent="0.45">
      <c r="B48" s="227" t="s">
        <v>1204</v>
      </c>
      <c r="C48" s="227" t="s">
        <v>1203</v>
      </c>
      <c r="F48" s="697">
        <v>0</v>
      </c>
      <c r="G48" s="698"/>
      <c r="H48" s="698"/>
      <c r="I48" s="699"/>
      <c r="J48" s="690">
        <v>0</v>
      </c>
      <c r="K48" s="690"/>
      <c r="L48" s="690"/>
      <c r="M48" s="704"/>
      <c r="N48" s="703">
        <v>0</v>
      </c>
      <c r="O48" s="690"/>
      <c r="P48" s="690"/>
      <c r="Q48" s="704"/>
      <c r="R48" s="703">
        <v>0</v>
      </c>
      <c r="S48" s="690"/>
      <c r="T48" s="690"/>
      <c r="U48" s="704"/>
      <c r="V48" s="703">
        <v>0</v>
      </c>
      <c r="W48" s="690"/>
      <c r="X48" s="690"/>
      <c r="Y48" s="704"/>
      <c r="Z48" s="703">
        <v>0</v>
      </c>
      <c r="AA48" s="690"/>
      <c r="AB48" s="690"/>
      <c r="AC48" s="704"/>
      <c r="AD48" s="703">
        <v>0</v>
      </c>
      <c r="AE48" s="690"/>
      <c r="AF48" s="690"/>
      <c r="AG48" s="704"/>
      <c r="AH48" s="703">
        <v>0</v>
      </c>
      <c r="AI48" s="690"/>
      <c r="AJ48" s="690"/>
      <c r="AK48" s="704"/>
      <c r="AL48" s="703">
        <v>0</v>
      </c>
      <c r="AM48" s="690"/>
      <c r="AN48" s="690"/>
      <c r="AO48" s="704"/>
      <c r="AP48" s="719">
        <v>1</v>
      </c>
      <c r="AQ48" s="714"/>
      <c r="AR48" s="714"/>
      <c r="AS48" s="715"/>
      <c r="AT48" s="719">
        <v>1</v>
      </c>
      <c r="AU48" s="714"/>
      <c r="AV48" s="714"/>
      <c r="AW48" s="715"/>
      <c r="AX48" s="719">
        <v>1</v>
      </c>
      <c r="AY48" s="714"/>
      <c r="AZ48" s="714"/>
      <c r="BA48" s="715"/>
      <c r="BB48" s="719">
        <v>1</v>
      </c>
      <c r="BC48" s="714"/>
      <c r="BD48" s="714"/>
      <c r="BE48" s="715"/>
      <c r="BF48" s="719">
        <v>1</v>
      </c>
      <c r="BG48" s="714"/>
      <c r="BH48" s="714"/>
      <c r="BI48" s="715"/>
      <c r="BJ48" s="719">
        <v>1</v>
      </c>
      <c r="BK48" s="714"/>
      <c r="BL48" s="714"/>
      <c r="BM48" s="715"/>
      <c r="BN48" s="703">
        <v>0</v>
      </c>
      <c r="BO48" s="690"/>
      <c r="BP48" s="690"/>
      <c r="BQ48" s="704"/>
      <c r="BR48" s="703">
        <v>0</v>
      </c>
      <c r="BS48" s="690"/>
      <c r="BT48" s="690"/>
      <c r="BU48" s="704"/>
      <c r="BV48" s="703">
        <v>0</v>
      </c>
      <c r="BW48" s="690"/>
      <c r="BX48" s="690"/>
      <c r="BY48" s="704"/>
      <c r="BZ48" s="703">
        <v>0</v>
      </c>
      <c r="CA48" s="690"/>
      <c r="CB48" s="690"/>
      <c r="CC48" s="704"/>
      <c r="CD48" s="703">
        <v>0</v>
      </c>
      <c r="CE48" s="690"/>
      <c r="CF48" s="690"/>
      <c r="CG48" s="704"/>
      <c r="CH48" s="703">
        <v>0</v>
      </c>
      <c r="CI48" s="690"/>
      <c r="CJ48" s="690"/>
      <c r="CK48" s="704"/>
      <c r="CL48" s="703">
        <v>0</v>
      </c>
      <c r="CM48" s="690"/>
      <c r="CN48" s="690"/>
      <c r="CO48" s="704"/>
      <c r="CP48" s="703">
        <v>0</v>
      </c>
      <c r="CQ48" s="690"/>
      <c r="CR48" s="690"/>
      <c r="CS48" s="690"/>
      <c r="CT48" s="697">
        <v>0</v>
      </c>
      <c r="CU48" s="698"/>
      <c r="CV48" s="698"/>
      <c r="CW48" s="699"/>
    </row>
  </sheetData>
  <mergeCells count="720">
    <mergeCell ref="BZ39:CC39"/>
    <mergeCell ref="CD39:CG39"/>
    <mergeCell ref="CH39:CK39"/>
    <mergeCell ref="CL39:CO39"/>
    <mergeCell ref="CP39:CS39"/>
    <mergeCell ref="CT39:CW39"/>
    <mergeCell ref="BB39:BE39"/>
    <mergeCell ref="BF39:BI39"/>
    <mergeCell ref="BJ39:BM39"/>
    <mergeCell ref="BN39:BQ39"/>
    <mergeCell ref="BR39:BU39"/>
    <mergeCell ref="BV39:BY39"/>
    <mergeCell ref="BZ28:CC28"/>
    <mergeCell ref="CD28:CG28"/>
    <mergeCell ref="CH28:CK28"/>
    <mergeCell ref="CL28:CO28"/>
    <mergeCell ref="CP28:CS28"/>
    <mergeCell ref="CT28:CW28"/>
    <mergeCell ref="BB28:BE28"/>
    <mergeCell ref="BF28:BI28"/>
    <mergeCell ref="BJ28:BM28"/>
    <mergeCell ref="BN28:BQ28"/>
    <mergeCell ref="BR28:BU28"/>
    <mergeCell ref="BV28:BY28"/>
    <mergeCell ref="AD39:AG39"/>
    <mergeCell ref="AH39:AK39"/>
    <mergeCell ref="AL39:AO39"/>
    <mergeCell ref="AP39:AS39"/>
    <mergeCell ref="AT39:AW39"/>
    <mergeCell ref="AX39:BA39"/>
    <mergeCell ref="F39:I39"/>
    <mergeCell ref="J39:M39"/>
    <mergeCell ref="N39:Q39"/>
    <mergeCell ref="R39:U39"/>
    <mergeCell ref="V39:Y39"/>
    <mergeCell ref="Z39:AC39"/>
    <mergeCell ref="AD28:AG28"/>
    <mergeCell ref="AH28:AK28"/>
    <mergeCell ref="AL28:AO28"/>
    <mergeCell ref="AP28:AS28"/>
    <mergeCell ref="AT28:AW28"/>
    <mergeCell ref="AX28:BA28"/>
    <mergeCell ref="F28:I28"/>
    <mergeCell ref="J28:M28"/>
    <mergeCell ref="N28:Q28"/>
    <mergeCell ref="R28:U28"/>
    <mergeCell ref="V28:Y28"/>
    <mergeCell ref="Z28:AC28"/>
    <mergeCell ref="DV14:DY14"/>
    <mergeCell ref="DZ14:EC14"/>
    <mergeCell ref="ED14:EG14"/>
    <mergeCell ref="EH14:EK14"/>
    <mergeCell ref="EL14:EO14"/>
    <mergeCell ref="EP14:ES14"/>
    <mergeCell ref="CX14:DA14"/>
    <mergeCell ref="DB14:DE14"/>
    <mergeCell ref="DF14:DI14"/>
    <mergeCell ref="DJ14:DM14"/>
    <mergeCell ref="DN14:DQ14"/>
    <mergeCell ref="DR14:DU14"/>
    <mergeCell ref="BZ14:CC14"/>
    <mergeCell ref="CD14:CG14"/>
    <mergeCell ref="CH14:CK14"/>
    <mergeCell ref="CL14:CO14"/>
    <mergeCell ref="CP14:CS14"/>
    <mergeCell ref="CT14:CW14"/>
    <mergeCell ref="BB14:BE14"/>
    <mergeCell ref="BF14:BI14"/>
    <mergeCell ref="BJ14:BM14"/>
    <mergeCell ref="BN14:BQ14"/>
    <mergeCell ref="BR14:BU14"/>
    <mergeCell ref="BV14:BY14"/>
    <mergeCell ref="AD14:AG14"/>
    <mergeCell ref="AH14:AK14"/>
    <mergeCell ref="AL14:AO14"/>
    <mergeCell ref="AP14:AS14"/>
    <mergeCell ref="AT14:AW14"/>
    <mergeCell ref="AX14:BA14"/>
    <mergeCell ref="F14:I14"/>
    <mergeCell ref="J14:M14"/>
    <mergeCell ref="N14:Q14"/>
    <mergeCell ref="R14:U14"/>
    <mergeCell ref="V14:Y14"/>
    <mergeCell ref="Z14:AC14"/>
    <mergeCell ref="DV3:DY3"/>
    <mergeCell ref="DZ3:EC3"/>
    <mergeCell ref="ED3:EG3"/>
    <mergeCell ref="EH3:EK3"/>
    <mergeCell ref="EL3:EO3"/>
    <mergeCell ref="EP3:ES3"/>
    <mergeCell ref="CX3:DA3"/>
    <mergeCell ref="DB3:DE3"/>
    <mergeCell ref="DF3:DI3"/>
    <mergeCell ref="DJ3:DM3"/>
    <mergeCell ref="DN3:DQ3"/>
    <mergeCell ref="DR3:DU3"/>
    <mergeCell ref="BZ3:CC3"/>
    <mergeCell ref="CD3:CG3"/>
    <mergeCell ref="CH3:CK3"/>
    <mergeCell ref="CL3:CO3"/>
    <mergeCell ref="CP3:CS3"/>
    <mergeCell ref="CT3:CW3"/>
    <mergeCell ref="BB3:BE3"/>
    <mergeCell ref="BF3:BI3"/>
    <mergeCell ref="BJ3:BM3"/>
    <mergeCell ref="BN3:BQ3"/>
    <mergeCell ref="BR3:BU3"/>
    <mergeCell ref="BV3:BY3"/>
    <mergeCell ref="AD3:AG3"/>
    <mergeCell ref="AH3:AK3"/>
    <mergeCell ref="AL3:AO3"/>
    <mergeCell ref="AP3:AS3"/>
    <mergeCell ref="AT3:AW3"/>
    <mergeCell ref="AX3:BA3"/>
    <mergeCell ref="F3:I3"/>
    <mergeCell ref="J3:M3"/>
    <mergeCell ref="N3:Q3"/>
    <mergeCell ref="R3:U3"/>
    <mergeCell ref="V3:Y3"/>
    <mergeCell ref="Z3:AC3"/>
    <mergeCell ref="BZ48:CC48"/>
    <mergeCell ref="CD48:CG48"/>
    <mergeCell ref="CH48:CK48"/>
    <mergeCell ref="CL48:CO48"/>
    <mergeCell ref="CP48:CS48"/>
    <mergeCell ref="CT48:CW48"/>
    <mergeCell ref="BB48:BE48"/>
    <mergeCell ref="BF48:BI48"/>
    <mergeCell ref="BJ48:BM48"/>
    <mergeCell ref="BN48:BQ48"/>
    <mergeCell ref="BR48:BU48"/>
    <mergeCell ref="BV48:BY48"/>
    <mergeCell ref="AD48:AG48"/>
    <mergeCell ref="AH48:AK48"/>
    <mergeCell ref="AL48:AO48"/>
    <mergeCell ref="AP48:AS48"/>
    <mergeCell ref="AT48:AW48"/>
    <mergeCell ref="AX48:BA48"/>
    <mergeCell ref="F48:I48"/>
    <mergeCell ref="J48:M48"/>
    <mergeCell ref="N48:Q48"/>
    <mergeCell ref="R48:U48"/>
    <mergeCell ref="V48:Y48"/>
    <mergeCell ref="Z48:AC48"/>
    <mergeCell ref="BZ47:CC47"/>
    <mergeCell ref="CD47:CG47"/>
    <mergeCell ref="CH47:CK47"/>
    <mergeCell ref="CL47:CO47"/>
    <mergeCell ref="CP47:CS47"/>
    <mergeCell ref="CT47:CW47"/>
    <mergeCell ref="BB47:BE47"/>
    <mergeCell ref="BF47:BI47"/>
    <mergeCell ref="BJ47:BM47"/>
    <mergeCell ref="BN47:BQ47"/>
    <mergeCell ref="BR47:BU47"/>
    <mergeCell ref="BV47:BY47"/>
    <mergeCell ref="AD47:AG47"/>
    <mergeCell ref="AH47:AK47"/>
    <mergeCell ref="AL47:AO47"/>
    <mergeCell ref="AP47:AS47"/>
    <mergeCell ref="AT47:AW47"/>
    <mergeCell ref="AX47:BA47"/>
    <mergeCell ref="F47:I47"/>
    <mergeCell ref="J47:M47"/>
    <mergeCell ref="N47:Q47"/>
    <mergeCell ref="R47:U47"/>
    <mergeCell ref="V47:Y47"/>
    <mergeCell ref="Z47:AC47"/>
    <mergeCell ref="BZ46:CC46"/>
    <mergeCell ref="CD46:CG46"/>
    <mergeCell ref="CH46:CK46"/>
    <mergeCell ref="CL46:CO46"/>
    <mergeCell ref="CP46:CS46"/>
    <mergeCell ref="CT46:CW46"/>
    <mergeCell ref="BB46:BE46"/>
    <mergeCell ref="BF46:BI46"/>
    <mergeCell ref="BJ46:BM46"/>
    <mergeCell ref="BN46:BQ46"/>
    <mergeCell ref="BR46:BU46"/>
    <mergeCell ref="BV46:BY46"/>
    <mergeCell ref="AD46:AG46"/>
    <mergeCell ref="AH46:AK46"/>
    <mergeCell ref="AL46:AO46"/>
    <mergeCell ref="AP46:AS46"/>
    <mergeCell ref="AT46:AW46"/>
    <mergeCell ref="AX46:BA46"/>
    <mergeCell ref="F46:I46"/>
    <mergeCell ref="J46:M46"/>
    <mergeCell ref="N46:Q46"/>
    <mergeCell ref="R46:U46"/>
    <mergeCell ref="V46:Y46"/>
    <mergeCell ref="Z46:AC46"/>
    <mergeCell ref="BZ43:CC43"/>
    <mergeCell ref="CD43:CG43"/>
    <mergeCell ref="CH43:CK43"/>
    <mergeCell ref="CL43:CO43"/>
    <mergeCell ref="CP43:CS43"/>
    <mergeCell ref="CT43:CW43"/>
    <mergeCell ref="BB43:BE43"/>
    <mergeCell ref="BF43:BI43"/>
    <mergeCell ref="BJ43:BM43"/>
    <mergeCell ref="BN43:BQ43"/>
    <mergeCell ref="BR43:BU43"/>
    <mergeCell ref="BV43:BY43"/>
    <mergeCell ref="AD43:AG43"/>
    <mergeCell ref="AH43:AK43"/>
    <mergeCell ref="AL43:AO43"/>
    <mergeCell ref="AP43:AS43"/>
    <mergeCell ref="AT43:AW43"/>
    <mergeCell ref="AX43:BA43"/>
    <mergeCell ref="F43:I43"/>
    <mergeCell ref="J43:M43"/>
    <mergeCell ref="N43:Q43"/>
    <mergeCell ref="R43:U43"/>
    <mergeCell ref="V43:Y43"/>
    <mergeCell ref="Z43:AC43"/>
    <mergeCell ref="BZ40:CC40"/>
    <mergeCell ref="CD40:CG40"/>
    <mergeCell ref="CH40:CK40"/>
    <mergeCell ref="CL40:CO40"/>
    <mergeCell ref="CP40:CS40"/>
    <mergeCell ref="CT40:CW40"/>
    <mergeCell ref="BB40:BE40"/>
    <mergeCell ref="BF40:BI40"/>
    <mergeCell ref="BJ40:BM40"/>
    <mergeCell ref="BN40:BQ40"/>
    <mergeCell ref="BR40:BU40"/>
    <mergeCell ref="BV40:BY40"/>
    <mergeCell ref="AD40:AG40"/>
    <mergeCell ref="AH40:AK40"/>
    <mergeCell ref="AL40:AO40"/>
    <mergeCell ref="AP40:AS40"/>
    <mergeCell ref="AT40:AW40"/>
    <mergeCell ref="AX40:BA40"/>
    <mergeCell ref="F40:I40"/>
    <mergeCell ref="J40:M40"/>
    <mergeCell ref="N40:Q40"/>
    <mergeCell ref="R40:U40"/>
    <mergeCell ref="V40:Y40"/>
    <mergeCell ref="Z40:AC40"/>
    <mergeCell ref="BZ37:CC37"/>
    <mergeCell ref="CD37:CG37"/>
    <mergeCell ref="CH37:CK37"/>
    <mergeCell ref="CL37:CO37"/>
    <mergeCell ref="CP37:CS37"/>
    <mergeCell ref="CT37:CW37"/>
    <mergeCell ref="BB37:BE37"/>
    <mergeCell ref="BF37:BI37"/>
    <mergeCell ref="BJ37:BM37"/>
    <mergeCell ref="BN37:BQ37"/>
    <mergeCell ref="BR37:BU37"/>
    <mergeCell ref="BV37:BY37"/>
    <mergeCell ref="AD37:AG37"/>
    <mergeCell ref="AH37:AK37"/>
    <mergeCell ref="AL37:AO37"/>
    <mergeCell ref="AP37:AS37"/>
    <mergeCell ref="AT37:AW37"/>
    <mergeCell ref="AX37:BA37"/>
    <mergeCell ref="F37:I37"/>
    <mergeCell ref="J37:M37"/>
    <mergeCell ref="N37:Q37"/>
    <mergeCell ref="R37:U37"/>
    <mergeCell ref="V37:Y37"/>
    <mergeCell ref="Z37:AC37"/>
    <mergeCell ref="BZ36:CC36"/>
    <mergeCell ref="CD36:CG36"/>
    <mergeCell ref="CH36:CK36"/>
    <mergeCell ref="CL36:CO36"/>
    <mergeCell ref="CP36:CS36"/>
    <mergeCell ref="CT36:CW36"/>
    <mergeCell ref="BB36:BE36"/>
    <mergeCell ref="BF36:BI36"/>
    <mergeCell ref="BJ36:BM36"/>
    <mergeCell ref="BN36:BQ36"/>
    <mergeCell ref="BR36:BU36"/>
    <mergeCell ref="BV36:BY36"/>
    <mergeCell ref="AD36:AG36"/>
    <mergeCell ref="AH36:AK36"/>
    <mergeCell ref="AL36:AO36"/>
    <mergeCell ref="AP36:AS36"/>
    <mergeCell ref="AT36:AW36"/>
    <mergeCell ref="AX36:BA36"/>
    <mergeCell ref="F36:I36"/>
    <mergeCell ref="J36:M36"/>
    <mergeCell ref="N36:Q36"/>
    <mergeCell ref="R36:U36"/>
    <mergeCell ref="V36:Y36"/>
    <mergeCell ref="Z36:AC36"/>
    <mergeCell ref="BZ35:CC35"/>
    <mergeCell ref="CD35:CG35"/>
    <mergeCell ref="CH35:CK35"/>
    <mergeCell ref="CL35:CO35"/>
    <mergeCell ref="CP35:CS35"/>
    <mergeCell ref="CT35:CW35"/>
    <mergeCell ref="BB35:BE35"/>
    <mergeCell ref="BF35:BI35"/>
    <mergeCell ref="BJ35:BM35"/>
    <mergeCell ref="BN35:BQ35"/>
    <mergeCell ref="BR35:BU35"/>
    <mergeCell ref="BV35:BY35"/>
    <mergeCell ref="AD35:AG35"/>
    <mergeCell ref="AH35:AK35"/>
    <mergeCell ref="AL35:AO35"/>
    <mergeCell ref="AP35:AS35"/>
    <mergeCell ref="AT35:AW35"/>
    <mergeCell ref="AX35:BA35"/>
    <mergeCell ref="F35:I35"/>
    <mergeCell ref="J35:M35"/>
    <mergeCell ref="N35:Q35"/>
    <mergeCell ref="R35:U35"/>
    <mergeCell ref="V35:Y35"/>
    <mergeCell ref="Z35:AC35"/>
    <mergeCell ref="BZ32:CC32"/>
    <mergeCell ref="CD32:CG32"/>
    <mergeCell ref="CH32:CK32"/>
    <mergeCell ref="CL32:CO32"/>
    <mergeCell ref="CP32:CS32"/>
    <mergeCell ref="CT32:CW32"/>
    <mergeCell ref="BB32:BE32"/>
    <mergeCell ref="BF32:BI32"/>
    <mergeCell ref="BJ32:BM32"/>
    <mergeCell ref="BN32:BQ32"/>
    <mergeCell ref="BR32:BU32"/>
    <mergeCell ref="BV32:BY32"/>
    <mergeCell ref="AD32:AG32"/>
    <mergeCell ref="AH32:AK32"/>
    <mergeCell ref="AL32:AO32"/>
    <mergeCell ref="AP32:AS32"/>
    <mergeCell ref="AT32:AW32"/>
    <mergeCell ref="AX32:BA32"/>
    <mergeCell ref="F32:I32"/>
    <mergeCell ref="J32:M32"/>
    <mergeCell ref="N32:Q32"/>
    <mergeCell ref="R32:U32"/>
    <mergeCell ref="V32:Y32"/>
    <mergeCell ref="Z32:AC32"/>
    <mergeCell ref="BZ29:CC29"/>
    <mergeCell ref="CD29:CG29"/>
    <mergeCell ref="CH29:CK29"/>
    <mergeCell ref="CL29:CO29"/>
    <mergeCell ref="CP29:CS29"/>
    <mergeCell ref="CT29:CW29"/>
    <mergeCell ref="BB29:BE29"/>
    <mergeCell ref="BF29:BI29"/>
    <mergeCell ref="BJ29:BM29"/>
    <mergeCell ref="BN29:BQ29"/>
    <mergeCell ref="BR29:BU29"/>
    <mergeCell ref="BV29:BY29"/>
    <mergeCell ref="AD29:AG29"/>
    <mergeCell ref="AH29:AK29"/>
    <mergeCell ref="AL29:AO29"/>
    <mergeCell ref="AP29:AS29"/>
    <mergeCell ref="AT29:AW29"/>
    <mergeCell ref="AX29:BA29"/>
    <mergeCell ref="F29:I29"/>
    <mergeCell ref="J29:M29"/>
    <mergeCell ref="N29:Q29"/>
    <mergeCell ref="R29:U29"/>
    <mergeCell ref="V29:Y29"/>
    <mergeCell ref="Z29:AC29"/>
    <mergeCell ref="DV23:DY23"/>
    <mergeCell ref="DZ23:EC23"/>
    <mergeCell ref="ED23:EG23"/>
    <mergeCell ref="EH23:EK23"/>
    <mergeCell ref="EL23:EO23"/>
    <mergeCell ref="EP23:ES23"/>
    <mergeCell ref="CX23:DA23"/>
    <mergeCell ref="DB23:DE23"/>
    <mergeCell ref="DF23:DI23"/>
    <mergeCell ref="DJ23:DM23"/>
    <mergeCell ref="DN23:DQ23"/>
    <mergeCell ref="DR23:DU23"/>
    <mergeCell ref="BZ23:CC23"/>
    <mergeCell ref="CD23:CG23"/>
    <mergeCell ref="CH23:CK23"/>
    <mergeCell ref="CL23:CO23"/>
    <mergeCell ref="CP23:CS23"/>
    <mergeCell ref="CT23:CW23"/>
    <mergeCell ref="BB23:BE23"/>
    <mergeCell ref="BF23:BI23"/>
    <mergeCell ref="BJ23:BM23"/>
    <mergeCell ref="BN23:BQ23"/>
    <mergeCell ref="BR23:BU23"/>
    <mergeCell ref="BV23:BY23"/>
    <mergeCell ref="AD23:AG23"/>
    <mergeCell ref="AH23:AK23"/>
    <mergeCell ref="AL23:AO23"/>
    <mergeCell ref="AP23:AS23"/>
    <mergeCell ref="AT23:AW23"/>
    <mergeCell ref="AX23:BA23"/>
    <mergeCell ref="F23:I23"/>
    <mergeCell ref="J23:M23"/>
    <mergeCell ref="N23:Q23"/>
    <mergeCell ref="R23:U23"/>
    <mergeCell ref="V23:Y23"/>
    <mergeCell ref="Z23:AC23"/>
    <mergeCell ref="DV22:DY22"/>
    <mergeCell ref="DZ22:EC22"/>
    <mergeCell ref="ED22:EG22"/>
    <mergeCell ref="EH22:EK22"/>
    <mergeCell ref="EL22:EO22"/>
    <mergeCell ref="EP22:ES22"/>
    <mergeCell ref="CX22:DA22"/>
    <mergeCell ref="DB22:DE22"/>
    <mergeCell ref="DF22:DI22"/>
    <mergeCell ref="DJ22:DM22"/>
    <mergeCell ref="DN22:DQ22"/>
    <mergeCell ref="DR22:DU22"/>
    <mergeCell ref="BZ22:CC22"/>
    <mergeCell ref="CD22:CG22"/>
    <mergeCell ref="CH22:CK22"/>
    <mergeCell ref="CL22:CO22"/>
    <mergeCell ref="CP22:CS22"/>
    <mergeCell ref="CT22:CW22"/>
    <mergeCell ref="BB22:BE22"/>
    <mergeCell ref="BF22:BI22"/>
    <mergeCell ref="BJ22:BM22"/>
    <mergeCell ref="BN22:BQ22"/>
    <mergeCell ref="BR22:BU22"/>
    <mergeCell ref="BV22:BY22"/>
    <mergeCell ref="AD22:AG22"/>
    <mergeCell ref="AH22:AK22"/>
    <mergeCell ref="AL22:AO22"/>
    <mergeCell ref="AP22:AS22"/>
    <mergeCell ref="AT22:AW22"/>
    <mergeCell ref="AX22:BA22"/>
    <mergeCell ref="F22:I22"/>
    <mergeCell ref="J22:M22"/>
    <mergeCell ref="N22:Q22"/>
    <mergeCell ref="R22:U22"/>
    <mergeCell ref="V22:Y22"/>
    <mergeCell ref="Z22:AC22"/>
    <mergeCell ref="DV21:DY21"/>
    <mergeCell ref="DZ21:EC21"/>
    <mergeCell ref="ED21:EG21"/>
    <mergeCell ref="EH21:EK21"/>
    <mergeCell ref="EL21:EO21"/>
    <mergeCell ref="EP21:ES21"/>
    <mergeCell ref="CX21:DA21"/>
    <mergeCell ref="DB21:DE21"/>
    <mergeCell ref="DF21:DI21"/>
    <mergeCell ref="DJ21:DM21"/>
    <mergeCell ref="DN21:DQ21"/>
    <mergeCell ref="DR21:DU21"/>
    <mergeCell ref="BZ21:CC21"/>
    <mergeCell ref="CD21:CG21"/>
    <mergeCell ref="CH21:CK21"/>
    <mergeCell ref="CL21:CO21"/>
    <mergeCell ref="CP21:CS21"/>
    <mergeCell ref="CT21:CW21"/>
    <mergeCell ref="BB21:BE21"/>
    <mergeCell ref="BF21:BI21"/>
    <mergeCell ref="BJ21:BM21"/>
    <mergeCell ref="BN21:BQ21"/>
    <mergeCell ref="BR21:BU21"/>
    <mergeCell ref="BV21:BY21"/>
    <mergeCell ref="AD21:AG21"/>
    <mergeCell ref="AH21:AK21"/>
    <mergeCell ref="AL21:AO21"/>
    <mergeCell ref="AP21:AS21"/>
    <mergeCell ref="AT21:AW21"/>
    <mergeCell ref="AX21:BA21"/>
    <mergeCell ref="F21:I21"/>
    <mergeCell ref="J21:M21"/>
    <mergeCell ref="N21:Q21"/>
    <mergeCell ref="R21:U21"/>
    <mergeCell ref="V21:Y21"/>
    <mergeCell ref="Z21:AC21"/>
    <mergeCell ref="DV18:DY18"/>
    <mergeCell ref="DZ18:EC18"/>
    <mergeCell ref="ED18:EG18"/>
    <mergeCell ref="EH18:EK18"/>
    <mergeCell ref="EL18:EO18"/>
    <mergeCell ref="EP18:ES18"/>
    <mergeCell ref="CX18:DA18"/>
    <mergeCell ref="DB18:DE18"/>
    <mergeCell ref="DF18:DI18"/>
    <mergeCell ref="DJ18:DM18"/>
    <mergeCell ref="DN18:DQ18"/>
    <mergeCell ref="DR18:DU18"/>
    <mergeCell ref="BZ18:CC18"/>
    <mergeCell ref="CD18:CG18"/>
    <mergeCell ref="CH18:CK18"/>
    <mergeCell ref="CL18:CO18"/>
    <mergeCell ref="CP18:CS18"/>
    <mergeCell ref="CT18:CW18"/>
    <mergeCell ref="BB18:BE18"/>
    <mergeCell ref="BF18:BI18"/>
    <mergeCell ref="BJ18:BM18"/>
    <mergeCell ref="BN18:BQ18"/>
    <mergeCell ref="BR18:BU18"/>
    <mergeCell ref="BV18:BY18"/>
    <mergeCell ref="AD18:AG18"/>
    <mergeCell ref="AH18:AK18"/>
    <mergeCell ref="AL18:AO18"/>
    <mergeCell ref="AP18:AS18"/>
    <mergeCell ref="AT18:AW18"/>
    <mergeCell ref="AX18:BA18"/>
    <mergeCell ref="F18:I18"/>
    <mergeCell ref="J18:M18"/>
    <mergeCell ref="N18:Q18"/>
    <mergeCell ref="R18:U18"/>
    <mergeCell ref="V18:Y18"/>
    <mergeCell ref="Z18:AC18"/>
    <mergeCell ref="DV15:DY15"/>
    <mergeCell ref="DZ15:EC15"/>
    <mergeCell ref="ED15:EG15"/>
    <mergeCell ref="EH15:EK15"/>
    <mergeCell ref="EL15:EO15"/>
    <mergeCell ref="EP15:ES15"/>
    <mergeCell ref="CX15:DA15"/>
    <mergeCell ref="DB15:DE15"/>
    <mergeCell ref="DF15:DI15"/>
    <mergeCell ref="DJ15:DM15"/>
    <mergeCell ref="DN15:DQ15"/>
    <mergeCell ref="DR15:DU15"/>
    <mergeCell ref="BZ15:CC15"/>
    <mergeCell ref="CD15:CG15"/>
    <mergeCell ref="CH15:CK15"/>
    <mergeCell ref="CL15:CO15"/>
    <mergeCell ref="CP15:CS15"/>
    <mergeCell ref="CT15:CW15"/>
    <mergeCell ref="BB15:BE15"/>
    <mergeCell ref="BF15:BI15"/>
    <mergeCell ref="BJ15:BM15"/>
    <mergeCell ref="BN15:BQ15"/>
    <mergeCell ref="BR15:BU15"/>
    <mergeCell ref="BV15:BY15"/>
    <mergeCell ref="AD15:AG15"/>
    <mergeCell ref="AH15:AK15"/>
    <mergeCell ref="AL15:AO15"/>
    <mergeCell ref="AP15:AS15"/>
    <mergeCell ref="AT15:AW15"/>
    <mergeCell ref="AX15:BA15"/>
    <mergeCell ref="F15:I15"/>
    <mergeCell ref="J15:M15"/>
    <mergeCell ref="N15:Q15"/>
    <mergeCell ref="R15:U15"/>
    <mergeCell ref="V15:Y15"/>
    <mergeCell ref="Z15:AC15"/>
    <mergeCell ref="DV12:DY12"/>
    <mergeCell ref="DZ12:EC12"/>
    <mergeCell ref="ED12:EG12"/>
    <mergeCell ref="EH12:EK12"/>
    <mergeCell ref="EL12:EO12"/>
    <mergeCell ref="EP12:ES12"/>
    <mergeCell ref="CX12:DA12"/>
    <mergeCell ref="DB12:DE12"/>
    <mergeCell ref="DF12:DI12"/>
    <mergeCell ref="DJ12:DM12"/>
    <mergeCell ref="DN12:DQ12"/>
    <mergeCell ref="DR12:DU12"/>
    <mergeCell ref="BZ12:CC12"/>
    <mergeCell ref="CD12:CG12"/>
    <mergeCell ref="CH12:CK12"/>
    <mergeCell ref="CL12:CO12"/>
    <mergeCell ref="CP12:CS12"/>
    <mergeCell ref="CT12:CW12"/>
    <mergeCell ref="BB12:BE12"/>
    <mergeCell ref="BF12:BI12"/>
    <mergeCell ref="BJ12:BM12"/>
    <mergeCell ref="BN12:BQ12"/>
    <mergeCell ref="BR12:BU12"/>
    <mergeCell ref="BV12:BY12"/>
    <mergeCell ref="AD12:AG12"/>
    <mergeCell ref="AH12:AK12"/>
    <mergeCell ref="AL12:AO12"/>
    <mergeCell ref="AP12:AS12"/>
    <mergeCell ref="AT12:AW12"/>
    <mergeCell ref="AX12:BA12"/>
    <mergeCell ref="F12:I12"/>
    <mergeCell ref="J12:M12"/>
    <mergeCell ref="N12:Q12"/>
    <mergeCell ref="R12:U12"/>
    <mergeCell ref="V12:Y12"/>
    <mergeCell ref="Z12:AC12"/>
    <mergeCell ref="DV11:DY11"/>
    <mergeCell ref="DZ11:EC11"/>
    <mergeCell ref="ED11:EG11"/>
    <mergeCell ref="EH11:EK11"/>
    <mergeCell ref="EL11:EO11"/>
    <mergeCell ref="EP11:ES11"/>
    <mergeCell ref="CX11:DA11"/>
    <mergeCell ref="DB11:DE11"/>
    <mergeCell ref="DF11:DI11"/>
    <mergeCell ref="DJ11:DM11"/>
    <mergeCell ref="DN11:DQ11"/>
    <mergeCell ref="DR11:DU11"/>
    <mergeCell ref="BZ11:CC11"/>
    <mergeCell ref="CD11:CG11"/>
    <mergeCell ref="CH11:CK11"/>
    <mergeCell ref="CL11:CO11"/>
    <mergeCell ref="CP11:CS11"/>
    <mergeCell ref="CT11:CW11"/>
    <mergeCell ref="BB11:BE11"/>
    <mergeCell ref="BF11:BI11"/>
    <mergeCell ref="BJ11:BM11"/>
    <mergeCell ref="BN11:BQ11"/>
    <mergeCell ref="BR11:BU11"/>
    <mergeCell ref="BV11:BY11"/>
    <mergeCell ref="AD11:AG11"/>
    <mergeCell ref="AH11:AK11"/>
    <mergeCell ref="AL11:AO11"/>
    <mergeCell ref="AP11:AS11"/>
    <mergeCell ref="AT11:AW11"/>
    <mergeCell ref="AX11:BA11"/>
    <mergeCell ref="F11:I11"/>
    <mergeCell ref="J11:M11"/>
    <mergeCell ref="N11:Q11"/>
    <mergeCell ref="R11:U11"/>
    <mergeCell ref="V11:Y11"/>
    <mergeCell ref="Z11:AC11"/>
    <mergeCell ref="DV10:DY10"/>
    <mergeCell ref="DZ10:EC10"/>
    <mergeCell ref="ED10:EG10"/>
    <mergeCell ref="EH10:EK10"/>
    <mergeCell ref="EL10:EO10"/>
    <mergeCell ref="EP10:ES10"/>
    <mergeCell ref="CX10:DA10"/>
    <mergeCell ref="DB10:DE10"/>
    <mergeCell ref="DF10:DI10"/>
    <mergeCell ref="DJ10:DM10"/>
    <mergeCell ref="DN10:DQ10"/>
    <mergeCell ref="DR10:DU10"/>
    <mergeCell ref="BZ10:CC10"/>
    <mergeCell ref="CD10:CG10"/>
    <mergeCell ref="CH10:CK10"/>
    <mergeCell ref="CL10:CO10"/>
    <mergeCell ref="CP10:CS10"/>
    <mergeCell ref="CT10:CW10"/>
    <mergeCell ref="BB10:BE10"/>
    <mergeCell ref="BF10:BI10"/>
    <mergeCell ref="BJ10:BM10"/>
    <mergeCell ref="BN10:BQ10"/>
    <mergeCell ref="BR10:BU10"/>
    <mergeCell ref="BV10:BY10"/>
    <mergeCell ref="AD10:AG10"/>
    <mergeCell ref="AH10:AK10"/>
    <mergeCell ref="AL10:AO10"/>
    <mergeCell ref="AP10:AS10"/>
    <mergeCell ref="AT10:AW10"/>
    <mergeCell ref="AX10:BA10"/>
    <mergeCell ref="F10:I10"/>
    <mergeCell ref="J10:M10"/>
    <mergeCell ref="N10:Q10"/>
    <mergeCell ref="R10:U10"/>
    <mergeCell ref="V10:Y10"/>
    <mergeCell ref="Z10:AC10"/>
    <mergeCell ref="DV7:DY7"/>
    <mergeCell ref="DZ7:EC7"/>
    <mergeCell ref="ED7:EG7"/>
    <mergeCell ref="EH7:EK7"/>
    <mergeCell ref="EL7:EO7"/>
    <mergeCell ref="EP7:ES7"/>
    <mergeCell ref="CX7:DA7"/>
    <mergeCell ref="DB7:DE7"/>
    <mergeCell ref="DF7:DI7"/>
    <mergeCell ref="DJ7:DM7"/>
    <mergeCell ref="DN7:DQ7"/>
    <mergeCell ref="DR7:DU7"/>
    <mergeCell ref="BZ7:CC7"/>
    <mergeCell ref="CD7:CG7"/>
    <mergeCell ref="CH7:CK7"/>
    <mergeCell ref="CL7:CO7"/>
    <mergeCell ref="CP7:CS7"/>
    <mergeCell ref="CT7:CW7"/>
    <mergeCell ref="BB7:BE7"/>
    <mergeCell ref="BF7:BI7"/>
    <mergeCell ref="BJ7:BM7"/>
    <mergeCell ref="BN7:BQ7"/>
    <mergeCell ref="BR7:BU7"/>
    <mergeCell ref="BV7:BY7"/>
    <mergeCell ref="AD7:AG7"/>
    <mergeCell ref="AH7:AK7"/>
    <mergeCell ref="AL7:AO7"/>
    <mergeCell ref="AP7:AS7"/>
    <mergeCell ref="AT7:AW7"/>
    <mergeCell ref="AX7:BA7"/>
    <mergeCell ref="F7:I7"/>
    <mergeCell ref="J7:M7"/>
    <mergeCell ref="N7:Q7"/>
    <mergeCell ref="R7:U7"/>
    <mergeCell ref="V7:Y7"/>
    <mergeCell ref="Z7:AC7"/>
    <mergeCell ref="DV4:DY4"/>
    <mergeCell ref="DZ4:EC4"/>
    <mergeCell ref="ED4:EG4"/>
    <mergeCell ref="EH4:EK4"/>
    <mergeCell ref="EL4:EO4"/>
    <mergeCell ref="EP4:ES4"/>
    <mergeCell ref="CX4:DA4"/>
    <mergeCell ref="DB4:DE4"/>
    <mergeCell ref="DF4:DI4"/>
    <mergeCell ref="DJ4:DM4"/>
    <mergeCell ref="DN4:DQ4"/>
    <mergeCell ref="DR4:DU4"/>
    <mergeCell ref="BZ4:CC4"/>
    <mergeCell ref="CD4:CG4"/>
    <mergeCell ref="CH4:CK4"/>
    <mergeCell ref="CL4:CO4"/>
    <mergeCell ref="CP4:CS4"/>
    <mergeCell ref="CT4:CW4"/>
    <mergeCell ref="BB4:BE4"/>
    <mergeCell ref="BF4:BI4"/>
    <mergeCell ref="BJ4:BM4"/>
    <mergeCell ref="BN4:BQ4"/>
    <mergeCell ref="BR4:BU4"/>
    <mergeCell ref="BV4:BY4"/>
    <mergeCell ref="AD4:AG4"/>
    <mergeCell ref="AH4:AK4"/>
    <mergeCell ref="AL4:AO4"/>
    <mergeCell ref="AP4:AS4"/>
    <mergeCell ref="AT4:AW4"/>
    <mergeCell ref="AX4:BA4"/>
    <mergeCell ref="F4:I4"/>
    <mergeCell ref="J4:M4"/>
    <mergeCell ref="N4:Q4"/>
    <mergeCell ref="R4:U4"/>
    <mergeCell ref="V4:Y4"/>
    <mergeCell ref="Z4:AC4"/>
  </mergeCells>
  <phoneticPr fontId="2" type="noConversion"/>
  <pageMargins left="0" right="0" top="0" bottom="0.74803149606299213" header="0.31496062992125984" footer="0.31496062992125984"/>
  <pageSetup paperSize="8" scale="55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B778-7615-4B8D-B21C-2A7855FB2EF0}">
  <dimension ref="B2:H35"/>
  <sheetViews>
    <sheetView showGridLines="0" zoomScaleNormal="100" workbookViewId="0"/>
  </sheetViews>
  <sheetFormatPr defaultRowHeight="17" x14ac:dyDescent="0.45"/>
  <cols>
    <col min="2" max="2" width="10.6640625" style="1" bestFit="1" customWidth="1"/>
    <col min="3" max="3" width="11.08203125" style="1" bestFit="1" customWidth="1"/>
    <col min="4" max="4" width="7.6640625" style="1" bestFit="1" customWidth="1"/>
    <col min="5" max="5" width="9.1640625" bestFit="1" customWidth="1"/>
    <col min="6" max="6" width="9" bestFit="1" customWidth="1"/>
    <col min="7" max="7" width="7.6640625" bestFit="1" customWidth="1"/>
    <col min="8" max="8" width="8.1640625" bestFit="1" customWidth="1"/>
  </cols>
  <sheetData>
    <row r="2" spans="2:8" x14ac:dyDescent="0.45">
      <c r="B2" s="378" t="s">
        <v>1219</v>
      </c>
      <c r="C2" s="379"/>
      <c r="D2" s="380"/>
      <c r="E2" s="380"/>
      <c r="F2" s="380"/>
      <c r="G2" s="380"/>
      <c r="H2" s="380"/>
    </row>
    <row r="3" spans="2:8" x14ac:dyDescent="0.45">
      <c r="B3" s="378" t="s">
        <v>1220</v>
      </c>
      <c r="C3" s="286"/>
      <c r="D3" s="286"/>
      <c r="E3" s="10"/>
      <c r="F3" s="10"/>
      <c r="G3" s="10"/>
      <c r="H3" s="10"/>
    </row>
    <row r="4" spans="2:8" x14ac:dyDescent="0.45">
      <c r="B4" s="2"/>
      <c r="C4" s="2"/>
      <c r="D4" s="2" t="s">
        <v>1179</v>
      </c>
      <c r="E4" s="2" t="s">
        <v>1175</v>
      </c>
      <c r="F4" s="2" t="s">
        <v>1184</v>
      </c>
      <c r="G4" s="2" t="s">
        <v>1185</v>
      </c>
      <c r="H4" s="2" t="s">
        <v>1180</v>
      </c>
    </row>
    <row r="5" spans="2:8" x14ac:dyDescent="0.45">
      <c r="B5" s="2" t="s">
        <v>1178</v>
      </c>
      <c r="C5" s="2">
        <v>4095</v>
      </c>
      <c r="D5" s="6">
        <v>3.274</v>
      </c>
      <c r="E5" s="332">
        <v>63.64</v>
      </c>
    </row>
    <row r="6" spans="2:8" x14ac:dyDescent="0.45">
      <c r="B6" s="2"/>
      <c r="C6" s="2">
        <v>3971</v>
      </c>
      <c r="D6" s="6">
        <v>3.198</v>
      </c>
      <c r="E6" s="332">
        <v>64.16</v>
      </c>
      <c r="F6" s="6"/>
      <c r="G6" s="6"/>
      <c r="H6" s="6"/>
    </row>
    <row r="7" spans="2:8" x14ac:dyDescent="0.45">
      <c r="B7" s="2"/>
      <c r="C7" s="2">
        <v>3847</v>
      </c>
      <c r="D7" s="6">
        <v>3.0979999999999999</v>
      </c>
      <c r="E7" s="332">
        <v>64.83</v>
      </c>
      <c r="F7" s="6">
        <f t="shared" ref="F7:H35" si="0">C7-C6</f>
        <v>-124</v>
      </c>
      <c r="G7" s="6">
        <f t="shared" si="0"/>
        <v>-0.10000000000000009</v>
      </c>
      <c r="H7" s="6">
        <f t="shared" si="0"/>
        <v>0.67000000000000171</v>
      </c>
    </row>
    <row r="8" spans="2:8" x14ac:dyDescent="0.45">
      <c r="B8" s="2"/>
      <c r="C8" s="2">
        <v>3723</v>
      </c>
      <c r="D8" s="6">
        <v>2.9980000000000002</v>
      </c>
      <c r="E8" s="332">
        <v>65.52</v>
      </c>
      <c r="F8" s="6">
        <f t="shared" si="0"/>
        <v>-124</v>
      </c>
      <c r="G8" s="6">
        <f t="shared" si="0"/>
        <v>-9.9999999999999645E-2</v>
      </c>
      <c r="H8" s="6">
        <f t="shared" si="0"/>
        <v>0.68999999999999773</v>
      </c>
    </row>
    <row r="9" spans="2:8" ht="17.5" thickBot="1" x14ac:dyDescent="0.5">
      <c r="B9" s="2"/>
      <c r="C9" s="2">
        <v>3599</v>
      </c>
      <c r="D9" s="6">
        <v>2.899</v>
      </c>
      <c r="E9" s="332">
        <v>66.2</v>
      </c>
      <c r="F9" s="6">
        <f t="shared" si="0"/>
        <v>-124</v>
      </c>
      <c r="G9" s="6">
        <f t="shared" si="0"/>
        <v>-9.9000000000000199E-2</v>
      </c>
      <c r="H9" s="6">
        <f t="shared" si="0"/>
        <v>0.68000000000000682</v>
      </c>
    </row>
    <row r="10" spans="2:8" x14ac:dyDescent="0.45">
      <c r="B10" s="2"/>
      <c r="C10" s="333">
        <v>3475</v>
      </c>
      <c r="D10" s="334">
        <v>2.7989999999999999</v>
      </c>
      <c r="E10" s="335">
        <v>66.900000000000006</v>
      </c>
      <c r="F10" s="334">
        <f t="shared" si="0"/>
        <v>-124</v>
      </c>
      <c r="G10" s="334">
        <f t="shared" si="0"/>
        <v>-0.10000000000000009</v>
      </c>
      <c r="H10" s="336">
        <f t="shared" si="0"/>
        <v>0.70000000000000284</v>
      </c>
    </row>
    <row r="11" spans="2:8" x14ac:dyDescent="0.45">
      <c r="B11" s="2"/>
      <c r="C11" s="337">
        <v>3350</v>
      </c>
      <c r="D11" s="6">
        <v>2.6989999999999998</v>
      </c>
      <c r="E11" s="332">
        <v>67.599999999999994</v>
      </c>
      <c r="F11" s="6">
        <f t="shared" si="0"/>
        <v>-125</v>
      </c>
      <c r="G11" s="6">
        <f t="shared" si="0"/>
        <v>-0.10000000000000009</v>
      </c>
      <c r="H11" s="338">
        <f t="shared" si="0"/>
        <v>0.69999999999998863</v>
      </c>
    </row>
    <row r="12" spans="2:8" x14ac:dyDescent="0.45">
      <c r="B12" s="2"/>
      <c r="C12" s="337">
        <v>3226</v>
      </c>
      <c r="D12" s="6">
        <v>2.5990000000000002</v>
      </c>
      <c r="E12" s="332">
        <v>68.3</v>
      </c>
      <c r="F12" s="6">
        <f t="shared" si="0"/>
        <v>-124</v>
      </c>
      <c r="G12" s="6">
        <f t="shared" si="0"/>
        <v>-9.9999999999999645E-2</v>
      </c>
      <c r="H12" s="338">
        <f t="shared" si="0"/>
        <v>0.70000000000000284</v>
      </c>
    </row>
    <row r="13" spans="2:8" x14ac:dyDescent="0.45">
      <c r="B13" s="2"/>
      <c r="C13" s="337">
        <v>3102</v>
      </c>
      <c r="D13" s="6">
        <v>2.5</v>
      </c>
      <c r="E13" s="332">
        <v>68.900000000000006</v>
      </c>
      <c r="F13" s="6">
        <f t="shared" si="0"/>
        <v>-124</v>
      </c>
      <c r="G13" s="6">
        <f t="shared" si="0"/>
        <v>-9.9000000000000199E-2</v>
      </c>
      <c r="H13" s="338">
        <f t="shared" si="0"/>
        <v>0.60000000000000853</v>
      </c>
    </row>
    <row r="14" spans="2:8" x14ac:dyDescent="0.45">
      <c r="B14" s="2"/>
      <c r="C14" s="337">
        <v>2978</v>
      </c>
      <c r="D14" s="6">
        <v>2.4</v>
      </c>
      <c r="E14" s="332">
        <v>69.599999999999994</v>
      </c>
      <c r="F14" s="6">
        <f t="shared" si="0"/>
        <v>-124</v>
      </c>
      <c r="G14" s="6">
        <f t="shared" si="0"/>
        <v>-0.10000000000000009</v>
      </c>
      <c r="H14" s="338">
        <f t="shared" si="0"/>
        <v>0.69999999999998863</v>
      </c>
    </row>
    <row r="15" spans="2:8" x14ac:dyDescent="0.45">
      <c r="B15" s="2"/>
      <c r="C15" s="337">
        <v>2854</v>
      </c>
      <c r="D15" s="6">
        <v>2.2999999999999998</v>
      </c>
      <c r="E15" s="332">
        <v>70.3</v>
      </c>
      <c r="F15" s="6">
        <f t="shared" si="0"/>
        <v>-124</v>
      </c>
      <c r="G15" s="6">
        <f t="shared" si="0"/>
        <v>-0.10000000000000009</v>
      </c>
      <c r="H15" s="338">
        <f t="shared" si="0"/>
        <v>0.70000000000000284</v>
      </c>
    </row>
    <row r="16" spans="2:8" x14ac:dyDescent="0.45">
      <c r="B16" s="2"/>
      <c r="C16" s="337">
        <v>2730</v>
      </c>
      <c r="D16" s="6">
        <v>2.2000000000000002</v>
      </c>
      <c r="E16" s="332">
        <v>71</v>
      </c>
      <c r="F16" s="6">
        <f t="shared" si="0"/>
        <v>-124</v>
      </c>
      <c r="G16" s="6">
        <f t="shared" si="0"/>
        <v>-9.9999999999999645E-2</v>
      </c>
      <c r="H16" s="338">
        <f t="shared" si="0"/>
        <v>0.70000000000000284</v>
      </c>
    </row>
    <row r="17" spans="2:8" x14ac:dyDescent="0.45">
      <c r="B17" s="2"/>
      <c r="C17" s="337">
        <v>2606</v>
      </c>
      <c r="D17" s="6">
        <v>2.1</v>
      </c>
      <c r="E17" s="332">
        <v>71.7</v>
      </c>
      <c r="F17" s="6">
        <f t="shared" si="0"/>
        <v>-124</v>
      </c>
      <c r="G17" s="6">
        <f t="shared" si="0"/>
        <v>-0.10000000000000009</v>
      </c>
      <c r="H17" s="338">
        <f t="shared" si="0"/>
        <v>0.70000000000000284</v>
      </c>
    </row>
    <row r="18" spans="2:8" x14ac:dyDescent="0.45">
      <c r="B18" s="2"/>
      <c r="C18" s="337">
        <v>2482</v>
      </c>
      <c r="D18" s="6">
        <v>2</v>
      </c>
      <c r="E18" s="332">
        <v>72.3</v>
      </c>
      <c r="F18" s="6">
        <f t="shared" si="0"/>
        <v>-124</v>
      </c>
      <c r="G18" s="6">
        <f t="shared" si="0"/>
        <v>-0.10000000000000009</v>
      </c>
      <c r="H18" s="338">
        <f t="shared" si="0"/>
        <v>0.59999999999999432</v>
      </c>
    </row>
    <row r="19" spans="2:8" x14ac:dyDescent="0.45">
      <c r="B19" s="2"/>
      <c r="C19" s="337">
        <v>2358</v>
      </c>
      <c r="D19" s="6">
        <v>1.9</v>
      </c>
      <c r="E19" s="332">
        <v>73</v>
      </c>
      <c r="F19" s="6">
        <f t="shared" si="0"/>
        <v>-124</v>
      </c>
      <c r="G19" s="6">
        <f t="shared" si="0"/>
        <v>-0.10000000000000009</v>
      </c>
      <c r="H19" s="338">
        <f t="shared" si="0"/>
        <v>0.70000000000000284</v>
      </c>
    </row>
    <row r="20" spans="2:8" x14ac:dyDescent="0.45">
      <c r="B20" s="2"/>
      <c r="C20" s="337">
        <v>2234</v>
      </c>
      <c r="D20" s="6">
        <v>1.8029999999999999</v>
      </c>
      <c r="E20" s="332">
        <v>73.7</v>
      </c>
      <c r="F20" s="6">
        <f t="shared" si="0"/>
        <v>-124</v>
      </c>
      <c r="G20" s="6">
        <f t="shared" si="0"/>
        <v>-9.6999999999999975E-2</v>
      </c>
      <c r="H20" s="338">
        <f t="shared" si="0"/>
        <v>0.70000000000000284</v>
      </c>
    </row>
    <row r="21" spans="2:8" x14ac:dyDescent="0.45">
      <c r="B21" s="2"/>
      <c r="C21" s="337">
        <v>2110</v>
      </c>
      <c r="D21" s="6">
        <v>1.7030000000000001</v>
      </c>
      <c r="E21" s="332">
        <v>74.400000000000006</v>
      </c>
      <c r="F21" s="6">
        <f t="shared" si="0"/>
        <v>-124</v>
      </c>
      <c r="G21" s="6">
        <f t="shared" si="0"/>
        <v>-9.9999999999999867E-2</v>
      </c>
      <c r="H21" s="338">
        <f t="shared" si="0"/>
        <v>0.70000000000000284</v>
      </c>
    </row>
    <row r="22" spans="2:8" x14ac:dyDescent="0.45">
      <c r="B22" s="2"/>
      <c r="C22" s="337">
        <v>1985</v>
      </c>
      <c r="D22" s="6">
        <v>1.603</v>
      </c>
      <c r="E22" s="332">
        <v>75.099999999999994</v>
      </c>
      <c r="F22" s="6">
        <f t="shared" si="0"/>
        <v>-125</v>
      </c>
      <c r="G22" s="6">
        <f t="shared" si="0"/>
        <v>-0.10000000000000009</v>
      </c>
      <c r="H22" s="338">
        <f t="shared" si="0"/>
        <v>0.69999999999998863</v>
      </c>
    </row>
    <row r="23" spans="2:8" x14ac:dyDescent="0.45">
      <c r="B23" s="2"/>
      <c r="C23" s="337">
        <v>1861</v>
      </c>
      <c r="D23" s="6">
        <v>1.5029999999999999</v>
      </c>
      <c r="E23" s="332">
        <v>75.7</v>
      </c>
      <c r="F23" s="6">
        <f t="shared" si="0"/>
        <v>-124</v>
      </c>
      <c r="G23" s="6">
        <f t="shared" si="0"/>
        <v>-0.10000000000000009</v>
      </c>
      <c r="H23" s="338">
        <f t="shared" si="0"/>
        <v>0.60000000000000853</v>
      </c>
    </row>
    <row r="24" spans="2:8" x14ac:dyDescent="0.45">
      <c r="B24" s="2"/>
      <c r="C24" s="337">
        <v>1737</v>
      </c>
      <c r="D24" s="6">
        <v>1.4039999999999999</v>
      </c>
      <c r="E24" s="332">
        <v>76.400000000000006</v>
      </c>
      <c r="F24" s="6">
        <f t="shared" si="0"/>
        <v>-124</v>
      </c>
      <c r="G24" s="6">
        <f t="shared" si="0"/>
        <v>-9.8999999999999977E-2</v>
      </c>
      <c r="H24" s="338">
        <f t="shared" si="0"/>
        <v>0.70000000000000284</v>
      </c>
    </row>
    <row r="25" spans="2:8" x14ac:dyDescent="0.45">
      <c r="B25" s="2"/>
      <c r="C25" s="337">
        <v>1613</v>
      </c>
      <c r="D25" s="6">
        <v>1.304</v>
      </c>
      <c r="E25" s="332">
        <v>77.099999999999994</v>
      </c>
      <c r="F25" s="6">
        <f t="shared" si="0"/>
        <v>-124</v>
      </c>
      <c r="G25" s="6">
        <f t="shared" si="0"/>
        <v>-9.9999999999999867E-2</v>
      </c>
      <c r="H25" s="338">
        <f t="shared" si="0"/>
        <v>0.69999999999998863</v>
      </c>
    </row>
    <row r="26" spans="2:8" x14ac:dyDescent="0.45">
      <c r="B26" s="2"/>
      <c r="C26" s="337">
        <v>1489</v>
      </c>
      <c r="D26" s="6">
        <v>1.2050000000000001</v>
      </c>
      <c r="E26" s="332">
        <v>77.8</v>
      </c>
      <c r="F26" s="6">
        <f t="shared" si="0"/>
        <v>-124</v>
      </c>
      <c r="G26" s="6">
        <f t="shared" si="0"/>
        <v>-9.8999999999999977E-2</v>
      </c>
      <c r="H26" s="338">
        <f t="shared" si="0"/>
        <v>0.70000000000000284</v>
      </c>
    </row>
    <row r="27" spans="2:8" x14ac:dyDescent="0.45">
      <c r="B27" s="2"/>
      <c r="C27" s="337">
        <v>1365</v>
      </c>
      <c r="D27" s="6">
        <v>1.1040000000000001</v>
      </c>
      <c r="E27" s="332">
        <v>78.400000000000006</v>
      </c>
      <c r="F27" s="6">
        <f t="shared" si="0"/>
        <v>-124</v>
      </c>
      <c r="G27" s="6">
        <f t="shared" si="0"/>
        <v>-0.10099999999999998</v>
      </c>
      <c r="H27" s="338">
        <f t="shared" si="0"/>
        <v>0.60000000000000853</v>
      </c>
    </row>
    <row r="28" spans="2:8" x14ac:dyDescent="0.45">
      <c r="B28" s="2"/>
      <c r="C28" s="337">
        <v>1241</v>
      </c>
      <c r="D28" s="6">
        <v>1.006</v>
      </c>
      <c r="E28" s="332">
        <v>79.099999999999994</v>
      </c>
      <c r="F28" s="6">
        <f t="shared" si="0"/>
        <v>-124</v>
      </c>
      <c r="G28" s="6">
        <f t="shared" si="0"/>
        <v>-9.8000000000000087E-2</v>
      </c>
      <c r="H28" s="338">
        <f t="shared" si="0"/>
        <v>0.69999999999998863</v>
      </c>
    </row>
    <row r="29" spans="2:8" x14ac:dyDescent="0.45">
      <c r="B29" s="2"/>
      <c r="C29" s="337">
        <v>1117</v>
      </c>
      <c r="D29" s="6">
        <v>0.90700000000000003</v>
      </c>
      <c r="E29" s="332">
        <v>79.8</v>
      </c>
      <c r="F29" s="6">
        <f t="shared" si="0"/>
        <v>-124</v>
      </c>
      <c r="G29" s="6">
        <f t="shared" si="0"/>
        <v>-9.8999999999999977E-2</v>
      </c>
      <c r="H29" s="338">
        <f t="shared" si="0"/>
        <v>0.70000000000000284</v>
      </c>
    </row>
    <row r="30" spans="2:8" x14ac:dyDescent="0.45">
      <c r="B30" s="2"/>
      <c r="C30" s="337">
        <v>993</v>
      </c>
      <c r="D30" s="6">
        <v>0.80700000000000005</v>
      </c>
      <c r="E30" s="332">
        <v>80.5</v>
      </c>
      <c r="F30" s="6">
        <f t="shared" si="0"/>
        <v>-124</v>
      </c>
      <c r="G30" s="6">
        <f t="shared" si="0"/>
        <v>-9.9999999999999978E-2</v>
      </c>
      <c r="H30" s="338">
        <f t="shared" si="0"/>
        <v>0.70000000000000284</v>
      </c>
    </row>
    <row r="31" spans="2:8" x14ac:dyDescent="0.45">
      <c r="B31" s="2"/>
      <c r="C31" s="337">
        <v>869</v>
      </c>
      <c r="D31" s="6">
        <v>0.70799999999999996</v>
      </c>
      <c r="E31" s="332">
        <v>81.2</v>
      </c>
      <c r="F31" s="6">
        <f t="shared" si="0"/>
        <v>-124</v>
      </c>
      <c r="G31" s="6">
        <f t="shared" si="0"/>
        <v>-9.9000000000000088E-2</v>
      </c>
      <c r="H31" s="338">
        <f t="shared" si="0"/>
        <v>0.70000000000000284</v>
      </c>
    </row>
    <row r="32" spans="2:8" x14ac:dyDescent="0.45">
      <c r="B32" s="2"/>
      <c r="C32" s="337">
        <v>745</v>
      </c>
      <c r="D32" s="6">
        <v>0.60799999999999998</v>
      </c>
      <c r="E32" s="332">
        <v>81.8</v>
      </c>
      <c r="F32" s="6">
        <f t="shared" si="0"/>
        <v>-124</v>
      </c>
      <c r="G32" s="6">
        <f t="shared" si="0"/>
        <v>-9.9999999999999978E-2</v>
      </c>
      <c r="H32" s="338">
        <f t="shared" si="0"/>
        <v>0.59999999999999432</v>
      </c>
    </row>
    <row r="33" spans="2:8" x14ac:dyDescent="0.45">
      <c r="B33" s="2"/>
      <c r="C33" s="337">
        <v>620</v>
      </c>
      <c r="D33" s="6">
        <v>0.50800000000000001</v>
      </c>
      <c r="E33" s="332">
        <v>82.6</v>
      </c>
      <c r="F33" s="6">
        <f t="shared" si="0"/>
        <v>-125</v>
      </c>
      <c r="G33" s="6">
        <f t="shared" si="0"/>
        <v>-9.9999999999999978E-2</v>
      </c>
      <c r="H33" s="338">
        <f t="shared" si="0"/>
        <v>0.79999999999999716</v>
      </c>
    </row>
    <row r="34" spans="2:8" ht="17.5" thickBot="1" x14ac:dyDescent="0.5">
      <c r="B34" s="2"/>
      <c r="C34" s="339">
        <v>496</v>
      </c>
      <c r="D34" s="340">
        <v>0.40899999999999997</v>
      </c>
      <c r="E34" s="341">
        <v>83.2</v>
      </c>
      <c r="F34" s="340">
        <f t="shared" si="0"/>
        <v>-124</v>
      </c>
      <c r="G34" s="340">
        <f t="shared" si="0"/>
        <v>-9.9000000000000032E-2</v>
      </c>
      <c r="H34" s="342">
        <f t="shared" si="0"/>
        <v>0.60000000000000853</v>
      </c>
    </row>
    <row r="35" spans="2:8" x14ac:dyDescent="0.45">
      <c r="B35" s="2"/>
      <c r="C35" s="2">
        <v>372</v>
      </c>
      <c r="D35" s="6">
        <v>0.31</v>
      </c>
      <c r="E35" s="332">
        <v>83.9</v>
      </c>
      <c r="F35" s="6">
        <f t="shared" si="0"/>
        <v>-124</v>
      </c>
      <c r="G35" s="6">
        <f t="shared" si="0"/>
        <v>-9.8999999999999977E-2</v>
      </c>
      <c r="H35" s="6">
        <f t="shared" si="0"/>
        <v>0.70000000000000284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CA0F-4270-490C-ADAD-3DF9C7D7BC9B}">
  <dimension ref="B1:U64"/>
  <sheetViews>
    <sheetView showGridLines="0" topLeftCell="A23" zoomScaleNormal="100" workbookViewId="0">
      <selection activeCell="G55" sqref="G55"/>
    </sheetView>
  </sheetViews>
  <sheetFormatPr defaultRowHeight="17" x14ac:dyDescent="0.45"/>
  <cols>
    <col min="2" max="2" width="10.6640625" style="1" bestFit="1" customWidth="1"/>
    <col min="3" max="4" width="11.08203125" style="1" bestFit="1" customWidth="1"/>
    <col min="5" max="5" width="10.1640625" bestFit="1" customWidth="1"/>
    <col min="6" max="7" width="9.1640625" bestFit="1" customWidth="1"/>
    <col min="8" max="8" width="8.1640625" bestFit="1" customWidth="1"/>
    <col min="9" max="9" width="1.58203125" customWidth="1"/>
    <col min="10" max="10" width="6.9140625" bestFit="1" customWidth="1"/>
    <col min="11" max="11" width="5.83203125" bestFit="1" customWidth="1"/>
    <col min="12" max="12" width="6.25" bestFit="1" customWidth="1"/>
    <col min="13" max="13" width="7.25" bestFit="1" customWidth="1"/>
    <col min="14" max="14" width="9" bestFit="1" customWidth="1"/>
    <col min="15" max="15" width="12.33203125" bestFit="1" customWidth="1"/>
    <col min="16" max="16" width="9.1640625" bestFit="1" customWidth="1"/>
  </cols>
  <sheetData>
    <row r="1" spans="2:21" ht="17.5" thickBot="1" x14ac:dyDescent="0.5"/>
    <row r="2" spans="2:21" ht="17.5" thickBot="1" x14ac:dyDescent="0.5">
      <c r="B2" s="325" t="s">
        <v>1178</v>
      </c>
      <c r="C2" s="326">
        <f>D27/D17</f>
        <v>-2.0868660801564038</v>
      </c>
      <c r="D2" s="327" t="s">
        <v>1176</v>
      </c>
      <c r="E2" s="328">
        <f>(F17-F27)/-D17</f>
        <v>3351.2400000000011</v>
      </c>
      <c r="F2" s="11"/>
      <c r="G2" s="11"/>
      <c r="H2" s="11"/>
    </row>
    <row r="3" spans="2:21" x14ac:dyDescent="0.45">
      <c r="B3"/>
      <c r="C3"/>
      <c r="D3"/>
    </row>
    <row r="4" spans="2:21" x14ac:dyDescent="0.45">
      <c r="B4" s="2"/>
      <c r="C4" s="2"/>
      <c r="D4" s="2" t="s">
        <v>1179</v>
      </c>
      <c r="E4" s="2" t="s">
        <v>1175</v>
      </c>
      <c r="F4" s="2" t="s">
        <v>1184</v>
      </c>
      <c r="G4" s="2" t="s">
        <v>1185</v>
      </c>
      <c r="H4" s="2" t="s">
        <v>1180</v>
      </c>
      <c r="J4" s="2" t="s">
        <v>1187</v>
      </c>
      <c r="K4" s="2" t="s">
        <v>1182</v>
      </c>
      <c r="L4" s="2" t="s">
        <v>1188</v>
      </c>
      <c r="M4" s="2" t="s">
        <v>1183</v>
      </c>
      <c r="N4" s="2" t="s">
        <v>1184</v>
      </c>
      <c r="P4" s="2" t="s">
        <v>1178</v>
      </c>
      <c r="Q4" s="2" t="s">
        <v>1179</v>
      </c>
      <c r="R4" s="2" t="s">
        <v>1175</v>
      </c>
      <c r="S4" s="2" t="s">
        <v>1184</v>
      </c>
      <c r="T4" s="2" t="s">
        <v>1185</v>
      </c>
      <c r="U4" s="2" t="s">
        <v>1180</v>
      </c>
    </row>
    <row r="5" spans="2:21" x14ac:dyDescent="0.45">
      <c r="B5" s="2" t="s">
        <v>1178</v>
      </c>
      <c r="C5" s="2">
        <v>4095</v>
      </c>
      <c r="D5" s="6"/>
      <c r="E5" s="6"/>
      <c r="J5" s="1" t="s">
        <v>30</v>
      </c>
      <c r="K5" s="1"/>
      <c r="L5" s="236"/>
      <c r="M5" s="236"/>
      <c r="N5" s="236"/>
      <c r="P5" s="2">
        <v>2000</v>
      </c>
      <c r="Q5" s="6">
        <f>$D$18*P5+$F$18</f>
        <v>1.6113438607798904</v>
      </c>
      <c r="R5" s="6">
        <f>$D$17*P5+$F$17</f>
        <v>75.188495004834039</v>
      </c>
      <c r="S5" s="290"/>
      <c r="T5" s="251"/>
      <c r="U5" s="251"/>
    </row>
    <row r="6" spans="2:21" x14ac:dyDescent="0.45">
      <c r="B6" s="2"/>
      <c r="C6" s="295">
        <v>3723</v>
      </c>
      <c r="D6" s="296">
        <v>3</v>
      </c>
      <c r="E6" s="297">
        <v>65.81</v>
      </c>
      <c r="F6" s="6"/>
      <c r="G6" s="6"/>
      <c r="H6" s="6"/>
      <c r="J6" s="1">
        <v>0</v>
      </c>
      <c r="K6" s="288">
        <f t="shared" ref="K6:K17" si="0">$C$2*J6+$E$2</f>
        <v>3351.2400000000011</v>
      </c>
      <c r="L6" s="236">
        <f>$D$18*K6</f>
        <v>2.7000000000000011</v>
      </c>
      <c r="M6" s="236">
        <f>$D$17*K6+$F$17</f>
        <v>67.833534128262968</v>
      </c>
      <c r="N6" s="236"/>
      <c r="P6" s="294">
        <f>P5+S6</f>
        <v>2008</v>
      </c>
      <c r="Q6" s="6">
        <f>$D$18*P6+$F$18</f>
        <v>1.61778923622301</v>
      </c>
      <c r="R6" s="6">
        <f>$D$17*P6+$F$17</f>
        <v>75.14495004834032</v>
      </c>
      <c r="S6" s="289">
        <v>8</v>
      </c>
      <c r="T6" s="251">
        <f>Q5-Q6</f>
        <v>-6.4453754431195165E-3</v>
      </c>
      <c r="U6" s="251">
        <f>R5-R6</f>
        <v>4.3544956493718701E-2</v>
      </c>
    </row>
    <row r="7" spans="2:21" x14ac:dyDescent="0.45">
      <c r="B7" s="2"/>
      <c r="C7" s="298">
        <v>3102</v>
      </c>
      <c r="D7" s="6">
        <v>2.5</v>
      </c>
      <c r="E7" s="299">
        <v>69.2</v>
      </c>
      <c r="F7" s="6"/>
      <c r="G7" s="6"/>
      <c r="H7" s="6"/>
      <c r="J7" s="1">
        <v>100</v>
      </c>
      <c r="K7" s="288">
        <f t="shared" si="0"/>
        <v>3142.5533919843606</v>
      </c>
      <c r="L7" s="236">
        <f t="shared" ref="L7:L17" si="1">$D$18*K7</f>
        <v>2.5318670576735101</v>
      </c>
      <c r="M7" s="236">
        <f t="shared" ref="M7:M17" si="2">$D$17*K7+$F$17</f>
        <v>68.969440286620738</v>
      </c>
      <c r="N7" s="236">
        <f>K7-K6</f>
        <v>-208.68660801564056</v>
      </c>
      <c r="P7" s="2">
        <v>2000</v>
      </c>
      <c r="Q7" s="6">
        <f>$D$18*P7+$F$18</f>
        <v>1.6113438607798904</v>
      </c>
      <c r="R7" s="6">
        <f>$D$17*P7+$F$17</f>
        <v>75.188495004834039</v>
      </c>
      <c r="S7" s="289"/>
      <c r="T7" s="251"/>
      <c r="U7" s="251"/>
    </row>
    <row r="8" spans="2:21" x14ac:dyDescent="0.45">
      <c r="B8" s="2"/>
      <c r="C8" s="298">
        <v>2482</v>
      </c>
      <c r="D8" s="6">
        <v>2</v>
      </c>
      <c r="E8" s="299">
        <v>72.599999999999994</v>
      </c>
      <c r="F8" s="6"/>
      <c r="G8" s="6"/>
      <c r="H8" s="6"/>
      <c r="J8" s="1">
        <v>200</v>
      </c>
      <c r="K8" s="288">
        <f t="shared" si="0"/>
        <v>2933.8667839687205</v>
      </c>
      <c r="L8" s="236">
        <f t="shared" si="1"/>
        <v>2.3637341153470195</v>
      </c>
      <c r="M8" s="236">
        <f t="shared" si="2"/>
        <v>70.105346444978508</v>
      </c>
      <c r="N8" s="236">
        <f t="shared" ref="N8:N16" si="3">K8-K7</f>
        <v>-208.6866080156401</v>
      </c>
      <c r="P8" s="294">
        <f>P7+S8</f>
        <v>2050</v>
      </c>
      <c r="Q8" s="6">
        <f>$D$18*P8+$F$18</f>
        <v>1.6516274572993876</v>
      </c>
      <c r="R8" s="6">
        <f>$D$17*P8+$F$17</f>
        <v>74.916339026748318</v>
      </c>
      <c r="S8" s="289">
        <v>50</v>
      </c>
      <c r="T8" s="251">
        <f>Q7-Q8</f>
        <v>-4.02835965194972E-2</v>
      </c>
      <c r="U8" s="251">
        <f>R7-R8</f>
        <v>0.27215597808572056</v>
      </c>
    </row>
    <row r="9" spans="2:21" x14ac:dyDescent="0.45">
      <c r="B9" s="2"/>
      <c r="C9" s="298">
        <v>1861</v>
      </c>
      <c r="D9" s="6">
        <v>1.5</v>
      </c>
      <c r="E9" s="299">
        <v>76</v>
      </c>
      <c r="F9" s="6"/>
      <c r="G9" s="6"/>
      <c r="H9" s="6"/>
      <c r="J9" s="1">
        <v>300</v>
      </c>
      <c r="K9" s="288">
        <f t="shared" si="0"/>
        <v>2725.1801759530799</v>
      </c>
      <c r="L9" s="236">
        <f t="shared" si="1"/>
        <v>2.1956011730205285</v>
      </c>
      <c r="M9" s="236">
        <f t="shared" si="2"/>
        <v>71.241252603336278</v>
      </c>
      <c r="N9" s="236">
        <f t="shared" si="3"/>
        <v>-208.68660801564056</v>
      </c>
      <c r="P9" s="3"/>
      <c r="S9" s="289"/>
    </row>
    <row r="10" spans="2:21" x14ac:dyDescent="0.45">
      <c r="B10" s="2"/>
      <c r="C10" s="298">
        <v>1241</v>
      </c>
      <c r="D10" s="6">
        <v>1</v>
      </c>
      <c r="E10" s="299">
        <v>79.400000000000006</v>
      </c>
      <c r="F10" s="6"/>
      <c r="G10" s="6"/>
      <c r="H10" s="6"/>
      <c r="J10" s="1">
        <v>400</v>
      </c>
      <c r="K10" s="288">
        <f t="shared" si="0"/>
        <v>2516.4935679374394</v>
      </c>
      <c r="L10" s="236">
        <f t="shared" si="1"/>
        <v>2.0274682306940375</v>
      </c>
      <c r="M10" s="236">
        <f t="shared" si="2"/>
        <v>72.377158761694062</v>
      </c>
      <c r="N10" s="236">
        <f t="shared" si="3"/>
        <v>-208.68660801564056</v>
      </c>
      <c r="P10" s="11">
        <v>500</v>
      </c>
      <c r="Q10" s="3"/>
      <c r="R10" s="3"/>
      <c r="S10" s="329"/>
      <c r="T10" s="3"/>
      <c r="U10" s="3"/>
    </row>
    <row r="11" spans="2:21" x14ac:dyDescent="0.45">
      <c r="B11" s="2"/>
      <c r="C11" s="300">
        <v>620</v>
      </c>
      <c r="D11" s="301">
        <v>0.5</v>
      </c>
      <c r="E11" s="302">
        <v>82.7</v>
      </c>
      <c r="F11" s="6"/>
      <c r="G11" s="6"/>
      <c r="H11" s="6"/>
      <c r="J11" s="1">
        <v>500</v>
      </c>
      <c r="K11" s="288">
        <f t="shared" si="0"/>
        <v>2307.8069599217993</v>
      </c>
      <c r="L11" s="236">
        <f t="shared" si="1"/>
        <v>1.8593352883675469</v>
      </c>
      <c r="M11" s="236">
        <f t="shared" si="2"/>
        <v>73.513064920051832</v>
      </c>
      <c r="N11" s="236">
        <f t="shared" si="3"/>
        <v>-208.6866080156401</v>
      </c>
      <c r="P11" s="2">
        <f>P12-P10</f>
        <v>1500</v>
      </c>
      <c r="Q11" s="219">
        <f>$D$18*P11+$F$18</f>
        <v>1.2085078955849178</v>
      </c>
      <c r="R11" s="219">
        <f>$D$17*P11+$F$17</f>
        <v>77.910054785691273</v>
      </c>
      <c r="S11" s="289">
        <f>P11-P12</f>
        <v>-500</v>
      </c>
      <c r="T11" s="290">
        <f>Q11-Q12</f>
        <v>-0.40283596519497267</v>
      </c>
      <c r="U11" s="290">
        <f>R11-R12</f>
        <v>2.721559780857234</v>
      </c>
    </row>
    <row r="12" spans="2:21" x14ac:dyDescent="0.45">
      <c r="B12" s="2"/>
      <c r="C12" s="2">
        <v>0</v>
      </c>
      <c r="E12" s="1"/>
      <c r="F12" s="1"/>
      <c r="G12" s="1"/>
      <c r="H12" s="1"/>
      <c r="J12" s="1">
        <v>600</v>
      </c>
      <c r="K12" s="288">
        <f t="shared" si="0"/>
        <v>2099.1203519061592</v>
      </c>
      <c r="L12" s="236">
        <f t="shared" si="1"/>
        <v>1.6912023460410563</v>
      </c>
      <c r="M12" s="236">
        <f t="shared" si="2"/>
        <v>74.648971078409602</v>
      </c>
      <c r="N12" s="236">
        <f t="shared" si="3"/>
        <v>-208.6866080156401</v>
      </c>
      <c r="P12" s="2">
        <v>2000</v>
      </c>
      <c r="Q12" s="219">
        <f t="shared" ref="Q12:Q13" si="4">$D$18*P12+$F$18</f>
        <v>1.6113438607798904</v>
      </c>
      <c r="R12" s="219">
        <f t="shared" ref="R12:R13" si="5">$D$17*P12+$F$17</f>
        <v>75.188495004834039</v>
      </c>
      <c r="S12" s="289"/>
      <c r="T12" s="290"/>
      <c r="U12" s="290"/>
    </row>
    <row r="13" spans="2:21" x14ac:dyDescent="0.45">
      <c r="B13" s="2"/>
      <c r="C13" s="2"/>
      <c r="J13" s="1">
        <v>700</v>
      </c>
      <c r="K13" s="288">
        <f t="shared" si="0"/>
        <v>1890.4337438905184</v>
      </c>
      <c r="L13" s="236">
        <f t="shared" si="1"/>
        <v>1.5230694037145651</v>
      </c>
      <c r="M13" s="236">
        <f t="shared" si="2"/>
        <v>75.784877236767372</v>
      </c>
      <c r="N13" s="236">
        <f t="shared" si="3"/>
        <v>-208.68660801564079</v>
      </c>
      <c r="P13" s="2">
        <f>P12+P10</f>
        <v>2500</v>
      </c>
      <c r="Q13" s="219">
        <f t="shared" si="4"/>
        <v>2.0141798259748631</v>
      </c>
      <c r="R13" s="219">
        <f t="shared" si="5"/>
        <v>72.466935223976805</v>
      </c>
      <c r="S13" s="289">
        <f>P13-P12</f>
        <v>500</v>
      </c>
      <c r="T13" s="290">
        <f>Q13-Q12</f>
        <v>0.40283596519497267</v>
      </c>
      <c r="U13" s="290">
        <f>R13-R12</f>
        <v>-2.721559780857234</v>
      </c>
    </row>
    <row r="14" spans="2:21" x14ac:dyDescent="0.45">
      <c r="B14" s="2"/>
      <c r="C14" s="2"/>
      <c r="I14" s="1"/>
      <c r="J14" s="1">
        <v>800</v>
      </c>
      <c r="K14" s="288">
        <f t="shared" si="0"/>
        <v>1681.747135874878</v>
      </c>
      <c r="L14" s="236">
        <f t="shared" si="1"/>
        <v>1.3549364613880746</v>
      </c>
      <c r="M14" s="236">
        <f t="shared" si="2"/>
        <v>76.920783395125142</v>
      </c>
      <c r="N14" s="236">
        <f t="shared" si="3"/>
        <v>-208.68660801564033</v>
      </c>
    </row>
    <row r="15" spans="2:21" x14ac:dyDescent="0.45">
      <c r="B15" s="2"/>
      <c r="C15" s="294">
        <f>C11-C6</f>
        <v>-3103</v>
      </c>
      <c r="D15" s="2"/>
      <c r="E15" s="234">
        <f>E11-E6</f>
        <v>16.89</v>
      </c>
      <c r="F15" s="3"/>
      <c r="G15" s="3"/>
      <c r="H15" s="3"/>
      <c r="J15" s="1">
        <v>900</v>
      </c>
      <c r="K15" s="288">
        <f t="shared" si="0"/>
        <v>1473.0605278592377</v>
      </c>
      <c r="L15" s="236">
        <f t="shared" si="1"/>
        <v>1.1868035190615838</v>
      </c>
      <c r="M15" s="236">
        <f t="shared" si="2"/>
        <v>78.056689553482911</v>
      </c>
      <c r="N15" s="236">
        <f t="shared" si="3"/>
        <v>-208.68660801564033</v>
      </c>
    </row>
    <row r="16" spans="2:21" ht="17.5" thickBot="1" x14ac:dyDescent="0.5">
      <c r="B16" s="2"/>
      <c r="C16" s="2"/>
      <c r="D16" s="2"/>
      <c r="E16" s="2"/>
      <c r="F16" s="283">
        <f>E11</f>
        <v>82.7</v>
      </c>
      <c r="G16" s="309">
        <f>C11*-D17</f>
        <v>3.3747341282629715</v>
      </c>
      <c r="H16" s="2"/>
      <c r="J16" s="1">
        <v>1000</v>
      </c>
      <c r="K16" s="288">
        <f t="shared" si="0"/>
        <v>1264.3739198435974</v>
      </c>
      <c r="L16" s="236">
        <f t="shared" si="1"/>
        <v>1.018670576735093</v>
      </c>
      <c r="M16" s="236">
        <f t="shared" si="2"/>
        <v>79.192595711840681</v>
      </c>
      <c r="N16" s="236">
        <f t="shared" si="3"/>
        <v>-208.68660801564033</v>
      </c>
    </row>
    <row r="17" spans="2:16" ht="17.5" thickBot="1" x14ac:dyDescent="0.5">
      <c r="B17" s="2"/>
      <c r="C17" s="321" t="s">
        <v>1175</v>
      </c>
      <c r="D17" s="322">
        <f>E15/C15</f>
        <v>-5.4431195617144698E-3</v>
      </c>
      <c r="E17" s="323" t="s">
        <v>1181</v>
      </c>
      <c r="F17" s="324">
        <f>F16+G16</f>
        <v>86.074734128262975</v>
      </c>
      <c r="G17" s="3"/>
      <c r="H17" s="3"/>
      <c r="J17" s="1">
        <v>1023</v>
      </c>
      <c r="K17" s="288">
        <f t="shared" si="0"/>
        <v>1216.3760000000002</v>
      </c>
      <c r="L17" s="236">
        <f t="shared" si="1"/>
        <v>0.98000000000000009</v>
      </c>
      <c r="M17" s="236">
        <f t="shared" si="2"/>
        <v>79.453854128262975</v>
      </c>
      <c r="N17" s="236"/>
    </row>
    <row r="18" spans="2:16" ht="17.5" thickBot="1" x14ac:dyDescent="0.5">
      <c r="B18" s="2"/>
      <c r="C18" s="317" t="s">
        <v>1179</v>
      </c>
      <c r="D18" s="318">
        <f>(D6-D11)/(C6-C11)</f>
        <v>8.056719303899452E-4</v>
      </c>
      <c r="E18" s="319" t="s">
        <v>1181</v>
      </c>
      <c r="F18" s="320">
        <v>0</v>
      </c>
      <c r="G18" s="3"/>
      <c r="H18" s="3"/>
      <c r="P18" s="514">
        <f>K6-K17</f>
        <v>2134.8640000000009</v>
      </c>
    </row>
    <row r="19" spans="2:16" x14ac:dyDescent="0.45">
      <c r="J19" s="1"/>
      <c r="K19" s="236"/>
      <c r="P19">
        <v>20</v>
      </c>
    </row>
    <row r="20" spans="2:16" x14ac:dyDescent="0.45">
      <c r="B20" s="293" t="s">
        <v>1190</v>
      </c>
      <c r="C20" s="315">
        <v>1</v>
      </c>
      <c r="D20" s="291"/>
      <c r="E20" s="293" t="s">
        <v>1193</v>
      </c>
      <c r="F20" s="315">
        <v>0.7</v>
      </c>
      <c r="G20" s="292"/>
      <c r="H20" s="292"/>
      <c r="P20">
        <f>P18/P19</f>
        <v>106.74320000000004</v>
      </c>
    </row>
    <row r="21" spans="2:16" x14ac:dyDescent="0.45">
      <c r="B21" s="313"/>
      <c r="C21" s="314" t="s">
        <v>1197</v>
      </c>
      <c r="D21" s="291"/>
      <c r="E21" s="305"/>
      <c r="F21" s="306"/>
      <c r="G21" s="307"/>
      <c r="H21" s="292"/>
    </row>
    <row r="22" spans="2:16" x14ac:dyDescent="0.45">
      <c r="B22" s="2" t="s">
        <v>1177</v>
      </c>
      <c r="C22" s="2" t="s">
        <v>1198</v>
      </c>
      <c r="D22" s="2"/>
      <c r="E22" s="2" t="s">
        <v>1179</v>
      </c>
      <c r="F22" s="2" t="s">
        <v>1178</v>
      </c>
      <c r="G22" s="2" t="s">
        <v>1194</v>
      </c>
      <c r="H22" s="2"/>
      <c r="N22" s="236"/>
    </row>
    <row r="23" spans="2:16" x14ac:dyDescent="0.45">
      <c r="B23" s="3">
        <v>0</v>
      </c>
      <c r="C23" s="6">
        <f>D30+1</f>
        <v>70.643571500000007</v>
      </c>
      <c r="D23" s="6"/>
      <c r="E23" s="11">
        <v>2.7</v>
      </c>
      <c r="F23" s="32">
        <f>E23/$D$18</f>
        <v>3351.2400000000002</v>
      </c>
      <c r="G23" s="308">
        <f>$D$17*F23+$F$17</f>
        <v>67.833534128262968</v>
      </c>
      <c r="H23">
        <v>67.099999999999994</v>
      </c>
      <c r="N23" s="236"/>
    </row>
    <row r="24" spans="2:16" x14ac:dyDescent="0.45">
      <c r="B24" s="330"/>
      <c r="C24" s="6"/>
      <c r="D24" s="6"/>
      <c r="E24" s="11"/>
      <c r="F24" s="32"/>
      <c r="G24" s="308"/>
      <c r="J24" s="1"/>
      <c r="K24" s="288"/>
      <c r="L24" s="236"/>
      <c r="M24" s="236"/>
      <c r="N24" s="236"/>
    </row>
    <row r="25" spans="2:16" x14ac:dyDescent="0.45">
      <c r="B25" s="330"/>
      <c r="C25" s="6"/>
      <c r="E25" s="11"/>
      <c r="F25" s="32"/>
      <c r="G25" s="308"/>
      <c r="N25" s="236"/>
    </row>
    <row r="26" spans="2:16" ht="17.5" thickBot="1" x14ac:dyDescent="0.5">
      <c r="B26" s="3">
        <v>1023</v>
      </c>
      <c r="C26" s="6">
        <f>D33+1</f>
        <v>78.97</v>
      </c>
      <c r="E26" s="11">
        <v>0.98</v>
      </c>
      <c r="F26" s="32">
        <f t="shared" ref="F26" si="6">E26/$D$18</f>
        <v>1216.376</v>
      </c>
      <c r="G26" s="308">
        <f t="shared" ref="G26" si="7">$D$17*F26+$F$17</f>
        <v>79.453854128262975</v>
      </c>
    </row>
    <row r="27" spans="2:16" ht="17.5" thickBot="1" x14ac:dyDescent="0.5">
      <c r="B27" s="3"/>
      <c r="C27" s="317" t="s">
        <v>1175</v>
      </c>
      <c r="D27" s="318">
        <f>(G26-G23)/(B26-B23)</f>
        <v>1.1359061583577719E-2</v>
      </c>
      <c r="E27" s="319" t="s">
        <v>1176</v>
      </c>
      <c r="F27" s="320">
        <f>G23</f>
        <v>67.833534128262968</v>
      </c>
      <c r="G27" s="3"/>
      <c r="H27" s="3"/>
    </row>
    <row r="28" spans="2:16" x14ac:dyDescent="0.45">
      <c r="B28"/>
      <c r="C28"/>
      <c r="D28"/>
    </row>
    <row r="29" spans="2:16" x14ac:dyDescent="0.45">
      <c r="B29" s="293" t="s">
        <v>1177</v>
      </c>
      <c r="C29" s="293" t="s">
        <v>1191</v>
      </c>
      <c r="D29" s="293" t="s">
        <v>1195</v>
      </c>
      <c r="E29" s="293" t="s">
        <v>1196</v>
      </c>
      <c r="F29" s="293"/>
      <c r="G29" s="293"/>
      <c r="H29" s="293"/>
    </row>
    <row r="30" spans="2:16" x14ac:dyDescent="0.45">
      <c r="B30" s="2">
        <v>0</v>
      </c>
      <c r="C30" s="1">
        <v>4.7809999999999997</v>
      </c>
      <c r="D30" s="236">
        <f>D35*C30+F35</f>
        <v>69.643571500000007</v>
      </c>
      <c r="E30" s="236">
        <f>D30/12</f>
        <v>5.8036309583333336</v>
      </c>
      <c r="F30" s="1"/>
      <c r="G30" s="1"/>
      <c r="H30" s="1"/>
      <c r="N30" s="236"/>
    </row>
    <row r="31" spans="2:16" x14ac:dyDescent="0.45">
      <c r="B31" s="303">
        <v>99</v>
      </c>
      <c r="C31" s="233">
        <v>6.83</v>
      </c>
      <c r="D31" s="304">
        <v>70.36</v>
      </c>
      <c r="E31" s="304">
        <f>D31/12</f>
        <v>5.8633333333333333</v>
      </c>
      <c r="F31" s="1"/>
      <c r="G31" s="1"/>
      <c r="H31" s="1"/>
    </row>
    <row r="32" spans="2:16" x14ac:dyDescent="0.45">
      <c r="B32" s="303">
        <v>667</v>
      </c>
      <c r="C32" s="233">
        <v>18.579999999999998</v>
      </c>
      <c r="D32" s="304">
        <v>75.459999999999994</v>
      </c>
      <c r="E32" s="304">
        <f>D32/12</f>
        <v>6.2883333333333331</v>
      </c>
      <c r="F32" s="1"/>
      <c r="G32" s="1"/>
      <c r="H32" s="1"/>
    </row>
    <row r="33" spans="2:8" x14ac:dyDescent="0.45">
      <c r="B33" s="2">
        <v>1023</v>
      </c>
      <c r="C33" s="233">
        <v>25.94</v>
      </c>
      <c r="D33" s="304">
        <v>77.97</v>
      </c>
      <c r="E33" s="304">
        <f>D33/12</f>
        <v>6.4974999999999996</v>
      </c>
      <c r="F33" s="1"/>
      <c r="G33" s="1"/>
      <c r="H33" s="1"/>
    </row>
    <row r="34" spans="2:8" x14ac:dyDescent="0.45">
      <c r="B34" s="2"/>
      <c r="E34" s="236"/>
      <c r="F34" s="1"/>
      <c r="G34" s="1"/>
      <c r="H34" s="1"/>
    </row>
    <row r="35" spans="2:8" x14ac:dyDescent="0.45">
      <c r="B35" s="2"/>
      <c r="C35" s="310" t="s">
        <v>1175</v>
      </c>
      <c r="D35" s="311">
        <v>0.40150000000000002</v>
      </c>
      <c r="E35" s="312" t="s">
        <v>1192</v>
      </c>
      <c r="F35" s="316">
        <v>67.724000000000004</v>
      </c>
      <c r="G35" s="3"/>
      <c r="H35" s="3"/>
    </row>
    <row r="45" spans="2:8" x14ac:dyDescent="0.45">
      <c r="B45" s="224" t="s">
        <v>1520</v>
      </c>
      <c r="C45" s="224" t="s">
        <v>1522</v>
      </c>
      <c r="D45" s="2"/>
      <c r="E45" s="3"/>
      <c r="F45" s="3"/>
      <c r="G45" s="3"/>
      <c r="H45" s="3"/>
    </row>
    <row r="46" spans="2:8" x14ac:dyDescent="0.45">
      <c r="B46" s="224" t="s">
        <v>1521</v>
      </c>
      <c r="C46" s="2"/>
      <c r="D46" s="2"/>
      <c r="E46" s="3"/>
      <c r="F46" s="3"/>
      <c r="G46" s="3"/>
      <c r="H46" s="3"/>
    </row>
    <row r="47" spans="2:8" x14ac:dyDescent="0.45">
      <c r="B47" s="224" t="s">
        <v>1526</v>
      </c>
      <c r="C47" s="2"/>
      <c r="D47" s="2"/>
      <c r="E47" s="3"/>
      <c r="F47" s="3"/>
      <c r="G47" s="3"/>
      <c r="H47" s="3"/>
    </row>
    <row r="48" spans="2:8" s="5" customFormat="1" x14ac:dyDescent="0.45">
      <c r="B48" s="224" t="s">
        <v>1527</v>
      </c>
      <c r="C48" s="224"/>
      <c r="D48" s="224"/>
      <c r="E48" s="224"/>
      <c r="F48" s="224"/>
      <c r="G48" s="224"/>
      <c r="H48" s="224"/>
    </row>
    <row r="49" spans="2:8" s="5" customFormat="1" x14ac:dyDescent="0.45">
      <c r="B49" s="534" t="s">
        <v>1531</v>
      </c>
      <c r="C49" s="224"/>
      <c r="D49" s="224"/>
      <c r="E49" s="224"/>
      <c r="F49" s="224"/>
      <c r="G49" s="224"/>
      <c r="H49" s="224"/>
    </row>
    <row r="50" spans="2:8" s="5" customFormat="1" x14ac:dyDescent="0.45">
      <c r="B50" s="224" t="s">
        <v>1525</v>
      </c>
      <c r="C50" s="224"/>
      <c r="D50" s="224"/>
      <c r="E50" s="224"/>
      <c r="F50" s="224"/>
      <c r="G50" s="224"/>
      <c r="H50" s="224"/>
    </row>
    <row r="51" spans="2:8" s="5" customFormat="1" x14ac:dyDescent="0.45">
      <c r="B51" s="533" t="s">
        <v>1528</v>
      </c>
      <c r="C51" s="533"/>
      <c r="D51" s="533"/>
      <c r="E51" s="533"/>
      <c r="F51" s="533"/>
      <c r="G51" s="533"/>
      <c r="H51" s="533"/>
    </row>
    <row r="52" spans="2:8" s="5" customFormat="1" x14ac:dyDescent="0.45">
      <c r="B52" s="533" t="s">
        <v>1529</v>
      </c>
      <c r="C52" s="533"/>
      <c r="D52" s="533"/>
      <c r="E52" s="533"/>
      <c r="F52" s="533"/>
      <c r="G52" s="533"/>
      <c r="H52" s="533"/>
    </row>
    <row r="53" spans="2:8" s="5" customFormat="1" x14ac:dyDescent="0.45">
      <c r="B53" s="533" t="s">
        <v>1530</v>
      </c>
      <c r="C53" s="533"/>
      <c r="D53" s="533"/>
      <c r="E53" s="533"/>
      <c r="F53" s="533"/>
      <c r="G53" s="533"/>
      <c r="H53" s="533"/>
    </row>
    <row r="54" spans="2:8" x14ac:dyDescent="0.45">
      <c r="B54" s="2" t="s">
        <v>1187</v>
      </c>
      <c r="C54" s="2" t="s">
        <v>1183</v>
      </c>
      <c r="D54" s="2" t="s">
        <v>1178</v>
      </c>
      <c r="E54" s="3"/>
      <c r="F54" s="3"/>
      <c r="G54" s="3"/>
      <c r="H54" s="3"/>
    </row>
    <row r="55" spans="2:8" x14ac:dyDescent="0.45">
      <c r="B55" s="2">
        <v>0</v>
      </c>
      <c r="C55" s="2">
        <v>68.2</v>
      </c>
      <c r="D55" s="1">
        <f>$D$63*B55+$F$63</f>
        <v>3231.5538780343404</v>
      </c>
    </row>
    <row r="56" spans="2:8" x14ac:dyDescent="0.45">
      <c r="B56" s="2">
        <v>250</v>
      </c>
      <c r="C56" s="2">
        <v>71.5</v>
      </c>
      <c r="D56" s="1">
        <f t="shared" ref="D56:D59" si="8">$D$63*B56+$F$63</f>
        <v>2703.3641207815281</v>
      </c>
    </row>
    <row r="57" spans="2:8" x14ac:dyDescent="0.45">
      <c r="B57" s="2">
        <v>500</v>
      </c>
      <c r="C57" s="2">
        <v>74.5</v>
      </c>
      <c r="D57" s="1">
        <f t="shared" si="8"/>
        <v>2175.1743635287157</v>
      </c>
    </row>
    <row r="58" spans="2:8" x14ac:dyDescent="0.45">
      <c r="B58" s="2">
        <v>750</v>
      </c>
      <c r="C58" s="2">
        <v>77.2</v>
      </c>
      <c r="D58" s="1">
        <f t="shared" si="8"/>
        <v>1646.9846062759034</v>
      </c>
    </row>
    <row r="59" spans="2:8" x14ac:dyDescent="0.45">
      <c r="B59" s="2">
        <v>1023</v>
      </c>
      <c r="C59" s="2">
        <v>79.959999999999994</v>
      </c>
      <c r="D59" s="1">
        <f t="shared" si="8"/>
        <v>1070.2013913558321</v>
      </c>
    </row>
    <row r="60" spans="2:8" x14ac:dyDescent="0.45">
      <c r="B60" s="2"/>
      <c r="C60" s="2"/>
    </row>
    <row r="61" spans="2:8" x14ac:dyDescent="0.45">
      <c r="B61" s="2" t="s">
        <v>1175</v>
      </c>
      <c r="C61" s="501" t="s">
        <v>1523</v>
      </c>
      <c r="D61" s="530">
        <f>D17</f>
        <v>-5.4431195617144698E-3</v>
      </c>
      <c r="E61" s="1" t="s">
        <v>1524</v>
      </c>
      <c r="F61" s="531">
        <f>F17</f>
        <v>86.074734128262975</v>
      </c>
    </row>
    <row r="62" spans="2:8" x14ac:dyDescent="0.45">
      <c r="B62" s="2" t="s">
        <v>1175</v>
      </c>
      <c r="C62" s="501" t="s">
        <v>1523</v>
      </c>
      <c r="D62" s="1">
        <v>1.15E-2</v>
      </c>
      <c r="E62" s="1" t="s">
        <v>1519</v>
      </c>
      <c r="F62" s="1">
        <v>68.484999999999999</v>
      </c>
    </row>
    <row r="63" spans="2:8" x14ac:dyDescent="0.45">
      <c r="B63" s="57" t="s">
        <v>1178</v>
      </c>
      <c r="C63" s="532" t="s">
        <v>1523</v>
      </c>
      <c r="D63" s="57">
        <f>D62/D61</f>
        <v>-2.1127590290112495</v>
      </c>
      <c r="E63" s="57" t="s">
        <v>1519</v>
      </c>
      <c r="F63" s="57">
        <f>(F61-F62)/-D61</f>
        <v>3231.5538780343404</v>
      </c>
      <c r="G63" s="8"/>
      <c r="H63" s="8"/>
    </row>
    <row r="64" spans="2:8" x14ac:dyDescent="0.45">
      <c r="F64" s="57">
        <v>3300</v>
      </c>
      <c r="G64" s="8" t="s">
        <v>1532</v>
      </c>
      <c r="H64" s="8"/>
    </row>
  </sheetData>
  <phoneticPr fontId="2" type="noConversion"/>
  <pageMargins left="0.7" right="0.7" top="0.75" bottom="0.75" header="0.3" footer="0.3"/>
  <pageSetup paperSize="9" orientation="portrait" r:id="rId1"/>
  <ignoredErrors>
    <ignoredError sqref="F27" 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2FFE-36E5-4B72-A457-E6CEC5355C62}">
  <dimension ref="B2:FI55"/>
  <sheetViews>
    <sheetView showGridLines="0" topLeftCell="A46" zoomScaleNormal="100" workbookViewId="0"/>
  </sheetViews>
  <sheetFormatPr defaultRowHeight="17" x14ac:dyDescent="0.45"/>
  <cols>
    <col min="2" max="2" width="15.33203125" style="1" bestFit="1" customWidth="1"/>
    <col min="3" max="3" width="1.58203125" style="1" customWidth="1"/>
    <col min="4" max="160" width="1.58203125" customWidth="1"/>
    <col min="161" max="165" width="8.6640625" style="1"/>
  </cols>
  <sheetData>
    <row r="2" spans="2:160" x14ac:dyDescent="0.45"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</row>
    <row r="3" spans="2:160" x14ac:dyDescent="0.45">
      <c r="B3" s="1" t="s">
        <v>13</v>
      </c>
      <c r="D3" s="345"/>
      <c r="E3" s="346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  <c r="Z3" s="345"/>
      <c r="AA3" s="345"/>
      <c r="AB3" s="345"/>
      <c r="AC3" s="345"/>
      <c r="AD3" s="345"/>
      <c r="AE3" s="346"/>
      <c r="AF3" s="345"/>
      <c r="AG3" s="345"/>
      <c r="AH3" s="345"/>
      <c r="AI3" s="345"/>
      <c r="AJ3" s="345"/>
      <c r="AK3" s="345"/>
      <c r="AL3" s="345"/>
      <c r="AM3" s="345"/>
      <c r="AN3" s="345"/>
      <c r="AO3" s="345"/>
      <c r="AP3" s="345"/>
      <c r="AQ3" s="345"/>
      <c r="AR3" s="345"/>
      <c r="AS3" s="345"/>
      <c r="AT3" s="345"/>
      <c r="AU3" s="345"/>
      <c r="AV3" s="345"/>
      <c r="AW3" s="345"/>
      <c r="AX3" s="345"/>
      <c r="AY3" s="345"/>
      <c r="AZ3" s="345"/>
      <c r="BA3" s="345"/>
      <c r="BB3" s="345"/>
      <c r="BC3" s="345"/>
      <c r="BD3" s="345"/>
      <c r="BE3" s="346"/>
      <c r="BF3" s="345"/>
      <c r="BG3" s="345"/>
      <c r="BH3" s="345"/>
      <c r="BI3" s="345"/>
      <c r="BJ3" s="345"/>
      <c r="BK3" s="345"/>
      <c r="BL3" s="345"/>
      <c r="BM3" s="345"/>
      <c r="BN3" s="345"/>
      <c r="BO3" s="345"/>
      <c r="BP3" s="345"/>
      <c r="BQ3" s="345"/>
      <c r="BR3" s="345"/>
      <c r="BS3" s="345"/>
      <c r="BT3" s="345"/>
      <c r="BU3" s="345"/>
      <c r="BV3" s="345"/>
      <c r="BW3" s="345"/>
      <c r="BX3" s="345"/>
      <c r="BY3" s="345"/>
      <c r="BZ3" s="345"/>
      <c r="CA3" s="345"/>
      <c r="CB3" s="345"/>
      <c r="CC3" s="345"/>
      <c r="CD3" s="345"/>
      <c r="CE3" s="346"/>
      <c r="CF3" s="345"/>
      <c r="CG3" s="345"/>
      <c r="CH3" s="345"/>
      <c r="CI3" s="345"/>
      <c r="CJ3" s="345"/>
      <c r="CK3" s="345"/>
      <c r="CL3" s="345"/>
      <c r="CM3" s="345"/>
      <c r="CN3" s="345"/>
      <c r="CO3" s="345"/>
      <c r="CP3" s="345"/>
      <c r="CQ3" s="345"/>
      <c r="CR3" s="345"/>
      <c r="CS3" s="345"/>
      <c r="CT3" s="345"/>
      <c r="CU3" s="345"/>
      <c r="CV3" s="345"/>
      <c r="CW3" s="345"/>
      <c r="CX3" s="345"/>
      <c r="CY3" s="345"/>
      <c r="CZ3" s="345"/>
      <c r="DA3" s="345"/>
      <c r="DB3" s="345"/>
      <c r="DC3" s="345"/>
      <c r="DD3" s="345"/>
      <c r="DE3" s="346"/>
      <c r="DF3" s="345"/>
      <c r="DG3" s="345"/>
      <c r="DH3" s="345"/>
      <c r="DI3" s="345"/>
      <c r="DJ3" s="345"/>
      <c r="DK3" s="345"/>
      <c r="DL3" s="345"/>
      <c r="DM3" s="345"/>
      <c r="DN3" s="345"/>
      <c r="DO3" s="345"/>
      <c r="DP3" s="345"/>
      <c r="DQ3" s="345"/>
      <c r="DR3" s="345"/>
      <c r="DS3" s="345"/>
      <c r="DT3" s="345"/>
      <c r="DU3" s="345"/>
      <c r="DV3" s="345"/>
      <c r="DW3" s="345"/>
      <c r="DX3" s="345"/>
      <c r="DY3" s="345"/>
      <c r="DZ3" s="345"/>
      <c r="EA3" s="345"/>
      <c r="EB3" s="345"/>
      <c r="EC3" s="345"/>
      <c r="ED3" s="345"/>
      <c r="EE3" s="346"/>
      <c r="EF3" s="345"/>
      <c r="EG3" s="345"/>
      <c r="EH3" s="345"/>
      <c r="EI3" s="345"/>
      <c r="EJ3" s="345"/>
      <c r="EK3" s="345"/>
      <c r="EL3" s="345"/>
      <c r="EM3" s="345"/>
      <c r="EN3" s="345"/>
      <c r="EO3" s="345"/>
      <c r="EP3" s="345"/>
      <c r="EQ3" s="345"/>
      <c r="ER3" s="345"/>
      <c r="ES3" s="345"/>
      <c r="ET3" s="345"/>
      <c r="EU3" s="345"/>
      <c r="EV3" s="345"/>
      <c r="EW3" s="345"/>
      <c r="EX3" s="345"/>
      <c r="EY3" s="345"/>
      <c r="EZ3" s="345"/>
      <c r="FA3" s="345"/>
      <c r="FB3" s="345"/>
      <c r="FC3" s="345"/>
      <c r="FD3" s="345"/>
    </row>
    <row r="4" spans="2:160" x14ac:dyDescent="0.45">
      <c r="B4" s="1" t="s">
        <v>1239</v>
      </c>
      <c r="D4" s="5"/>
      <c r="E4" s="33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331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331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331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331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331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</row>
    <row r="5" spans="2:160" x14ac:dyDescent="0.45">
      <c r="B5" s="1" t="s">
        <v>1238</v>
      </c>
      <c r="D5" s="345"/>
      <c r="E5" s="347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7"/>
      <c r="AF5" s="345"/>
      <c r="AG5" s="345"/>
      <c r="AH5" s="345"/>
      <c r="AI5" s="345"/>
      <c r="AJ5" s="345"/>
      <c r="AK5" s="345"/>
      <c r="AL5" s="345"/>
      <c r="AM5" s="345"/>
      <c r="AN5" s="345"/>
      <c r="AO5" s="345"/>
      <c r="AP5" s="345"/>
      <c r="AQ5" s="345"/>
      <c r="AR5" s="345"/>
      <c r="AS5" s="345"/>
      <c r="AT5" s="345"/>
      <c r="AU5" s="345"/>
      <c r="AV5" s="345"/>
      <c r="AW5" s="345"/>
      <c r="AX5" s="345"/>
      <c r="AY5" s="345"/>
      <c r="AZ5" s="345"/>
      <c r="BA5" s="345"/>
      <c r="BB5" s="345"/>
      <c r="BC5" s="345"/>
      <c r="BD5" s="345"/>
      <c r="BE5" s="347"/>
      <c r="BF5" s="345"/>
      <c r="BG5" s="345"/>
      <c r="BH5" s="345"/>
      <c r="BI5" s="345"/>
      <c r="BJ5" s="345"/>
      <c r="BK5" s="345"/>
      <c r="BL5" s="345"/>
      <c r="BM5" s="345"/>
      <c r="BN5" s="345"/>
      <c r="BO5" s="345"/>
      <c r="BP5" s="345"/>
      <c r="BQ5" s="345"/>
      <c r="BR5" s="345"/>
      <c r="BS5" s="345"/>
      <c r="BT5" s="345"/>
      <c r="BU5" s="345"/>
      <c r="BV5" s="345"/>
      <c r="BW5" s="345"/>
      <c r="BX5" s="345"/>
      <c r="BY5" s="345"/>
      <c r="BZ5" s="345"/>
      <c r="CA5" s="345"/>
      <c r="CB5" s="345"/>
      <c r="CC5" s="345"/>
      <c r="CD5" s="345"/>
      <c r="CE5" s="347"/>
      <c r="CF5" s="345"/>
      <c r="CG5" s="345"/>
      <c r="CH5" s="345"/>
      <c r="CI5" s="345"/>
      <c r="CJ5" s="345"/>
      <c r="CK5" s="345"/>
      <c r="CL5" s="345"/>
      <c r="CM5" s="345"/>
      <c r="CN5" s="345"/>
      <c r="CO5" s="345"/>
      <c r="CP5" s="345"/>
      <c r="CQ5" s="345"/>
      <c r="CR5" s="345"/>
      <c r="CS5" s="345"/>
      <c r="CT5" s="345"/>
      <c r="CU5" s="345"/>
      <c r="CV5" s="345"/>
      <c r="CW5" s="345"/>
      <c r="CX5" s="345"/>
      <c r="CY5" s="345"/>
      <c r="CZ5" s="345"/>
      <c r="DA5" s="345"/>
      <c r="DB5" s="345"/>
      <c r="DC5" s="345"/>
      <c r="DD5" s="345"/>
      <c r="DE5" s="347"/>
      <c r="DF5" s="345"/>
      <c r="DG5" s="345"/>
      <c r="DH5" s="345"/>
      <c r="DI5" s="345"/>
      <c r="DJ5" s="345"/>
      <c r="DK5" s="345"/>
      <c r="DL5" s="345"/>
      <c r="DM5" s="345"/>
      <c r="DN5" s="345"/>
      <c r="DO5" s="345"/>
      <c r="DP5" s="345"/>
      <c r="DQ5" s="345"/>
      <c r="DR5" s="345"/>
      <c r="DS5" s="345"/>
      <c r="DT5" s="345"/>
      <c r="DU5" s="345"/>
      <c r="DV5" s="345"/>
      <c r="DW5" s="345"/>
      <c r="DX5" s="345"/>
      <c r="DY5" s="345"/>
      <c r="DZ5" s="345"/>
      <c r="EA5" s="345"/>
      <c r="EB5" s="345"/>
      <c r="EC5" s="345"/>
      <c r="ED5" s="345"/>
      <c r="EE5" s="347"/>
      <c r="EF5" s="345"/>
      <c r="EG5" s="345"/>
      <c r="EH5" s="345"/>
      <c r="EI5" s="345"/>
      <c r="EJ5" s="345"/>
      <c r="EK5" s="345"/>
      <c r="EL5" s="345"/>
      <c r="EM5" s="345"/>
      <c r="EN5" s="345"/>
      <c r="EO5" s="345"/>
      <c r="EP5" s="345"/>
      <c r="EQ5" s="345"/>
      <c r="ER5" s="345"/>
      <c r="ES5" s="345"/>
      <c r="ET5" s="345"/>
      <c r="EU5" s="345"/>
      <c r="EV5" s="345"/>
      <c r="EW5" s="345"/>
      <c r="EX5" s="345"/>
      <c r="EY5" s="345"/>
      <c r="EZ5" s="345"/>
      <c r="FA5" s="345"/>
      <c r="FB5" s="345"/>
      <c r="FC5" s="345"/>
      <c r="FD5" s="345"/>
    </row>
    <row r="6" spans="2:160" x14ac:dyDescent="0.45">
      <c r="D6" s="5"/>
      <c r="E6" s="33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331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331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331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331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331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</row>
    <row r="7" spans="2:160" x14ac:dyDescent="0.45">
      <c r="B7" s="1" t="s">
        <v>1229</v>
      </c>
      <c r="D7" s="381"/>
      <c r="E7" s="382"/>
      <c r="F7" s="383"/>
      <c r="G7" s="384"/>
      <c r="H7" s="385"/>
      <c r="I7" s="381"/>
      <c r="J7" s="386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84"/>
      <c r="V7" s="381"/>
      <c r="W7" s="381"/>
      <c r="X7" s="381"/>
      <c r="Y7" s="381"/>
      <c r="Z7" s="381"/>
      <c r="AA7" s="381"/>
      <c r="AB7" s="381"/>
      <c r="AC7" s="383"/>
      <c r="AD7" s="345"/>
      <c r="AE7" s="347"/>
      <c r="AF7" s="345"/>
      <c r="AG7" s="345"/>
      <c r="AH7" s="384"/>
      <c r="AI7" s="381"/>
      <c r="AJ7" s="381"/>
      <c r="AK7" s="381"/>
      <c r="AL7" s="381"/>
      <c r="AM7" s="381"/>
      <c r="AN7" s="381"/>
      <c r="AO7" s="381"/>
      <c r="AP7" s="381"/>
      <c r="AQ7" s="381"/>
      <c r="AR7" s="381"/>
      <c r="AS7" s="383"/>
      <c r="AT7" s="384"/>
      <c r="AU7" s="381"/>
      <c r="AV7" s="381"/>
      <c r="AW7" s="381"/>
      <c r="AX7" s="381"/>
      <c r="AY7" s="381"/>
      <c r="AZ7" s="381"/>
      <c r="BA7" s="381"/>
      <c r="BB7" s="381"/>
      <c r="BC7" s="381"/>
      <c r="BD7" s="381"/>
      <c r="BE7" s="382"/>
      <c r="BF7" s="381"/>
      <c r="BG7" s="381"/>
      <c r="BH7" s="383"/>
      <c r="BI7" s="345"/>
      <c r="BJ7" s="345"/>
      <c r="BK7" s="345"/>
      <c r="BL7" s="345"/>
      <c r="BM7" s="345"/>
      <c r="BN7" s="345"/>
      <c r="BO7" s="345"/>
      <c r="BP7" s="345"/>
      <c r="BQ7" s="345"/>
      <c r="BR7" s="345"/>
      <c r="BS7" s="345"/>
      <c r="BT7" s="384"/>
      <c r="BU7" s="381"/>
      <c r="BV7" s="381"/>
      <c r="BW7" s="381"/>
      <c r="BX7" s="381"/>
      <c r="BY7" s="381"/>
      <c r="BZ7" s="381"/>
      <c r="CA7" s="381"/>
      <c r="CB7" s="381"/>
      <c r="CC7" s="381"/>
      <c r="CD7" s="381"/>
      <c r="CE7" s="382"/>
      <c r="CF7" s="381"/>
      <c r="CG7" s="381"/>
      <c r="CH7" s="381"/>
      <c r="CI7" s="381"/>
      <c r="CJ7" s="381"/>
      <c r="CK7" s="381"/>
      <c r="CL7" s="381"/>
      <c r="CM7" s="381"/>
      <c r="CN7" s="381"/>
      <c r="CO7" s="381"/>
      <c r="CP7" s="381"/>
      <c r="CQ7" s="381"/>
      <c r="CR7" s="381"/>
      <c r="CS7" s="381"/>
      <c r="CT7" s="381"/>
      <c r="CU7" s="381"/>
      <c r="CV7" s="381"/>
      <c r="CW7" s="381"/>
      <c r="CX7" s="381"/>
      <c r="CY7" s="381"/>
      <c r="CZ7" s="381"/>
      <c r="DA7" s="381"/>
      <c r="DB7" s="381"/>
      <c r="DC7" s="381"/>
      <c r="DD7" s="381"/>
      <c r="DE7" s="382"/>
      <c r="DF7" s="381"/>
      <c r="DG7" s="381"/>
      <c r="DH7" s="381"/>
      <c r="DI7" s="381"/>
      <c r="DJ7" s="381"/>
      <c r="DK7" s="381"/>
      <c r="DL7" s="381"/>
      <c r="DM7" s="381"/>
      <c r="DN7" s="381"/>
      <c r="DO7" s="381"/>
      <c r="DP7" s="381"/>
      <c r="DQ7" s="381"/>
      <c r="DR7" s="381"/>
      <c r="DS7" s="381"/>
      <c r="DT7" s="381"/>
      <c r="DU7" s="381"/>
      <c r="DV7" s="381"/>
      <c r="DW7" s="381"/>
      <c r="DX7" s="381"/>
      <c r="DY7" s="381"/>
      <c r="DZ7" s="381"/>
      <c r="EA7" s="381"/>
      <c r="EB7" s="381"/>
      <c r="EC7" s="381"/>
      <c r="ED7" s="381"/>
      <c r="EE7" s="382"/>
      <c r="EF7" s="381"/>
      <c r="EG7" s="381"/>
      <c r="EH7" s="381"/>
      <c r="EI7" s="381"/>
      <c r="EJ7" s="381"/>
      <c r="EK7" s="381"/>
      <c r="EL7" s="381"/>
      <c r="EM7" s="381"/>
      <c r="EN7" s="381"/>
      <c r="EO7" s="381"/>
      <c r="EP7" s="381"/>
      <c r="EQ7" s="381"/>
      <c r="ER7" s="381"/>
      <c r="ES7" s="381"/>
      <c r="ET7" s="381"/>
      <c r="EU7" s="381"/>
      <c r="EV7" s="381"/>
      <c r="EW7" s="381"/>
      <c r="EX7" s="381"/>
      <c r="EY7" s="381"/>
      <c r="EZ7" s="381"/>
      <c r="FA7" s="381"/>
      <c r="FB7" s="381"/>
      <c r="FC7" s="381"/>
      <c r="FD7" s="381"/>
    </row>
    <row r="8" spans="2:160" x14ac:dyDescent="0.45">
      <c r="D8" s="5"/>
      <c r="E8" s="33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331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331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331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331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331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</row>
    <row r="9" spans="2:160" x14ac:dyDescent="0.45">
      <c r="B9" s="1" t="s">
        <v>1234</v>
      </c>
      <c r="D9" s="345"/>
      <c r="E9" s="346"/>
      <c r="F9" s="345"/>
      <c r="G9" s="345"/>
      <c r="H9" s="345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5"/>
      <c r="X9" s="345"/>
      <c r="Y9" s="345"/>
      <c r="Z9" s="345"/>
      <c r="AA9" s="345"/>
      <c r="AB9" s="345"/>
      <c r="AC9" s="345"/>
      <c r="AD9" s="345"/>
      <c r="AE9" s="346"/>
      <c r="AF9" s="345"/>
      <c r="AG9" s="345"/>
      <c r="AH9" s="345"/>
      <c r="AI9" s="345"/>
      <c r="AJ9" s="345"/>
      <c r="AK9" s="345"/>
      <c r="AL9" s="345"/>
      <c r="AM9" s="345"/>
      <c r="AN9" s="345"/>
      <c r="AO9" s="345"/>
      <c r="AP9" s="345"/>
      <c r="AQ9" s="345"/>
      <c r="AR9" s="345"/>
      <c r="AS9" s="345"/>
      <c r="AT9" s="345"/>
      <c r="AU9" s="345"/>
      <c r="AV9" s="345"/>
      <c r="AW9" s="345"/>
      <c r="AX9" s="345"/>
      <c r="AY9" s="345"/>
      <c r="AZ9" s="345"/>
      <c r="BA9" s="345"/>
      <c r="BB9" s="345"/>
      <c r="BC9" s="345"/>
      <c r="BD9" s="345"/>
      <c r="BE9" s="346"/>
      <c r="BF9" s="345"/>
      <c r="BG9" s="345"/>
      <c r="BH9" s="345"/>
      <c r="BI9" s="345"/>
      <c r="BJ9" s="345"/>
      <c r="BK9" s="345"/>
      <c r="BL9" s="345"/>
      <c r="BM9" s="345"/>
      <c r="BN9" s="345"/>
      <c r="BO9" s="345"/>
      <c r="BP9" s="345"/>
      <c r="BQ9" s="345"/>
      <c r="BR9" s="345"/>
      <c r="BS9" s="345"/>
      <c r="BT9" s="345"/>
      <c r="BU9" s="345"/>
      <c r="BV9" s="345"/>
      <c r="BW9" s="345"/>
      <c r="BX9" s="345"/>
      <c r="BY9" s="345"/>
      <c r="BZ9" s="345"/>
      <c r="CA9" s="345"/>
      <c r="CB9" s="345"/>
      <c r="CC9" s="345"/>
      <c r="CD9" s="345"/>
      <c r="CE9" s="346"/>
      <c r="CF9" s="345"/>
      <c r="CG9" s="345"/>
      <c r="CH9" s="345"/>
      <c r="CI9" s="345"/>
      <c r="CJ9" s="345"/>
      <c r="CK9" s="345"/>
      <c r="CL9" s="345"/>
      <c r="CM9" s="345"/>
      <c r="CN9" s="345"/>
      <c r="CO9" s="345"/>
      <c r="CP9" s="345"/>
      <c r="CQ9" s="345"/>
      <c r="CR9" s="345"/>
      <c r="CS9" s="345"/>
      <c r="CT9" s="345"/>
      <c r="CU9" s="345"/>
      <c r="CV9" s="345"/>
      <c r="CW9" s="345"/>
      <c r="CX9" s="345"/>
      <c r="CY9" s="345"/>
      <c r="CZ9" s="345"/>
      <c r="DA9" s="345"/>
      <c r="DB9" s="345"/>
      <c r="DC9" s="345"/>
      <c r="DD9" s="345"/>
      <c r="DE9" s="346"/>
      <c r="DF9" s="345"/>
      <c r="DG9" s="345"/>
      <c r="DH9" s="345"/>
      <c r="DI9" s="345"/>
      <c r="DJ9" s="345"/>
      <c r="DK9" s="345"/>
      <c r="DL9" s="345"/>
      <c r="DM9" s="345"/>
      <c r="DN9" s="345"/>
      <c r="DO9" s="345"/>
      <c r="DP9" s="345"/>
      <c r="DQ9" s="345"/>
      <c r="DR9" s="345"/>
      <c r="DS9" s="345"/>
      <c r="DT9" s="345"/>
      <c r="DU9" s="345"/>
      <c r="DV9" s="345"/>
      <c r="DW9" s="345"/>
      <c r="DX9" s="345"/>
      <c r="DY9" s="345"/>
      <c r="DZ9" s="345"/>
      <c r="EA9" s="345"/>
      <c r="EB9" s="345"/>
      <c r="EC9" s="345"/>
      <c r="ED9" s="345"/>
      <c r="EE9" s="346"/>
      <c r="EF9" s="345"/>
      <c r="EG9" s="345"/>
      <c r="EH9" s="345"/>
      <c r="EI9" s="345"/>
      <c r="EJ9" s="345"/>
      <c r="EK9" s="345"/>
      <c r="EL9" s="345"/>
      <c r="EM9" s="345"/>
      <c r="EN9" s="345"/>
      <c r="EO9" s="345"/>
      <c r="EP9" s="345"/>
      <c r="EQ9" s="345"/>
      <c r="ER9" s="345"/>
      <c r="ES9" s="345"/>
      <c r="ET9" s="345"/>
      <c r="EU9" s="345"/>
      <c r="EV9" s="345"/>
      <c r="EW9" s="345"/>
      <c r="EX9" s="345"/>
      <c r="EY9" s="345"/>
      <c r="EZ9" s="345"/>
      <c r="FA9" s="345"/>
      <c r="FB9" s="345"/>
      <c r="FC9" s="345"/>
      <c r="FD9" s="345"/>
    </row>
    <row r="10" spans="2:160" x14ac:dyDescent="0.45">
      <c r="D10" s="5"/>
      <c r="E10" s="331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31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331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331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331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331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</row>
    <row r="11" spans="2:160" x14ac:dyDescent="0.45">
      <c r="B11" s="1" t="s">
        <v>1235</v>
      </c>
      <c r="D11" s="345"/>
      <c r="E11" s="347"/>
      <c r="F11" s="346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7"/>
      <c r="AF11" s="346"/>
      <c r="AG11" s="345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  <c r="AR11" s="345"/>
      <c r="AS11" s="345"/>
      <c r="AT11" s="345"/>
      <c r="AU11" s="345"/>
      <c r="AV11" s="345"/>
      <c r="AW11" s="345"/>
      <c r="AX11" s="345"/>
      <c r="AY11" s="345"/>
      <c r="AZ11" s="345"/>
      <c r="BA11" s="345"/>
      <c r="BB11" s="345"/>
      <c r="BC11" s="345"/>
      <c r="BD11" s="345"/>
      <c r="BE11" s="347"/>
      <c r="BF11" s="346"/>
      <c r="BG11" s="345"/>
      <c r="BH11" s="345"/>
      <c r="BI11" s="345"/>
      <c r="BJ11" s="345"/>
      <c r="BK11" s="345"/>
      <c r="BL11" s="345"/>
      <c r="BM11" s="345"/>
      <c r="BN11" s="345"/>
      <c r="BO11" s="345"/>
      <c r="BP11" s="345"/>
      <c r="BQ11" s="345"/>
      <c r="BR11" s="345"/>
      <c r="BS11" s="345"/>
      <c r="BT11" s="345"/>
      <c r="BU11" s="345"/>
      <c r="BV11" s="345"/>
      <c r="BW11" s="345"/>
      <c r="BX11" s="345"/>
      <c r="BY11" s="345"/>
      <c r="BZ11" s="345"/>
      <c r="CA11" s="345"/>
      <c r="CB11" s="345"/>
      <c r="CC11" s="345"/>
      <c r="CD11" s="345"/>
      <c r="CE11" s="347"/>
      <c r="CF11" s="346"/>
      <c r="CG11" s="345"/>
      <c r="CH11" s="345"/>
      <c r="CI11" s="345"/>
      <c r="CJ11" s="345"/>
      <c r="CK11" s="345"/>
      <c r="CL11" s="345"/>
      <c r="CM11" s="345"/>
      <c r="CN11" s="345"/>
      <c r="CO11" s="345"/>
      <c r="CP11" s="345"/>
      <c r="CQ11" s="345"/>
      <c r="CR11" s="345"/>
      <c r="CS11" s="345"/>
      <c r="CT11" s="345"/>
      <c r="CU11" s="345"/>
      <c r="CV11" s="345"/>
      <c r="CW11" s="345"/>
      <c r="CX11" s="345"/>
      <c r="CY11" s="345"/>
      <c r="CZ11" s="345"/>
      <c r="DA11" s="345"/>
      <c r="DB11" s="345"/>
      <c r="DC11" s="345"/>
      <c r="DD11" s="345"/>
      <c r="DE11" s="347"/>
      <c r="DF11" s="346"/>
      <c r="DG11" s="345"/>
      <c r="DH11" s="345"/>
      <c r="DI11" s="345"/>
      <c r="DJ11" s="345"/>
      <c r="DK11" s="345"/>
      <c r="DL11" s="345"/>
      <c r="DM11" s="345"/>
      <c r="DN11" s="345"/>
      <c r="DO11" s="345"/>
      <c r="DP11" s="345"/>
      <c r="DQ11" s="345"/>
      <c r="DR11" s="345"/>
      <c r="DS11" s="345"/>
      <c r="DT11" s="345"/>
      <c r="DU11" s="345"/>
      <c r="DV11" s="345"/>
      <c r="DW11" s="345"/>
      <c r="DX11" s="345"/>
      <c r="DY11" s="345"/>
      <c r="DZ11" s="345"/>
      <c r="EA11" s="345"/>
      <c r="EB11" s="345"/>
      <c r="EC11" s="345"/>
      <c r="ED11" s="345"/>
      <c r="EE11" s="347"/>
      <c r="EF11" s="346"/>
      <c r="EG11" s="345"/>
      <c r="EH11" s="345"/>
      <c r="EI11" s="345"/>
      <c r="EJ11" s="345"/>
      <c r="EK11" s="345"/>
      <c r="EL11" s="345"/>
      <c r="EM11" s="345"/>
      <c r="EN11" s="345"/>
      <c r="EO11" s="345"/>
      <c r="EP11" s="345"/>
      <c r="EQ11" s="345"/>
      <c r="ER11" s="345"/>
      <c r="ES11" s="345"/>
      <c r="ET11" s="345"/>
      <c r="EU11" s="345"/>
      <c r="EV11" s="345"/>
      <c r="EW11" s="345"/>
      <c r="EX11" s="345"/>
      <c r="EY11" s="345"/>
      <c r="EZ11" s="345"/>
      <c r="FA11" s="345"/>
      <c r="FB11" s="345"/>
      <c r="FC11" s="345"/>
      <c r="FD11" s="345"/>
    </row>
    <row r="12" spans="2:160" x14ac:dyDescent="0.45">
      <c r="D12" s="381"/>
      <c r="E12" s="382"/>
      <c r="F12" s="381"/>
      <c r="G12" s="381"/>
      <c r="H12" s="381"/>
      <c r="I12" s="381"/>
      <c r="J12" s="381"/>
      <c r="K12" s="381"/>
      <c r="L12" s="381"/>
      <c r="M12" s="381"/>
      <c r="N12" s="381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1"/>
      <c r="Z12" s="381"/>
      <c r="AA12" s="381"/>
      <c r="AB12" s="381"/>
      <c r="AC12" s="381"/>
      <c r="AD12" s="381"/>
      <c r="AE12" s="382"/>
      <c r="AF12" s="381"/>
      <c r="AG12" s="381"/>
      <c r="AH12" s="381"/>
      <c r="AI12" s="381"/>
      <c r="AJ12" s="381"/>
      <c r="AK12" s="381"/>
      <c r="AL12" s="381"/>
      <c r="AM12" s="381"/>
      <c r="AN12" s="381"/>
      <c r="AO12" s="381"/>
      <c r="AP12" s="381"/>
      <c r="AQ12" s="381"/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81"/>
      <c r="BD12" s="381"/>
      <c r="BE12" s="382"/>
      <c r="BF12" s="381"/>
      <c r="BG12" s="381"/>
      <c r="BH12" s="381"/>
      <c r="BI12" s="381"/>
      <c r="BJ12" s="381"/>
      <c r="BK12" s="381"/>
      <c r="BL12" s="381"/>
      <c r="BM12" s="381"/>
      <c r="BN12" s="381"/>
      <c r="BO12" s="381"/>
      <c r="BP12" s="381"/>
      <c r="BQ12" s="381"/>
      <c r="BR12" s="381"/>
      <c r="BS12" s="381"/>
      <c r="BT12" s="381"/>
      <c r="BU12" s="381"/>
      <c r="BV12" s="381"/>
      <c r="BW12" s="381"/>
      <c r="BX12" s="381"/>
      <c r="BY12" s="381"/>
      <c r="BZ12" s="381"/>
      <c r="CA12" s="381"/>
      <c r="CB12" s="381"/>
      <c r="CC12" s="381"/>
      <c r="CD12" s="381"/>
      <c r="CE12" s="382"/>
      <c r="CF12" s="381"/>
      <c r="CG12" s="381"/>
      <c r="CH12" s="381"/>
      <c r="CI12" s="381"/>
      <c r="CJ12" s="381"/>
      <c r="CK12" s="381"/>
      <c r="CL12" s="381"/>
      <c r="CM12" s="381"/>
      <c r="CN12" s="381"/>
      <c r="CO12" s="381"/>
      <c r="CP12" s="381"/>
      <c r="CQ12" s="381"/>
      <c r="CR12" s="381"/>
      <c r="CS12" s="381"/>
      <c r="CT12" s="381"/>
      <c r="CU12" s="381"/>
      <c r="CV12" s="381"/>
      <c r="CW12" s="381"/>
      <c r="CX12" s="381"/>
      <c r="CY12" s="381"/>
      <c r="CZ12" s="381"/>
      <c r="DA12" s="381"/>
      <c r="DB12" s="381"/>
      <c r="DC12" s="381"/>
      <c r="DD12" s="381"/>
      <c r="DE12" s="382"/>
      <c r="DF12" s="381"/>
      <c r="DG12" s="381"/>
      <c r="DH12" s="381"/>
      <c r="DI12" s="381"/>
      <c r="DJ12" s="381"/>
      <c r="DK12" s="381"/>
      <c r="DL12" s="381"/>
      <c r="DM12" s="381"/>
      <c r="DN12" s="381"/>
      <c r="DO12" s="381"/>
      <c r="DP12" s="381"/>
      <c r="DQ12" s="381"/>
      <c r="DR12" s="381"/>
      <c r="DS12" s="381"/>
      <c r="DT12" s="381"/>
      <c r="DU12" s="381"/>
      <c r="DV12" s="381"/>
      <c r="DW12" s="381"/>
      <c r="DX12" s="381"/>
      <c r="DY12" s="381"/>
      <c r="DZ12" s="381"/>
      <c r="EA12" s="381"/>
      <c r="EB12" s="381"/>
      <c r="EC12" s="381"/>
      <c r="ED12" s="381"/>
      <c r="EE12" s="382"/>
      <c r="EF12" s="381"/>
      <c r="EG12" s="381"/>
      <c r="EH12" s="381"/>
      <c r="EI12" s="381"/>
      <c r="EJ12" s="381"/>
      <c r="EK12" s="381"/>
      <c r="EL12" s="381"/>
      <c r="EM12" s="381"/>
      <c r="EN12" s="381"/>
      <c r="EO12" s="381"/>
      <c r="EP12" s="381"/>
      <c r="EQ12" s="381"/>
      <c r="ER12" s="381"/>
      <c r="ES12" s="381"/>
      <c r="ET12" s="381"/>
      <c r="EU12" s="381"/>
      <c r="EV12" s="381"/>
      <c r="EW12" s="381"/>
      <c r="EX12" s="381"/>
      <c r="EY12" s="381"/>
      <c r="EZ12" s="381"/>
      <c r="FA12" s="381"/>
      <c r="FB12" s="381"/>
      <c r="FC12" s="381"/>
      <c r="FD12" s="381"/>
    </row>
    <row r="13" spans="2:160" x14ac:dyDescent="0.45">
      <c r="B13" s="1" t="s">
        <v>1236</v>
      </c>
      <c r="D13" s="345"/>
      <c r="E13" s="347"/>
      <c r="F13" s="345"/>
      <c r="G13" s="346"/>
      <c r="H13" s="345"/>
      <c r="I13" s="345"/>
      <c r="J13" s="345"/>
      <c r="K13" s="345"/>
      <c r="L13" s="345"/>
      <c r="M13" s="345"/>
      <c r="N13" s="345"/>
      <c r="O13" s="345"/>
      <c r="P13" s="345"/>
      <c r="Q13" s="345"/>
      <c r="R13" s="345"/>
      <c r="S13" s="345"/>
      <c r="T13" s="345"/>
      <c r="U13" s="345"/>
      <c r="V13" s="345"/>
      <c r="W13" s="345"/>
      <c r="X13" s="345"/>
      <c r="Y13" s="345"/>
      <c r="Z13" s="345"/>
      <c r="AA13" s="345"/>
      <c r="AB13" s="345"/>
      <c r="AC13" s="345"/>
      <c r="AD13" s="345"/>
      <c r="AE13" s="347"/>
      <c r="AF13" s="345"/>
      <c r="AG13" s="346"/>
      <c r="AH13" s="345"/>
      <c r="AI13" s="345"/>
      <c r="AJ13" s="345"/>
      <c r="AK13" s="345"/>
      <c r="AL13" s="345"/>
      <c r="AM13" s="345"/>
      <c r="AN13" s="345"/>
      <c r="AO13" s="345"/>
      <c r="AP13" s="345"/>
      <c r="AQ13" s="345"/>
      <c r="AR13" s="345"/>
      <c r="AS13" s="345"/>
      <c r="AT13" s="345"/>
      <c r="AU13" s="345"/>
      <c r="AV13" s="345"/>
      <c r="AW13" s="345"/>
      <c r="AX13" s="345"/>
      <c r="AY13" s="345"/>
      <c r="AZ13" s="345"/>
      <c r="BA13" s="345"/>
      <c r="BB13" s="345"/>
      <c r="BC13" s="345"/>
      <c r="BD13" s="345"/>
      <c r="BE13" s="347"/>
      <c r="BF13" s="345"/>
      <c r="BG13" s="346"/>
      <c r="BH13" s="345"/>
      <c r="BI13" s="345"/>
      <c r="BJ13" s="345"/>
      <c r="BK13" s="345"/>
      <c r="BL13" s="345"/>
      <c r="BM13" s="345"/>
      <c r="BN13" s="345"/>
      <c r="BO13" s="345"/>
      <c r="BP13" s="345"/>
      <c r="BQ13" s="345"/>
      <c r="BR13" s="345"/>
      <c r="BS13" s="345"/>
      <c r="BT13" s="345"/>
      <c r="BU13" s="345"/>
      <c r="BV13" s="345"/>
      <c r="BW13" s="345"/>
      <c r="BX13" s="345"/>
      <c r="BY13" s="345"/>
      <c r="BZ13" s="345"/>
      <c r="CA13" s="345"/>
      <c r="CB13" s="345"/>
      <c r="CC13" s="345"/>
      <c r="CD13" s="345"/>
      <c r="CE13" s="347"/>
      <c r="CF13" s="345"/>
      <c r="CG13" s="346"/>
      <c r="CH13" s="345"/>
      <c r="CI13" s="345"/>
      <c r="CJ13" s="345"/>
      <c r="CK13" s="345"/>
      <c r="CL13" s="345"/>
      <c r="CM13" s="345"/>
      <c r="CN13" s="345"/>
      <c r="CO13" s="345"/>
      <c r="CP13" s="345"/>
      <c r="CQ13" s="345"/>
      <c r="CR13" s="345"/>
      <c r="CS13" s="345"/>
      <c r="CT13" s="345"/>
      <c r="CU13" s="345"/>
      <c r="CV13" s="345"/>
      <c r="CW13" s="345"/>
      <c r="CX13" s="345"/>
      <c r="CY13" s="345"/>
      <c r="CZ13" s="345"/>
      <c r="DA13" s="345"/>
      <c r="DB13" s="345"/>
      <c r="DC13" s="345"/>
      <c r="DD13" s="345"/>
      <c r="DE13" s="347"/>
      <c r="DF13" s="345"/>
      <c r="DG13" s="346"/>
      <c r="DH13" s="345"/>
      <c r="DI13" s="345"/>
      <c r="DJ13" s="345"/>
      <c r="DK13" s="345"/>
      <c r="DL13" s="345"/>
      <c r="DM13" s="345"/>
      <c r="DN13" s="345"/>
      <c r="DO13" s="345"/>
      <c r="DP13" s="345"/>
      <c r="DQ13" s="345"/>
      <c r="DR13" s="345"/>
      <c r="DS13" s="345"/>
      <c r="DT13" s="345"/>
      <c r="DU13" s="345"/>
      <c r="DV13" s="345"/>
      <c r="DW13" s="345"/>
      <c r="DX13" s="345"/>
      <c r="DY13" s="345"/>
      <c r="DZ13" s="345"/>
      <c r="EA13" s="345"/>
      <c r="EB13" s="345"/>
      <c r="EC13" s="345"/>
      <c r="ED13" s="345"/>
      <c r="EE13" s="347"/>
      <c r="EF13" s="345"/>
      <c r="EG13" s="346"/>
      <c r="EH13" s="345"/>
      <c r="EI13" s="345"/>
      <c r="EJ13" s="345"/>
      <c r="EK13" s="345"/>
      <c r="EL13" s="345"/>
      <c r="EM13" s="345"/>
      <c r="EN13" s="345"/>
      <c r="EO13" s="345"/>
      <c r="EP13" s="345"/>
      <c r="EQ13" s="345"/>
      <c r="ER13" s="345"/>
      <c r="ES13" s="345"/>
      <c r="ET13" s="345"/>
      <c r="EU13" s="345"/>
      <c r="EV13" s="345"/>
      <c r="EW13" s="345"/>
      <c r="EX13" s="345"/>
      <c r="EY13" s="345"/>
      <c r="EZ13" s="345"/>
      <c r="FA13" s="345"/>
      <c r="FB13" s="345"/>
      <c r="FC13" s="345"/>
      <c r="FD13" s="345"/>
    </row>
    <row r="14" spans="2:160" x14ac:dyDescent="0.45">
      <c r="D14" s="5"/>
      <c r="E14" s="33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331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331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331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331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331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</row>
    <row r="15" spans="2:160" x14ac:dyDescent="0.45">
      <c r="B15" s="1" t="s">
        <v>1237</v>
      </c>
      <c r="D15" s="345"/>
      <c r="E15" s="347"/>
      <c r="F15" s="345"/>
      <c r="G15" s="345"/>
      <c r="H15" s="345"/>
      <c r="I15" s="345"/>
      <c r="J15" s="345"/>
      <c r="K15" s="345"/>
      <c r="L15" s="346"/>
      <c r="M15" s="345"/>
      <c r="N15" s="345"/>
      <c r="O15" s="345"/>
      <c r="P15" s="345"/>
      <c r="Q15" s="345"/>
      <c r="R15" s="345"/>
      <c r="S15" s="345"/>
      <c r="T15" s="345"/>
      <c r="U15" s="345"/>
      <c r="V15" s="345"/>
      <c r="W15" s="345"/>
      <c r="X15" s="345"/>
      <c r="Y15" s="345"/>
      <c r="Z15" s="345"/>
      <c r="AA15" s="345"/>
      <c r="AB15" s="345"/>
      <c r="AC15" s="345"/>
      <c r="AD15" s="345"/>
      <c r="AE15" s="347"/>
      <c r="AF15" s="345"/>
      <c r="AG15" s="345"/>
      <c r="AH15" s="345"/>
      <c r="AI15" s="345"/>
      <c r="AJ15" s="345"/>
      <c r="AK15" s="345"/>
      <c r="AL15" s="346"/>
      <c r="AM15" s="345"/>
      <c r="AN15" s="345"/>
      <c r="AO15" s="345"/>
      <c r="AP15" s="345"/>
      <c r="AQ15" s="345"/>
      <c r="AR15" s="345"/>
      <c r="AS15" s="345"/>
      <c r="AT15" s="345"/>
      <c r="AU15" s="345"/>
      <c r="AV15" s="345"/>
      <c r="AW15" s="345"/>
      <c r="AX15" s="345"/>
      <c r="AY15" s="345"/>
      <c r="AZ15" s="345"/>
      <c r="BA15" s="345"/>
      <c r="BB15" s="345"/>
      <c r="BC15" s="345"/>
      <c r="BD15" s="345"/>
      <c r="BE15" s="347"/>
      <c r="BF15" s="345"/>
      <c r="BG15" s="345"/>
      <c r="BH15" s="345"/>
      <c r="BI15" s="345"/>
      <c r="BJ15" s="345"/>
      <c r="BK15" s="345"/>
      <c r="BL15" s="346"/>
      <c r="BM15" s="345"/>
      <c r="BN15" s="345"/>
      <c r="BO15" s="345"/>
      <c r="BP15" s="345"/>
      <c r="BQ15" s="345"/>
      <c r="BR15" s="345"/>
      <c r="BS15" s="345"/>
      <c r="BT15" s="345"/>
      <c r="BU15" s="345"/>
      <c r="BV15" s="345"/>
      <c r="BW15" s="345"/>
      <c r="BX15" s="345"/>
      <c r="BY15" s="345"/>
      <c r="BZ15" s="345"/>
      <c r="CA15" s="345"/>
      <c r="CB15" s="345"/>
      <c r="CC15" s="345"/>
      <c r="CD15" s="345"/>
      <c r="CE15" s="347"/>
      <c r="CF15" s="345"/>
      <c r="CG15" s="345"/>
      <c r="CH15" s="345"/>
      <c r="CI15" s="345"/>
      <c r="CJ15" s="345"/>
      <c r="CK15" s="345"/>
      <c r="CL15" s="346"/>
      <c r="CM15" s="345"/>
      <c r="CN15" s="345"/>
      <c r="CO15" s="345"/>
      <c r="CP15" s="345"/>
      <c r="CQ15" s="345"/>
      <c r="CR15" s="345"/>
      <c r="CS15" s="345"/>
      <c r="CT15" s="345"/>
      <c r="CU15" s="345"/>
      <c r="CV15" s="345"/>
      <c r="CW15" s="345"/>
      <c r="CX15" s="345"/>
      <c r="CY15" s="345"/>
      <c r="CZ15" s="345"/>
      <c r="DA15" s="345"/>
      <c r="DB15" s="345"/>
      <c r="DC15" s="345"/>
      <c r="DD15" s="345"/>
      <c r="DE15" s="347"/>
      <c r="DF15" s="345"/>
      <c r="DG15" s="345"/>
      <c r="DH15" s="345"/>
      <c r="DI15" s="345"/>
      <c r="DJ15" s="345"/>
      <c r="DK15" s="345"/>
      <c r="DL15" s="346"/>
      <c r="DM15" s="345"/>
      <c r="DN15" s="345"/>
      <c r="DO15" s="345"/>
      <c r="DP15" s="345"/>
      <c r="DQ15" s="345"/>
      <c r="DR15" s="345"/>
      <c r="DS15" s="345"/>
      <c r="DT15" s="345"/>
      <c r="DU15" s="345"/>
      <c r="DV15" s="345"/>
      <c r="DW15" s="345"/>
      <c r="DX15" s="345"/>
      <c r="DY15" s="345"/>
      <c r="DZ15" s="345"/>
      <c r="EA15" s="345"/>
      <c r="EB15" s="345"/>
      <c r="EC15" s="345"/>
      <c r="ED15" s="345"/>
      <c r="EE15" s="347"/>
      <c r="EF15" s="345"/>
      <c r="EG15" s="345"/>
      <c r="EH15" s="345"/>
      <c r="EI15" s="345"/>
      <c r="EJ15" s="345"/>
      <c r="EK15" s="345"/>
      <c r="EL15" s="346"/>
      <c r="EM15" s="345"/>
      <c r="EN15" s="345"/>
      <c r="EO15" s="345"/>
      <c r="EP15" s="345"/>
      <c r="EQ15" s="345"/>
      <c r="ER15" s="345"/>
      <c r="ES15" s="345"/>
      <c r="ET15" s="345"/>
      <c r="EU15" s="345"/>
      <c r="EV15" s="345"/>
      <c r="EW15" s="345"/>
      <c r="EX15" s="345"/>
      <c r="EY15" s="345"/>
      <c r="EZ15" s="345"/>
      <c r="FA15" s="345"/>
      <c r="FB15" s="345"/>
      <c r="FC15" s="345"/>
      <c r="FD15" s="345"/>
    </row>
    <row r="16" spans="2:160" x14ac:dyDescent="0.45">
      <c r="D16" s="5"/>
      <c r="E16" s="33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331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331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331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331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331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</row>
    <row r="17" spans="4:160" x14ac:dyDescent="0.45">
      <c r="D17" s="5"/>
      <c r="E17" s="33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331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331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331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331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331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</row>
    <row r="18" spans="4:160" x14ac:dyDescent="0.45">
      <c r="D18" s="5"/>
      <c r="E18" s="33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331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331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331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331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331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</row>
    <row r="19" spans="4:160" x14ac:dyDescent="0.45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</row>
    <row r="32" spans="4:160" x14ac:dyDescent="0.45">
      <c r="DB32" s="343"/>
      <c r="EB32" s="343"/>
      <c r="FB32" s="343"/>
    </row>
    <row r="34" spans="105:165" x14ac:dyDescent="0.45">
      <c r="DB34" s="344"/>
      <c r="EB34" s="344"/>
      <c r="FB34" s="344"/>
    </row>
    <row r="35" spans="105:165" x14ac:dyDescent="0.45">
      <c r="FH35" s="1" t="s">
        <v>1442</v>
      </c>
      <c r="FI35" s="1" t="s">
        <v>1443</v>
      </c>
    </row>
    <row r="36" spans="105:165" x14ac:dyDescent="0.45">
      <c r="FH36" s="1">
        <v>3000</v>
      </c>
      <c r="FI36" s="1">
        <v>1000</v>
      </c>
    </row>
    <row r="37" spans="105:165" x14ac:dyDescent="0.45">
      <c r="FH37" s="1">
        <v>1000</v>
      </c>
    </row>
    <row r="42" spans="105:165" x14ac:dyDescent="0.45">
      <c r="DA42" s="344"/>
      <c r="DI42" s="5"/>
      <c r="EA42" s="344"/>
      <c r="FA42" s="344"/>
    </row>
    <row r="55" spans="2:165" s="118" customFormat="1" x14ac:dyDescent="0.45">
      <c r="B55" s="223"/>
      <c r="C55" s="223"/>
      <c r="FE55" s="223"/>
      <c r="FF55" s="223"/>
      <c r="FG55" s="223"/>
      <c r="FH55" s="223"/>
      <c r="FI55" s="22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6CB6-E2AB-4236-810D-3F1CDD7685FA}">
  <dimension ref="B2:FI54"/>
  <sheetViews>
    <sheetView showGridLines="0" zoomScaleNormal="100" workbookViewId="0"/>
  </sheetViews>
  <sheetFormatPr defaultRowHeight="17" x14ac:dyDescent="0.45"/>
  <cols>
    <col min="2" max="2" width="15.33203125" style="1" bestFit="1" customWidth="1"/>
    <col min="3" max="3" width="1.58203125" style="1" customWidth="1"/>
    <col min="4" max="160" width="1.58203125" customWidth="1"/>
  </cols>
  <sheetData>
    <row r="2" spans="2:160" x14ac:dyDescent="0.45"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</row>
    <row r="3" spans="2:160" x14ac:dyDescent="0.45">
      <c r="B3" s="1" t="s">
        <v>13</v>
      </c>
      <c r="D3" s="345"/>
      <c r="E3" s="346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  <c r="Z3" s="345"/>
      <c r="AA3" s="345"/>
      <c r="AB3" s="345"/>
      <c r="AC3" s="345"/>
      <c r="AD3" s="345"/>
      <c r="AE3" s="346"/>
      <c r="AF3" s="345"/>
      <c r="AG3" s="345"/>
      <c r="AH3" s="345"/>
      <c r="AI3" s="345"/>
      <c r="AJ3" s="345"/>
      <c r="AK3" s="345"/>
      <c r="AL3" s="345"/>
      <c r="AM3" s="345"/>
      <c r="AN3" s="345"/>
      <c r="AO3" s="345"/>
      <c r="AP3" s="345"/>
      <c r="AQ3" s="345"/>
      <c r="AR3" s="345"/>
      <c r="AS3" s="345"/>
      <c r="AT3" s="345"/>
      <c r="AU3" s="345"/>
      <c r="AV3" s="345"/>
      <c r="AW3" s="345"/>
      <c r="AX3" s="345"/>
      <c r="AY3" s="345"/>
      <c r="AZ3" s="345"/>
      <c r="BA3" s="345"/>
      <c r="BB3" s="345"/>
      <c r="BC3" s="345"/>
      <c r="BD3" s="345"/>
      <c r="BE3" s="346"/>
      <c r="BF3" s="345"/>
      <c r="BG3" s="345"/>
      <c r="BH3" s="345"/>
      <c r="BI3" s="345"/>
      <c r="BJ3" s="345"/>
      <c r="BK3" s="345"/>
      <c r="BL3" s="345"/>
      <c r="BM3" s="345"/>
      <c r="BN3" s="345"/>
      <c r="BO3" s="345"/>
      <c r="BP3" s="345"/>
      <c r="BQ3" s="345"/>
      <c r="BR3" s="345"/>
      <c r="BS3" s="345"/>
      <c r="BT3" s="345"/>
      <c r="BU3" s="345"/>
      <c r="BV3" s="345"/>
      <c r="BW3" s="345"/>
      <c r="BX3" s="345"/>
      <c r="BY3" s="345"/>
      <c r="BZ3" s="345"/>
      <c r="CA3" s="345"/>
      <c r="CB3" s="345"/>
      <c r="CC3" s="345"/>
      <c r="CD3" s="345"/>
      <c r="CE3" s="346"/>
      <c r="CF3" s="345"/>
      <c r="CG3" s="345"/>
      <c r="CH3" s="345"/>
      <c r="CI3" s="345"/>
      <c r="CJ3" s="345"/>
      <c r="CK3" s="345"/>
      <c r="CL3" s="345"/>
      <c r="CM3" s="345"/>
      <c r="CN3" s="345"/>
      <c r="CO3" s="345"/>
      <c r="CP3" s="345"/>
      <c r="CQ3" s="345"/>
      <c r="CR3" s="345"/>
      <c r="CS3" s="345"/>
      <c r="CT3" s="345"/>
      <c r="CU3" s="345"/>
      <c r="CV3" s="345"/>
      <c r="CW3" s="345"/>
      <c r="CX3" s="345"/>
      <c r="CY3" s="345"/>
      <c r="CZ3" s="345"/>
      <c r="DA3" s="345"/>
      <c r="DB3" s="345"/>
      <c r="DC3" s="345"/>
      <c r="DD3" s="345"/>
      <c r="DE3" s="346"/>
      <c r="DF3" s="345"/>
      <c r="DG3" s="345"/>
      <c r="DH3" s="345"/>
      <c r="DI3" s="345"/>
      <c r="DJ3" s="345"/>
      <c r="DK3" s="345"/>
      <c r="DL3" s="345"/>
      <c r="DM3" s="345"/>
      <c r="DN3" s="345"/>
      <c r="DO3" s="345"/>
      <c r="DP3" s="345"/>
      <c r="DQ3" s="345"/>
      <c r="DR3" s="345"/>
      <c r="DS3" s="345"/>
      <c r="DT3" s="345"/>
      <c r="DU3" s="345"/>
      <c r="DV3" s="345"/>
      <c r="DW3" s="345"/>
      <c r="DX3" s="345"/>
      <c r="DY3" s="345"/>
      <c r="DZ3" s="345"/>
      <c r="EA3" s="345"/>
      <c r="EB3" s="345"/>
      <c r="EC3" s="345"/>
      <c r="ED3" s="345"/>
      <c r="EE3" s="346"/>
      <c r="EF3" s="345"/>
      <c r="EG3" s="345"/>
      <c r="EH3" s="345"/>
      <c r="EI3" s="345"/>
      <c r="EJ3" s="345"/>
      <c r="EK3" s="345"/>
      <c r="EL3" s="345"/>
      <c r="EM3" s="345"/>
      <c r="EN3" s="345"/>
      <c r="EO3" s="345"/>
      <c r="EP3" s="345"/>
      <c r="EQ3" s="345"/>
      <c r="ER3" s="345"/>
      <c r="ES3" s="345"/>
      <c r="ET3" s="345"/>
      <c r="EU3" s="345"/>
      <c r="EV3" s="345"/>
      <c r="EW3" s="345"/>
      <c r="EX3" s="345"/>
      <c r="EY3" s="345"/>
      <c r="EZ3" s="345"/>
      <c r="FA3" s="345"/>
      <c r="FB3" s="345"/>
      <c r="FC3" s="345"/>
      <c r="FD3" s="345"/>
    </row>
    <row r="4" spans="2:160" x14ac:dyDescent="0.45">
      <c r="B4" s="1" t="s">
        <v>1239</v>
      </c>
      <c r="D4" s="5"/>
      <c r="E4" s="33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331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331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331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331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331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</row>
    <row r="5" spans="2:160" x14ac:dyDescent="0.45">
      <c r="B5" s="1" t="s">
        <v>1238</v>
      </c>
      <c r="D5" s="345"/>
      <c r="E5" s="347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7"/>
      <c r="AF5" s="345"/>
      <c r="AG5" s="345"/>
      <c r="AH5" s="345"/>
      <c r="AI5" s="345"/>
      <c r="AJ5" s="345"/>
      <c r="AK5" s="345"/>
      <c r="AL5" s="345"/>
      <c r="AM5" s="345"/>
      <c r="AN5" s="345"/>
      <c r="AO5" s="345"/>
      <c r="AP5" s="345"/>
      <c r="AQ5" s="345"/>
      <c r="AR5" s="345"/>
      <c r="AS5" s="345"/>
      <c r="AT5" s="345"/>
      <c r="AU5" s="345"/>
      <c r="AV5" s="345"/>
      <c r="AW5" s="345"/>
      <c r="AX5" s="345"/>
      <c r="AY5" s="345"/>
      <c r="AZ5" s="345"/>
      <c r="BA5" s="345"/>
      <c r="BB5" s="345"/>
      <c r="BC5" s="345"/>
      <c r="BD5" s="345"/>
      <c r="BE5" s="347"/>
      <c r="BF5" s="345"/>
      <c r="BG5" s="345"/>
      <c r="BH5" s="345"/>
      <c r="BI5" s="345"/>
      <c r="BJ5" s="345"/>
      <c r="BK5" s="345"/>
      <c r="BL5" s="345"/>
      <c r="BM5" s="345"/>
      <c r="BN5" s="345"/>
      <c r="BO5" s="345"/>
      <c r="BP5" s="345"/>
      <c r="BQ5" s="345"/>
      <c r="BR5" s="345"/>
      <c r="BS5" s="345"/>
      <c r="BT5" s="345"/>
      <c r="BU5" s="345"/>
      <c r="BV5" s="345"/>
      <c r="BW5" s="345"/>
      <c r="BX5" s="345"/>
      <c r="BY5" s="345"/>
      <c r="BZ5" s="345"/>
      <c r="CA5" s="345"/>
      <c r="CB5" s="345"/>
      <c r="CC5" s="345"/>
      <c r="CD5" s="345"/>
      <c r="CE5" s="347"/>
      <c r="CF5" s="345"/>
      <c r="CG5" s="345"/>
      <c r="CH5" s="345"/>
      <c r="CI5" s="345"/>
      <c r="CJ5" s="345"/>
      <c r="CK5" s="345"/>
      <c r="CL5" s="345"/>
      <c r="CM5" s="345"/>
      <c r="CN5" s="345"/>
      <c r="CO5" s="345"/>
      <c r="CP5" s="345"/>
      <c r="CQ5" s="345"/>
      <c r="CR5" s="345"/>
      <c r="CS5" s="345"/>
      <c r="CT5" s="345"/>
      <c r="CU5" s="345"/>
      <c r="CV5" s="345"/>
      <c r="CW5" s="345"/>
      <c r="CX5" s="345"/>
      <c r="CY5" s="345"/>
      <c r="CZ5" s="345"/>
      <c r="DA5" s="345"/>
      <c r="DB5" s="345"/>
      <c r="DC5" s="345"/>
      <c r="DD5" s="345"/>
      <c r="DE5" s="347"/>
      <c r="DF5" s="345"/>
      <c r="DG5" s="345"/>
      <c r="DH5" s="345"/>
      <c r="DI5" s="345"/>
      <c r="DJ5" s="345"/>
      <c r="DK5" s="345"/>
      <c r="DL5" s="345"/>
      <c r="DM5" s="345"/>
      <c r="DN5" s="345"/>
      <c r="DO5" s="345"/>
      <c r="DP5" s="345"/>
      <c r="DQ5" s="345"/>
      <c r="DR5" s="345"/>
      <c r="DS5" s="345"/>
      <c r="DT5" s="345"/>
      <c r="DU5" s="345"/>
      <c r="DV5" s="345"/>
      <c r="DW5" s="345"/>
      <c r="DX5" s="345"/>
      <c r="DY5" s="345"/>
      <c r="DZ5" s="345"/>
      <c r="EA5" s="345"/>
      <c r="EB5" s="345"/>
      <c r="EC5" s="345"/>
      <c r="ED5" s="345"/>
      <c r="EE5" s="347"/>
      <c r="EF5" s="345"/>
      <c r="EG5" s="345"/>
      <c r="EH5" s="345"/>
      <c r="EI5" s="345"/>
      <c r="EJ5" s="345"/>
      <c r="EK5" s="345"/>
      <c r="EL5" s="345"/>
      <c r="EM5" s="345"/>
      <c r="EN5" s="345"/>
      <c r="EO5" s="345"/>
      <c r="EP5" s="345"/>
      <c r="EQ5" s="345"/>
      <c r="ER5" s="345"/>
      <c r="ES5" s="345"/>
      <c r="ET5" s="345"/>
      <c r="EU5" s="345"/>
      <c r="EV5" s="345"/>
      <c r="EW5" s="345"/>
      <c r="EX5" s="345"/>
      <c r="EY5" s="345"/>
      <c r="EZ5" s="345"/>
      <c r="FA5" s="345"/>
      <c r="FB5" s="345"/>
      <c r="FC5" s="345"/>
      <c r="FD5" s="345"/>
    </row>
    <row r="6" spans="2:160" x14ac:dyDescent="0.45">
      <c r="D6" s="5"/>
      <c r="E6" s="33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331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331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331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331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331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</row>
    <row r="7" spans="2:160" x14ac:dyDescent="0.45">
      <c r="B7" s="1" t="s">
        <v>1229</v>
      </c>
      <c r="D7" s="381"/>
      <c r="E7" s="382"/>
      <c r="F7" s="383"/>
      <c r="G7" s="384"/>
      <c r="H7" s="385"/>
      <c r="I7" s="381"/>
      <c r="J7" s="386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84"/>
      <c r="V7" s="381"/>
      <c r="W7" s="381"/>
      <c r="X7" s="381"/>
      <c r="Y7" s="381"/>
      <c r="Z7" s="381"/>
      <c r="AA7" s="381"/>
      <c r="AB7" s="381"/>
      <c r="AC7" s="383"/>
      <c r="AD7" s="345"/>
      <c r="AE7" s="347"/>
      <c r="AF7" s="345"/>
      <c r="AG7" s="345"/>
      <c r="AH7" s="384"/>
      <c r="AI7" s="381"/>
      <c r="AJ7" s="381"/>
      <c r="AK7" s="381"/>
      <c r="AL7" s="381"/>
      <c r="AM7" s="381"/>
      <c r="AN7" s="381"/>
      <c r="AO7" s="381"/>
      <c r="AP7" s="381"/>
      <c r="AQ7" s="381"/>
      <c r="AR7" s="381"/>
      <c r="AS7" s="383"/>
      <c r="AT7" s="384"/>
      <c r="AU7" s="381"/>
      <c r="AV7" s="381"/>
      <c r="AW7" s="381"/>
      <c r="AX7" s="381"/>
      <c r="AY7" s="381"/>
      <c r="AZ7" s="381"/>
      <c r="BA7" s="381"/>
      <c r="BB7" s="381"/>
      <c r="BC7" s="381"/>
      <c r="BD7" s="381"/>
      <c r="BE7" s="382"/>
      <c r="BF7" s="381"/>
      <c r="BG7" s="381"/>
      <c r="BH7" s="383"/>
      <c r="BI7" s="345"/>
      <c r="BJ7" s="345"/>
      <c r="BK7" s="345"/>
      <c r="BL7" s="345"/>
      <c r="BM7" s="345"/>
      <c r="BN7" s="345"/>
      <c r="BO7" s="345"/>
      <c r="BP7" s="345"/>
      <c r="BQ7" s="345"/>
      <c r="BR7" s="345"/>
      <c r="BS7" s="345"/>
      <c r="BT7" s="384"/>
      <c r="BU7" s="381"/>
      <c r="BV7" s="381"/>
      <c r="BW7" s="381"/>
      <c r="BX7" s="381"/>
      <c r="BY7" s="381"/>
      <c r="BZ7" s="381"/>
      <c r="CA7" s="381"/>
      <c r="CB7" s="381"/>
      <c r="CC7" s="381"/>
      <c r="CD7" s="381"/>
      <c r="CE7" s="382"/>
      <c r="CF7" s="381"/>
      <c r="CG7" s="381"/>
      <c r="CH7" s="381"/>
      <c r="CI7" s="381"/>
      <c r="CJ7" s="381"/>
      <c r="CK7" s="381"/>
      <c r="CL7" s="381"/>
      <c r="CM7" s="381"/>
      <c r="CN7" s="381"/>
      <c r="CO7" s="381"/>
      <c r="CP7" s="381"/>
      <c r="CQ7" s="381"/>
      <c r="CR7" s="381"/>
      <c r="CS7" s="381"/>
      <c r="CT7" s="381"/>
      <c r="CU7" s="381"/>
      <c r="CV7" s="381"/>
      <c r="CW7" s="381"/>
      <c r="CX7" s="381"/>
      <c r="CY7" s="381"/>
      <c r="CZ7" s="381"/>
      <c r="DA7" s="381"/>
      <c r="DB7" s="381"/>
      <c r="DC7" s="381"/>
      <c r="DD7" s="381"/>
      <c r="DE7" s="382"/>
      <c r="DF7" s="381"/>
      <c r="DG7" s="381"/>
      <c r="DH7" s="381"/>
      <c r="DI7" s="381"/>
      <c r="DJ7" s="381"/>
      <c r="DK7" s="381"/>
      <c r="DL7" s="381"/>
      <c r="DM7" s="381"/>
      <c r="DN7" s="381"/>
      <c r="DO7" s="381"/>
      <c r="DP7" s="381"/>
      <c r="DQ7" s="381"/>
      <c r="DR7" s="381"/>
      <c r="DS7" s="381"/>
      <c r="DT7" s="381"/>
      <c r="DU7" s="381"/>
      <c r="DV7" s="381"/>
      <c r="DW7" s="381"/>
      <c r="DX7" s="381"/>
      <c r="DY7" s="381"/>
      <c r="DZ7" s="381"/>
      <c r="EA7" s="381"/>
      <c r="EB7" s="381"/>
      <c r="EC7" s="381"/>
      <c r="ED7" s="381"/>
      <c r="EE7" s="382"/>
      <c r="EF7" s="381"/>
      <c r="EG7" s="381"/>
      <c r="EH7" s="381"/>
      <c r="EI7" s="381"/>
      <c r="EJ7" s="381"/>
      <c r="EK7" s="381"/>
      <c r="EL7" s="381"/>
      <c r="EM7" s="381"/>
      <c r="EN7" s="381"/>
      <c r="EO7" s="381"/>
      <c r="EP7" s="381"/>
      <c r="EQ7" s="381"/>
      <c r="ER7" s="381"/>
      <c r="ES7" s="381"/>
      <c r="ET7" s="381"/>
      <c r="EU7" s="381"/>
      <c r="EV7" s="381"/>
      <c r="EW7" s="381"/>
      <c r="EX7" s="381"/>
      <c r="EY7" s="381"/>
      <c r="EZ7" s="381"/>
      <c r="FA7" s="381"/>
      <c r="FB7" s="381"/>
      <c r="FC7" s="381"/>
      <c r="FD7" s="381"/>
    </row>
    <row r="8" spans="2:160" x14ac:dyDescent="0.45">
      <c r="D8" s="5"/>
      <c r="E8" s="33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331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331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331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331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331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</row>
    <row r="9" spans="2:160" x14ac:dyDescent="0.45">
      <c r="B9" s="1" t="s">
        <v>1234</v>
      </c>
      <c r="D9" s="345"/>
      <c r="E9" s="346"/>
      <c r="F9" s="345"/>
      <c r="G9" s="345"/>
      <c r="H9" s="345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5"/>
      <c r="X9" s="345"/>
      <c r="Y9" s="345"/>
      <c r="Z9" s="345"/>
      <c r="AA9" s="345"/>
      <c r="AB9" s="345"/>
      <c r="AC9" s="345"/>
      <c r="AD9" s="345"/>
      <c r="AE9" s="346"/>
      <c r="AF9" s="345"/>
      <c r="AG9" s="345"/>
      <c r="AH9" s="345"/>
      <c r="AI9" s="345"/>
      <c r="AJ9" s="345"/>
      <c r="AK9" s="345"/>
      <c r="AL9" s="345"/>
      <c r="AM9" s="345"/>
      <c r="AN9" s="345"/>
      <c r="AO9" s="345"/>
      <c r="AP9" s="345"/>
      <c r="AQ9" s="345"/>
      <c r="AR9" s="345"/>
      <c r="AS9" s="345"/>
      <c r="AT9" s="345"/>
      <c r="AU9" s="345"/>
      <c r="AV9" s="345"/>
      <c r="AW9" s="345"/>
      <c r="AX9" s="345"/>
      <c r="AY9" s="345"/>
      <c r="AZ9" s="345"/>
      <c r="BA9" s="345"/>
      <c r="BB9" s="345"/>
      <c r="BC9" s="345"/>
      <c r="BD9" s="345"/>
      <c r="BE9" s="346"/>
      <c r="BF9" s="345"/>
      <c r="BG9" s="345"/>
      <c r="BH9" s="345"/>
      <c r="BI9" s="345"/>
      <c r="BJ9" s="345"/>
      <c r="BK9" s="345"/>
      <c r="BL9" s="345"/>
      <c r="BM9" s="345"/>
      <c r="BN9" s="345"/>
      <c r="BO9" s="345"/>
      <c r="BP9" s="345"/>
      <c r="BQ9" s="345"/>
      <c r="BR9" s="345"/>
      <c r="BS9" s="345"/>
      <c r="BT9" s="345"/>
      <c r="BU9" s="345"/>
      <c r="BV9" s="345"/>
      <c r="BW9" s="345"/>
      <c r="BX9" s="345"/>
      <c r="BY9" s="345"/>
      <c r="BZ9" s="345"/>
      <c r="CA9" s="345"/>
      <c r="CB9" s="345"/>
      <c r="CC9" s="345"/>
      <c r="CD9" s="345"/>
      <c r="CE9" s="346"/>
      <c r="CF9" s="345"/>
      <c r="CG9" s="345"/>
      <c r="CH9" s="345"/>
      <c r="CI9" s="345"/>
      <c r="CJ9" s="345"/>
      <c r="CK9" s="345"/>
      <c r="CL9" s="345"/>
      <c r="CM9" s="345"/>
      <c r="CN9" s="345"/>
      <c r="CO9" s="345"/>
      <c r="CP9" s="345"/>
      <c r="CQ9" s="345"/>
      <c r="CR9" s="345"/>
      <c r="CS9" s="345"/>
      <c r="CT9" s="345"/>
      <c r="CU9" s="345"/>
      <c r="CV9" s="345"/>
      <c r="CW9" s="345"/>
      <c r="CX9" s="345"/>
      <c r="CY9" s="345"/>
      <c r="CZ9" s="345"/>
      <c r="DA9" s="345"/>
      <c r="DB9" s="345"/>
      <c r="DC9" s="345"/>
      <c r="DD9" s="345"/>
      <c r="DE9" s="346"/>
      <c r="DF9" s="345"/>
      <c r="DG9" s="345"/>
      <c r="DH9" s="345"/>
      <c r="DI9" s="345"/>
      <c r="DJ9" s="345"/>
      <c r="DK9" s="345"/>
      <c r="DL9" s="345"/>
      <c r="DM9" s="345"/>
      <c r="DN9" s="345"/>
      <c r="DO9" s="345"/>
      <c r="DP9" s="345"/>
      <c r="DQ9" s="345"/>
      <c r="DR9" s="345"/>
      <c r="DS9" s="345"/>
      <c r="DT9" s="345"/>
      <c r="DU9" s="345"/>
      <c r="DV9" s="345"/>
      <c r="DW9" s="345"/>
      <c r="DX9" s="345"/>
      <c r="DY9" s="345"/>
      <c r="DZ9" s="345"/>
      <c r="EA9" s="345"/>
      <c r="EB9" s="345"/>
      <c r="EC9" s="345"/>
      <c r="ED9" s="345"/>
      <c r="EE9" s="346"/>
      <c r="EF9" s="345"/>
      <c r="EG9" s="345"/>
      <c r="EH9" s="345"/>
      <c r="EI9" s="345"/>
      <c r="EJ9" s="345"/>
      <c r="EK9" s="345"/>
      <c r="EL9" s="345"/>
      <c r="EM9" s="345"/>
      <c r="EN9" s="345"/>
      <c r="EO9" s="345"/>
      <c r="EP9" s="345"/>
      <c r="EQ9" s="345"/>
      <c r="ER9" s="345"/>
      <c r="ES9" s="345"/>
      <c r="ET9" s="345"/>
      <c r="EU9" s="345"/>
      <c r="EV9" s="345"/>
      <c r="EW9" s="345"/>
      <c r="EX9" s="345"/>
      <c r="EY9" s="345"/>
      <c r="EZ9" s="345"/>
      <c r="FA9" s="345"/>
      <c r="FB9" s="345"/>
      <c r="FC9" s="345"/>
      <c r="FD9" s="345"/>
    </row>
    <row r="10" spans="2:160" x14ac:dyDescent="0.45">
      <c r="D10" s="5"/>
      <c r="E10" s="331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31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331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331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331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331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</row>
    <row r="11" spans="2:160" x14ac:dyDescent="0.45">
      <c r="B11" s="1" t="s">
        <v>1235</v>
      </c>
      <c r="D11" s="345"/>
      <c r="E11" s="347"/>
      <c r="F11" s="346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7"/>
      <c r="AF11" s="346"/>
      <c r="AG11" s="345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  <c r="AR11" s="345"/>
      <c r="AS11" s="345"/>
      <c r="AT11" s="345"/>
      <c r="AU11" s="345"/>
      <c r="AV11" s="345"/>
      <c r="AW11" s="345"/>
      <c r="AX11" s="345"/>
      <c r="AY11" s="345"/>
      <c r="AZ11" s="345"/>
      <c r="BA11" s="345"/>
      <c r="BB11" s="345"/>
      <c r="BC11" s="345"/>
      <c r="BD11" s="345"/>
      <c r="BE11" s="347"/>
      <c r="BF11" s="346"/>
      <c r="BG11" s="345"/>
      <c r="BH11" s="345"/>
      <c r="BI11" s="345"/>
      <c r="BJ11" s="345"/>
      <c r="BK11" s="345"/>
      <c r="BL11" s="345"/>
      <c r="BM11" s="345"/>
      <c r="BN11" s="345"/>
      <c r="BO11" s="345"/>
      <c r="BP11" s="345"/>
      <c r="BQ11" s="345"/>
      <c r="BR11" s="345"/>
      <c r="BS11" s="345"/>
      <c r="BT11" s="345"/>
      <c r="BU11" s="345"/>
      <c r="BV11" s="345"/>
      <c r="BW11" s="345"/>
      <c r="BX11" s="345"/>
      <c r="BY11" s="345"/>
      <c r="BZ11" s="345"/>
      <c r="CA11" s="345"/>
      <c r="CB11" s="345"/>
      <c r="CC11" s="345"/>
      <c r="CD11" s="345"/>
      <c r="CE11" s="347"/>
      <c r="CF11" s="346"/>
      <c r="CG11" s="345"/>
      <c r="CH11" s="345"/>
      <c r="CI11" s="345"/>
      <c r="CJ11" s="345"/>
      <c r="CK11" s="345"/>
      <c r="CL11" s="345"/>
      <c r="CM11" s="345"/>
      <c r="CN11" s="345"/>
      <c r="CO11" s="345"/>
      <c r="CP11" s="345"/>
      <c r="CQ11" s="345"/>
      <c r="CR11" s="345"/>
      <c r="CS11" s="345"/>
      <c r="CT11" s="345"/>
      <c r="CU11" s="345"/>
      <c r="CV11" s="345"/>
      <c r="CW11" s="345"/>
      <c r="CX11" s="345"/>
      <c r="CY11" s="345"/>
      <c r="CZ11" s="345"/>
      <c r="DA11" s="345"/>
      <c r="DB11" s="345"/>
      <c r="DC11" s="345"/>
      <c r="DD11" s="345"/>
      <c r="DE11" s="347"/>
      <c r="DF11" s="346"/>
      <c r="DG11" s="345"/>
      <c r="DH11" s="345"/>
      <c r="DI11" s="345"/>
      <c r="DJ11" s="345"/>
      <c r="DK11" s="345"/>
      <c r="DL11" s="345"/>
      <c r="DM11" s="345"/>
      <c r="DN11" s="345"/>
      <c r="DO11" s="345"/>
      <c r="DP11" s="345"/>
      <c r="DQ11" s="345"/>
      <c r="DR11" s="345"/>
      <c r="DS11" s="345"/>
      <c r="DT11" s="345"/>
      <c r="DU11" s="345"/>
      <c r="DV11" s="345"/>
      <c r="DW11" s="345"/>
      <c r="DX11" s="345"/>
      <c r="DY11" s="345"/>
      <c r="DZ11" s="345"/>
      <c r="EA11" s="345"/>
      <c r="EB11" s="345"/>
      <c r="EC11" s="345"/>
      <c r="ED11" s="345"/>
      <c r="EE11" s="347"/>
      <c r="EF11" s="346"/>
      <c r="EG11" s="345"/>
      <c r="EH11" s="345"/>
      <c r="EI11" s="345"/>
      <c r="EJ11" s="345"/>
      <c r="EK11" s="345"/>
      <c r="EL11" s="345"/>
      <c r="EM11" s="345"/>
      <c r="EN11" s="345"/>
      <c r="EO11" s="345"/>
      <c r="EP11" s="345"/>
      <c r="EQ11" s="345"/>
      <c r="ER11" s="345"/>
      <c r="ES11" s="345"/>
      <c r="ET11" s="345"/>
      <c r="EU11" s="345"/>
      <c r="EV11" s="345"/>
      <c r="EW11" s="345"/>
      <c r="EX11" s="345"/>
      <c r="EY11" s="345"/>
      <c r="EZ11" s="345"/>
      <c r="FA11" s="345"/>
      <c r="FB11" s="345"/>
      <c r="FC11" s="345"/>
      <c r="FD11" s="345"/>
    </row>
    <row r="12" spans="2:160" x14ac:dyDescent="0.45">
      <c r="D12" s="381"/>
      <c r="E12" s="382"/>
      <c r="F12" s="381"/>
      <c r="G12" s="381"/>
      <c r="H12" s="381"/>
      <c r="I12" s="381"/>
      <c r="J12" s="381"/>
      <c r="K12" s="381"/>
      <c r="L12" s="381"/>
      <c r="M12" s="381"/>
      <c r="N12" s="381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1"/>
      <c r="Z12" s="381"/>
      <c r="AA12" s="381"/>
      <c r="AB12" s="381"/>
      <c r="AC12" s="381"/>
      <c r="AD12" s="381"/>
      <c r="AE12" s="382"/>
      <c r="AF12" s="381"/>
      <c r="AG12" s="381"/>
      <c r="AH12" s="381"/>
      <c r="AI12" s="381"/>
      <c r="AJ12" s="381"/>
      <c r="AK12" s="381"/>
      <c r="AL12" s="381"/>
      <c r="AM12" s="381"/>
      <c r="AN12" s="381"/>
      <c r="AO12" s="381"/>
      <c r="AP12" s="381"/>
      <c r="AQ12" s="381"/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81"/>
      <c r="BD12" s="381"/>
      <c r="BE12" s="382"/>
      <c r="BF12" s="381"/>
      <c r="BG12" s="381"/>
      <c r="BH12" s="381"/>
      <c r="BI12" s="381"/>
      <c r="BJ12" s="381"/>
      <c r="BK12" s="381"/>
      <c r="BL12" s="381"/>
      <c r="BM12" s="381"/>
      <c r="BN12" s="381"/>
      <c r="BO12" s="381"/>
      <c r="BP12" s="381"/>
      <c r="BQ12" s="381"/>
      <c r="BR12" s="381"/>
      <c r="BS12" s="381"/>
      <c r="BT12" s="381"/>
      <c r="BU12" s="381"/>
      <c r="BV12" s="381"/>
      <c r="BW12" s="381"/>
      <c r="BX12" s="381"/>
      <c r="BY12" s="381"/>
      <c r="BZ12" s="381"/>
      <c r="CA12" s="381"/>
      <c r="CB12" s="381"/>
      <c r="CC12" s="381"/>
      <c r="CD12" s="381"/>
      <c r="CE12" s="382"/>
      <c r="CF12" s="381"/>
      <c r="CG12" s="381"/>
      <c r="CH12" s="381"/>
      <c r="CI12" s="381"/>
      <c r="CJ12" s="381"/>
      <c r="CK12" s="381"/>
      <c r="CL12" s="381"/>
      <c r="CM12" s="381"/>
      <c r="CN12" s="381"/>
      <c r="CO12" s="381"/>
      <c r="CP12" s="381"/>
      <c r="CQ12" s="381"/>
      <c r="CR12" s="381"/>
      <c r="CS12" s="381"/>
      <c r="CT12" s="381"/>
      <c r="CU12" s="381"/>
      <c r="CV12" s="381"/>
      <c r="CW12" s="381"/>
      <c r="CX12" s="381"/>
      <c r="CY12" s="381"/>
      <c r="CZ12" s="381"/>
      <c r="DA12" s="381"/>
      <c r="DB12" s="381"/>
      <c r="DC12" s="381"/>
      <c r="DD12" s="381"/>
      <c r="DE12" s="382"/>
      <c r="DF12" s="381"/>
      <c r="DG12" s="381"/>
      <c r="DH12" s="381"/>
      <c r="DI12" s="381"/>
      <c r="DJ12" s="381"/>
      <c r="DK12" s="381"/>
      <c r="DL12" s="381"/>
      <c r="DM12" s="381"/>
      <c r="DN12" s="381"/>
      <c r="DO12" s="381"/>
      <c r="DP12" s="381"/>
      <c r="DQ12" s="381"/>
      <c r="DR12" s="381"/>
      <c r="DS12" s="381"/>
      <c r="DT12" s="381"/>
      <c r="DU12" s="381"/>
      <c r="DV12" s="381"/>
      <c r="DW12" s="381"/>
      <c r="DX12" s="381"/>
      <c r="DY12" s="381"/>
      <c r="DZ12" s="381"/>
      <c r="EA12" s="381"/>
      <c r="EB12" s="381"/>
      <c r="EC12" s="381"/>
      <c r="ED12" s="381"/>
      <c r="EE12" s="382"/>
      <c r="EF12" s="381"/>
      <c r="EG12" s="381"/>
      <c r="EH12" s="381"/>
      <c r="EI12" s="381"/>
      <c r="EJ12" s="381"/>
      <c r="EK12" s="381"/>
      <c r="EL12" s="381"/>
      <c r="EM12" s="381"/>
      <c r="EN12" s="381"/>
      <c r="EO12" s="381"/>
      <c r="EP12" s="381"/>
      <c r="EQ12" s="381"/>
      <c r="ER12" s="381"/>
      <c r="ES12" s="381"/>
      <c r="ET12" s="381"/>
      <c r="EU12" s="381"/>
      <c r="EV12" s="381"/>
      <c r="EW12" s="381"/>
      <c r="EX12" s="381"/>
      <c r="EY12" s="381"/>
      <c r="EZ12" s="381"/>
      <c r="FA12" s="381"/>
      <c r="FB12" s="381"/>
      <c r="FC12" s="381"/>
      <c r="FD12" s="381"/>
    </row>
    <row r="13" spans="2:160" x14ac:dyDescent="0.45">
      <c r="B13" s="1" t="s">
        <v>1236</v>
      </c>
      <c r="D13" s="345"/>
      <c r="E13" s="347"/>
      <c r="F13" s="345"/>
      <c r="G13" s="346"/>
      <c r="H13" s="345"/>
      <c r="I13" s="345"/>
      <c r="J13" s="345"/>
      <c r="K13" s="345"/>
      <c r="L13" s="345"/>
      <c r="M13" s="345"/>
      <c r="N13" s="345"/>
      <c r="O13" s="345"/>
      <c r="P13" s="345"/>
      <c r="Q13" s="345"/>
      <c r="R13" s="345"/>
      <c r="S13" s="345"/>
      <c r="T13" s="345"/>
      <c r="U13" s="345"/>
      <c r="V13" s="345"/>
      <c r="W13" s="345"/>
      <c r="X13" s="345"/>
      <c r="Y13" s="345"/>
      <c r="Z13" s="345"/>
      <c r="AA13" s="345"/>
      <c r="AB13" s="345"/>
      <c r="AC13" s="345"/>
      <c r="AD13" s="345"/>
      <c r="AE13" s="347"/>
      <c r="AF13" s="345"/>
      <c r="AG13" s="346"/>
      <c r="AH13" s="345"/>
      <c r="AI13" s="345"/>
      <c r="AJ13" s="345"/>
      <c r="AK13" s="345"/>
      <c r="AL13" s="345"/>
      <c r="AM13" s="345"/>
      <c r="AN13" s="345"/>
      <c r="AO13" s="345"/>
      <c r="AP13" s="345"/>
      <c r="AQ13" s="345"/>
      <c r="AR13" s="345"/>
      <c r="AS13" s="345"/>
      <c r="AT13" s="345"/>
      <c r="AU13" s="345"/>
      <c r="AV13" s="345"/>
      <c r="AW13" s="345"/>
      <c r="AX13" s="345"/>
      <c r="AY13" s="345"/>
      <c r="AZ13" s="345"/>
      <c r="BA13" s="345"/>
      <c r="BB13" s="345"/>
      <c r="BC13" s="345"/>
      <c r="BD13" s="345"/>
      <c r="BE13" s="347"/>
      <c r="BF13" s="345"/>
      <c r="BG13" s="346"/>
      <c r="BH13" s="345"/>
      <c r="BI13" s="345"/>
      <c r="BJ13" s="345"/>
      <c r="BK13" s="345"/>
      <c r="BL13" s="345"/>
      <c r="BM13" s="345"/>
      <c r="BN13" s="345"/>
      <c r="BO13" s="345"/>
      <c r="BP13" s="345"/>
      <c r="BQ13" s="345"/>
      <c r="BR13" s="345"/>
      <c r="BS13" s="345"/>
      <c r="BT13" s="345"/>
      <c r="BU13" s="345"/>
      <c r="BV13" s="345"/>
      <c r="BW13" s="345"/>
      <c r="BX13" s="345"/>
      <c r="BY13" s="345"/>
      <c r="BZ13" s="345"/>
      <c r="CA13" s="345"/>
      <c r="CB13" s="345"/>
      <c r="CC13" s="345"/>
      <c r="CD13" s="345"/>
      <c r="CE13" s="347"/>
      <c r="CF13" s="345"/>
      <c r="CG13" s="346"/>
      <c r="CH13" s="345"/>
      <c r="CI13" s="345"/>
      <c r="CJ13" s="345"/>
      <c r="CK13" s="345"/>
      <c r="CL13" s="345"/>
      <c r="CM13" s="345"/>
      <c r="CN13" s="345"/>
      <c r="CO13" s="345"/>
      <c r="CP13" s="345"/>
      <c r="CQ13" s="345"/>
      <c r="CR13" s="345"/>
      <c r="CS13" s="345"/>
      <c r="CT13" s="345"/>
      <c r="CU13" s="345"/>
      <c r="CV13" s="345"/>
      <c r="CW13" s="345"/>
      <c r="CX13" s="345"/>
      <c r="CY13" s="345"/>
      <c r="CZ13" s="345"/>
      <c r="DA13" s="345"/>
      <c r="DB13" s="345"/>
      <c r="DC13" s="345"/>
      <c r="DD13" s="345"/>
      <c r="DE13" s="347"/>
      <c r="DF13" s="345"/>
      <c r="DG13" s="346"/>
      <c r="DH13" s="345"/>
      <c r="DI13" s="345"/>
      <c r="DJ13" s="345"/>
      <c r="DK13" s="345"/>
      <c r="DL13" s="345"/>
      <c r="DM13" s="345"/>
      <c r="DN13" s="345"/>
      <c r="DO13" s="345"/>
      <c r="DP13" s="345"/>
      <c r="DQ13" s="345"/>
      <c r="DR13" s="345"/>
      <c r="DS13" s="345"/>
      <c r="DT13" s="345"/>
      <c r="DU13" s="345"/>
      <c r="DV13" s="345"/>
      <c r="DW13" s="345"/>
      <c r="DX13" s="345"/>
      <c r="DY13" s="345"/>
      <c r="DZ13" s="345"/>
      <c r="EA13" s="345"/>
      <c r="EB13" s="345"/>
      <c r="EC13" s="345"/>
      <c r="ED13" s="345"/>
      <c r="EE13" s="347"/>
      <c r="EF13" s="345"/>
      <c r="EG13" s="346"/>
      <c r="EH13" s="345"/>
      <c r="EI13" s="345"/>
      <c r="EJ13" s="345"/>
      <c r="EK13" s="345"/>
      <c r="EL13" s="345"/>
      <c r="EM13" s="345"/>
      <c r="EN13" s="345"/>
      <c r="EO13" s="345"/>
      <c r="EP13" s="345"/>
      <c r="EQ13" s="345"/>
      <c r="ER13" s="345"/>
      <c r="ES13" s="345"/>
      <c r="ET13" s="345"/>
      <c r="EU13" s="345"/>
      <c r="EV13" s="345"/>
      <c r="EW13" s="345"/>
      <c r="EX13" s="345"/>
      <c r="EY13" s="345"/>
      <c r="EZ13" s="345"/>
      <c r="FA13" s="345"/>
      <c r="FB13" s="345"/>
      <c r="FC13" s="345"/>
      <c r="FD13" s="345"/>
    </row>
    <row r="14" spans="2:160" x14ac:dyDescent="0.45">
      <c r="D14" s="5"/>
      <c r="E14" s="33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331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331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331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331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331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</row>
    <row r="15" spans="2:160" x14ac:dyDescent="0.45">
      <c r="B15" s="1" t="s">
        <v>1237</v>
      </c>
      <c r="D15" s="345"/>
      <c r="E15" s="347"/>
      <c r="F15" s="345"/>
      <c r="G15" s="345"/>
      <c r="H15" s="345"/>
      <c r="I15" s="345"/>
      <c r="J15" s="345"/>
      <c r="K15" s="345"/>
      <c r="L15" s="346"/>
      <c r="M15" s="345"/>
      <c r="N15" s="345"/>
      <c r="O15" s="345"/>
      <c r="P15" s="345"/>
      <c r="Q15" s="345"/>
      <c r="R15" s="345"/>
      <c r="S15" s="345"/>
      <c r="T15" s="345"/>
      <c r="U15" s="345"/>
      <c r="V15" s="345"/>
      <c r="W15" s="345"/>
      <c r="X15" s="345"/>
      <c r="Y15" s="345"/>
      <c r="Z15" s="345"/>
      <c r="AA15" s="345"/>
      <c r="AB15" s="345"/>
      <c r="AC15" s="345"/>
      <c r="AD15" s="345"/>
      <c r="AE15" s="347"/>
      <c r="AF15" s="345"/>
      <c r="AG15" s="345"/>
      <c r="AH15" s="345"/>
      <c r="AI15" s="345"/>
      <c r="AJ15" s="345"/>
      <c r="AK15" s="345"/>
      <c r="AL15" s="346"/>
      <c r="AM15" s="345"/>
      <c r="AN15" s="345"/>
      <c r="AO15" s="345"/>
      <c r="AP15" s="345"/>
      <c r="AQ15" s="345"/>
      <c r="AR15" s="345"/>
      <c r="AS15" s="345"/>
      <c r="AT15" s="345"/>
      <c r="AU15" s="345"/>
      <c r="AV15" s="345"/>
      <c r="AW15" s="345"/>
      <c r="AX15" s="345"/>
      <c r="AY15" s="345"/>
      <c r="AZ15" s="345"/>
      <c r="BA15" s="345"/>
      <c r="BB15" s="345"/>
      <c r="BC15" s="345"/>
      <c r="BD15" s="345"/>
      <c r="BE15" s="347"/>
      <c r="BF15" s="345"/>
      <c r="BG15" s="345"/>
      <c r="BH15" s="345"/>
      <c r="BI15" s="345"/>
      <c r="BJ15" s="345"/>
      <c r="BK15" s="345"/>
      <c r="BL15" s="346"/>
      <c r="BM15" s="345"/>
      <c r="BN15" s="345"/>
      <c r="BO15" s="345"/>
      <c r="BP15" s="345"/>
      <c r="BQ15" s="345"/>
      <c r="BR15" s="345"/>
      <c r="BS15" s="345"/>
      <c r="BT15" s="345"/>
      <c r="BU15" s="345"/>
      <c r="BV15" s="345"/>
      <c r="BW15" s="345"/>
      <c r="BX15" s="345"/>
      <c r="BY15" s="345"/>
      <c r="BZ15" s="345"/>
      <c r="CA15" s="345"/>
      <c r="CB15" s="345"/>
      <c r="CC15" s="345"/>
      <c r="CD15" s="345"/>
      <c r="CE15" s="347"/>
      <c r="CF15" s="345"/>
      <c r="CG15" s="345"/>
      <c r="CH15" s="345"/>
      <c r="CI15" s="345"/>
      <c r="CJ15" s="345"/>
      <c r="CK15" s="345"/>
      <c r="CL15" s="346"/>
      <c r="CM15" s="345"/>
      <c r="CN15" s="345"/>
      <c r="CO15" s="345"/>
      <c r="CP15" s="345"/>
      <c r="CQ15" s="345"/>
      <c r="CR15" s="345"/>
      <c r="CS15" s="345"/>
      <c r="CT15" s="345"/>
      <c r="CU15" s="345"/>
      <c r="CV15" s="345"/>
      <c r="CW15" s="345"/>
      <c r="CX15" s="345"/>
      <c r="CY15" s="345"/>
      <c r="CZ15" s="345"/>
      <c r="DA15" s="345"/>
      <c r="DB15" s="345"/>
      <c r="DC15" s="345"/>
      <c r="DD15" s="345"/>
      <c r="DE15" s="347"/>
      <c r="DF15" s="345"/>
      <c r="DG15" s="345"/>
      <c r="DH15" s="345"/>
      <c r="DI15" s="345"/>
      <c r="DJ15" s="345"/>
      <c r="DK15" s="345"/>
      <c r="DL15" s="346"/>
      <c r="DM15" s="345"/>
      <c r="DN15" s="345"/>
      <c r="DO15" s="345"/>
      <c r="DP15" s="345"/>
      <c r="DQ15" s="345"/>
      <c r="DR15" s="345"/>
      <c r="DS15" s="345"/>
      <c r="DT15" s="345"/>
      <c r="DU15" s="345"/>
      <c r="DV15" s="345"/>
      <c r="DW15" s="345"/>
      <c r="DX15" s="345"/>
      <c r="DY15" s="345"/>
      <c r="DZ15" s="345"/>
      <c r="EA15" s="345"/>
      <c r="EB15" s="345"/>
      <c r="EC15" s="345"/>
      <c r="ED15" s="345"/>
      <c r="EE15" s="347"/>
      <c r="EF15" s="345"/>
      <c r="EG15" s="345"/>
      <c r="EH15" s="345"/>
      <c r="EI15" s="345"/>
      <c r="EJ15" s="345"/>
      <c r="EK15" s="345"/>
      <c r="EL15" s="346"/>
      <c r="EM15" s="345"/>
      <c r="EN15" s="345"/>
      <c r="EO15" s="345"/>
      <c r="EP15" s="345"/>
      <c r="EQ15" s="345"/>
      <c r="ER15" s="345"/>
      <c r="ES15" s="345"/>
      <c r="ET15" s="345"/>
      <c r="EU15" s="345"/>
      <c r="EV15" s="345"/>
      <c r="EW15" s="345"/>
      <c r="EX15" s="345"/>
      <c r="EY15" s="345"/>
      <c r="EZ15" s="345"/>
      <c r="FA15" s="345"/>
      <c r="FB15" s="345"/>
      <c r="FC15" s="345"/>
      <c r="FD15" s="345"/>
    </row>
    <row r="16" spans="2:160" x14ac:dyDescent="0.45">
      <c r="D16" s="5"/>
      <c r="E16" s="33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331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331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331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331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331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</row>
    <row r="17" spans="4:165" x14ac:dyDescent="0.45">
      <c r="D17" s="5"/>
      <c r="E17" s="33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331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331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331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331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331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</row>
    <row r="18" spans="4:165" x14ac:dyDescent="0.45">
      <c r="D18" s="5"/>
      <c r="E18" s="33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331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331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331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331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331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</row>
    <row r="19" spans="4:165" x14ac:dyDescent="0.45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</row>
    <row r="22" spans="4:165" x14ac:dyDescent="0.45">
      <c r="FE22" s="1" t="s">
        <v>1231</v>
      </c>
      <c r="FF22" s="1" t="s">
        <v>1232</v>
      </c>
      <c r="FG22" s="1" t="s">
        <v>1199</v>
      </c>
      <c r="FH22" s="1" t="s">
        <v>1230</v>
      </c>
      <c r="FI22" s="1" t="s">
        <v>1233</v>
      </c>
    </row>
    <row r="23" spans="4:165" x14ac:dyDescent="0.45">
      <c r="FE23" s="1">
        <v>4095</v>
      </c>
      <c r="FF23" s="1">
        <v>4095</v>
      </c>
      <c r="FG23" s="1">
        <f>FF23-FE23</f>
        <v>0</v>
      </c>
      <c r="FH23" s="1">
        <v>4095</v>
      </c>
      <c r="FI23">
        <f>FG23+FH23</f>
        <v>4095</v>
      </c>
    </row>
    <row r="24" spans="4:165" x14ac:dyDescent="0.45">
      <c r="FE24" s="1">
        <f>FF23</f>
        <v>4095</v>
      </c>
      <c r="FF24" s="1">
        <v>4095</v>
      </c>
      <c r="FG24" s="1">
        <f>FF24-FE24</f>
        <v>0</v>
      </c>
      <c r="FH24" s="1">
        <f>FI23</f>
        <v>4095</v>
      </c>
      <c r="FI24">
        <f t="shared" ref="FI24:FI25" si="0">FG24+FH24</f>
        <v>4095</v>
      </c>
    </row>
    <row r="25" spans="4:165" x14ac:dyDescent="0.45">
      <c r="FE25" s="1">
        <f t="shared" ref="FE25:FE26" si="1">FF24</f>
        <v>4095</v>
      </c>
      <c r="FF25">
        <v>4094</v>
      </c>
      <c r="FG25" s="1">
        <f t="shared" ref="FG25:FG26" si="2">FF25-FE25</f>
        <v>-1</v>
      </c>
      <c r="FH25" s="1">
        <f>FI24</f>
        <v>4095</v>
      </c>
      <c r="FI25">
        <f t="shared" si="0"/>
        <v>4094</v>
      </c>
    </row>
    <row r="26" spans="4:165" x14ac:dyDescent="0.45">
      <c r="FE26" s="1">
        <f t="shared" si="1"/>
        <v>4094</v>
      </c>
      <c r="FG26" s="1">
        <f t="shared" si="2"/>
        <v>-4094</v>
      </c>
      <c r="FH26" s="1">
        <v>4098</v>
      </c>
    </row>
    <row r="31" spans="4:165" x14ac:dyDescent="0.45">
      <c r="DB31" s="343"/>
      <c r="EB31" s="343"/>
      <c r="FB31" s="343"/>
    </row>
    <row r="33" spans="105:158" x14ac:dyDescent="0.45">
      <c r="DB33" s="344"/>
      <c r="EB33" s="344"/>
      <c r="FB33" s="344"/>
    </row>
    <row r="41" spans="105:158" x14ac:dyDescent="0.45">
      <c r="DA41" s="344"/>
      <c r="DI41" s="5"/>
      <c r="EA41" s="344"/>
      <c r="FA41" s="344"/>
    </row>
    <row r="54" spans="2:3" s="118" customFormat="1" x14ac:dyDescent="0.45">
      <c r="B54" s="223"/>
      <c r="C54" s="22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20FB-0A0D-4565-9DAC-502C42E92E10}">
  <dimension ref="B2:E26"/>
  <sheetViews>
    <sheetView workbookViewId="0">
      <selection activeCell="D40" sqref="D40"/>
    </sheetView>
  </sheetViews>
  <sheetFormatPr defaultRowHeight="17" x14ac:dyDescent="0.45"/>
  <cols>
    <col min="2" max="2" width="8.5" style="1" bestFit="1" customWidth="1"/>
    <col min="3" max="3" width="5.83203125" style="1" bestFit="1" customWidth="1"/>
    <col min="4" max="4" width="73.9140625" bestFit="1" customWidth="1"/>
    <col min="5" max="5" width="72.1640625" bestFit="1" customWidth="1"/>
  </cols>
  <sheetData>
    <row r="2" spans="2:5" x14ac:dyDescent="0.45">
      <c r="B2" s="2"/>
      <c r="C2" s="2"/>
      <c r="D2" s="232" t="s">
        <v>1493</v>
      </c>
      <c r="E2" s="232" t="s">
        <v>1492</v>
      </c>
    </row>
    <row r="3" spans="2:5" x14ac:dyDescent="0.45">
      <c r="B3" s="516" t="s">
        <v>1491</v>
      </c>
      <c r="C3" s="516" t="s">
        <v>244</v>
      </c>
      <c r="D3" s="517" t="s">
        <v>1496</v>
      </c>
      <c r="E3" s="517"/>
    </row>
    <row r="4" spans="2:5" x14ac:dyDescent="0.45">
      <c r="B4" s="522"/>
      <c r="C4" s="518"/>
      <c r="D4" s="519" t="s">
        <v>1495</v>
      </c>
      <c r="E4" s="519" t="s">
        <v>1495</v>
      </c>
    </row>
    <row r="5" spans="2:5" x14ac:dyDescent="0.45">
      <c r="B5" s="522"/>
      <c r="C5" s="516" t="s">
        <v>245</v>
      </c>
      <c r="D5" s="517" t="s">
        <v>1498</v>
      </c>
      <c r="E5" s="517" t="s">
        <v>1497</v>
      </c>
    </row>
    <row r="6" spans="2:5" x14ac:dyDescent="0.45">
      <c r="B6" s="522"/>
      <c r="C6" s="518"/>
      <c r="D6" s="520"/>
      <c r="E6" s="519" t="s">
        <v>1503</v>
      </c>
    </row>
    <row r="7" spans="2:5" x14ac:dyDescent="0.45">
      <c r="B7" s="522"/>
      <c r="C7" s="516"/>
      <c r="D7" s="521"/>
      <c r="E7" s="521"/>
    </row>
    <row r="8" spans="2:5" x14ac:dyDescent="0.45">
      <c r="B8" s="522"/>
      <c r="C8" s="522" t="s">
        <v>1400</v>
      </c>
      <c r="D8" s="523" t="s">
        <v>1499</v>
      </c>
      <c r="E8" s="523" t="s">
        <v>1505</v>
      </c>
    </row>
    <row r="9" spans="2:5" x14ac:dyDescent="0.45">
      <c r="B9" s="522"/>
      <c r="C9" s="522"/>
      <c r="D9" s="523" t="s">
        <v>1504</v>
      </c>
      <c r="E9" s="523" t="s">
        <v>1504</v>
      </c>
    </row>
    <row r="10" spans="2:5" x14ac:dyDescent="0.45">
      <c r="B10" s="522"/>
      <c r="C10" s="522"/>
      <c r="D10" s="523" t="s">
        <v>1510</v>
      </c>
      <c r="E10" s="525" t="s">
        <v>1509</v>
      </c>
    </row>
    <row r="11" spans="2:5" x14ac:dyDescent="0.45">
      <c r="B11" s="516" t="s">
        <v>1494</v>
      </c>
      <c r="C11" s="516" t="s">
        <v>244</v>
      </c>
      <c r="D11" s="517" t="s">
        <v>1496</v>
      </c>
      <c r="E11" s="517"/>
    </row>
    <row r="12" spans="2:5" x14ac:dyDescent="0.45">
      <c r="B12" s="522"/>
      <c r="C12" s="518"/>
      <c r="D12" s="519" t="s">
        <v>1497</v>
      </c>
      <c r="E12" s="519" t="s">
        <v>1495</v>
      </c>
    </row>
    <row r="13" spans="2:5" x14ac:dyDescent="0.45">
      <c r="B13" s="522"/>
      <c r="C13" s="516" t="s">
        <v>245</v>
      </c>
      <c r="D13" s="517" t="s">
        <v>1500</v>
      </c>
      <c r="E13" s="521" t="s">
        <v>1497</v>
      </c>
    </row>
    <row r="14" spans="2:5" x14ac:dyDescent="0.45">
      <c r="B14" s="522"/>
      <c r="C14" s="522"/>
      <c r="D14" s="524" t="s">
        <v>1501</v>
      </c>
      <c r="E14" s="524"/>
    </row>
    <row r="15" spans="2:5" x14ac:dyDescent="0.45">
      <c r="B15" s="522"/>
      <c r="C15" s="518"/>
      <c r="D15" s="519" t="s">
        <v>1502</v>
      </c>
      <c r="E15" s="519"/>
    </row>
    <row r="16" spans="2:5" x14ac:dyDescent="0.45">
      <c r="B16" s="522"/>
      <c r="C16" s="516"/>
      <c r="D16" s="521"/>
      <c r="E16" s="521"/>
    </row>
    <row r="17" spans="2:5" x14ac:dyDescent="0.45">
      <c r="B17" s="522"/>
      <c r="C17" s="522" t="s">
        <v>1400</v>
      </c>
      <c r="D17" s="523" t="s">
        <v>1506</v>
      </c>
      <c r="E17" s="523" t="s">
        <v>1505</v>
      </c>
    </row>
    <row r="18" spans="2:5" x14ac:dyDescent="0.45">
      <c r="B18" s="522"/>
      <c r="C18" s="522"/>
      <c r="D18" s="523" t="s">
        <v>1504</v>
      </c>
      <c r="E18" s="523" t="s">
        <v>1504</v>
      </c>
    </row>
    <row r="19" spans="2:5" x14ac:dyDescent="0.45">
      <c r="B19" s="518"/>
      <c r="C19" s="518"/>
      <c r="D19" s="525" t="s">
        <v>1507</v>
      </c>
      <c r="E19" s="525" t="s">
        <v>1508</v>
      </c>
    </row>
    <row r="20" spans="2:5" x14ac:dyDescent="0.45">
      <c r="B20" s="516" t="s">
        <v>1512</v>
      </c>
      <c r="C20" s="516"/>
      <c r="D20" s="16"/>
      <c r="E20" s="18"/>
    </row>
    <row r="21" spans="2:5" x14ac:dyDescent="0.45">
      <c r="B21" s="522"/>
      <c r="C21" s="522" t="s">
        <v>244</v>
      </c>
      <c r="D21" s="526" t="s">
        <v>1511</v>
      </c>
      <c r="E21" s="527"/>
    </row>
    <row r="22" spans="2:5" x14ac:dyDescent="0.45">
      <c r="B22" s="522"/>
      <c r="C22" s="522"/>
      <c r="D22" s="528"/>
      <c r="E22" s="527"/>
    </row>
    <row r="23" spans="2:5" x14ac:dyDescent="0.45">
      <c r="B23" s="522"/>
      <c r="C23" s="522" t="s">
        <v>245</v>
      </c>
      <c r="D23" s="529" t="s">
        <v>1513</v>
      </c>
      <c r="E23" s="527"/>
    </row>
    <row r="24" spans="2:5" x14ac:dyDescent="0.45">
      <c r="B24" s="522"/>
      <c r="C24" s="522"/>
      <c r="D24" s="529" t="s">
        <v>1514</v>
      </c>
      <c r="E24" s="527"/>
    </row>
    <row r="25" spans="2:5" x14ac:dyDescent="0.45">
      <c r="B25" s="522"/>
      <c r="C25" s="522"/>
      <c r="D25" s="528"/>
      <c r="E25" s="527"/>
    </row>
    <row r="26" spans="2:5" x14ac:dyDescent="0.45">
      <c r="B26" s="518"/>
      <c r="C26" s="518"/>
      <c r="D26" s="15"/>
      <c r="E26" s="12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FBF0-3FF5-48BF-A28F-1A0C12B63991}">
  <dimension ref="B2:FI54"/>
  <sheetViews>
    <sheetView showGridLines="0" topLeftCell="A49" zoomScaleNormal="100" workbookViewId="0">
      <selection activeCell="DB63" sqref="DB63"/>
    </sheetView>
  </sheetViews>
  <sheetFormatPr defaultRowHeight="17" x14ac:dyDescent="0.45"/>
  <cols>
    <col min="2" max="2" width="15.33203125" style="1" bestFit="1" customWidth="1"/>
    <col min="3" max="3" width="1.58203125" style="1" customWidth="1"/>
    <col min="4" max="160" width="1.58203125" customWidth="1"/>
  </cols>
  <sheetData>
    <row r="2" spans="2:160" x14ac:dyDescent="0.45"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</row>
    <row r="3" spans="2:160" x14ac:dyDescent="0.45">
      <c r="B3" s="1" t="s">
        <v>13</v>
      </c>
      <c r="D3" s="345"/>
      <c r="E3" s="346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  <c r="Z3" s="345"/>
      <c r="AA3" s="345"/>
      <c r="AB3" s="345"/>
      <c r="AC3" s="345"/>
      <c r="AD3" s="345"/>
      <c r="AE3" s="346"/>
      <c r="AF3" s="345"/>
      <c r="AG3" s="345"/>
      <c r="AH3" s="345"/>
      <c r="AI3" s="345"/>
      <c r="AJ3" s="345"/>
      <c r="AK3" s="345"/>
      <c r="AL3" s="345"/>
      <c r="AM3" s="345"/>
      <c r="AN3" s="345"/>
      <c r="AO3" s="345"/>
      <c r="AP3" s="345"/>
      <c r="AQ3" s="345"/>
      <c r="AR3" s="345"/>
      <c r="AS3" s="345"/>
      <c r="AT3" s="345"/>
      <c r="AU3" s="345"/>
      <c r="AV3" s="345"/>
      <c r="AW3" s="345"/>
      <c r="AX3" s="345"/>
      <c r="AY3" s="345"/>
      <c r="AZ3" s="345"/>
      <c r="BA3" s="345"/>
      <c r="BB3" s="345"/>
      <c r="BC3" s="345"/>
      <c r="BD3" s="345"/>
      <c r="BE3" s="346"/>
      <c r="BF3" s="345"/>
      <c r="BG3" s="345"/>
      <c r="BH3" s="345"/>
      <c r="BI3" s="345"/>
      <c r="BJ3" s="345"/>
      <c r="BK3" s="345"/>
      <c r="BL3" s="345"/>
      <c r="BM3" s="345"/>
      <c r="BN3" s="345"/>
      <c r="BO3" s="345"/>
      <c r="BP3" s="345"/>
      <c r="BQ3" s="345"/>
      <c r="BR3" s="345"/>
      <c r="BS3" s="345"/>
      <c r="BT3" s="345"/>
      <c r="BU3" s="345"/>
      <c r="BV3" s="345"/>
      <c r="BW3" s="345"/>
      <c r="BX3" s="345"/>
      <c r="BY3" s="345"/>
      <c r="BZ3" s="345"/>
      <c r="CA3" s="345"/>
      <c r="CB3" s="345"/>
      <c r="CC3" s="345"/>
      <c r="CD3" s="345"/>
      <c r="CE3" s="346"/>
      <c r="CF3" s="345"/>
      <c r="CG3" s="345"/>
      <c r="CH3" s="345"/>
      <c r="CI3" s="345"/>
      <c r="CJ3" s="345"/>
      <c r="CK3" s="345"/>
      <c r="CL3" s="345"/>
      <c r="CM3" s="345"/>
      <c r="CN3" s="345"/>
      <c r="CO3" s="345"/>
      <c r="CP3" s="345"/>
      <c r="CQ3" s="345"/>
      <c r="CR3" s="345"/>
      <c r="CS3" s="345"/>
      <c r="CT3" s="345"/>
      <c r="CU3" s="345"/>
      <c r="CV3" s="345"/>
      <c r="CW3" s="345"/>
      <c r="CX3" s="345"/>
      <c r="CY3" s="345"/>
      <c r="CZ3" s="345"/>
      <c r="DA3" s="345"/>
      <c r="DB3" s="345"/>
      <c r="DC3" s="345"/>
      <c r="DD3" s="345"/>
      <c r="DE3" s="346"/>
      <c r="DF3" s="345"/>
      <c r="DG3" s="345"/>
      <c r="DH3" s="345"/>
      <c r="DI3" s="345"/>
      <c r="DJ3" s="345"/>
      <c r="DK3" s="345"/>
      <c r="DL3" s="345"/>
      <c r="DM3" s="345"/>
      <c r="DN3" s="345"/>
      <c r="DO3" s="345"/>
      <c r="DP3" s="345"/>
      <c r="DQ3" s="345"/>
      <c r="DR3" s="345"/>
      <c r="DS3" s="345"/>
      <c r="DT3" s="345"/>
      <c r="DU3" s="345"/>
      <c r="DV3" s="345"/>
      <c r="DW3" s="345"/>
      <c r="DX3" s="345"/>
      <c r="DY3" s="345"/>
      <c r="DZ3" s="345"/>
      <c r="EA3" s="345"/>
      <c r="EB3" s="345"/>
      <c r="EC3" s="345"/>
      <c r="ED3" s="345"/>
      <c r="EE3" s="346"/>
      <c r="EF3" s="345"/>
      <c r="EG3" s="345"/>
      <c r="EH3" s="345"/>
      <c r="EI3" s="345"/>
      <c r="EJ3" s="345"/>
      <c r="EK3" s="345"/>
      <c r="EL3" s="345"/>
      <c r="EM3" s="345"/>
      <c r="EN3" s="345"/>
      <c r="EO3" s="345"/>
      <c r="EP3" s="345"/>
      <c r="EQ3" s="345"/>
      <c r="ER3" s="345"/>
      <c r="ES3" s="345"/>
      <c r="ET3" s="345"/>
      <c r="EU3" s="345"/>
      <c r="EV3" s="345"/>
      <c r="EW3" s="345"/>
      <c r="EX3" s="345"/>
      <c r="EY3" s="345"/>
      <c r="EZ3" s="345"/>
      <c r="FA3" s="345"/>
      <c r="FB3" s="345"/>
      <c r="FC3" s="345"/>
      <c r="FD3" s="345"/>
    </row>
    <row r="4" spans="2:160" x14ac:dyDescent="0.45">
      <c r="B4" s="1" t="s">
        <v>1239</v>
      </c>
      <c r="D4" s="5"/>
      <c r="E4" s="33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331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331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331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331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331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</row>
    <row r="5" spans="2:160" x14ac:dyDescent="0.45">
      <c r="B5" s="1" t="s">
        <v>1238</v>
      </c>
      <c r="D5" s="345"/>
      <c r="E5" s="347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7"/>
      <c r="AF5" s="345"/>
      <c r="AG5" s="345"/>
      <c r="AH5" s="345"/>
      <c r="AI5" s="345"/>
      <c r="AJ5" s="345"/>
      <c r="AK5" s="345"/>
      <c r="AL5" s="345"/>
      <c r="AM5" s="345"/>
      <c r="AN5" s="345"/>
      <c r="AO5" s="345"/>
      <c r="AP5" s="345"/>
      <c r="AQ5" s="345"/>
      <c r="AR5" s="345"/>
      <c r="AS5" s="345"/>
      <c r="AT5" s="345"/>
      <c r="AU5" s="345"/>
      <c r="AV5" s="345"/>
      <c r="AW5" s="345"/>
      <c r="AX5" s="345"/>
      <c r="AY5" s="345"/>
      <c r="AZ5" s="345"/>
      <c r="BA5" s="345"/>
      <c r="BB5" s="345"/>
      <c r="BC5" s="345"/>
      <c r="BD5" s="345"/>
      <c r="BE5" s="347"/>
      <c r="BF5" s="345"/>
      <c r="BG5" s="345"/>
      <c r="BH5" s="345"/>
      <c r="BI5" s="345"/>
      <c r="BJ5" s="345"/>
      <c r="BK5" s="345"/>
      <c r="BL5" s="345"/>
      <c r="BM5" s="345"/>
      <c r="BN5" s="345"/>
      <c r="BO5" s="345"/>
      <c r="BP5" s="345"/>
      <c r="BQ5" s="345"/>
      <c r="BR5" s="345"/>
      <c r="BS5" s="345"/>
      <c r="BT5" s="345"/>
      <c r="BU5" s="345"/>
      <c r="BV5" s="345"/>
      <c r="BW5" s="345"/>
      <c r="BX5" s="345"/>
      <c r="BY5" s="345"/>
      <c r="BZ5" s="345"/>
      <c r="CA5" s="345"/>
      <c r="CB5" s="345"/>
      <c r="CC5" s="345"/>
      <c r="CD5" s="345"/>
      <c r="CE5" s="347"/>
      <c r="CF5" s="345"/>
      <c r="CG5" s="345"/>
      <c r="CH5" s="345"/>
      <c r="CI5" s="345"/>
      <c r="CJ5" s="345"/>
      <c r="CK5" s="345"/>
      <c r="CL5" s="345"/>
      <c r="CM5" s="345"/>
      <c r="CN5" s="345"/>
      <c r="CO5" s="345"/>
      <c r="CP5" s="345"/>
      <c r="CQ5" s="345"/>
      <c r="CR5" s="345"/>
      <c r="CS5" s="345"/>
      <c r="CT5" s="345"/>
      <c r="CU5" s="345"/>
      <c r="CV5" s="345"/>
      <c r="CW5" s="345"/>
      <c r="CX5" s="345"/>
      <c r="CY5" s="345"/>
      <c r="CZ5" s="345"/>
      <c r="DA5" s="345"/>
      <c r="DB5" s="345"/>
      <c r="DC5" s="345"/>
      <c r="DD5" s="345"/>
      <c r="DE5" s="347"/>
      <c r="DF5" s="345"/>
      <c r="DG5" s="345"/>
      <c r="DH5" s="345"/>
      <c r="DI5" s="345"/>
      <c r="DJ5" s="345"/>
      <c r="DK5" s="345"/>
      <c r="DL5" s="345"/>
      <c r="DM5" s="345"/>
      <c r="DN5" s="345"/>
      <c r="DO5" s="345"/>
      <c r="DP5" s="345"/>
      <c r="DQ5" s="345"/>
      <c r="DR5" s="345"/>
      <c r="DS5" s="345"/>
      <c r="DT5" s="345"/>
      <c r="DU5" s="345"/>
      <c r="DV5" s="345"/>
      <c r="DW5" s="345"/>
      <c r="DX5" s="345"/>
      <c r="DY5" s="345"/>
      <c r="DZ5" s="345"/>
      <c r="EA5" s="345"/>
      <c r="EB5" s="345"/>
      <c r="EC5" s="345"/>
      <c r="ED5" s="345"/>
      <c r="EE5" s="347"/>
      <c r="EF5" s="345"/>
      <c r="EG5" s="345"/>
      <c r="EH5" s="345"/>
      <c r="EI5" s="345"/>
      <c r="EJ5" s="345"/>
      <c r="EK5" s="345"/>
      <c r="EL5" s="345"/>
      <c r="EM5" s="345"/>
      <c r="EN5" s="345"/>
      <c r="EO5" s="345"/>
      <c r="EP5" s="345"/>
      <c r="EQ5" s="345"/>
      <c r="ER5" s="345"/>
      <c r="ES5" s="345"/>
      <c r="ET5" s="345"/>
      <c r="EU5" s="345"/>
      <c r="EV5" s="345"/>
      <c r="EW5" s="345"/>
      <c r="EX5" s="345"/>
      <c r="EY5" s="345"/>
      <c r="EZ5" s="345"/>
      <c r="FA5" s="345"/>
      <c r="FB5" s="345"/>
      <c r="FC5" s="345"/>
      <c r="FD5" s="345"/>
    </row>
    <row r="6" spans="2:160" x14ac:dyDescent="0.45">
      <c r="D6" s="5"/>
      <c r="E6" s="33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331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331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331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331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331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</row>
    <row r="7" spans="2:160" x14ac:dyDescent="0.45">
      <c r="B7" s="1" t="s">
        <v>1229</v>
      </c>
      <c r="D7" s="381"/>
      <c r="E7" s="382"/>
      <c r="F7" s="383"/>
      <c r="G7" s="384"/>
      <c r="H7" s="385"/>
      <c r="I7" s="381"/>
      <c r="J7" s="386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84"/>
      <c r="V7" s="381"/>
      <c r="W7" s="381"/>
      <c r="X7" s="381"/>
      <c r="Y7" s="381"/>
      <c r="Z7" s="381"/>
      <c r="AA7" s="381"/>
      <c r="AB7" s="381"/>
      <c r="AC7" s="383"/>
      <c r="AD7" s="345"/>
      <c r="AE7" s="347"/>
      <c r="AF7" s="345"/>
      <c r="AG7" s="345"/>
      <c r="AH7" s="384"/>
      <c r="AI7" s="381"/>
      <c r="AJ7" s="381"/>
      <c r="AK7" s="381"/>
      <c r="AL7" s="381"/>
      <c r="AM7" s="381"/>
      <c r="AN7" s="381"/>
      <c r="AO7" s="381"/>
      <c r="AP7" s="381"/>
      <c r="AQ7" s="381"/>
      <c r="AR7" s="381"/>
      <c r="AS7" s="383"/>
      <c r="AT7" s="384"/>
      <c r="AU7" s="381"/>
      <c r="AV7" s="381"/>
      <c r="AW7" s="381"/>
      <c r="AX7" s="381"/>
      <c r="AY7" s="381"/>
      <c r="AZ7" s="381"/>
      <c r="BA7" s="381"/>
      <c r="BB7" s="381"/>
      <c r="BC7" s="381"/>
      <c r="BD7" s="381"/>
      <c r="BE7" s="382"/>
      <c r="BF7" s="381"/>
      <c r="BG7" s="381"/>
      <c r="BH7" s="383"/>
      <c r="BI7" s="345"/>
      <c r="BJ7" s="345"/>
      <c r="BK7" s="345"/>
      <c r="BL7" s="345"/>
      <c r="BM7" s="345"/>
      <c r="BN7" s="345"/>
      <c r="BO7" s="345"/>
      <c r="BP7" s="345"/>
      <c r="BQ7" s="345"/>
      <c r="BR7" s="345"/>
      <c r="BS7" s="345"/>
      <c r="BT7" s="384"/>
      <c r="BU7" s="381"/>
      <c r="BV7" s="381"/>
      <c r="BW7" s="381"/>
      <c r="BX7" s="381"/>
      <c r="BY7" s="381"/>
      <c r="BZ7" s="381"/>
      <c r="CA7" s="381"/>
      <c r="CB7" s="381"/>
      <c r="CC7" s="381"/>
      <c r="CD7" s="381"/>
      <c r="CE7" s="382"/>
      <c r="CF7" s="381"/>
      <c r="CG7" s="381"/>
      <c r="CH7" s="381"/>
      <c r="CI7" s="381"/>
      <c r="CJ7" s="381"/>
      <c r="CK7" s="381"/>
      <c r="CL7" s="381"/>
      <c r="CM7" s="381"/>
      <c r="CN7" s="381"/>
      <c r="CO7" s="381"/>
      <c r="CP7" s="381"/>
      <c r="CQ7" s="381"/>
      <c r="CR7" s="381"/>
      <c r="CS7" s="381"/>
      <c r="CT7" s="381"/>
      <c r="CU7" s="381"/>
      <c r="CV7" s="381"/>
      <c r="CW7" s="381"/>
      <c r="CX7" s="381"/>
      <c r="CY7" s="381"/>
      <c r="CZ7" s="381"/>
      <c r="DA7" s="381"/>
      <c r="DB7" s="381"/>
      <c r="DC7" s="381"/>
      <c r="DD7" s="381"/>
      <c r="DE7" s="382"/>
      <c r="DF7" s="381"/>
      <c r="DG7" s="381"/>
      <c r="DH7" s="381"/>
      <c r="DI7" s="381"/>
      <c r="DJ7" s="381"/>
      <c r="DK7" s="381"/>
      <c r="DL7" s="381"/>
      <c r="DM7" s="381"/>
      <c r="DN7" s="381"/>
      <c r="DO7" s="381"/>
      <c r="DP7" s="381"/>
      <c r="DQ7" s="381"/>
      <c r="DR7" s="381"/>
      <c r="DS7" s="381"/>
      <c r="DT7" s="381"/>
      <c r="DU7" s="381"/>
      <c r="DV7" s="381"/>
      <c r="DW7" s="381"/>
      <c r="DX7" s="381"/>
      <c r="DY7" s="381"/>
      <c r="DZ7" s="381"/>
      <c r="EA7" s="381"/>
      <c r="EB7" s="381"/>
      <c r="EC7" s="381"/>
      <c r="ED7" s="381"/>
      <c r="EE7" s="382"/>
      <c r="EF7" s="381"/>
      <c r="EG7" s="381"/>
      <c r="EH7" s="381"/>
      <c r="EI7" s="381"/>
      <c r="EJ7" s="381"/>
      <c r="EK7" s="381"/>
      <c r="EL7" s="381"/>
      <c r="EM7" s="381"/>
      <c r="EN7" s="381"/>
      <c r="EO7" s="381"/>
      <c r="EP7" s="381"/>
      <c r="EQ7" s="381"/>
      <c r="ER7" s="381"/>
      <c r="ES7" s="381"/>
      <c r="ET7" s="381"/>
      <c r="EU7" s="381"/>
      <c r="EV7" s="381"/>
      <c r="EW7" s="381"/>
      <c r="EX7" s="381"/>
      <c r="EY7" s="381"/>
      <c r="EZ7" s="381"/>
      <c r="FA7" s="381"/>
      <c r="FB7" s="381"/>
      <c r="FC7" s="381"/>
      <c r="FD7" s="381"/>
    </row>
    <row r="8" spans="2:160" x14ac:dyDescent="0.45">
      <c r="D8" s="5"/>
      <c r="E8" s="33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331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331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331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331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331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</row>
    <row r="9" spans="2:160" x14ac:dyDescent="0.45">
      <c r="B9" s="1" t="s">
        <v>1234</v>
      </c>
      <c r="D9" s="345"/>
      <c r="E9" s="346"/>
      <c r="F9" s="345"/>
      <c r="G9" s="345"/>
      <c r="H9" s="345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5"/>
      <c r="X9" s="345"/>
      <c r="Y9" s="345"/>
      <c r="Z9" s="345"/>
      <c r="AA9" s="345"/>
      <c r="AB9" s="345"/>
      <c r="AC9" s="345"/>
      <c r="AD9" s="345"/>
      <c r="AE9" s="346"/>
      <c r="AF9" s="345"/>
      <c r="AG9" s="345"/>
      <c r="AH9" s="345"/>
      <c r="AI9" s="345"/>
      <c r="AJ9" s="345"/>
      <c r="AK9" s="345"/>
      <c r="AL9" s="345"/>
      <c r="AM9" s="345"/>
      <c r="AN9" s="345"/>
      <c r="AO9" s="345"/>
      <c r="AP9" s="345"/>
      <c r="AQ9" s="345"/>
      <c r="AR9" s="345"/>
      <c r="AS9" s="345"/>
      <c r="AT9" s="345"/>
      <c r="AU9" s="345"/>
      <c r="AV9" s="345"/>
      <c r="AW9" s="345"/>
      <c r="AX9" s="345"/>
      <c r="AY9" s="345"/>
      <c r="AZ9" s="345"/>
      <c r="BA9" s="345"/>
      <c r="BB9" s="345"/>
      <c r="BC9" s="345"/>
      <c r="BD9" s="345"/>
      <c r="BE9" s="346"/>
      <c r="BF9" s="345"/>
      <c r="BG9" s="345"/>
      <c r="BH9" s="345"/>
      <c r="BI9" s="345"/>
      <c r="BJ9" s="345"/>
      <c r="BK9" s="345"/>
      <c r="BL9" s="345"/>
      <c r="BM9" s="345"/>
      <c r="BN9" s="345"/>
      <c r="BO9" s="345"/>
      <c r="BP9" s="345"/>
      <c r="BQ9" s="345"/>
      <c r="BR9" s="345"/>
      <c r="BS9" s="345"/>
      <c r="BT9" s="345"/>
      <c r="BU9" s="345"/>
      <c r="BV9" s="345"/>
      <c r="BW9" s="345"/>
      <c r="BX9" s="345"/>
      <c r="BY9" s="345"/>
      <c r="BZ9" s="345"/>
      <c r="CA9" s="345"/>
      <c r="CB9" s="345"/>
      <c r="CC9" s="345"/>
      <c r="CD9" s="345"/>
      <c r="CE9" s="346"/>
      <c r="CF9" s="345"/>
      <c r="CG9" s="345"/>
      <c r="CH9" s="345"/>
      <c r="CI9" s="345"/>
      <c r="CJ9" s="345"/>
      <c r="CK9" s="345"/>
      <c r="CL9" s="345"/>
      <c r="CM9" s="345"/>
      <c r="CN9" s="345"/>
      <c r="CO9" s="345"/>
      <c r="CP9" s="345"/>
      <c r="CQ9" s="345"/>
      <c r="CR9" s="345"/>
      <c r="CS9" s="345"/>
      <c r="CT9" s="345"/>
      <c r="CU9" s="345"/>
      <c r="CV9" s="345"/>
      <c r="CW9" s="345"/>
      <c r="CX9" s="345"/>
      <c r="CY9" s="345"/>
      <c r="CZ9" s="345"/>
      <c r="DA9" s="345"/>
      <c r="DB9" s="345"/>
      <c r="DC9" s="345"/>
      <c r="DD9" s="345"/>
      <c r="DE9" s="346"/>
      <c r="DF9" s="345"/>
      <c r="DG9" s="345"/>
      <c r="DH9" s="345"/>
      <c r="DI9" s="345"/>
      <c r="DJ9" s="345"/>
      <c r="DK9" s="345"/>
      <c r="DL9" s="345"/>
      <c r="DM9" s="345"/>
      <c r="DN9" s="345"/>
      <c r="DO9" s="345"/>
      <c r="DP9" s="345"/>
      <c r="DQ9" s="345"/>
      <c r="DR9" s="345"/>
      <c r="DS9" s="345"/>
      <c r="DT9" s="345"/>
      <c r="DU9" s="345"/>
      <c r="DV9" s="345"/>
      <c r="DW9" s="345"/>
      <c r="DX9" s="345"/>
      <c r="DY9" s="345"/>
      <c r="DZ9" s="345"/>
      <c r="EA9" s="345"/>
      <c r="EB9" s="345"/>
      <c r="EC9" s="345"/>
      <c r="ED9" s="345"/>
      <c r="EE9" s="346"/>
      <c r="EF9" s="345"/>
      <c r="EG9" s="345"/>
      <c r="EH9" s="345"/>
      <c r="EI9" s="345"/>
      <c r="EJ9" s="345"/>
      <c r="EK9" s="345"/>
      <c r="EL9" s="345"/>
      <c r="EM9" s="345"/>
      <c r="EN9" s="345"/>
      <c r="EO9" s="345"/>
      <c r="EP9" s="345"/>
      <c r="EQ9" s="345"/>
      <c r="ER9" s="345"/>
      <c r="ES9" s="345"/>
      <c r="ET9" s="345"/>
      <c r="EU9" s="345"/>
      <c r="EV9" s="345"/>
      <c r="EW9" s="345"/>
      <c r="EX9" s="345"/>
      <c r="EY9" s="345"/>
      <c r="EZ9" s="345"/>
      <c r="FA9" s="345"/>
      <c r="FB9" s="345"/>
      <c r="FC9" s="345"/>
      <c r="FD9" s="345"/>
    </row>
    <row r="10" spans="2:160" x14ac:dyDescent="0.45">
      <c r="D10" s="5"/>
      <c r="E10" s="331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31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331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331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331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331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</row>
    <row r="11" spans="2:160" x14ac:dyDescent="0.45">
      <c r="B11" s="1" t="s">
        <v>1235</v>
      </c>
      <c r="D11" s="345"/>
      <c r="E11" s="347"/>
      <c r="F11" s="346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7"/>
      <c r="AF11" s="346"/>
      <c r="AG11" s="345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  <c r="AR11" s="345"/>
      <c r="AS11" s="345"/>
      <c r="AT11" s="345"/>
      <c r="AU11" s="345"/>
      <c r="AV11" s="345"/>
      <c r="AW11" s="345"/>
      <c r="AX11" s="345"/>
      <c r="AY11" s="345"/>
      <c r="AZ11" s="345"/>
      <c r="BA11" s="345"/>
      <c r="BB11" s="345"/>
      <c r="BC11" s="345"/>
      <c r="BD11" s="345"/>
      <c r="BE11" s="347"/>
      <c r="BF11" s="346"/>
      <c r="BG11" s="345"/>
      <c r="BH11" s="345"/>
      <c r="BI11" s="345"/>
      <c r="BJ11" s="345"/>
      <c r="BK11" s="345"/>
      <c r="BL11" s="345"/>
      <c r="BM11" s="345"/>
      <c r="BN11" s="345"/>
      <c r="BO11" s="345"/>
      <c r="BP11" s="345"/>
      <c r="BQ11" s="345"/>
      <c r="BR11" s="345"/>
      <c r="BS11" s="345"/>
      <c r="BT11" s="345"/>
      <c r="BU11" s="345"/>
      <c r="BV11" s="345"/>
      <c r="BW11" s="345"/>
      <c r="BX11" s="345"/>
      <c r="BY11" s="345"/>
      <c r="BZ11" s="345"/>
      <c r="CA11" s="345"/>
      <c r="CB11" s="345"/>
      <c r="CC11" s="345"/>
      <c r="CD11" s="345"/>
      <c r="CE11" s="347"/>
      <c r="CF11" s="346"/>
      <c r="CG11" s="345"/>
      <c r="CH11" s="345"/>
      <c r="CI11" s="345"/>
      <c r="CJ11" s="345"/>
      <c r="CK11" s="345"/>
      <c r="CL11" s="345"/>
      <c r="CM11" s="345"/>
      <c r="CN11" s="345"/>
      <c r="CO11" s="345"/>
      <c r="CP11" s="345"/>
      <c r="CQ11" s="345"/>
      <c r="CR11" s="345"/>
      <c r="CS11" s="345"/>
      <c r="CT11" s="345"/>
      <c r="CU11" s="345"/>
      <c r="CV11" s="345"/>
      <c r="CW11" s="345"/>
      <c r="CX11" s="345"/>
      <c r="CY11" s="345"/>
      <c r="CZ11" s="345"/>
      <c r="DA11" s="345"/>
      <c r="DB11" s="345"/>
      <c r="DC11" s="345"/>
      <c r="DD11" s="345"/>
      <c r="DE11" s="347"/>
      <c r="DF11" s="346"/>
      <c r="DG11" s="345"/>
      <c r="DH11" s="345"/>
      <c r="DI11" s="345"/>
      <c r="DJ11" s="345"/>
      <c r="DK11" s="345"/>
      <c r="DL11" s="345"/>
      <c r="DM11" s="345"/>
      <c r="DN11" s="345"/>
      <c r="DO11" s="345"/>
      <c r="DP11" s="345"/>
      <c r="DQ11" s="345"/>
      <c r="DR11" s="345"/>
      <c r="DS11" s="345"/>
      <c r="DT11" s="345"/>
      <c r="DU11" s="345"/>
      <c r="DV11" s="345"/>
      <c r="DW11" s="345"/>
      <c r="DX11" s="345"/>
      <c r="DY11" s="345"/>
      <c r="DZ11" s="345"/>
      <c r="EA11" s="345"/>
      <c r="EB11" s="345"/>
      <c r="EC11" s="345"/>
      <c r="ED11" s="345"/>
      <c r="EE11" s="347"/>
      <c r="EF11" s="346"/>
      <c r="EG11" s="345"/>
      <c r="EH11" s="345"/>
      <c r="EI11" s="345"/>
      <c r="EJ11" s="345"/>
      <c r="EK11" s="345"/>
      <c r="EL11" s="345"/>
      <c r="EM11" s="345"/>
      <c r="EN11" s="345"/>
      <c r="EO11" s="345"/>
      <c r="EP11" s="345"/>
      <c r="EQ11" s="345"/>
      <c r="ER11" s="345"/>
      <c r="ES11" s="345"/>
      <c r="ET11" s="345"/>
      <c r="EU11" s="345"/>
      <c r="EV11" s="345"/>
      <c r="EW11" s="345"/>
      <c r="EX11" s="345"/>
      <c r="EY11" s="345"/>
      <c r="EZ11" s="345"/>
      <c r="FA11" s="345"/>
      <c r="FB11" s="345"/>
      <c r="FC11" s="345"/>
      <c r="FD11" s="345"/>
    </row>
    <row r="12" spans="2:160" x14ac:dyDescent="0.45">
      <c r="D12" s="381"/>
      <c r="E12" s="382"/>
      <c r="F12" s="381"/>
      <c r="G12" s="381"/>
      <c r="H12" s="381"/>
      <c r="I12" s="381"/>
      <c r="J12" s="381"/>
      <c r="K12" s="381"/>
      <c r="L12" s="381"/>
      <c r="M12" s="381"/>
      <c r="N12" s="381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1"/>
      <c r="Z12" s="381"/>
      <c r="AA12" s="381"/>
      <c r="AB12" s="381"/>
      <c r="AC12" s="381"/>
      <c r="AD12" s="381"/>
      <c r="AE12" s="382"/>
      <c r="AF12" s="381"/>
      <c r="AG12" s="381"/>
      <c r="AH12" s="381"/>
      <c r="AI12" s="381"/>
      <c r="AJ12" s="381"/>
      <c r="AK12" s="381"/>
      <c r="AL12" s="381"/>
      <c r="AM12" s="381"/>
      <c r="AN12" s="381"/>
      <c r="AO12" s="381"/>
      <c r="AP12" s="381"/>
      <c r="AQ12" s="381"/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81"/>
      <c r="BD12" s="381"/>
      <c r="BE12" s="382"/>
      <c r="BF12" s="381"/>
      <c r="BG12" s="381"/>
      <c r="BH12" s="381"/>
      <c r="BI12" s="381"/>
      <c r="BJ12" s="381"/>
      <c r="BK12" s="381"/>
      <c r="BL12" s="381"/>
      <c r="BM12" s="381"/>
      <c r="BN12" s="381"/>
      <c r="BO12" s="381"/>
      <c r="BP12" s="381"/>
      <c r="BQ12" s="381"/>
      <c r="BR12" s="381"/>
      <c r="BS12" s="381"/>
      <c r="BT12" s="381"/>
      <c r="BU12" s="381"/>
      <c r="BV12" s="381"/>
      <c r="BW12" s="381"/>
      <c r="BX12" s="381"/>
      <c r="BY12" s="381"/>
      <c r="BZ12" s="381"/>
      <c r="CA12" s="381"/>
      <c r="CB12" s="381"/>
      <c r="CC12" s="381"/>
      <c r="CD12" s="381"/>
      <c r="CE12" s="382"/>
      <c r="CF12" s="381"/>
      <c r="CG12" s="381"/>
      <c r="CH12" s="381"/>
      <c r="CI12" s="381"/>
      <c r="CJ12" s="381"/>
      <c r="CK12" s="381"/>
      <c r="CL12" s="381"/>
      <c r="CM12" s="381"/>
      <c r="CN12" s="381"/>
      <c r="CO12" s="381"/>
      <c r="CP12" s="381"/>
      <c r="CQ12" s="381"/>
      <c r="CR12" s="381"/>
      <c r="CS12" s="381"/>
      <c r="CT12" s="381"/>
      <c r="CU12" s="381"/>
      <c r="CV12" s="381"/>
      <c r="CW12" s="381"/>
      <c r="CX12" s="381"/>
      <c r="CY12" s="381"/>
      <c r="CZ12" s="381"/>
      <c r="DA12" s="381"/>
      <c r="DB12" s="381"/>
      <c r="DC12" s="381"/>
      <c r="DD12" s="381"/>
      <c r="DE12" s="382"/>
      <c r="DF12" s="381"/>
      <c r="DG12" s="381"/>
      <c r="DH12" s="381"/>
      <c r="DI12" s="381"/>
      <c r="DJ12" s="381"/>
      <c r="DK12" s="381"/>
      <c r="DL12" s="381"/>
      <c r="DM12" s="381"/>
      <c r="DN12" s="381"/>
      <c r="DO12" s="381"/>
      <c r="DP12" s="381"/>
      <c r="DQ12" s="381"/>
      <c r="DR12" s="381"/>
      <c r="DS12" s="381"/>
      <c r="DT12" s="381"/>
      <c r="DU12" s="381"/>
      <c r="DV12" s="381"/>
      <c r="DW12" s="381"/>
      <c r="DX12" s="381"/>
      <c r="DY12" s="381"/>
      <c r="DZ12" s="381"/>
      <c r="EA12" s="381"/>
      <c r="EB12" s="381"/>
      <c r="EC12" s="381"/>
      <c r="ED12" s="381"/>
      <c r="EE12" s="382"/>
      <c r="EF12" s="381"/>
      <c r="EG12" s="381"/>
      <c r="EH12" s="381"/>
      <c r="EI12" s="381"/>
      <c r="EJ12" s="381"/>
      <c r="EK12" s="381"/>
      <c r="EL12" s="381"/>
      <c r="EM12" s="381"/>
      <c r="EN12" s="381"/>
      <c r="EO12" s="381"/>
      <c r="EP12" s="381"/>
      <c r="EQ12" s="381"/>
      <c r="ER12" s="381"/>
      <c r="ES12" s="381"/>
      <c r="ET12" s="381"/>
      <c r="EU12" s="381"/>
      <c r="EV12" s="381"/>
      <c r="EW12" s="381"/>
      <c r="EX12" s="381"/>
      <c r="EY12" s="381"/>
      <c r="EZ12" s="381"/>
      <c r="FA12" s="381"/>
      <c r="FB12" s="381"/>
      <c r="FC12" s="381"/>
      <c r="FD12" s="381"/>
    </row>
    <row r="13" spans="2:160" x14ac:dyDescent="0.45">
      <c r="B13" s="1" t="s">
        <v>1236</v>
      </c>
      <c r="D13" s="345"/>
      <c r="E13" s="347"/>
      <c r="F13" s="345"/>
      <c r="G13" s="346"/>
      <c r="H13" s="345"/>
      <c r="I13" s="345"/>
      <c r="J13" s="345"/>
      <c r="K13" s="345"/>
      <c r="L13" s="345"/>
      <c r="M13" s="345"/>
      <c r="N13" s="345"/>
      <c r="O13" s="345"/>
      <c r="P13" s="345"/>
      <c r="Q13" s="345"/>
      <c r="R13" s="345"/>
      <c r="S13" s="345"/>
      <c r="T13" s="345"/>
      <c r="U13" s="345"/>
      <c r="V13" s="345"/>
      <c r="W13" s="345"/>
      <c r="X13" s="345"/>
      <c r="Y13" s="345"/>
      <c r="Z13" s="345"/>
      <c r="AA13" s="345"/>
      <c r="AB13" s="345"/>
      <c r="AC13" s="345"/>
      <c r="AD13" s="345"/>
      <c r="AE13" s="347"/>
      <c r="AF13" s="345"/>
      <c r="AG13" s="346"/>
      <c r="AH13" s="345"/>
      <c r="AI13" s="345"/>
      <c r="AJ13" s="345"/>
      <c r="AK13" s="345"/>
      <c r="AL13" s="345"/>
      <c r="AM13" s="345"/>
      <c r="AN13" s="345"/>
      <c r="AO13" s="345"/>
      <c r="AP13" s="345"/>
      <c r="AQ13" s="345"/>
      <c r="AR13" s="345"/>
      <c r="AS13" s="345"/>
      <c r="AT13" s="345"/>
      <c r="AU13" s="345"/>
      <c r="AV13" s="345"/>
      <c r="AW13" s="345"/>
      <c r="AX13" s="345"/>
      <c r="AY13" s="345"/>
      <c r="AZ13" s="345"/>
      <c r="BA13" s="345"/>
      <c r="BB13" s="345"/>
      <c r="BC13" s="345"/>
      <c r="BD13" s="345"/>
      <c r="BE13" s="347"/>
      <c r="BF13" s="345"/>
      <c r="BG13" s="346"/>
      <c r="BH13" s="345"/>
      <c r="BI13" s="345"/>
      <c r="BJ13" s="345"/>
      <c r="BK13" s="345"/>
      <c r="BL13" s="345"/>
      <c r="BM13" s="345"/>
      <c r="BN13" s="345"/>
      <c r="BO13" s="345"/>
      <c r="BP13" s="345"/>
      <c r="BQ13" s="345"/>
      <c r="BR13" s="345"/>
      <c r="BS13" s="345"/>
      <c r="BT13" s="345"/>
      <c r="BU13" s="345"/>
      <c r="BV13" s="345"/>
      <c r="BW13" s="345"/>
      <c r="BX13" s="345"/>
      <c r="BY13" s="345"/>
      <c r="BZ13" s="345"/>
      <c r="CA13" s="345"/>
      <c r="CB13" s="345"/>
      <c r="CC13" s="345"/>
      <c r="CD13" s="345"/>
      <c r="CE13" s="347"/>
      <c r="CF13" s="345"/>
      <c r="CG13" s="346"/>
      <c r="CH13" s="345"/>
      <c r="CI13" s="345"/>
      <c r="CJ13" s="345"/>
      <c r="CK13" s="345"/>
      <c r="CL13" s="345"/>
      <c r="CM13" s="345"/>
      <c r="CN13" s="345"/>
      <c r="CO13" s="345"/>
      <c r="CP13" s="345"/>
      <c r="CQ13" s="345"/>
      <c r="CR13" s="345"/>
      <c r="CS13" s="345"/>
      <c r="CT13" s="345"/>
      <c r="CU13" s="345"/>
      <c r="CV13" s="345"/>
      <c r="CW13" s="345"/>
      <c r="CX13" s="345"/>
      <c r="CY13" s="345"/>
      <c r="CZ13" s="345"/>
      <c r="DA13" s="345"/>
      <c r="DB13" s="345"/>
      <c r="DC13" s="345"/>
      <c r="DD13" s="345"/>
      <c r="DE13" s="347"/>
      <c r="DF13" s="345"/>
      <c r="DG13" s="346"/>
      <c r="DH13" s="345"/>
      <c r="DI13" s="345"/>
      <c r="DJ13" s="345"/>
      <c r="DK13" s="345"/>
      <c r="DL13" s="345"/>
      <c r="DM13" s="345"/>
      <c r="DN13" s="345"/>
      <c r="DO13" s="345"/>
      <c r="DP13" s="345"/>
      <c r="DQ13" s="345"/>
      <c r="DR13" s="345"/>
      <c r="DS13" s="345"/>
      <c r="DT13" s="345"/>
      <c r="DU13" s="345"/>
      <c r="DV13" s="345"/>
      <c r="DW13" s="345"/>
      <c r="DX13" s="345"/>
      <c r="DY13" s="345"/>
      <c r="DZ13" s="345"/>
      <c r="EA13" s="345"/>
      <c r="EB13" s="345"/>
      <c r="EC13" s="345"/>
      <c r="ED13" s="345"/>
      <c r="EE13" s="347"/>
      <c r="EF13" s="345"/>
      <c r="EG13" s="346"/>
      <c r="EH13" s="345"/>
      <c r="EI13" s="345"/>
      <c r="EJ13" s="345"/>
      <c r="EK13" s="345"/>
      <c r="EL13" s="345"/>
      <c r="EM13" s="345"/>
      <c r="EN13" s="345"/>
      <c r="EO13" s="345"/>
      <c r="EP13" s="345"/>
      <c r="EQ13" s="345"/>
      <c r="ER13" s="345"/>
      <c r="ES13" s="345"/>
      <c r="ET13" s="345"/>
      <c r="EU13" s="345"/>
      <c r="EV13" s="345"/>
      <c r="EW13" s="345"/>
      <c r="EX13" s="345"/>
      <c r="EY13" s="345"/>
      <c r="EZ13" s="345"/>
      <c r="FA13" s="345"/>
      <c r="FB13" s="345"/>
      <c r="FC13" s="345"/>
      <c r="FD13" s="345"/>
    </row>
    <row r="14" spans="2:160" x14ac:dyDescent="0.45">
      <c r="D14" s="5"/>
      <c r="E14" s="33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331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331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331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331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331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</row>
    <row r="15" spans="2:160" x14ac:dyDescent="0.45">
      <c r="B15" s="1" t="s">
        <v>1237</v>
      </c>
      <c r="D15" s="345"/>
      <c r="E15" s="347"/>
      <c r="F15" s="345"/>
      <c r="G15" s="345"/>
      <c r="H15" s="345"/>
      <c r="I15" s="345"/>
      <c r="J15" s="345"/>
      <c r="K15" s="345"/>
      <c r="L15" s="346"/>
      <c r="M15" s="345"/>
      <c r="N15" s="345"/>
      <c r="O15" s="345"/>
      <c r="P15" s="345"/>
      <c r="Q15" s="345"/>
      <c r="R15" s="345"/>
      <c r="S15" s="345"/>
      <c r="T15" s="345"/>
      <c r="U15" s="345"/>
      <c r="V15" s="345"/>
      <c r="W15" s="345"/>
      <c r="X15" s="345"/>
      <c r="Y15" s="345"/>
      <c r="Z15" s="345"/>
      <c r="AA15" s="345"/>
      <c r="AB15" s="345"/>
      <c r="AC15" s="345"/>
      <c r="AD15" s="345"/>
      <c r="AE15" s="347"/>
      <c r="AF15" s="345"/>
      <c r="AG15" s="345"/>
      <c r="AH15" s="345"/>
      <c r="AI15" s="345"/>
      <c r="AJ15" s="345"/>
      <c r="AK15" s="345"/>
      <c r="AL15" s="346"/>
      <c r="AM15" s="345"/>
      <c r="AN15" s="345"/>
      <c r="AO15" s="345"/>
      <c r="AP15" s="345"/>
      <c r="AQ15" s="345"/>
      <c r="AR15" s="345"/>
      <c r="AS15" s="345"/>
      <c r="AT15" s="345"/>
      <c r="AU15" s="345"/>
      <c r="AV15" s="345"/>
      <c r="AW15" s="345"/>
      <c r="AX15" s="345"/>
      <c r="AY15" s="345"/>
      <c r="AZ15" s="345"/>
      <c r="BA15" s="345"/>
      <c r="BB15" s="345"/>
      <c r="BC15" s="345"/>
      <c r="BD15" s="345"/>
      <c r="BE15" s="347"/>
      <c r="BF15" s="345"/>
      <c r="BG15" s="345"/>
      <c r="BH15" s="345"/>
      <c r="BI15" s="345"/>
      <c r="BJ15" s="345"/>
      <c r="BK15" s="345"/>
      <c r="BL15" s="346"/>
      <c r="BM15" s="345"/>
      <c r="BN15" s="345"/>
      <c r="BO15" s="345"/>
      <c r="BP15" s="345"/>
      <c r="BQ15" s="345"/>
      <c r="BR15" s="345"/>
      <c r="BS15" s="345"/>
      <c r="BT15" s="345"/>
      <c r="BU15" s="345"/>
      <c r="BV15" s="345"/>
      <c r="BW15" s="345"/>
      <c r="BX15" s="345"/>
      <c r="BY15" s="345"/>
      <c r="BZ15" s="345"/>
      <c r="CA15" s="345"/>
      <c r="CB15" s="345"/>
      <c r="CC15" s="345"/>
      <c r="CD15" s="345"/>
      <c r="CE15" s="347"/>
      <c r="CF15" s="345"/>
      <c r="CG15" s="345"/>
      <c r="CH15" s="345"/>
      <c r="CI15" s="345"/>
      <c r="CJ15" s="345"/>
      <c r="CK15" s="345"/>
      <c r="CL15" s="346"/>
      <c r="CM15" s="345"/>
      <c r="CN15" s="345"/>
      <c r="CO15" s="345"/>
      <c r="CP15" s="345"/>
      <c r="CQ15" s="345"/>
      <c r="CR15" s="345"/>
      <c r="CS15" s="345"/>
      <c r="CT15" s="345"/>
      <c r="CU15" s="345"/>
      <c r="CV15" s="345"/>
      <c r="CW15" s="345"/>
      <c r="CX15" s="345"/>
      <c r="CY15" s="345"/>
      <c r="CZ15" s="345"/>
      <c r="DA15" s="345"/>
      <c r="DB15" s="345"/>
      <c r="DC15" s="345"/>
      <c r="DD15" s="345"/>
      <c r="DE15" s="347"/>
      <c r="DF15" s="345"/>
      <c r="DG15" s="345"/>
      <c r="DH15" s="345"/>
      <c r="DI15" s="345"/>
      <c r="DJ15" s="345"/>
      <c r="DK15" s="345"/>
      <c r="DL15" s="346"/>
      <c r="DM15" s="345"/>
      <c r="DN15" s="345"/>
      <c r="DO15" s="345"/>
      <c r="DP15" s="345"/>
      <c r="DQ15" s="345"/>
      <c r="DR15" s="345"/>
      <c r="DS15" s="345"/>
      <c r="DT15" s="345"/>
      <c r="DU15" s="345"/>
      <c r="DV15" s="345"/>
      <c r="DW15" s="345"/>
      <c r="DX15" s="345"/>
      <c r="DY15" s="345"/>
      <c r="DZ15" s="345"/>
      <c r="EA15" s="345"/>
      <c r="EB15" s="345"/>
      <c r="EC15" s="345"/>
      <c r="ED15" s="345"/>
      <c r="EE15" s="347"/>
      <c r="EF15" s="345"/>
      <c r="EG15" s="345"/>
      <c r="EH15" s="345"/>
      <c r="EI15" s="345"/>
      <c r="EJ15" s="345"/>
      <c r="EK15" s="345"/>
      <c r="EL15" s="346"/>
      <c r="EM15" s="345"/>
      <c r="EN15" s="345"/>
      <c r="EO15" s="345"/>
      <c r="EP15" s="345"/>
      <c r="EQ15" s="345"/>
      <c r="ER15" s="345"/>
      <c r="ES15" s="345"/>
      <c r="ET15" s="345"/>
      <c r="EU15" s="345"/>
      <c r="EV15" s="345"/>
      <c r="EW15" s="345"/>
      <c r="EX15" s="345"/>
      <c r="EY15" s="345"/>
      <c r="EZ15" s="345"/>
      <c r="FA15" s="345"/>
      <c r="FB15" s="345"/>
      <c r="FC15" s="345"/>
      <c r="FD15" s="345"/>
    </row>
    <row r="16" spans="2:160" x14ac:dyDescent="0.45">
      <c r="D16" s="5"/>
      <c r="E16" s="33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331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331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331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331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331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</row>
    <row r="17" spans="4:165" x14ac:dyDescent="0.45">
      <c r="D17" s="5"/>
      <c r="E17" s="33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331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331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331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331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331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</row>
    <row r="18" spans="4:165" x14ac:dyDescent="0.45">
      <c r="D18" s="5"/>
      <c r="E18" s="33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331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331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331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331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331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</row>
    <row r="19" spans="4:165" x14ac:dyDescent="0.45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</row>
    <row r="22" spans="4:165" x14ac:dyDescent="0.45">
      <c r="FE22" s="1" t="s">
        <v>1231</v>
      </c>
      <c r="FF22" s="1" t="s">
        <v>1232</v>
      </c>
      <c r="FG22" s="1" t="s">
        <v>1199</v>
      </c>
      <c r="FH22" s="1" t="s">
        <v>1230</v>
      </c>
      <c r="FI22" s="1" t="s">
        <v>1233</v>
      </c>
    </row>
    <row r="23" spans="4:165" x14ac:dyDescent="0.45">
      <c r="FE23" s="1">
        <v>4095</v>
      </c>
      <c r="FF23" s="1">
        <v>4095</v>
      </c>
      <c r="FG23" s="1">
        <f>FF23-FE23</f>
        <v>0</v>
      </c>
      <c r="FH23" s="1">
        <v>4095</v>
      </c>
      <c r="FI23">
        <f>FG23+FH23</f>
        <v>4095</v>
      </c>
    </row>
    <row r="24" spans="4:165" x14ac:dyDescent="0.45">
      <c r="FE24" s="1">
        <f>FF23</f>
        <v>4095</v>
      </c>
      <c r="FF24" s="1">
        <v>4095</v>
      </c>
      <c r="FG24" s="1">
        <f>FF24-FE24</f>
        <v>0</v>
      </c>
      <c r="FH24" s="1">
        <f>FI23</f>
        <v>4095</v>
      </c>
      <c r="FI24">
        <f t="shared" ref="FI24:FI25" si="0">FG24+FH24</f>
        <v>4095</v>
      </c>
    </row>
    <row r="25" spans="4:165" x14ac:dyDescent="0.45">
      <c r="FE25" s="1">
        <f t="shared" ref="FE25:FE26" si="1">FF24</f>
        <v>4095</v>
      </c>
      <c r="FF25">
        <v>4094</v>
      </c>
      <c r="FG25" s="1">
        <f t="shared" ref="FG25:FG26" si="2">FF25-FE25</f>
        <v>-1</v>
      </c>
      <c r="FH25" s="1">
        <f>FI24</f>
        <v>4095</v>
      </c>
      <c r="FI25">
        <f t="shared" si="0"/>
        <v>4094</v>
      </c>
    </row>
    <row r="26" spans="4:165" x14ac:dyDescent="0.45">
      <c r="FE26" s="1">
        <f t="shared" si="1"/>
        <v>4094</v>
      </c>
      <c r="FG26" s="1">
        <f t="shared" si="2"/>
        <v>-4094</v>
      </c>
      <c r="FH26" s="1">
        <v>4098</v>
      </c>
    </row>
    <row r="31" spans="4:165" x14ac:dyDescent="0.45">
      <c r="DB31" s="343"/>
      <c r="EB31" s="343"/>
      <c r="FB31" s="343"/>
    </row>
    <row r="33" spans="105:158" x14ac:dyDescent="0.45">
      <c r="DB33" s="344"/>
      <c r="EB33" s="344"/>
      <c r="FB33" s="344"/>
    </row>
    <row r="41" spans="105:158" x14ac:dyDescent="0.45">
      <c r="DA41" s="344"/>
      <c r="DI41" s="5"/>
      <c r="EA41" s="344"/>
      <c r="FA41" s="344"/>
    </row>
    <row r="54" spans="2:3" s="118" customFormat="1" x14ac:dyDescent="0.45">
      <c r="B54" s="223"/>
      <c r="C54" s="22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5194-FAD9-41CC-BCC5-8291B30C7BFC}">
  <dimension ref="B2:FI76"/>
  <sheetViews>
    <sheetView showGridLines="0" zoomScaleNormal="100" workbookViewId="0"/>
  </sheetViews>
  <sheetFormatPr defaultRowHeight="17" x14ac:dyDescent="0.45"/>
  <cols>
    <col min="2" max="2" width="15.33203125" style="1" bestFit="1" customWidth="1"/>
    <col min="3" max="3" width="1.58203125" style="1" customWidth="1"/>
    <col min="4" max="160" width="1.58203125" customWidth="1"/>
  </cols>
  <sheetData>
    <row r="2" spans="2:160" x14ac:dyDescent="0.45"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</row>
    <row r="3" spans="2:160" x14ac:dyDescent="0.45">
      <c r="B3" s="1" t="s">
        <v>13</v>
      </c>
      <c r="D3" s="345"/>
      <c r="E3" s="346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  <c r="Z3" s="345"/>
      <c r="AA3" s="345"/>
      <c r="AB3" s="345"/>
      <c r="AC3" s="345"/>
      <c r="AD3" s="345"/>
      <c r="AE3" s="346"/>
      <c r="AF3" s="345"/>
      <c r="AG3" s="345"/>
      <c r="AH3" s="345"/>
      <c r="AI3" s="345"/>
      <c r="AJ3" s="345"/>
      <c r="AK3" s="345"/>
      <c r="AL3" s="345"/>
      <c r="AM3" s="345"/>
      <c r="AN3" s="345"/>
      <c r="AO3" s="345"/>
      <c r="AP3" s="345"/>
      <c r="AQ3" s="345"/>
      <c r="AR3" s="345"/>
      <c r="AS3" s="345"/>
      <c r="AT3" s="345"/>
      <c r="AU3" s="345"/>
      <c r="AV3" s="345"/>
      <c r="AW3" s="345"/>
      <c r="AX3" s="345"/>
      <c r="AY3" s="345"/>
      <c r="AZ3" s="345"/>
      <c r="BA3" s="345"/>
      <c r="BB3" s="345"/>
      <c r="BC3" s="345"/>
      <c r="BD3" s="345"/>
      <c r="BE3" s="346"/>
      <c r="BF3" s="345"/>
      <c r="BG3" s="345"/>
      <c r="BH3" s="345"/>
      <c r="BI3" s="345"/>
      <c r="BJ3" s="345"/>
      <c r="BK3" s="345"/>
      <c r="BL3" s="345"/>
      <c r="BM3" s="345"/>
      <c r="BN3" s="345"/>
      <c r="BO3" s="345"/>
      <c r="BP3" s="345"/>
      <c r="BQ3" s="345"/>
      <c r="BR3" s="345"/>
      <c r="BS3" s="345"/>
      <c r="BT3" s="345"/>
      <c r="BU3" s="345"/>
      <c r="BV3" s="345"/>
      <c r="BW3" s="345"/>
      <c r="BX3" s="345"/>
      <c r="BY3" s="345"/>
      <c r="BZ3" s="345"/>
      <c r="CA3" s="345"/>
      <c r="CB3" s="345"/>
      <c r="CC3" s="345"/>
      <c r="CD3" s="345"/>
      <c r="CE3" s="346"/>
      <c r="CF3" s="345"/>
      <c r="CG3" s="345"/>
      <c r="CH3" s="345"/>
      <c r="CI3" s="345"/>
      <c r="CJ3" s="345"/>
      <c r="CK3" s="345"/>
      <c r="CL3" s="345"/>
      <c r="CM3" s="345"/>
      <c r="CN3" s="345"/>
      <c r="CO3" s="345"/>
      <c r="CP3" s="345"/>
      <c r="CQ3" s="345"/>
      <c r="CR3" s="345"/>
      <c r="CS3" s="345"/>
      <c r="CT3" s="345"/>
      <c r="CU3" s="345"/>
      <c r="CV3" s="345"/>
      <c r="CW3" s="345"/>
      <c r="CX3" s="345"/>
      <c r="CY3" s="345"/>
      <c r="CZ3" s="345"/>
      <c r="DA3" s="345"/>
      <c r="DB3" s="345"/>
      <c r="DC3" s="345"/>
      <c r="DD3" s="345"/>
      <c r="DE3" s="346"/>
      <c r="DF3" s="345"/>
      <c r="DG3" s="345"/>
      <c r="DH3" s="345"/>
      <c r="DI3" s="345"/>
      <c r="DJ3" s="345"/>
      <c r="DK3" s="345"/>
      <c r="DL3" s="345"/>
      <c r="DM3" s="345"/>
      <c r="DN3" s="345"/>
      <c r="DO3" s="345"/>
      <c r="DP3" s="345"/>
      <c r="DQ3" s="345"/>
      <c r="DR3" s="345"/>
      <c r="DS3" s="345"/>
      <c r="DT3" s="345"/>
      <c r="DU3" s="345"/>
      <c r="DV3" s="345"/>
      <c r="DW3" s="345"/>
      <c r="DX3" s="345"/>
      <c r="DY3" s="345"/>
      <c r="DZ3" s="345"/>
      <c r="EA3" s="345"/>
      <c r="EB3" s="345"/>
      <c r="EC3" s="345"/>
      <c r="ED3" s="345"/>
      <c r="EE3" s="346"/>
      <c r="EF3" s="345"/>
      <c r="EG3" s="345"/>
      <c r="EH3" s="345"/>
      <c r="EI3" s="345"/>
      <c r="EJ3" s="345"/>
      <c r="EK3" s="345"/>
      <c r="EL3" s="345"/>
      <c r="EM3" s="345"/>
      <c r="EN3" s="345"/>
      <c r="EO3" s="345"/>
      <c r="EP3" s="345"/>
      <c r="EQ3" s="345"/>
      <c r="ER3" s="345"/>
      <c r="ES3" s="345"/>
      <c r="ET3" s="345"/>
      <c r="EU3" s="345"/>
      <c r="EV3" s="345"/>
      <c r="EW3" s="345"/>
      <c r="EX3" s="345"/>
      <c r="EY3" s="345"/>
      <c r="EZ3" s="345"/>
      <c r="FA3" s="345"/>
      <c r="FB3" s="345"/>
      <c r="FC3" s="345"/>
      <c r="FD3" s="345"/>
    </row>
    <row r="4" spans="2:160" x14ac:dyDescent="0.45">
      <c r="B4" s="1" t="s">
        <v>1239</v>
      </c>
      <c r="D4" s="5"/>
      <c r="E4" s="33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331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331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331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331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331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</row>
    <row r="5" spans="2:160" x14ac:dyDescent="0.45">
      <c r="B5" s="1" t="s">
        <v>1238</v>
      </c>
      <c r="D5" s="345"/>
      <c r="E5" s="347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7"/>
      <c r="AF5" s="345"/>
      <c r="AG5" s="345"/>
      <c r="AH5" s="345"/>
      <c r="AI5" s="345"/>
      <c r="AJ5" s="345"/>
      <c r="AK5" s="345"/>
      <c r="AL5" s="345"/>
      <c r="AM5" s="345"/>
      <c r="AN5" s="345"/>
      <c r="AO5" s="345"/>
      <c r="AP5" s="345"/>
      <c r="AQ5" s="345"/>
      <c r="AR5" s="345"/>
      <c r="AS5" s="345"/>
      <c r="AT5" s="345"/>
      <c r="AU5" s="345"/>
      <c r="AV5" s="345"/>
      <c r="AW5" s="345"/>
      <c r="AX5" s="345"/>
      <c r="AY5" s="345"/>
      <c r="AZ5" s="345"/>
      <c r="BA5" s="345"/>
      <c r="BB5" s="345"/>
      <c r="BC5" s="345"/>
      <c r="BD5" s="345"/>
      <c r="BE5" s="347"/>
      <c r="BF5" s="345"/>
      <c r="BG5" s="345"/>
      <c r="BH5" s="345"/>
      <c r="BI5" s="345"/>
      <c r="BJ5" s="345"/>
      <c r="BK5" s="345"/>
      <c r="BL5" s="345"/>
      <c r="BM5" s="345"/>
      <c r="BN5" s="345"/>
      <c r="BO5" s="345"/>
      <c r="BP5" s="345"/>
      <c r="BQ5" s="345"/>
      <c r="BR5" s="345"/>
      <c r="BS5" s="345"/>
      <c r="BT5" s="345"/>
      <c r="BU5" s="345"/>
      <c r="BV5" s="345"/>
      <c r="BW5" s="345"/>
      <c r="BX5" s="345"/>
      <c r="BY5" s="345"/>
      <c r="BZ5" s="345"/>
      <c r="CA5" s="345"/>
      <c r="CB5" s="345"/>
      <c r="CC5" s="345"/>
      <c r="CD5" s="345"/>
      <c r="CE5" s="347"/>
      <c r="CF5" s="345"/>
      <c r="CG5" s="345"/>
      <c r="CH5" s="345"/>
      <c r="CI5" s="345"/>
      <c r="CJ5" s="345"/>
      <c r="CK5" s="345"/>
      <c r="CL5" s="345"/>
      <c r="CM5" s="345"/>
      <c r="CN5" s="345"/>
      <c r="CO5" s="345"/>
      <c r="CP5" s="345"/>
      <c r="CQ5" s="345"/>
      <c r="CR5" s="345"/>
      <c r="CS5" s="345"/>
      <c r="CT5" s="345"/>
      <c r="CU5" s="345"/>
      <c r="CV5" s="345"/>
      <c r="CW5" s="345"/>
      <c r="CX5" s="345"/>
      <c r="CY5" s="345"/>
      <c r="CZ5" s="345"/>
      <c r="DA5" s="345"/>
      <c r="DB5" s="345"/>
      <c r="DC5" s="345"/>
      <c r="DD5" s="345"/>
      <c r="DE5" s="347"/>
      <c r="DF5" s="345"/>
      <c r="DG5" s="345"/>
      <c r="DH5" s="345"/>
      <c r="DI5" s="345"/>
      <c r="DJ5" s="345"/>
      <c r="DK5" s="345"/>
      <c r="DL5" s="345"/>
      <c r="DM5" s="345"/>
      <c r="DN5" s="345"/>
      <c r="DO5" s="345"/>
      <c r="DP5" s="345"/>
      <c r="DQ5" s="345"/>
      <c r="DR5" s="345"/>
      <c r="DS5" s="345"/>
      <c r="DT5" s="345"/>
      <c r="DU5" s="345"/>
      <c r="DV5" s="345"/>
      <c r="DW5" s="345"/>
      <c r="DX5" s="345"/>
      <c r="DY5" s="345"/>
      <c r="DZ5" s="345"/>
      <c r="EA5" s="345"/>
      <c r="EB5" s="345"/>
      <c r="EC5" s="345"/>
      <c r="ED5" s="345"/>
      <c r="EE5" s="347"/>
      <c r="EF5" s="345"/>
      <c r="EG5" s="345"/>
      <c r="EH5" s="345"/>
      <c r="EI5" s="345"/>
      <c r="EJ5" s="345"/>
      <c r="EK5" s="345"/>
      <c r="EL5" s="345"/>
      <c r="EM5" s="345"/>
      <c r="EN5" s="345"/>
      <c r="EO5" s="345"/>
      <c r="EP5" s="345"/>
      <c r="EQ5" s="345"/>
      <c r="ER5" s="345"/>
      <c r="ES5" s="345"/>
      <c r="ET5" s="345"/>
      <c r="EU5" s="345"/>
      <c r="EV5" s="345"/>
      <c r="EW5" s="345"/>
      <c r="EX5" s="345"/>
      <c r="EY5" s="345"/>
      <c r="EZ5" s="345"/>
      <c r="FA5" s="345"/>
      <c r="FB5" s="345"/>
      <c r="FC5" s="345"/>
      <c r="FD5" s="345"/>
    </row>
    <row r="6" spans="2:160" x14ac:dyDescent="0.45">
      <c r="D6" s="5"/>
      <c r="E6" s="33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331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331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331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331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331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</row>
    <row r="7" spans="2:160" x14ac:dyDescent="0.45">
      <c r="B7" s="1" t="s">
        <v>1229</v>
      </c>
      <c r="D7" s="381"/>
      <c r="E7" s="382"/>
      <c r="F7" s="383"/>
      <c r="G7" s="384"/>
      <c r="H7" s="385"/>
      <c r="I7" s="381"/>
      <c r="J7" s="386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84"/>
      <c r="V7" s="381"/>
      <c r="W7" s="381"/>
      <c r="X7" s="381"/>
      <c r="Y7" s="381"/>
      <c r="Z7" s="381"/>
      <c r="AA7" s="381"/>
      <c r="AB7" s="381"/>
      <c r="AC7" s="383"/>
      <c r="AD7" s="345"/>
      <c r="AE7" s="347"/>
      <c r="AF7" s="345"/>
      <c r="AG7" s="345"/>
      <c r="AH7" s="384"/>
      <c r="AI7" s="381"/>
      <c r="AJ7" s="381"/>
      <c r="AK7" s="381"/>
      <c r="AL7" s="381"/>
      <c r="AM7" s="381"/>
      <c r="AN7" s="381"/>
      <c r="AO7" s="381"/>
      <c r="AP7" s="381"/>
      <c r="AQ7" s="381"/>
      <c r="AR7" s="381"/>
      <c r="AS7" s="383"/>
      <c r="AT7" s="384"/>
      <c r="AU7" s="381"/>
      <c r="AV7" s="381"/>
      <c r="AW7" s="381"/>
      <c r="AX7" s="381"/>
      <c r="AY7" s="381"/>
      <c r="AZ7" s="381"/>
      <c r="BA7" s="381"/>
      <c r="BB7" s="381"/>
      <c r="BC7" s="381"/>
      <c r="BD7" s="381"/>
      <c r="BE7" s="382"/>
      <c r="BF7" s="381"/>
      <c r="BG7" s="381"/>
      <c r="BH7" s="383"/>
      <c r="BI7" s="345"/>
      <c r="BJ7" s="345"/>
      <c r="BK7" s="345"/>
      <c r="BL7" s="345"/>
      <c r="BM7" s="345"/>
      <c r="BN7" s="345"/>
      <c r="BO7" s="345"/>
      <c r="BP7" s="345"/>
      <c r="BQ7" s="345"/>
      <c r="BR7" s="345"/>
      <c r="BS7" s="345"/>
      <c r="BT7" s="384"/>
      <c r="BU7" s="381"/>
      <c r="BV7" s="381"/>
      <c r="BW7" s="381"/>
      <c r="BX7" s="381"/>
      <c r="BY7" s="381"/>
      <c r="BZ7" s="381"/>
      <c r="CA7" s="381"/>
      <c r="CB7" s="381"/>
      <c r="CC7" s="381"/>
      <c r="CD7" s="381"/>
      <c r="CE7" s="382"/>
      <c r="CF7" s="381"/>
      <c r="CG7" s="381"/>
      <c r="CH7" s="381"/>
      <c r="CI7" s="381"/>
      <c r="CJ7" s="381"/>
      <c r="CK7" s="381"/>
      <c r="CL7" s="381"/>
      <c r="CM7" s="381"/>
      <c r="CN7" s="381"/>
      <c r="CO7" s="381"/>
      <c r="CP7" s="381"/>
      <c r="CQ7" s="381"/>
      <c r="CR7" s="381"/>
      <c r="CS7" s="381"/>
      <c r="CT7" s="381"/>
      <c r="CU7" s="381"/>
      <c r="CV7" s="381"/>
      <c r="CW7" s="381"/>
      <c r="CX7" s="381"/>
      <c r="CY7" s="381"/>
      <c r="CZ7" s="381"/>
      <c r="DA7" s="381"/>
      <c r="DB7" s="381"/>
      <c r="DC7" s="381"/>
      <c r="DD7" s="381"/>
      <c r="DE7" s="382"/>
      <c r="DF7" s="381"/>
      <c r="DG7" s="381"/>
      <c r="DH7" s="381"/>
      <c r="DI7" s="381"/>
      <c r="DJ7" s="381"/>
      <c r="DK7" s="381"/>
      <c r="DL7" s="381"/>
      <c r="DM7" s="381"/>
      <c r="DN7" s="381"/>
      <c r="DO7" s="381"/>
      <c r="DP7" s="381"/>
      <c r="DQ7" s="381"/>
      <c r="DR7" s="381"/>
      <c r="DS7" s="381"/>
      <c r="DT7" s="381"/>
      <c r="DU7" s="381"/>
      <c r="DV7" s="381"/>
      <c r="DW7" s="381"/>
      <c r="DX7" s="381"/>
      <c r="DY7" s="381"/>
      <c r="DZ7" s="381"/>
      <c r="EA7" s="381"/>
      <c r="EB7" s="381"/>
      <c r="EC7" s="381"/>
      <c r="ED7" s="381"/>
      <c r="EE7" s="382"/>
      <c r="EF7" s="381"/>
      <c r="EG7" s="381"/>
      <c r="EH7" s="381"/>
      <c r="EI7" s="381"/>
      <c r="EJ7" s="381"/>
      <c r="EK7" s="381"/>
      <c r="EL7" s="381"/>
      <c r="EM7" s="381"/>
      <c r="EN7" s="381"/>
      <c r="EO7" s="381"/>
      <c r="EP7" s="381"/>
      <c r="EQ7" s="381"/>
      <c r="ER7" s="381"/>
      <c r="ES7" s="381"/>
      <c r="ET7" s="381"/>
      <c r="EU7" s="381"/>
      <c r="EV7" s="381"/>
      <c r="EW7" s="381"/>
      <c r="EX7" s="381"/>
      <c r="EY7" s="381"/>
      <c r="EZ7" s="381"/>
      <c r="FA7" s="381"/>
      <c r="FB7" s="381"/>
      <c r="FC7" s="381"/>
      <c r="FD7" s="381"/>
    </row>
    <row r="8" spans="2:160" x14ac:dyDescent="0.45">
      <c r="D8" s="5"/>
      <c r="E8" s="33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331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331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331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331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331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</row>
    <row r="9" spans="2:160" x14ac:dyDescent="0.45">
      <c r="B9" s="1" t="s">
        <v>1234</v>
      </c>
      <c r="D9" s="345"/>
      <c r="E9" s="346"/>
      <c r="F9" s="345"/>
      <c r="G9" s="345"/>
      <c r="H9" s="345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5"/>
      <c r="X9" s="345"/>
      <c r="Y9" s="345"/>
      <c r="Z9" s="345"/>
      <c r="AA9" s="345"/>
      <c r="AB9" s="345"/>
      <c r="AC9" s="345"/>
      <c r="AD9" s="345"/>
      <c r="AE9" s="346"/>
      <c r="AF9" s="345"/>
      <c r="AG9" s="345"/>
      <c r="AH9" s="345"/>
      <c r="AI9" s="345"/>
      <c r="AJ9" s="345"/>
      <c r="AK9" s="345"/>
      <c r="AL9" s="345"/>
      <c r="AM9" s="345"/>
      <c r="AN9" s="345"/>
      <c r="AO9" s="345"/>
      <c r="AP9" s="345"/>
      <c r="AQ9" s="345"/>
      <c r="AR9" s="345"/>
      <c r="AS9" s="345"/>
      <c r="AT9" s="345"/>
      <c r="AU9" s="345"/>
      <c r="AV9" s="345"/>
      <c r="AW9" s="345"/>
      <c r="AX9" s="345"/>
      <c r="AY9" s="345"/>
      <c r="AZ9" s="345"/>
      <c r="BA9" s="345"/>
      <c r="BB9" s="345"/>
      <c r="BC9" s="345"/>
      <c r="BD9" s="345"/>
      <c r="BE9" s="346"/>
      <c r="BF9" s="345"/>
      <c r="BG9" s="345"/>
      <c r="BH9" s="345"/>
      <c r="BI9" s="345"/>
      <c r="BJ9" s="345"/>
      <c r="BK9" s="345"/>
      <c r="BL9" s="345"/>
      <c r="BM9" s="345"/>
      <c r="BN9" s="345"/>
      <c r="BO9" s="345"/>
      <c r="BP9" s="345"/>
      <c r="BQ9" s="345"/>
      <c r="BR9" s="345"/>
      <c r="BS9" s="345"/>
      <c r="BT9" s="345"/>
      <c r="BU9" s="345"/>
      <c r="BV9" s="345"/>
      <c r="BW9" s="345"/>
      <c r="BX9" s="345"/>
      <c r="BY9" s="345"/>
      <c r="BZ9" s="345"/>
      <c r="CA9" s="345"/>
      <c r="CB9" s="345"/>
      <c r="CC9" s="345"/>
      <c r="CD9" s="345"/>
      <c r="CE9" s="346"/>
      <c r="CF9" s="345"/>
      <c r="CG9" s="345"/>
      <c r="CH9" s="345"/>
      <c r="CI9" s="345"/>
      <c r="CJ9" s="345"/>
      <c r="CK9" s="345"/>
      <c r="CL9" s="345"/>
      <c r="CM9" s="345"/>
      <c r="CN9" s="345"/>
      <c r="CO9" s="345"/>
      <c r="CP9" s="345"/>
      <c r="CQ9" s="345"/>
      <c r="CR9" s="345"/>
      <c r="CS9" s="345"/>
      <c r="CT9" s="345"/>
      <c r="CU9" s="345"/>
      <c r="CV9" s="345"/>
      <c r="CW9" s="345"/>
      <c r="CX9" s="345"/>
      <c r="CY9" s="345"/>
      <c r="CZ9" s="345"/>
      <c r="DA9" s="345"/>
      <c r="DB9" s="345"/>
      <c r="DC9" s="345"/>
      <c r="DD9" s="345"/>
      <c r="DE9" s="346"/>
      <c r="DF9" s="345"/>
      <c r="DG9" s="345"/>
      <c r="DH9" s="345"/>
      <c r="DI9" s="345"/>
      <c r="DJ9" s="345"/>
      <c r="DK9" s="345"/>
      <c r="DL9" s="345"/>
      <c r="DM9" s="345"/>
      <c r="DN9" s="345"/>
      <c r="DO9" s="345"/>
      <c r="DP9" s="345"/>
      <c r="DQ9" s="345"/>
      <c r="DR9" s="345"/>
      <c r="DS9" s="345"/>
      <c r="DT9" s="345"/>
      <c r="DU9" s="345"/>
      <c r="DV9" s="345"/>
      <c r="DW9" s="345"/>
      <c r="DX9" s="345"/>
      <c r="DY9" s="345"/>
      <c r="DZ9" s="345"/>
      <c r="EA9" s="345"/>
      <c r="EB9" s="345"/>
      <c r="EC9" s="345"/>
      <c r="ED9" s="345"/>
      <c r="EE9" s="346"/>
      <c r="EF9" s="345"/>
      <c r="EG9" s="345"/>
      <c r="EH9" s="345"/>
      <c r="EI9" s="345"/>
      <c r="EJ9" s="345"/>
      <c r="EK9" s="345"/>
      <c r="EL9" s="345"/>
      <c r="EM9" s="345"/>
      <c r="EN9" s="345"/>
      <c r="EO9" s="345"/>
      <c r="EP9" s="345"/>
      <c r="EQ9" s="345"/>
      <c r="ER9" s="345"/>
      <c r="ES9" s="345"/>
      <c r="ET9" s="345"/>
      <c r="EU9" s="345"/>
      <c r="EV9" s="345"/>
      <c r="EW9" s="345"/>
      <c r="EX9" s="345"/>
      <c r="EY9" s="345"/>
      <c r="EZ9" s="345"/>
      <c r="FA9" s="345"/>
      <c r="FB9" s="345"/>
      <c r="FC9" s="345"/>
      <c r="FD9" s="345"/>
    </row>
    <row r="10" spans="2:160" x14ac:dyDescent="0.45">
      <c r="D10" s="5"/>
      <c r="E10" s="331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31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331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331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331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331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</row>
    <row r="11" spans="2:160" x14ac:dyDescent="0.45">
      <c r="B11" s="1" t="s">
        <v>1235</v>
      </c>
      <c r="D11" s="345"/>
      <c r="E11" s="347"/>
      <c r="F11" s="346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7"/>
      <c r="AF11" s="346"/>
      <c r="AG11" s="345"/>
      <c r="AH11" s="345"/>
      <c r="AI11" s="345"/>
      <c r="AJ11" s="345"/>
      <c r="AK11" s="345"/>
      <c r="AL11" s="345"/>
      <c r="AM11" s="345"/>
      <c r="AN11" s="345"/>
      <c r="AO11" s="345"/>
      <c r="AP11" s="345"/>
      <c r="AQ11" s="345"/>
      <c r="AR11" s="345"/>
      <c r="AS11" s="345"/>
      <c r="AT11" s="345"/>
      <c r="AU11" s="345"/>
      <c r="AV11" s="345"/>
      <c r="AW11" s="345"/>
      <c r="AX11" s="345"/>
      <c r="AY11" s="345"/>
      <c r="AZ11" s="345"/>
      <c r="BA11" s="345"/>
      <c r="BB11" s="345"/>
      <c r="BC11" s="345"/>
      <c r="BD11" s="345"/>
      <c r="BE11" s="347"/>
      <c r="BF11" s="346"/>
      <c r="BG11" s="345"/>
      <c r="BH11" s="345"/>
      <c r="BI11" s="345"/>
      <c r="BJ11" s="345"/>
      <c r="BK11" s="345"/>
      <c r="BL11" s="345"/>
      <c r="BM11" s="345"/>
      <c r="BN11" s="345"/>
      <c r="BO11" s="345"/>
      <c r="BP11" s="345"/>
      <c r="BQ11" s="345"/>
      <c r="BR11" s="345"/>
      <c r="BS11" s="345"/>
      <c r="BT11" s="345"/>
      <c r="BU11" s="345"/>
      <c r="BV11" s="345"/>
      <c r="BW11" s="345"/>
      <c r="BX11" s="345"/>
      <c r="BY11" s="345"/>
      <c r="BZ11" s="345"/>
      <c r="CA11" s="345"/>
      <c r="CB11" s="345"/>
      <c r="CC11" s="345"/>
      <c r="CD11" s="345"/>
      <c r="CE11" s="347"/>
      <c r="CF11" s="346"/>
      <c r="CG11" s="345"/>
      <c r="CH11" s="345"/>
      <c r="CI11" s="345"/>
      <c r="CJ11" s="345"/>
      <c r="CK11" s="345"/>
      <c r="CL11" s="345"/>
      <c r="CM11" s="345"/>
      <c r="CN11" s="345"/>
      <c r="CO11" s="345"/>
      <c r="CP11" s="345"/>
      <c r="CQ11" s="345"/>
      <c r="CR11" s="345"/>
      <c r="CS11" s="345"/>
      <c r="CT11" s="345"/>
      <c r="CU11" s="345"/>
      <c r="CV11" s="345"/>
      <c r="CW11" s="345"/>
      <c r="CX11" s="345"/>
      <c r="CY11" s="345"/>
      <c r="CZ11" s="345"/>
      <c r="DA11" s="345"/>
      <c r="DB11" s="345"/>
      <c r="DC11" s="345"/>
      <c r="DD11" s="345"/>
      <c r="DE11" s="347"/>
      <c r="DF11" s="346"/>
      <c r="DG11" s="345"/>
      <c r="DH11" s="345"/>
      <c r="DI11" s="345"/>
      <c r="DJ11" s="345"/>
      <c r="DK11" s="345"/>
      <c r="DL11" s="345"/>
      <c r="DM11" s="345"/>
      <c r="DN11" s="345"/>
      <c r="DO11" s="345"/>
      <c r="DP11" s="345"/>
      <c r="DQ11" s="345"/>
      <c r="DR11" s="345"/>
      <c r="DS11" s="345"/>
      <c r="DT11" s="345"/>
      <c r="DU11" s="345"/>
      <c r="DV11" s="345"/>
      <c r="DW11" s="345"/>
      <c r="DX11" s="345"/>
      <c r="DY11" s="345"/>
      <c r="DZ11" s="345"/>
      <c r="EA11" s="345"/>
      <c r="EB11" s="345"/>
      <c r="EC11" s="345"/>
      <c r="ED11" s="345"/>
      <c r="EE11" s="347"/>
      <c r="EF11" s="346"/>
      <c r="EG11" s="345"/>
      <c r="EH11" s="345"/>
      <c r="EI11" s="345"/>
      <c r="EJ11" s="345"/>
      <c r="EK11" s="345"/>
      <c r="EL11" s="345"/>
      <c r="EM11" s="345"/>
      <c r="EN11" s="345"/>
      <c r="EO11" s="345"/>
      <c r="EP11" s="345"/>
      <c r="EQ11" s="345"/>
      <c r="ER11" s="345"/>
      <c r="ES11" s="345"/>
      <c r="ET11" s="345"/>
      <c r="EU11" s="345"/>
      <c r="EV11" s="345"/>
      <c r="EW11" s="345"/>
      <c r="EX11" s="345"/>
      <c r="EY11" s="345"/>
      <c r="EZ11" s="345"/>
      <c r="FA11" s="345"/>
      <c r="FB11" s="345"/>
      <c r="FC11" s="345"/>
      <c r="FD11" s="345"/>
    </row>
    <row r="12" spans="2:160" x14ac:dyDescent="0.45">
      <c r="D12" s="381"/>
      <c r="E12" s="382"/>
      <c r="F12" s="381"/>
      <c r="G12" s="381"/>
      <c r="H12" s="381"/>
      <c r="I12" s="381"/>
      <c r="J12" s="381"/>
      <c r="K12" s="381"/>
      <c r="L12" s="381"/>
      <c r="M12" s="381"/>
      <c r="N12" s="381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1"/>
      <c r="Z12" s="381"/>
      <c r="AA12" s="381"/>
      <c r="AB12" s="381"/>
      <c r="AC12" s="381"/>
      <c r="AD12" s="381"/>
      <c r="AE12" s="382"/>
      <c r="AF12" s="381"/>
      <c r="AG12" s="381"/>
      <c r="AH12" s="381"/>
      <c r="AI12" s="381"/>
      <c r="AJ12" s="381"/>
      <c r="AK12" s="381"/>
      <c r="AL12" s="381"/>
      <c r="AM12" s="381"/>
      <c r="AN12" s="381"/>
      <c r="AO12" s="381"/>
      <c r="AP12" s="381"/>
      <c r="AQ12" s="381"/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81"/>
      <c r="BD12" s="381"/>
      <c r="BE12" s="382"/>
      <c r="BF12" s="381"/>
      <c r="BG12" s="381"/>
      <c r="BH12" s="381"/>
      <c r="BI12" s="381"/>
      <c r="BJ12" s="381"/>
      <c r="BK12" s="381"/>
      <c r="BL12" s="381"/>
      <c r="BM12" s="381"/>
      <c r="BN12" s="381"/>
      <c r="BO12" s="381"/>
      <c r="BP12" s="381"/>
      <c r="BQ12" s="381"/>
      <c r="BR12" s="381"/>
      <c r="BS12" s="381"/>
      <c r="BT12" s="381"/>
      <c r="BU12" s="381"/>
      <c r="BV12" s="381"/>
      <c r="BW12" s="381"/>
      <c r="BX12" s="381"/>
      <c r="BY12" s="381"/>
      <c r="BZ12" s="381"/>
      <c r="CA12" s="381"/>
      <c r="CB12" s="381"/>
      <c r="CC12" s="381"/>
      <c r="CD12" s="381"/>
      <c r="CE12" s="382"/>
      <c r="CF12" s="381"/>
      <c r="CG12" s="381"/>
      <c r="CH12" s="381"/>
      <c r="CI12" s="381"/>
      <c r="CJ12" s="381"/>
      <c r="CK12" s="381"/>
      <c r="CL12" s="381"/>
      <c r="CM12" s="381"/>
      <c r="CN12" s="381"/>
      <c r="CO12" s="381"/>
      <c r="CP12" s="381"/>
      <c r="CQ12" s="381"/>
      <c r="CR12" s="381"/>
      <c r="CS12" s="381"/>
      <c r="CT12" s="381"/>
      <c r="CU12" s="381"/>
      <c r="CV12" s="381"/>
      <c r="CW12" s="381"/>
      <c r="CX12" s="381"/>
      <c r="CY12" s="381"/>
      <c r="CZ12" s="381"/>
      <c r="DA12" s="381"/>
      <c r="DB12" s="381"/>
      <c r="DC12" s="381"/>
      <c r="DD12" s="381"/>
      <c r="DE12" s="382"/>
      <c r="DF12" s="381"/>
      <c r="DG12" s="381"/>
      <c r="DH12" s="381"/>
      <c r="DI12" s="381"/>
      <c r="DJ12" s="381"/>
      <c r="DK12" s="381"/>
      <c r="DL12" s="381"/>
      <c r="DM12" s="381"/>
      <c r="DN12" s="381"/>
      <c r="DO12" s="381"/>
      <c r="DP12" s="381"/>
      <c r="DQ12" s="381"/>
      <c r="DR12" s="381"/>
      <c r="DS12" s="381"/>
      <c r="DT12" s="381"/>
      <c r="DU12" s="381"/>
      <c r="DV12" s="381"/>
      <c r="DW12" s="381"/>
      <c r="DX12" s="381"/>
      <c r="DY12" s="381"/>
      <c r="DZ12" s="381"/>
      <c r="EA12" s="381"/>
      <c r="EB12" s="381"/>
      <c r="EC12" s="381"/>
      <c r="ED12" s="381"/>
      <c r="EE12" s="382"/>
      <c r="EF12" s="381"/>
      <c r="EG12" s="381"/>
      <c r="EH12" s="381"/>
      <c r="EI12" s="381"/>
      <c r="EJ12" s="381"/>
      <c r="EK12" s="381"/>
      <c r="EL12" s="381"/>
      <c r="EM12" s="381"/>
      <c r="EN12" s="381"/>
      <c r="EO12" s="381"/>
      <c r="EP12" s="381"/>
      <c r="EQ12" s="381"/>
      <c r="ER12" s="381"/>
      <c r="ES12" s="381"/>
      <c r="ET12" s="381"/>
      <c r="EU12" s="381"/>
      <c r="EV12" s="381"/>
      <c r="EW12" s="381"/>
      <c r="EX12" s="381"/>
      <c r="EY12" s="381"/>
      <c r="EZ12" s="381"/>
      <c r="FA12" s="381"/>
      <c r="FB12" s="381"/>
      <c r="FC12" s="381"/>
      <c r="FD12" s="381"/>
    </row>
    <row r="13" spans="2:160" x14ac:dyDescent="0.45">
      <c r="B13" s="1" t="s">
        <v>1236</v>
      </c>
      <c r="D13" s="345"/>
      <c r="E13" s="347"/>
      <c r="F13" s="345"/>
      <c r="G13" s="346"/>
      <c r="H13" s="345"/>
      <c r="I13" s="345"/>
      <c r="J13" s="345"/>
      <c r="K13" s="345"/>
      <c r="L13" s="345"/>
      <c r="M13" s="345"/>
      <c r="N13" s="345"/>
      <c r="O13" s="345"/>
      <c r="P13" s="345"/>
      <c r="Q13" s="345"/>
      <c r="R13" s="345"/>
      <c r="S13" s="345"/>
      <c r="T13" s="345"/>
      <c r="U13" s="345"/>
      <c r="V13" s="345"/>
      <c r="W13" s="345"/>
      <c r="X13" s="345"/>
      <c r="Y13" s="345"/>
      <c r="Z13" s="345"/>
      <c r="AA13" s="345"/>
      <c r="AB13" s="345"/>
      <c r="AC13" s="345"/>
      <c r="AD13" s="345"/>
      <c r="AE13" s="347"/>
      <c r="AF13" s="345"/>
      <c r="AG13" s="346"/>
      <c r="AH13" s="345"/>
      <c r="AI13" s="345"/>
      <c r="AJ13" s="345"/>
      <c r="AK13" s="345"/>
      <c r="AL13" s="345"/>
      <c r="AM13" s="345"/>
      <c r="AN13" s="345"/>
      <c r="AO13" s="345"/>
      <c r="AP13" s="345"/>
      <c r="AQ13" s="345"/>
      <c r="AR13" s="345"/>
      <c r="AS13" s="345"/>
      <c r="AT13" s="345"/>
      <c r="AU13" s="345"/>
      <c r="AV13" s="345"/>
      <c r="AW13" s="345"/>
      <c r="AX13" s="345"/>
      <c r="AY13" s="345"/>
      <c r="AZ13" s="345"/>
      <c r="BA13" s="345"/>
      <c r="BB13" s="345"/>
      <c r="BC13" s="345"/>
      <c r="BD13" s="345"/>
      <c r="BE13" s="347"/>
      <c r="BF13" s="345"/>
      <c r="BG13" s="346"/>
      <c r="BH13" s="345"/>
      <c r="BI13" s="345"/>
      <c r="BJ13" s="345"/>
      <c r="BK13" s="345"/>
      <c r="BL13" s="345"/>
      <c r="BM13" s="345"/>
      <c r="BN13" s="345"/>
      <c r="BO13" s="345"/>
      <c r="BP13" s="345"/>
      <c r="BQ13" s="345"/>
      <c r="BR13" s="345"/>
      <c r="BS13" s="345"/>
      <c r="BT13" s="345"/>
      <c r="BU13" s="345"/>
      <c r="BV13" s="345"/>
      <c r="BW13" s="345"/>
      <c r="BX13" s="345"/>
      <c r="BY13" s="345"/>
      <c r="BZ13" s="345"/>
      <c r="CA13" s="345"/>
      <c r="CB13" s="345"/>
      <c r="CC13" s="345"/>
      <c r="CD13" s="345"/>
      <c r="CE13" s="347"/>
      <c r="CF13" s="345"/>
      <c r="CG13" s="346"/>
      <c r="CH13" s="345"/>
      <c r="CI13" s="345"/>
      <c r="CJ13" s="345"/>
      <c r="CK13" s="345"/>
      <c r="CL13" s="345"/>
      <c r="CM13" s="345"/>
      <c r="CN13" s="345"/>
      <c r="CO13" s="345"/>
      <c r="CP13" s="345"/>
      <c r="CQ13" s="345"/>
      <c r="CR13" s="345"/>
      <c r="CS13" s="345"/>
      <c r="CT13" s="345"/>
      <c r="CU13" s="345"/>
      <c r="CV13" s="345"/>
      <c r="CW13" s="345"/>
      <c r="CX13" s="345"/>
      <c r="CY13" s="345"/>
      <c r="CZ13" s="345"/>
      <c r="DA13" s="345"/>
      <c r="DB13" s="345"/>
      <c r="DC13" s="345"/>
      <c r="DD13" s="345"/>
      <c r="DE13" s="347"/>
      <c r="DF13" s="345"/>
      <c r="DG13" s="346"/>
      <c r="DH13" s="345"/>
      <c r="DI13" s="345"/>
      <c r="DJ13" s="345"/>
      <c r="DK13" s="345"/>
      <c r="DL13" s="345"/>
      <c r="DM13" s="345"/>
      <c r="DN13" s="345"/>
      <c r="DO13" s="345"/>
      <c r="DP13" s="345"/>
      <c r="DQ13" s="345"/>
      <c r="DR13" s="345"/>
      <c r="DS13" s="345"/>
      <c r="DT13" s="345"/>
      <c r="DU13" s="345"/>
      <c r="DV13" s="345"/>
      <c r="DW13" s="345"/>
      <c r="DX13" s="345"/>
      <c r="DY13" s="345"/>
      <c r="DZ13" s="345"/>
      <c r="EA13" s="345"/>
      <c r="EB13" s="345"/>
      <c r="EC13" s="345"/>
      <c r="ED13" s="345"/>
      <c r="EE13" s="347"/>
      <c r="EF13" s="345"/>
      <c r="EG13" s="346"/>
      <c r="EH13" s="345"/>
      <c r="EI13" s="345"/>
      <c r="EJ13" s="345"/>
      <c r="EK13" s="345"/>
      <c r="EL13" s="345"/>
      <c r="EM13" s="345"/>
      <c r="EN13" s="345"/>
      <c r="EO13" s="345"/>
      <c r="EP13" s="345"/>
      <c r="EQ13" s="345"/>
      <c r="ER13" s="345"/>
      <c r="ES13" s="345"/>
      <c r="ET13" s="345"/>
      <c r="EU13" s="345"/>
      <c r="EV13" s="345"/>
      <c r="EW13" s="345"/>
      <c r="EX13" s="345"/>
      <c r="EY13" s="345"/>
      <c r="EZ13" s="345"/>
      <c r="FA13" s="345"/>
      <c r="FB13" s="345"/>
      <c r="FC13" s="345"/>
      <c r="FD13" s="345"/>
    </row>
    <row r="14" spans="2:160" x14ac:dyDescent="0.45">
      <c r="D14" s="5"/>
      <c r="E14" s="33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331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331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331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331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331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</row>
    <row r="15" spans="2:160" x14ac:dyDescent="0.45">
      <c r="B15" s="1" t="s">
        <v>1237</v>
      </c>
      <c r="D15" s="345"/>
      <c r="E15" s="347"/>
      <c r="F15" s="345"/>
      <c r="G15" s="345"/>
      <c r="H15" s="345"/>
      <c r="I15" s="345"/>
      <c r="J15" s="345"/>
      <c r="K15" s="345"/>
      <c r="L15" s="346"/>
      <c r="M15" s="345"/>
      <c r="N15" s="345"/>
      <c r="O15" s="345"/>
      <c r="P15" s="345"/>
      <c r="Q15" s="345"/>
      <c r="R15" s="345"/>
      <c r="S15" s="345"/>
      <c r="T15" s="345"/>
      <c r="U15" s="345"/>
      <c r="V15" s="345"/>
      <c r="W15" s="345"/>
      <c r="X15" s="345"/>
      <c r="Y15" s="345"/>
      <c r="Z15" s="345"/>
      <c r="AA15" s="345"/>
      <c r="AB15" s="345"/>
      <c r="AC15" s="345"/>
      <c r="AD15" s="345"/>
      <c r="AE15" s="347"/>
      <c r="AF15" s="345"/>
      <c r="AG15" s="345"/>
      <c r="AH15" s="345"/>
      <c r="AI15" s="345"/>
      <c r="AJ15" s="345"/>
      <c r="AK15" s="345"/>
      <c r="AL15" s="346"/>
      <c r="AM15" s="345"/>
      <c r="AN15" s="345"/>
      <c r="AO15" s="345"/>
      <c r="AP15" s="345"/>
      <c r="AQ15" s="345"/>
      <c r="AR15" s="345"/>
      <c r="AS15" s="345"/>
      <c r="AT15" s="345"/>
      <c r="AU15" s="345"/>
      <c r="AV15" s="345"/>
      <c r="AW15" s="345"/>
      <c r="AX15" s="345"/>
      <c r="AY15" s="345"/>
      <c r="AZ15" s="345"/>
      <c r="BA15" s="345"/>
      <c r="BB15" s="345"/>
      <c r="BC15" s="345"/>
      <c r="BD15" s="345"/>
      <c r="BE15" s="347"/>
      <c r="BF15" s="345"/>
      <c r="BG15" s="345"/>
      <c r="BH15" s="345"/>
      <c r="BI15" s="345"/>
      <c r="BJ15" s="345"/>
      <c r="BK15" s="345"/>
      <c r="BL15" s="346"/>
      <c r="BM15" s="345"/>
      <c r="BN15" s="345"/>
      <c r="BO15" s="345"/>
      <c r="BP15" s="345"/>
      <c r="BQ15" s="345"/>
      <c r="BR15" s="345"/>
      <c r="BS15" s="345"/>
      <c r="BT15" s="345"/>
      <c r="BU15" s="345"/>
      <c r="BV15" s="345"/>
      <c r="BW15" s="345"/>
      <c r="BX15" s="345"/>
      <c r="BY15" s="345"/>
      <c r="BZ15" s="345"/>
      <c r="CA15" s="345"/>
      <c r="CB15" s="345"/>
      <c r="CC15" s="345"/>
      <c r="CD15" s="345"/>
      <c r="CE15" s="347"/>
      <c r="CF15" s="345"/>
      <c r="CG15" s="345"/>
      <c r="CH15" s="345"/>
      <c r="CI15" s="345"/>
      <c r="CJ15" s="345"/>
      <c r="CK15" s="345"/>
      <c r="CL15" s="346"/>
      <c r="CM15" s="345"/>
      <c r="CN15" s="345"/>
      <c r="CO15" s="345"/>
      <c r="CP15" s="345"/>
      <c r="CQ15" s="345"/>
      <c r="CR15" s="345"/>
      <c r="CS15" s="345"/>
      <c r="CT15" s="345"/>
      <c r="CU15" s="345"/>
      <c r="CV15" s="345"/>
      <c r="CW15" s="345"/>
      <c r="CX15" s="345"/>
      <c r="CY15" s="345"/>
      <c r="CZ15" s="345"/>
      <c r="DA15" s="345"/>
      <c r="DB15" s="345"/>
      <c r="DC15" s="345"/>
      <c r="DD15" s="345"/>
      <c r="DE15" s="347"/>
      <c r="DF15" s="345"/>
      <c r="DG15" s="345"/>
      <c r="DH15" s="345"/>
      <c r="DI15" s="345"/>
      <c r="DJ15" s="345"/>
      <c r="DK15" s="345"/>
      <c r="DL15" s="346"/>
      <c r="DM15" s="345"/>
      <c r="DN15" s="345"/>
      <c r="DO15" s="345"/>
      <c r="DP15" s="345"/>
      <c r="DQ15" s="345"/>
      <c r="DR15" s="345"/>
      <c r="DS15" s="345"/>
      <c r="DT15" s="345"/>
      <c r="DU15" s="345"/>
      <c r="DV15" s="345"/>
      <c r="DW15" s="345"/>
      <c r="DX15" s="345"/>
      <c r="DY15" s="345"/>
      <c r="DZ15" s="345"/>
      <c r="EA15" s="345"/>
      <c r="EB15" s="345"/>
      <c r="EC15" s="345"/>
      <c r="ED15" s="345"/>
      <c r="EE15" s="347"/>
      <c r="EF15" s="345"/>
      <c r="EG15" s="345"/>
      <c r="EH15" s="345"/>
      <c r="EI15" s="345"/>
      <c r="EJ15" s="345"/>
      <c r="EK15" s="345"/>
      <c r="EL15" s="346"/>
      <c r="EM15" s="345"/>
      <c r="EN15" s="345"/>
      <c r="EO15" s="345"/>
      <c r="EP15" s="345"/>
      <c r="EQ15" s="345"/>
      <c r="ER15" s="345"/>
      <c r="ES15" s="345"/>
      <c r="ET15" s="345"/>
      <c r="EU15" s="345"/>
      <c r="EV15" s="345"/>
      <c r="EW15" s="345"/>
      <c r="EX15" s="345"/>
      <c r="EY15" s="345"/>
      <c r="EZ15" s="345"/>
      <c r="FA15" s="345"/>
      <c r="FB15" s="345"/>
      <c r="FC15" s="345"/>
      <c r="FD15" s="345"/>
    </row>
    <row r="16" spans="2:160" x14ac:dyDescent="0.45">
      <c r="D16" s="5"/>
      <c r="E16" s="33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331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331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331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331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331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</row>
    <row r="17" spans="4:165" x14ac:dyDescent="0.45">
      <c r="D17" s="5"/>
      <c r="E17" s="33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331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331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331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331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331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</row>
    <row r="18" spans="4:165" x14ac:dyDescent="0.45">
      <c r="D18" s="5"/>
      <c r="E18" s="33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331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331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331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331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331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</row>
    <row r="19" spans="4:165" x14ac:dyDescent="0.45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</row>
    <row r="22" spans="4:165" x14ac:dyDescent="0.45">
      <c r="FE22" s="1" t="s">
        <v>1231</v>
      </c>
      <c r="FF22" s="1" t="s">
        <v>1232</v>
      </c>
      <c r="FG22" s="1" t="s">
        <v>1199</v>
      </c>
      <c r="FH22" s="1" t="s">
        <v>1230</v>
      </c>
      <c r="FI22" s="1" t="s">
        <v>1233</v>
      </c>
    </row>
    <row r="23" spans="4:165" x14ac:dyDescent="0.45">
      <c r="FE23" s="1">
        <v>4095</v>
      </c>
      <c r="FF23" s="1">
        <v>4095</v>
      </c>
      <c r="FG23" s="1">
        <f>FF23-FE23</f>
        <v>0</v>
      </c>
      <c r="FH23" s="1">
        <v>4095</v>
      </c>
      <c r="FI23">
        <f>FG23+FH23</f>
        <v>4095</v>
      </c>
    </row>
    <row r="24" spans="4:165" x14ac:dyDescent="0.45">
      <c r="FE24" s="1">
        <f>FF23</f>
        <v>4095</v>
      </c>
      <c r="FF24" s="1">
        <v>4095</v>
      </c>
      <c r="FG24" s="1">
        <f>FF24-FE24</f>
        <v>0</v>
      </c>
      <c r="FH24" s="1">
        <f>FI23</f>
        <v>4095</v>
      </c>
      <c r="FI24">
        <f t="shared" ref="FI24:FI25" si="0">FG24+FH24</f>
        <v>4095</v>
      </c>
    </row>
    <row r="25" spans="4:165" x14ac:dyDescent="0.45">
      <c r="FE25" s="1">
        <f t="shared" ref="FE25:FE26" si="1">FF24</f>
        <v>4095</v>
      </c>
      <c r="FF25">
        <v>4094</v>
      </c>
      <c r="FG25" s="1">
        <f t="shared" ref="FG25:FG26" si="2">FF25-FE25</f>
        <v>-1</v>
      </c>
      <c r="FH25" s="1">
        <f>FI24</f>
        <v>4095</v>
      </c>
      <c r="FI25">
        <f t="shared" si="0"/>
        <v>4094</v>
      </c>
    </row>
    <row r="26" spans="4:165" x14ac:dyDescent="0.45">
      <c r="FE26" s="1">
        <f t="shared" si="1"/>
        <v>4094</v>
      </c>
      <c r="FG26" s="1">
        <f t="shared" si="2"/>
        <v>-4094</v>
      </c>
      <c r="FH26" s="1">
        <v>4098</v>
      </c>
    </row>
    <row r="31" spans="4:165" x14ac:dyDescent="0.45">
      <c r="DB31" s="343"/>
      <c r="EB31" s="343"/>
      <c r="FB31" s="343"/>
    </row>
    <row r="33" spans="105:158" x14ac:dyDescent="0.45">
      <c r="DB33" s="344"/>
      <c r="EB33" s="344"/>
      <c r="FB33" s="344"/>
    </row>
    <row r="41" spans="105:158" x14ac:dyDescent="0.45">
      <c r="DA41" s="344"/>
      <c r="DI41" s="5"/>
      <c r="EA41" s="344"/>
      <c r="FA41" s="344"/>
    </row>
    <row r="54" spans="2:3" s="118" customFormat="1" x14ac:dyDescent="0.45">
      <c r="B54" s="223"/>
      <c r="C54" s="223"/>
    </row>
    <row r="73" spans="112:130" x14ac:dyDescent="0.45">
      <c r="DH73" s="17"/>
      <c r="DI73" s="18"/>
      <c r="DJ73" s="15"/>
      <c r="DK73" s="14"/>
      <c r="DL73" s="14"/>
      <c r="DM73" s="14"/>
      <c r="DN73" s="14"/>
      <c r="DO73" s="14"/>
      <c r="DP73" s="14"/>
      <c r="DQ73" s="14"/>
      <c r="DR73" s="14"/>
      <c r="DS73" s="14"/>
      <c r="DT73" s="16"/>
      <c r="DU73" s="17"/>
      <c r="DV73" s="17"/>
      <c r="DW73" s="17"/>
    </row>
    <row r="75" spans="112:130" x14ac:dyDescent="0.45">
      <c r="DH75" s="521"/>
      <c r="DI75" s="15"/>
      <c r="DJ75" s="521"/>
      <c r="DK75" s="15"/>
      <c r="DL75" s="521"/>
      <c r="DM75" s="15"/>
      <c r="DN75" s="521"/>
      <c r="DO75" s="15"/>
      <c r="DP75" s="521"/>
      <c r="DQ75" s="15"/>
      <c r="DR75" s="521"/>
      <c r="DS75" s="15"/>
      <c r="DT75" s="521"/>
      <c r="DU75" s="15"/>
      <c r="DV75" s="521"/>
      <c r="DW75" s="15"/>
      <c r="DX75" s="521"/>
      <c r="DY75" s="15"/>
      <c r="DZ75" s="521"/>
    </row>
    <row r="76" spans="112:130" x14ac:dyDescent="0.45">
      <c r="DL76">
        <v>1</v>
      </c>
      <c r="DN76">
        <v>2</v>
      </c>
      <c r="DP76">
        <v>3</v>
      </c>
      <c r="DR76">
        <v>4</v>
      </c>
      <c r="DT76">
        <v>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D997-C479-4CFB-B727-D632615F6498}">
  <sheetPr>
    <tabColor theme="7" tint="0.79998168889431442"/>
  </sheetPr>
  <dimension ref="A2:AQ239"/>
  <sheetViews>
    <sheetView showGridLines="0" zoomScaleNormal="100" workbookViewId="0">
      <pane ySplit="2" topLeftCell="A15" activePane="bottomLeft" state="frozen"/>
      <selection activeCell="I60" sqref="I60:M60"/>
      <selection pane="bottomLeft"/>
    </sheetView>
  </sheetViews>
  <sheetFormatPr defaultColWidth="8.58203125" defaultRowHeight="17" x14ac:dyDescent="0.45"/>
  <cols>
    <col min="1" max="1" width="8.58203125" style="43"/>
    <col min="2" max="2" width="4.58203125" style="43" bestFit="1" customWidth="1"/>
    <col min="3" max="3" width="32.5" style="93" bestFit="1" customWidth="1"/>
    <col min="4" max="4" width="3.9140625" style="93" bestFit="1" customWidth="1"/>
    <col min="5" max="5" width="7.58203125" style="93" bestFit="1" customWidth="1"/>
    <col min="6" max="6" width="8.75" style="93" bestFit="1" customWidth="1"/>
    <col min="7" max="7" width="1.58203125" style="93" customWidth="1"/>
    <col min="8" max="8" width="12.08203125" style="93" bestFit="1" customWidth="1"/>
    <col min="9" max="9" width="20.25" style="93" bestFit="1" customWidth="1"/>
    <col min="10" max="10" width="18.83203125" style="93" bestFit="1" customWidth="1"/>
    <col min="11" max="11" width="15.33203125" style="93" bestFit="1" customWidth="1"/>
    <col min="12" max="12" width="14.4140625" style="93" bestFit="1" customWidth="1"/>
    <col min="13" max="13" width="19.58203125" style="93" bestFit="1" customWidth="1"/>
    <col min="14" max="14" width="15" style="93" bestFit="1" customWidth="1"/>
    <col min="15" max="15" width="23" style="93" bestFit="1" customWidth="1"/>
    <col min="16" max="16" width="18.25" style="93" bestFit="1" customWidth="1"/>
    <col min="17" max="17" width="23.25" style="93" bestFit="1" customWidth="1"/>
    <col min="18" max="18" width="17.83203125" style="93" bestFit="1" customWidth="1"/>
    <col min="19" max="20" width="19.08203125" style="93" bestFit="1" customWidth="1"/>
    <col min="21" max="21" width="20" style="93" bestFit="1" customWidth="1"/>
    <col min="22" max="22" width="19.4140625" style="93" bestFit="1" customWidth="1"/>
    <col min="23" max="23" width="24.08203125" style="93" bestFit="1" customWidth="1"/>
    <col min="24" max="24" width="8.58203125" style="390"/>
    <col min="25" max="16384" width="8.58203125" style="43"/>
  </cols>
  <sheetData>
    <row r="2" spans="2:23" x14ac:dyDescent="0.45">
      <c r="B2" s="96"/>
      <c r="C2" s="98"/>
      <c r="D2" s="98" t="s">
        <v>478</v>
      </c>
      <c r="E2" s="98" t="s">
        <v>29</v>
      </c>
      <c r="F2" s="98" t="s">
        <v>30</v>
      </c>
      <c r="G2" s="98"/>
      <c r="H2" s="98" t="s">
        <v>289</v>
      </c>
      <c r="I2" s="98" t="s">
        <v>290</v>
      </c>
      <c r="J2" s="98" t="s">
        <v>353</v>
      </c>
      <c r="K2" s="98" t="s">
        <v>354</v>
      </c>
      <c r="L2" s="98" t="s">
        <v>293</v>
      </c>
      <c r="M2" s="98" t="s">
        <v>294</v>
      </c>
      <c r="N2" s="98" t="s">
        <v>33</v>
      </c>
      <c r="O2" s="98" t="s">
        <v>34</v>
      </c>
      <c r="P2" s="98" t="s">
        <v>35</v>
      </c>
      <c r="Q2" s="98" t="s">
        <v>36</v>
      </c>
      <c r="R2" s="98" t="s">
        <v>37</v>
      </c>
      <c r="S2" s="98" t="s">
        <v>38</v>
      </c>
      <c r="T2" s="98" t="s">
        <v>39</v>
      </c>
      <c r="U2" s="98" t="s">
        <v>40</v>
      </c>
      <c r="V2" s="98" t="s">
        <v>41</v>
      </c>
      <c r="W2" s="98" t="s">
        <v>42</v>
      </c>
    </row>
    <row r="3" spans="2:23" x14ac:dyDescent="0.45">
      <c r="B3" s="96">
        <v>1</v>
      </c>
      <c r="C3" s="93" t="s">
        <v>479</v>
      </c>
      <c r="D3" s="93" t="s">
        <v>45</v>
      </c>
      <c r="E3" s="93" t="s">
        <v>46</v>
      </c>
      <c r="F3" s="93" t="s">
        <v>480</v>
      </c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0" t="s">
        <v>481</v>
      </c>
      <c r="S3" s="100" t="s">
        <v>482</v>
      </c>
      <c r="T3" s="101"/>
      <c r="U3" s="100" t="s">
        <v>483</v>
      </c>
      <c r="V3" s="100" t="s">
        <v>484</v>
      </c>
      <c r="W3" s="100" t="s">
        <v>485</v>
      </c>
    </row>
    <row r="4" spans="2:23" x14ac:dyDescent="0.45">
      <c r="B4" s="96">
        <f>B3+1</f>
        <v>2</v>
      </c>
      <c r="C4" s="93" t="s">
        <v>486</v>
      </c>
      <c r="D4" s="93" t="s">
        <v>45</v>
      </c>
      <c r="E4" s="93" t="s">
        <v>138</v>
      </c>
      <c r="F4" s="93" t="s">
        <v>480</v>
      </c>
      <c r="H4" s="100" t="s">
        <v>487</v>
      </c>
      <c r="I4" s="101"/>
      <c r="J4" s="101"/>
      <c r="K4" s="101"/>
      <c r="L4" s="101"/>
      <c r="M4" s="101"/>
      <c r="N4" s="205"/>
      <c r="O4" s="101"/>
      <c r="P4" s="101"/>
      <c r="Q4" s="101"/>
      <c r="R4" s="733" t="s">
        <v>298</v>
      </c>
      <c r="S4" s="733"/>
      <c r="T4" s="733"/>
      <c r="U4" s="733"/>
      <c r="V4" s="733"/>
      <c r="W4" s="733"/>
    </row>
    <row r="5" spans="2:23" x14ac:dyDescent="0.45">
      <c r="B5" s="96">
        <f t="shared" ref="B5:B65" si="0">B4+1</f>
        <v>3</v>
      </c>
      <c r="C5" s="93" t="s">
        <v>488</v>
      </c>
      <c r="D5" s="93" t="s">
        <v>45</v>
      </c>
      <c r="E5" s="93" t="s">
        <v>141</v>
      </c>
      <c r="F5" s="93" t="s">
        <v>480</v>
      </c>
      <c r="H5" s="100" t="s">
        <v>487</v>
      </c>
      <c r="I5" s="101"/>
      <c r="J5" s="101"/>
      <c r="K5" s="101"/>
      <c r="L5" s="101"/>
      <c r="M5" s="101"/>
      <c r="N5" s="740" t="s">
        <v>489</v>
      </c>
      <c r="O5" s="742"/>
      <c r="P5" s="101"/>
      <c r="Q5" s="101"/>
      <c r="R5" s="733" t="s">
        <v>298</v>
      </c>
      <c r="S5" s="733"/>
      <c r="T5" s="733"/>
      <c r="U5" s="733"/>
      <c r="V5" s="733"/>
      <c r="W5" s="733"/>
    </row>
    <row r="6" spans="2:23" x14ac:dyDescent="0.45">
      <c r="B6" s="96">
        <f t="shared" si="0"/>
        <v>4</v>
      </c>
      <c r="C6" s="93" t="s">
        <v>490</v>
      </c>
      <c r="D6" s="93" t="s">
        <v>45</v>
      </c>
      <c r="E6" s="93" t="s">
        <v>51</v>
      </c>
      <c r="F6" s="93" t="s">
        <v>480</v>
      </c>
      <c r="H6" s="100" t="s">
        <v>487</v>
      </c>
      <c r="I6" s="101"/>
      <c r="J6" s="101"/>
      <c r="K6" s="101"/>
      <c r="L6" s="101"/>
      <c r="M6" s="101"/>
      <c r="N6" s="740" t="s">
        <v>489</v>
      </c>
      <c r="O6" s="742"/>
      <c r="P6" s="101"/>
      <c r="Q6" s="101"/>
      <c r="R6" s="733" t="s">
        <v>298</v>
      </c>
      <c r="S6" s="733"/>
      <c r="T6" s="733"/>
      <c r="U6" s="733"/>
      <c r="V6" s="733"/>
      <c r="W6" s="733"/>
    </row>
    <row r="7" spans="2:23" x14ac:dyDescent="0.45">
      <c r="B7" s="96">
        <f t="shared" si="0"/>
        <v>5</v>
      </c>
      <c r="C7" s="93" t="s">
        <v>491</v>
      </c>
      <c r="D7" s="93" t="s">
        <v>45</v>
      </c>
      <c r="E7" s="93" t="s">
        <v>492</v>
      </c>
      <c r="F7" s="93" t="s">
        <v>493</v>
      </c>
      <c r="H7" s="100" t="s">
        <v>487</v>
      </c>
      <c r="I7" s="101"/>
      <c r="J7" s="101"/>
      <c r="K7" s="101"/>
      <c r="L7" s="101"/>
      <c r="M7" s="101"/>
      <c r="N7" s="205"/>
      <c r="O7" s="101"/>
      <c r="P7" s="101"/>
      <c r="Q7" s="101"/>
      <c r="R7" s="101"/>
      <c r="S7" s="101"/>
      <c r="T7" s="101"/>
      <c r="U7" s="101"/>
      <c r="V7" s="101"/>
      <c r="W7" s="101"/>
    </row>
    <row r="8" spans="2:23" x14ac:dyDescent="0.45">
      <c r="B8" s="96">
        <f t="shared" si="0"/>
        <v>6</v>
      </c>
      <c r="C8" s="93" t="s">
        <v>494</v>
      </c>
      <c r="D8" s="93" t="s">
        <v>45</v>
      </c>
      <c r="E8" s="93" t="s">
        <v>145</v>
      </c>
      <c r="F8" s="93" t="s">
        <v>480</v>
      </c>
      <c r="H8" s="100" t="s">
        <v>487</v>
      </c>
      <c r="I8" s="101"/>
      <c r="J8" s="101"/>
      <c r="K8" s="101"/>
      <c r="L8" s="101"/>
      <c r="M8" s="101"/>
      <c r="N8" s="205"/>
      <c r="O8" s="101"/>
      <c r="P8" s="101"/>
      <c r="Q8" s="101"/>
      <c r="R8" s="101"/>
      <c r="S8" s="101"/>
      <c r="T8" s="101"/>
      <c r="U8" s="101"/>
      <c r="V8" s="101"/>
      <c r="W8" s="101"/>
    </row>
    <row r="9" spans="2:23" x14ac:dyDescent="0.45">
      <c r="B9" s="96">
        <f t="shared" si="0"/>
        <v>7</v>
      </c>
      <c r="C9" s="93" t="s">
        <v>495</v>
      </c>
      <c r="D9" s="93" t="s">
        <v>45</v>
      </c>
      <c r="E9" s="93" t="s">
        <v>54</v>
      </c>
      <c r="F9" s="93" t="s">
        <v>493</v>
      </c>
      <c r="H9" s="100" t="s">
        <v>487</v>
      </c>
      <c r="I9" s="101"/>
      <c r="J9" s="101"/>
      <c r="K9" s="101"/>
      <c r="L9" s="101"/>
      <c r="M9" s="101"/>
      <c r="N9" s="205"/>
      <c r="O9" s="101"/>
      <c r="P9" s="101"/>
      <c r="Q9" s="101"/>
      <c r="R9" s="101"/>
      <c r="S9" s="101"/>
      <c r="T9" s="101"/>
      <c r="U9" s="101"/>
      <c r="V9" s="101"/>
      <c r="W9" s="101"/>
    </row>
    <row r="10" spans="2:23" x14ac:dyDescent="0.45">
      <c r="B10" s="96">
        <f t="shared" si="0"/>
        <v>8</v>
      </c>
      <c r="C10" s="93" t="s">
        <v>496</v>
      </c>
      <c r="D10" s="93" t="s">
        <v>45</v>
      </c>
      <c r="E10" s="93" t="s">
        <v>148</v>
      </c>
      <c r="F10" s="93" t="s">
        <v>480</v>
      </c>
      <c r="H10" s="100" t="s">
        <v>487</v>
      </c>
      <c r="I10" s="101"/>
      <c r="J10" s="101"/>
      <c r="K10" s="101"/>
      <c r="L10" s="101"/>
      <c r="M10" s="101"/>
      <c r="N10" s="205"/>
      <c r="O10" s="101"/>
      <c r="P10" s="101"/>
      <c r="Q10" s="101"/>
      <c r="R10" s="101"/>
      <c r="S10" s="101"/>
      <c r="T10" s="101"/>
      <c r="U10" s="101"/>
      <c r="V10" s="101"/>
      <c r="W10" s="101"/>
    </row>
    <row r="11" spans="2:23" x14ac:dyDescent="0.45">
      <c r="B11" s="96">
        <f t="shared" si="0"/>
        <v>9</v>
      </c>
      <c r="C11" s="93" t="s">
        <v>497</v>
      </c>
      <c r="D11" s="93" t="s">
        <v>45</v>
      </c>
      <c r="E11" s="93" t="s">
        <v>57</v>
      </c>
      <c r="F11" s="93" t="s">
        <v>498</v>
      </c>
      <c r="H11" s="101"/>
      <c r="I11" s="101"/>
      <c r="J11" s="101"/>
      <c r="K11" s="101"/>
      <c r="L11" s="101"/>
      <c r="M11" s="101"/>
      <c r="N11" s="205"/>
      <c r="O11" s="270" t="s">
        <v>499</v>
      </c>
      <c r="P11" s="101"/>
      <c r="Q11" s="101"/>
      <c r="R11" s="101"/>
      <c r="S11" s="100" t="s">
        <v>500</v>
      </c>
      <c r="T11" s="101"/>
      <c r="U11" s="101"/>
      <c r="V11" s="101"/>
      <c r="W11" s="100" t="s">
        <v>501</v>
      </c>
    </row>
    <row r="12" spans="2:23" x14ac:dyDescent="0.45">
      <c r="B12" s="96">
        <f t="shared" si="0"/>
        <v>10</v>
      </c>
      <c r="C12" s="93" t="s">
        <v>502</v>
      </c>
      <c r="D12" s="93" t="s">
        <v>74</v>
      </c>
      <c r="E12" s="93" t="s">
        <v>152</v>
      </c>
      <c r="F12" s="93" t="s">
        <v>493</v>
      </c>
      <c r="H12" s="101"/>
      <c r="I12" s="101"/>
      <c r="J12" s="101"/>
      <c r="K12" s="101"/>
      <c r="L12" s="101"/>
      <c r="M12" s="101"/>
      <c r="N12" s="101"/>
      <c r="O12" s="740" t="s">
        <v>503</v>
      </c>
      <c r="P12" s="741"/>
      <c r="Q12" s="741"/>
      <c r="R12" s="741"/>
      <c r="S12" s="741"/>
      <c r="T12" s="741"/>
      <c r="U12" s="741"/>
      <c r="V12" s="741"/>
      <c r="W12" s="742"/>
    </row>
    <row r="13" spans="2:23" x14ac:dyDescent="0.45">
      <c r="B13" s="96">
        <f t="shared" si="0"/>
        <v>11</v>
      </c>
      <c r="C13" s="93" t="s">
        <v>504</v>
      </c>
      <c r="D13" s="93" t="s">
        <v>74</v>
      </c>
      <c r="E13" s="93" t="s">
        <v>75</v>
      </c>
      <c r="F13" s="93" t="s">
        <v>493</v>
      </c>
      <c r="H13" s="101"/>
      <c r="I13" s="101"/>
      <c r="J13" s="101"/>
      <c r="K13" s="101"/>
      <c r="L13" s="101"/>
      <c r="M13" s="101"/>
      <c r="N13" s="101"/>
      <c r="O13" s="740" t="s">
        <v>505</v>
      </c>
      <c r="P13" s="741"/>
      <c r="Q13" s="741"/>
      <c r="R13" s="741"/>
      <c r="S13" s="741"/>
      <c r="T13" s="741"/>
      <c r="U13" s="741"/>
      <c r="V13" s="741"/>
      <c r="W13" s="742"/>
    </row>
    <row r="14" spans="2:23" x14ac:dyDescent="0.45">
      <c r="B14" s="96">
        <f t="shared" si="0"/>
        <v>12</v>
      </c>
      <c r="C14" s="93" t="s">
        <v>506</v>
      </c>
      <c r="D14" s="93" t="s">
        <v>74</v>
      </c>
      <c r="E14" s="93" t="s">
        <v>80</v>
      </c>
      <c r="F14" s="93" t="s">
        <v>493</v>
      </c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740" t="s">
        <v>507</v>
      </c>
      <c r="S14" s="741"/>
      <c r="T14" s="741"/>
      <c r="U14" s="741"/>
      <c r="V14" s="741"/>
      <c r="W14" s="742"/>
    </row>
    <row r="15" spans="2:23" x14ac:dyDescent="0.45">
      <c r="B15" s="96">
        <f t="shared" si="0"/>
        <v>13</v>
      </c>
      <c r="C15" s="93" t="s">
        <v>508</v>
      </c>
      <c r="D15" s="93" t="s">
        <v>45</v>
      </c>
      <c r="E15" s="93" t="s">
        <v>84</v>
      </c>
      <c r="F15" s="93" t="s">
        <v>493</v>
      </c>
      <c r="H15" s="101"/>
      <c r="I15" s="101"/>
      <c r="J15" s="740" t="s">
        <v>509</v>
      </c>
      <c r="K15" s="741"/>
      <c r="L15" s="741"/>
      <c r="M15" s="741"/>
      <c r="N15" s="741"/>
      <c r="O15" s="742"/>
      <c r="P15" s="100" t="s">
        <v>510</v>
      </c>
      <c r="Q15" s="101"/>
      <c r="R15" s="741" t="s">
        <v>511</v>
      </c>
      <c r="S15" s="741"/>
      <c r="T15" s="741"/>
      <c r="U15" s="741"/>
      <c r="V15" s="741"/>
      <c r="W15" s="742"/>
    </row>
    <row r="16" spans="2:23" x14ac:dyDescent="0.45">
      <c r="B16" s="96">
        <f t="shared" si="0"/>
        <v>14</v>
      </c>
      <c r="C16" s="93" t="s">
        <v>512</v>
      </c>
      <c r="D16" s="93" t="s">
        <v>74</v>
      </c>
      <c r="E16" s="93" t="s">
        <v>87</v>
      </c>
      <c r="F16" s="93" t="s">
        <v>493</v>
      </c>
      <c r="H16" s="101"/>
      <c r="I16" s="101"/>
      <c r="J16" s="740" t="s">
        <v>513</v>
      </c>
      <c r="K16" s="741"/>
      <c r="L16" s="741"/>
      <c r="M16" s="741"/>
      <c r="N16" s="741"/>
      <c r="O16" s="742"/>
      <c r="P16" s="101"/>
      <c r="Q16" s="101"/>
      <c r="R16" s="740" t="s">
        <v>514</v>
      </c>
      <c r="S16" s="741"/>
      <c r="T16" s="741"/>
      <c r="U16" s="741"/>
      <c r="V16" s="741"/>
      <c r="W16" s="742"/>
    </row>
    <row r="17" spans="1:24" x14ac:dyDescent="0.45">
      <c r="B17" s="96">
        <f t="shared" si="0"/>
        <v>15</v>
      </c>
      <c r="C17" s="93" t="s">
        <v>515</v>
      </c>
      <c r="D17" s="93" t="s">
        <v>74</v>
      </c>
      <c r="E17" s="93" t="s">
        <v>89</v>
      </c>
      <c r="F17" s="93" t="s">
        <v>493</v>
      </c>
      <c r="H17" s="101"/>
      <c r="I17" s="101"/>
      <c r="J17" s="740" t="s">
        <v>516</v>
      </c>
      <c r="K17" s="741"/>
      <c r="L17" s="741"/>
      <c r="M17" s="741"/>
      <c r="N17" s="741"/>
      <c r="O17" s="742"/>
      <c r="P17" s="101"/>
      <c r="Q17" s="101"/>
      <c r="R17" s="740" t="s">
        <v>517</v>
      </c>
      <c r="S17" s="741"/>
      <c r="T17" s="741"/>
      <c r="U17" s="741"/>
      <c r="V17" s="741"/>
      <c r="W17" s="742"/>
    </row>
    <row r="18" spans="1:24" x14ac:dyDescent="0.45">
      <c r="B18" s="96">
        <f t="shared" si="0"/>
        <v>16</v>
      </c>
      <c r="C18" s="93" t="s">
        <v>518</v>
      </c>
      <c r="D18" s="93" t="s">
        <v>74</v>
      </c>
      <c r="E18" s="93" t="s">
        <v>91</v>
      </c>
      <c r="F18" s="93" t="s">
        <v>493</v>
      </c>
      <c r="H18" s="101"/>
      <c r="I18" s="101"/>
      <c r="J18" s="740" t="s">
        <v>519</v>
      </c>
      <c r="K18" s="741"/>
      <c r="L18" s="741"/>
      <c r="M18" s="741"/>
      <c r="N18" s="741"/>
      <c r="O18" s="742"/>
      <c r="P18" s="101"/>
      <c r="Q18" s="101"/>
      <c r="R18" s="740" t="s">
        <v>520</v>
      </c>
      <c r="S18" s="741"/>
      <c r="T18" s="741"/>
      <c r="U18" s="741"/>
      <c r="V18" s="741"/>
      <c r="W18" s="742"/>
    </row>
    <row r="19" spans="1:24" x14ac:dyDescent="0.45">
      <c r="B19" s="96">
        <f t="shared" si="0"/>
        <v>17</v>
      </c>
      <c r="C19" s="93" t="s">
        <v>521</v>
      </c>
      <c r="D19" s="93" t="s">
        <v>522</v>
      </c>
      <c r="E19" s="93" t="s">
        <v>523</v>
      </c>
      <c r="F19" s="93" t="s">
        <v>493</v>
      </c>
      <c r="H19" s="101"/>
      <c r="I19" s="101"/>
      <c r="J19" s="101"/>
      <c r="K19" s="101"/>
      <c r="L19" s="101"/>
      <c r="M19" s="101"/>
      <c r="N19" s="101"/>
      <c r="O19" s="100" t="s">
        <v>524</v>
      </c>
      <c r="P19" s="101"/>
      <c r="Q19" s="101"/>
      <c r="R19" s="101"/>
      <c r="S19" s="101"/>
      <c r="T19" s="101"/>
      <c r="U19" s="101"/>
      <c r="V19" s="101"/>
      <c r="W19" s="100" t="s">
        <v>525</v>
      </c>
    </row>
    <row r="20" spans="1:24" x14ac:dyDescent="0.45">
      <c r="A20" s="93"/>
      <c r="B20" s="96">
        <f t="shared" si="0"/>
        <v>18</v>
      </c>
      <c r="C20" s="93" t="s">
        <v>526</v>
      </c>
      <c r="D20" s="93" t="s">
        <v>45</v>
      </c>
      <c r="E20" s="93" t="s">
        <v>94</v>
      </c>
      <c r="F20" s="93" t="s">
        <v>493</v>
      </c>
      <c r="H20" s="740" t="s">
        <v>527</v>
      </c>
      <c r="I20" s="741"/>
      <c r="J20" s="741"/>
      <c r="K20" s="741"/>
      <c r="L20" s="741"/>
      <c r="M20" s="741"/>
      <c r="N20" s="741"/>
      <c r="O20" s="741"/>
      <c r="P20" s="741"/>
      <c r="Q20" s="741"/>
      <c r="R20" s="741"/>
      <c r="S20" s="741"/>
      <c r="T20" s="741"/>
      <c r="U20" s="741"/>
      <c r="V20" s="741"/>
      <c r="W20" s="742"/>
    </row>
    <row r="21" spans="1:24" x14ac:dyDescent="0.45">
      <c r="A21" s="93"/>
      <c r="B21" s="96">
        <f t="shared" si="0"/>
        <v>19</v>
      </c>
      <c r="C21" s="93" t="s">
        <v>528</v>
      </c>
      <c r="D21" s="93" t="s">
        <v>45</v>
      </c>
      <c r="E21" s="93" t="s">
        <v>96</v>
      </c>
      <c r="F21" s="93" t="s">
        <v>493</v>
      </c>
      <c r="H21" s="740" t="s">
        <v>529</v>
      </c>
      <c r="I21" s="741"/>
      <c r="J21" s="741"/>
      <c r="K21" s="741"/>
      <c r="L21" s="741"/>
      <c r="M21" s="741"/>
      <c r="N21" s="741"/>
      <c r="O21" s="742"/>
      <c r="P21" s="101"/>
      <c r="Q21" s="101"/>
      <c r="R21" s="101"/>
      <c r="S21" s="101"/>
      <c r="T21" s="101"/>
      <c r="U21" s="101"/>
      <c r="V21" s="101"/>
      <c r="W21" s="100" t="s">
        <v>530</v>
      </c>
    </row>
    <row r="22" spans="1:24" s="389" customFormat="1" x14ac:dyDescent="0.45">
      <c r="A22" s="269"/>
      <c r="B22" s="96">
        <f t="shared" si="0"/>
        <v>20</v>
      </c>
      <c r="C22" s="269" t="s">
        <v>531</v>
      </c>
      <c r="D22" s="269" t="s">
        <v>45</v>
      </c>
      <c r="E22" s="269" t="s">
        <v>98</v>
      </c>
      <c r="F22" s="269" t="s">
        <v>1263</v>
      </c>
      <c r="G22" s="269"/>
      <c r="H22" s="387"/>
      <c r="I22" s="730" t="s">
        <v>1262</v>
      </c>
      <c r="J22" s="731"/>
      <c r="K22" s="731"/>
      <c r="L22" s="731"/>
      <c r="M22" s="731"/>
      <c r="N22" s="731"/>
      <c r="O22" s="732"/>
      <c r="P22" s="387"/>
      <c r="Q22" s="730" t="s">
        <v>1261</v>
      </c>
      <c r="R22" s="731"/>
      <c r="S22" s="731"/>
      <c r="T22" s="731"/>
      <c r="U22" s="731"/>
      <c r="V22" s="731"/>
      <c r="W22" s="732"/>
      <c r="X22" s="390"/>
    </row>
    <row r="23" spans="1:24" x14ac:dyDescent="0.45">
      <c r="A23" s="269"/>
      <c r="B23" s="96">
        <f t="shared" si="0"/>
        <v>21</v>
      </c>
      <c r="C23" s="269" t="s">
        <v>532</v>
      </c>
      <c r="D23" s="269" t="s">
        <v>45</v>
      </c>
      <c r="E23" s="269" t="s">
        <v>100</v>
      </c>
      <c r="F23" s="269" t="s">
        <v>493</v>
      </c>
      <c r="H23" s="270" t="s">
        <v>1555</v>
      </c>
      <c r="I23" s="270" t="s">
        <v>1556</v>
      </c>
      <c r="J23" s="270" t="s">
        <v>1557</v>
      </c>
      <c r="K23" s="270" t="s">
        <v>1558</v>
      </c>
      <c r="L23" s="101"/>
      <c r="M23" s="270" t="s">
        <v>1550</v>
      </c>
      <c r="N23" s="270" t="s">
        <v>1549</v>
      </c>
      <c r="O23" s="100" t="s">
        <v>533</v>
      </c>
      <c r="P23" s="100" t="s">
        <v>534</v>
      </c>
      <c r="Q23" s="100" t="s">
        <v>535</v>
      </c>
      <c r="R23" s="100" t="s">
        <v>536</v>
      </c>
      <c r="S23" s="100" t="s">
        <v>537</v>
      </c>
      <c r="T23" s="206" t="s">
        <v>538</v>
      </c>
      <c r="U23" s="206" t="s">
        <v>539</v>
      </c>
      <c r="V23" s="206" t="s">
        <v>540</v>
      </c>
      <c r="W23" s="206" t="s">
        <v>541</v>
      </c>
    </row>
    <row r="24" spans="1:24" x14ac:dyDescent="0.45">
      <c r="A24" s="93"/>
      <c r="B24" s="96">
        <f t="shared" si="0"/>
        <v>22</v>
      </c>
      <c r="C24" s="207" t="s">
        <v>542</v>
      </c>
      <c r="D24" s="93" t="s">
        <v>74</v>
      </c>
      <c r="E24" s="93" t="s">
        <v>102</v>
      </c>
      <c r="F24" s="93" t="s">
        <v>480</v>
      </c>
      <c r="G24" s="207"/>
      <c r="H24" s="100" t="s">
        <v>543</v>
      </c>
      <c r="I24" s="100" t="s">
        <v>544</v>
      </c>
      <c r="J24" s="100" t="s">
        <v>545</v>
      </c>
      <c r="K24" s="100" t="s">
        <v>546</v>
      </c>
      <c r="L24" s="100" t="s">
        <v>547</v>
      </c>
      <c r="M24" s="100" t="s">
        <v>548</v>
      </c>
      <c r="N24" s="100" t="s">
        <v>549</v>
      </c>
      <c r="O24" s="100" t="s">
        <v>550</v>
      </c>
      <c r="P24" s="100" t="s">
        <v>551</v>
      </c>
      <c r="Q24" s="100" t="s">
        <v>552</v>
      </c>
      <c r="R24" s="100" t="s">
        <v>553</v>
      </c>
      <c r="S24" s="100" t="s">
        <v>554</v>
      </c>
      <c r="T24" s="100" t="s">
        <v>555</v>
      </c>
      <c r="U24" s="100" t="s">
        <v>556</v>
      </c>
      <c r="V24" s="100" t="s">
        <v>557</v>
      </c>
      <c r="W24" s="100" t="s">
        <v>558</v>
      </c>
    </row>
    <row r="25" spans="1:24" x14ac:dyDescent="0.45">
      <c r="A25" s="93"/>
      <c r="B25" s="96">
        <f t="shared" si="0"/>
        <v>23</v>
      </c>
      <c r="C25" s="207" t="s">
        <v>559</v>
      </c>
      <c r="D25" s="93" t="s">
        <v>74</v>
      </c>
      <c r="E25" s="93" t="s">
        <v>560</v>
      </c>
      <c r="F25" s="93" t="s">
        <v>480</v>
      </c>
      <c r="G25" s="207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0" t="s">
        <v>561</v>
      </c>
      <c r="W25" s="100" t="s">
        <v>562</v>
      </c>
    </row>
    <row r="26" spans="1:24" x14ac:dyDescent="0.45">
      <c r="A26" s="93"/>
      <c r="B26" s="96">
        <f t="shared" si="0"/>
        <v>24</v>
      </c>
      <c r="C26" s="207" t="s">
        <v>563</v>
      </c>
      <c r="D26" s="93" t="s">
        <v>74</v>
      </c>
      <c r="E26" s="93" t="s">
        <v>564</v>
      </c>
      <c r="F26" s="93" t="s">
        <v>480</v>
      </c>
      <c r="G26" s="207"/>
      <c r="H26" s="101"/>
      <c r="I26" s="100" t="s">
        <v>565</v>
      </c>
      <c r="J26" s="100" t="s">
        <v>566</v>
      </c>
      <c r="K26" s="100" t="s">
        <v>567</v>
      </c>
      <c r="L26" s="101"/>
      <c r="M26" s="101"/>
      <c r="N26" s="101"/>
      <c r="O26" s="100" t="s">
        <v>568</v>
      </c>
      <c r="P26" s="101"/>
      <c r="Q26" s="101"/>
      <c r="R26" s="100" t="s">
        <v>569</v>
      </c>
      <c r="S26" s="100" t="s">
        <v>570</v>
      </c>
      <c r="T26" s="100" t="s">
        <v>571</v>
      </c>
      <c r="U26" s="100" t="s">
        <v>572</v>
      </c>
      <c r="V26" s="100" t="s">
        <v>573</v>
      </c>
      <c r="W26" s="100" t="s">
        <v>574</v>
      </c>
    </row>
    <row r="27" spans="1:24" ht="34" x14ac:dyDescent="0.45">
      <c r="B27" s="96">
        <f t="shared" si="0"/>
        <v>25</v>
      </c>
      <c r="C27" s="269" t="s">
        <v>575</v>
      </c>
      <c r="D27" s="93" t="s">
        <v>74</v>
      </c>
      <c r="E27" s="93" t="s">
        <v>576</v>
      </c>
      <c r="F27" s="93" t="s">
        <v>493</v>
      </c>
      <c r="H27" s="391" t="s">
        <v>1559</v>
      </c>
      <c r="I27" s="391" t="s">
        <v>1560</v>
      </c>
      <c r="J27" s="391" t="s">
        <v>1561</v>
      </c>
      <c r="K27" s="206" t="s">
        <v>577</v>
      </c>
      <c r="L27" s="206" t="s">
        <v>578</v>
      </c>
      <c r="M27" s="206" t="s">
        <v>579</v>
      </c>
      <c r="N27" s="206" t="s">
        <v>580</v>
      </c>
      <c r="O27" s="206" t="s">
        <v>581</v>
      </c>
      <c r="P27" s="206" t="s">
        <v>582</v>
      </c>
      <c r="Q27" s="206" t="s">
        <v>583</v>
      </c>
      <c r="R27" s="206" t="s">
        <v>584</v>
      </c>
      <c r="S27" s="206" t="s">
        <v>585</v>
      </c>
      <c r="T27" s="101"/>
      <c r="U27" s="101"/>
      <c r="V27" s="206" t="s">
        <v>1590</v>
      </c>
      <c r="W27" s="206" t="s">
        <v>1591</v>
      </c>
      <c r="X27" s="389" t="s">
        <v>1593</v>
      </c>
    </row>
    <row r="28" spans="1:24" x14ac:dyDescent="0.45">
      <c r="B28" s="96"/>
      <c r="X28" s="389"/>
    </row>
    <row r="29" spans="1:24" s="389" customFormat="1" ht="34" x14ac:dyDescent="0.45">
      <c r="B29" s="96">
        <f>B27+1</f>
        <v>26</v>
      </c>
      <c r="C29" s="269" t="s">
        <v>1564</v>
      </c>
      <c r="D29" s="269" t="s">
        <v>45</v>
      </c>
      <c r="E29" s="269" t="s">
        <v>586</v>
      </c>
      <c r="F29" s="269" t="s">
        <v>493</v>
      </c>
      <c r="G29" s="269"/>
      <c r="H29" s="730" t="s">
        <v>1563</v>
      </c>
      <c r="I29" s="731"/>
      <c r="J29" s="731"/>
      <c r="K29" s="731"/>
      <c r="L29" s="731"/>
      <c r="M29" s="731"/>
      <c r="N29" s="731"/>
      <c r="O29" s="732"/>
      <c r="P29" s="747" t="s">
        <v>1562</v>
      </c>
      <c r="Q29" s="748"/>
      <c r="R29" s="270" t="s">
        <v>1554</v>
      </c>
      <c r="S29" s="270" t="s">
        <v>1553</v>
      </c>
      <c r="T29" s="387"/>
      <c r="U29" s="391" t="s">
        <v>1592</v>
      </c>
      <c r="V29" s="391" t="s">
        <v>1552</v>
      </c>
      <c r="W29" s="391" t="s">
        <v>1551</v>
      </c>
      <c r="X29" s="389" t="s">
        <v>1594</v>
      </c>
    </row>
    <row r="30" spans="1:24" s="394" customFormat="1" ht="51" x14ac:dyDescent="0.45">
      <c r="B30" s="396">
        <f>B29+1</f>
        <v>27</v>
      </c>
      <c r="C30" s="269" t="s">
        <v>1279</v>
      </c>
      <c r="D30" s="269" t="s">
        <v>45</v>
      </c>
      <c r="E30" s="269" t="s">
        <v>158</v>
      </c>
      <c r="F30" s="269" t="s">
        <v>480</v>
      </c>
      <c r="G30" s="392"/>
      <c r="H30" s="393"/>
      <c r="I30" s="743" t="s">
        <v>1595</v>
      </c>
      <c r="J30" s="745"/>
      <c r="K30" s="746"/>
      <c r="L30" s="395" t="s">
        <v>1596</v>
      </c>
      <c r="M30" s="393"/>
      <c r="N30" s="743" t="s">
        <v>1597</v>
      </c>
      <c r="O30" s="744"/>
      <c r="P30" s="743" t="s">
        <v>1598</v>
      </c>
      <c r="Q30" s="744"/>
      <c r="R30" s="743" t="s">
        <v>1599</v>
      </c>
      <c r="S30" s="744"/>
      <c r="T30" s="395" t="s">
        <v>1602</v>
      </c>
      <c r="U30" s="395" t="s">
        <v>1601</v>
      </c>
      <c r="V30" s="395" t="s">
        <v>1600</v>
      </c>
      <c r="W30" s="395" t="s">
        <v>1603</v>
      </c>
    </row>
    <row r="31" spans="1:24" s="389" customFormat="1" x14ac:dyDescent="0.45">
      <c r="A31" s="394"/>
      <c r="B31" s="396">
        <f t="shared" ref="B31:B33" si="1">B30+1</f>
        <v>28</v>
      </c>
      <c r="C31" s="269" t="s">
        <v>1280</v>
      </c>
      <c r="D31" s="269" t="s">
        <v>45</v>
      </c>
      <c r="E31" s="269" t="s">
        <v>161</v>
      </c>
      <c r="F31" s="269" t="s">
        <v>1567</v>
      </c>
      <c r="G31" s="269"/>
      <c r="H31" s="387"/>
      <c r="I31" s="730" t="s">
        <v>1568</v>
      </c>
      <c r="J31" s="731"/>
      <c r="K31" s="731"/>
      <c r="L31" s="731"/>
      <c r="M31" s="731"/>
      <c r="N31" s="731"/>
      <c r="O31" s="732"/>
      <c r="P31" s="387"/>
      <c r="Q31" s="387"/>
      <c r="R31" s="387"/>
      <c r="S31" s="387"/>
      <c r="T31" s="387"/>
      <c r="U31" s="387"/>
      <c r="V31" s="387"/>
      <c r="W31" s="387"/>
    </row>
    <row r="32" spans="1:24" s="389" customFormat="1" x14ac:dyDescent="0.45">
      <c r="A32" s="394"/>
      <c r="B32" s="396">
        <f t="shared" si="1"/>
        <v>29</v>
      </c>
      <c r="C32" s="269" t="s">
        <v>1285</v>
      </c>
      <c r="D32" s="269" t="s">
        <v>74</v>
      </c>
      <c r="E32" s="269" t="s">
        <v>163</v>
      </c>
      <c r="F32" s="269" t="s">
        <v>493</v>
      </c>
      <c r="G32" s="269"/>
      <c r="H32" s="387"/>
      <c r="I32" s="387"/>
      <c r="J32" s="387"/>
      <c r="K32" s="270" t="s">
        <v>1284</v>
      </c>
      <c r="L32" s="387"/>
      <c r="M32" s="387"/>
      <c r="N32" s="387"/>
      <c r="O32" s="270" t="s">
        <v>1283</v>
      </c>
      <c r="P32" s="387"/>
      <c r="Q32" s="387"/>
      <c r="R32" s="387"/>
      <c r="S32" s="270" t="s">
        <v>1282</v>
      </c>
      <c r="T32" s="387"/>
      <c r="U32" s="387"/>
      <c r="V32" s="387"/>
      <c r="W32" s="270" t="s">
        <v>1281</v>
      </c>
      <c r="X32" s="389" t="s">
        <v>1604</v>
      </c>
    </row>
    <row r="33" spans="1:24" s="389" customFormat="1" x14ac:dyDescent="0.45">
      <c r="A33" s="394"/>
      <c r="B33" s="396">
        <f t="shared" si="1"/>
        <v>30</v>
      </c>
      <c r="C33" s="269" t="s">
        <v>1446</v>
      </c>
      <c r="D33" s="269" t="s">
        <v>45</v>
      </c>
      <c r="E33" s="269" t="s">
        <v>165</v>
      </c>
      <c r="F33" s="269" t="s">
        <v>1565</v>
      </c>
      <c r="G33" s="269"/>
      <c r="H33" s="387"/>
      <c r="I33" s="730" t="s">
        <v>1450</v>
      </c>
      <c r="J33" s="731"/>
      <c r="K33" s="732"/>
      <c r="L33" s="387"/>
      <c r="M33" s="730" t="s">
        <v>1449</v>
      </c>
      <c r="N33" s="731"/>
      <c r="O33" s="732"/>
      <c r="P33" s="387"/>
      <c r="Q33" s="730" t="s">
        <v>1448</v>
      </c>
      <c r="R33" s="731"/>
      <c r="S33" s="732"/>
      <c r="T33" s="387"/>
      <c r="U33" s="730" t="s">
        <v>1447</v>
      </c>
      <c r="V33" s="731"/>
      <c r="W33" s="732"/>
    </row>
    <row r="34" spans="1:24" x14ac:dyDescent="0.45">
      <c r="A34" s="394"/>
      <c r="B34" s="96"/>
      <c r="X34" s="43"/>
    </row>
    <row r="35" spans="1:24" s="389" customFormat="1" x14ac:dyDescent="0.45">
      <c r="A35" s="394"/>
      <c r="B35" s="96">
        <f>B33+1</f>
        <v>31</v>
      </c>
      <c r="C35" s="269" t="s">
        <v>1575</v>
      </c>
      <c r="D35" s="269" t="s">
        <v>45</v>
      </c>
      <c r="E35" s="269" t="s">
        <v>167</v>
      </c>
      <c r="F35" s="269" t="s">
        <v>1577</v>
      </c>
      <c r="G35" s="269"/>
      <c r="H35" s="730" t="s">
        <v>1576</v>
      </c>
      <c r="I35" s="731"/>
      <c r="J35" s="731"/>
      <c r="K35" s="731"/>
      <c r="L35" s="731"/>
      <c r="M35" s="731"/>
      <c r="N35" s="731"/>
      <c r="O35" s="732"/>
      <c r="P35" s="730" t="s">
        <v>587</v>
      </c>
      <c r="Q35" s="731"/>
      <c r="R35" s="731"/>
      <c r="S35" s="731"/>
      <c r="T35" s="731"/>
      <c r="U35" s="731"/>
      <c r="V35" s="731"/>
      <c r="W35" s="732"/>
      <c r="X35" s="390"/>
    </row>
    <row r="36" spans="1:24" x14ac:dyDescent="0.45">
      <c r="A36" s="394"/>
      <c r="B36" s="96"/>
    </row>
    <row r="37" spans="1:24" ht="17.149999999999999" customHeight="1" x14ac:dyDescent="0.45">
      <c r="A37" s="394"/>
      <c r="B37" s="96">
        <f>B35+1</f>
        <v>32</v>
      </c>
      <c r="C37" s="93" t="s">
        <v>588</v>
      </c>
      <c r="D37" s="93" t="s">
        <v>45</v>
      </c>
      <c r="E37" s="93" t="s">
        <v>589</v>
      </c>
      <c r="F37" s="93" t="s">
        <v>493</v>
      </c>
      <c r="H37" s="101"/>
      <c r="I37" s="734" t="s">
        <v>590</v>
      </c>
      <c r="J37" s="735"/>
      <c r="K37" s="735"/>
      <c r="L37" s="735"/>
      <c r="M37" s="736"/>
      <c r="N37" s="734" t="s">
        <v>591</v>
      </c>
      <c r="O37" s="735"/>
      <c r="P37" s="735"/>
      <c r="Q37" s="735"/>
      <c r="R37" s="736"/>
      <c r="S37" s="737" t="s">
        <v>592</v>
      </c>
      <c r="T37" s="738"/>
      <c r="U37" s="738"/>
      <c r="V37" s="738"/>
      <c r="W37" s="739"/>
    </row>
    <row r="38" spans="1:24" s="543" customFormat="1" x14ac:dyDescent="0.45">
      <c r="A38" s="552"/>
      <c r="B38" s="96">
        <f t="shared" si="0"/>
        <v>33</v>
      </c>
      <c r="C38" s="553" t="s">
        <v>593</v>
      </c>
      <c r="D38" s="553" t="s">
        <v>45</v>
      </c>
      <c r="E38" s="553" t="s">
        <v>172</v>
      </c>
      <c r="F38" s="553" t="s">
        <v>493</v>
      </c>
      <c r="G38" s="553"/>
      <c r="H38" s="554"/>
      <c r="I38" s="734" t="s">
        <v>594</v>
      </c>
      <c r="J38" s="735"/>
      <c r="K38" s="735"/>
      <c r="L38" s="735"/>
      <c r="M38" s="736"/>
      <c r="N38" s="734" t="s">
        <v>595</v>
      </c>
      <c r="O38" s="735"/>
      <c r="P38" s="735"/>
      <c r="Q38" s="735"/>
      <c r="R38" s="736"/>
      <c r="S38" s="734" t="s">
        <v>596</v>
      </c>
      <c r="T38" s="735"/>
      <c r="U38" s="735"/>
      <c r="V38" s="735"/>
      <c r="W38" s="736"/>
      <c r="X38" s="555"/>
    </row>
    <row r="39" spans="1:24" s="543" customFormat="1" x14ac:dyDescent="0.45">
      <c r="A39" s="552"/>
      <c r="B39" s="96">
        <f t="shared" si="0"/>
        <v>34</v>
      </c>
      <c r="C39" s="553" t="s">
        <v>597</v>
      </c>
      <c r="D39" s="553" t="s">
        <v>45</v>
      </c>
      <c r="E39" s="553" t="s">
        <v>174</v>
      </c>
      <c r="F39" s="553" t="s">
        <v>493</v>
      </c>
      <c r="G39" s="553"/>
      <c r="H39" s="554"/>
      <c r="I39" s="734" t="s">
        <v>598</v>
      </c>
      <c r="J39" s="735"/>
      <c r="K39" s="735"/>
      <c r="L39" s="735"/>
      <c r="M39" s="736"/>
      <c r="N39" s="734" t="s">
        <v>599</v>
      </c>
      <c r="O39" s="735"/>
      <c r="P39" s="735"/>
      <c r="Q39" s="735"/>
      <c r="R39" s="736"/>
      <c r="S39" s="734" t="s">
        <v>600</v>
      </c>
      <c r="T39" s="735"/>
      <c r="U39" s="735"/>
      <c r="V39" s="735"/>
      <c r="W39" s="736"/>
      <c r="X39" s="555"/>
    </row>
    <row r="40" spans="1:24" s="543" customFormat="1" x14ac:dyDescent="0.45">
      <c r="A40" s="552"/>
      <c r="B40" s="96">
        <f t="shared" si="0"/>
        <v>35</v>
      </c>
      <c r="C40" s="553" t="s">
        <v>601</v>
      </c>
      <c r="D40" s="553" t="s">
        <v>45</v>
      </c>
      <c r="E40" s="553" t="s">
        <v>176</v>
      </c>
      <c r="F40" s="553" t="s">
        <v>493</v>
      </c>
      <c r="G40" s="553"/>
      <c r="H40" s="554"/>
      <c r="I40" s="734" t="s">
        <v>602</v>
      </c>
      <c r="J40" s="735"/>
      <c r="K40" s="735"/>
      <c r="L40" s="735"/>
      <c r="M40" s="736"/>
      <c r="N40" s="734" t="s">
        <v>603</v>
      </c>
      <c r="O40" s="735"/>
      <c r="P40" s="735"/>
      <c r="Q40" s="735"/>
      <c r="R40" s="736"/>
      <c r="S40" s="734" t="s">
        <v>604</v>
      </c>
      <c r="T40" s="735"/>
      <c r="U40" s="735"/>
      <c r="V40" s="735"/>
      <c r="W40" s="736"/>
      <c r="X40" s="555"/>
    </row>
    <row r="41" spans="1:24" s="543" customFormat="1" x14ac:dyDescent="0.45">
      <c r="A41" s="552"/>
      <c r="B41" s="96">
        <f t="shared" si="0"/>
        <v>36</v>
      </c>
      <c r="C41" s="553" t="s">
        <v>605</v>
      </c>
      <c r="D41" s="553" t="s">
        <v>45</v>
      </c>
      <c r="E41" s="553" t="s">
        <v>178</v>
      </c>
      <c r="F41" s="553" t="s">
        <v>493</v>
      </c>
      <c r="G41" s="553"/>
      <c r="H41" s="554"/>
      <c r="I41" s="734" t="s">
        <v>606</v>
      </c>
      <c r="J41" s="735"/>
      <c r="K41" s="735"/>
      <c r="L41" s="735"/>
      <c r="M41" s="736"/>
      <c r="N41" s="734" t="s">
        <v>607</v>
      </c>
      <c r="O41" s="735"/>
      <c r="P41" s="735"/>
      <c r="Q41" s="735"/>
      <c r="R41" s="736"/>
      <c r="S41" s="734" t="s">
        <v>608</v>
      </c>
      <c r="T41" s="735"/>
      <c r="U41" s="735"/>
      <c r="V41" s="735"/>
      <c r="W41" s="736"/>
      <c r="X41" s="555"/>
    </row>
    <row r="42" spans="1:24" s="543" customFormat="1" x14ac:dyDescent="0.45">
      <c r="A42" s="552"/>
      <c r="B42" s="96">
        <f t="shared" si="0"/>
        <v>37</v>
      </c>
      <c r="C42" s="553" t="s">
        <v>609</v>
      </c>
      <c r="D42" s="553" t="s">
        <v>45</v>
      </c>
      <c r="E42" s="553" t="s">
        <v>180</v>
      </c>
      <c r="F42" s="553" t="s">
        <v>493</v>
      </c>
      <c r="G42" s="553"/>
      <c r="H42" s="554"/>
      <c r="I42" s="734" t="s">
        <v>610</v>
      </c>
      <c r="J42" s="735"/>
      <c r="K42" s="735"/>
      <c r="L42" s="735"/>
      <c r="M42" s="736"/>
      <c r="N42" s="734" t="s">
        <v>611</v>
      </c>
      <c r="O42" s="735"/>
      <c r="P42" s="735"/>
      <c r="Q42" s="735"/>
      <c r="R42" s="736"/>
      <c r="S42" s="734" t="s">
        <v>612</v>
      </c>
      <c r="T42" s="735"/>
      <c r="U42" s="735"/>
      <c r="V42" s="735"/>
      <c r="W42" s="736"/>
      <c r="X42" s="555"/>
    </row>
    <row r="43" spans="1:24" s="543" customFormat="1" x14ac:dyDescent="0.45">
      <c r="A43" s="552"/>
      <c r="B43" s="96">
        <f t="shared" si="0"/>
        <v>38</v>
      </c>
      <c r="C43" s="553" t="s">
        <v>613</v>
      </c>
      <c r="D43" s="553" t="s">
        <v>45</v>
      </c>
      <c r="E43" s="553" t="s">
        <v>106</v>
      </c>
      <c r="F43" s="553" t="s">
        <v>493</v>
      </c>
      <c r="G43" s="553"/>
      <c r="H43" s="554"/>
      <c r="I43" s="734" t="s">
        <v>614</v>
      </c>
      <c r="J43" s="735"/>
      <c r="K43" s="735"/>
      <c r="L43" s="735"/>
      <c r="M43" s="736"/>
      <c r="N43" s="734" t="s">
        <v>615</v>
      </c>
      <c r="O43" s="735"/>
      <c r="P43" s="735"/>
      <c r="Q43" s="735"/>
      <c r="R43" s="736"/>
      <c r="S43" s="734" t="s">
        <v>616</v>
      </c>
      <c r="T43" s="735"/>
      <c r="U43" s="735"/>
      <c r="V43" s="735"/>
      <c r="W43" s="736"/>
      <c r="X43" s="555"/>
    </row>
    <row r="44" spans="1:24" s="543" customFormat="1" x14ac:dyDescent="0.45">
      <c r="A44" s="552"/>
      <c r="B44" s="96">
        <f t="shared" si="0"/>
        <v>39</v>
      </c>
      <c r="C44" s="553" t="s">
        <v>617</v>
      </c>
      <c r="D44" s="553" t="s">
        <v>45</v>
      </c>
      <c r="E44" s="553" t="s">
        <v>107</v>
      </c>
      <c r="F44" s="553" t="s">
        <v>493</v>
      </c>
      <c r="G44" s="553"/>
      <c r="H44" s="554"/>
      <c r="I44" s="734" t="s">
        <v>618</v>
      </c>
      <c r="J44" s="735"/>
      <c r="K44" s="735"/>
      <c r="L44" s="735"/>
      <c r="M44" s="736"/>
      <c r="N44" s="734" t="s">
        <v>619</v>
      </c>
      <c r="O44" s="735"/>
      <c r="P44" s="735"/>
      <c r="Q44" s="735"/>
      <c r="R44" s="736"/>
      <c r="S44" s="734" t="s">
        <v>620</v>
      </c>
      <c r="T44" s="735"/>
      <c r="U44" s="735"/>
      <c r="V44" s="735"/>
      <c r="W44" s="736"/>
      <c r="X44" s="555"/>
    </row>
    <row r="45" spans="1:24" x14ac:dyDescent="0.45">
      <c r="B45" s="96"/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</row>
    <row r="46" spans="1:24" ht="17.149999999999999" customHeight="1" x14ac:dyDescent="0.45">
      <c r="B46" s="96">
        <f>B44+1</f>
        <v>40</v>
      </c>
      <c r="C46" s="93" t="s">
        <v>621</v>
      </c>
      <c r="D46" s="93" t="s">
        <v>45</v>
      </c>
      <c r="E46" s="93" t="s">
        <v>622</v>
      </c>
      <c r="F46" s="93" t="s">
        <v>493</v>
      </c>
      <c r="H46" s="101"/>
      <c r="I46" s="740" t="s">
        <v>623</v>
      </c>
      <c r="J46" s="741"/>
      <c r="K46" s="741"/>
      <c r="L46" s="741"/>
      <c r="M46" s="742"/>
      <c r="N46" s="740" t="s">
        <v>624</v>
      </c>
      <c r="O46" s="741"/>
      <c r="P46" s="741"/>
      <c r="Q46" s="741"/>
      <c r="R46" s="742"/>
      <c r="S46" s="737" t="s">
        <v>625</v>
      </c>
      <c r="T46" s="738"/>
      <c r="U46" s="738"/>
      <c r="V46" s="738"/>
      <c r="W46" s="739"/>
    </row>
    <row r="47" spans="1:24" x14ac:dyDescent="0.45">
      <c r="B47" s="96">
        <f t="shared" si="0"/>
        <v>41</v>
      </c>
      <c r="C47" s="93" t="s">
        <v>626</v>
      </c>
      <c r="D47" s="93" t="s">
        <v>45</v>
      </c>
      <c r="E47" s="93" t="s">
        <v>627</v>
      </c>
      <c r="F47" s="93" t="s">
        <v>493</v>
      </c>
      <c r="H47" s="101"/>
      <c r="I47" s="740" t="s">
        <v>628</v>
      </c>
      <c r="J47" s="741"/>
      <c r="K47" s="741"/>
      <c r="L47" s="741"/>
      <c r="M47" s="742"/>
      <c r="N47" s="740" t="s">
        <v>629</v>
      </c>
      <c r="O47" s="741"/>
      <c r="P47" s="741"/>
      <c r="Q47" s="741"/>
      <c r="R47" s="742"/>
      <c r="S47" s="740" t="s">
        <v>630</v>
      </c>
      <c r="T47" s="741"/>
      <c r="U47" s="741"/>
      <c r="V47" s="741"/>
      <c r="W47" s="742"/>
    </row>
    <row r="48" spans="1:24" x14ac:dyDescent="0.45">
      <c r="B48" s="96">
        <f t="shared" si="0"/>
        <v>42</v>
      </c>
      <c r="C48" s="93" t="s">
        <v>631</v>
      </c>
      <c r="D48" s="93" t="s">
        <v>45</v>
      </c>
      <c r="E48" s="93" t="s">
        <v>632</v>
      </c>
      <c r="F48" s="93" t="s">
        <v>493</v>
      </c>
      <c r="H48" s="101"/>
      <c r="I48" s="740" t="s">
        <v>633</v>
      </c>
      <c r="J48" s="741"/>
      <c r="K48" s="741"/>
      <c r="L48" s="741"/>
      <c r="M48" s="742"/>
      <c r="N48" s="740" t="s">
        <v>634</v>
      </c>
      <c r="O48" s="741"/>
      <c r="P48" s="741"/>
      <c r="Q48" s="741"/>
      <c r="R48" s="742"/>
      <c r="S48" s="740" t="s">
        <v>635</v>
      </c>
      <c r="T48" s="741"/>
      <c r="U48" s="741"/>
      <c r="V48" s="741"/>
      <c r="W48" s="742"/>
    </row>
    <row r="49" spans="2:23" x14ac:dyDescent="0.45">
      <c r="B49" s="96">
        <f t="shared" si="0"/>
        <v>43</v>
      </c>
      <c r="C49" s="93" t="s">
        <v>636</v>
      </c>
      <c r="D49" s="93" t="s">
        <v>45</v>
      </c>
      <c r="E49" s="93" t="s">
        <v>637</v>
      </c>
      <c r="F49" s="93" t="s">
        <v>493</v>
      </c>
      <c r="H49" s="101"/>
      <c r="I49" s="740" t="s">
        <v>638</v>
      </c>
      <c r="J49" s="741"/>
      <c r="K49" s="741"/>
      <c r="L49" s="741"/>
      <c r="M49" s="742"/>
      <c r="N49" s="740" t="s">
        <v>639</v>
      </c>
      <c r="O49" s="741"/>
      <c r="P49" s="741"/>
      <c r="Q49" s="741"/>
      <c r="R49" s="742"/>
      <c r="S49" s="740" t="s">
        <v>640</v>
      </c>
      <c r="T49" s="741"/>
      <c r="U49" s="741"/>
      <c r="V49" s="741"/>
      <c r="W49" s="742"/>
    </row>
    <row r="50" spans="2:23" x14ac:dyDescent="0.45">
      <c r="B50" s="96">
        <f t="shared" si="0"/>
        <v>44</v>
      </c>
      <c r="C50" s="93" t="s">
        <v>641</v>
      </c>
      <c r="D50" s="93" t="s">
        <v>45</v>
      </c>
      <c r="E50" s="93" t="s">
        <v>642</v>
      </c>
      <c r="F50" s="93" t="s">
        <v>493</v>
      </c>
      <c r="H50" s="101"/>
      <c r="I50" s="740" t="s">
        <v>643</v>
      </c>
      <c r="J50" s="741"/>
      <c r="K50" s="741"/>
      <c r="L50" s="741"/>
      <c r="M50" s="742"/>
      <c r="N50" s="740" t="s">
        <v>644</v>
      </c>
      <c r="O50" s="741"/>
      <c r="P50" s="741"/>
      <c r="Q50" s="741"/>
      <c r="R50" s="742"/>
      <c r="S50" s="740" t="s">
        <v>645</v>
      </c>
      <c r="T50" s="741"/>
      <c r="U50" s="741"/>
      <c r="V50" s="741"/>
      <c r="W50" s="742"/>
    </row>
    <row r="51" spans="2:23" x14ac:dyDescent="0.45">
      <c r="B51" s="96">
        <f t="shared" si="0"/>
        <v>45</v>
      </c>
      <c r="C51" s="93" t="s">
        <v>646</v>
      </c>
      <c r="D51" s="93" t="s">
        <v>45</v>
      </c>
      <c r="E51" s="93" t="s">
        <v>647</v>
      </c>
      <c r="F51" s="93" t="s">
        <v>493</v>
      </c>
      <c r="H51" s="101"/>
      <c r="I51" s="740" t="s">
        <v>648</v>
      </c>
      <c r="J51" s="741"/>
      <c r="K51" s="741"/>
      <c r="L51" s="741"/>
      <c r="M51" s="742"/>
      <c r="N51" s="740" t="s">
        <v>649</v>
      </c>
      <c r="O51" s="741"/>
      <c r="P51" s="741"/>
      <c r="Q51" s="741"/>
      <c r="R51" s="742"/>
      <c r="S51" s="740" t="s">
        <v>650</v>
      </c>
      <c r="T51" s="741"/>
      <c r="U51" s="741"/>
      <c r="V51" s="741"/>
      <c r="W51" s="742"/>
    </row>
    <row r="52" spans="2:23" x14ac:dyDescent="0.45">
      <c r="B52" s="96">
        <f t="shared" si="0"/>
        <v>46</v>
      </c>
      <c r="C52" s="93" t="s">
        <v>651</v>
      </c>
      <c r="D52" s="93" t="s">
        <v>45</v>
      </c>
      <c r="E52" s="93" t="s">
        <v>652</v>
      </c>
      <c r="F52" s="93" t="s">
        <v>493</v>
      </c>
      <c r="H52" s="101"/>
      <c r="I52" s="740" t="s">
        <v>653</v>
      </c>
      <c r="J52" s="741"/>
      <c r="K52" s="741"/>
      <c r="L52" s="741"/>
      <c r="M52" s="742"/>
      <c r="N52" s="740" t="s">
        <v>654</v>
      </c>
      <c r="O52" s="741"/>
      <c r="P52" s="741"/>
      <c r="Q52" s="741"/>
      <c r="R52" s="742"/>
      <c r="S52" s="740" t="s">
        <v>655</v>
      </c>
      <c r="T52" s="741"/>
      <c r="U52" s="741"/>
      <c r="V52" s="741"/>
      <c r="W52" s="742"/>
    </row>
    <row r="53" spans="2:23" x14ac:dyDescent="0.45">
      <c r="B53" s="96">
        <f t="shared" si="0"/>
        <v>47</v>
      </c>
      <c r="C53" s="93" t="s">
        <v>656</v>
      </c>
      <c r="D53" s="93" t="s">
        <v>45</v>
      </c>
      <c r="E53" s="93" t="s">
        <v>657</v>
      </c>
      <c r="F53" s="93" t="s">
        <v>493</v>
      </c>
      <c r="H53" s="101"/>
      <c r="I53" s="740" t="s">
        <v>658</v>
      </c>
      <c r="J53" s="741"/>
      <c r="K53" s="741"/>
      <c r="L53" s="741"/>
      <c r="M53" s="742"/>
      <c r="N53" s="740" t="s">
        <v>659</v>
      </c>
      <c r="O53" s="741"/>
      <c r="P53" s="741"/>
      <c r="Q53" s="741"/>
      <c r="R53" s="742"/>
      <c r="S53" s="740" t="s">
        <v>660</v>
      </c>
      <c r="T53" s="741"/>
      <c r="U53" s="741"/>
      <c r="V53" s="741"/>
      <c r="W53" s="742"/>
    </row>
    <row r="54" spans="2:23" x14ac:dyDescent="0.45">
      <c r="B54" s="96">
        <f t="shared" si="0"/>
        <v>48</v>
      </c>
      <c r="C54" s="93" t="s">
        <v>661</v>
      </c>
      <c r="D54" s="93" t="s">
        <v>45</v>
      </c>
      <c r="E54" s="93" t="s">
        <v>662</v>
      </c>
      <c r="F54" s="93" t="s">
        <v>493</v>
      </c>
      <c r="H54" s="740" t="s">
        <v>663</v>
      </c>
      <c r="I54" s="741"/>
      <c r="J54" s="741"/>
      <c r="K54" s="741"/>
      <c r="L54" s="741"/>
      <c r="M54" s="741"/>
      <c r="N54" s="741"/>
      <c r="O54" s="742"/>
      <c r="P54" s="740" t="s">
        <v>664</v>
      </c>
      <c r="Q54" s="741"/>
      <c r="R54" s="741"/>
      <c r="S54" s="741"/>
      <c r="T54" s="741"/>
      <c r="U54" s="741"/>
      <c r="V54" s="741"/>
      <c r="W54" s="742"/>
    </row>
    <row r="55" spans="2:23" x14ac:dyDescent="0.45">
      <c r="B55" s="96">
        <f t="shared" si="0"/>
        <v>49</v>
      </c>
      <c r="C55" s="93" t="s">
        <v>665</v>
      </c>
      <c r="D55" s="93" t="s">
        <v>45</v>
      </c>
      <c r="E55" s="93" t="s">
        <v>666</v>
      </c>
      <c r="F55" s="93" t="s">
        <v>493</v>
      </c>
      <c r="H55" s="740" t="s">
        <v>667</v>
      </c>
      <c r="I55" s="741"/>
      <c r="J55" s="741"/>
      <c r="K55" s="741"/>
      <c r="L55" s="741"/>
      <c r="M55" s="741"/>
      <c r="N55" s="741"/>
      <c r="O55" s="742"/>
      <c r="P55" s="740" t="s">
        <v>668</v>
      </c>
      <c r="Q55" s="741"/>
      <c r="R55" s="741"/>
      <c r="S55" s="741"/>
      <c r="T55" s="741"/>
      <c r="U55" s="741"/>
      <c r="V55" s="741"/>
      <c r="W55" s="742"/>
    </row>
    <row r="56" spans="2:23" x14ac:dyDescent="0.45">
      <c r="B56" s="96">
        <f t="shared" si="0"/>
        <v>50</v>
      </c>
      <c r="C56" s="93" t="s">
        <v>669</v>
      </c>
      <c r="D56" s="93" t="s">
        <v>45</v>
      </c>
      <c r="E56" s="93" t="s">
        <v>119</v>
      </c>
      <c r="F56" s="93" t="s">
        <v>493</v>
      </c>
      <c r="H56" s="740" t="s">
        <v>670</v>
      </c>
      <c r="I56" s="741"/>
      <c r="J56" s="741"/>
      <c r="K56" s="741"/>
      <c r="L56" s="741"/>
      <c r="M56" s="741"/>
      <c r="N56" s="741"/>
      <c r="O56" s="742"/>
      <c r="P56" s="740" t="s">
        <v>671</v>
      </c>
      <c r="Q56" s="741"/>
      <c r="R56" s="741"/>
      <c r="S56" s="741"/>
      <c r="T56" s="741"/>
      <c r="U56" s="741"/>
      <c r="V56" s="741"/>
      <c r="W56" s="742"/>
    </row>
    <row r="57" spans="2:23" x14ac:dyDescent="0.45">
      <c r="B57" s="96">
        <f t="shared" si="0"/>
        <v>51</v>
      </c>
      <c r="C57" s="93" t="s">
        <v>672</v>
      </c>
      <c r="D57" s="93" t="s">
        <v>45</v>
      </c>
      <c r="E57" s="93" t="s">
        <v>122</v>
      </c>
      <c r="F57" s="93" t="s">
        <v>493</v>
      </c>
      <c r="H57" s="740" t="s">
        <v>673</v>
      </c>
      <c r="I57" s="741"/>
      <c r="J57" s="741"/>
      <c r="K57" s="741"/>
      <c r="L57" s="741"/>
      <c r="M57" s="741"/>
      <c r="N57" s="741"/>
      <c r="O57" s="742"/>
      <c r="P57" s="740" t="s">
        <v>674</v>
      </c>
      <c r="Q57" s="741"/>
      <c r="R57" s="741"/>
      <c r="S57" s="741"/>
      <c r="T57" s="741"/>
      <c r="U57" s="741"/>
      <c r="V57" s="741"/>
      <c r="W57" s="742"/>
    </row>
    <row r="58" spans="2:23" x14ac:dyDescent="0.45">
      <c r="B58" s="96">
        <f t="shared" si="0"/>
        <v>52</v>
      </c>
      <c r="C58" s="93" t="s">
        <v>675</v>
      </c>
      <c r="D58" s="93" t="s">
        <v>45</v>
      </c>
      <c r="E58" s="93" t="s">
        <v>125</v>
      </c>
      <c r="F58" s="93" t="s">
        <v>493</v>
      </c>
      <c r="H58" s="740" t="s">
        <v>676</v>
      </c>
      <c r="I58" s="741"/>
      <c r="J58" s="741"/>
      <c r="K58" s="741"/>
      <c r="L58" s="741"/>
      <c r="M58" s="741"/>
      <c r="N58" s="741"/>
      <c r="O58" s="742"/>
      <c r="P58" s="740" t="s">
        <v>677</v>
      </c>
      <c r="Q58" s="741"/>
      <c r="R58" s="741"/>
      <c r="S58" s="741"/>
      <c r="T58" s="741"/>
      <c r="U58" s="741"/>
      <c r="V58" s="741"/>
      <c r="W58" s="742"/>
    </row>
    <row r="59" spans="2:23" x14ac:dyDescent="0.45">
      <c r="B59" s="96">
        <f t="shared" si="0"/>
        <v>53</v>
      </c>
      <c r="C59" s="93" t="s">
        <v>678</v>
      </c>
      <c r="D59" s="93" t="s">
        <v>45</v>
      </c>
      <c r="E59" s="93" t="s">
        <v>129</v>
      </c>
      <c r="F59" s="93" t="s">
        <v>493</v>
      </c>
      <c r="H59" s="740" t="s">
        <v>679</v>
      </c>
      <c r="I59" s="741"/>
      <c r="J59" s="741"/>
      <c r="K59" s="741"/>
      <c r="L59" s="741"/>
      <c r="M59" s="741"/>
      <c r="N59" s="741"/>
      <c r="O59" s="742"/>
      <c r="P59" s="740" t="s">
        <v>680</v>
      </c>
      <c r="Q59" s="741"/>
      <c r="R59" s="741"/>
      <c r="S59" s="741"/>
      <c r="T59" s="741"/>
      <c r="U59" s="741"/>
      <c r="V59" s="741"/>
      <c r="W59" s="742"/>
    </row>
    <row r="60" spans="2:23" x14ac:dyDescent="0.45">
      <c r="B60" s="96">
        <f t="shared" si="0"/>
        <v>54</v>
      </c>
      <c r="C60" s="93" t="s">
        <v>681</v>
      </c>
      <c r="D60" s="93" t="s">
        <v>45</v>
      </c>
      <c r="E60" s="93" t="s">
        <v>133</v>
      </c>
      <c r="F60" s="93" t="s">
        <v>493</v>
      </c>
      <c r="H60" s="740" t="s">
        <v>682</v>
      </c>
      <c r="I60" s="741"/>
      <c r="J60" s="741"/>
      <c r="K60" s="741"/>
      <c r="L60" s="741"/>
      <c r="M60" s="741"/>
      <c r="N60" s="741"/>
      <c r="O60" s="742"/>
      <c r="P60" s="740" t="s">
        <v>683</v>
      </c>
      <c r="Q60" s="741"/>
      <c r="R60" s="741"/>
      <c r="S60" s="741"/>
      <c r="T60" s="741"/>
      <c r="U60" s="741"/>
      <c r="V60" s="741"/>
      <c r="W60" s="742"/>
    </row>
    <row r="61" spans="2:23" x14ac:dyDescent="0.45">
      <c r="B61" s="96">
        <f t="shared" si="0"/>
        <v>55</v>
      </c>
      <c r="C61" s="93" t="s">
        <v>684</v>
      </c>
      <c r="D61" s="93" t="s">
        <v>45</v>
      </c>
      <c r="E61" s="93" t="s">
        <v>115</v>
      </c>
      <c r="F61" s="93" t="s">
        <v>493</v>
      </c>
      <c r="H61" s="740" t="s">
        <v>685</v>
      </c>
      <c r="I61" s="741"/>
      <c r="J61" s="741"/>
      <c r="K61" s="741"/>
      <c r="L61" s="741"/>
      <c r="M61" s="741"/>
      <c r="N61" s="741"/>
      <c r="O61" s="742"/>
      <c r="P61" s="740" t="s">
        <v>686</v>
      </c>
      <c r="Q61" s="741"/>
      <c r="R61" s="741"/>
      <c r="S61" s="741"/>
      <c r="T61" s="741"/>
      <c r="U61" s="741"/>
      <c r="V61" s="741"/>
      <c r="W61" s="742"/>
    </row>
    <row r="62" spans="2:23" x14ac:dyDescent="0.45">
      <c r="B62" s="96">
        <f t="shared" si="0"/>
        <v>56</v>
      </c>
      <c r="C62" s="93" t="s">
        <v>687</v>
      </c>
      <c r="D62" s="93" t="s">
        <v>45</v>
      </c>
      <c r="E62" s="93" t="s">
        <v>688</v>
      </c>
      <c r="F62" s="93" t="s">
        <v>493</v>
      </c>
      <c r="H62" s="740" t="s">
        <v>689</v>
      </c>
      <c r="I62" s="741"/>
      <c r="J62" s="741"/>
      <c r="K62" s="741"/>
      <c r="L62" s="741"/>
      <c r="M62" s="741"/>
      <c r="N62" s="741"/>
      <c r="O62" s="742"/>
      <c r="P62" s="740" t="s">
        <v>690</v>
      </c>
      <c r="Q62" s="741"/>
      <c r="R62" s="741"/>
      <c r="S62" s="741"/>
      <c r="T62" s="741"/>
      <c r="U62" s="741"/>
      <c r="V62" s="741"/>
      <c r="W62" s="742"/>
    </row>
    <row r="63" spans="2:23" x14ac:dyDescent="0.45">
      <c r="B63" s="96">
        <f t="shared" si="0"/>
        <v>57</v>
      </c>
      <c r="C63" s="93" t="s">
        <v>691</v>
      </c>
      <c r="D63" s="93" t="s">
        <v>45</v>
      </c>
      <c r="E63" s="93" t="s">
        <v>692</v>
      </c>
      <c r="F63" s="93" t="s">
        <v>493</v>
      </c>
      <c r="H63" s="740" t="s">
        <v>693</v>
      </c>
      <c r="I63" s="741"/>
      <c r="J63" s="741"/>
      <c r="K63" s="741"/>
      <c r="L63" s="741"/>
      <c r="M63" s="741"/>
      <c r="N63" s="741"/>
      <c r="O63" s="742"/>
      <c r="P63" s="740" t="s">
        <v>694</v>
      </c>
      <c r="Q63" s="741"/>
      <c r="R63" s="741"/>
      <c r="S63" s="741"/>
      <c r="T63" s="741"/>
      <c r="U63" s="741"/>
      <c r="V63" s="741"/>
      <c r="W63" s="742"/>
    </row>
    <row r="64" spans="2:23" x14ac:dyDescent="0.45">
      <c r="B64" s="96">
        <f t="shared" si="0"/>
        <v>58</v>
      </c>
      <c r="C64" s="93" t="s">
        <v>695</v>
      </c>
      <c r="D64" s="93" t="s">
        <v>45</v>
      </c>
      <c r="E64" s="93" t="s">
        <v>696</v>
      </c>
      <c r="F64" s="93" t="s">
        <v>493</v>
      </c>
      <c r="H64" s="740" t="s">
        <v>697</v>
      </c>
      <c r="I64" s="741"/>
      <c r="J64" s="741"/>
      <c r="K64" s="741"/>
      <c r="L64" s="741"/>
      <c r="M64" s="741"/>
      <c r="N64" s="741"/>
      <c r="O64" s="742"/>
      <c r="P64" s="740" t="s">
        <v>698</v>
      </c>
      <c r="Q64" s="741"/>
      <c r="R64" s="741"/>
      <c r="S64" s="741"/>
      <c r="T64" s="741"/>
      <c r="U64" s="741"/>
      <c r="V64" s="741"/>
      <c r="W64" s="742"/>
    </row>
    <row r="65" spans="2:23" x14ac:dyDescent="0.45">
      <c r="B65" s="96">
        <f t="shared" si="0"/>
        <v>59</v>
      </c>
      <c r="C65" s="93" t="s">
        <v>699</v>
      </c>
      <c r="D65" s="93" t="s">
        <v>45</v>
      </c>
      <c r="E65" s="93" t="s">
        <v>700</v>
      </c>
      <c r="F65" s="93" t="s">
        <v>493</v>
      </c>
      <c r="H65" s="740" t="s">
        <v>701</v>
      </c>
      <c r="I65" s="741"/>
      <c r="J65" s="741"/>
      <c r="K65" s="741"/>
      <c r="L65" s="741"/>
      <c r="M65" s="741"/>
      <c r="N65" s="741"/>
      <c r="O65" s="742"/>
      <c r="P65" s="740" t="s">
        <v>702</v>
      </c>
      <c r="Q65" s="741"/>
      <c r="R65" s="741"/>
      <c r="S65" s="741"/>
      <c r="T65" s="741"/>
      <c r="U65" s="741"/>
      <c r="V65" s="741"/>
      <c r="W65" s="742"/>
    </row>
    <row r="66" spans="2:23" x14ac:dyDescent="0.45">
      <c r="B66" s="96"/>
    </row>
    <row r="67" spans="2:23" x14ac:dyDescent="0.45">
      <c r="B67" s="96">
        <f>B65+1</f>
        <v>60</v>
      </c>
      <c r="C67" s="93" t="s">
        <v>703</v>
      </c>
      <c r="D67" s="93" t="s">
        <v>45</v>
      </c>
      <c r="E67" s="93" t="s">
        <v>704</v>
      </c>
      <c r="F67" s="93" t="s">
        <v>493</v>
      </c>
      <c r="H67" s="100" t="s">
        <v>705</v>
      </c>
      <c r="I67" s="100" t="s">
        <v>706</v>
      </c>
      <c r="J67" s="100" t="s">
        <v>707</v>
      </c>
      <c r="K67" s="100" t="s">
        <v>708</v>
      </c>
      <c r="L67" s="100" t="s">
        <v>709</v>
      </c>
      <c r="M67" s="100" t="s">
        <v>710</v>
      </c>
      <c r="N67" s="100" t="s">
        <v>711</v>
      </c>
      <c r="O67" s="100" t="s">
        <v>712</v>
      </c>
      <c r="P67" s="100" t="s">
        <v>713</v>
      </c>
      <c r="Q67" s="100" t="s">
        <v>714</v>
      </c>
      <c r="R67" s="100" t="s">
        <v>715</v>
      </c>
      <c r="S67" s="100" t="s">
        <v>716</v>
      </c>
      <c r="T67" s="100" t="s">
        <v>717</v>
      </c>
      <c r="U67" s="100" t="s">
        <v>718</v>
      </c>
      <c r="V67" s="100" t="s">
        <v>719</v>
      </c>
      <c r="W67" s="100" t="s">
        <v>720</v>
      </c>
    </row>
    <row r="68" spans="2:23" x14ac:dyDescent="0.45">
      <c r="B68" s="96">
        <f t="shared" ref="B68:B152" si="2">B67+1</f>
        <v>61</v>
      </c>
      <c r="C68" s="93" t="s">
        <v>721</v>
      </c>
      <c r="D68" s="93" t="s">
        <v>45</v>
      </c>
      <c r="E68" s="93" t="s">
        <v>722</v>
      </c>
      <c r="F68" s="93" t="s">
        <v>493</v>
      </c>
      <c r="H68" s="740" t="s">
        <v>723</v>
      </c>
      <c r="I68" s="742"/>
      <c r="J68" s="101"/>
      <c r="K68" s="740" t="s">
        <v>724</v>
      </c>
      <c r="L68" s="741"/>
      <c r="M68" s="741"/>
      <c r="N68" s="741"/>
      <c r="O68" s="742"/>
      <c r="P68" s="100" t="s">
        <v>725</v>
      </c>
      <c r="Q68" s="100" t="s">
        <v>726</v>
      </c>
      <c r="R68" s="100" t="s">
        <v>727</v>
      </c>
      <c r="S68" s="100" t="s">
        <v>728</v>
      </c>
      <c r="T68" s="100" t="s">
        <v>729</v>
      </c>
      <c r="U68" s="100" t="s">
        <v>730</v>
      </c>
      <c r="V68" s="100" t="s">
        <v>731</v>
      </c>
      <c r="W68" s="100" t="s">
        <v>732</v>
      </c>
    </row>
    <row r="69" spans="2:23" x14ac:dyDescent="0.45">
      <c r="B69" s="96"/>
    </row>
    <row r="70" spans="2:23" x14ac:dyDescent="0.45">
      <c r="B70" s="96"/>
      <c r="C70" s="388" t="s">
        <v>1260</v>
      </c>
    </row>
    <row r="71" spans="2:23" ht="51" x14ac:dyDescent="0.45">
      <c r="B71" s="96">
        <f>B68+1</f>
        <v>62</v>
      </c>
      <c r="C71" s="269" t="s">
        <v>1250</v>
      </c>
      <c r="D71" s="269" t="s">
        <v>45</v>
      </c>
      <c r="E71" s="269" t="s">
        <v>1546</v>
      </c>
      <c r="F71" s="269" t="s">
        <v>1475</v>
      </c>
      <c r="H71" s="101"/>
      <c r="I71" s="101"/>
      <c r="J71" s="101"/>
      <c r="K71" s="391" t="s">
        <v>1278</v>
      </c>
      <c r="L71" s="387"/>
      <c r="M71" s="387"/>
      <c r="N71" s="391" t="s">
        <v>1454</v>
      </c>
      <c r="O71" s="391" t="s">
        <v>1474</v>
      </c>
      <c r="P71" s="387"/>
      <c r="Q71" s="387"/>
      <c r="R71" s="391" t="s">
        <v>1515</v>
      </c>
      <c r="S71" s="391" t="s">
        <v>1277</v>
      </c>
      <c r="T71" s="387"/>
      <c r="U71" s="387"/>
      <c r="V71" s="397"/>
      <c r="W71" s="391" t="s">
        <v>1276</v>
      </c>
    </row>
    <row r="72" spans="2:23" x14ac:dyDescent="0.45">
      <c r="B72" s="96">
        <f>B71+1</f>
        <v>63</v>
      </c>
      <c r="C72" s="269" t="s">
        <v>1251</v>
      </c>
      <c r="D72" s="269" t="s">
        <v>45</v>
      </c>
      <c r="E72" s="269" t="s">
        <v>1537</v>
      </c>
      <c r="F72" s="536" t="s">
        <v>1566</v>
      </c>
      <c r="H72" s="101"/>
      <c r="I72" s="101"/>
      <c r="J72" s="101"/>
      <c r="K72" s="101"/>
      <c r="L72" s="730" t="s">
        <v>1253</v>
      </c>
      <c r="M72" s="731"/>
      <c r="N72" s="731"/>
      <c r="O72" s="731"/>
      <c r="P72" s="731"/>
      <c r="Q72" s="731"/>
      <c r="R72" s="731"/>
      <c r="S72" s="731"/>
      <c r="T72" s="731"/>
      <c r="U72" s="731"/>
      <c r="V72" s="731"/>
      <c r="W72" s="732"/>
    </row>
    <row r="73" spans="2:23" x14ac:dyDescent="0.45">
      <c r="B73" s="96">
        <f t="shared" ref="B73:B87" si="3">B72+1</f>
        <v>64</v>
      </c>
      <c r="C73" s="269" t="s">
        <v>1252</v>
      </c>
      <c r="D73" s="269" t="s">
        <v>74</v>
      </c>
      <c r="E73" s="269" t="s">
        <v>1240</v>
      </c>
      <c r="F73" s="536" t="s">
        <v>1566</v>
      </c>
      <c r="H73" s="101"/>
      <c r="I73" s="101"/>
      <c r="J73" s="101"/>
      <c r="K73" s="101"/>
      <c r="L73" s="730" t="s">
        <v>1256</v>
      </c>
      <c r="M73" s="731"/>
      <c r="N73" s="731"/>
      <c r="O73" s="731"/>
      <c r="P73" s="731"/>
      <c r="Q73" s="731"/>
      <c r="R73" s="731"/>
      <c r="S73" s="731"/>
      <c r="T73" s="731"/>
      <c r="U73" s="731"/>
      <c r="V73" s="731"/>
      <c r="W73" s="732"/>
    </row>
    <row r="74" spans="2:23" x14ac:dyDescent="0.45">
      <c r="B74" s="96">
        <f t="shared" si="3"/>
        <v>65</v>
      </c>
      <c r="C74" s="269" t="s">
        <v>1254</v>
      </c>
      <c r="D74" s="269" t="s">
        <v>74</v>
      </c>
      <c r="E74" s="269" t="s">
        <v>1241</v>
      </c>
      <c r="F74" s="536" t="s">
        <v>1566</v>
      </c>
      <c r="H74" s="101"/>
      <c r="I74" s="101"/>
      <c r="J74" s="101"/>
      <c r="K74" s="101"/>
      <c r="L74" s="730" t="s">
        <v>1255</v>
      </c>
      <c r="M74" s="731"/>
      <c r="N74" s="731"/>
      <c r="O74" s="731"/>
      <c r="P74" s="731"/>
      <c r="Q74" s="731"/>
      <c r="R74" s="731"/>
      <c r="S74" s="731"/>
      <c r="T74" s="731"/>
      <c r="U74" s="731"/>
      <c r="V74" s="731"/>
      <c r="W74" s="732"/>
    </row>
    <row r="75" spans="2:23" x14ac:dyDescent="0.45">
      <c r="B75" s="96">
        <f t="shared" si="3"/>
        <v>66</v>
      </c>
      <c r="C75" s="269" t="s">
        <v>1573</v>
      </c>
      <c r="D75" s="269" t="s">
        <v>45</v>
      </c>
      <c r="E75" s="269" t="s">
        <v>1242</v>
      </c>
      <c r="F75" s="269" t="s">
        <v>1488</v>
      </c>
      <c r="H75" s="730" t="s">
        <v>1453</v>
      </c>
      <c r="I75" s="731"/>
      <c r="J75" s="731"/>
      <c r="K75" s="731"/>
      <c r="L75" s="731"/>
      <c r="M75" s="732"/>
      <c r="N75" s="730" t="s">
        <v>1452</v>
      </c>
      <c r="O75" s="731"/>
      <c r="P75" s="731"/>
      <c r="Q75" s="731"/>
      <c r="R75" s="732"/>
      <c r="S75" s="730" t="s">
        <v>1451</v>
      </c>
      <c r="T75" s="731"/>
      <c r="U75" s="731"/>
      <c r="V75" s="731"/>
      <c r="W75" s="732"/>
    </row>
    <row r="76" spans="2:23" x14ac:dyDescent="0.45">
      <c r="B76" s="96">
        <f t="shared" si="3"/>
        <v>67</v>
      </c>
      <c r="C76" s="269" t="s">
        <v>1574</v>
      </c>
      <c r="D76" s="269" t="s">
        <v>45</v>
      </c>
      <c r="E76" s="269" t="s">
        <v>1243</v>
      </c>
      <c r="F76" s="269" t="s">
        <v>1490</v>
      </c>
      <c r="H76" s="730" t="s">
        <v>1482</v>
      </c>
      <c r="I76" s="731"/>
      <c r="J76" s="731"/>
      <c r="K76" s="731"/>
      <c r="L76" s="731"/>
      <c r="M76" s="731"/>
      <c r="N76" s="731"/>
      <c r="O76" s="731"/>
      <c r="P76" s="732"/>
      <c r="Q76" s="730" t="s">
        <v>1481</v>
      </c>
      <c r="R76" s="731"/>
      <c r="S76" s="731"/>
      <c r="T76" s="731"/>
      <c r="U76" s="731"/>
      <c r="V76" s="731"/>
      <c r="W76" s="732"/>
    </row>
    <row r="77" spans="2:23" x14ac:dyDescent="0.45">
      <c r="B77" s="96"/>
      <c r="C77" s="269" t="s">
        <v>1485</v>
      </c>
      <c r="D77" s="269" t="s">
        <v>45</v>
      </c>
      <c r="E77" s="269" t="s">
        <v>1244</v>
      </c>
      <c r="F77" s="269" t="s">
        <v>1516</v>
      </c>
      <c r="H77" s="101"/>
      <c r="I77" s="730" t="s">
        <v>1483</v>
      </c>
      <c r="J77" s="731"/>
      <c r="K77" s="731"/>
      <c r="L77" s="731"/>
      <c r="M77" s="731"/>
      <c r="N77" s="731"/>
      <c r="O77" s="732"/>
      <c r="P77" s="101"/>
      <c r="Q77" s="730" t="s">
        <v>1484</v>
      </c>
      <c r="R77" s="731"/>
      <c r="S77" s="731"/>
      <c r="T77" s="731"/>
      <c r="U77" s="731"/>
      <c r="V77" s="731"/>
      <c r="W77" s="732"/>
    </row>
    <row r="78" spans="2:23" x14ac:dyDescent="0.45">
      <c r="B78" s="96">
        <f>B76+1</f>
        <v>68</v>
      </c>
      <c r="C78" s="269" t="s">
        <v>1455</v>
      </c>
      <c r="D78" s="269" t="s">
        <v>45</v>
      </c>
      <c r="E78" s="269" t="s">
        <v>1245</v>
      </c>
      <c r="F78" s="269" t="s">
        <v>1487</v>
      </c>
      <c r="H78" s="101"/>
      <c r="I78" s="101"/>
      <c r="J78" s="101"/>
      <c r="K78" s="101"/>
      <c r="L78" s="101"/>
      <c r="M78" s="101"/>
      <c r="N78" s="270" t="s">
        <v>1456</v>
      </c>
      <c r="O78" s="730" t="s">
        <v>1469</v>
      </c>
      <c r="P78" s="731"/>
      <c r="Q78" s="731"/>
      <c r="R78" s="731"/>
      <c r="S78" s="731"/>
      <c r="T78" s="731"/>
      <c r="U78" s="731"/>
      <c r="V78" s="731"/>
      <c r="W78" s="732"/>
    </row>
    <row r="79" spans="2:23" x14ac:dyDescent="0.45">
      <c r="B79" s="96">
        <f t="shared" si="3"/>
        <v>69</v>
      </c>
      <c r="C79" s="269" t="s">
        <v>1472</v>
      </c>
      <c r="D79" s="269" t="s">
        <v>45</v>
      </c>
      <c r="E79" s="269" t="s">
        <v>1246</v>
      </c>
      <c r="F79" s="269" t="s">
        <v>1489</v>
      </c>
      <c r="H79" s="730" t="s">
        <v>1471</v>
      </c>
      <c r="I79" s="731"/>
      <c r="J79" s="731"/>
      <c r="K79" s="731"/>
      <c r="L79" s="731"/>
      <c r="M79" s="731"/>
      <c r="N79" s="731"/>
      <c r="O79" s="731"/>
      <c r="P79" s="732"/>
      <c r="Q79" s="730" t="s">
        <v>1470</v>
      </c>
      <c r="R79" s="731"/>
      <c r="S79" s="731"/>
      <c r="T79" s="731"/>
      <c r="U79" s="731"/>
      <c r="V79" s="731"/>
      <c r="W79" s="732"/>
    </row>
    <row r="80" spans="2:23" x14ac:dyDescent="0.45">
      <c r="B80" s="96">
        <f t="shared" si="3"/>
        <v>70</v>
      </c>
      <c r="C80" s="269" t="s">
        <v>1480</v>
      </c>
      <c r="D80" s="269" t="s">
        <v>45</v>
      </c>
      <c r="E80" s="269" t="s">
        <v>1247</v>
      </c>
      <c r="F80" s="269" t="s">
        <v>1517</v>
      </c>
      <c r="H80" s="730" t="s">
        <v>1477</v>
      </c>
      <c r="I80" s="731"/>
      <c r="J80" s="731"/>
      <c r="K80" s="732"/>
      <c r="L80" s="515"/>
      <c r="M80" s="515"/>
      <c r="N80" s="515"/>
      <c r="O80" s="730" t="s">
        <v>1476</v>
      </c>
      <c r="P80" s="731"/>
      <c r="Q80" s="731"/>
      <c r="R80" s="731"/>
      <c r="S80" s="731"/>
      <c r="T80" s="731"/>
      <c r="U80" s="731"/>
      <c r="V80" s="731"/>
      <c r="W80" s="732"/>
    </row>
    <row r="81" spans="2:23" x14ac:dyDescent="0.45">
      <c r="B81" s="96">
        <f t="shared" si="3"/>
        <v>71</v>
      </c>
      <c r="C81" s="269" t="s">
        <v>1479</v>
      </c>
      <c r="D81" s="269" t="s">
        <v>45</v>
      </c>
      <c r="E81" s="269" t="s">
        <v>1248</v>
      </c>
      <c r="F81" s="269" t="s">
        <v>1518</v>
      </c>
      <c r="H81" s="730" t="s">
        <v>1473</v>
      </c>
      <c r="I81" s="731"/>
      <c r="J81" s="731"/>
      <c r="K81" s="731"/>
      <c r="L81" s="731"/>
      <c r="M81" s="731"/>
      <c r="N81" s="731"/>
      <c r="O81" s="731"/>
      <c r="P81" s="731"/>
      <c r="Q81" s="732"/>
      <c r="R81" s="730" t="s">
        <v>1478</v>
      </c>
      <c r="S81" s="731"/>
      <c r="T81" s="731"/>
      <c r="U81" s="731"/>
      <c r="V81" s="731"/>
      <c r="W81" s="732"/>
    </row>
    <row r="82" spans="2:23" x14ac:dyDescent="0.45">
      <c r="B82" s="96">
        <f t="shared" si="3"/>
        <v>72</v>
      </c>
      <c r="C82" s="269" t="s">
        <v>1257</v>
      </c>
      <c r="D82" s="269" t="s">
        <v>45</v>
      </c>
      <c r="E82" s="269" t="s">
        <v>1249</v>
      </c>
      <c r="F82" s="269" t="s">
        <v>480</v>
      </c>
      <c r="H82" s="730" t="s">
        <v>1542</v>
      </c>
      <c r="I82" s="731"/>
      <c r="J82" s="731"/>
      <c r="K82" s="731"/>
      <c r="L82" s="731"/>
      <c r="M82" s="731"/>
      <c r="N82" s="731"/>
      <c r="O82" s="731"/>
      <c r="P82" s="731"/>
      <c r="Q82" s="731"/>
      <c r="R82" s="731"/>
      <c r="S82" s="731"/>
      <c r="T82" s="731"/>
      <c r="U82" s="731"/>
      <c r="V82" s="731"/>
      <c r="W82" s="732"/>
    </row>
    <row r="83" spans="2:23" x14ac:dyDescent="0.45">
      <c r="B83" s="96">
        <f t="shared" si="3"/>
        <v>73</v>
      </c>
      <c r="C83" s="269" t="s">
        <v>1467</v>
      </c>
      <c r="D83" s="269" t="s">
        <v>45</v>
      </c>
      <c r="E83" s="269" t="s">
        <v>1461</v>
      </c>
      <c r="F83" s="269" t="s">
        <v>1486</v>
      </c>
      <c r="H83" s="101"/>
      <c r="I83" s="101"/>
      <c r="J83" s="101"/>
      <c r="K83" s="101"/>
      <c r="L83" s="730" t="s">
        <v>1468</v>
      </c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2"/>
    </row>
    <row r="84" spans="2:23" x14ac:dyDescent="0.45">
      <c r="B84" s="96">
        <f t="shared" si="3"/>
        <v>74</v>
      </c>
      <c r="C84" s="269" t="s">
        <v>1547</v>
      </c>
      <c r="D84" s="269" t="s">
        <v>45</v>
      </c>
      <c r="E84" s="269" t="s">
        <v>1462</v>
      </c>
      <c r="F84" s="269" t="s">
        <v>1578</v>
      </c>
      <c r="H84" s="101"/>
      <c r="I84" s="101"/>
      <c r="J84" s="101"/>
      <c r="K84" s="101"/>
      <c r="L84" s="730" t="s">
        <v>1548</v>
      </c>
      <c r="M84" s="731"/>
      <c r="N84" s="731"/>
      <c r="O84" s="731"/>
      <c r="P84" s="731"/>
      <c r="Q84" s="731"/>
      <c r="R84" s="731"/>
      <c r="S84" s="731"/>
      <c r="T84" s="731"/>
      <c r="U84" s="731"/>
      <c r="V84" s="731"/>
      <c r="W84" s="732"/>
    </row>
    <row r="85" spans="2:23" x14ac:dyDescent="0.45">
      <c r="B85" s="96">
        <f t="shared" si="3"/>
        <v>75</v>
      </c>
      <c r="C85" s="269" t="s">
        <v>1258</v>
      </c>
      <c r="D85" s="269" t="s">
        <v>74</v>
      </c>
      <c r="E85" s="269" t="s">
        <v>1463</v>
      </c>
      <c r="F85" s="269" t="s">
        <v>493</v>
      </c>
      <c r="H85" s="101"/>
      <c r="I85" s="101"/>
      <c r="J85" s="101"/>
      <c r="K85" s="101"/>
      <c r="L85" s="101"/>
      <c r="M85" s="101"/>
      <c r="N85" s="101"/>
      <c r="O85" s="101"/>
      <c r="P85" s="730" t="s">
        <v>1458</v>
      </c>
      <c r="Q85" s="731"/>
      <c r="R85" s="731"/>
      <c r="S85" s="732"/>
      <c r="T85" s="730" t="s">
        <v>1457</v>
      </c>
      <c r="U85" s="731"/>
      <c r="V85" s="731"/>
      <c r="W85" s="732"/>
    </row>
    <row r="86" spans="2:23" x14ac:dyDescent="0.45">
      <c r="B86" s="96">
        <f t="shared" si="3"/>
        <v>76</v>
      </c>
      <c r="C86" s="269" t="s">
        <v>1259</v>
      </c>
      <c r="D86" s="269" t="s">
        <v>74</v>
      </c>
      <c r="E86" s="269" t="s">
        <v>1464</v>
      </c>
      <c r="F86" s="269" t="s">
        <v>493</v>
      </c>
      <c r="H86" s="730" t="s">
        <v>1544</v>
      </c>
      <c r="I86" s="731"/>
      <c r="J86" s="731"/>
      <c r="K86" s="731"/>
      <c r="L86" s="731"/>
      <c r="M86" s="731"/>
      <c r="N86" s="731"/>
      <c r="O86" s="731"/>
      <c r="P86" s="731"/>
      <c r="Q86" s="731"/>
      <c r="R86" s="731"/>
      <c r="S86" s="731"/>
      <c r="T86" s="731"/>
      <c r="U86" s="731"/>
      <c r="V86" s="731"/>
      <c r="W86" s="732"/>
    </row>
    <row r="87" spans="2:23" x14ac:dyDescent="0.45">
      <c r="B87" s="96">
        <f t="shared" si="3"/>
        <v>77</v>
      </c>
      <c r="C87" s="269" t="s">
        <v>1460</v>
      </c>
      <c r="D87" s="269" t="s">
        <v>74</v>
      </c>
      <c r="E87" s="269" t="s">
        <v>1465</v>
      </c>
      <c r="F87" s="269" t="s">
        <v>493</v>
      </c>
      <c r="H87" s="730" t="s">
        <v>1459</v>
      </c>
      <c r="I87" s="731"/>
      <c r="J87" s="731"/>
      <c r="K87" s="731"/>
      <c r="L87" s="731"/>
      <c r="M87" s="731"/>
      <c r="N87" s="731"/>
      <c r="O87" s="732"/>
      <c r="P87" s="101"/>
      <c r="Q87" s="730" t="s">
        <v>1538</v>
      </c>
      <c r="R87" s="731"/>
      <c r="S87" s="731"/>
      <c r="T87" s="731"/>
      <c r="U87" s="731"/>
      <c r="V87" s="731"/>
      <c r="W87" s="732"/>
    </row>
    <row r="88" spans="2:23" x14ac:dyDescent="0.45">
      <c r="B88" s="96"/>
      <c r="C88" s="269" t="s">
        <v>1540</v>
      </c>
      <c r="D88" s="269" t="s">
        <v>74</v>
      </c>
      <c r="E88" s="269" t="s">
        <v>1466</v>
      </c>
      <c r="F88" s="269" t="s">
        <v>493</v>
      </c>
      <c r="H88" s="101"/>
      <c r="I88" s="101"/>
      <c r="J88" s="101"/>
      <c r="K88" s="270" t="s">
        <v>1456</v>
      </c>
      <c r="L88" s="730" t="s">
        <v>1539</v>
      </c>
      <c r="M88" s="731"/>
      <c r="N88" s="731"/>
      <c r="O88" s="731"/>
      <c r="P88" s="731"/>
      <c r="Q88" s="731"/>
      <c r="R88" s="731"/>
      <c r="S88" s="731"/>
      <c r="T88" s="731"/>
      <c r="U88" s="731"/>
      <c r="V88" s="731"/>
      <c r="W88" s="732"/>
    </row>
    <row r="89" spans="2:23" x14ac:dyDescent="0.45">
      <c r="B89" s="96"/>
    </row>
    <row r="90" spans="2:23" x14ac:dyDescent="0.45">
      <c r="B90" s="96"/>
      <c r="C90" s="388" t="s">
        <v>733</v>
      </c>
    </row>
    <row r="91" spans="2:23" x14ac:dyDescent="0.45">
      <c r="B91" s="96">
        <f>B87+1</f>
        <v>78</v>
      </c>
      <c r="C91" s="93" t="s">
        <v>734</v>
      </c>
      <c r="D91" s="93" t="s">
        <v>45</v>
      </c>
      <c r="E91" s="93" t="s">
        <v>735</v>
      </c>
      <c r="F91" s="93" t="s">
        <v>480</v>
      </c>
      <c r="H91" s="101"/>
      <c r="I91" s="101"/>
      <c r="J91" s="101"/>
      <c r="K91" s="101"/>
      <c r="L91" s="733" t="s">
        <v>736</v>
      </c>
      <c r="M91" s="733"/>
      <c r="N91" s="733"/>
      <c r="O91" s="733"/>
      <c r="P91" s="733"/>
      <c r="Q91" s="733"/>
      <c r="R91" s="733"/>
      <c r="S91" s="733"/>
      <c r="T91" s="733"/>
      <c r="U91" s="733"/>
      <c r="V91" s="733"/>
      <c r="W91" s="733"/>
    </row>
    <row r="92" spans="2:23" x14ac:dyDescent="0.45">
      <c r="B92" s="96">
        <f t="shared" si="2"/>
        <v>79</v>
      </c>
      <c r="C92" s="93" t="s">
        <v>737</v>
      </c>
      <c r="D92" s="93" t="s">
        <v>74</v>
      </c>
      <c r="E92" s="93" t="s">
        <v>738</v>
      </c>
      <c r="F92" s="93" t="s">
        <v>480</v>
      </c>
      <c r="H92" s="733" t="s">
        <v>739</v>
      </c>
      <c r="I92" s="733"/>
      <c r="J92" s="733"/>
      <c r="K92" s="733"/>
      <c r="L92" s="733" t="s">
        <v>740</v>
      </c>
      <c r="M92" s="733"/>
      <c r="N92" s="733"/>
      <c r="O92" s="733"/>
      <c r="P92" s="733" t="s">
        <v>741</v>
      </c>
      <c r="Q92" s="733"/>
      <c r="R92" s="733"/>
      <c r="S92" s="733"/>
      <c r="T92" s="733" t="s">
        <v>742</v>
      </c>
      <c r="U92" s="733"/>
      <c r="V92" s="733"/>
      <c r="W92" s="733"/>
    </row>
    <row r="93" spans="2:23" x14ac:dyDescent="0.45">
      <c r="B93" s="96">
        <f t="shared" si="2"/>
        <v>80</v>
      </c>
      <c r="C93" s="93" t="s">
        <v>743</v>
      </c>
      <c r="D93" s="93" t="s">
        <v>74</v>
      </c>
      <c r="E93" s="93" t="s">
        <v>744</v>
      </c>
      <c r="F93" s="93" t="s">
        <v>480</v>
      </c>
      <c r="H93" s="733" t="s">
        <v>745</v>
      </c>
      <c r="I93" s="733"/>
      <c r="J93" s="733"/>
      <c r="K93" s="733"/>
      <c r="L93" s="733" t="s">
        <v>746</v>
      </c>
      <c r="M93" s="733"/>
      <c r="N93" s="733"/>
      <c r="O93" s="733"/>
      <c r="P93" s="733" t="s">
        <v>747</v>
      </c>
      <c r="Q93" s="733"/>
      <c r="R93" s="733"/>
      <c r="S93" s="733"/>
      <c r="T93" s="733" t="s">
        <v>748</v>
      </c>
      <c r="U93" s="733"/>
      <c r="V93" s="733"/>
      <c r="W93" s="733"/>
    </row>
    <row r="94" spans="2:23" x14ac:dyDescent="0.45">
      <c r="B94" s="96">
        <f t="shared" si="2"/>
        <v>81</v>
      </c>
      <c r="C94" s="93" t="s">
        <v>749</v>
      </c>
      <c r="D94" s="93" t="s">
        <v>74</v>
      </c>
      <c r="E94" s="93" t="s">
        <v>750</v>
      </c>
      <c r="F94" s="93" t="s">
        <v>480</v>
      </c>
      <c r="H94" s="733" t="s">
        <v>751</v>
      </c>
      <c r="I94" s="733"/>
      <c r="J94" s="733"/>
      <c r="K94" s="733"/>
      <c r="L94" s="733" t="s">
        <v>752</v>
      </c>
      <c r="M94" s="733"/>
      <c r="N94" s="733"/>
      <c r="O94" s="733"/>
      <c r="P94" s="733" t="s">
        <v>753</v>
      </c>
      <c r="Q94" s="733"/>
      <c r="R94" s="733"/>
      <c r="S94" s="733"/>
      <c r="T94" s="733" t="s">
        <v>754</v>
      </c>
      <c r="U94" s="733"/>
      <c r="V94" s="733"/>
      <c r="W94" s="733"/>
    </row>
    <row r="95" spans="2:23" x14ac:dyDescent="0.45">
      <c r="B95" s="96">
        <f t="shared" si="2"/>
        <v>82</v>
      </c>
      <c r="C95" s="93" t="s">
        <v>755</v>
      </c>
      <c r="D95" s="93" t="s">
        <v>74</v>
      </c>
      <c r="E95" s="93" t="s">
        <v>756</v>
      </c>
      <c r="F95" s="93" t="s">
        <v>480</v>
      </c>
      <c r="H95" s="733" t="s">
        <v>757</v>
      </c>
      <c r="I95" s="733"/>
      <c r="J95" s="733"/>
      <c r="K95" s="733"/>
      <c r="L95" s="733" t="s">
        <v>758</v>
      </c>
      <c r="M95" s="733"/>
      <c r="N95" s="733"/>
      <c r="O95" s="733"/>
      <c r="P95" s="733" t="s">
        <v>759</v>
      </c>
      <c r="Q95" s="733"/>
      <c r="R95" s="733"/>
      <c r="S95" s="733"/>
      <c r="T95" s="733" t="s">
        <v>760</v>
      </c>
      <c r="U95" s="733"/>
      <c r="V95" s="733"/>
      <c r="W95" s="733"/>
    </row>
    <row r="96" spans="2:23" x14ac:dyDescent="0.45">
      <c r="B96" s="96">
        <f t="shared" si="2"/>
        <v>83</v>
      </c>
      <c r="C96" s="93" t="s">
        <v>761</v>
      </c>
      <c r="D96" s="93" t="s">
        <v>74</v>
      </c>
      <c r="E96" s="93" t="s">
        <v>762</v>
      </c>
      <c r="F96" s="93" t="s">
        <v>480</v>
      </c>
      <c r="H96" s="733" t="s">
        <v>763</v>
      </c>
      <c r="I96" s="733"/>
      <c r="J96" s="733"/>
      <c r="K96" s="733"/>
      <c r="L96" s="733" t="s">
        <v>764</v>
      </c>
      <c r="M96" s="733"/>
      <c r="N96" s="733"/>
      <c r="O96" s="733"/>
      <c r="P96" s="733" t="s">
        <v>765</v>
      </c>
      <c r="Q96" s="733"/>
      <c r="R96" s="733"/>
      <c r="S96" s="733"/>
      <c r="T96" s="733" t="s">
        <v>766</v>
      </c>
      <c r="U96" s="733"/>
      <c r="V96" s="733"/>
      <c r="W96" s="733"/>
    </row>
    <row r="97" spans="2:23" x14ac:dyDescent="0.45">
      <c r="B97" s="96">
        <f t="shared" si="2"/>
        <v>84</v>
      </c>
      <c r="C97" s="93" t="s">
        <v>767</v>
      </c>
      <c r="D97" s="93" t="s">
        <v>74</v>
      </c>
      <c r="E97" s="93" t="s">
        <v>768</v>
      </c>
      <c r="F97" s="93" t="s">
        <v>480</v>
      </c>
      <c r="H97" s="733" t="s">
        <v>769</v>
      </c>
      <c r="I97" s="733"/>
      <c r="J97" s="733"/>
      <c r="K97" s="733"/>
      <c r="L97" s="733" t="s">
        <v>770</v>
      </c>
      <c r="M97" s="733"/>
      <c r="N97" s="733"/>
      <c r="O97" s="733"/>
      <c r="P97" s="733" t="s">
        <v>771</v>
      </c>
      <c r="Q97" s="733"/>
      <c r="R97" s="733"/>
      <c r="S97" s="733"/>
      <c r="T97" s="733" t="s">
        <v>772</v>
      </c>
      <c r="U97" s="733"/>
      <c r="V97" s="733"/>
      <c r="W97" s="733"/>
    </row>
    <row r="98" spans="2:23" x14ac:dyDescent="0.45">
      <c r="B98" s="96"/>
    </row>
    <row r="99" spans="2:23" x14ac:dyDescent="0.45">
      <c r="B99" s="96"/>
      <c r="C99" s="388" t="s">
        <v>773</v>
      </c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</row>
    <row r="100" spans="2:23" x14ac:dyDescent="0.45">
      <c r="B100" s="96">
        <f>B97+1</f>
        <v>85</v>
      </c>
      <c r="C100" s="209" t="s">
        <v>774</v>
      </c>
      <c r="D100" s="209" t="s">
        <v>45</v>
      </c>
      <c r="E100" s="209" t="s">
        <v>775</v>
      </c>
      <c r="F100" s="209" t="s">
        <v>480</v>
      </c>
      <c r="H100" s="101"/>
      <c r="I100" s="101"/>
      <c r="J100" s="101"/>
      <c r="K100" s="101"/>
      <c r="L100" s="733" t="s">
        <v>736</v>
      </c>
      <c r="M100" s="733"/>
      <c r="N100" s="733"/>
      <c r="O100" s="733"/>
      <c r="P100" s="733"/>
      <c r="Q100" s="733"/>
      <c r="R100" s="733"/>
      <c r="S100" s="733"/>
      <c r="T100" s="733"/>
      <c r="U100" s="733"/>
      <c r="V100" s="733"/>
      <c r="W100" s="733"/>
    </row>
    <row r="101" spans="2:23" x14ac:dyDescent="0.45">
      <c r="B101" s="96">
        <f t="shared" si="2"/>
        <v>86</v>
      </c>
      <c r="C101" s="209" t="s">
        <v>776</v>
      </c>
      <c r="D101" s="209" t="s">
        <v>45</v>
      </c>
      <c r="E101" s="209" t="s">
        <v>777</v>
      </c>
      <c r="F101" s="209" t="s">
        <v>480</v>
      </c>
      <c r="H101" s="101"/>
      <c r="I101" s="101"/>
      <c r="J101" s="101"/>
      <c r="K101" s="101"/>
      <c r="L101" s="733" t="s">
        <v>736</v>
      </c>
      <c r="M101" s="733"/>
      <c r="N101" s="733"/>
      <c r="O101" s="733"/>
      <c r="P101" s="733"/>
      <c r="Q101" s="733"/>
      <c r="R101" s="733"/>
      <c r="S101" s="733"/>
      <c r="T101" s="733"/>
      <c r="U101" s="733"/>
      <c r="V101" s="733"/>
      <c r="W101" s="733"/>
    </row>
    <row r="102" spans="2:23" x14ac:dyDescent="0.45">
      <c r="B102" s="96">
        <f t="shared" si="2"/>
        <v>87</v>
      </c>
      <c r="C102" s="209" t="s">
        <v>778</v>
      </c>
      <c r="D102" s="209" t="s">
        <v>45</v>
      </c>
      <c r="E102" s="209" t="s">
        <v>779</v>
      </c>
      <c r="F102" s="209" t="s">
        <v>493</v>
      </c>
      <c r="H102" s="101"/>
      <c r="I102" s="101"/>
      <c r="J102" s="101"/>
      <c r="K102" s="101"/>
      <c r="L102" s="733" t="s">
        <v>780</v>
      </c>
      <c r="M102" s="733"/>
      <c r="N102" s="733"/>
      <c r="O102" s="733"/>
      <c r="P102" s="733"/>
      <c r="Q102" s="733"/>
      <c r="R102" s="733"/>
      <c r="S102" s="733"/>
      <c r="T102" s="733"/>
      <c r="U102" s="733"/>
      <c r="V102" s="733"/>
      <c r="W102" s="733"/>
    </row>
    <row r="103" spans="2:23" x14ac:dyDescent="0.45">
      <c r="B103" s="96">
        <f t="shared" si="2"/>
        <v>88</v>
      </c>
      <c r="C103" s="209" t="s">
        <v>781</v>
      </c>
      <c r="D103" s="209" t="s">
        <v>45</v>
      </c>
      <c r="E103" s="209" t="s">
        <v>782</v>
      </c>
      <c r="F103" s="209" t="s">
        <v>493</v>
      </c>
      <c r="H103" s="101"/>
      <c r="I103" s="101"/>
      <c r="J103" s="101"/>
      <c r="K103" s="101"/>
      <c r="L103" s="733" t="s">
        <v>780</v>
      </c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</row>
    <row r="104" spans="2:23" x14ac:dyDescent="0.45">
      <c r="B104" s="96">
        <f t="shared" si="2"/>
        <v>89</v>
      </c>
      <c r="C104" s="209" t="s">
        <v>783</v>
      </c>
      <c r="D104" s="209" t="s">
        <v>45</v>
      </c>
      <c r="E104" s="209" t="s">
        <v>784</v>
      </c>
      <c r="F104" s="209" t="s">
        <v>493</v>
      </c>
      <c r="H104" s="101"/>
      <c r="I104" s="101"/>
      <c r="J104" s="101"/>
      <c r="K104" s="101"/>
      <c r="L104" s="733" t="s">
        <v>780</v>
      </c>
      <c r="M104" s="733"/>
      <c r="N104" s="733"/>
      <c r="O104" s="733"/>
      <c r="P104" s="733"/>
      <c r="Q104" s="733"/>
      <c r="R104" s="733"/>
      <c r="S104" s="733"/>
      <c r="T104" s="733"/>
      <c r="U104" s="733"/>
      <c r="V104" s="733"/>
      <c r="W104" s="733"/>
    </row>
    <row r="105" spans="2:23" x14ac:dyDescent="0.45">
      <c r="B105" s="96">
        <f t="shared" si="2"/>
        <v>90</v>
      </c>
      <c r="C105" s="209" t="s">
        <v>785</v>
      </c>
      <c r="D105" s="209" t="s">
        <v>45</v>
      </c>
      <c r="E105" s="209" t="s">
        <v>786</v>
      </c>
      <c r="F105" s="209" t="s">
        <v>493</v>
      </c>
      <c r="H105" s="101"/>
      <c r="I105" s="101"/>
      <c r="J105" s="101"/>
      <c r="K105" s="101"/>
      <c r="L105" s="733" t="s">
        <v>780</v>
      </c>
      <c r="M105" s="733"/>
      <c r="N105" s="733"/>
      <c r="O105" s="733"/>
      <c r="P105" s="733"/>
      <c r="Q105" s="733"/>
      <c r="R105" s="733"/>
      <c r="S105" s="733"/>
      <c r="T105" s="733"/>
      <c r="U105" s="733"/>
      <c r="V105" s="733"/>
      <c r="W105" s="733"/>
    </row>
    <row r="106" spans="2:23" x14ac:dyDescent="0.45">
      <c r="B106" s="96">
        <f t="shared" si="2"/>
        <v>91</v>
      </c>
      <c r="C106" s="209" t="s">
        <v>787</v>
      </c>
      <c r="D106" s="209" t="s">
        <v>45</v>
      </c>
      <c r="E106" s="209" t="s">
        <v>788</v>
      </c>
      <c r="F106" s="209" t="s">
        <v>493</v>
      </c>
      <c r="H106" s="101"/>
      <c r="I106" s="101"/>
      <c r="J106" s="101"/>
      <c r="K106" s="101"/>
      <c r="L106" s="733" t="s">
        <v>780</v>
      </c>
      <c r="M106" s="733"/>
      <c r="N106" s="733"/>
      <c r="O106" s="733"/>
      <c r="P106" s="733"/>
      <c r="Q106" s="733"/>
      <c r="R106" s="733"/>
      <c r="S106" s="733"/>
      <c r="T106" s="733"/>
      <c r="U106" s="733"/>
      <c r="V106" s="733"/>
      <c r="W106" s="733"/>
    </row>
    <row r="107" spans="2:23" x14ac:dyDescent="0.45">
      <c r="B107" s="96">
        <f t="shared" si="2"/>
        <v>92</v>
      </c>
      <c r="C107" s="209" t="s">
        <v>789</v>
      </c>
      <c r="D107" s="209" t="s">
        <v>45</v>
      </c>
      <c r="E107" s="209" t="s">
        <v>790</v>
      </c>
      <c r="F107" s="209" t="s">
        <v>493</v>
      </c>
      <c r="H107" s="101"/>
      <c r="I107" s="101"/>
      <c r="J107" s="101"/>
      <c r="K107" s="101"/>
      <c r="L107" s="733" t="s">
        <v>780</v>
      </c>
      <c r="M107" s="733"/>
      <c r="N107" s="733"/>
      <c r="O107" s="733"/>
      <c r="P107" s="733"/>
      <c r="Q107" s="733"/>
      <c r="R107" s="733"/>
      <c r="S107" s="733"/>
      <c r="T107" s="733"/>
      <c r="U107" s="733"/>
      <c r="V107" s="733"/>
      <c r="W107" s="733"/>
    </row>
    <row r="108" spans="2:23" x14ac:dyDescent="0.45">
      <c r="B108" s="96">
        <f t="shared" si="2"/>
        <v>93</v>
      </c>
      <c r="C108" s="93" t="s">
        <v>791</v>
      </c>
      <c r="D108" s="93" t="s">
        <v>45</v>
      </c>
      <c r="E108" s="93" t="s">
        <v>792</v>
      </c>
      <c r="F108" s="93" t="s">
        <v>480</v>
      </c>
      <c r="H108" s="101"/>
      <c r="I108" s="101"/>
      <c r="J108" s="101"/>
      <c r="K108" s="101"/>
      <c r="L108" s="733" t="s">
        <v>736</v>
      </c>
      <c r="M108" s="733"/>
      <c r="N108" s="733"/>
      <c r="O108" s="733"/>
      <c r="P108" s="733"/>
      <c r="Q108" s="733"/>
      <c r="R108" s="733"/>
      <c r="S108" s="733"/>
      <c r="T108" s="733"/>
      <c r="U108" s="733"/>
      <c r="V108" s="733"/>
      <c r="W108" s="733"/>
    </row>
    <row r="109" spans="2:23" x14ac:dyDescent="0.45">
      <c r="B109" s="96">
        <f t="shared" si="2"/>
        <v>94</v>
      </c>
      <c r="C109" s="93" t="s">
        <v>793</v>
      </c>
      <c r="D109" s="93" t="s">
        <v>45</v>
      </c>
      <c r="E109" s="93" t="s">
        <v>794</v>
      </c>
      <c r="F109" s="93" t="s">
        <v>480</v>
      </c>
      <c r="H109" s="101"/>
      <c r="I109" s="101"/>
      <c r="J109" s="101"/>
      <c r="K109" s="101"/>
      <c r="L109" s="733" t="s">
        <v>736</v>
      </c>
      <c r="M109" s="733"/>
      <c r="N109" s="733"/>
      <c r="O109" s="733"/>
      <c r="P109" s="733"/>
      <c r="Q109" s="733"/>
      <c r="R109" s="733"/>
      <c r="S109" s="733"/>
      <c r="T109" s="733"/>
      <c r="U109" s="733"/>
      <c r="V109" s="733"/>
      <c r="W109" s="733"/>
    </row>
    <row r="110" spans="2:23" x14ac:dyDescent="0.45">
      <c r="B110" s="96">
        <f t="shared" si="2"/>
        <v>95</v>
      </c>
      <c r="C110" s="93" t="s">
        <v>795</v>
      </c>
      <c r="D110" s="93" t="s">
        <v>45</v>
      </c>
      <c r="E110" s="93" t="s">
        <v>796</v>
      </c>
      <c r="F110" s="93" t="s">
        <v>493</v>
      </c>
      <c r="H110" s="101"/>
      <c r="I110" s="101"/>
      <c r="J110" s="101"/>
      <c r="K110" s="101"/>
      <c r="L110" s="733" t="s">
        <v>780</v>
      </c>
      <c r="M110" s="733"/>
      <c r="N110" s="733"/>
      <c r="O110" s="733"/>
      <c r="P110" s="733"/>
      <c r="Q110" s="733"/>
      <c r="R110" s="733"/>
      <c r="S110" s="733"/>
      <c r="T110" s="733"/>
      <c r="U110" s="733"/>
      <c r="V110" s="733"/>
      <c r="W110" s="733"/>
    </row>
    <row r="111" spans="2:23" x14ac:dyDescent="0.45">
      <c r="B111" s="96">
        <f t="shared" si="2"/>
        <v>96</v>
      </c>
      <c r="C111" s="93" t="s">
        <v>797</v>
      </c>
      <c r="D111" s="93" t="s">
        <v>45</v>
      </c>
      <c r="E111" s="93" t="s">
        <v>798</v>
      </c>
      <c r="F111" s="93" t="s">
        <v>493</v>
      </c>
      <c r="H111" s="101"/>
      <c r="I111" s="101"/>
      <c r="J111" s="101"/>
      <c r="K111" s="101"/>
      <c r="L111" s="733" t="s">
        <v>780</v>
      </c>
      <c r="M111" s="733"/>
      <c r="N111" s="733"/>
      <c r="O111" s="733"/>
      <c r="P111" s="733"/>
      <c r="Q111" s="733"/>
      <c r="R111" s="733"/>
      <c r="S111" s="733"/>
      <c r="T111" s="733"/>
      <c r="U111" s="733"/>
      <c r="V111" s="733"/>
      <c r="W111" s="733"/>
    </row>
    <row r="112" spans="2:23" x14ac:dyDescent="0.45">
      <c r="B112" s="96">
        <f t="shared" si="2"/>
        <v>97</v>
      </c>
      <c r="C112" s="93" t="s">
        <v>799</v>
      </c>
      <c r="D112" s="93" t="s">
        <v>45</v>
      </c>
      <c r="E112" s="93" t="s">
        <v>800</v>
      </c>
      <c r="F112" s="93" t="s">
        <v>493</v>
      </c>
      <c r="H112" s="101"/>
      <c r="I112" s="101"/>
      <c r="J112" s="101"/>
      <c r="K112" s="101"/>
      <c r="L112" s="733" t="s">
        <v>780</v>
      </c>
      <c r="M112" s="733"/>
      <c r="N112" s="733"/>
      <c r="O112" s="733"/>
      <c r="P112" s="733"/>
      <c r="Q112" s="733"/>
      <c r="R112" s="733"/>
      <c r="S112" s="733"/>
      <c r="T112" s="733"/>
      <c r="U112" s="733"/>
      <c r="V112" s="733"/>
      <c r="W112" s="733"/>
    </row>
    <row r="113" spans="2:23" x14ac:dyDescent="0.45">
      <c r="B113" s="96">
        <f t="shared" si="2"/>
        <v>98</v>
      </c>
      <c r="C113" s="93" t="s">
        <v>801</v>
      </c>
      <c r="D113" s="93" t="s">
        <v>45</v>
      </c>
      <c r="E113" s="93" t="s">
        <v>802</v>
      </c>
      <c r="F113" s="93" t="s">
        <v>493</v>
      </c>
      <c r="H113" s="101"/>
      <c r="I113" s="101"/>
      <c r="J113" s="101"/>
      <c r="K113" s="101"/>
      <c r="L113" s="733" t="s">
        <v>780</v>
      </c>
      <c r="M113" s="733"/>
      <c r="N113" s="733"/>
      <c r="O113" s="733"/>
      <c r="P113" s="733"/>
      <c r="Q113" s="733"/>
      <c r="R113" s="733"/>
      <c r="S113" s="733"/>
      <c r="T113" s="733"/>
      <c r="U113" s="733"/>
      <c r="V113" s="733"/>
      <c r="W113" s="733"/>
    </row>
    <row r="114" spans="2:23" x14ac:dyDescent="0.45">
      <c r="B114" s="96">
        <f t="shared" si="2"/>
        <v>99</v>
      </c>
      <c r="C114" s="93" t="s">
        <v>803</v>
      </c>
      <c r="D114" s="93" t="s">
        <v>45</v>
      </c>
      <c r="E114" s="93" t="s">
        <v>804</v>
      </c>
      <c r="F114" s="93" t="s">
        <v>493</v>
      </c>
      <c r="H114" s="101"/>
      <c r="I114" s="101"/>
      <c r="J114" s="101"/>
      <c r="K114" s="101"/>
      <c r="L114" s="733" t="s">
        <v>780</v>
      </c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</row>
    <row r="115" spans="2:23" x14ac:dyDescent="0.45">
      <c r="B115" s="96">
        <f t="shared" si="2"/>
        <v>100</v>
      </c>
      <c r="C115" s="93" t="s">
        <v>805</v>
      </c>
      <c r="D115" s="93" t="s">
        <v>45</v>
      </c>
      <c r="E115" s="93" t="s">
        <v>806</v>
      </c>
      <c r="F115" s="93" t="s">
        <v>493</v>
      </c>
      <c r="H115" s="101"/>
      <c r="I115" s="101"/>
      <c r="J115" s="101"/>
      <c r="K115" s="101"/>
      <c r="L115" s="733" t="s">
        <v>780</v>
      </c>
      <c r="M115" s="733"/>
      <c r="N115" s="733"/>
      <c r="O115" s="733"/>
      <c r="P115" s="733"/>
      <c r="Q115" s="733"/>
      <c r="R115" s="733"/>
      <c r="S115" s="733"/>
      <c r="T115" s="733"/>
      <c r="U115" s="733"/>
      <c r="V115" s="733"/>
      <c r="W115" s="733"/>
    </row>
    <row r="116" spans="2:23" x14ac:dyDescent="0.45">
      <c r="B116" s="96">
        <f t="shared" si="2"/>
        <v>101</v>
      </c>
      <c r="C116" s="209" t="s">
        <v>807</v>
      </c>
      <c r="D116" s="209" t="s">
        <v>45</v>
      </c>
      <c r="E116" s="209" t="s">
        <v>808</v>
      </c>
      <c r="F116" s="209" t="s">
        <v>480</v>
      </c>
      <c r="H116" s="101"/>
      <c r="I116" s="101"/>
      <c r="J116" s="101"/>
      <c r="K116" s="101"/>
      <c r="L116" s="733" t="s">
        <v>736</v>
      </c>
      <c r="M116" s="733"/>
      <c r="N116" s="733"/>
      <c r="O116" s="733"/>
      <c r="P116" s="733"/>
      <c r="Q116" s="733"/>
      <c r="R116" s="733"/>
      <c r="S116" s="733"/>
      <c r="T116" s="733"/>
      <c r="U116" s="733"/>
      <c r="V116" s="733"/>
      <c r="W116" s="733"/>
    </row>
    <row r="117" spans="2:23" x14ac:dyDescent="0.45">
      <c r="B117" s="96">
        <f t="shared" si="2"/>
        <v>102</v>
      </c>
      <c r="C117" s="209" t="s">
        <v>809</v>
      </c>
      <c r="D117" s="209" t="s">
        <v>45</v>
      </c>
      <c r="E117" s="209" t="s">
        <v>810</v>
      </c>
      <c r="F117" s="209" t="s">
        <v>480</v>
      </c>
      <c r="H117" s="101"/>
      <c r="I117" s="101"/>
      <c r="J117" s="101"/>
      <c r="K117" s="101"/>
      <c r="L117" s="733" t="s">
        <v>736</v>
      </c>
      <c r="M117" s="733"/>
      <c r="N117" s="733"/>
      <c r="O117" s="733"/>
      <c r="P117" s="733"/>
      <c r="Q117" s="733"/>
      <c r="R117" s="733"/>
      <c r="S117" s="733"/>
      <c r="T117" s="733"/>
      <c r="U117" s="733"/>
      <c r="V117" s="733"/>
      <c r="W117" s="733"/>
    </row>
    <row r="118" spans="2:23" x14ac:dyDescent="0.45">
      <c r="B118" s="96">
        <f t="shared" si="2"/>
        <v>103</v>
      </c>
      <c r="C118" s="209" t="s">
        <v>811</v>
      </c>
      <c r="D118" s="209" t="s">
        <v>45</v>
      </c>
      <c r="E118" s="209" t="s">
        <v>812</v>
      </c>
      <c r="F118" s="209" t="s">
        <v>493</v>
      </c>
      <c r="H118" s="101"/>
      <c r="I118" s="101"/>
      <c r="J118" s="101"/>
      <c r="K118" s="101"/>
      <c r="L118" s="733" t="s">
        <v>780</v>
      </c>
      <c r="M118" s="733"/>
      <c r="N118" s="733"/>
      <c r="O118" s="733"/>
      <c r="P118" s="733"/>
      <c r="Q118" s="733"/>
      <c r="R118" s="733"/>
      <c r="S118" s="733"/>
      <c r="T118" s="733"/>
      <c r="U118" s="733"/>
      <c r="V118" s="733"/>
      <c r="W118" s="733"/>
    </row>
    <row r="119" spans="2:23" x14ac:dyDescent="0.45">
      <c r="B119" s="96">
        <f t="shared" si="2"/>
        <v>104</v>
      </c>
      <c r="C119" s="209" t="s">
        <v>813</v>
      </c>
      <c r="D119" s="209" t="s">
        <v>45</v>
      </c>
      <c r="E119" s="209" t="s">
        <v>814</v>
      </c>
      <c r="F119" s="209" t="s">
        <v>493</v>
      </c>
      <c r="H119" s="101"/>
      <c r="I119" s="101"/>
      <c r="J119" s="101"/>
      <c r="K119" s="101"/>
      <c r="L119" s="733" t="s">
        <v>780</v>
      </c>
      <c r="M119" s="733"/>
      <c r="N119" s="733"/>
      <c r="O119" s="733"/>
      <c r="P119" s="733"/>
      <c r="Q119" s="733"/>
      <c r="R119" s="733"/>
      <c r="S119" s="733"/>
      <c r="T119" s="733"/>
      <c r="U119" s="733"/>
      <c r="V119" s="733"/>
      <c r="W119" s="733"/>
    </row>
    <row r="120" spans="2:23" x14ac:dyDescent="0.45">
      <c r="B120" s="96">
        <f t="shared" si="2"/>
        <v>105</v>
      </c>
      <c r="C120" s="209" t="s">
        <v>815</v>
      </c>
      <c r="D120" s="209" t="s">
        <v>45</v>
      </c>
      <c r="E120" s="209" t="s">
        <v>816</v>
      </c>
      <c r="F120" s="209" t="s">
        <v>493</v>
      </c>
      <c r="H120" s="101"/>
      <c r="I120" s="101"/>
      <c r="J120" s="101"/>
      <c r="K120" s="101"/>
      <c r="L120" s="733" t="s">
        <v>780</v>
      </c>
      <c r="M120" s="733"/>
      <c r="N120" s="733"/>
      <c r="O120" s="733"/>
      <c r="P120" s="733"/>
      <c r="Q120" s="733"/>
      <c r="R120" s="733"/>
      <c r="S120" s="733"/>
      <c r="T120" s="733"/>
      <c r="U120" s="733"/>
      <c r="V120" s="733"/>
      <c r="W120" s="733"/>
    </row>
    <row r="121" spans="2:23" x14ac:dyDescent="0.45">
      <c r="B121" s="96">
        <f t="shared" si="2"/>
        <v>106</v>
      </c>
      <c r="C121" s="209" t="s">
        <v>817</v>
      </c>
      <c r="D121" s="209" t="s">
        <v>45</v>
      </c>
      <c r="E121" s="209" t="s">
        <v>818</v>
      </c>
      <c r="F121" s="209" t="s">
        <v>493</v>
      </c>
      <c r="H121" s="101"/>
      <c r="I121" s="101"/>
      <c r="J121" s="101"/>
      <c r="K121" s="101"/>
      <c r="L121" s="733" t="s">
        <v>780</v>
      </c>
      <c r="M121" s="733"/>
      <c r="N121" s="733"/>
      <c r="O121" s="733"/>
      <c r="P121" s="733"/>
      <c r="Q121" s="733"/>
      <c r="R121" s="733"/>
      <c r="S121" s="733"/>
      <c r="T121" s="733"/>
      <c r="U121" s="733"/>
      <c r="V121" s="733"/>
      <c r="W121" s="733"/>
    </row>
    <row r="122" spans="2:23" x14ac:dyDescent="0.45">
      <c r="B122" s="96">
        <f t="shared" si="2"/>
        <v>107</v>
      </c>
      <c r="C122" s="209" t="s">
        <v>819</v>
      </c>
      <c r="D122" s="209" t="s">
        <v>45</v>
      </c>
      <c r="E122" s="209" t="s">
        <v>820</v>
      </c>
      <c r="F122" s="209" t="s">
        <v>493</v>
      </c>
      <c r="H122" s="101"/>
      <c r="I122" s="101"/>
      <c r="J122" s="101"/>
      <c r="K122" s="101"/>
      <c r="L122" s="733" t="s">
        <v>780</v>
      </c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</row>
    <row r="123" spans="2:23" x14ac:dyDescent="0.45">
      <c r="B123" s="96">
        <f t="shared" si="2"/>
        <v>108</v>
      </c>
      <c r="C123" s="209" t="s">
        <v>821</v>
      </c>
      <c r="D123" s="209" t="s">
        <v>45</v>
      </c>
      <c r="E123" s="209" t="s">
        <v>822</v>
      </c>
      <c r="F123" s="209" t="s">
        <v>493</v>
      </c>
      <c r="H123" s="101"/>
      <c r="I123" s="101"/>
      <c r="J123" s="101"/>
      <c r="K123" s="101"/>
      <c r="L123" s="733" t="s">
        <v>780</v>
      </c>
      <c r="M123" s="733"/>
      <c r="N123" s="733"/>
      <c r="O123" s="733"/>
      <c r="P123" s="733"/>
      <c r="Q123" s="733"/>
      <c r="R123" s="733"/>
      <c r="S123" s="733"/>
      <c r="T123" s="733"/>
      <c r="U123" s="733"/>
      <c r="V123" s="733"/>
      <c r="W123" s="733"/>
    </row>
    <row r="124" spans="2:23" x14ac:dyDescent="0.45">
      <c r="B124" s="96">
        <f t="shared" si="2"/>
        <v>109</v>
      </c>
      <c r="C124" s="93" t="s">
        <v>823</v>
      </c>
      <c r="D124" s="93" t="s">
        <v>45</v>
      </c>
      <c r="E124" s="93" t="s">
        <v>824</v>
      </c>
      <c r="F124" s="93" t="s">
        <v>480</v>
      </c>
      <c r="H124" s="101"/>
      <c r="I124" s="101"/>
      <c r="J124" s="101"/>
      <c r="K124" s="101"/>
      <c r="L124" s="733" t="s">
        <v>736</v>
      </c>
      <c r="M124" s="733"/>
      <c r="N124" s="733"/>
      <c r="O124" s="733"/>
      <c r="P124" s="733"/>
      <c r="Q124" s="733"/>
      <c r="R124" s="733"/>
      <c r="S124" s="733"/>
      <c r="T124" s="733"/>
      <c r="U124" s="733"/>
      <c r="V124" s="733"/>
      <c r="W124" s="733"/>
    </row>
    <row r="125" spans="2:23" x14ac:dyDescent="0.45">
      <c r="B125" s="96">
        <f t="shared" si="2"/>
        <v>110</v>
      </c>
      <c r="C125" s="93" t="s">
        <v>825</v>
      </c>
      <c r="D125" s="93" t="s">
        <v>45</v>
      </c>
      <c r="E125" s="93" t="s">
        <v>826</v>
      </c>
      <c r="F125" s="93" t="s">
        <v>480</v>
      </c>
      <c r="H125" s="101"/>
      <c r="I125" s="101"/>
      <c r="J125" s="101"/>
      <c r="K125" s="101"/>
      <c r="L125" s="733" t="s">
        <v>736</v>
      </c>
      <c r="M125" s="733"/>
      <c r="N125" s="733"/>
      <c r="O125" s="733"/>
      <c r="P125" s="733"/>
      <c r="Q125" s="733"/>
      <c r="R125" s="733"/>
      <c r="S125" s="733"/>
      <c r="T125" s="733"/>
      <c r="U125" s="733"/>
      <c r="V125" s="733"/>
      <c r="W125" s="733"/>
    </row>
    <row r="126" spans="2:23" x14ac:dyDescent="0.45">
      <c r="B126" s="96">
        <f t="shared" si="2"/>
        <v>111</v>
      </c>
      <c r="C126" s="93" t="s">
        <v>827</v>
      </c>
      <c r="D126" s="93" t="s">
        <v>45</v>
      </c>
      <c r="E126" s="93" t="s">
        <v>828</v>
      </c>
      <c r="F126" s="93" t="s">
        <v>493</v>
      </c>
      <c r="H126" s="101"/>
      <c r="I126" s="101"/>
      <c r="J126" s="101"/>
      <c r="K126" s="101"/>
      <c r="L126" s="733" t="s">
        <v>780</v>
      </c>
      <c r="M126" s="733"/>
      <c r="N126" s="733"/>
      <c r="O126" s="733"/>
      <c r="P126" s="733"/>
      <c r="Q126" s="733"/>
      <c r="R126" s="733"/>
      <c r="S126" s="733"/>
      <c r="T126" s="733"/>
      <c r="U126" s="733"/>
      <c r="V126" s="733"/>
      <c r="W126" s="733"/>
    </row>
    <row r="127" spans="2:23" x14ac:dyDescent="0.45">
      <c r="B127" s="96">
        <f t="shared" si="2"/>
        <v>112</v>
      </c>
      <c r="C127" s="93" t="s">
        <v>829</v>
      </c>
      <c r="D127" s="93" t="s">
        <v>45</v>
      </c>
      <c r="E127" s="93" t="s">
        <v>830</v>
      </c>
      <c r="F127" s="93" t="s">
        <v>493</v>
      </c>
      <c r="H127" s="101"/>
      <c r="I127" s="101"/>
      <c r="J127" s="101"/>
      <c r="K127" s="101"/>
      <c r="L127" s="733" t="s">
        <v>780</v>
      </c>
      <c r="M127" s="733"/>
      <c r="N127" s="733"/>
      <c r="O127" s="733"/>
      <c r="P127" s="733"/>
      <c r="Q127" s="733"/>
      <c r="R127" s="733"/>
      <c r="S127" s="733"/>
      <c r="T127" s="733"/>
      <c r="U127" s="733"/>
      <c r="V127" s="733"/>
      <c r="W127" s="733"/>
    </row>
    <row r="128" spans="2:23" x14ac:dyDescent="0.45">
      <c r="B128" s="96">
        <f t="shared" si="2"/>
        <v>113</v>
      </c>
      <c r="C128" s="93" t="s">
        <v>831</v>
      </c>
      <c r="D128" s="93" t="s">
        <v>45</v>
      </c>
      <c r="E128" s="93" t="s">
        <v>832</v>
      </c>
      <c r="F128" s="93" t="s">
        <v>493</v>
      </c>
      <c r="H128" s="101"/>
      <c r="I128" s="101"/>
      <c r="J128" s="101"/>
      <c r="K128" s="101"/>
      <c r="L128" s="733" t="s">
        <v>780</v>
      </c>
      <c r="M128" s="733"/>
      <c r="N128" s="733"/>
      <c r="O128" s="733"/>
      <c r="P128" s="733"/>
      <c r="Q128" s="733"/>
      <c r="R128" s="733"/>
      <c r="S128" s="733"/>
      <c r="T128" s="733"/>
      <c r="U128" s="733"/>
      <c r="V128" s="733"/>
      <c r="W128" s="733"/>
    </row>
    <row r="129" spans="2:23" x14ac:dyDescent="0.45">
      <c r="B129" s="96">
        <f t="shared" si="2"/>
        <v>114</v>
      </c>
      <c r="C129" s="93" t="s">
        <v>833</v>
      </c>
      <c r="D129" s="93" t="s">
        <v>45</v>
      </c>
      <c r="E129" s="93" t="s">
        <v>834</v>
      </c>
      <c r="F129" s="93" t="s">
        <v>493</v>
      </c>
      <c r="H129" s="101"/>
      <c r="I129" s="101"/>
      <c r="J129" s="101"/>
      <c r="K129" s="101"/>
      <c r="L129" s="733" t="s">
        <v>780</v>
      </c>
      <c r="M129" s="733"/>
      <c r="N129" s="733"/>
      <c r="O129" s="733"/>
      <c r="P129" s="733"/>
      <c r="Q129" s="733"/>
      <c r="R129" s="733"/>
      <c r="S129" s="733"/>
      <c r="T129" s="733"/>
      <c r="U129" s="733"/>
      <c r="V129" s="733"/>
      <c r="W129" s="733"/>
    </row>
    <row r="130" spans="2:23" x14ac:dyDescent="0.45">
      <c r="B130" s="96">
        <f t="shared" si="2"/>
        <v>115</v>
      </c>
      <c r="C130" s="93" t="s">
        <v>835</v>
      </c>
      <c r="D130" s="93" t="s">
        <v>45</v>
      </c>
      <c r="E130" s="93" t="s">
        <v>836</v>
      </c>
      <c r="F130" s="93" t="s">
        <v>493</v>
      </c>
      <c r="H130" s="101"/>
      <c r="I130" s="101"/>
      <c r="J130" s="101"/>
      <c r="K130" s="101"/>
      <c r="L130" s="733" t="s">
        <v>780</v>
      </c>
      <c r="M130" s="733"/>
      <c r="N130" s="733"/>
      <c r="O130" s="733"/>
      <c r="P130" s="733"/>
      <c r="Q130" s="733"/>
      <c r="R130" s="733"/>
      <c r="S130" s="733"/>
      <c r="T130" s="733"/>
      <c r="U130" s="733"/>
      <c r="V130" s="733"/>
      <c r="W130" s="733"/>
    </row>
    <row r="131" spans="2:23" x14ac:dyDescent="0.45">
      <c r="B131" s="96">
        <f t="shared" si="2"/>
        <v>116</v>
      </c>
      <c r="C131" s="93" t="s">
        <v>837</v>
      </c>
      <c r="D131" s="93" t="s">
        <v>45</v>
      </c>
      <c r="E131" s="93" t="s">
        <v>838</v>
      </c>
      <c r="F131" s="93" t="s">
        <v>493</v>
      </c>
      <c r="H131" s="101"/>
      <c r="I131" s="101"/>
      <c r="J131" s="101"/>
      <c r="K131" s="101"/>
      <c r="L131" s="733" t="s">
        <v>780</v>
      </c>
      <c r="M131" s="733"/>
      <c r="N131" s="733"/>
      <c r="O131" s="733"/>
      <c r="P131" s="733"/>
      <c r="Q131" s="733"/>
      <c r="R131" s="733"/>
      <c r="S131" s="733"/>
      <c r="T131" s="733"/>
      <c r="U131" s="733"/>
      <c r="V131" s="733"/>
      <c r="W131" s="733"/>
    </row>
    <row r="132" spans="2:23" x14ac:dyDescent="0.45">
      <c r="B132" s="96">
        <f t="shared" si="2"/>
        <v>117</v>
      </c>
      <c r="C132" s="209" t="s">
        <v>839</v>
      </c>
      <c r="D132" s="209" t="s">
        <v>45</v>
      </c>
      <c r="E132" s="209" t="s">
        <v>840</v>
      </c>
      <c r="F132" s="209" t="s">
        <v>480</v>
      </c>
      <c r="H132" s="101"/>
      <c r="I132" s="101"/>
      <c r="J132" s="101"/>
      <c r="K132" s="101"/>
      <c r="L132" s="733" t="s">
        <v>736</v>
      </c>
      <c r="M132" s="733"/>
      <c r="N132" s="733"/>
      <c r="O132" s="733"/>
      <c r="P132" s="733"/>
      <c r="Q132" s="733"/>
      <c r="R132" s="733"/>
      <c r="S132" s="733"/>
      <c r="T132" s="733"/>
      <c r="U132" s="733"/>
      <c r="V132" s="733"/>
      <c r="W132" s="733"/>
    </row>
    <row r="133" spans="2:23" x14ac:dyDescent="0.45">
      <c r="B133" s="96">
        <f t="shared" si="2"/>
        <v>118</v>
      </c>
      <c r="C133" s="209" t="s">
        <v>841</v>
      </c>
      <c r="D133" s="209" t="s">
        <v>45</v>
      </c>
      <c r="E133" s="209" t="s">
        <v>842</v>
      </c>
      <c r="F133" s="209" t="s">
        <v>480</v>
      </c>
      <c r="H133" s="101"/>
      <c r="I133" s="101"/>
      <c r="J133" s="101"/>
      <c r="K133" s="101"/>
      <c r="L133" s="733" t="s">
        <v>736</v>
      </c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</row>
    <row r="134" spans="2:23" x14ac:dyDescent="0.45">
      <c r="B134" s="96">
        <f t="shared" si="2"/>
        <v>119</v>
      </c>
      <c r="C134" s="209" t="s">
        <v>843</v>
      </c>
      <c r="D134" s="209" t="s">
        <v>45</v>
      </c>
      <c r="E134" s="209" t="s">
        <v>844</v>
      </c>
      <c r="F134" s="209" t="s">
        <v>493</v>
      </c>
      <c r="H134" s="101"/>
      <c r="I134" s="101"/>
      <c r="J134" s="101"/>
      <c r="K134" s="101"/>
      <c r="L134" s="733" t="s">
        <v>780</v>
      </c>
      <c r="M134" s="733"/>
      <c r="N134" s="733"/>
      <c r="O134" s="733"/>
      <c r="P134" s="733"/>
      <c r="Q134" s="733"/>
      <c r="R134" s="733"/>
      <c r="S134" s="733"/>
      <c r="T134" s="733"/>
      <c r="U134" s="733"/>
      <c r="V134" s="733"/>
      <c r="W134" s="733"/>
    </row>
    <row r="135" spans="2:23" x14ac:dyDescent="0.45">
      <c r="B135" s="96">
        <f t="shared" si="2"/>
        <v>120</v>
      </c>
      <c r="C135" s="209" t="s">
        <v>845</v>
      </c>
      <c r="D135" s="209" t="s">
        <v>45</v>
      </c>
      <c r="E135" s="209" t="s">
        <v>846</v>
      </c>
      <c r="F135" s="209" t="s">
        <v>493</v>
      </c>
      <c r="H135" s="101"/>
      <c r="I135" s="101"/>
      <c r="J135" s="101"/>
      <c r="K135" s="101"/>
      <c r="L135" s="733" t="s">
        <v>780</v>
      </c>
      <c r="M135" s="733"/>
      <c r="N135" s="733"/>
      <c r="O135" s="733"/>
      <c r="P135" s="733"/>
      <c r="Q135" s="733"/>
      <c r="R135" s="733"/>
      <c r="S135" s="733"/>
      <c r="T135" s="733"/>
      <c r="U135" s="733"/>
      <c r="V135" s="733"/>
      <c r="W135" s="733"/>
    </row>
    <row r="136" spans="2:23" x14ac:dyDescent="0.45">
      <c r="B136" s="96">
        <f t="shared" si="2"/>
        <v>121</v>
      </c>
      <c r="C136" s="209" t="s">
        <v>847</v>
      </c>
      <c r="D136" s="209" t="s">
        <v>45</v>
      </c>
      <c r="E136" s="209" t="s">
        <v>848</v>
      </c>
      <c r="F136" s="209" t="s">
        <v>493</v>
      </c>
      <c r="H136" s="101"/>
      <c r="I136" s="101"/>
      <c r="J136" s="101"/>
      <c r="K136" s="101"/>
      <c r="L136" s="733" t="s">
        <v>780</v>
      </c>
      <c r="M136" s="733"/>
      <c r="N136" s="733"/>
      <c r="O136" s="733"/>
      <c r="P136" s="733"/>
      <c r="Q136" s="733"/>
      <c r="R136" s="733"/>
      <c r="S136" s="733"/>
      <c r="T136" s="733"/>
      <c r="U136" s="733"/>
      <c r="V136" s="733"/>
      <c r="W136" s="733"/>
    </row>
    <row r="137" spans="2:23" x14ac:dyDescent="0.45">
      <c r="B137" s="96">
        <f t="shared" si="2"/>
        <v>122</v>
      </c>
      <c r="C137" s="209" t="s">
        <v>849</v>
      </c>
      <c r="D137" s="209" t="s">
        <v>45</v>
      </c>
      <c r="E137" s="209" t="s">
        <v>850</v>
      </c>
      <c r="F137" s="209" t="s">
        <v>493</v>
      </c>
      <c r="H137" s="101"/>
      <c r="I137" s="101"/>
      <c r="J137" s="101"/>
      <c r="K137" s="101"/>
      <c r="L137" s="733" t="s">
        <v>780</v>
      </c>
      <c r="M137" s="733"/>
      <c r="N137" s="733"/>
      <c r="O137" s="733"/>
      <c r="P137" s="733"/>
      <c r="Q137" s="733"/>
      <c r="R137" s="733"/>
      <c r="S137" s="733"/>
      <c r="T137" s="733"/>
      <c r="U137" s="733"/>
      <c r="V137" s="733"/>
      <c r="W137" s="733"/>
    </row>
    <row r="138" spans="2:23" x14ac:dyDescent="0.45">
      <c r="B138" s="96">
        <f t="shared" si="2"/>
        <v>123</v>
      </c>
      <c r="C138" s="209" t="s">
        <v>851</v>
      </c>
      <c r="D138" s="209" t="s">
        <v>45</v>
      </c>
      <c r="E138" s="209" t="s">
        <v>852</v>
      </c>
      <c r="F138" s="209" t="s">
        <v>493</v>
      </c>
      <c r="H138" s="101"/>
      <c r="I138" s="101"/>
      <c r="J138" s="101"/>
      <c r="K138" s="101"/>
      <c r="L138" s="733" t="s">
        <v>780</v>
      </c>
      <c r="M138" s="733"/>
      <c r="N138" s="733"/>
      <c r="O138" s="733"/>
      <c r="P138" s="733"/>
      <c r="Q138" s="733"/>
      <c r="R138" s="733"/>
      <c r="S138" s="733"/>
      <c r="T138" s="733"/>
      <c r="U138" s="733"/>
      <c r="V138" s="733"/>
      <c r="W138" s="733"/>
    </row>
    <row r="139" spans="2:23" x14ac:dyDescent="0.45">
      <c r="B139" s="96">
        <f t="shared" si="2"/>
        <v>124</v>
      </c>
      <c r="C139" s="209" t="s">
        <v>853</v>
      </c>
      <c r="D139" s="209" t="s">
        <v>45</v>
      </c>
      <c r="E139" s="209" t="s">
        <v>854</v>
      </c>
      <c r="F139" s="209" t="s">
        <v>493</v>
      </c>
      <c r="H139" s="101"/>
      <c r="I139" s="101"/>
      <c r="J139" s="101"/>
      <c r="K139" s="101"/>
      <c r="L139" s="733" t="s">
        <v>780</v>
      </c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</row>
    <row r="140" spans="2:23" x14ac:dyDescent="0.45">
      <c r="B140" s="96">
        <f t="shared" si="2"/>
        <v>125</v>
      </c>
      <c r="C140" s="93" t="s">
        <v>855</v>
      </c>
      <c r="D140" s="93" t="s">
        <v>45</v>
      </c>
      <c r="E140" s="93" t="s">
        <v>856</v>
      </c>
      <c r="F140" s="93" t="s">
        <v>480</v>
      </c>
      <c r="H140" s="101"/>
      <c r="I140" s="101"/>
      <c r="J140" s="101"/>
      <c r="K140" s="101"/>
      <c r="L140" s="733" t="s">
        <v>736</v>
      </c>
      <c r="M140" s="733"/>
      <c r="N140" s="733"/>
      <c r="O140" s="733"/>
      <c r="P140" s="733"/>
      <c r="Q140" s="733"/>
      <c r="R140" s="733"/>
      <c r="S140" s="733"/>
      <c r="T140" s="733"/>
      <c r="U140" s="733"/>
      <c r="V140" s="733"/>
      <c r="W140" s="733"/>
    </row>
    <row r="141" spans="2:23" x14ac:dyDescent="0.45">
      <c r="B141" s="96">
        <f t="shared" si="2"/>
        <v>126</v>
      </c>
      <c r="C141" s="93" t="s">
        <v>857</v>
      </c>
      <c r="D141" s="93" t="s">
        <v>45</v>
      </c>
      <c r="E141" s="93" t="s">
        <v>858</v>
      </c>
      <c r="F141" s="93" t="s">
        <v>480</v>
      </c>
      <c r="H141" s="101"/>
      <c r="I141" s="101"/>
      <c r="J141" s="101"/>
      <c r="K141" s="101"/>
      <c r="L141" s="733" t="s">
        <v>736</v>
      </c>
      <c r="M141" s="733"/>
      <c r="N141" s="733"/>
      <c r="O141" s="733"/>
      <c r="P141" s="733"/>
      <c r="Q141" s="733"/>
      <c r="R141" s="733"/>
      <c r="S141" s="733"/>
      <c r="T141" s="733"/>
      <c r="U141" s="733"/>
      <c r="V141" s="733"/>
      <c r="W141" s="733"/>
    </row>
    <row r="142" spans="2:23" x14ac:dyDescent="0.45">
      <c r="B142" s="96">
        <f t="shared" si="2"/>
        <v>127</v>
      </c>
      <c r="C142" s="93" t="s">
        <v>859</v>
      </c>
      <c r="D142" s="93" t="s">
        <v>45</v>
      </c>
      <c r="E142" s="93" t="s">
        <v>860</v>
      </c>
      <c r="F142" s="93" t="s">
        <v>493</v>
      </c>
      <c r="H142" s="101"/>
      <c r="I142" s="101"/>
      <c r="J142" s="101"/>
      <c r="K142" s="101"/>
      <c r="L142" s="733" t="s">
        <v>780</v>
      </c>
      <c r="M142" s="733"/>
      <c r="N142" s="733"/>
      <c r="O142" s="733"/>
      <c r="P142" s="733"/>
      <c r="Q142" s="733"/>
      <c r="R142" s="733"/>
      <c r="S142" s="733"/>
      <c r="T142" s="733"/>
      <c r="U142" s="733"/>
      <c r="V142" s="733"/>
      <c r="W142" s="733"/>
    </row>
    <row r="143" spans="2:23" x14ac:dyDescent="0.45">
      <c r="B143" s="96">
        <f t="shared" si="2"/>
        <v>128</v>
      </c>
      <c r="C143" s="93" t="s">
        <v>861</v>
      </c>
      <c r="D143" s="93" t="s">
        <v>45</v>
      </c>
      <c r="E143" s="93" t="s">
        <v>862</v>
      </c>
      <c r="F143" s="93" t="s">
        <v>493</v>
      </c>
      <c r="H143" s="101"/>
      <c r="I143" s="101"/>
      <c r="J143" s="101"/>
      <c r="K143" s="101"/>
      <c r="L143" s="733" t="s">
        <v>780</v>
      </c>
      <c r="M143" s="733"/>
      <c r="N143" s="733"/>
      <c r="O143" s="733"/>
      <c r="P143" s="733"/>
      <c r="Q143" s="733"/>
      <c r="R143" s="733"/>
      <c r="S143" s="733"/>
      <c r="T143" s="733"/>
      <c r="U143" s="733"/>
      <c r="V143" s="733"/>
      <c r="W143" s="733"/>
    </row>
    <row r="144" spans="2:23" x14ac:dyDescent="0.45">
      <c r="B144" s="96">
        <f t="shared" si="2"/>
        <v>129</v>
      </c>
      <c r="C144" s="93" t="s">
        <v>863</v>
      </c>
      <c r="D144" s="93" t="s">
        <v>45</v>
      </c>
      <c r="E144" s="93" t="s">
        <v>864</v>
      </c>
      <c r="F144" s="93" t="s">
        <v>493</v>
      </c>
      <c r="H144" s="101"/>
      <c r="I144" s="101"/>
      <c r="J144" s="101"/>
      <c r="K144" s="101"/>
      <c r="L144" s="733" t="s">
        <v>780</v>
      </c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</row>
    <row r="145" spans="2:23" x14ac:dyDescent="0.45">
      <c r="B145" s="96">
        <f t="shared" si="2"/>
        <v>130</v>
      </c>
      <c r="C145" s="93" t="s">
        <v>865</v>
      </c>
      <c r="D145" s="93" t="s">
        <v>45</v>
      </c>
      <c r="E145" s="93" t="s">
        <v>866</v>
      </c>
      <c r="F145" s="93" t="s">
        <v>493</v>
      </c>
      <c r="H145" s="101"/>
      <c r="I145" s="101"/>
      <c r="J145" s="101"/>
      <c r="K145" s="101"/>
      <c r="L145" s="733" t="s">
        <v>780</v>
      </c>
      <c r="M145" s="733"/>
      <c r="N145" s="733"/>
      <c r="O145" s="733"/>
      <c r="P145" s="733"/>
      <c r="Q145" s="733"/>
      <c r="R145" s="733"/>
      <c r="S145" s="733"/>
      <c r="T145" s="733"/>
      <c r="U145" s="733"/>
      <c r="V145" s="733"/>
      <c r="W145" s="733"/>
    </row>
    <row r="146" spans="2:23" x14ac:dyDescent="0.45">
      <c r="B146" s="96">
        <f t="shared" si="2"/>
        <v>131</v>
      </c>
      <c r="C146" s="93" t="s">
        <v>867</v>
      </c>
      <c r="D146" s="93" t="s">
        <v>45</v>
      </c>
      <c r="E146" s="93" t="s">
        <v>868</v>
      </c>
      <c r="F146" s="93" t="s">
        <v>493</v>
      </c>
      <c r="H146" s="101"/>
      <c r="I146" s="101"/>
      <c r="J146" s="101"/>
      <c r="K146" s="101"/>
      <c r="L146" s="733" t="s">
        <v>780</v>
      </c>
      <c r="M146" s="733"/>
      <c r="N146" s="733"/>
      <c r="O146" s="733"/>
      <c r="P146" s="733"/>
      <c r="Q146" s="733"/>
      <c r="R146" s="733"/>
      <c r="S146" s="733"/>
      <c r="T146" s="733"/>
      <c r="U146" s="733"/>
      <c r="V146" s="733"/>
      <c r="W146" s="733"/>
    </row>
    <row r="147" spans="2:23" x14ac:dyDescent="0.45">
      <c r="B147" s="96">
        <f t="shared" si="2"/>
        <v>132</v>
      </c>
      <c r="C147" s="93" t="s">
        <v>869</v>
      </c>
      <c r="D147" s="93" t="s">
        <v>45</v>
      </c>
      <c r="E147" s="93" t="s">
        <v>870</v>
      </c>
      <c r="F147" s="93" t="s">
        <v>493</v>
      </c>
      <c r="H147" s="101"/>
      <c r="I147" s="101"/>
      <c r="J147" s="101"/>
      <c r="K147" s="101"/>
      <c r="L147" s="733" t="s">
        <v>780</v>
      </c>
      <c r="M147" s="733"/>
      <c r="N147" s="733"/>
      <c r="O147" s="733"/>
      <c r="P147" s="733"/>
      <c r="Q147" s="733"/>
      <c r="R147" s="733"/>
      <c r="S147" s="733"/>
      <c r="T147" s="733"/>
      <c r="U147" s="733"/>
      <c r="V147" s="733"/>
      <c r="W147" s="733"/>
    </row>
    <row r="148" spans="2:23" x14ac:dyDescent="0.45">
      <c r="B148" s="96">
        <f t="shared" si="2"/>
        <v>133</v>
      </c>
      <c r="C148" s="209" t="s">
        <v>871</v>
      </c>
      <c r="D148" s="209" t="s">
        <v>45</v>
      </c>
      <c r="E148" s="209" t="s">
        <v>872</v>
      </c>
      <c r="F148" s="209" t="s">
        <v>480</v>
      </c>
      <c r="H148" s="101"/>
      <c r="I148" s="101"/>
      <c r="J148" s="101"/>
      <c r="K148" s="101"/>
      <c r="L148" s="733" t="s">
        <v>736</v>
      </c>
      <c r="M148" s="733"/>
      <c r="N148" s="733"/>
      <c r="O148" s="733"/>
      <c r="P148" s="733"/>
      <c r="Q148" s="733"/>
      <c r="R148" s="733"/>
      <c r="S148" s="733"/>
      <c r="T148" s="733"/>
      <c r="U148" s="733"/>
      <c r="V148" s="733"/>
      <c r="W148" s="733"/>
    </row>
    <row r="149" spans="2:23" x14ac:dyDescent="0.45">
      <c r="B149" s="96">
        <f t="shared" si="2"/>
        <v>134</v>
      </c>
      <c r="C149" s="209" t="s">
        <v>873</v>
      </c>
      <c r="D149" s="209" t="s">
        <v>45</v>
      </c>
      <c r="E149" s="209" t="s">
        <v>874</v>
      </c>
      <c r="F149" s="209" t="s">
        <v>480</v>
      </c>
      <c r="H149" s="101"/>
      <c r="I149" s="101"/>
      <c r="J149" s="101"/>
      <c r="K149" s="101"/>
      <c r="L149" s="733" t="s">
        <v>736</v>
      </c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</row>
    <row r="150" spans="2:23" x14ac:dyDescent="0.45">
      <c r="B150" s="96">
        <f t="shared" si="2"/>
        <v>135</v>
      </c>
      <c r="C150" s="209" t="s">
        <v>875</v>
      </c>
      <c r="D150" s="209" t="s">
        <v>45</v>
      </c>
      <c r="E150" s="209" t="s">
        <v>876</v>
      </c>
      <c r="F150" s="209" t="s">
        <v>493</v>
      </c>
      <c r="H150" s="101"/>
      <c r="I150" s="101"/>
      <c r="J150" s="101"/>
      <c r="K150" s="101"/>
      <c r="L150" s="733" t="s">
        <v>780</v>
      </c>
      <c r="M150" s="733"/>
      <c r="N150" s="733"/>
      <c r="O150" s="733"/>
      <c r="P150" s="733"/>
      <c r="Q150" s="733"/>
      <c r="R150" s="733"/>
      <c r="S150" s="733"/>
      <c r="T150" s="733"/>
      <c r="U150" s="733"/>
      <c r="V150" s="733"/>
      <c r="W150" s="733"/>
    </row>
    <row r="151" spans="2:23" x14ac:dyDescent="0.45">
      <c r="B151" s="96">
        <f t="shared" si="2"/>
        <v>136</v>
      </c>
      <c r="C151" s="209" t="s">
        <v>877</v>
      </c>
      <c r="D151" s="209" t="s">
        <v>45</v>
      </c>
      <c r="E151" s="209" t="s">
        <v>878</v>
      </c>
      <c r="F151" s="209" t="s">
        <v>493</v>
      </c>
      <c r="H151" s="101"/>
      <c r="I151" s="101"/>
      <c r="J151" s="101"/>
      <c r="K151" s="101"/>
      <c r="L151" s="733" t="s">
        <v>780</v>
      </c>
      <c r="M151" s="733"/>
      <c r="N151" s="733"/>
      <c r="O151" s="733"/>
      <c r="P151" s="733"/>
      <c r="Q151" s="733"/>
      <c r="R151" s="733"/>
      <c r="S151" s="733"/>
      <c r="T151" s="733"/>
      <c r="U151" s="733"/>
      <c r="V151" s="733"/>
      <c r="W151" s="733"/>
    </row>
    <row r="152" spans="2:23" x14ac:dyDescent="0.45">
      <c r="B152" s="96">
        <f t="shared" si="2"/>
        <v>137</v>
      </c>
      <c r="C152" s="209" t="s">
        <v>879</v>
      </c>
      <c r="D152" s="209" t="s">
        <v>45</v>
      </c>
      <c r="E152" s="209" t="s">
        <v>880</v>
      </c>
      <c r="F152" s="209" t="s">
        <v>493</v>
      </c>
      <c r="H152" s="101"/>
      <c r="I152" s="101"/>
      <c r="J152" s="101"/>
      <c r="K152" s="101"/>
      <c r="L152" s="733" t="s">
        <v>780</v>
      </c>
      <c r="M152" s="733"/>
      <c r="N152" s="733"/>
      <c r="O152" s="733"/>
      <c r="P152" s="733"/>
      <c r="Q152" s="733"/>
      <c r="R152" s="733"/>
      <c r="S152" s="733"/>
      <c r="T152" s="733"/>
      <c r="U152" s="733"/>
      <c r="V152" s="733"/>
      <c r="W152" s="733"/>
    </row>
    <row r="153" spans="2:23" x14ac:dyDescent="0.45">
      <c r="B153" s="96">
        <f t="shared" ref="B153:B216" si="4">B152+1</f>
        <v>138</v>
      </c>
      <c r="C153" s="209" t="s">
        <v>881</v>
      </c>
      <c r="D153" s="209" t="s">
        <v>45</v>
      </c>
      <c r="E153" s="209" t="s">
        <v>882</v>
      </c>
      <c r="F153" s="209" t="s">
        <v>493</v>
      </c>
      <c r="H153" s="101"/>
      <c r="I153" s="101"/>
      <c r="J153" s="101"/>
      <c r="K153" s="101"/>
      <c r="L153" s="733" t="s">
        <v>780</v>
      </c>
      <c r="M153" s="733"/>
      <c r="N153" s="733"/>
      <c r="O153" s="733"/>
      <c r="P153" s="733"/>
      <c r="Q153" s="733"/>
      <c r="R153" s="733"/>
      <c r="S153" s="733"/>
      <c r="T153" s="733"/>
      <c r="U153" s="733"/>
      <c r="V153" s="733"/>
      <c r="W153" s="733"/>
    </row>
    <row r="154" spans="2:23" x14ac:dyDescent="0.45">
      <c r="B154" s="96">
        <f t="shared" si="4"/>
        <v>139</v>
      </c>
      <c r="C154" s="209" t="s">
        <v>883</v>
      </c>
      <c r="D154" s="209" t="s">
        <v>45</v>
      </c>
      <c r="E154" s="209" t="s">
        <v>884</v>
      </c>
      <c r="F154" s="209" t="s">
        <v>493</v>
      </c>
      <c r="H154" s="101"/>
      <c r="I154" s="101"/>
      <c r="J154" s="101"/>
      <c r="K154" s="101"/>
      <c r="L154" s="733" t="s">
        <v>780</v>
      </c>
      <c r="M154" s="733"/>
      <c r="N154" s="733"/>
      <c r="O154" s="733"/>
      <c r="P154" s="733"/>
      <c r="Q154" s="733"/>
      <c r="R154" s="733"/>
      <c r="S154" s="733"/>
      <c r="T154" s="733"/>
      <c r="U154" s="733"/>
      <c r="V154" s="733"/>
      <c r="W154" s="733"/>
    </row>
    <row r="155" spans="2:23" x14ac:dyDescent="0.45">
      <c r="B155" s="96">
        <f t="shared" si="4"/>
        <v>140</v>
      </c>
      <c r="C155" s="209" t="s">
        <v>885</v>
      </c>
      <c r="D155" s="209" t="s">
        <v>45</v>
      </c>
      <c r="E155" s="209" t="s">
        <v>886</v>
      </c>
      <c r="F155" s="209" t="s">
        <v>493</v>
      </c>
      <c r="H155" s="101"/>
      <c r="I155" s="101"/>
      <c r="J155" s="101"/>
      <c r="K155" s="101"/>
      <c r="L155" s="733" t="s">
        <v>780</v>
      </c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</row>
    <row r="156" spans="2:23" x14ac:dyDescent="0.45">
      <c r="B156" s="96">
        <f t="shared" si="4"/>
        <v>141</v>
      </c>
      <c r="C156" s="93" t="s">
        <v>887</v>
      </c>
      <c r="D156" s="93" t="s">
        <v>45</v>
      </c>
      <c r="E156" s="93" t="s">
        <v>888</v>
      </c>
      <c r="F156" s="93" t="s">
        <v>480</v>
      </c>
      <c r="H156" s="101"/>
      <c r="I156" s="101"/>
      <c r="J156" s="101"/>
      <c r="K156" s="101"/>
      <c r="L156" s="733" t="s">
        <v>736</v>
      </c>
      <c r="M156" s="733"/>
      <c r="N156" s="733"/>
      <c r="O156" s="733"/>
      <c r="P156" s="733"/>
      <c r="Q156" s="733"/>
      <c r="R156" s="733"/>
      <c r="S156" s="733"/>
      <c r="T156" s="733"/>
      <c r="U156" s="733"/>
      <c r="V156" s="733"/>
      <c r="W156" s="733"/>
    </row>
    <row r="157" spans="2:23" x14ac:dyDescent="0.45">
      <c r="B157" s="96">
        <f t="shared" si="4"/>
        <v>142</v>
      </c>
      <c r="C157" s="93" t="s">
        <v>889</v>
      </c>
      <c r="D157" s="93" t="s">
        <v>45</v>
      </c>
      <c r="E157" s="93" t="s">
        <v>890</v>
      </c>
      <c r="F157" s="93" t="s">
        <v>480</v>
      </c>
      <c r="H157" s="101"/>
      <c r="I157" s="101"/>
      <c r="J157" s="101"/>
      <c r="K157" s="101"/>
      <c r="L157" s="733" t="s">
        <v>736</v>
      </c>
      <c r="M157" s="733"/>
      <c r="N157" s="733"/>
      <c r="O157" s="733"/>
      <c r="P157" s="733"/>
      <c r="Q157" s="733"/>
      <c r="R157" s="733"/>
      <c r="S157" s="733"/>
      <c r="T157" s="733"/>
      <c r="U157" s="733"/>
      <c r="V157" s="733"/>
      <c r="W157" s="733"/>
    </row>
    <row r="158" spans="2:23" x14ac:dyDescent="0.45">
      <c r="B158" s="96">
        <f t="shared" si="4"/>
        <v>143</v>
      </c>
      <c r="C158" s="93" t="s">
        <v>891</v>
      </c>
      <c r="D158" s="93" t="s">
        <v>45</v>
      </c>
      <c r="E158" s="93" t="s">
        <v>892</v>
      </c>
      <c r="F158" s="93" t="s">
        <v>493</v>
      </c>
      <c r="H158" s="101"/>
      <c r="I158" s="101"/>
      <c r="J158" s="101"/>
      <c r="K158" s="101"/>
      <c r="L158" s="733" t="s">
        <v>780</v>
      </c>
      <c r="M158" s="733"/>
      <c r="N158" s="733"/>
      <c r="O158" s="733"/>
      <c r="P158" s="733"/>
      <c r="Q158" s="733"/>
      <c r="R158" s="733"/>
      <c r="S158" s="733"/>
      <c r="T158" s="733"/>
      <c r="U158" s="733"/>
      <c r="V158" s="733"/>
      <c r="W158" s="733"/>
    </row>
    <row r="159" spans="2:23" x14ac:dyDescent="0.45">
      <c r="B159" s="96">
        <f t="shared" si="4"/>
        <v>144</v>
      </c>
      <c r="C159" s="93" t="s">
        <v>893</v>
      </c>
      <c r="D159" s="93" t="s">
        <v>45</v>
      </c>
      <c r="E159" s="93" t="s">
        <v>894</v>
      </c>
      <c r="F159" s="93" t="s">
        <v>493</v>
      </c>
      <c r="H159" s="101"/>
      <c r="I159" s="101"/>
      <c r="J159" s="101"/>
      <c r="K159" s="101"/>
      <c r="L159" s="733" t="s">
        <v>780</v>
      </c>
      <c r="M159" s="733"/>
      <c r="N159" s="733"/>
      <c r="O159" s="733"/>
      <c r="P159" s="733"/>
      <c r="Q159" s="733"/>
      <c r="R159" s="733"/>
      <c r="S159" s="733"/>
      <c r="T159" s="733"/>
      <c r="U159" s="733"/>
      <c r="V159" s="733"/>
      <c r="W159" s="733"/>
    </row>
    <row r="160" spans="2:23" x14ac:dyDescent="0.45">
      <c r="B160" s="96">
        <f t="shared" si="4"/>
        <v>145</v>
      </c>
      <c r="C160" s="93" t="s">
        <v>895</v>
      </c>
      <c r="D160" s="93" t="s">
        <v>45</v>
      </c>
      <c r="E160" s="93" t="s">
        <v>896</v>
      </c>
      <c r="F160" s="93" t="s">
        <v>493</v>
      </c>
      <c r="H160" s="101"/>
      <c r="I160" s="101"/>
      <c r="J160" s="101"/>
      <c r="K160" s="101"/>
      <c r="L160" s="733" t="s">
        <v>780</v>
      </c>
      <c r="M160" s="733"/>
      <c r="N160" s="733"/>
      <c r="O160" s="733"/>
      <c r="P160" s="733"/>
      <c r="Q160" s="733"/>
      <c r="R160" s="733"/>
      <c r="S160" s="733"/>
      <c r="T160" s="733"/>
      <c r="U160" s="733"/>
      <c r="V160" s="733"/>
      <c r="W160" s="733"/>
    </row>
    <row r="161" spans="2:23" x14ac:dyDescent="0.45">
      <c r="B161" s="96">
        <f t="shared" si="4"/>
        <v>146</v>
      </c>
      <c r="C161" s="93" t="s">
        <v>897</v>
      </c>
      <c r="D161" s="93" t="s">
        <v>45</v>
      </c>
      <c r="E161" s="93" t="s">
        <v>898</v>
      </c>
      <c r="F161" s="93" t="s">
        <v>493</v>
      </c>
      <c r="H161" s="101"/>
      <c r="I161" s="101"/>
      <c r="J161" s="101"/>
      <c r="K161" s="101"/>
      <c r="L161" s="733" t="s">
        <v>780</v>
      </c>
      <c r="M161" s="733"/>
      <c r="N161" s="733"/>
      <c r="O161" s="733"/>
      <c r="P161" s="733"/>
      <c r="Q161" s="733"/>
      <c r="R161" s="733"/>
      <c r="S161" s="733"/>
      <c r="T161" s="733"/>
      <c r="U161" s="733"/>
      <c r="V161" s="733"/>
      <c r="W161" s="733"/>
    </row>
    <row r="162" spans="2:23" x14ac:dyDescent="0.45">
      <c r="B162" s="96">
        <f t="shared" si="4"/>
        <v>147</v>
      </c>
      <c r="C162" s="93" t="s">
        <v>899</v>
      </c>
      <c r="D162" s="93" t="s">
        <v>45</v>
      </c>
      <c r="E162" s="93" t="s">
        <v>900</v>
      </c>
      <c r="F162" s="93" t="s">
        <v>493</v>
      </c>
      <c r="H162" s="101"/>
      <c r="I162" s="101"/>
      <c r="J162" s="101"/>
      <c r="K162" s="101"/>
      <c r="L162" s="733" t="s">
        <v>780</v>
      </c>
      <c r="M162" s="733"/>
      <c r="N162" s="733"/>
      <c r="O162" s="733"/>
      <c r="P162" s="733"/>
      <c r="Q162" s="733"/>
      <c r="R162" s="733"/>
      <c r="S162" s="733"/>
      <c r="T162" s="733"/>
      <c r="U162" s="733"/>
      <c r="V162" s="733"/>
      <c r="W162" s="733"/>
    </row>
    <row r="163" spans="2:23" x14ac:dyDescent="0.45">
      <c r="B163" s="96">
        <f t="shared" si="4"/>
        <v>148</v>
      </c>
      <c r="C163" s="93" t="s">
        <v>901</v>
      </c>
      <c r="D163" s="93" t="s">
        <v>45</v>
      </c>
      <c r="E163" s="93" t="s">
        <v>902</v>
      </c>
      <c r="F163" s="93" t="s">
        <v>493</v>
      </c>
      <c r="H163" s="101"/>
      <c r="I163" s="101"/>
      <c r="J163" s="101"/>
      <c r="K163" s="101"/>
      <c r="L163" s="733" t="s">
        <v>780</v>
      </c>
      <c r="M163" s="733"/>
      <c r="N163" s="733"/>
      <c r="O163" s="733"/>
      <c r="P163" s="733"/>
      <c r="Q163" s="733"/>
      <c r="R163" s="733"/>
      <c r="S163" s="733"/>
      <c r="T163" s="733"/>
      <c r="U163" s="733"/>
      <c r="V163" s="733"/>
      <c r="W163" s="733"/>
    </row>
    <row r="164" spans="2:23" x14ac:dyDescent="0.45">
      <c r="B164" s="96">
        <f t="shared" si="4"/>
        <v>149</v>
      </c>
      <c r="C164" s="209" t="s">
        <v>903</v>
      </c>
      <c r="D164" s="209" t="s">
        <v>45</v>
      </c>
      <c r="E164" s="209" t="s">
        <v>904</v>
      </c>
      <c r="F164" s="209" t="s">
        <v>480</v>
      </c>
      <c r="H164" s="101"/>
      <c r="I164" s="101"/>
      <c r="J164" s="101"/>
      <c r="K164" s="101"/>
      <c r="L164" s="733" t="s">
        <v>736</v>
      </c>
      <c r="M164" s="733"/>
      <c r="N164" s="733"/>
      <c r="O164" s="733"/>
      <c r="P164" s="733"/>
      <c r="Q164" s="733"/>
      <c r="R164" s="733"/>
      <c r="S164" s="733"/>
      <c r="T164" s="733"/>
      <c r="U164" s="733"/>
      <c r="V164" s="733"/>
      <c r="W164" s="733"/>
    </row>
    <row r="165" spans="2:23" x14ac:dyDescent="0.45">
      <c r="B165" s="96">
        <f t="shared" si="4"/>
        <v>150</v>
      </c>
      <c r="C165" s="209" t="s">
        <v>905</v>
      </c>
      <c r="D165" s="209" t="s">
        <v>45</v>
      </c>
      <c r="E165" s="209" t="s">
        <v>906</v>
      </c>
      <c r="F165" s="209" t="s">
        <v>480</v>
      </c>
      <c r="H165" s="101"/>
      <c r="I165" s="101"/>
      <c r="J165" s="101"/>
      <c r="K165" s="101"/>
      <c r="L165" s="733" t="s">
        <v>736</v>
      </c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</row>
    <row r="166" spans="2:23" x14ac:dyDescent="0.45">
      <c r="B166" s="96">
        <f t="shared" si="4"/>
        <v>151</v>
      </c>
      <c r="C166" s="209" t="s">
        <v>907</v>
      </c>
      <c r="D166" s="209" t="s">
        <v>45</v>
      </c>
      <c r="E166" s="209" t="s">
        <v>908</v>
      </c>
      <c r="F166" s="209" t="s">
        <v>493</v>
      </c>
      <c r="H166" s="101"/>
      <c r="I166" s="101"/>
      <c r="J166" s="101"/>
      <c r="K166" s="101"/>
      <c r="L166" s="733" t="s">
        <v>780</v>
      </c>
      <c r="M166" s="733"/>
      <c r="N166" s="733"/>
      <c r="O166" s="733"/>
      <c r="P166" s="733"/>
      <c r="Q166" s="733"/>
      <c r="R166" s="733"/>
      <c r="S166" s="733"/>
      <c r="T166" s="733"/>
      <c r="U166" s="733"/>
      <c r="V166" s="733"/>
      <c r="W166" s="733"/>
    </row>
    <row r="167" spans="2:23" x14ac:dyDescent="0.45">
      <c r="B167" s="96">
        <f t="shared" si="4"/>
        <v>152</v>
      </c>
      <c r="C167" s="209" t="s">
        <v>909</v>
      </c>
      <c r="D167" s="209" t="s">
        <v>45</v>
      </c>
      <c r="E167" s="209" t="s">
        <v>910</v>
      </c>
      <c r="F167" s="209" t="s">
        <v>493</v>
      </c>
      <c r="H167" s="101"/>
      <c r="I167" s="101"/>
      <c r="J167" s="101"/>
      <c r="K167" s="101"/>
      <c r="L167" s="733" t="s">
        <v>780</v>
      </c>
      <c r="M167" s="733"/>
      <c r="N167" s="733"/>
      <c r="O167" s="733"/>
      <c r="P167" s="733"/>
      <c r="Q167" s="733"/>
      <c r="R167" s="733"/>
      <c r="S167" s="733"/>
      <c r="T167" s="733"/>
      <c r="U167" s="733"/>
      <c r="V167" s="733"/>
      <c r="W167" s="733"/>
    </row>
    <row r="168" spans="2:23" x14ac:dyDescent="0.45">
      <c r="B168" s="96">
        <f t="shared" si="4"/>
        <v>153</v>
      </c>
      <c r="C168" s="209" t="s">
        <v>911</v>
      </c>
      <c r="D168" s="209" t="s">
        <v>45</v>
      </c>
      <c r="E168" s="209" t="s">
        <v>912</v>
      </c>
      <c r="F168" s="209" t="s">
        <v>493</v>
      </c>
      <c r="H168" s="101"/>
      <c r="I168" s="101"/>
      <c r="J168" s="101"/>
      <c r="K168" s="101"/>
      <c r="L168" s="733" t="s">
        <v>780</v>
      </c>
      <c r="M168" s="733"/>
      <c r="N168" s="733"/>
      <c r="O168" s="733"/>
      <c r="P168" s="733"/>
      <c r="Q168" s="733"/>
      <c r="R168" s="733"/>
      <c r="S168" s="733"/>
      <c r="T168" s="733"/>
      <c r="U168" s="733"/>
      <c r="V168" s="733"/>
      <c r="W168" s="733"/>
    </row>
    <row r="169" spans="2:23" x14ac:dyDescent="0.45">
      <c r="B169" s="96">
        <f t="shared" si="4"/>
        <v>154</v>
      </c>
      <c r="C169" s="209" t="s">
        <v>913</v>
      </c>
      <c r="D169" s="209" t="s">
        <v>45</v>
      </c>
      <c r="E169" s="209" t="s">
        <v>914</v>
      </c>
      <c r="F169" s="209" t="s">
        <v>493</v>
      </c>
      <c r="H169" s="101"/>
      <c r="I169" s="101"/>
      <c r="J169" s="101"/>
      <c r="K169" s="101"/>
      <c r="L169" s="733" t="s">
        <v>780</v>
      </c>
      <c r="M169" s="733"/>
      <c r="N169" s="733"/>
      <c r="O169" s="733"/>
      <c r="P169" s="733"/>
      <c r="Q169" s="733"/>
      <c r="R169" s="733"/>
      <c r="S169" s="733"/>
      <c r="T169" s="733"/>
      <c r="U169" s="733"/>
      <c r="V169" s="733"/>
      <c r="W169" s="733"/>
    </row>
    <row r="170" spans="2:23" x14ac:dyDescent="0.45">
      <c r="B170" s="96">
        <f t="shared" si="4"/>
        <v>155</v>
      </c>
      <c r="C170" s="209" t="s">
        <v>915</v>
      </c>
      <c r="D170" s="209" t="s">
        <v>45</v>
      </c>
      <c r="E170" s="209" t="s">
        <v>916</v>
      </c>
      <c r="F170" s="209" t="s">
        <v>493</v>
      </c>
      <c r="H170" s="101"/>
      <c r="I170" s="101"/>
      <c r="J170" s="101"/>
      <c r="K170" s="101"/>
      <c r="L170" s="733" t="s">
        <v>780</v>
      </c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</row>
    <row r="171" spans="2:23" x14ac:dyDescent="0.45">
      <c r="B171" s="96">
        <f t="shared" si="4"/>
        <v>156</v>
      </c>
      <c r="C171" s="209" t="s">
        <v>917</v>
      </c>
      <c r="D171" s="209" t="s">
        <v>45</v>
      </c>
      <c r="E171" s="209" t="s">
        <v>918</v>
      </c>
      <c r="F171" s="209" t="s">
        <v>493</v>
      </c>
      <c r="H171" s="101"/>
      <c r="I171" s="101"/>
      <c r="J171" s="101"/>
      <c r="K171" s="101"/>
      <c r="L171" s="733" t="s">
        <v>780</v>
      </c>
      <c r="M171" s="733"/>
      <c r="N171" s="733"/>
      <c r="O171" s="733"/>
      <c r="P171" s="733"/>
      <c r="Q171" s="733"/>
      <c r="R171" s="733"/>
      <c r="S171" s="733"/>
      <c r="T171" s="733"/>
      <c r="U171" s="733"/>
      <c r="V171" s="733"/>
      <c r="W171" s="733"/>
    </row>
    <row r="172" spans="2:23" x14ac:dyDescent="0.45">
      <c r="B172" s="96">
        <f t="shared" si="4"/>
        <v>157</v>
      </c>
      <c r="C172" s="93" t="s">
        <v>919</v>
      </c>
      <c r="D172" s="93" t="s">
        <v>45</v>
      </c>
      <c r="E172" s="93" t="s">
        <v>920</v>
      </c>
      <c r="F172" s="93" t="s">
        <v>480</v>
      </c>
      <c r="H172" s="101"/>
      <c r="I172" s="101"/>
      <c r="J172" s="101"/>
      <c r="K172" s="101"/>
      <c r="L172" s="733" t="s">
        <v>736</v>
      </c>
      <c r="M172" s="733"/>
      <c r="N172" s="733"/>
      <c r="O172" s="733"/>
      <c r="P172" s="733"/>
      <c r="Q172" s="733"/>
      <c r="R172" s="733"/>
      <c r="S172" s="733"/>
      <c r="T172" s="733"/>
      <c r="U172" s="733"/>
      <c r="V172" s="733"/>
      <c r="W172" s="733"/>
    </row>
    <row r="173" spans="2:23" x14ac:dyDescent="0.45">
      <c r="B173" s="96">
        <f t="shared" si="4"/>
        <v>158</v>
      </c>
      <c r="C173" s="93" t="s">
        <v>921</v>
      </c>
      <c r="D173" s="93" t="s">
        <v>45</v>
      </c>
      <c r="E173" s="93" t="s">
        <v>922</v>
      </c>
      <c r="F173" s="93" t="s">
        <v>480</v>
      </c>
      <c r="H173" s="101"/>
      <c r="I173" s="101"/>
      <c r="J173" s="101"/>
      <c r="K173" s="101"/>
      <c r="L173" s="733" t="s">
        <v>736</v>
      </c>
      <c r="M173" s="733"/>
      <c r="N173" s="733"/>
      <c r="O173" s="733"/>
      <c r="P173" s="733"/>
      <c r="Q173" s="733"/>
      <c r="R173" s="733"/>
      <c r="S173" s="733"/>
      <c r="T173" s="733"/>
      <c r="U173" s="733"/>
      <c r="V173" s="733"/>
      <c r="W173" s="733"/>
    </row>
    <row r="174" spans="2:23" x14ac:dyDescent="0.45">
      <c r="B174" s="96">
        <f t="shared" si="4"/>
        <v>159</v>
      </c>
      <c r="C174" s="93" t="s">
        <v>923</v>
      </c>
      <c r="D174" s="93" t="s">
        <v>45</v>
      </c>
      <c r="E174" s="93" t="s">
        <v>924</v>
      </c>
      <c r="F174" s="93" t="s">
        <v>493</v>
      </c>
      <c r="H174" s="101"/>
      <c r="I174" s="101"/>
      <c r="J174" s="101"/>
      <c r="K174" s="101"/>
      <c r="L174" s="733" t="s">
        <v>780</v>
      </c>
      <c r="M174" s="733"/>
      <c r="N174" s="733"/>
      <c r="O174" s="733"/>
      <c r="P174" s="733"/>
      <c r="Q174" s="733"/>
      <c r="R174" s="733"/>
      <c r="S174" s="733"/>
      <c r="T174" s="733"/>
      <c r="U174" s="733"/>
      <c r="V174" s="733"/>
      <c r="W174" s="733"/>
    </row>
    <row r="175" spans="2:23" x14ac:dyDescent="0.45">
      <c r="B175" s="96">
        <f t="shared" si="4"/>
        <v>160</v>
      </c>
      <c r="C175" s="93" t="s">
        <v>925</v>
      </c>
      <c r="D175" s="93" t="s">
        <v>45</v>
      </c>
      <c r="E175" s="93" t="s">
        <v>926</v>
      </c>
      <c r="F175" s="93" t="s">
        <v>493</v>
      </c>
      <c r="H175" s="101"/>
      <c r="I175" s="101"/>
      <c r="J175" s="101"/>
      <c r="K175" s="101"/>
      <c r="L175" s="733" t="s">
        <v>780</v>
      </c>
      <c r="M175" s="733"/>
      <c r="N175" s="733"/>
      <c r="O175" s="733"/>
      <c r="P175" s="733"/>
      <c r="Q175" s="733"/>
      <c r="R175" s="733"/>
      <c r="S175" s="733"/>
      <c r="T175" s="733"/>
      <c r="U175" s="733"/>
      <c r="V175" s="733"/>
      <c r="W175" s="733"/>
    </row>
    <row r="176" spans="2:23" x14ac:dyDescent="0.45">
      <c r="B176" s="96">
        <f t="shared" si="4"/>
        <v>161</v>
      </c>
      <c r="C176" s="93" t="s">
        <v>927</v>
      </c>
      <c r="D176" s="93" t="s">
        <v>45</v>
      </c>
      <c r="E176" s="93" t="s">
        <v>928</v>
      </c>
      <c r="F176" s="93" t="s">
        <v>493</v>
      </c>
      <c r="H176" s="101"/>
      <c r="I176" s="101"/>
      <c r="J176" s="101"/>
      <c r="K176" s="101"/>
      <c r="L176" s="733" t="s">
        <v>780</v>
      </c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</row>
    <row r="177" spans="2:23" x14ac:dyDescent="0.45">
      <c r="B177" s="96">
        <f t="shared" si="4"/>
        <v>162</v>
      </c>
      <c r="C177" s="93" t="s">
        <v>929</v>
      </c>
      <c r="D177" s="93" t="s">
        <v>45</v>
      </c>
      <c r="E177" s="93" t="s">
        <v>930</v>
      </c>
      <c r="F177" s="93" t="s">
        <v>493</v>
      </c>
      <c r="H177" s="101"/>
      <c r="I177" s="101"/>
      <c r="J177" s="101"/>
      <c r="K177" s="101"/>
      <c r="L177" s="733" t="s">
        <v>780</v>
      </c>
      <c r="M177" s="733"/>
      <c r="N177" s="733"/>
      <c r="O177" s="733"/>
      <c r="P177" s="733"/>
      <c r="Q177" s="733"/>
      <c r="R177" s="733"/>
      <c r="S177" s="733"/>
      <c r="T177" s="733"/>
      <c r="U177" s="733"/>
      <c r="V177" s="733"/>
      <c r="W177" s="733"/>
    </row>
    <row r="178" spans="2:23" x14ac:dyDescent="0.45">
      <c r="B178" s="96">
        <f t="shared" si="4"/>
        <v>163</v>
      </c>
      <c r="C178" s="93" t="s">
        <v>931</v>
      </c>
      <c r="D178" s="93" t="s">
        <v>45</v>
      </c>
      <c r="E178" s="93" t="s">
        <v>932</v>
      </c>
      <c r="F178" s="93" t="s">
        <v>493</v>
      </c>
      <c r="H178" s="101"/>
      <c r="I178" s="101"/>
      <c r="J178" s="101"/>
      <c r="K178" s="101"/>
      <c r="L178" s="733" t="s">
        <v>780</v>
      </c>
      <c r="M178" s="733"/>
      <c r="N178" s="733"/>
      <c r="O178" s="733"/>
      <c r="P178" s="733"/>
      <c r="Q178" s="733"/>
      <c r="R178" s="733"/>
      <c r="S178" s="733"/>
      <c r="T178" s="733"/>
      <c r="U178" s="733"/>
      <c r="V178" s="733"/>
      <c r="W178" s="733"/>
    </row>
    <row r="179" spans="2:23" x14ac:dyDescent="0.45">
      <c r="B179" s="96">
        <f t="shared" si="4"/>
        <v>164</v>
      </c>
      <c r="C179" s="93" t="s">
        <v>933</v>
      </c>
      <c r="D179" s="93" t="s">
        <v>45</v>
      </c>
      <c r="E179" s="93" t="s">
        <v>934</v>
      </c>
      <c r="F179" s="93" t="s">
        <v>493</v>
      </c>
      <c r="H179" s="101"/>
      <c r="I179" s="101"/>
      <c r="J179" s="101"/>
      <c r="K179" s="101"/>
      <c r="L179" s="733" t="s">
        <v>780</v>
      </c>
      <c r="M179" s="733"/>
      <c r="N179" s="733"/>
      <c r="O179" s="733"/>
      <c r="P179" s="733"/>
      <c r="Q179" s="733"/>
      <c r="R179" s="733"/>
      <c r="S179" s="733"/>
      <c r="T179" s="733"/>
      <c r="U179" s="733"/>
      <c r="V179" s="733"/>
      <c r="W179" s="733"/>
    </row>
    <row r="180" spans="2:23" x14ac:dyDescent="0.45">
      <c r="B180" s="96">
        <f t="shared" si="4"/>
        <v>165</v>
      </c>
      <c r="C180" s="209" t="s">
        <v>935</v>
      </c>
      <c r="D180" s="209" t="s">
        <v>45</v>
      </c>
      <c r="E180" s="209" t="s">
        <v>936</v>
      </c>
      <c r="F180" s="209" t="s">
        <v>480</v>
      </c>
      <c r="H180" s="101"/>
      <c r="I180" s="101"/>
      <c r="J180" s="101"/>
      <c r="K180" s="101"/>
      <c r="L180" s="733" t="s">
        <v>736</v>
      </c>
      <c r="M180" s="733"/>
      <c r="N180" s="733"/>
      <c r="O180" s="733"/>
      <c r="P180" s="733"/>
      <c r="Q180" s="733"/>
      <c r="R180" s="733"/>
      <c r="S180" s="733"/>
      <c r="T180" s="733"/>
      <c r="U180" s="733"/>
      <c r="V180" s="733"/>
      <c r="W180" s="733"/>
    </row>
    <row r="181" spans="2:23" x14ac:dyDescent="0.45">
      <c r="B181" s="96">
        <f t="shared" si="4"/>
        <v>166</v>
      </c>
      <c r="C181" s="209" t="s">
        <v>937</v>
      </c>
      <c r="D181" s="209" t="s">
        <v>45</v>
      </c>
      <c r="E181" s="209" t="s">
        <v>938</v>
      </c>
      <c r="F181" s="209" t="s">
        <v>480</v>
      </c>
      <c r="H181" s="101"/>
      <c r="I181" s="101"/>
      <c r="J181" s="101"/>
      <c r="K181" s="101"/>
      <c r="L181" s="733" t="s">
        <v>736</v>
      </c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</row>
    <row r="182" spans="2:23" x14ac:dyDescent="0.45">
      <c r="B182" s="96">
        <f t="shared" si="4"/>
        <v>167</v>
      </c>
      <c r="C182" s="209" t="s">
        <v>939</v>
      </c>
      <c r="D182" s="209" t="s">
        <v>45</v>
      </c>
      <c r="E182" s="209" t="s">
        <v>940</v>
      </c>
      <c r="F182" s="209" t="s">
        <v>493</v>
      </c>
      <c r="H182" s="101"/>
      <c r="I182" s="101"/>
      <c r="J182" s="101"/>
      <c r="K182" s="101"/>
      <c r="L182" s="733" t="s">
        <v>780</v>
      </c>
      <c r="M182" s="733"/>
      <c r="N182" s="733"/>
      <c r="O182" s="733"/>
      <c r="P182" s="733"/>
      <c r="Q182" s="733"/>
      <c r="R182" s="733"/>
      <c r="S182" s="733"/>
      <c r="T182" s="733"/>
      <c r="U182" s="733"/>
      <c r="V182" s="733"/>
      <c r="W182" s="733"/>
    </row>
    <row r="183" spans="2:23" x14ac:dyDescent="0.45">
      <c r="B183" s="96">
        <f t="shared" si="4"/>
        <v>168</v>
      </c>
      <c r="C183" s="209" t="s">
        <v>941</v>
      </c>
      <c r="D183" s="209" t="s">
        <v>45</v>
      </c>
      <c r="E183" s="209" t="s">
        <v>942</v>
      </c>
      <c r="F183" s="209" t="s">
        <v>493</v>
      </c>
      <c r="H183" s="101"/>
      <c r="I183" s="101"/>
      <c r="J183" s="101"/>
      <c r="K183" s="101"/>
      <c r="L183" s="733" t="s">
        <v>780</v>
      </c>
      <c r="M183" s="733"/>
      <c r="N183" s="733"/>
      <c r="O183" s="733"/>
      <c r="P183" s="733"/>
      <c r="Q183" s="733"/>
      <c r="R183" s="733"/>
      <c r="S183" s="733"/>
      <c r="T183" s="733"/>
      <c r="U183" s="733"/>
      <c r="V183" s="733"/>
      <c r="W183" s="733"/>
    </row>
    <row r="184" spans="2:23" x14ac:dyDescent="0.45">
      <c r="B184" s="96">
        <f t="shared" si="4"/>
        <v>169</v>
      </c>
      <c r="C184" s="209" t="s">
        <v>943</v>
      </c>
      <c r="D184" s="209" t="s">
        <v>45</v>
      </c>
      <c r="E184" s="209" t="s">
        <v>944</v>
      </c>
      <c r="F184" s="209" t="s">
        <v>493</v>
      </c>
      <c r="H184" s="101"/>
      <c r="I184" s="101"/>
      <c r="J184" s="101"/>
      <c r="K184" s="101"/>
      <c r="L184" s="733" t="s">
        <v>780</v>
      </c>
      <c r="M184" s="733"/>
      <c r="N184" s="733"/>
      <c r="O184" s="733"/>
      <c r="P184" s="733"/>
      <c r="Q184" s="733"/>
      <c r="R184" s="733"/>
      <c r="S184" s="733"/>
      <c r="T184" s="733"/>
      <c r="U184" s="733"/>
      <c r="V184" s="733"/>
      <c r="W184" s="733"/>
    </row>
    <row r="185" spans="2:23" x14ac:dyDescent="0.45">
      <c r="B185" s="96">
        <f t="shared" si="4"/>
        <v>170</v>
      </c>
      <c r="C185" s="209" t="s">
        <v>945</v>
      </c>
      <c r="D185" s="209" t="s">
        <v>45</v>
      </c>
      <c r="E185" s="209" t="s">
        <v>946</v>
      </c>
      <c r="F185" s="209" t="s">
        <v>493</v>
      </c>
      <c r="H185" s="101"/>
      <c r="I185" s="101"/>
      <c r="J185" s="101"/>
      <c r="K185" s="101"/>
      <c r="L185" s="733" t="s">
        <v>780</v>
      </c>
      <c r="M185" s="733"/>
      <c r="N185" s="733"/>
      <c r="O185" s="733"/>
      <c r="P185" s="733"/>
      <c r="Q185" s="733"/>
      <c r="R185" s="733"/>
      <c r="S185" s="733"/>
      <c r="T185" s="733"/>
      <c r="U185" s="733"/>
      <c r="V185" s="733"/>
      <c r="W185" s="733"/>
    </row>
    <row r="186" spans="2:23" x14ac:dyDescent="0.45">
      <c r="B186" s="96">
        <f t="shared" si="4"/>
        <v>171</v>
      </c>
      <c r="C186" s="209" t="s">
        <v>947</v>
      </c>
      <c r="D186" s="209" t="s">
        <v>45</v>
      </c>
      <c r="E186" s="209" t="s">
        <v>948</v>
      </c>
      <c r="F186" s="209" t="s">
        <v>493</v>
      </c>
      <c r="H186" s="101"/>
      <c r="I186" s="101"/>
      <c r="J186" s="101"/>
      <c r="K186" s="101"/>
      <c r="L186" s="733" t="s">
        <v>780</v>
      </c>
      <c r="M186" s="733"/>
      <c r="N186" s="733"/>
      <c r="O186" s="733"/>
      <c r="P186" s="733"/>
      <c r="Q186" s="733"/>
      <c r="R186" s="733"/>
      <c r="S186" s="733"/>
      <c r="T186" s="733"/>
      <c r="U186" s="733"/>
      <c r="V186" s="733"/>
      <c r="W186" s="733"/>
    </row>
    <row r="187" spans="2:23" x14ac:dyDescent="0.45">
      <c r="B187" s="96">
        <f t="shared" si="4"/>
        <v>172</v>
      </c>
      <c r="C187" s="209" t="s">
        <v>949</v>
      </c>
      <c r="D187" s="209" t="s">
        <v>45</v>
      </c>
      <c r="E187" s="209" t="s">
        <v>950</v>
      </c>
      <c r="F187" s="209" t="s">
        <v>493</v>
      </c>
      <c r="H187" s="101"/>
      <c r="I187" s="101"/>
      <c r="J187" s="101"/>
      <c r="K187" s="101"/>
      <c r="L187" s="733" t="s">
        <v>780</v>
      </c>
      <c r="M187" s="733"/>
      <c r="N187" s="733"/>
      <c r="O187" s="733"/>
      <c r="P187" s="733"/>
      <c r="Q187" s="733"/>
      <c r="R187" s="733"/>
      <c r="S187" s="733"/>
      <c r="T187" s="733"/>
      <c r="U187" s="733"/>
      <c r="V187" s="733"/>
      <c r="W187" s="733"/>
    </row>
    <row r="188" spans="2:23" x14ac:dyDescent="0.45">
      <c r="B188" s="96">
        <f t="shared" si="4"/>
        <v>173</v>
      </c>
      <c r="C188" s="93" t="s">
        <v>951</v>
      </c>
      <c r="D188" s="93" t="s">
        <v>45</v>
      </c>
      <c r="E188" s="93" t="s">
        <v>952</v>
      </c>
      <c r="F188" s="93" t="s">
        <v>480</v>
      </c>
      <c r="H188" s="101"/>
      <c r="I188" s="101"/>
      <c r="J188" s="101"/>
      <c r="K188" s="101"/>
      <c r="L188" s="733" t="s">
        <v>736</v>
      </c>
      <c r="M188" s="733"/>
      <c r="N188" s="733"/>
      <c r="O188" s="733"/>
      <c r="P188" s="733"/>
      <c r="Q188" s="733"/>
      <c r="R188" s="733"/>
      <c r="S188" s="733"/>
      <c r="T188" s="733"/>
      <c r="U188" s="733"/>
      <c r="V188" s="733"/>
      <c r="W188" s="733"/>
    </row>
    <row r="189" spans="2:23" x14ac:dyDescent="0.45">
      <c r="B189" s="96">
        <f t="shared" si="4"/>
        <v>174</v>
      </c>
      <c r="C189" s="93" t="s">
        <v>953</v>
      </c>
      <c r="D189" s="93" t="s">
        <v>45</v>
      </c>
      <c r="E189" s="93" t="s">
        <v>954</v>
      </c>
      <c r="F189" s="93" t="s">
        <v>480</v>
      </c>
      <c r="H189" s="101"/>
      <c r="I189" s="101"/>
      <c r="J189" s="101"/>
      <c r="K189" s="101"/>
      <c r="L189" s="733" t="s">
        <v>736</v>
      </c>
      <c r="M189" s="733"/>
      <c r="N189" s="733"/>
      <c r="O189" s="733"/>
      <c r="P189" s="733"/>
      <c r="Q189" s="733"/>
      <c r="R189" s="733"/>
      <c r="S189" s="733"/>
      <c r="T189" s="733"/>
      <c r="U189" s="733"/>
      <c r="V189" s="733"/>
      <c r="W189" s="733"/>
    </row>
    <row r="190" spans="2:23" x14ac:dyDescent="0.45">
      <c r="B190" s="96">
        <f t="shared" si="4"/>
        <v>175</v>
      </c>
      <c r="C190" s="93" t="s">
        <v>955</v>
      </c>
      <c r="D190" s="93" t="s">
        <v>45</v>
      </c>
      <c r="E190" s="93" t="s">
        <v>956</v>
      </c>
      <c r="F190" s="93" t="s">
        <v>493</v>
      </c>
      <c r="H190" s="101"/>
      <c r="I190" s="101"/>
      <c r="J190" s="101"/>
      <c r="K190" s="101"/>
      <c r="L190" s="733" t="s">
        <v>780</v>
      </c>
      <c r="M190" s="733"/>
      <c r="N190" s="733"/>
      <c r="O190" s="733"/>
      <c r="P190" s="733"/>
      <c r="Q190" s="733"/>
      <c r="R190" s="733"/>
      <c r="S190" s="733"/>
      <c r="T190" s="733"/>
      <c r="U190" s="733"/>
      <c r="V190" s="733"/>
      <c r="W190" s="733"/>
    </row>
    <row r="191" spans="2:23" x14ac:dyDescent="0.45">
      <c r="B191" s="96">
        <f t="shared" si="4"/>
        <v>176</v>
      </c>
      <c r="C191" s="93" t="s">
        <v>957</v>
      </c>
      <c r="D191" s="93" t="s">
        <v>45</v>
      </c>
      <c r="E191" s="93" t="s">
        <v>958</v>
      </c>
      <c r="F191" s="93" t="s">
        <v>493</v>
      </c>
      <c r="H191" s="101"/>
      <c r="I191" s="101"/>
      <c r="J191" s="101"/>
      <c r="K191" s="101"/>
      <c r="L191" s="733" t="s">
        <v>780</v>
      </c>
      <c r="M191" s="733"/>
      <c r="N191" s="733"/>
      <c r="O191" s="733"/>
      <c r="P191" s="733"/>
      <c r="Q191" s="733"/>
      <c r="R191" s="733"/>
      <c r="S191" s="733"/>
      <c r="T191" s="733"/>
      <c r="U191" s="733"/>
      <c r="V191" s="733"/>
      <c r="W191" s="733"/>
    </row>
    <row r="192" spans="2:23" x14ac:dyDescent="0.45">
      <c r="B192" s="96">
        <f t="shared" si="4"/>
        <v>177</v>
      </c>
      <c r="C192" s="93" t="s">
        <v>959</v>
      </c>
      <c r="D192" s="93" t="s">
        <v>45</v>
      </c>
      <c r="E192" s="93" t="s">
        <v>960</v>
      </c>
      <c r="F192" s="93" t="s">
        <v>493</v>
      </c>
      <c r="H192" s="101"/>
      <c r="I192" s="101"/>
      <c r="J192" s="101"/>
      <c r="K192" s="101"/>
      <c r="L192" s="733" t="s">
        <v>780</v>
      </c>
      <c r="M192" s="733"/>
      <c r="N192" s="733"/>
      <c r="O192" s="733"/>
      <c r="P192" s="733"/>
      <c r="Q192" s="733"/>
      <c r="R192" s="733"/>
      <c r="S192" s="733"/>
      <c r="T192" s="733"/>
      <c r="U192" s="733"/>
      <c r="V192" s="733"/>
      <c r="W192" s="733"/>
    </row>
    <row r="193" spans="2:23" x14ac:dyDescent="0.45">
      <c r="B193" s="96">
        <f t="shared" si="4"/>
        <v>178</v>
      </c>
      <c r="C193" s="93" t="s">
        <v>961</v>
      </c>
      <c r="D193" s="93" t="s">
        <v>45</v>
      </c>
      <c r="E193" s="93" t="s">
        <v>962</v>
      </c>
      <c r="F193" s="93" t="s">
        <v>493</v>
      </c>
      <c r="H193" s="101"/>
      <c r="I193" s="101"/>
      <c r="J193" s="101"/>
      <c r="K193" s="101"/>
      <c r="L193" s="733" t="s">
        <v>780</v>
      </c>
      <c r="M193" s="733"/>
      <c r="N193" s="733"/>
      <c r="O193" s="733"/>
      <c r="P193" s="733"/>
      <c r="Q193" s="733"/>
      <c r="R193" s="733"/>
      <c r="S193" s="733"/>
      <c r="T193" s="733"/>
      <c r="U193" s="733"/>
      <c r="V193" s="733"/>
      <c r="W193" s="733"/>
    </row>
    <row r="194" spans="2:23" x14ac:dyDescent="0.45">
      <c r="B194" s="96">
        <f t="shared" si="4"/>
        <v>179</v>
      </c>
      <c r="C194" s="93" t="s">
        <v>963</v>
      </c>
      <c r="D194" s="93" t="s">
        <v>45</v>
      </c>
      <c r="E194" s="93" t="s">
        <v>964</v>
      </c>
      <c r="F194" s="93" t="s">
        <v>493</v>
      </c>
      <c r="H194" s="101"/>
      <c r="I194" s="101"/>
      <c r="J194" s="101"/>
      <c r="K194" s="101"/>
      <c r="L194" s="733" t="s">
        <v>780</v>
      </c>
      <c r="M194" s="733"/>
      <c r="N194" s="733"/>
      <c r="O194" s="733"/>
      <c r="P194" s="733"/>
      <c r="Q194" s="733"/>
      <c r="R194" s="733"/>
      <c r="S194" s="733"/>
      <c r="T194" s="733"/>
      <c r="U194" s="733"/>
      <c r="V194" s="733"/>
      <c r="W194" s="733"/>
    </row>
    <row r="195" spans="2:23" x14ac:dyDescent="0.45">
      <c r="B195" s="96">
        <f t="shared" si="4"/>
        <v>180</v>
      </c>
      <c r="C195" s="93" t="s">
        <v>965</v>
      </c>
      <c r="D195" s="93" t="s">
        <v>45</v>
      </c>
      <c r="E195" s="93" t="s">
        <v>966</v>
      </c>
      <c r="F195" s="93" t="s">
        <v>493</v>
      </c>
      <c r="H195" s="101"/>
      <c r="I195" s="101"/>
      <c r="J195" s="101"/>
      <c r="K195" s="101"/>
      <c r="L195" s="733" t="s">
        <v>780</v>
      </c>
      <c r="M195" s="733"/>
      <c r="N195" s="733"/>
      <c r="O195" s="733"/>
      <c r="P195" s="733"/>
      <c r="Q195" s="733"/>
      <c r="R195" s="733"/>
      <c r="S195" s="733"/>
      <c r="T195" s="733"/>
      <c r="U195" s="733"/>
      <c r="V195" s="733"/>
      <c r="W195" s="733"/>
    </row>
    <row r="196" spans="2:23" x14ac:dyDescent="0.45">
      <c r="B196" s="96">
        <f t="shared" si="4"/>
        <v>181</v>
      </c>
      <c r="C196" s="209" t="s">
        <v>967</v>
      </c>
      <c r="D196" s="209" t="s">
        <v>45</v>
      </c>
      <c r="E196" s="209" t="s">
        <v>968</v>
      </c>
      <c r="F196" s="209" t="s">
        <v>480</v>
      </c>
      <c r="H196" s="101"/>
      <c r="I196" s="101"/>
      <c r="J196" s="101"/>
      <c r="K196" s="101"/>
      <c r="L196" s="733" t="s">
        <v>736</v>
      </c>
      <c r="M196" s="733"/>
      <c r="N196" s="733"/>
      <c r="O196" s="733"/>
      <c r="P196" s="733"/>
      <c r="Q196" s="733"/>
      <c r="R196" s="733"/>
      <c r="S196" s="733"/>
      <c r="T196" s="733"/>
      <c r="U196" s="733"/>
      <c r="V196" s="733"/>
      <c r="W196" s="733"/>
    </row>
    <row r="197" spans="2:23" x14ac:dyDescent="0.45">
      <c r="B197" s="96">
        <f t="shared" si="4"/>
        <v>182</v>
      </c>
      <c r="C197" s="209" t="s">
        <v>969</v>
      </c>
      <c r="D197" s="209" t="s">
        <v>45</v>
      </c>
      <c r="E197" s="209" t="s">
        <v>970</v>
      </c>
      <c r="F197" s="209" t="s">
        <v>480</v>
      </c>
      <c r="H197" s="101"/>
      <c r="I197" s="101"/>
      <c r="J197" s="101"/>
      <c r="K197" s="101"/>
      <c r="L197" s="733" t="s">
        <v>736</v>
      </c>
      <c r="M197" s="733"/>
      <c r="N197" s="733"/>
      <c r="O197" s="733"/>
      <c r="P197" s="733"/>
      <c r="Q197" s="733"/>
      <c r="R197" s="733"/>
      <c r="S197" s="733"/>
      <c r="T197" s="733"/>
      <c r="U197" s="733"/>
      <c r="V197" s="733"/>
      <c r="W197" s="733"/>
    </row>
    <row r="198" spans="2:23" x14ac:dyDescent="0.45">
      <c r="B198" s="96">
        <f t="shared" si="4"/>
        <v>183</v>
      </c>
      <c r="C198" s="209" t="s">
        <v>971</v>
      </c>
      <c r="D198" s="209" t="s">
        <v>45</v>
      </c>
      <c r="E198" s="209" t="s">
        <v>972</v>
      </c>
      <c r="F198" s="209" t="s">
        <v>493</v>
      </c>
      <c r="H198" s="101"/>
      <c r="I198" s="101"/>
      <c r="J198" s="101"/>
      <c r="K198" s="101"/>
      <c r="L198" s="733" t="s">
        <v>780</v>
      </c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</row>
    <row r="199" spans="2:23" x14ac:dyDescent="0.45">
      <c r="B199" s="96">
        <f t="shared" si="4"/>
        <v>184</v>
      </c>
      <c r="C199" s="209" t="s">
        <v>973</v>
      </c>
      <c r="D199" s="209" t="s">
        <v>45</v>
      </c>
      <c r="E199" s="209" t="s">
        <v>974</v>
      </c>
      <c r="F199" s="209" t="s">
        <v>493</v>
      </c>
      <c r="H199" s="101"/>
      <c r="I199" s="101"/>
      <c r="J199" s="101"/>
      <c r="K199" s="101"/>
      <c r="L199" s="733" t="s">
        <v>780</v>
      </c>
      <c r="M199" s="733"/>
      <c r="N199" s="733"/>
      <c r="O199" s="733"/>
      <c r="P199" s="733"/>
      <c r="Q199" s="733"/>
      <c r="R199" s="733"/>
      <c r="S199" s="733"/>
      <c r="T199" s="733"/>
      <c r="U199" s="733"/>
      <c r="V199" s="733"/>
      <c r="W199" s="733"/>
    </row>
    <row r="200" spans="2:23" x14ac:dyDescent="0.45">
      <c r="B200" s="96">
        <f t="shared" si="4"/>
        <v>185</v>
      </c>
      <c r="C200" s="209" t="s">
        <v>975</v>
      </c>
      <c r="D200" s="209" t="s">
        <v>45</v>
      </c>
      <c r="E200" s="209" t="s">
        <v>976</v>
      </c>
      <c r="F200" s="209" t="s">
        <v>493</v>
      </c>
      <c r="H200" s="101"/>
      <c r="I200" s="101"/>
      <c r="J200" s="101"/>
      <c r="K200" s="101"/>
      <c r="L200" s="733" t="s">
        <v>780</v>
      </c>
      <c r="M200" s="733"/>
      <c r="N200" s="733"/>
      <c r="O200" s="733"/>
      <c r="P200" s="733"/>
      <c r="Q200" s="733"/>
      <c r="R200" s="733"/>
      <c r="S200" s="733"/>
      <c r="T200" s="733"/>
      <c r="U200" s="733"/>
      <c r="V200" s="733"/>
      <c r="W200" s="733"/>
    </row>
    <row r="201" spans="2:23" x14ac:dyDescent="0.45">
      <c r="B201" s="96">
        <f t="shared" si="4"/>
        <v>186</v>
      </c>
      <c r="C201" s="209" t="s">
        <v>977</v>
      </c>
      <c r="D201" s="209" t="s">
        <v>45</v>
      </c>
      <c r="E201" s="209" t="s">
        <v>978</v>
      </c>
      <c r="F201" s="209" t="s">
        <v>493</v>
      </c>
      <c r="H201" s="101"/>
      <c r="I201" s="101"/>
      <c r="J201" s="101"/>
      <c r="K201" s="101"/>
      <c r="L201" s="733" t="s">
        <v>780</v>
      </c>
      <c r="M201" s="733"/>
      <c r="N201" s="733"/>
      <c r="O201" s="733"/>
      <c r="P201" s="733"/>
      <c r="Q201" s="733"/>
      <c r="R201" s="733"/>
      <c r="S201" s="733"/>
      <c r="T201" s="733"/>
      <c r="U201" s="733"/>
      <c r="V201" s="733"/>
      <c r="W201" s="733"/>
    </row>
    <row r="202" spans="2:23" x14ac:dyDescent="0.45">
      <c r="B202" s="96">
        <f t="shared" si="4"/>
        <v>187</v>
      </c>
      <c r="C202" s="209" t="s">
        <v>979</v>
      </c>
      <c r="D202" s="209" t="s">
        <v>45</v>
      </c>
      <c r="E202" s="209" t="s">
        <v>980</v>
      </c>
      <c r="F202" s="209" t="s">
        <v>493</v>
      </c>
      <c r="H202" s="101"/>
      <c r="I202" s="101"/>
      <c r="J202" s="101"/>
      <c r="K202" s="101"/>
      <c r="L202" s="733" t="s">
        <v>780</v>
      </c>
      <c r="M202" s="733"/>
      <c r="N202" s="733"/>
      <c r="O202" s="733"/>
      <c r="P202" s="733"/>
      <c r="Q202" s="733"/>
      <c r="R202" s="733"/>
      <c r="S202" s="733"/>
      <c r="T202" s="733"/>
      <c r="U202" s="733"/>
      <c r="V202" s="733"/>
      <c r="W202" s="733"/>
    </row>
    <row r="203" spans="2:23" x14ac:dyDescent="0.45">
      <c r="B203" s="96">
        <f t="shared" si="4"/>
        <v>188</v>
      </c>
      <c r="C203" s="209" t="s">
        <v>981</v>
      </c>
      <c r="D203" s="209" t="s">
        <v>45</v>
      </c>
      <c r="E203" s="209" t="s">
        <v>982</v>
      </c>
      <c r="F203" s="209" t="s">
        <v>493</v>
      </c>
      <c r="H203" s="101"/>
      <c r="I203" s="101"/>
      <c r="J203" s="101"/>
      <c r="K203" s="101"/>
      <c r="L203" s="733" t="s">
        <v>780</v>
      </c>
      <c r="M203" s="733"/>
      <c r="N203" s="733"/>
      <c r="O203" s="733"/>
      <c r="P203" s="733"/>
      <c r="Q203" s="733"/>
      <c r="R203" s="733"/>
      <c r="S203" s="733"/>
      <c r="T203" s="733"/>
      <c r="U203" s="733"/>
      <c r="V203" s="733"/>
      <c r="W203" s="733"/>
    </row>
    <row r="204" spans="2:23" x14ac:dyDescent="0.45">
      <c r="B204" s="96">
        <f t="shared" si="4"/>
        <v>189</v>
      </c>
      <c r="C204" s="93" t="s">
        <v>983</v>
      </c>
      <c r="D204" s="93" t="s">
        <v>45</v>
      </c>
      <c r="E204" s="93" t="s">
        <v>984</v>
      </c>
      <c r="F204" s="93" t="s">
        <v>480</v>
      </c>
      <c r="H204" s="101"/>
      <c r="I204" s="101"/>
      <c r="J204" s="101"/>
      <c r="K204" s="101"/>
      <c r="L204" s="733" t="s">
        <v>736</v>
      </c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</row>
    <row r="205" spans="2:23" x14ac:dyDescent="0.45">
      <c r="B205" s="96">
        <f t="shared" si="4"/>
        <v>190</v>
      </c>
      <c r="C205" s="93" t="s">
        <v>985</v>
      </c>
      <c r="D205" s="93" t="s">
        <v>45</v>
      </c>
      <c r="E205" s="93" t="s">
        <v>986</v>
      </c>
      <c r="F205" s="93" t="s">
        <v>480</v>
      </c>
      <c r="H205" s="101"/>
      <c r="I205" s="101"/>
      <c r="J205" s="101"/>
      <c r="K205" s="101"/>
      <c r="L205" s="733" t="s">
        <v>736</v>
      </c>
      <c r="M205" s="733"/>
      <c r="N205" s="733"/>
      <c r="O205" s="733"/>
      <c r="P205" s="733"/>
      <c r="Q205" s="733"/>
      <c r="R205" s="733"/>
      <c r="S205" s="733"/>
      <c r="T205" s="733"/>
      <c r="U205" s="733"/>
      <c r="V205" s="733"/>
      <c r="W205" s="733"/>
    </row>
    <row r="206" spans="2:23" x14ac:dyDescent="0.45">
      <c r="B206" s="96">
        <f t="shared" si="4"/>
        <v>191</v>
      </c>
      <c r="C206" s="93" t="s">
        <v>987</v>
      </c>
      <c r="D206" s="93" t="s">
        <v>45</v>
      </c>
      <c r="E206" s="93" t="s">
        <v>988</v>
      </c>
      <c r="F206" s="93" t="s">
        <v>493</v>
      </c>
      <c r="H206" s="101"/>
      <c r="I206" s="101"/>
      <c r="J206" s="101"/>
      <c r="K206" s="101"/>
      <c r="L206" s="733" t="s">
        <v>780</v>
      </c>
      <c r="M206" s="733"/>
      <c r="N206" s="733"/>
      <c r="O206" s="733"/>
      <c r="P206" s="733"/>
      <c r="Q206" s="733"/>
      <c r="R206" s="733"/>
      <c r="S206" s="733"/>
      <c r="T206" s="733"/>
      <c r="U206" s="733"/>
      <c r="V206" s="733"/>
      <c r="W206" s="733"/>
    </row>
    <row r="207" spans="2:23" x14ac:dyDescent="0.45">
      <c r="B207" s="96">
        <f t="shared" si="4"/>
        <v>192</v>
      </c>
      <c r="C207" s="93" t="s">
        <v>989</v>
      </c>
      <c r="D207" s="93" t="s">
        <v>45</v>
      </c>
      <c r="E207" s="93" t="s">
        <v>990</v>
      </c>
      <c r="F207" s="93" t="s">
        <v>493</v>
      </c>
      <c r="H207" s="101"/>
      <c r="I207" s="101"/>
      <c r="J207" s="101"/>
      <c r="K207" s="101"/>
      <c r="L207" s="733" t="s">
        <v>780</v>
      </c>
      <c r="M207" s="733"/>
      <c r="N207" s="733"/>
      <c r="O207" s="733"/>
      <c r="P207" s="733"/>
      <c r="Q207" s="733"/>
      <c r="R207" s="733"/>
      <c r="S207" s="733"/>
      <c r="T207" s="733"/>
      <c r="U207" s="733"/>
      <c r="V207" s="733"/>
      <c r="W207" s="733"/>
    </row>
    <row r="208" spans="2:23" x14ac:dyDescent="0.45">
      <c r="B208" s="96">
        <f t="shared" si="4"/>
        <v>193</v>
      </c>
      <c r="C208" s="93" t="s">
        <v>991</v>
      </c>
      <c r="D208" s="93" t="s">
        <v>45</v>
      </c>
      <c r="E208" s="93" t="s">
        <v>992</v>
      </c>
      <c r="F208" s="93" t="s">
        <v>493</v>
      </c>
      <c r="H208" s="101"/>
      <c r="I208" s="101"/>
      <c r="J208" s="101"/>
      <c r="K208" s="101"/>
      <c r="L208" s="733" t="s">
        <v>780</v>
      </c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</row>
    <row r="209" spans="2:23" x14ac:dyDescent="0.45">
      <c r="B209" s="96">
        <f t="shared" si="4"/>
        <v>194</v>
      </c>
      <c r="C209" s="93" t="s">
        <v>993</v>
      </c>
      <c r="D209" s="93" t="s">
        <v>45</v>
      </c>
      <c r="E209" s="93" t="s">
        <v>994</v>
      </c>
      <c r="F209" s="93" t="s">
        <v>493</v>
      </c>
      <c r="H209" s="101"/>
      <c r="I209" s="101"/>
      <c r="J209" s="101"/>
      <c r="K209" s="101"/>
      <c r="L209" s="733" t="s">
        <v>780</v>
      </c>
      <c r="M209" s="733"/>
      <c r="N209" s="733"/>
      <c r="O209" s="733"/>
      <c r="P209" s="733"/>
      <c r="Q209" s="733"/>
      <c r="R209" s="733"/>
      <c r="S209" s="733"/>
      <c r="T209" s="733"/>
      <c r="U209" s="733"/>
      <c r="V209" s="733"/>
      <c r="W209" s="733"/>
    </row>
    <row r="210" spans="2:23" x14ac:dyDescent="0.45">
      <c r="B210" s="96">
        <f t="shared" si="4"/>
        <v>195</v>
      </c>
      <c r="C210" s="93" t="s">
        <v>995</v>
      </c>
      <c r="D210" s="93" t="s">
        <v>45</v>
      </c>
      <c r="E210" s="93" t="s">
        <v>996</v>
      </c>
      <c r="F210" s="93" t="s">
        <v>493</v>
      </c>
      <c r="H210" s="101"/>
      <c r="I210" s="101"/>
      <c r="J210" s="101"/>
      <c r="K210" s="101"/>
      <c r="L210" s="733" t="s">
        <v>780</v>
      </c>
      <c r="M210" s="733"/>
      <c r="N210" s="733"/>
      <c r="O210" s="733"/>
      <c r="P210" s="733"/>
      <c r="Q210" s="733"/>
      <c r="R210" s="733"/>
      <c r="S210" s="733"/>
      <c r="T210" s="733"/>
      <c r="U210" s="733"/>
      <c r="V210" s="733"/>
      <c r="W210" s="733"/>
    </row>
    <row r="211" spans="2:23" x14ac:dyDescent="0.45">
      <c r="B211" s="96">
        <f t="shared" si="4"/>
        <v>196</v>
      </c>
      <c r="C211" s="93" t="s">
        <v>997</v>
      </c>
      <c r="D211" s="93" t="s">
        <v>45</v>
      </c>
      <c r="E211" s="93" t="s">
        <v>998</v>
      </c>
      <c r="F211" s="93" t="s">
        <v>493</v>
      </c>
      <c r="H211" s="101"/>
      <c r="I211" s="101"/>
      <c r="J211" s="101"/>
      <c r="K211" s="101"/>
      <c r="L211" s="733" t="s">
        <v>780</v>
      </c>
      <c r="M211" s="733"/>
      <c r="N211" s="733"/>
      <c r="O211" s="733"/>
      <c r="P211" s="733"/>
      <c r="Q211" s="733"/>
      <c r="R211" s="733"/>
      <c r="S211" s="733"/>
      <c r="T211" s="733"/>
      <c r="U211" s="733"/>
      <c r="V211" s="733"/>
      <c r="W211" s="733"/>
    </row>
    <row r="212" spans="2:23" x14ac:dyDescent="0.45">
      <c r="B212" s="96">
        <f t="shared" si="4"/>
        <v>197</v>
      </c>
      <c r="C212" s="209" t="s">
        <v>999</v>
      </c>
      <c r="D212" s="209" t="s">
        <v>45</v>
      </c>
      <c r="E212" s="209" t="s">
        <v>1000</v>
      </c>
      <c r="F212" s="209" t="s">
        <v>480</v>
      </c>
      <c r="H212" s="101"/>
      <c r="I212" s="101"/>
      <c r="J212" s="101"/>
      <c r="K212" s="101"/>
      <c r="L212" s="733" t="s">
        <v>736</v>
      </c>
      <c r="M212" s="733"/>
      <c r="N212" s="733"/>
      <c r="O212" s="733"/>
      <c r="P212" s="733"/>
      <c r="Q212" s="733"/>
      <c r="R212" s="733"/>
      <c r="S212" s="733"/>
      <c r="T212" s="733"/>
      <c r="U212" s="733"/>
      <c r="V212" s="733"/>
      <c r="W212" s="733"/>
    </row>
    <row r="213" spans="2:23" x14ac:dyDescent="0.45">
      <c r="B213" s="96">
        <f t="shared" si="4"/>
        <v>198</v>
      </c>
      <c r="C213" s="209" t="s">
        <v>1001</v>
      </c>
      <c r="D213" s="209" t="s">
        <v>45</v>
      </c>
      <c r="E213" s="209" t="s">
        <v>1002</v>
      </c>
      <c r="F213" s="209" t="s">
        <v>480</v>
      </c>
      <c r="H213" s="101"/>
      <c r="I213" s="101"/>
      <c r="J213" s="101"/>
      <c r="K213" s="101"/>
      <c r="L213" s="733" t="s">
        <v>736</v>
      </c>
      <c r="M213" s="733"/>
      <c r="N213" s="733"/>
      <c r="O213" s="733"/>
      <c r="P213" s="733"/>
      <c r="Q213" s="733"/>
      <c r="R213" s="733"/>
      <c r="S213" s="733"/>
      <c r="T213" s="733"/>
      <c r="U213" s="733"/>
      <c r="V213" s="733"/>
      <c r="W213" s="733"/>
    </row>
    <row r="214" spans="2:23" x14ac:dyDescent="0.45">
      <c r="B214" s="96">
        <f t="shared" si="4"/>
        <v>199</v>
      </c>
      <c r="C214" s="209" t="s">
        <v>1003</v>
      </c>
      <c r="D214" s="209" t="s">
        <v>45</v>
      </c>
      <c r="E214" s="209" t="s">
        <v>1004</v>
      </c>
      <c r="F214" s="209" t="s">
        <v>493</v>
      </c>
      <c r="H214" s="101"/>
      <c r="I214" s="101"/>
      <c r="J214" s="101"/>
      <c r="K214" s="101"/>
      <c r="L214" s="733" t="s">
        <v>780</v>
      </c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</row>
    <row r="215" spans="2:23" x14ac:dyDescent="0.45">
      <c r="B215" s="96">
        <f t="shared" si="4"/>
        <v>200</v>
      </c>
      <c r="C215" s="209" t="s">
        <v>1005</v>
      </c>
      <c r="D215" s="209" t="s">
        <v>45</v>
      </c>
      <c r="E215" s="209" t="s">
        <v>1006</v>
      </c>
      <c r="F215" s="209" t="s">
        <v>493</v>
      </c>
      <c r="H215" s="101"/>
      <c r="I215" s="101"/>
      <c r="J215" s="101"/>
      <c r="K215" s="101"/>
      <c r="L215" s="733" t="s">
        <v>780</v>
      </c>
      <c r="M215" s="733"/>
      <c r="N215" s="733"/>
      <c r="O215" s="733"/>
      <c r="P215" s="733"/>
      <c r="Q215" s="733"/>
      <c r="R215" s="733"/>
      <c r="S215" s="733"/>
      <c r="T215" s="733"/>
      <c r="U215" s="733"/>
      <c r="V215" s="733"/>
      <c r="W215" s="733"/>
    </row>
    <row r="216" spans="2:23" x14ac:dyDescent="0.45">
      <c r="B216" s="96">
        <f t="shared" si="4"/>
        <v>201</v>
      </c>
      <c r="C216" s="209" t="s">
        <v>1007</v>
      </c>
      <c r="D216" s="209" t="s">
        <v>45</v>
      </c>
      <c r="E216" s="209" t="s">
        <v>1008</v>
      </c>
      <c r="F216" s="209" t="s">
        <v>493</v>
      </c>
      <c r="H216" s="101"/>
      <c r="I216" s="101"/>
      <c r="J216" s="101"/>
      <c r="K216" s="101"/>
      <c r="L216" s="733" t="s">
        <v>780</v>
      </c>
      <c r="M216" s="733"/>
      <c r="N216" s="733"/>
      <c r="O216" s="733"/>
      <c r="P216" s="733"/>
      <c r="Q216" s="733"/>
      <c r="R216" s="733"/>
      <c r="S216" s="733"/>
      <c r="T216" s="733"/>
      <c r="U216" s="733"/>
      <c r="V216" s="733"/>
      <c r="W216" s="733"/>
    </row>
    <row r="217" spans="2:23" x14ac:dyDescent="0.45">
      <c r="B217" s="96">
        <f t="shared" ref="B217:B227" si="5">B216+1</f>
        <v>202</v>
      </c>
      <c r="C217" s="209" t="s">
        <v>1009</v>
      </c>
      <c r="D217" s="209" t="s">
        <v>45</v>
      </c>
      <c r="E217" s="209" t="s">
        <v>1010</v>
      </c>
      <c r="F217" s="209" t="s">
        <v>493</v>
      </c>
      <c r="H217" s="101"/>
      <c r="I217" s="101"/>
      <c r="J217" s="101"/>
      <c r="K217" s="101"/>
      <c r="L217" s="733" t="s">
        <v>780</v>
      </c>
      <c r="M217" s="733"/>
      <c r="N217" s="733"/>
      <c r="O217" s="733"/>
      <c r="P217" s="733"/>
      <c r="Q217" s="733"/>
      <c r="R217" s="733"/>
      <c r="S217" s="733"/>
      <c r="T217" s="733"/>
      <c r="U217" s="733"/>
      <c r="V217" s="733"/>
      <c r="W217" s="733"/>
    </row>
    <row r="218" spans="2:23" x14ac:dyDescent="0.45">
      <c r="B218" s="96">
        <f t="shared" si="5"/>
        <v>203</v>
      </c>
      <c r="C218" s="209" t="s">
        <v>1011</v>
      </c>
      <c r="D218" s="209" t="s">
        <v>45</v>
      </c>
      <c r="E218" s="209" t="s">
        <v>1012</v>
      </c>
      <c r="F218" s="209" t="s">
        <v>493</v>
      </c>
      <c r="H218" s="101"/>
      <c r="I218" s="101"/>
      <c r="J218" s="101"/>
      <c r="K218" s="101"/>
      <c r="L218" s="733" t="s">
        <v>780</v>
      </c>
      <c r="M218" s="733"/>
      <c r="N218" s="733"/>
      <c r="O218" s="733"/>
      <c r="P218" s="733"/>
      <c r="Q218" s="733"/>
      <c r="R218" s="733"/>
      <c r="S218" s="733"/>
      <c r="T218" s="733"/>
      <c r="U218" s="733"/>
      <c r="V218" s="733"/>
      <c r="W218" s="733"/>
    </row>
    <row r="219" spans="2:23" x14ac:dyDescent="0.45">
      <c r="B219" s="96">
        <f t="shared" si="5"/>
        <v>204</v>
      </c>
      <c r="C219" s="209" t="s">
        <v>1013</v>
      </c>
      <c r="D219" s="209" t="s">
        <v>45</v>
      </c>
      <c r="E219" s="209" t="s">
        <v>1014</v>
      </c>
      <c r="F219" s="209" t="s">
        <v>493</v>
      </c>
      <c r="H219" s="101"/>
      <c r="I219" s="101"/>
      <c r="J219" s="101"/>
      <c r="K219" s="101"/>
      <c r="L219" s="733" t="s">
        <v>780</v>
      </c>
      <c r="M219" s="733"/>
      <c r="N219" s="733"/>
      <c r="O219" s="733"/>
      <c r="P219" s="733"/>
      <c r="Q219" s="733"/>
      <c r="R219" s="733"/>
      <c r="S219" s="733"/>
      <c r="T219" s="733"/>
      <c r="U219" s="733"/>
      <c r="V219" s="733"/>
      <c r="W219" s="733"/>
    </row>
    <row r="220" spans="2:23" x14ac:dyDescent="0.45">
      <c r="B220" s="96">
        <f t="shared" si="5"/>
        <v>205</v>
      </c>
      <c r="C220" s="93" t="s">
        <v>1015</v>
      </c>
      <c r="D220" s="93" t="s">
        <v>45</v>
      </c>
      <c r="E220" s="93" t="s">
        <v>1016</v>
      </c>
      <c r="F220" s="93" t="s">
        <v>480</v>
      </c>
      <c r="H220" s="101"/>
      <c r="I220" s="101"/>
      <c r="J220" s="101"/>
      <c r="K220" s="101"/>
      <c r="L220" s="733" t="s">
        <v>736</v>
      </c>
      <c r="M220" s="733"/>
      <c r="N220" s="733"/>
      <c r="O220" s="733"/>
      <c r="P220" s="733"/>
      <c r="Q220" s="733"/>
      <c r="R220" s="733"/>
      <c r="S220" s="733"/>
      <c r="T220" s="733"/>
      <c r="U220" s="733"/>
      <c r="V220" s="733"/>
      <c r="W220" s="733"/>
    </row>
    <row r="221" spans="2:23" x14ac:dyDescent="0.45">
      <c r="B221" s="96">
        <f t="shared" si="5"/>
        <v>206</v>
      </c>
      <c r="C221" s="93" t="s">
        <v>1017</v>
      </c>
      <c r="D221" s="93" t="s">
        <v>45</v>
      </c>
      <c r="E221" s="93" t="s">
        <v>1018</v>
      </c>
      <c r="F221" s="93" t="s">
        <v>480</v>
      </c>
      <c r="H221" s="101"/>
      <c r="I221" s="101"/>
      <c r="J221" s="101"/>
      <c r="K221" s="101"/>
      <c r="L221" s="733" t="s">
        <v>736</v>
      </c>
      <c r="M221" s="733"/>
      <c r="N221" s="733"/>
      <c r="O221" s="733"/>
      <c r="P221" s="733"/>
      <c r="Q221" s="733"/>
      <c r="R221" s="733"/>
      <c r="S221" s="733"/>
      <c r="T221" s="733"/>
      <c r="U221" s="733"/>
      <c r="V221" s="733"/>
      <c r="W221" s="733"/>
    </row>
    <row r="222" spans="2:23" x14ac:dyDescent="0.45">
      <c r="B222" s="96">
        <f t="shared" si="5"/>
        <v>207</v>
      </c>
      <c r="C222" s="93" t="s">
        <v>1019</v>
      </c>
      <c r="D222" s="93" t="s">
        <v>45</v>
      </c>
      <c r="E222" s="93" t="s">
        <v>1020</v>
      </c>
      <c r="F222" s="93" t="s">
        <v>493</v>
      </c>
      <c r="H222" s="101"/>
      <c r="I222" s="101"/>
      <c r="J222" s="101"/>
      <c r="K222" s="101"/>
      <c r="L222" s="733" t="s">
        <v>780</v>
      </c>
      <c r="M222" s="733"/>
      <c r="N222" s="733"/>
      <c r="O222" s="733"/>
      <c r="P222" s="733"/>
      <c r="Q222" s="733"/>
      <c r="R222" s="733"/>
      <c r="S222" s="733"/>
      <c r="T222" s="733"/>
      <c r="U222" s="733"/>
      <c r="V222" s="733"/>
      <c r="W222" s="733"/>
    </row>
    <row r="223" spans="2:23" x14ac:dyDescent="0.45">
      <c r="B223" s="96">
        <f t="shared" si="5"/>
        <v>208</v>
      </c>
      <c r="C223" s="93" t="s">
        <v>1021</v>
      </c>
      <c r="D223" s="93" t="s">
        <v>45</v>
      </c>
      <c r="E223" s="93" t="s">
        <v>1022</v>
      </c>
      <c r="F223" s="93" t="s">
        <v>493</v>
      </c>
      <c r="H223" s="101"/>
      <c r="I223" s="101"/>
      <c r="J223" s="101"/>
      <c r="K223" s="101"/>
      <c r="L223" s="733" t="s">
        <v>780</v>
      </c>
      <c r="M223" s="733"/>
      <c r="N223" s="733"/>
      <c r="O223" s="733"/>
      <c r="P223" s="733"/>
      <c r="Q223" s="733"/>
      <c r="R223" s="733"/>
      <c r="S223" s="733"/>
      <c r="T223" s="733"/>
      <c r="U223" s="733"/>
      <c r="V223" s="733"/>
      <c r="W223" s="733"/>
    </row>
    <row r="224" spans="2:23" x14ac:dyDescent="0.45">
      <c r="B224" s="96">
        <f t="shared" si="5"/>
        <v>209</v>
      </c>
      <c r="C224" s="93" t="s">
        <v>1023</v>
      </c>
      <c r="D224" s="93" t="s">
        <v>45</v>
      </c>
      <c r="E224" s="93" t="s">
        <v>1024</v>
      </c>
      <c r="F224" s="93" t="s">
        <v>493</v>
      </c>
      <c r="H224" s="101"/>
      <c r="I224" s="101"/>
      <c r="J224" s="101"/>
      <c r="K224" s="101"/>
      <c r="L224" s="733" t="s">
        <v>780</v>
      </c>
      <c r="M224" s="733"/>
      <c r="N224" s="733"/>
      <c r="O224" s="733"/>
      <c r="P224" s="733"/>
      <c r="Q224" s="733"/>
      <c r="R224" s="733"/>
      <c r="S224" s="733"/>
      <c r="T224" s="733"/>
      <c r="U224" s="733"/>
      <c r="V224" s="733"/>
      <c r="W224" s="733"/>
    </row>
    <row r="225" spans="1:43" x14ac:dyDescent="0.45">
      <c r="B225" s="96">
        <f t="shared" si="5"/>
        <v>210</v>
      </c>
      <c r="C225" s="93" t="s">
        <v>1025</v>
      </c>
      <c r="D225" s="93" t="s">
        <v>45</v>
      </c>
      <c r="E225" s="93" t="s">
        <v>1026</v>
      </c>
      <c r="F225" s="93" t="s">
        <v>493</v>
      </c>
      <c r="H225" s="101"/>
      <c r="I225" s="101"/>
      <c r="J225" s="101"/>
      <c r="K225" s="101"/>
      <c r="L225" s="733" t="s">
        <v>780</v>
      </c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</row>
    <row r="226" spans="1:43" x14ac:dyDescent="0.45">
      <c r="B226" s="96">
        <f t="shared" si="5"/>
        <v>211</v>
      </c>
      <c r="C226" s="93" t="s">
        <v>1027</v>
      </c>
      <c r="D226" s="93" t="s">
        <v>45</v>
      </c>
      <c r="E226" s="93" t="s">
        <v>1028</v>
      </c>
      <c r="F226" s="93" t="s">
        <v>493</v>
      </c>
      <c r="H226" s="101"/>
      <c r="I226" s="101"/>
      <c r="J226" s="101"/>
      <c r="K226" s="101"/>
      <c r="L226" s="733" t="s">
        <v>780</v>
      </c>
      <c r="M226" s="733"/>
      <c r="N226" s="733"/>
      <c r="O226" s="733"/>
      <c r="P226" s="733"/>
      <c r="Q226" s="733"/>
      <c r="R226" s="733"/>
      <c r="S226" s="733"/>
      <c r="T226" s="733"/>
      <c r="U226" s="733"/>
      <c r="V226" s="733"/>
      <c r="W226" s="733"/>
    </row>
    <row r="227" spans="1:43" x14ac:dyDescent="0.45">
      <c r="B227" s="96">
        <f t="shared" si="5"/>
        <v>212</v>
      </c>
      <c r="C227" s="93" t="s">
        <v>1029</v>
      </c>
      <c r="D227" s="93" t="s">
        <v>45</v>
      </c>
      <c r="E227" s="93" t="s">
        <v>1030</v>
      </c>
      <c r="F227" s="93" t="s">
        <v>493</v>
      </c>
      <c r="H227" s="101"/>
      <c r="I227" s="101"/>
      <c r="J227" s="101"/>
      <c r="K227" s="101"/>
      <c r="L227" s="733" t="s">
        <v>780</v>
      </c>
      <c r="M227" s="733"/>
      <c r="N227" s="733"/>
      <c r="O227" s="733"/>
      <c r="P227" s="733"/>
      <c r="Q227" s="733"/>
      <c r="R227" s="733"/>
      <c r="S227" s="733"/>
      <c r="T227" s="733"/>
      <c r="U227" s="733"/>
      <c r="V227" s="733"/>
      <c r="W227" s="733"/>
    </row>
    <row r="228" spans="1:43" x14ac:dyDescent="0.45">
      <c r="A228" s="48"/>
      <c r="B228" s="96"/>
    </row>
    <row r="229" spans="1:43" x14ac:dyDescent="0.45">
      <c r="B229" s="96"/>
      <c r="C229" s="388" t="s">
        <v>1264</v>
      </c>
      <c r="X229" s="43"/>
    </row>
    <row r="230" spans="1:43" x14ac:dyDescent="0.45">
      <c r="B230" s="96">
        <f>B227+1</f>
        <v>213</v>
      </c>
      <c r="C230" s="269" t="s">
        <v>1536</v>
      </c>
      <c r="D230" s="269" t="s">
        <v>45</v>
      </c>
      <c r="E230" s="269" t="s">
        <v>1223</v>
      </c>
      <c r="F230" s="269" t="s">
        <v>480</v>
      </c>
      <c r="G230" s="269"/>
      <c r="H230" s="270" t="s">
        <v>116</v>
      </c>
      <c r="I230" s="387"/>
      <c r="J230" s="387"/>
      <c r="K230" s="387"/>
      <c r="L230" s="387"/>
      <c r="M230" s="387"/>
      <c r="N230" s="387"/>
      <c r="O230" s="270" t="s">
        <v>1582</v>
      </c>
      <c r="P230" s="387"/>
      <c r="Q230" s="387"/>
      <c r="R230" s="387"/>
      <c r="S230" s="270" t="s">
        <v>1541</v>
      </c>
      <c r="T230" s="387"/>
      <c r="U230" s="387"/>
      <c r="V230" s="387"/>
      <c r="W230" s="270" t="s">
        <v>1428</v>
      </c>
      <c r="X230" s="390" t="s">
        <v>1569</v>
      </c>
      <c r="Y230" s="535"/>
      <c r="Z230" s="535"/>
      <c r="AA230" s="535"/>
      <c r="AB230" s="535"/>
      <c r="AC230" s="535"/>
      <c r="AD230" s="535"/>
      <c r="AE230" s="535"/>
      <c r="AF230" s="535"/>
      <c r="AG230" s="535"/>
      <c r="AH230" s="535"/>
      <c r="AI230" s="535"/>
      <c r="AJ230" s="535"/>
      <c r="AK230" s="535"/>
      <c r="AL230" s="535"/>
      <c r="AM230" s="535"/>
      <c r="AN230" s="535"/>
      <c r="AO230" s="535"/>
      <c r="AP230" s="535"/>
      <c r="AQ230" s="535"/>
    </row>
    <row r="231" spans="1:43" s="93" customFormat="1" x14ac:dyDescent="0.45">
      <c r="A231" s="43"/>
      <c r="B231" s="96">
        <f>B230+1</f>
        <v>214</v>
      </c>
      <c r="C231" s="269" t="s">
        <v>1273</v>
      </c>
      <c r="D231" s="269" t="s">
        <v>45</v>
      </c>
      <c r="E231" s="269" t="s">
        <v>1224</v>
      </c>
      <c r="F231" s="269" t="s">
        <v>1222</v>
      </c>
      <c r="G231" s="269"/>
      <c r="H231" s="730" t="s">
        <v>1272</v>
      </c>
      <c r="I231" s="731"/>
      <c r="J231" s="731"/>
      <c r="K231" s="731"/>
      <c r="L231" s="731"/>
      <c r="M231" s="731"/>
      <c r="N231" s="731"/>
      <c r="O231" s="731"/>
      <c r="P231" s="731"/>
      <c r="Q231" s="731"/>
      <c r="R231" s="731"/>
      <c r="S231" s="731"/>
      <c r="T231" s="731"/>
      <c r="U231" s="731"/>
      <c r="V231" s="731"/>
      <c r="W231" s="732"/>
      <c r="X231" s="390" t="s">
        <v>1571</v>
      </c>
    </row>
    <row r="232" spans="1:43" x14ac:dyDescent="0.45">
      <c r="B232" s="96">
        <f t="shared" ref="B232:B234" si="6">B231+1</f>
        <v>215</v>
      </c>
      <c r="C232" s="269" t="s">
        <v>124</v>
      </c>
      <c r="D232" s="269" t="s">
        <v>45</v>
      </c>
      <c r="E232" s="269" t="s">
        <v>1225</v>
      </c>
      <c r="F232" s="269" t="s">
        <v>1579</v>
      </c>
      <c r="G232" s="269"/>
      <c r="H232" s="387"/>
      <c r="I232" s="387"/>
      <c r="J232" s="387"/>
      <c r="K232" s="387"/>
      <c r="L232" s="387"/>
      <c r="M232" s="387"/>
      <c r="N232" s="387"/>
      <c r="O232" s="387"/>
      <c r="P232" s="387"/>
      <c r="Q232" s="387"/>
      <c r="R232" s="387"/>
      <c r="S232" s="387"/>
      <c r="T232" s="730" t="s">
        <v>127</v>
      </c>
      <c r="U232" s="731"/>
      <c r="V232" s="731"/>
      <c r="W232" s="732"/>
      <c r="X232" s="390" t="s">
        <v>1571</v>
      </c>
    </row>
    <row r="233" spans="1:43" s="93" customFormat="1" x14ac:dyDescent="0.45">
      <c r="A233" s="43"/>
      <c r="B233" s="96">
        <f t="shared" si="6"/>
        <v>216</v>
      </c>
      <c r="C233" s="269" t="s">
        <v>128</v>
      </c>
      <c r="D233" s="269" t="s">
        <v>45</v>
      </c>
      <c r="E233" s="269" t="s">
        <v>1226</v>
      </c>
      <c r="F233" s="269" t="s">
        <v>480</v>
      </c>
      <c r="G233" s="269"/>
      <c r="H233" s="387"/>
      <c r="I233" s="387"/>
      <c r="J233" s="387"/>
      <c r="K233" s="387"/>
      <c r="L233" s="387"/>
      <c r="M233" s="387"/>
      <c r="N233" s="387"/>
      <c r="O233" s="387"/>
      <c r="P233" s="387"/>
      <c r="Q233" s="387"/>
      <c r="R233" s="387"/>
      <c r="S233" s="387"/>
      <c r="T233" s="387"/>
      <c r="U233" s="387"/>
      <c r="V233" s="270" t="s">
        <v>130</v>
      </c>
      <c r="W233" s="270" t="s">
        <v>131</v>
      </c>
      <c r="X233" s="390"/>
    </row>
    <row r="234" spans="1:43" s="93" customFormat="1" x14ac:dyDescent="0.45">
      <c r="A234" s="43"/>
      <c r="B234" s="96">
        <f t="shared" si="6"/>
        <v>217</v>
      </c>
      <c r="C234" s="269" t="s">
        <v>132</v>
      </c>
      <c r="D234" s="269" t="s">
        <v>45</v>
      </c>
      <c r="E234" s="269" t="s">
        <v>1227</v>
      </c>
      <c r="F234" s="269" t="s">
        <v>1271</v>
      </c>
      <c r="G234" s="269"/>
      <c r="H234" s="387"/>
      <c r="I234" s="387"/>
      <c r="J234" s="387"/>
      <c r="K234" s="387"/>
      <c r="L234" s="730" t="s">
        <v>134</v>
      </c>
      <c r="M234" s="731"/>
      <c r="N234" s="731"/>
      <c r="O234" s="731"/>
      <c r="P234" s="731"/>
      <c r="Q234" s="731"/>
      <c r="R234" s="731"/>
      <c r="S234" s="731"/>
      <c r="T234" s="731"/>
      <c r="U234" s="731"/>
      <c r="V234" s="731"/>
      <c r="W234" s="732"/>
      <c r="X234" s="390" t="s">
        <v>1572</v>
      </c>
    </row>
    <row r="235" spans="1:43" s="93" customFormat="1" x14ac:dyDescent="0.45">
      <c r="A235" s="43"/>
      <c r="B235" s="96"/>
      <c r="X235" s="390"/>
    </row>
    <row r="236" spans="1:43" s="93" customFormat="1" x14ac:dyDescent="0.45">
      <c r="A236" s="43"/>
      <c r="B236" s="96"/>
      <c r="C236" s="388" t="s">
        <v>1265</v>
      </c>
      <c r="X236" s="390"/>
    </row>
    <row r="237" spans="1:43" s="93" customFormat="1" x14ac:dyDescent="0.45">
      <c r="A237" s="43"/>
      <c r="B237" s="96">
        <f>B234+1</f>
        <v>218</v>
      </c>
      <c r="C237" s="269" t="s">
        <v>1274</v>
      </c>
      <c r="D237" s="269" t="s">
        <v>45</v>
      </c>
      <c r="E237" s="269" t="s">
        <v>1543</v>
      </c>
      <c r="F237" s="269" t="s">
        <v>1580</v>
      </c>
      <c r="G237" s="269"/>
      <c r="H237" s="387"/>
      <c r="I237" s="730" t="s">
        <v>1267</v>
      </c>
      <c r="J237" s="731"/>
      <c r="K237" s="731"/>
      <c r="L237" s="731"/>
      <c r="M237" s="731"/>
      <c r="N237" s="731"/>
      <c r="O237" s="732"/>
      <c r="P237" s="387"/>
      <c r="Q237" s="387"/>
      <c r="R237" s="387"/>
      <c r="S237" s="387"/>
      <c r="T237" s="730" t="s">
        <v>1266</v>
      </c>
      <c r="U237" s="731"/>
      <c r="V237" s="731"/>
      <c r="W237" s="732"/>
      <c r="X237" s="390"/>
    </row>
    <row r="238" spans="1:43" x14ac:dyDescent="0.45">
      <c r="B238" s="96">
        <f>B237+1</f>
        <v>219</v>
      </c>
      <c r="C238" s="269" t="s">
        <v>1275</v>
      </c>
      <c r="D238" s="269" t="s">
        <v>45</v>
      </c>
      <c r="E238" s="269" t="s">
        <v>1270</v>
      </c>
      <c r="F238" s="269" t="s">
        <v>1581</v>
      </c>
      <c r="G238" s="269"/>
      <c r="H238" s="387"/>
      <c r="I238" s="387"/>
      <c r="J238" s="730" t="s">
        <v>1268</v>
      </c>
      <c r="K238" s="731"/>
      <c r="L238" s="731"/>
      <c r="M238" s="731"/>
      <c r="N238" s="731"/>
      <c r="O238" s="732"/>
      <c r="P238" s="730" t="s">
        <v>1269</v>
      </c>
      <c r="Q238" s="731"/>
      <c r="R238" s="731"/>
      <c r="S238" s="731"/>
      <c r="T238" s="731"/>
      <c r="U238" s="731"/>
      <c r="V238" s="731"/>
      <c r="W238" s="732"/>
    </row>
    <row r="239" spans="1:43" x14ac:dyDescent="0.45">
      <c r="B239" s="96">
        <f t="shared" ref="B239" si="7">B238+1</f>
        <v>220</v>
      </c>
      <c r="C239" s="269" t="s">
        <v>1445</v>
      </c>
      <c r="D239" s="269" t="s">
        <v>45</v>
      </c>
      <c r="E239" s="269" t="s">
        <v>1228</v>
      </c>
      <c r="F239" s="269" t="s">
        <v>480</v>
      </c>
      <c r="G239" s="269"/>
      <c r="H239" s="387"/>
      <c r="I239" s="387"/>
      <c r="J239" s="387"/>
      <c r="K239" s="387"/>
      <c r="L239" s="387"/>
      <c r="M239" s="387"/>
      <c r="N239" s="387"/>
      <c r="O239" s="387"/>
      <c r="P239" s="387"/>
      <c r="Q239" s="387"/>
      <c r="R239" s="730" t="s">
        <v>1570</v>
      </c>
      <c r="S239" s="731"/>
      <c r="T239" s="731"/>
      <c r="U239" s="731"/>
      <c r="V239" s="731"/>
      <c r="W239" s="732"/>
    </row>
  </sheetData>
  <mergeCells count="294">
    <mergeCell ref="R239:W239"/>
    <mergeCell ref="U33:W33"/>
    <mergeCell ref="Q33:S33"/>
    <mergeCell ref="M33:O33"/>
    <mergeCell ref="I33:K33"/>
    <mergeCell ref="L222:W222"/>
    <mergeCell ref="L223:W223"/>
    <mergeCell ref="L224:W224"/>
    <mergeCell ref="L225:W225"/>
    <mergeCell ref="L226:W226"/>
    <mergeCell ref="L227:W227"/>
    <mergeCell ref="L216:W216"/>
    <mergeCell ref="L217:W217"/>
    <mergeCell ref="L218:W218"/>
    <mergeCell ref="L219:W219"/>
    <mergeCell ref="L220:W220"/>
    <mergeCell ref="L221:W221"/>
    <mergeCell ref="Q76:W76"/>
    <mergeCell ref="H76:P76"/>
    <mergeCell ref="I77:O77"/>
    <mergeCell ref="Q77:W77"/>
    <mergeCell ref="O80:W80"/>
    <mergeCell ref="H80:K80"/>
    <mergeCell ref="R81:W81"/>
    <mergeCell ref="L210:W210"/>
    <mergeCell ref="L211:W211"/>
    <mergeCell ref="L212:W212"/>
    <mergeCell ref="L213:W213"/>
    <mergeCell ref="L214:W214"/>
    <mergeCell ref="L215:W215"/>
    <mergeCell ref="L204:W204"/>
    <mergeCell ref="L205:W205"/>
    <mergeCell ref="L206:W206"/>
    <mergeCell ref="L207:W207"/>
    <mergeCell ref="L208:W208"/>
    <mergeCell ref="L209:W209"/>
    <mergeCell ref="L198:W198"/>
    <mergeCell ref="L199:W199"/>
    <mergeCell ref="L200:W200"/>
    <mergeCell ref="L201:W201"/>
    <mergeCell ref="L202:W202"/>
    <mergeCell ref="L203:W203"/>
    <mergeCell ref="L192:W192"/>
    <mergeCell ref="L193:W193"/>
    <mergeCell ref="L194:W194"/>
    <mergeCell ref="L195:W195"/>
    <mergeCell ref="L196:W196"/>
    <mergeCell ref="L197:W197"/>
    <mergeCell ref="L186:W186"/>
    <mergeCell ref="L187:W187"/>
    <mergeCell ref="L188:W188"/>
    <mergeCell ref="L189:W189"/>
    <mergeCell ref="L190:W190"/>
    <mergeCell ref="L191:W191"/>
    <mergeCell ref="L180:W180"/>
    <mergeCell ref="L181:W181"/>
    <mergeCell ref="L182:W182"/>
    <mergeCell ref="L183:W183"/>
    <mergeCell ref="L184:W184"/>
    <mergeCell ref="L185:W185"/>
    <mergeCell ref="L174:W174"/>
    <mergeCell ref="L175:W175"/>
    <mergeCell ref="L176:W176"/>
    <mergeCell ref="L177:W177"/>
    <mergeCell ref="L178:W178"/>
    <mergeCell ref="L179:W179"/>
    <mergeCell ref="L168:W168"/>
    <mergeCell ref="L169:W169"/>
    <mergeCell ref="L170:W170"/>
    <mergeCell ref="L171:W171"/>
    <mergeCell ref="L172:W172"/>
    <mergeCell ref="L173:W173"/>
    <mergeCell ref="L162:W162"/>
    <mergeCell ref="L163:W163"/>
    <mergeCell ref="L164:W164"/>
    <mergeCell ref="L165:W165"/>
    <mergeCell ref="L166:W166"/>
    <mergeCell ref="L167:W167"/>
    <mergeCell ref="L156:W156"/>
    <mergeCell ref="L157:W157"/>
    <mergeCell ref="L158:W158"/>
    <mergeCell ref="L159:W159"/>
    <mergeCell ref="L160:W160"/>
    <mergeCell ref="L161:W161"/>
    <mergeCell ref="L150:W150"/>
    <mergeCell ref="L151:W151"/>
    <mergeCell ref="L152:W152"/>
    <mergeCell ref="L153:W153"/>
    <mergeCell ref="L154:W154"/>
    <mergeCell ref="L155:W155"/>
    <mergeCell ref="L144:W144"/>
    <mergeCell ref="L145:W145"/>
    <mergeCell ref="L146:W146"/>
    <mergeCell ref="L147:W147"/>
    <mergeCell ref="L148:W148"/>
    <mergeCell ref="L149:W149"/>
    <mergeCell ref="L138:W138"/>
    <mergeCell ref="L139:W139"/>
    <mergeCell ref="L140:W140"/>
    <mergeCell ref="L141:W141"/>
    <mergeCell ref="L142:W142"/>
    <mergeCell ref="L143:W143"/>
    <mergeCell ref="L132:W132"/>
    <mergeCell ref="L133:W133"/>
    <mergeCell ref="L134:W134"/>
    <mergeCell ref="L135:W135"/>
    <mergeCell ref="L136:W136"/>
    <mergeCell ref="L137:W137"/>
    <mergeCell ref="L127:W127"/>
    <mergeCell ref="L128:W128"/>
    <mergeCell ref="L129:W129"/>
    <mergeCell ref="L130:W130"/>
    <mergeCell ref="L131:W131"/>
    <mergeCell ref="L120:W120"/>
    <mergeCell ref="L121:W121"/>
    <mergeCell ref="L122:W122"/>
    <mergeCell ref="L123:W123"/>
    <mergeCell ref="L124:W124"/>
    <mergeCell ref="L125:W125"/>
    <mergeCell ref="L118:W118"/>
    <mergeCell ref="L119:W119"/>
    <mergeCell ref="L108:W108"/>
    <mergeCell ref="L109:W109"/>
    <mergeCell ref="L110:W110"/>
    <mergeCell ref="L111:W111"/>
    <mergeCell ref="L112:W112"/>
    <mergeCell ref="L113:W113"/>
    <mergeCell ref="L126:W126"/>
    <mergeCell ref="L91:W91"/>
    <mergeCell ref="H92:K92"/>
    <mergeCell ref="L92:O92"/>
    <mergeCell ref="P92:S92"/>
    <mergeCell ref="T92:W92"/>
    <mergeCell ref="H75:M75"/>
    <mergeCell ref="N75:R75"/>
    <mergeCell ref="S75:W75"/>
    <mergeCell ref="L115:W115"/>
    <mergeCell ref="T85:W85"/>
    <mergeCell ref="P85:S85"/>
    <mergeCell ref="H87:O87"/>
    <mergeCell ref="H82:W82"/>
    <mergeCell ref="H86:W86"/>
    <mergeCell ref="L83:W83"/>
    <mergeCell ref="H81:Q81"/>
    <mergeCell ref="O78:W78"/>
    <mergeCell ref="Q79:W79"/>
    <mergeCell ref="H79:P79"/>
    <mergeCell ref="L97:O97"/>
    <mergeCell ref="P97:S97"/>
    <mergeCell ref="T97:W97"/>
    <mergeCell ref="L100:W100"/>
    <mergeCell ref="H93:K93"/>
    <mergeCell ref="H63:O63"/>
    <mergeCell ref="P63:W63"/>
    <mergeCell ref="H64:O64"/>
    <mergeCell ref="P64:W64"/>
    <mergeCell ref="H65:O65"/>
    <mergeCell ref="P65:W65"/>
    <mergeCell ref="L72:W72"/>
    <mergeCell ref="L73:W73"/>
    <mergeCell ref="L74:W74"/>
    <mergeCell ref="H68:I68"/>
    <mergeCell ref="K68:O68"/>
    <mergeCell ref="H61:O61"/>
    <mergeCell ref="P61:W61"/>
    <mergeCell ref="H62:O62"/>
    <mergeCell ref="P62:W62"/>
    <mergeCell ref="H57:O57"/>
    <mergeCell ref="P57:W57"/>
    <mergeCell ref="H58:O58"/>
    <mergeCell ref="P58:W58"/>
    <mergeCell ref="H59:O59"/>
    <mergeCell ref="P59:W59"/>
    <mergeCell ref="H56:O56"/>
    <mergeCell ref="P56:W56"/>
    <mergeCell ref="I52:M52"/>
    <mergeCell ref="N52:R52"/>
    <mergeCell ref="S52:W52"/>
    <mergeCell ref="I53:M53"/>
    <mergeCell ref="N53:R53"/>
    <mergeCell ref="S53:W53"/>
    <mergeCell ref="H60:O60"/>
    <mergeCell ref="P60:W60"/>
    <mergeCell ref="H29:O29"/>
    <mergeCell ref="Q22:W22"/>
    <mergeCell ref="I22:O22"/>
    <mergeCell ref="I42:M42"/>
    <mergeCell ref="N42:R42"/>
    <mergeCell ref="I47:M47"/>
    <mergeCell ref="N47:R47"/>
    <mergeCell ref="S47:W47"/>
    <mergeCell ref="I43:M43"/>
    <mergeCell ref="N43:R43"/>
    <mergeCell ref="S43:W43"/>
    <mergeCell ref="I44:M44"/>
    <mergeCell ref="N44:R44"/>
    <mergeCell ref="S44:W44"/>
    <mergeCell ref="I46:M46"/>
    <mergeCell ref="N46:R46"/>
    <mergeCell ref="S46:W46"/>
    <mergeCell ref="I30:K30"/>
    <mergeCell ref="P29:Q29"/>
    <mergeCell ref="H35:O35"/>
    <mergeCell ref="N48:R48"/>
    <mergeCell ref="S48:W48"/>
    <mergeCell ref="I49:M49"/>
    <mergeCell ref="N49:R49"/>
    <mergeCell ref="S49:W49"/>
    <mergeCell ref="H54:O54"/>
    <mergeCell ref="P54:W54"/>
    <mergeCell ref="H55:O55"/>
    <mergeCell ref="P55:W55"/>
    <mergeCell ref="H20:W20"/>
    <mergeCell ref="H21:O21"/>
    <mergeCell ref="O13:W13"/>
    <mergeCell ref="R14:W14"/>
    <mergeCell ref="J15:O15"/>
    <mergeCell ref="R15:W15"/>
    <mergeCell ref="J16:O16"/>
    <mergeCell ref="R16:W16"/>
    <mergeCell ref="L105:W105"/>
    <mergeCell ref="H97:K97"/>
    <mergeCell ref="L93:O93"/>
    <mergeCell ref="P93:S93"/>
    <mergeCell ref="T93:W93"/>
    <mergeCell ref="P35:W35"/>
    <mergeCell ref="I31:O31"/>
    <mergeCell ref="N30:O30"/>
    <mergeCell ref="P30:Q30"/>
    <mergeCell ref="R30:S30"/>
    <mergeCell ref="I50:M50"/>
    <mergeCell ref="N50:R50"/>
    <mergeCell ref="S50:W50"/>
    <mergeCell ref="I51:M51"/>
    <mergeCell ref="N51:R51"/>
    <mergeCell ref="S51:W51"/>
    <mergeCell ref="R4:W4"/>
    <mergeCell ref="N5:O5"/>
    <mergeCell ref="R5:W5"/>
    <mergeCell ref="N6:O6"/>
    <mergeCell ref="R6:W6"/>
    <mergeCell ref="O12:W12"/>
    <mergeCell ref="J17:O17"/>
    <mergeCell ref="R17:W17"/>
    <mergeCell ref="J18:O18"/>
    <mergeCell ref="R18:W18"/>
    <mergeCell ref="H94:K94"/>
    <mergeCell ref="L94:O94"/>
    <mergeCell ref="P94:S94"/>
    <mergeCell ref="I37:M37"/>
    <mergeCell ref="N37:R37"/>
    <mergeCell ref="S37:W37"/>
    <mergeCell ref="I38:M38"/>
    <mergeCell ref="N38:R38"/>
    <mergeCell ref="S38:W38"/>
    <mergeCell ref="I41:M41"/>
    <mergeCell ref="N41:R41"/>
    <mergeCell ref="S41:W41"/>
    <mergeCell ref="T94:W94"/>
    <mergeCell ref="S42:W42"/>
    <mergeCell ref="I39:M39"/>
    <mergeCell ref="N39:R39"/>
    <mergeCell ref="S39:W39"/>
    <mergeCell ref="I40:M40"/>
    <mergeCell ref="N40:R40"/>
    <mergeCell ref="S40:W40"/>
    <mergeCell ref="Q87:W87"/>
    <mergeCell ref="L88:W88"/>
    <mergeCell ref="L84:W84"/>
    <mergeCell ref="I48:M48"/>
    <mergeCell ref="P238:W238"/>
    <mergeCell ref="J238:O238"/>
    <mergeCell ref="H231:W231"/>
    <mergeCell ref="H95:K95"/>
    <mergeCell ref="L95:O95"/>
    <mergeCell ref="P95:S95"/>
    <mergeCell ref="T95:W95"/>
    <mergeCell ref="H96:K96"/>
    <mergeCell ref="L96:O96"/>
    <mergeCell ref="P96:S96"/>
    <mergeCell ref="T96:W96"/>
    <mergeCell ref="T237:W237"/>
    <mergeCell ref="I237:O237"/>
    <mergeCell ref="T232:W232"/>
    <mergeCell ref="L234:W234"/>
    <mergeCell ref="L102:W102"/>
    <mergeCell ref="L103:W103"/>
    <mergeCell ref="L104:W104"/>
    <mergeCell ref="L101:W101"/>
    <mergeCell ref="L114:W114"/>
    <mergeCell ref="L106:W106"/>
    <mergeCell ref="L107:W107"/>
    <mergeCell ref="L116:W116"/>
    <mergeCell ref="L117:W11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8D47-617B-48AC-8B65-BFFACEB01CD6}">
  <sheetPr>
    <tabColor theme="7" tint="0.79998168889431442"/>
  </sheetPr>
  <dimension ref="A1:V85"/>
  <sheetViews>
    <sheetView showGridLines="0" topLeftCell="A8" zoomScaleNormal="100" workbookViewId="0">
      <selection activeCell="E28" sqref="E28"/>
    </sheetView>
  </sheetViews>
  <sheetFormatPr defaultColWidth="8.58203125" defaultRowHeight="17" x14ac:dyDescent="0.45"/>
  <cols>
    <col min="1" max="1" width="8.58203125" style="43" customWidth="1"/>
    <col min="2" max="2" width="3.1640625" style="43" bestFit="1" customWidth="1"/>
    <col min="3" max="3" width="18.1640625" style="48" bestFit="1" customWidth="1"/>
    <col min="4" max="4" width="6.33203125" style="93" bestFit="1" customWidth="1"/>
    <col min="5" max="5" width="7.58203125" style="93" bestFit="1" customWidth="1"/>
    <col min="6" max="6" width="6.83203125" style="93" bestFit="1" customWidth="1"/>
    <col min="7" max="7" width="1.58203125" style="93" customWidth="1"/>
    <col min="8" max="8" width="13.1640625" style="93" bestFit="1" customWidth="1"/>
    <col min="9" max="9" width="13.58203125" style="93" bestFit="1" customWidth="1"/>
    <col min="10" max="10" width="8.6640625" style="93" bestFit="1" customWidth="1"/>
    <col min="11" max="11" width="13.6640625" style="93" bestFit="1" customWidth="1"/>
    <col min="12" max="12" width="14.5" style="93" bestFit="1" customWidth="1"/>
    <col min="13" max="13" width="14.1640625" style="93" bestFit="1" customWidth="1"/>
    <col min="14" max="14" width="10.5" style="93" bestFit="1" customWidth="1"/>
    <col min="15" max="15" width="9" style="93" bestFit="1" customWidth="1"/>
    <col min="16" max="16" width="9.1640625" style="93" bestFit="1" customWidth="1"/>
    <col min="17" max="17" width="10.6640625" style="93" bestFit="1" customWidth="1"/>
    <col min="18" max="18" width="9.58203125" style="93" bestFit="1" customWidth="1"/>
    <col min="19" max="19" width="9.6640625" style="93" bestFit="1" customWidth="1"/>
    <col min="20" max="20" width="88.6640625" style="94" bestFit="1" customWidth="1"/>
    <col min="21" max="21" width="66.83203125" style="95" bestFit="1" customWidth="1"/>
    <col min="22" max="22" width="66.9140625" style="43" bestFit="1" customWidth="1"/>
    <col min="23" max="16384" width="8.58203125" style="43"/>
  </cols>
  <sheetData>
    <row r="1" spans="2:22" x14ac:dyDescent="0.45">
      <c r="D1" s="48"/>
      <c r="E1" s="48"/>
      <c r="F1" s="48"/>
    </row>
    <row r="2" spans="2:22" x14ac:dyDescent="0.45">
      <c r="B2" s="96"/>
      <c r="C2" s="97" t="s">
        <v>27</v>
      </c>
      <c r="D2" s="98" t="s">
        <v>28</v>
      </c>
      <c r="E2" s="98" t="s">
        <v>29</v>
      </c>
      <c r="F2" s="98" t="s">
        <v>30</v>
      </c>
      <c r="G2" s="98"/>
      <c r="H2" s="98" t="s">
        <v>31</v>
      </c>
      <c r="I2" s="98" t="s">
        <v>32</v>
      </c>
      <c r="J2" s="98" t="s">
        <v>33</v>
      </c>
      <c r="K2" s="98" t="s">
        <v>34</v>
      </c>
      <c r="L2" s="98" t="s">
        <v>35</v>
      </c>
      <c r="M2" s="98" t="s">
        <v>36</v>
      </c>
      <c r="N2" s="98" t="s">
        <v>37</v>
      </c>
      <c r="O2" s="98" t="s">
        <v>38</v>
      </c>
      <c r="P2" s="98" t="s">
        <v>39</v>
      </c>
      <c r="Q2" s="98" t="s">
        <v>40</v>
      </c>
      <c r="R2" s="98" t="s">
        <v>41</v>
      </c>
      <c r="S2" s="98" t="s">
        <v>42</v>
      </c>
      <c r="T2" s="99" t="s">
        <v>43</v>
      </c>
      <c r="U2" s="99" t="s">
        <v>44</v>
      </c>
    </row>
    <row r="3" spans="2:22" ht="34" x14ac:dyDescent="0.45">
      <c r="B3" s="96">
        <v>1</v>
      </c>
      <c r="C3" s="48" t="s">
        <v>1051</v>
      </c>
      <c r="D3" s="93" t="s">
        <v>45</v>
      </c>
      <c r="E3" s="93" t="s">
        <v>46</v>
      </c>
      <c r="F3" s="93" t="s">
        <v>47</v>
      </c>
      <c r="H3" s="100" t="s">
        <v>182</v>
      </c>
      <c r="I3" s="101"/>
      <c r="J3" s="101"/>
      <c r="K3" s="101"/>
      <c r="L3" s="101"/>
      <c r="M3" s="101"/>
      <c r="N3" s="101"/>
      <c r="O3" s="755" t="s">
        <v>48</v>
      </c>
      <c r="P3" s="756"/>
      <c r="Q3" s="756"/>
      <c r="R3" s="756"/>
      <c r="S3" s="757"/>
      <c r="T3" s="102" t="s">
        <v>185</v>
      </c>
      <c r="U3" s="103"/>
    </row>
    <row r="4" spans="2:22" ht="119" x14ac:dyDescent="0.45">
      <c r="B4" s="96">
        <f>B3+1</f>
        <v>2</v>
      </c>
      <c r="C4" s="48" t="s">
        <v>1050</v>
      </c>
      <c r="D4" s="93" t="s">
        <v>45</v>
      </c>
      <c r="E4" s="93" t="s">
        <v>49</v>
      </c>
      <c r="F4" s="93" t="s">
        <v>47</v>
      </c>
      <c r="H4" s="740" t="s">
        <v>53</v>
      </c>
      <c r="I4" s="741"/>
      <c r="J4" s="741"/>
      <c r="K4" s="742"/>
      <c r="L4" s="764" t="s">
        <v>1159</v>
      </c>
      <c r="M4" s="765"/>
      <c r="N4" s="766" t="s">
        <v>228</v>
      </c>
      <c r="O4" s="767"/>
      <c r="P4" s="768"/>
      <c r="Q4" s="272" t="s">
        <v>184</v>
      </c>
      <c r="R4" s="272" t="s">
        <v>183</v>
      </c>
      <c r="S4" s="272" t="s">
        <v>50</v>
      </c>
      <c r="T4" s="102" t="s">
        <v>1545</v>
      </c>
      <c r="U4" s="102" t="s">
        <v>252</v>
      </c>
    </row>
    <row r="5" spans="2:22" x14ac:dyDescent="0.45">
      <c r="B5" s="96">
        <f t="shared" ref="B5:B25" si="0">B4+1</f>
        <v>3</v>
      </c>
      <c r="C5" s="48" t="s">
        <v>189</v>
      </c>
      <c r="D5" s="93" t="s">
        <v>45</v>
      </c>
      <c r="E5" s="93" t="s">
        <v>141</v>
      </c>
      <c r="F5" s="93" t="s">
        <v>47</v>
      </c>
      <c r="H5" s="101"/>
      <c r="I5" s="101"/>
      <c r="J5" s="101"/>
      <c r="K5" s="101"/>
      <c r="L5" s="101"/>
      <c r="M5" s="740" t="s">
        <v>190</v>
      </c>
      <c r="N5" s="741"/>
      <c r="O5" s="741"/>
      <c r="P5" s="741"/>
      <c r="Q5" s="741"/>
      <c r="R5" s="741"/>
      <c r="S5" s="742"/>
      <c r="T5" s="114" t="s">
        <v>1033</v>
      </c>
      <c r="U5" s="102" t="s">
        <v>188</v>
      </c>
    </row>
    <row r="6" spans="2:22" x14ac:dyDescent="0.45">
      <c r="B6" s="96">
        <f t="shared" si="0"/>
        <v>4</v>
      </c>
      <c r="C6" s="48" t="s">
        <v>59</v>
      </c>
      <c r="D6" s="93" t="s">
        <v>45</v>
      </c>
      <c r="E6" s="93" t="s">
        <v>51</v>
      </c>
      <c r="F6" s="93" t="s">
        <v>47</v>
      </c>
      <c r="H6" s="105" t="s">
        <v>61</v>
      </c>
      <c r="I6" s="105" t="s">
        <v>62</v>
      </c>
      <c r="J6" s="105" t="s">
        <v>63</v>
      </c>
      <c r="K6" s="105" t="s">
        <v>64</v>
      </c>
      <c r="L6" s="105" t="s">
        <v>65</v>
      </c>
      <c r="M6" s="105" t="s">
        <v>66</v>
      </c>
      <c r="N6" s="105" t="s">
        <v>67</v>
      </c>
      <c r="O6" s="105" t="s">
        <v>68</v>
      </c>
      <c r="P6" s="105" t="s">
        <v>69</v>
      </c>
      <c r="Q6" s="105" t="s">
        <v>70</v>
      </c>
      <c r="R6" s="105" t="s">
        <v>71</v>
      </c>
      <c r="S6" s="105" t="s">
        <v>72</v>
      </c>
      <c r="T6" s="106"/>
      <c r="U6" s="103"/>
    </row>
    <row r="7" spans="2:22" x14ac:dyDescent="0.45">
      <c r="B7" s="96"/>
      <c r="C7" s="48" t="s">
        <v>217</v>
      </c>
      <c r="E7" s="93" t="s">
        <v>52</v>
      </c>
      <c r="T7" s="93"/>
      <c r="U7" s="93"/>
    </row>
    <row r="8" spans="2:22" ht="102" x14ac:dyDescent="0.45">
      <c r="B8" s="96">
        <f>B6+1</f>
        <v>5</v>
      </c>
      <c r="C8" s="48" t="s">
        <v>73</v>
      </c>
      <c r="D8" s="93" t="s">
        <v>74</v>
      </c>
      <c r="E8" s="93" t="s">
        <v>145</v>
      </c>
      <c r="F8" s="93" t="s">
        <v>55</v>
      </c>
      <c r="H8" s="100" t="s">
        <v>226</v>
      </c>
      <c r="I8" s="101"/>
      <c r="J8" s="174" t="s">
        <v>1583</v>
      </c>
      <c r="K8" s="174" t="s">
        <v>1584</v>
      </c>
      <c r="L8" s="101"/>
      <c r="M8" s="101"/>
      <c r="N8" s="101"/>
      <c r="O8" s="101"/>
      <c r="P8" s="105" t="s">
        <v>76</v>
      </c>
      <c r="Q8" s="100" t="s">
        <v>77</v>
      </c>
      <c r="R8" s="100" t="s">
        <v>78</v>
      </c>
      <c r="S8" s="105" t="s">
        <v>19</v>
      </c>
      <c r="T8" s="106" t="s">
        <v>1043</v>
      </c>
      <c r="U8" s="107" t="s">
        <v>279</v>
      </c>
    </row>
    <row r="9" spans="2:22" x14ac:dyDescent="0.45">
      <c r="B9" s="96">
        <f t="shared" si="0"/>
        <v>6</v>
      </c>
      <c r="C9" s="48" t="s">
        <v>79</v>
      </c>
      <c r="D9" s="93" t="s">
        <v>45</v>
      </c>
      <c r="E9" s="93" t="s">
        <v>54</v>
      </c>
      <c r="F9" s="93" t="s">
        <v>55</v>
      </c>
      <c r="H9" s="101"/>
      <c r="I9" s="758" t="s">
        <v>81</v>
      </c>
      <c r="J9" s="759"/>
      <c r="K9" s="760"/>
      <c r="L9" s="101"/>
      <c r="M9" s="758" t="s">
        <v>82</v>
      </c>
      <c r="N9" s="761"/>
      <c r="O9" s="762"/>
      <c r="P9" s="108"/>
      <c r="Q9" s="769" t="s">
        <v>83</v>
      </c>
      <c r="R9" s="770"/>
      <c r="S9" s="771"/>
      <c r="T9" s="102"/>
      <c r="U9" s="103"/>
    </row>
    <row r="10" spans="2:22" ht="187" x14ac:dyDescent="0.45">
      <c r="B10" s="96">
        <f t="shared" si="0"/>
        <v>7</v>
      </c>
      <c r="C10" s="48" t="s">
        <v>229</v>
      </c>
      <c r="D10" s="93" t="s">
        <v>45</v>
      </c>
      <c r="E10" s="93" t="s">
        <v>148</v>
      </c>
      <c r="F10" s="93" t="s">
        <v>85</v>
      </c>
      <c r="H10" s="100" t="s">
        <v>235</v>
      </c>
      <c r="I10" s="174" t="s">
        <v>1585</v>
      </c>
      <c r="J10" s="101"/>
      <c r="K10" s="100" t="s">
        <v>225</v>
      </c>
      <c r="L10" s="550" t="s">
        <v>227</v>
      </c>
      <c r="M10" s="100" t="s">
        <v>230</v>
      </c>
      <c r="N10" s="100" t="s">
        <v>234</v>
      </c>
      <c r="O10" s="100" t="s">
        <v>1044</v>
      </c>
      <c r="P10" s="100" t="s">
        <v>474</v>
      </c>
      <c r="Q10" s="105" t="s">
        <v>233</v>
      </c>
      <c r="R10" s="105" t="s">
        <v>232</v>
      </c>
      <c r="S10" s="100" t="s">
        <v>231</v>
      </c>
      <c r="T10" s="102" t="s">
        <v>1048</v>
      </c>
      <c r="U10" s="115" t="s">
        <v>1045</v>
      </c>
      <c r="V10" s="115" t="s">
        <v>1146</v>
      </c>
    </row>
    <row r="11" spans="2:22" x14ac:dyDescent="0.45">
      <c r="B11" s="96">
        <f t="shared" si="0"/>
        <v>8</v>
      </c>
      <c r="C11" s="48" t="s">
        <v>56</v>
      </c>
      <c r="D11" s="93" t="s">
        <v>45</v>
      </c>
      <c r="E11" s="93" t="s">
        <v>57</v>
      </c>
      <c r="F11" s="93" t="s">
        <v>55</v>
      </c>
      <c r="H11" s="755" t="s">
        <v>58</v>
      </c>
      <c r="I11" s="756"/>
      <c r="J11" s="756"/>
      <c r="K11" s="756"/>
      <c r="L11" s="756"/>
      <c r="M11" s="756"/>
      <c r="N11" s="756"/>
      <c r="O11" s="756"/>
      <c r="P11" s="756"/>
      <c r="Q11" s="756"/>
      <c r="R11" s="756"/>
      <c r="S11" s="757"/>
      <c r="T11" s="102"/>
      <c r="U11" s="102" t="s">
        <v>188</v>
      </c>
    </row>
    <row r="12" spans="2:22" x14ac:dyDescent="0.45">
      <c r="B12" s="96">
        <f t="shared" si="0"/>
        <v>9</v>
      </c>
      <c r="C12" s="48" t="s">
        <v>218</v>
      </c>
      <c r="D12" s="93" t="s">
        <v>45</v>
      </c>
      <c r="E12" s="93" t="s">
        <v>60</v>
      </c>
      <c r="F12" s="93" t="s">
        <v>55</v>
      </c>
      <c r="H12" s="740" t="s">
        <v>210</v>
      </c>
      <c r="I12" s="742"/>
      <c r="J12" s="740" t="s">
        <v>209</v>
      </c>
      <c r="K12" s="742"/>
      <c r="L12" s="740" t="s">
        <v>208</v>
      </c>
      <c r="M12" s="742"/>
      <c r="N12" s="740" t="s">
        <v>207</v>
      </c>
      <c r="O12" s="742"/>
      <c r="P12" s="740" t="s">
        <v>206</v>
      </c>
      <c r="Q12" s="742"/>
      <c r="R12" s="740" t="s">
        <v>205</v>
      </c>
      <c r="S12" s="742"/>
      <c r="T12" s="104" t="s">
        <v>192</v>
      </c>
      <c r="U12" s="103"/>
    </row>
    <row r="13" spans="2:22" x14ac:dyDescent="0.45">
      <c r="B13" s="96">
        <f t="shared" si="0"/>
        <v>10</v>
      </c>
      <c r="C13" s="48" t="s">
        <v>219</v>
      </c>
      <c r="D13" s="93" t="s">
        <v>45</v>
      </c>
      <c r="E13" s="93" t="s">
        <v>152</v>
      </c>
      <c r="F13" s="93" t="s">
        <v>55</v>
      </c>
      <c r="H13" s="740" t="s">
        <v>216</v>
      </c>
      <c r="I13" s="742"/>
      <c r="J13" s="740" t="s">
        <v>215</v>
      </c>
      <c r="K13" s="742"/>
      <c r="L13" s="740" t="s">
        <v>214</v>
      </c>
      <c r="M13" s="742"/>
      <c r="N13" s="740" t="s">
        <v>213</v>
      </c>
      <c r="O13" s="742"/>
      <c r="P13" s="740" t="s">
        <v>212</v>
      </c>
      <c r="Q13" s="742"/>
      <c r="R13" s="740" t="s">
        <v>211</v>
      </c>
      <c r="S13" s="742"/>
      <c r="T13" s="102"/>
      <c r="U13" s="103"/>
    </row>
    <row r="14" spans="2:22" x14ac:dyDescent="0.45">
      <c r="B14" s="96">
        <f t="shared" si="0"/>
        <v>11</v>
      </c>
      <c r="C14" s="48" t="s">
        <v>86</v>
      </c>
      <c r="D14" s="93" t="s">
        <v>45</v>
      </c>
      <c r="E14" s="93" t="s">
        <v>75</v>
      </c>
      <c r="F14" s="93" t="s">
        <v>55</v>
      </c>
      <c r="H14" s="740" t="s">
        <v>193</v>
      </c>
      <c r="I14" s="741"/>
      <c r="J14" s="741"/>
      <c r="K14" s="741"/>
      <c r="L14" s="741"/>
      <c r="M14" s="741"/>
      <c r="N14" s="741"/>
      <c r="O14" s="741"/>
      <c r="P14" s="741"/>
      <c r="Q14" s="741"/>
      <c r="R14" s="741"/>
      <c r="S14" s="742"/>
      <c r="T14" s="104"/>
      <c r="U14" s="103"/>
    </row>
    <row r="15" spans="2:22" x14ac:dyDescent="0.45">
      <c r="B15" s="96">
        <f t="shared" si="0"/>
        <v>12</v>
      </c>
      <c r="C15" s="48" t="s">
        <v>88</v>
      </c>
      <c r="D15" s="93" t="s">
        <v>45</v>
      </c>
      <c r="E15" s="93" t="s">
        <v>80</v>
      </c>
      <c r="F15" s="93" t="s">
        <v>55</v>
      </c>
      <c r="H15" s="740" t="s">
        <v>194</v>
      </c>
      <c r="I15" s="741"/>
      <c r="J15" s="741"/>
      <c r="K15" s="741"/>
      <c r="L15" s="741"/>
      <c r="M15" s="741"/>
      <c r="N15" s="741"/>
      <c r="O15" s="741"/>
      <c r="P15" s="741"/>
      <c r="Q15" s="741"/>
      <c r="R15" s="741"/>
      <c r="S15" s="742"/>
      <c r="T15" s="104"/>
      <c r="U15" s="103"/>
    </row>
    <row r="16" spans="2:22" x14ac:dyDescent="0.45">
      <c r="B16" s="96">
        <f t="shared" si="0"/>
        <v>13</v>
      </c>
      <c r="C16" s="48" t="s">
        <v>90</v>
      </c>
      <c r="D16" s="93" t="s">
        <v>45</v>
      </c>
      <c r="E16" s="93" t="s">
        <v>84</v>
      </c>
      <c r="F16" s="93" t="s">
        <v>55</v>
      </c>
      <c r="H16" s="740" t="s">
        <v>195</v>
      </c>
      <c r="I16" s="741"/>
      <c r="J16" s="741"/>
      <c r="K16" s="741"/>
      <c r="L16" s="741"/>
      <c r="M16" s="741"/>
      <c r="N16" s="741"/>
      <c r="O16" s="741"/>
      <c r="P16" s="741"/>
      <c r="Q16" s="741"/>
      <c r="R16" s="741"/>
      <c r="S16" s="742"/>
      <c r="T16" s="104"/>
      <c r="U16" s="103"/>
    </row>
    <row r="17" spans="2:21" x14ac:dyDescent="0.45">
      <c r="B17" s="96">
        <f t="shared" si="0"/>
        <v>14</v>
      </c>
      <c r="C17" s="48" t="s">
        <v>92</v>
      </c>
      <c r="D17" s="93" t="s">
        <v>45</v>
      </c>
      <c r="E17" s="93" t="s">
        <v>87</v>
      </c>
      <c r="F17" s="93" t="s">
        <v>55</v>
      </c>
      <c r="H17" s="740" t="s">
        <v>196</v>
      </c>
      <c r="I17" s="741"/>
      <c r="J17" s="741"/>
      <c r="K17" s="741"/>
      <c r="L17" s="741"/>
      <c r="M17" s="741"/>
      <c r="N17" s="741"/>
      <c r="O17" s="741"/>
      <c r="P17" s="741"/>
      <c r="Q17" s="741"/>
      <c r="R17" s="741"/>
      <c r="S17" s="742"/>
      <c r="T17" s="104"/>
      <c r="U17" s="103"/>
    </row>
    <row r="18" spans="2:21" x14ac:dyDescent="0.45">
      <c r="B18" s="96">
        <f t="shared" si="0"/>
        <v>15</v>
      </c>
      <c r="C18" s="48" t="s">
        <v>93</v>
      </c>
      <c r="D18" s="93" t="s">
        <v>45</v>
      </c>
      <c r="E18" s="93" t="s">
        <v>89</v>
      </c>
      <c r="F18" s="93" t="s">
        <v>55</v>
      </c>
      <c r="H18" s="740" t="s">
        <v>197</v>
      </c>
      <c r="I18" s="741"/>
      <c r="J18" s="741"/>
      <c r="K18" s="741"/>
      <c r="L18" s="741"/>
      <c r="M18" s="741"/>
      <c r="N18" s="741"/>
      <c r="O18" s="741"/>
      <c r="P18" s="741"/>
      <c r="Q18" s="741"/>
      <c r="R18" s="741"/>
      <c r="S18" s="742"/>
      <c r="T18" s="104"/>
      <c r="U18" s="103"/>
    </row>
    <row r="19" spans="2:21" x14ac:dyDescent="0.45">
      <c r="B19" s="96">
        <f t="shared" si="0"/>
        <v>16</v>
      </c>
      <c r="C19" s="48" t="s">
        <v>95</v>
      </c>
      <c r="D19" s="93" t="s">
        <v>45</v>
      </c>
      <c r="E19" s="93" t="s">
        <v>91</v>
      </c>
      <c r="F19" s="93" t="s">
        <v>55</v>
      </c>
      <c r="H19" s="740" t="s">
        <v>198</v>
      </c>
      <c r="I19" s="741"/>
      <c r="J19" s="741"/>
      <c r="K19" s="741"/>
      <c r="L19" s="741"/>
      <c r="M19" s="741"/>
      <c r="N19" s="741"/>
      <c r="O19" s="741"/>
      <c r="P19" s="741"/>
      <c r="Q19" s="741"/>
      <c r="R19" s="741"/>
      <c r="S19" s="742"/>
      <c r="T19" s="104"/>
      <c r="U19" s="103"/>
    </row>
    <row r="20" spans="2:21" x14ac:dyDescent="0.45">
      <c r="B20" s="96">
        <f t="shared" si="0"/>
        <v>17</v>
      </c>
      <c r="C20" s="48" t="s">
        <v>97</v>
      </c>
      <c r="D20" s="93" t="s">
        <v>45</v>
      </c>
      <c r="E20" s="93" t="s">
        <v>220</v>
      </c>
      <c r="F20" s="93" t="s">
        <v>55</v>
      </c>
      <c r="H20" s="740" t="s">
        <v>199</v>
      </c>
      <c r="I20" s="741"/>
      <c r="J20" s="741"/>
      <c r="K20" s="741"/>
      <c r="L20" s="741"/>
      <c r="M20" s="741"/>
      <c r="N20" s="741"/>
      <c r="O20" s="741"/>
      <c r="P20" s="741"/>
      <c r="Q20" s="741"/>
      <c r="R20" s="741"/>
      <c r="S20" s="742"/>
      <c r="T20" s="104"/>
      <c r="U20" s="103"/>
    </row>
    <row r="21" spans="2:21" x14ac:dyDescent="0.45">
      <c r="B21" s="96">
        <f t="shared" si="0"/>
        <v>18</v>
      </c>
      <c r="C21" s="48" t="s">
        <v>99</v>
      </c>
      <c r="D21" s="93" t="s">
        <v>45</v>
      </c>
      <c r="E21" s="93" t="s">
        <v>94</v>
      </c>
      <c r="F21" s="93" t="s">
        <v>55</v>
      </c>
      <c r="H21" s="740" t="s">
        <v>200</v>
      </c>
      <c r="I21" s="741"/>
      <c r="J21" s="741"/>
      <c r="K21" s="741"/>
      <c r="L21" s="741"/>
      <c r="M21" s="741"/>
      <c r="N21" s="741"/>
      <c r="O21" s="741"/>
      <c r="P21" s="741"/>
      <c r="Q21" s="741"/>
      <c r="R21" s="741"/>
      <c r="S21" s="742"/>
      <c r="T21" s="104"/>
      <c r="U21" s="103"/>
    </row>
    <row r="22" spans="2:21" x14ac:dyDescent="0.45">
      <c r="B22" s="96">
        <f t="shared" si="0"/>
        <v>19</v>
      </c>
      <c r="C22" s="48" t="s">
        <v>101</v>
      </c>
      <c r="D22" s="93" t="s">
        <v>45</v>
      </c>
      <c r="E22" s="93" t="s">
        <v>96</v>
      </c>
      <c r="F22" s="93" t="s">
        <v>55</v>
      </c>
      <c r="H22" s="740" t="s">
        <v>201</v>
      </c>
      <c r="I22" s="741"/>
      <c r="J22" s="741"/>
      <c r="K22" s="741"/>
      <c r="L22" s="741"/>
      <c r="M22" s="741"/>
      <c r="N22" s="741"/>
      <c r="O22" s="741"/>
      <c r="P22" s="741"/>
      <c r="Q22" s="741"/>
      <c r="R22" s="741"/>
      <c r="S22" s="742"/>
      <c r="T22" s="104"/>
      <c r="U22" s="103"/>
    </row>
    <row r="23" spans="2:21" x14ac:dyDescent="0.45">
      <c r="B23" s="96">
        <f t="shared" si="0"/>
        <v>20</v>
      </c>
      <c r="C23" s="48" t="s">
        <v>103</v>
      </c>
      <c r="D23" s="93" t="s">
        <v>45</v>
      </c>
      <c r="E23" s="93" t="s">
        <v>98</v>
      </c>
      <c r="F23" s="93" t="s">
        <v>55</v>
      </c>
      <c r="H23" s="740" t="s">
        <v>202</v>
      </c>
      <c r="I23" s="741"/>
      <c r="J23" s="741"/>
      <c r="K23" s="741"/>
      <c r="L23" s="741"/>
      <c r="M23" s="741"/>
      <c r="N23" s="741"/>
      <c r="O23" s="741"/>
      <c r="P23" s="741"/>
      <c r="Q23" s="741"/>
      <c r="R23" s="741"/>
      <c r="S23" s="742"/>
      <c r="T23" s="104"/>
      <c r="U23" s="103"/>
    </row>
    <row r="24" spans="2:21" x14ac:dyDescent="0.45">
      <c r="B24" s="96">
        <f t="shared" si="0"/>
        <v>21</v>
      </c>
      <c r="C24" s="48" t="s">
        <v>104</v>
      </c>
      <c r="D24" s="93" t="s">
        <v>45</v>
      </c>
      <c r="E24" s="93" t="s">
        <v>100</v>
      </c>
      <c r="F24" s="93" t="s">
        <v>55</v>
      </c>
      <c r="H24" s="740" t="s">
        <v>203</v>
      </c>
      <c r="I24" s="741"/>
      <c r="J24" s="741"/>
      <c r="K24" s="741"/>
      <c r="L24" s="741"/>
      <c r="M24" s="741"/>
      <c r="N24" s="741"/>
      <c r="O24" s="741"/>
      <c r="P24" s="741"/>
      <c r="Q24" s="741"/>
      <c r="R24" s="741"/>
      <c r="S24" s="742"/>
      <c r="T24" s="104"/>
      <c r="U24" s="103"/>
    </row>
    <row r="25" spans="2:21" x14ac:dyDescent="0.45">
      <c r="B25" s="96">
        <f t="shared" si="0"/>
        <v>22</v>
      </c>
      <c r="C25" s="48" t="s">
        <v>105</v>
      </c>
      <c r="D25" s="93" t="s">
        <v>45</v>
      </c>
      <c r="E25" s="93" t="s">
        <v>102</v>
      </c>
      <c r="F25" s="93" t="s">
        <v>55</v>
      </c>
      <c r="H25" s="740" t="s">
        <v>204</v>
      </c>
      <c r="I25" s="741"/>
      <c r="J25" s="741"/>
      <c r="K25" s="741"/>
      <c r="L25" s="741"/>
      <c r="M25" s="741"/>
      <c r="N25" s="741"/>
      <c r="O25" s="741"/>
      <c r="P25" s="741"/>
      <c r="Q25" s="741"/>
      <c r="R25" s="741"/>
      <c r="S25" s="742"/>
      <c r="T25" s="104"/>
      <c r="U25" s="103"/>
    </row>
    <row r="26" spans="2:21" x14ac:dyDescent="0.45">
      <c r="B26" s="96"/>
      <c r="C26" s="48" t="s">
        <v>217</v>
      </c>
      <c r="E26" s="93" t="s">
        <v>221</v>
      </c>
      <c r="T26" s="41"/>
      <c r="U26" s="93"/>
    </row>
    <row r="27" spans="2:21" x14ac:dyDescent="0.45">
      <c r="B27" s="96">
        <f>B25+1</f>
        <v>23</v>
      </c>
      <c r="C27" s="48" t="s">
        <v>224</v>
      </c>
      <c r="D27" s="93" t="s">
        <v>45</v>
      </c>
      <c r="E27" s="93" t="s">
        <v>180</v>
      </c>
      <c r="F27" s="93" t="s">
        <v>1039</v>
      </c>
      <c r="H27" s="740" t="s">
        <v>1041</v>
      </c>
      <c r="I27" s="741"/>
      <c r="J27" s="741"/>
      <c r="K27" s="741"/>
      <c r="L27" s="741"/>
      <c r="M27" s="742"/>
      <c r="N27" s="740" t="s">
        <v>1042</v>
      </c>
      <c r="O27" s="741"/>
      <c r="P27" s="741"/>
      <c r="Q27" s="741"/>
      <c r="R27" s="741"/>
      <c r="S27" s="742"/>
      <c r="T27" s="102" t="s">
        <v>1038</v>
      </c>
      <c r="U27" s="103"/>
    </row>
    <row r="28" spans="2:21" ht="34" x14ac:dyDescent="0.45">
      <c r="B28" s="96">
        <f>B27+1</f>
        <v>24</v>
      </c>
      <c r="C28" s="48" t="s">
        <v>473</v>
      </c>
      <c r="D28" s="93" t="s">
        <v>45</v>
      </c>
      <c r="E28" s="93" t="s">
        <v>477</v>
      </c>
      <c r="F28" s="269" t="s">
        <v>1144</v>
      </c>
      <c r="H28" s="101"/>
      <c r="I28" s="101"/>
      <c r="J28" s="101"/>
      <c r="K28" s="101"/>
      <c r="L28" s="562" t="s">
        <v>1607</v>
      </c>
      <c r="M28" s="740" t="s">
        <v>1153</v>
      </c>
      <c r="N28" s="741"/>
      <c r="O28" s="741"/>
      <c r="P28" s="741"/>
      <c r="Q28" s="741"/>
      <c r="R28" s="741"/>
      <c r="S28" s="742"/>
      <c r="T28" s="115" t="s">
        <v>1046</v>
      </c>
      <c r="U28" s="115"/>
    </row>
    <row r="29" spans="2:21" x14ac:dyDescent="0.45">
      <c r="B29" s="96">
        <f t="shared" ref="B29:B30" si="1">B28+1</f>
        <v>25</v>
      </c>
      <c r="C29" s="48" t="s">
        <v>222</v>
      </c>
      <c r="D29" s="93" t="s">
        <v>45</v>
      </c>
      <c r="E29" s="93" t="s">
        <v>107</v>
      </c>
      <c r="F29" s="269" t="s">
        <v>1032</v>
      </c>
      <c r="H29" s="740" t="s">
        <v>110</v>
      </c>
      <c r="I29" s="741"/>
      <c r="J29" s="741"/>
      <c r="K29" s="741"/>
      <c r="L29" s="741"/>
      <c r="M29" s="741"/>
      <c r="N29" s="741"/>
      <c r="O29" s="741"/>
      <c r="P29" s="741"/>
      <c r="Q29" s="741"/>
      <c r="R29" s="741"/>
      <c r="S29" s="742"/>
      <c r="T29" s="102" t="s">
        <v>1031</v>
      </c>
      <c r="U29" s="102"/>
    </row>
    <row r="30" spans="2:21" ht="34" x14ac:dyDescent="0.45">
      <c r="B30" s="96">
        <f t="shared" si="1"/>
        <v>26</v>
      </c>
      <c r="C30" s="48" t="s">
        <v>223</v>
      </c>
      <c r="D30" s="93" t="s">
        <v>45</v>
      </c>
      <c r="E30" s="93" t="s">
        <v>109</v>
      </c>
      <c r="F30" s="269" t="s">
        <v>1444</v>
      </c>
      <c r="H30" s="100" t="s">
        <v>112</v>
      </c>
      <c r="I30" s="101"/>
      <c r="J30" s="730" t="s">
        <v>1147</v>
      </c>
      <c r="K30" s="732"/>
      <c r="L30" s="740" t="s">
        <v>191</v>
      </c>
      <c r="M30" s="741"/>
      <c r="N30" s="741"/>
      <c r="O30" s="741"/>
      <c r="P30" s="741"/>
      <c r="Q30" s="741"/>
      <c r="R30" s="741"/>
      <c r="S30" s="742"/>
      <c r="T30" s="102" t="s">
        <v>1047</v>
      </c>
      <c r="U30" s="102"/>
    </row>
    <row r="31" spans="2:21" x14ac:dyDescent="0.45">
      <c r="B31" s="96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102"/>
      <c r="U31" s="102"/>
    </row>
    <row r="32" spans="2:21" x14ac:dyDescent="0.45">
      <c r="B32" s="96">
        <f>B30+1</f>
        <v>27</v>
      </c>
      <c r="C32" s="48" t="s">
        <v>476</v>
      </c>
      <c r="D32" s="93" t="s">
        <v>45</v>
      </c>
      <c r="E32" s="93" t="s">
        <v>475</v>
      </c>
      <c r="F32" s="269" t="s">
        <v>1151</v>
      </c>
      <c r="H32" s="740" t="s">
        <v>108</v>
      </c>
      <c r="I32" s="741"/>
      <c r="J32" s="741"/>
      <c r="K32" s="742"/>
      <c r="L32" s="101"/>
      <c r="M32" s="270" t="s">
        <v>1148</v>
      </c>
      <c r="N32" s="730" t="s">
        <v>1149</v>
      </c>
      <c r="O32" s="732"/>
      <c r="P32" s="101"/>
      <c r="Q32" s="101"/>
      <c r="R32" s="740" t="s">
        <v>240</v>
      </c>
      <c r="S32" s="742"/>
      <c r="T32" s="102"/>
      <c r="U32" s="102"/>
    </row>
    <row r="33" spans="2:21" x14ac:dyDescent="0.45">
      <c r="B33" s="96">
        <f t="shared" ref="B33:B36" si="2">B32+1</f>
        <v>28</v>
      </c>
      <c r="C33" s="48" t="s">
        <v>241</v>
      </c>
      <c r="D33" s="93" t="s">
        <v>45</v>
      </c>
      <c r="E33" s="93" t="s">
        <v>111</v>
      </c>
      <c r="F33" s="93" t="s">
        <v>47</v>
      </c>
      <c r="H33" s="740" t="s">
        <v>238</v>
      </c>
      <c r="I33" s="741"/>
      <c r="J33" s="741"/>
      <c r="K33" s="741"/>
      <c r="L33" s="741"/>
      <c r="M33" s="741"/>
      <c r="N33" s="741"/>
      <c r="O33" s="741"/>
      <c r="P33" s="741"/>
      <c r="Q33" s="741"/>
      <c r="R33" s="741"/>
      <c r="S33" s="742"/>
      <c r="T33" s="115"/>
      <c r="U33" s="115"/>
    </row>
    <row r="34" spans="2:21" x14ac:dyDescent="0.45">
      <c r="B34" s="96">
        <f t="shared" si="2"/>
        <v>29</v>
      </c>
      <c r="C34" s="48" t="s">
        <v>242</v>
      </c>
      <c r="D34" s="93" t="s">
        <v>45</v>
      </c>
      <c r="E34" s="93" t="s">
        <v>113</v>
      </c>
      <c r="F34" s="269" t="s">
        <v>1145</v>
      </c>
      <c r="H34" s="100" t="s">
        <v>239</v>
      </c>
      <c r="I34" s="101"/>
      <c r="J34" s="101"/>
      <c r="K34" s="101"/>
      <c r="L34" s="101"/>
      <c r="M34" s="101"/>
      <c r="N34" s="101"/>
      <c r="O34" s="101"/>
      <c r="P34" s="740" t="s">
        <v>1040</v>
      </c>
      <c r="Q34" s="741"/>
      <c r="R34" s="741"/>
      <c r="S34" s="742"/>
      <c r="T34" s="115"/>
      <c r="U34" s="115"/>
    </row>
    <row r="35" spans="2:21" x14ac:dyDescent="0.45">
      <c r="B35" s="96">
        <f t="shared" si="2"/>
        <v>30</v>
      </c>
      <c r="C35" s="48" t="s">
        <v>1154</v>
      </c>
      <c r="D35" s="93" t="s">
        <v>1155</v>
      </c>
      <c r="E35" s="93" t="s">
        <v>1156</v>
      </c>
      <c r="F35" s="93" t="s">
        <v>47</v>
      </c>
      <c r="H35" s="548"/>
      <c r="I35" s="548"/>
      <c r="J35" s="548"/>
      <c r="K35" s="548"/>
      <c r="L35" s="548"/>
      <c r="M35" s="763" t="s">
        <v>1157</v>
      </c>
      <c r="N35" s="763"/>
      <c r="O35" s="763"/>
      <c r="P35" s="763"/>
      <c r="Q35" s="763"/>
      <c r="R35" s="763"/>
      <c r="S35" s="763"/>
      <c r="T35" s="549" t="s">
        <v>1158</v>
      </c>
    </row>
    <row r="36" spans="2:21" s="547" customFormat="1" x14ac:dyDescent="0.45">
      <c r="B36" s="96">
        <f t="shared" si="2"/>
        <v>31</v>
      </c>
      <c r="C36" s="116" t="s">
        <v>1586</v>
      </c>
      <c r="D36" s="269" t="s">
        <v>45</v>
      </c>
      <c r="E36" s="269" t="s">
        <v>1588</v>
      </c>
      <c r="F36" s="269" t="s">
        <v>47</v>
      </c>
      <c r="G36" s="269"/>
      <c r="H36" s="749" t="s">
        <v>1587</v>
      </c>
      <c r="I36" s="750"/>
      <c r="J36" s="750"/>
      <c r="K36" s="750"/>
      <c r="L36" s="750"/>
      <c r="M36" s="750"/>
      <c r="N36" s="750"/>
      <c r="O36" s="750"/>
      <c r="P36" s="750"/>
      <c r="Q36" s="750"/>
      <c r="R36" s="750"/>
      <c r="S36" s="751"/>
      <c r="T36" s="511" t="s">
        <v>1589</v>
      </c>
      <c r="U36" s="546"/>
    </row>
    <row r="37" spans="2:21" x14ac:dyDescent="0.45">
      <c r="B37" s="96"/>
    </row>
    <row r="38" spans="2:21" ht="170" x14ac:dyDescent="0.45">
      <c r="B38" s="96">
        <v>1</v>
      </c>
      <c r="C38" s="48" t="s">
        <v>114</v>
      </c>
      <c r="D38" s="93" t="s">
        <v>45</v>
      </c>
      <c r="E38" s="109" t="s">
        <v>115</v>
      </c>
      <c r="F38" s="93" t="s">
        <v>47</v>
      </c>
      <c r="H38" s="100" t="s">
        <v>116</v>
      </c>
      <c r="I38" s="270" t="s">
        <v>1427</v>
      </c>
      <c r="J38" s="730" t="s">
        <v>1150</v>
      </c>
      <c r="K38" s="732"/>
      <c r="L38" s="101"/>
      <c r="M38" s="100" t="s">
        <v>186</v>
      </c>
      <c r="N38" s="270" t="s">
        <v>1428</v>
      </c>
      <c r="O38" s="100" t="s">
        <v>187</v>
      </c>
      <c r="P38" s="101"/>
      <c r="Q38" s="101"/>
      <c r="R38" s="101"/>
      <c r="S38" s="100" t="s">
        <v>117</v>
      </c>
      <c r="T38" s="102" t="s">
        <v>1429</v>
      </c>
      <c r="U38" s="102"/>
    </row>
    <row r="39" spans="2:21" x14ac:dyDescent="0.45">
      <c r="B39" s="96">
        <f>B38+1</f>
        <v>2</v>
      </c>
      <c r="C39" s="48" t="s">
        <v>118</v>
      </c>
      <c r="D39" s="93" t="s">
        <v>45</v>
      </c>
      <c r="E39" s="109" t="s">
        <v>119</v>
      </c>
      <c r="F39" s="93" t="s">
        <v>47</v>
      </c>
      <c r="H39" s="101"/>
      <c r="I39" s="101"/>
      <c r="J39" s="101"/>
      <c r="K39" s="101"/>
      <c r="L39" s="101"/>
      <c r="M39" s="101"/>
      <c r="N39" s="101"/>
      <c r="O39" s="101"/>
      <c r="P39" s="740" t="s">
        <v>120</v>
      </c>
      <c r="Q39" s="741"/>
      <c r="R39" s="741"/>
      <c r="S39" s="742"/>
      <c r="U39" s="103"/>
    </row>
    <row r="40" spans="2:21" x14ac:dyDescent="0.45">
      <c r="B40" s="96">
        <f t="shared" ref="B40:B43" si="3">B39+1</f>
        <v>3</v>
      </c>
      <c r="C40" s="48" t="s">
        <v>121</v>
      </c>
      <c r="D40" s="93" t="s">
        <v>45</v>
      </c>
      <c r="E40" s="109" t="s">
        <v>122</v>
      </c>
      <c r="F40" s="93" t="s">
        <v>472</v>
      </c>
      <c r="H40" s="740" t="s">
        <v>123</v>
      </c>
      <c r="I40" s="741"/>
      <c r="J40" s="741"/>
      <c r="K40" s="741"/>
      <c r="L40" s="741"/>
      <c r="M40" s="741"/>
      <c r="N40" s="741"/>
      <c r="O40" s="741"/>
      <c r="P40" s="741"/>
      <c r="Q40" s="741"/>
      <c r="R40" s="741"/>
      <c r="S40" s="742"/>
      <c r="T40" s="110"/>
      <c r="U40" s="103"/>
    </row>
    <row r="41" spans="2:21" x14ac:dyDescent="0.45">
      <c r="B41" s="96">
        <f t="shared" si="3"/>
        <v>4</v>
      </c>
      <c r="C41" s="48" t="s">
        <v>124</v>
      </c>
      <c r="D41" s="93" t="s">
        <v>45</v>
      </c>
      <c r="E41" s="109" t="s">
        <v>125</v>
      </c>
      <c r="F41" s="93" t="s">
        <v>126</v>
      </c>
      <c r="H41" s="101"/>
      <c r="I41" s="101"/>
      <c r="J41" s="101"/>
      <c r="K41" s="101"/>
      <c r="L41" s="101"/>
      <c r="M41" s="101"/>
      <c r="N41" s="101"/>
      <c r="O41" s="101"/>
      <c r="P41" s="740" t="s">
        <v>127</v>
      </c>
      <c r="Q41" s="741"/>
      <c r="R41" s="741"/>
      <c r="S41" s="742"/>
      <c r="T41" s="104"/>
      <c r="U41" s="103"/>
    </row>
    <row r="42" spans="2:21" x14ac:dyDescent="0.45">
      <c r="B42" s="96">
        <f t="shared" si="3"/>
        <v>5</v>
      </c>
      <c r="C42" s="48" t="s">
        <v>128</v>
      </c>
      <c r="D42" s="93" t="s">
        <v>45</v>
      </c>
      <c r="E42" s="109" t="s">
        <v>129</v>
      </c>
      <c r="F42" s="93" t="s">
        <v>47</v>
      </c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0" t="s">
        <v>130</v>
      </c>
      <c r="S42" s="100" t="s">
        <v>131</v>
      </c>
      <c r="T42" s="110" t="s">
        <v>1049</v>
      </c>
      <c r="U42" s="103"/>
    </row>
    <row r="43" spans="2:21" x14ac:dyDescent="0.45">
      <c r="B43" s="96">
        <f t="shared" si="3"/>
        <v>6</v>
      </c>
      <c r="C43" s="48" t="s">
        <v>132</v>
      </c>
      <c r="D43" s="93" t="s">
        <v>45</v>
      </c>
      <c r="E43" s="109" t="s">
        <v>133</v>
      </c>
      <c r="F43" s="93" t="s">
        <v>1052</v>
      </c>
      <c r="H43" s="740" t="s">
        <v>134</v>
      </c>
      <c r="I43" s="741"/>
      <c r="J43" s="741"/>
      <c r="K43" s="741"/>
      <c r="L43" s="741"/>
      <c r="M43" s="741"/>
      <c r="N43" s="741"/>
      <c r="O43" s="741"/>
      <c r="P43" s="741"/>
      <c r="Q43" s="741"/>
      <c r="R43" s="741"/>
      <c r="S43" s="742"/>
      <c r="T43" s="110"/>
      <c r="U43" s="103"/>
    </row>
    <row r="44" spans="2:21" x14ac:dyDescent="0.45">
      <c r="B44" s="96"/>
      <c r="C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104"/>
      <c r="U44" s="103"/>
    </row>
    <row r="45" spans="2:21" x14ac:dyDescent="0.45">
      <c r="B45" s="96">
        <v>1</v>
      </c>
      <c r="C45" s="48" t="s">
        <v>135</v>
      </c>
      <c r="D45" s="93" t="s">
        <v>45</v>
      </c>
      <c r="E45" s="93" t="s">
        <v>46</v>
      </c>
      <c r="F45" s="93" t="s">
        <v>47</v>
      </c>
      <c r="H45" s="101"/>
      <c r="I45" s="101"/>
      <c r="J45" s="101"/>
      <c r="K45" s="101"/>
      <c r="L45" s="752" t="s">
        <v>136</v>
      </c>
      <c r="M45" s="753"/>
      <c r="N45" s="753"/>
      <c r="O45" s="753"/>
      <c r="P45" s="753"/>
      <c r="Q45" s="753"/>
      <c r="R45" s="753"/>
      <c r="S45" s="754"/>
      <c r="T45" s="104"/>
      <c r="U45" s="103"/>
    </row>
    <row r="46" spans="2:21" x14ac:dyDescent="0.45">
      <c r="B46" s="96">
        <f>B45+1</f>
        <v>2</v>
      </c>
      <c r="C46" s="48" t="s">
        <v>137</v>
      </c>
      <c r="D46" s="93" t="s">
        <v>45</v>
      </c>
      <c r="E46" s="93" t="s">
        <v>138</v>
      </c>
      <c r="F46" s="93" t="s">
        <v>236</v>
      </c>
      <c r="H46" s="101"/>
      <c r="I46" s="101"/>
      <c r="J46" s="101"/>
      <c r="K46" s="101"/>
      <c r="L46" s="101"/>
      <c r="M46" s="101"/>
      <c r="N46" s="752" t="s">
        <v>253</v>
      </c>
      <c r="O46" s="753"/>
      <c r="P46" s="753"/>
      <c r="Q46" s="753"/>
      <c r="R46" s="753"/>
      <c r="S46" s="754"/>
      <c r="T46" s="104"/>
      <c r="U46" s="103"/>
    </row>
    <row r="47" spans="2:21" x14ac:dyDescent="0.45">
      <c r="B47" s="96">
        <f t="shared" ref="B47:B72" si="4">B46+1</f>
        <v>3</v>
      </c>
      <c r="C47" s="48" t="s">
        <v>140</v>
      </c>
      <c r="D47" s="93" t="s">
        <v>45</v>
      </c>
      <c r="E47" s="93" t="s">
        <v>141</v>
      </c>
      <c r="F47" s="93" t="s">
        <v>236</v>
      </c>
      <c r="H47" s="101"/>
      <c r="I47" s="101"/>
      <c r="J47" s="101"/>
      <c r="K47" s="101"/>
      <c r="L47" s="101"/>
      <c r="M47" s="101"/>
      <c r="N47" s="752" t="s">
        <v>254</v>
      </c>
      <c r="O47" s="753"/>
      <c r="P47" s="753"/>
      <c r="Q47" s="753"/>
      <c r="R47" s="753"/>
      <c r="S47" s="754"/>
      <c r="T47" s="104"/>
      <c r="U47" s="103"/>
    </row>
    <row r="48" spans="2:21" s="41" customFormat="1" x14ac:dyDescent="0.45">
      <c r="B48" s="96">
        <f t="shared" si="4"/>
        <v>4</v>
      </c>
      <c r="C48" s="48" t="s">
        <v>142</v>
      </c>
      <c r="D48" s="93" t="s">
        <v>45</v>
      </c>
      <c r="E48" s="93" t="s">
        <v>51</v>
      </c>
      <c r="F48" s="93" t="s">
        <v>139</v>
      </c>
      <c r="G48" s="93"/>
      <c r="H48" s="101"/>
      <c r="I48" s="101"/>
      <c r="J48" s="101"/>
      <c r="K48" s="101"/>
      <c r="L48" s="101"/>
      <c r="M48" s="752" t="s">
        <v>255</v>
      </c>
      <c r="N48" s="753"/>
      <c r="O48" s="753"/>
      <c r="P48" s="753"/>
      <c r="Q48" s="753"/>
      <c r="R48" s="753"/>
      <c r="S48" s="754"/>
      <c r="T48" s="104"/>
      <c r="U48" s="103"/>
    </row>
    <row r="49" spans="2:21" s="41" customFormat="1" x14ac:dyDescent="0.45">
      <c r="B49" s="96">
        <f t="shared" si="4"/>
        <v>5</v>
      </c>
      <c r="C49" s="48" t="s">
        <v>143</v>
      </c>
      <c r="D49" s="93" t="s">
        <v>45</v>
      </c>
      <c r="E49" s="93" t="s">
        <v>52</v>
      </c>
      <c r="F49" s="93" t="s">
        <v>139</v>
      </c>
      <c r="G49" s="93"/>
      <c r="H49" s="101"/>
      <c r="I49" s="101"/>
      <c r="J49" s="101"/>
      <c r="K49" s="101"/>
      <c r="L49" s="101"/>
      <c r="M49" s="752" t="s">
        <v>256</v>
      </c>
      <c r="N49" s="753"/>
      <c r="O49" s="753"/>
      <c r="P49" s="753"/>
      <c r="Q49" s="753"/>
      <c r="R49" s="753"/>
      <c r="S49" s="754"/>
      <c r="T49" s="104"/>
      <c r="U49" s="103"/>
    </row>
    <row r="50" spans="2:21" s="41" customFormat="1" x14ac:dyDescent="0.45">
      <c r="B50" s="96">
        <f t="shared" si="4"/>
        <v>6</v>
      </c>
      <c r="C50" s="48" t="s">
        <v>144</v>
      </c>
      <c r="D50" s="93" t="s">
        <v>45</v>
      </c>
      <c r="E50" s="93" t="s">
        <v>145</v>
      </c>
      <c r="F50" s="93" t="s">
        <v>139</v>
      </c>
      <c r="G50" s="93"/>
      <c r="H50" s="101"/>
      <c r="I50" s="101"/>
      <c r="J50" s="101"/>
      <c r="K50" s="101"/>
      <c r="L50" s="101"/>
      <c r="M50" s="752" t="s">
        <v>257</v>
      </c>
      <c r="N50" s="753"/>
      <c r="O50" s="753"/>
      <c r="P50" s="753"/>
      <c r="Q50" s="753"/>
      <c r="R50" s="753"/>
      <c r="S50" s="754"/>
      <c r="T50" s="104"/>
      <c r="U50" s="103"/>
    </row>
    <row r="51" spans="2:21" s="41" customFormat="1" x14ac:dyDescent="0.45">
      <c r="B51" s="96">
        <f t="shared" si="4"/>
        <v>7</v>
      </c>
      <c r="C51" s="48" t="s">
        <v>146</v>
      </c>
      <c r="D51" s="93" t="s">
        <v>45</v>
      </c>
      <c r="E51" s="93" t="s">
        <v>54</v>
      </c>
      <c r="F51" s="93" t="s">
        <v>139</v>
      </c>
      <c r="G51" s="93"/>
      <c r="H51" s="101"/>
      <c r="I51" s="101"/>
      <c r="J51" s="101"/>
      <c r="K51" s="101"/>
      <c r="L51" s="101"/>
      <c r="M51" s="752" t="s">
        <v>258</v>
      </c>
      <c r="N51" s="753"/>
      <c r="O51" s="753"/>
      <c r="P51" s="753"/>
      <c r="Q51" s="753"/>
      <c r="R51" s="753"/>
      <c r="S51" s="754"/>
      <c r="T51" s="104"/>
      <c r="U51" s="103"/>
    </row>
    <row r="52" spans="2:21" s="41" customFormat="1" x14ac:dyDescent="0.45">
      <c r="B52" s="96">
        <f t="shared" si="4"/>
        <v>8</v>
      </c>
      <c r="C52" s="48" t="s">
        <v>147</v>
      </c>
      <c r="D52" s="93" t="s">
        <v>45</v>
      </c>
      <c r="E52" s="93" t="s">
        <v>148</v>
      </c>
      <c r="F52" s="93" t="s">
        <v>139</v>
      </c>
      <c r="G52" s="93"/>
      <c r="H52" s="101"/>
      <c r="I52" s="101"/>
      <c r="J52" s="101"/>
      <c r="K52" s="101"/>
      <c r="L52" s="101"/>
      <c r="M52" s="752" t="s">
        <v>259</v>
      </c>
      <c r="N52" s="753"/>
      <c r="O52" s="753"/>
      <c r="P52" s="753"/>
      <c r="Q52" s="753"/>
      <c r="R52" s="753"/>
      <c r="S52" s="754"/>
      <c r="T52" s="104"/>
      <c r="U52" s="103"/>
    </row>
    <row r="53" spans="2:21" s="41" customFormat="1" x14ac:dyDescent="0.45">
      <c r="B53" s="96">
        <f t="shared" si="4"/>
        <v>9</v>
      </c>
      <c r="C53" s="48" t="s">
        <v>149</v>
      </c>
      <c r="D53" s="93" t="s">
        <v>45</v>
      </c>
      <c r="E53" s="93" t="s">
        <v>57</v>
      </c>
      <c r="F53" s="93" t="s">
        <v>139</v>
      </c>
      <c r="G53" s="93"/>
      <c r="H53" s="101"/>
      <c r="I53" s="101"/>
      <c r="J53" s="101"/>
      <c r="K53" s="101"/>
      <c r="L53" s="101"/>
      <c r="M53" s="752" t="s">
        <v>260</v>
      </c>
      <c r="N53" s="753"/>
      <c r="O53" s="753"/>
      <c r="P53" s="753"/>
      <c r="Q53" s="753"/>
      <c r="R53" s="753"/>
      <c r="S53" s="754"/>
      <c r="T53" s="104"/>
      <c r="U53" s="103"/>
    </row>
    <row r="54" spans="2:21" s="41" customFormat="1" x14ac:dyDescent="0.45">
      <c r="B54" s="96">
        <f t="shared" si="4"/>
        <v>10</v>
      </c>
      <c r="C54" s="48" t="s">
        <v>150</v>
      </c>
      <c r="D54" s="93" t="s">
        <v>45</v>
      </c>
      <c r="E54" s="93" t="s">
        <v>60</v>
      </c>
      <c r="F54" s="93" t="s">
        <v>139</v>
      </c>
      <c r="G54" s="93"/>
      <c r="H54" s="101"/>
      <c r="I54" s="101"/>
      <c r="J54" s="101"/>
      <c r="K54" s="101"/>
      <c r="L54" s="101"/>
      <c r="M54" s="752" t="s">
        <v>261</v>
      </c>
      <c r="N54" s="753"/>
      <c r="O54" s="753"/>
      <c r="P54" s="753"/>
      <c r="Q54" s="753"/>
      <c r="R54" s="753"/>
      <c r="S54" s="754"/>
      <c r="T54" s="104"/>
      <c r="U54" s="103"/>
    </row>
    <row r="55" spans="2:21" s="41" customFormat="1" x14ac:dyDescent="0.45">
      <c r="B55" s="96">
        <f t="shared" si="4"/>
        <v>11</v>
      </c>
      <c r="C55" s="48" t="s">
        <v>151</v>
      </c>
      <c r="D55" s="93" t="s">
        <v>45</v>
      </c>
      <c r="E55" s="93" t="s">
        <v>152</v>
      </c>
      <c r="F55" s="93" t="s">
        <v>139</v>
      </c>
      <c r="G55" s="93"/>
      <c r="H55" s="101"/>
      <c r="I55" s="101"/>
      <c r="J55" s="101"/>
      <c r="K55" s="101"/>
      <c r="L55" s="101"/>
      <c r="M55" s="752" t="s">
        <v>262</v>
      </c>
      <c r="N55" s="753"/>
      <c r="O55" s="753"/>
      <c r="P55" s="753"/>
      <c r="Q55" s="753"/>
      <c r="R55" s="753"/>
      <c r="S55" s="754"/>
      <c r="T55" s="104"/>
      <c r="U55" s="103"/>
    </row>
    <row r="56" spans="2:21" s="41" customFormat="1" x14ac:dyDescent="0.45">
      <c r="B56" s="96">
        <f t="shared" si="4"/>
        <v>12</v>
      </c>
      <c r="C56" s="48" t="s">
        <v>153</v>
      </c>
      <c r="D56" s="93" t="s">
        <v>45</v>
      </c>
      <c r="E56" s="93" t="s">
        <v>75</v>
      </c>
      <c r="F56" s="93" t="s">
        <v>139</v>
      </c>
      <c r="G56" s="93"/>
      <c r="H56" s="101"/>
      <c r="I56" s="101"/>
      <c r="J56" s="101"/>
      <c r="K56" s="101"/>
      <c r="L56" s="101"/>
      <c r="M56" s="752" t="s">
        <v>263</v>
      </c>
      <c r="N56" s="753"/>
      <c r="O56" s="753"/>
      <c r="P56" s="753"/>
      <c r="Q56" s="753"/>
      <c r="R56" s="753"/>
      <c r="S56" s="754"/>
      <c r="T56" s="104"/>
      <c r="U56" s="103"/>
    </row>
    <row r="57" spans="2:21" s="41" customFormat="1" x14ac:dyDescent="0.45">
      <c r="B57" s="96">
        <f t="shared" si="4"/>
        <v>13</v>
      </c>
      <c r="C57" s="48" t="s">
        <v>154</v>
      </c>
      <c r="D57" s="93" t="s">
        <v>45</v>
      </c>
      <c r="E57" s="93" t="s">
        <v>80</v>
      </c>
      <c r="F57" s="93" t="s">
        <v>139</v>
      </c>
      <c r="G57" s="93"/>
      <c r="H57" s="101"/>
      <c r="I57" s="101"/>
      <c r="J57" s="101"/>
      <c r="K57" s="101"/>
      <c r="L57" s="101"/>
      <c r="M57" s="752" t="s">
        <v>264</v>
      </c>
      <c r="N57" s="753"/>
      <c r="O57" s="753"/>
      <c r="P57" s="753"/>
      <c r="Q57" s="753"/>
      <c r="R57" s="753"/>
      <c r="S57" s="754"/>
      <c r="T57" s="104"/>
      <c r="U57" s="103"/>
    </row>
    <row r="58" spans="2:21" s="41" customFormat="1" x14ac:dyDescent="0.45">
      <c r="B58" s="96">
        <f t="shared" si="4"/>
        <v>14</v>
      </c>
      <c r="C58" s="48" t="s">
        <v>155</v>
      </c>
      <c r="D58" s="93" t="s">
        <v>45</v>
      </c>
      <c r="E58" s="93" t="s">
        <v>84</v>
      </c>
      <c r="F58" s="93" t="s">
        <v>139</v>
      </c>
      <c r="G58" s="93"/>
      <c r="H58" s="101"/>
      <c r="I58" s="101"/>
      <c r="J58" s="101"/>
      <c r="K58" s="101"/>
      <c r="L58" s="101"/>
      <c r="M58" s="752" t="s">
        <v>265</v>
      </c>
      <c r="N58" s="753"/>
      <c r="O58" s="753"/>
      <c r="P58" s="753"/>
      <c r="Q58" s="753"/>
      <c r="R58" s="753"/>
      <c r="S58" s="754"/>
      <c r="T58" s="104"/>
      <c r="U58" s="103"/>
    </row>
    <row r="59" spans="2:21" s="41" customFormat="1" x14ac:dyDescent="0.45">
      <c r="B59" s="96">
        <f t="shared" si="4"/>
        <v>15</v>
      </c>
      <c r="C59" s="48" t="s">
        <v>156</v>
      </c>
      <c r="D59" s="93" t="s">
        <v>45</v>
      </c>
      <c r="E59" s="93" t="s">
        <v>87</v>
      </c>
      <c r="F59" s="93" t="s">
        <v>139</v>
      </c>
      <c r="G59" s="93"/>
      <c r="H59" s="101"/>
      <c r="I59" s="101"/>
      <c r="J59" s="101"/>
      <c r="K59" s="101"/>
      <c r="L59" s="101"/>
      <c r="M59" s="752" t="s">
        <v>266</v>
      </c>
      <c r="N59" s="753"/>
      <c r="O59" s="753"/>
      <c r="P59" s="753"/>
      <c r="Q59" s="753"/>
      <c r="R59" s="753"/>
      <c r="S59" s="754"/>
      <c r="T59" s="104"/>
      <c r="U59" s="103"/>
    </row>
    <row r="60" spans="2:21" s="41" customFormat="1" x14ac:dyDescent="0.45">
      <c r="B60" s="96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104"/>
      <c r="U60" s="103"/>
    </row>
    <row r="61" spans="2:21" s="41" customFormat="1" x14ac:dyDescent="0.45">
      <c r="B61" s="96">
        <f>B59+1</f>
        <v>16</v>
      </c>
      <c r="C61" s="48" t="s">
        <v>157</v>
      </c>
      <c r="D61" s="93" t="s">
        <v>45</v>
      </c>
      <c r="E61" s="93" t="s">
        <v>158</v>
      </c>
      <c r="F61" s="93" t="s">
        <v>159</v>
      </c>
      <c r="G61" s="93"/>
      <c r="H61" s="101"/>
      <c r="I61" s="101"/>
      <c r="J61" s="101"/>
      <c r="K61" s="101"/>
      <c r="L61" s="101"/>
      <c r="M61" s="752" t="s">
        <v>267</v>
      </c>
      <c r="N61" s="753"/>
      <c r="O61" s="753"/>
      <c r="P61" s="753"/>
      <c r="Q61" s="753"/>
      <c r="R61" s="753"/>
      <c r="S61" s="754"/>
      <c r="T61" s="104" t="s">
        <v>237</v>
      </c>
      <c r="U61" s="103"/>
    </row>
    <row r="62" spans="2:21" s="41" customFormat="1" x14ac:dyDescent="0.45">
      <c r="B62" s="96">
        <f t="shared" si="4"/>
        <v>17</v>
      </c>
      <c r="C62" s="48" t="s">
        <v>160</v>
      </c>
      <c r="D62" s="93" t="s">
        <v>45</v>
      </c>
      <c r="E62" s="93" t="s">
        <v>161</v>
      </c>
      <c r="F62" s="93" t="s">
        <v>159</v>
      </c>
      <c r="G62" s="93"/>
      <c r="H62" s="101"/>
      <c r="I62" s="101"/>
      <c r="J62" s="101"/>
      <c r="K62" s="101"/>
      <c r="L62" s="101"/>
      <c r="M62" s="752" t="s">
        <v>268</v>
      </c>
      <c r="N62" s="753"/>
      <c r="O62" s="753"/>
      <c r="P62" s="753"/>
      <c r="Q62" s="753"/>
      <c r="R62" s="753"/>
      <c r="S62" s="754"/>
      <c r="T62" s="104"/>
      <c r="U62" s="103"/>
    </row>
    <row r="63" spans="2:21" s="41" customFormat="1" x14ac:dyDescent="0.45">
      <c r="B63" s="96">
        <f t="shared" si="4"/>
        <v>18</v>
      </c>
      <c r="C63" s="48" t="s">
        <v>162</v>
      </c>
      <c r="D63" s="93" t="s">
        <v>45</v>
      </c>
      <c r="E63" s="93" t="s">
        <v>163</v>
      </c>
      <c r="F63" s="93" t="s">
        <v>159</v>
      </c>
      <c r="G63" s="93"/>
      <c r="H63" s="101"/>
      <c r="I63" s="101"/>
      <c r="J63" s="101"/>
      <c r="K63" s="101"/>
      <c r="L63" s="101"/>
      <c r="M63" s="752" t="s">
        <v>269</v>
      </c>
      <c r="N63" s="753"/>
      <c r="O63" s="753"/>
      <c r="P63" s="753"/>
      <c r="Q63" s="753"/>
      <c r="R63" s="753"/>
      <c r="S63" s="754"/>
      <c r="T63" s="104"/>
      <c r="U63" s="103"/>
    </row>
    <row r="64" spans="2:21" s="41" customFormat="1" x14ac:dyDescent="0.45">
      <c r="B64" s="96">
        <f t="shared" si="4"/>
        <v>19</v>
      </c>
      <c r="C64" s="48" t="s">
        <v>164</v>
      </c>
      <c r="D64" s="93" t="s">
        <v>45</v>
      </c>
      <c r="E64" s="93" t="s">
        <v>165</v>
      </c>
      <c r="F64" s="93" t="s">
        <v>159</v>
      </c>
      <c r="G64" s="93"/>
      <c r="H64" s="101"/>
      <c r="I64" s="101"/>
      <c r="J64" s="101"/>
      <c r="K64" s="101"/>
      <c r="L64" s="101"/>
      <c r="M64" s="752" t="s">
        <v>270</v>
      </c>
      <c r="N64" s="753"/>
      <c r="O64" s="753"/>
      <c r="P64" s="753"/>
      <c r="Q64" s="753"/>
      <c r="R64" s="753"/>
      <c r="S64" s="754"/>
      <c r="T64" s="104"/>
      <c r="U64" s="103"/>
    </row>
    <row r="65" spans="1:21" s="41" customFormat="1" x14ac:dyDescent="0.45">
      <c r="B65" s="96">
        <f t="shared" si="4"/>
        <v>20</v>
      </c>
      <c r="C65" s="48" t="s">
        <v>166</v>
      </c>
      <c r="D65" s="93" t="s">
        <v>45</v>
      </c>
      <c r="E65" s="93" t="s">
        <v>167</v>
      </c>
      <c r="F65" s="93" t="s">
        <v>159</v>
      </c>
      <c r="G65" s="93"/>
      <c r="H65" s="101"/>
      <c r="I65" s="101"/>
      <c r="J65" s="101"/>
      <c r="K65" s="101"/>
      <c r="L65" s="101"/>
      <c r="M65" s="752" t="s">
        <v>271</v>
      </c>
      <c r="N65" s="753"/>
      <c r="O65" s="753"/>
      <c r="P65" s="753"/>
      <c r="Q65" s="753"/>
      <c r="R65" s="753"/>
      <c r="S65" s="754"/>
      <c r="T65" s="104"/>
      <c r="U65" s="103"/>
    </row>
    <row r="66" spans="1:21" s="41" customFormat="1" x14ac:dyDescent="0.45">
      <c r="B66" s="96">
        <f t="shared" si="4"/>
        <v>21</v>
      </c>
      <c r="C66" s="48" t="s">
        <v>168</v>
      </c>
      <c r="D66" s="93" t="s">
        <v>45</v>
      </c>
      <c r="E66" s="93" t="s">
        <v>169</v>
      </c>
      <c r="F66" s="93" t="s">
        <v>159</v>
      </c>
      <c r="G66" s="93"/>
      <c r="H66" s="101"/>
      <c r="I66" s="101"/>
      <c r="J66" s="101"/>
      <c r="K66" s="101"/>
      <c r="L66" s="101"/>
      <c r="M66" s="752" t="s">
        <v>272</v>
      </c>
      <c r="N66" s="753"/>
      <c r="O66" s="753"/>
      <c r="P66" s="753"/>
      <c r="Q66" s="753"/>
      <c r="R66" s="753"/>
      <c r="S66" s="754"/>
      <c r="T66" s="104"/>
      <c r="U66" s="103"/>
    </row>
    <row r="67" spans="1:21" s="41" customFormat="1" x14ac:dyDescent="0.45">
      <c r="A67" s="41" t="s">
        <v>170</v>
      </c>
      <c r="B67" s="96">
        <f t="shared" si="4"/>
        <v>22</v>
      </c>
      <c r="C67" s="48" t="s">
        <v>171</v>
      </c>
      <c r="D67" s="93" t="s">
        <v>45</v>
      </c>
      <c r="E67" s="93" t="s">
        <v>172</v>
      </c>
      <c r="F67" s="93" t="s">
        <v>159</v>
      </c>
      <c r="G67" s="93"/>
      <c r="H67" s="101"/>
      <c r="I67" s="101"/>
      <c r="J67" s="101"/>
      <c r="K67" s="101"/>
      <c r="L67" s="101"/>
      <c r="M67" s="752" t="s">
        <v>273</v>
      </c>
      <c r="N67" s="753"/>
      <c r="O67" s="753"/>
      <c r="P67" s="753"/>
      <c r="Q67" s="753"/>
      <c r="R67" s="753"/>
      <c r="S67" s="754"/>
      <c r="T67" s="104"/>
      <c r="U67" s="103"/>
    </row>
    <row r="68" spans="1:21" s="41" customFormat="1" x14ac:dyDescent="0.45">
      <c r="B68" s="96">
        <f t="shared" si="4"/>
        <v>23</v>
      </c>
      <c r="C68" s="48" t="s">
        <v>173</v>
      </c>
      <c r="D68" s="93" t="s">
        <v>45</v>
      </c>
      <c r="E68" s="93" t="s">
        <v>174</v>
      </c>
      <c r="F68" s="93" t="s">
        <v>159</v>
      </c>
      <c r="G68" s="93"/>
      <c r="H68" s="101"/>
      <c r="I68" s="101"/>
      <c r="J68" s="101"/>
      <c r="K68" s="101"/>
      <c r="L68" s="101"/>
      <c r="M68" s="752" t="s">
        <v>274</v>
      </c>
      <c r="N68" s="753"/>
      <c r="O68" s="753"/>
      <c r="P68" s="753"/>
      <c r="Q68" s="753"/>
      <c r="R68" s="753"/>
      <c r="S68" s="754"/>
      <c r="T68" s="104"/>
      <c r="U68" s="103"/>
    </row>
    <row r="69" spans="1:21" s="41" customFormat="1" x14ac:dyDescent="0.45">
      <c r="B69" s="96">
        <f t="shared" si="4"/>
        <v>24</v>
      </c>
      <c r="C69" s="48" t="s">
        <v>175</v>
      </c>
      <c r="D69" s="93" t="s">
        <v>45</v>
      </c>
      <c r="E69" s="93" t="s">
        <v>176</v>
      </c>
      <c r="F69" s="93" t="s">
        <v>159</v>
      </c>
      <c r="G69" s="93"/>
      <c r="H69" s="101"/>
      <c r="I69" s="101"/>
      <c r="J69" s="101"/>
      <c r="K69" s="101"/>
      <c r="L69" s="101"/>
      <c r="M69" s="752" t="s">
        <v>275</v>
      </c>
      <c r="N69" s="753"/>
      <c r="O69" s="753"/>
      <c r="P69" s="753"/>
      <c r="Q69" s="753"/>
      <c r="R69" s="753"/>
      <c r="S69" s="754"/>
      <c r="T69" s="104"/>
      <c r="U69" s="103"/>
    </row>
    <row r="70" spans="1:21" s="41" customFormat="1" x14ac:dyDescent="0.45">
      <c r="B70" s="96">
        <f t="shared" si="4"/>
        <v>25</v>
      </c>
      <c r="C70" s="48" t="s">
        <v>177</v>
      </c>
      <c r="D70" s="93" t="s">
        <v>45</v>
      </c>
      <c r="E70" s="93" t="s">
        <v>178</v>
      </c>
      <c r="F70" s="93" t="s">
        <v>159</v>
      </c>
      <c r="G70" s="93"/>
      <c r="H70" s="101"/>
      <c r="I70" s="101"/>
      <c r="J70" s="101"/>
      <c r="K70" s="101"/>
      <c r="L70" s="101"/>
      <c r="M70" s="752" t="s">
        <v>276</v>
      </c>
      <c r="N70" s="753"/>
      <c r="O70" s="753"/>
      <c r="P70" s="753"/>
      <c r="Q70" s="753"/>
      <c r="R70" s="753"/>
      <c r="S70" s="754"/>
      <c r="T70" s="104"/>
      <c r="U70" s="103"/>
    </row>
    <row r="71" spans="1:21" x14ac:dyDescent="0.45">
      <c r="B71" s="96">
        <f t="shared" si="4"/>
        <v>26</v>
      </c>
      <c r="C71" s="48" t="s">
        <v>179</v>
      </c>
      <c r="D71" s="93" t="s">
        <v>45</v>
      </c>
      <c r="E71" s="93" t="s">
        <v>180</v>
      </c>
      <c r="F71" s="93" t="s">
        <v>139</v>
      </c>
      <c r="H71" s="101"/>
      <c r="I71" s="101"/>
      <c r="J71" s="101"/>
      <c r="K71" s="101"/>
      <c r="L71" s="101"/>
      <c r="M71" s="752" t="s">
        <v>277</v>
      </c>
      <c r="N71" s="753"/>
      <c r="O71" s="753"/>
      <c r="P71" s="753"/>
      <c r="Q71" s="753"/>
      <c r="R71" s="753"/>
      <c r="S71" s="754"/>
      <c r="T71" s="104"/>
      <c r="U71" s="103"/>
    </row>
    <row r="72" spans="1:21" x14ac:dyDescent="0.45">
      <c r="B72" s="96">
        <f t="shared" si="4"/>
        <v>27</v>
      </c>
      <c r="C72" s="48" t="s">
        <v>181</v>
      </c>
      <c r="D72" s="93" t="s">
        <v>45</v>
      </c>
      <c r="E72" s="93" t="s">
        <v>106</v>
      </c>
      <c r="F72" s="93" t="s">
        <v>139</v>
      </c>
      <c r="H72" s="101"/>
      <c r="I72" s="101"/>
      <c r="J72" s="101"/>
      <c r="K72" s="101"/>
      <c r="L72" s="101"/>
      <c r="M72" s="752" t="s">
        <v>278</v>
      </c>
      <c r="N72" s="753"/>
      <c r="O72" s="753"/>
      <c r="P72" s="753"/>
      <c r="Q72" s="753"/>
      <c r="R72" s="753"/>
      <c r="S72" s="754"/>
      <c r="T72" s="104"/>
      <c r="U72" s="103"/>
    </row>
    <row r="73" spans="1:21" x14ac:dyDescent="0.45">
      <c r="U73" s="103"/>
    </row>
    <row r="81" spans="1:21" s="93" customFormat="1" x14ac:dyDescent="0.45">
      <c r="A81" s="43"/>
      <c r="B81" s="43"/>
      <c r="C81" s="48"/>
      <c r="H81" s="111"/>
      <c r="T81" s="94"/>
      <c r="U81" s="95"/>
    </row>
    <row r="83" spans="1:21" s="93" customFormat="1" x14ac:dyDescent="0.45">
      <c r="A83" s="43"/>
      <c r="B83" s="43"/>
      <c r="H83" s="111"/>
      <c r="T83" s="94"/>
      <c r="U83" s="95"/>
    </row>
    <row r="84" spans="1:21" x14ac:dyDescent="0.45">
      <c r="C84" s="93"/>
    </row>
    <row r="85" spans="1:21" x14ac:dyDescent="0.45">
      <c r="C85" s="93"/>
    </row>
  </sheetData>
  <mergeCells count="78">
    <mergeCell ref="M35:S35"/>
    <mergeCell ref="L4:M4"/>
    <mergeCell ref="J38:K38"/>
    <mergeCell ref="M28:S28"/>
    <mergeCell ref="R32:S32"/>
    <mergeCell ref="N4:P4"/>
    <mergeCell ref="Q9:S9"/>
    <mergeCell ref="L30:S30"/>
    <mergeCell ref="H15:S15"/>
    <mergeCell ref="N13:O13"/>
    <mergeCell ref="P13:Q13"/>
    <mergeCell ref="R13:S13"/>
    <mergeCell ref="H16:S16"/>
    <mergeCell ref="H17:S17"/>
    <mergeCell ref="H27:M27"/>
    <mergeCell ref="N27:S27"/>
    <mergeCell ref="O3:S3"/>
    <mergeCell ref="H4:K4"/>
    <mergeCell ref="M5:S5"/>
    <mergeCell ref="H14:S14"/>
    <mergeCell ref="H12:I12"/>
    <mergeCell ref="J12:K12"/>
    <mergeCell ref="L12:M12"/>
    <mergeCell ref="N12:O12"/>
    <mergeCell ref="P12:Q12"/>
    <mergeCell ref="H11:S11"/>
    <mergeCell ref="I9:K9"/>
    <mergeCell ref="R12:S12"/>
    <mergeCell ref="H13:I13"/>
    <mergeCell ref="J13:K13"/>
    <mergeCell ref="L13:M13"/>
    <mergeCell ref="M9:O9"/>
    <mergeCell ref="H25:S25"/>
    <mergeCell ref="H18:S18"/>
    <mergeCell ref="H19:S19"/>
    <mergeCell ref="H20:S20"/>
    <mergeCell ref="H21:S21"/>
    <mergeCell ref="H22:S22"/>
    <mergeCell ref="H23:S23"/>
    <mergeCell ref="H24:S24"/>
    <mergeCell ref="H32:K32"/>
    <mergeCell ref="H29:S29"/>
    <mergeCell ref="M61:S61"/>
    <mergeCell ref="M49:S49"/>
    <mergeCell ref="P39:S39"/>
    <mergeCell ref="H40:S40"/>
    <mergeCell ref="P41:S41"/>
    <mergeCell ref="H43:S43"/>
    <mergeCell ref="L45:S45"/>
    <mergeCell ref="M48:S48"/>
    <mergeCell ref="N47:S47"/>
    <mergeCell ref="N46:S46"/>
    <mergeCell ref="H33:S33"/>
    <mergeCell ref="P34:S34"/>
    <mergeCell ref="J30:K30"/>
    <mergeCell ref="N32:O32"/>
    <mergeCell ref="M70:S70"/>
    <mergeCell ref="M71:S71"/>
    <mergeCell ref="M72:S72"/>
    <mergeCell ref="M63:S63"/>
    <mergeCell ref="M64:S64"/>
    <mergeCell ref="M65:S65"/>
    <mergeCell ref="M66:S66"/>
    <mergeCell ref="M67:S67"/>
    <mergeCell ref="M68:S68"/>
    <mergeCell ref="M69:S69"/>
    <mergeCell ref="H36:S36"/>
    <mergeCell ref="M62:S62"/>
    <mergeCell ref="M50:S50"/>
    <mergeCell ref="M51:S51"/>
    <mergeCell ref="M52:S52"/>
    <mergeCell ref="M53:S53"/>
    <mergeCell ref="M54:S54"/>
    <mergeCell ref="M55:S55"/>
    <mergeCell ref="M56:S56"/>
    <mergeCell ref="M57:S57"/>
    <mergeCell ref="M58:S58"/>
    <mergeCell ref="M59:S59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BF31-E9C1-4808-9CA8-DBF1BC287DC0}">
  <sheetPr>
    <tabColor theme="7" tint="0.79998168889431442"/>
  </sheetPr>
  <dimension ref="G7:L20"/>
  <sheetViews>
    <sheetView workbookViewId="0">
      <selection activeCell="E5" sqref="E5"/>
    </sheetView>
  </sheetViews>
  <sheetFormatPr defaultRowHeight="17" x14ac:dyDescent="0.45"/>
  <sheetData>
    <row r="7" spans="7:12" x14ac:dyDescent="0.45">
      <c r="H7">
        <v>40</v>
      </c>
      <c r="I7" t="s">
        <v>0</v>
      </c>
    </row>
    <row r="8" spans="7:12" x14ac:dyDescent="0.45">
      <c r="H8">
        <f>1/H7</f>
        <v>2.5000000000000001E-2</v>
      </c>
      <c r="I8" t="s">
        <v>1</v>
      </c>
    </row>
    <row r="9" spans="7:12" x14ac:dyDescent="0.45">
      <c r="G9">
        <v>24</v>
      </c>
      <c r="H9">
        <f>$H$8*G9</f>
        <v>0.60000000000000009</v>
      </c>
      <c r="I9" t="s">
        <v>1</v>
      </c>
    </row>
    <row r="10" spans="7:12" x14ac:dyDescent="0.45">
      <c r="G10">
        <v>48</v>
      </c>
      <c r="H10">
        <f>$H$8*G10</f>
        <v>1.2000000000000002</v>
      </c>
      <c r="I10" t="s">
        <v>1</v>
      </c>
    </row>
    <row r="11" spans="7:12" x14ac:dyDescent="0.45">
      <c r="H11">
        <f>H9+H10</f>
        <v>1.8000000000000003</v>
      </c>
      <c r="I11" t="s">
        <v>1</v>
      </c>
      <c r="K11">
        <f>21*H11</f>
        <v>37.800000000000004</v>
      </c>
      <c r="L11">
        <f>H11*21*6</f>
        <v>226.8</v>
      </c>
    </row>
    <row r="12" spans="7:12" x14ac:dyDescent="0.45">
      <c r="H12">
        <f>1/H11*1000</f>
        <v>555.55555555555543</v>
      </c>
      <c r="I12" t="s">
        <v>1609</v>
      </c>
    </row>
    <row r="13" spans="7:12" x14ac:dyDescent="0.45">
      <c r="G13">
        <v>96</v>
      </c>
      <c r="H13">
        <f>H8*G13</f>
        <v>2.4000000000000004</v>
      </c>
      <c r="I13" t="s">
        <v>1</v>
      </c>
    </row>
    <row r="15" spans="7:12" x14ac:dyDescent="0.45">
      <c r="H15">
        <v>10</v>
      </c>
      <c r="I15" t="s">
        <v>0</v>
      </c>
    </row>
    <row r="16" spans="7:12" x14ac:dyDescent="0.45">
      <c r="H16">
        <f>1/H15</f>
        <v>0.1</v>
      </c>
      <c r="I16" t="s">
        <v>1</v>
      </c>
    </row>
    <row r="17" spans="7:9" x14ac:dyDescent="0.45">
      <c r="G17">
        <v>7</v>
      </c>
      <c r="H17">
        <f>$H$16*G17</f>
        <v>0.70000000000000007</v>
      </c>
      <c r="I17" t="s">
        <v>1</v>
      </c>
    </row>
    <row r="18" spans="7:9" x14ac:dyDescent="0.45">
      <c r="G18">
        <v>15</v>
      </c>
      <c r="H18">
        <f>$H$16*G18</f>
        <v>1.5</v>
      </c>
      <c r="I18" t="s">
        <v>1</v>
      </c>
    </row>
    <row r="19" spans="7:9" x14ac:dyDescent="0.45">
      <c r="H19">
        <f>H17+H18</f>
        <v>2.2000000000000002</v>
      </c>
      <c r="I19" t="s">
        <v>1</v>
      </c>
    </row>
    <row r="20" spans="7:9" x14ac:dyDescent="0.45">
      <c r="H20">
        <f>1/H19*1000</f>
        <v>454.5454545454545</v>
      </c>
      <c r="I20" t="s">
        <v>1609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9811-520E-469C-B849-2FE77C2E7A80}">
  <sheetPr>
    <tabColor theme="7" tint="0.79998168889431442"/>
  </sheetPr>
  <dimension ref="A1:V61"/>
  <sheetViews>
    <sheetView showGridLines="0" topLeftCell="A10" zoomScaleNormal="100" workbookViewId="0">
      <selection activeCell="L20" sqref="L20"/>
    </sheetView>
  </sheetViews>
  <sheetFormatPr defaultColWidth="8.58203125" defaultRowHeight="17" x14ac:dyDescent="0.45"/>
  <cols>
    <col min="1" max="1" width="8.58203125" style="43" customWidth="1"/>
    <col min="2" max="2" width="3.1640625" style="43" bestFit="1" customWidth="1"/>
    <col min="3" max="3" width="18.1640625" style="48" bestFit="1" customWidth="1"/>
    <col min="4" max="4" width="6.33203125" style="93" bestFit="1" customWidth="1"/>
    <col min="5" max="5" width="7.58203125" style="93" bestFit="1" customWidth="1"/>
    <col min="6" max="6" width="6.83203125" style="93" bestFit="1" customWidth="1"/>
    <col min="7" max="7" width="1.58203125" style="93" customWidth="1"/>
    <col min="8" max="8" width="13.1640625" style="93" bestFit="1" customWidth="1"/>
    <col min="9" max="9" width="13.58203125" style="93" bestFit="1" customWidth="1"/>
    <col min="10" max="10" width="8.6640625" style="93" bestFit="1" customWidth="1"/>
    <col min="11" max="11" width="13.6640625" style="93" bestFit="1" customWidth="1"/>
    <col min="12" max="12" width="14.5" style="93" bestFit="1" customWidth="1"/>
    <col min="13" max="13" width="14.1640625" style="93" bestFit="1" customWidth="1"/>
    <col min="14" max="14" width="10.5" style="93" bestFit="1" customWidth="1"/>
    <col min="15" max="15" width="9" style="93" bestFit="1" customWidth="1"/>
    <col min="16" max="16" width="9.1640625" style="93" bestFit="1" customWidth="1"/>
    <col min="17" max="17" width="10.6640625" style="93" bestFit="1" customWidth="1"/>
    <col min="18" max="18" width="9.58203125" style="93" bestFit="1" customWidth="1"/>
    <col min="19" max="19" width="9.6640625" style="93" bestFit="1" customWidth="1"/>
    <col min="20" max="20" width="88.6640625" style="94" bestFit="1" customWidth="1"/>
    <col min="21" max="21" width="66.83203125" style="95" bestFit="1" customWidth="1"/>
    <col min="22" max="22" width="66.83203125" style="43" bestFit="1" customWidth="1"/>
    <col min="23" max="16384" width="8.58203125" style="43"/>
  </cols>
  <sheetData>
    <row r="1" spans="2:22" x14ac:dyDescent="0.45">
      <c r="D1" s="48"/>
      <c r="E1" s="48"/>
      <c r="F1" s="48"/>
    </row>
    <row r="2" spans="2:22" x14ac:dyDescent="0.45">
      <c r="B2" s="96"/>
      <c r="C2" s="97" t="s">
        <v>27</v>
      </c>
      <c r="D2" s="98" t="s">
        <v>28</v>
      </c>
      <c r="E2" s="98" t="s">
        <v>29</v>
      </c>
      <c r="F2" s="98" t="s">
        <v>30</v>
      </c>
      <c r="G2" s="98"/>
      <c r="H2" s="98" t="s">
        <v>31</v>
      </c>
      <c r="I2" s="98" t="s">
        <v>32</v>
      </c>
      <c r="J2" s="98" t="s">
        <v>33</v>
      </c>
      <c r="K2" s="98" t="s">
        <v>34</v>
      </c>
      <c r="L2" s="98" t="s">
        <v>35</v>
      </c>
      <c r="M2" s="98" t="s">
        <v>36</v>
      </c>
      <c r="N2" s="98" t="s">
        <v>37</v>
      </c>
      <c r="O2" s="98" t="s">
        <v>38</v>
      </c>
      <c r="P2" s="98" t="s">
        <v>39</v>
      </c>
      <c r="Q2" s="98" t="s">
        <v>40</v>
      </c>
      <c r="R2" s="98" t="s">
        <v>41</v>
      </c>
      <c r="S2" s="98" t="s">
        <v>42</v>
      </c>
      <c r="T2" s="99" t="s">
        <v>43</v>
      </c>
      <c r="U2" s="99" t="s">
        <v>44</v>
      </c>
    </row>
    <row r="3" spans="2:22" ht="34" x14ac:dyDescent="0.45">
      <c r="B3" s="96">
        <v>1</v>
      </c>
      <c r="C3" s="48" t="s">
        <v>1051</v>
      </c>
      <c r="D3" s="93" t="s">
        <v>45</v>
      </c>
      <c r="E3" s="93" t="s">
        <v>46</v>
      </c>
      <c r="F3" s="93" t="s">
        <v>47</v>
      </c>
      <c r="H3" s="100" t="s">
        <v>182</v>
      </c>
      <c r="I3" s="101"/>
      <c r="J3" s="101"/>
      <c r="K3" s="101"/>
      <c r="L3" s="101"/>
      <c r="M3" s="101"/>
      <c r="N3" s="101"/>
      <c r="O3" s="755" t="s">
        <v>48</v>
      </c>
      <c r="P3" s="756"/>
      <c r="Q3" s="756"/>
      <c r="R3" s="756"/>
      <c r="S3" s="757"/>
      <c r="T3" s="102" t="s">
        <v>185</v>
      </c>
      <c r="U3" s="103"/>
    </row>
    <row r="4" spans="2:22" ht="119" x14ac:dyDescent="0.45">
      <c r="B4" s="96">
        <f>B3+1</f>
        <v>2</v>
      </c>
      <c r="C4" s="48" t="s">
        <v>1050</v>
      </c>
      <c r="D4" s="93" t="s">
        <v>45</v>
      </c>
      <c r="E4" s="93" t="s">
        <v>49</v>
      </c>
      <c r="F4" s="93" t="s">
        <v>47</v>
      </c>
      <c r="H4" s="740" t="s">
        <v>53</v>
      </c>
      <c r="I4" s="741"/>
      <c r="J4" s="741"/>
      <c r="K4" s="742"/>
      <c r="L4" s="764" t="s">
        <v>1159</v>
      </c>
      <c r="M4" s="765"/>
      <c r="N4" s="766" t="s">
        <v>228</v>
      </c>
      <c r="O4" s="767"/>
      <c r="P4" s="768"/>
      <c r="Q4" s="272" t="s">
        <v>184</v>
      </c>
      <c r="R4" s="272" t="s">
        <v>183</v>
      </c>
      <c r="S4" s="272" t="s">
        <v>50</v>
      </c>
      <c r="T4" s="102" t="s">
        <v>1545</v>
      </c>
      <c r="U4" s="102" t="s">
        <v>252</v>
      </c>
    </row>
    <row r="5" spans="2:22" x14ac:dyDescent="0.45">
      <c r="B5" s="96">
        <f t="shared" ref="B5:B17" si="0">B4+1</f>
        <v>3</v>
      </c>
      <c r="C5" s="48" t="s">
        <v>189</v>
      </c>
      <c r="D5" s="93" t="s">
        <v>45</v>
      </c>
      <c r="E5" s="93" t="s">
        <v>141</v>
      </c>
      <c r="F5" s="93" t="s">
        <v>47</v>
      </c>
      <c r="H5" s="101"/>
      <c r="I5" s="101"/>
      <c r="J5" s="101"/>
      <c r="K5" s="101"/>
      <c r="L5" s="101"/>
      <c r="M5" s="740" t="s">
        <v>190</v>
      </c>
      <c r="N5" s="741"/>
      <c r="O5" s="741"/>
      <c r="P5" s="741"/>
      <c r="Q5" s="741"/>
      <c r="R5" s="741"/>
      <c r="S5" s="742"/>
      <c r="T5" s="114" t="s">
        <v>1033</v>
      </c>
      <c r="U5" s="102" t="s">
        <v>188</v>
      </c>
    </row>
    <row r="6" spans="2:22" x14ac:dyDescent="0.45">
      <c r="B6" s="96">
        <f t="shared" si="0"/>
        <v>4</v>
      </c>
      <c r="C6" s="48" t="s">
        <v>59</v>
      </c>
      <c r="D6" s="93" t="s">
        <v>45</v>
      </c>
      <c r="E6" s="93" t="s">
        <v>51</v>
      </c>
      <c r="F6" s="93" t="s">
        <v>47</v>
      </c>
      <c r="H6" s="101"/>
      <c r="I6" s="101"/>
      <c r="J6" s="101"/>
      <c r="K6" s="101"/>
      <c r="L6" s="101"/>
      <c r="M6" s="101"/>
      <c r="N6" s="101"/>
      <c r="O6" s="101"/>
      <c r="P6" s="105" t="s">
        <v>69</v>
      </c>
      <c r="Q6" s="105" t="s">
        <v>70</v>
      </c>
      <c r="R6" s="105" t="s">
        <v>71</v>
      </c>
      <c r="S6" s="105" t="s">
        <v>72</v>
      </c>
      <c r="T6" s="106"/>
      <c r="U6" s="103"/>
    </row>
    <row r="7" spans="2:22" x14ac:dyDescent="0.45">
      <c r="B7" s="96"/>
      <c r="C7" s="48" t="s">
        <v>217</v>
      </c>
      <c r="E7" s="93" t="s">
        <v>52</v>
      </c>
      <c r="T7" s="93"/>
      <c r="U7" s="93"/>
    </row>
    <row r="8" spans="2:22" ht="102" x14ac:dyDescent="0.45">
      <c r="B8" s="96">
        <f>B6+1</f>
        <v>5</v>
      </c>
      <c r="C8" s="48" t="s">
        <v>73</v>
      </c>
      <c r="D8" s="93" t="s">
        <v>74</v>
      </c>
      <c r="E8" s="93" t="s">
        <v>145</v>
      </c>
      <c r="F8" s="93" t="s">
        <v>55</v>
      </c>
      <c r="H8" s="100" t="s">
        <v>226</v>
      </c>
      <c r="I8" s="101"/>
      <c r="J8" s="174" t="s">
        <v>1583</v>
      </c>
      <c r="K8" s="174" t="s">
        <v>1584</v>
      </c>
      <c r="L8" s="101"/>
      <c r="M8" s="101"/>
      <c r="N8" s="101"/>
      <c r="O8" s="101"/>
      <c r="P8" s="105" t="s">
        <v>76</v>
      </c>
      <c r="Q8" s="100" t="s">
        <v>77</v>
      </c>
      <c r="R8" s="100" t="s">
        <v>78</v>
      </c>
      <c r="S8" s="105" t="s">
        <v>19</v>
      </c>
      <c r="T8" s="106" t="s">
        <v>1043</v>
      </c>
      <c r="U8" s="107" t="s">
        <v>279</v>
      </c>
    </row>
    <row r="9" spans="2:22" x14ac:dyDescent="0.45">
      <c r="B9" s="96">
        <f t="shared" si="0"/>
        <v>6</v>
      </c>
      <c r="C9" s="48" t="s">
        <v>79</v>
      </c>
      <c r="D9" s="93" t="s">
        <v>45</v>
      </c>
      <c r="E9" s="93" t="s">
        <v>54</v>
      </c>
      <c r="F9" s="93" t="s">
        <v>55</v>
      </c>
      <c r="H9" s="101"/>
      <c r="I9" s="758" t="s">
        <v>81</v>
      </c>
      <c r="J9" s="759"/>
      <c r="K9" s="760"/>
      <c r="L9" s="101"/>
      <c r="M9" s="758" t="s">
        <v>82</v>
      </c>
      <c r="N9" s="761"/>
      <c r="O9" s="762"/>
      <c r="P9" s="108"/>
      <c r="Q9" s="769" t="s">
        <v>83</v>
      </c>
      <c r="R9" s="770"/>
      <c r="S9" s="771"/>
      <c r="T9" s="102"/>
      <c r="U9" s="103"/>
    </row>
    <row r="10" spans="2:22" ht="187" x14ac:dyDescent="0.45">
      <c r="B10" s="96">
        <f t="shared" si="0"/>
        <v>7</v>
      </c>
      <c r="C10" s="48" t="s">
        <v>229</v>
      </c>
      <c r="D10" s="93" t="s">
        <v>45</v>
      </c>
      <c r="E10" s="93" t="s">
        <v>148</v>
      </c>
      <c r="F10" s="93" t="s">
        <v>85</v>
      </c>
      <c r="H10" s="100" t="s">
        <v>235</v>
      </c>
      <c r="I10" s="174" t="s">
        <v>1585</v>
      </c>
      <c r="J10" s="101"/>
      <c r="K10" s="100" t="s">
        <v>225</v>
      </c>
      <c r="L10" s="550" t="s">
        <v>227</v>
      </c>
      <c r="M10" s="100" t="s">
        <v>230</v>
      </c>
      <c r="N10" s="100" t="s">
        <v>234</v>
      </c>
      <c r="O10" s="100" t="s">
        <v>1044</v>
      </c>
      <c r="P10" s="100" t="s">
        <v>474</v>
      </c>
      <c r="Q10" s="105" t="s">
        <v>233</v>
      </c>
      <c r="R10" s="105" t="s">
        <v>232</v>
      </c>
      <c r="S10" s="100" t="s">
        <v>231</v>
      </c>
      <c r="T10" s="102" t="s">
        <v>1048</v>
      </c>
      <c r="U10" s="115" t="s">
        <v>1045</v>
      </c>
      <c r="V10" s="115" t="s">
        <v>1146</v>
      </c>
    </row>
    <row r="11" spans="2:22" x14ac:dyDescent="0.45">
      <c r="B11" s="96">
        <f t="shared" si="0"/>
        <v>8</v>
      </c>
      <c r="C11" s="48" t="s">
        <v>56</v>
      </c>
      <c r="D11" s="93" t="s">
        <v>45</v>
      </c>
      <c r="E11" s="93" t="s">
        <v>57</v>
      </c>
      <c r="F11" s="93" t="s">
        <v>55</v>
      </c>
      <c r="H11" s="755" t="s">
        <v>58</v>
      </c>
      <c r="I11" s="756"/>
      <c r="J11" s="756"/>
      <c r="K11" s="756"/>
      <c r="L11" s="756"/>
      <c r="M11" s="756"/>
      <c r="N11" s="756"/>
      <c r="O11" s="756"/>
      <c r="P11" s="756"/>
      <c r="Q11" s="756"/>
      <c r="R11" s="756"/>
      <c r="S11" s="757"/>
      <c r="T11" s="102"/>
      <c r="U11" s="102" t="s">
        <v>188</v>
      </c>
    </row>
    <row r="12" spans="2:22" x14ac:dyDescent="0.45">
      <c r="B12" s="96">
        <f t="shared" si="0"/>
        <v>9</v>
      </c>
      <c r="C12" s="48" t="s">
        <v>218</v>
      </c>
      <c r="D12" s="93" t="s">
        <v>45</v>
      </c>
      <c r="E12" s="93" t="s">
        <v>60</v>
      </c>
      <c r="F12" s="93" t="s">
        <v>55</v>
      </c>
      <c r="H12" s="772"/>
      <c r="I12" s="773"/>
      <c r="J12" s="772"/>
      <c r="K12" s="773"/>
      <c r="L12" s="740" t="s">
        <v>208</v>
      </c>
      <c r="M12" s="742"/>
      <c r="N12" s="740" t="s">
        <v>207</v>
      </c>
      <c r="O12" s="742"/>
      <c r="P12" s="740" t="s">
        <v>206</v>
      </c>
      <c r="Q12" s="742"/>
      <c r="R12" s="740" t="s">
        <v>205</v>
      </c>
      <c r="S12" s="742"/>
      <c r="T12" s="104" t="s">
        <v>192</v>
      </c>
      <c r="U12" s="103"/>
    </row>
    <row r="13" spans="2:22" x14ac:dyDescent="0.45">
      <c r="B13" s="96">
        <f t="shared" si="0"/>
        <v>10</v>
      </c>
      <c r="H13" s="772"/>
      <c r="I13" s="773"/>
      <c r="J13" s="772"/>
      <c r="K13" s="773"/>
      <c r="L13" s="772"/>
      <c r="M13" s="773"/>
      <c r="N13" s="772"/>
      <c r="O13" s="773"/>
      <c r="P13" s="772"/>
      <c r="Q13" s="773"/>
      <c r="R13" s="772"/>
      <c r="S13" s="773"/>
      <c r="T13" s="102"/>
      <c r="U13" s="103"/>
    </row>
    <row r="14" spans="2:22" x14ac:dyDescent="0.45">
      <c r="B14" s="96">
        <f t="shared" si="0"/>
        <v>11</v>
      </c>
      <c r="C14" s="48" t="s">
        <v>86</v>
      </c>
      <c r="D14" s="93" t="s">
        <v>45</v>
      </c>
      <c r="E14" s="93" t="s">
        <v>75</v>
      </c>
      <c r="F14" s="93" t="s">
        <v>55</v>
      </c>
      <c r="H14" s="740" t="s">
        <v>193</v>
      </c>
      <c r="I14" s="741"/>
      <c r="J14" s="741"/>
      <c r="K14" s="741"/>
      <c r="L14" s="741"/>
      <c r="M14" s="741"/>
      <c r="N14" s="741"/>
      <c r="O14" s="741"/>
      <c r="P14" s="741"/>
      <c r="Q14" s="741"/>
      <c r="R14" s="741"/>
      <c r="S14" s="742"/>
      <c r="T14" s="104"/>
      <c r="U14" s="103"/>
    </row>
    <row r="15" spans="2:22" x14ac:dyDescent="0.45">
      <c r="B15" s="96">
        <f t="shared" si="0"/>
        <v>12</v>
      </c>
      <c r="C15" s="48" t="s">
        <v>88</v>
      </c>
      <c r="D15" s="93" t="s">
        <v>45</v>
      </c>
      <c r="E15" s="93" t="s">
        <v>80</v>
      </c>
      <c r="F15" s="93" t="s">
        <v>55</v>
      </c>
      <c r="H15" s="740" t="s">
        <v>194</v>
      </c>
      <c r="I15" s="741"/>
      <c r="J15" s="741"/>
      <c r="K15" s="741"/>
      <c r="L15" s="741"/>
      <c r="M15" s="741"/>
      <c r="N15" s="741"/>
      <c r="O15" s="741"/>
      <c r="P15" s="741"/>
      <c r="Q15" s="741"/>
      <c r="R15" s="741"/>
      <c r="S15" s="742"/>
      <c r="T15" s="104"/>
      <c r="U15" s="103"/>
    </row>
    <row r="16" spans="2:22" x14ac:dyDescent="0.45">
      <c r="B16" s="96">
        <f t="shared" si="0"/>
        <v>13</v>
      </c>
      <c r="C16" s="48" t="s">
        <v>90</v>
      </c>
      <c r="D16" s="93" t="s">
        <v>45</v>
      </c>
      <c r="E16" s="93" t="s">
        <v>84</v>
      </c>
      <c r="F16" s="93" t="s">
        <v>55</v>
      </c>
      <c r="H16" s="740" t="s">
        <v>195</v>
      </c>
      <c r="I16" s="741"/>
      <c r="J16" s="741"/>
      <c r="K16" s="741"/>
      <c r="L16" s="741"/>
      <c r="M16" s="741"/>
      <c r="N16" s="741"/>
      <c r="O16" s="741"/>
      <c r="P16" s="741"/>
      <c r="Q16" s="741"/>
      <c r="R16" s="741"/>
      <c r="S16" s="742"/>
      <c r="T16" s="104"/>
      <c r="U16" s="103"/>
    </row>
    <row r="17" spans="2:21" x14ac:dyDescent="0.45">
      <c r="B17" s="96">
        <f t="shared" si="0"/>
        <v>14</v>
      </c>
      <c r="C17" s="48" t="s">
        <v>92</v>
      </c>
      <c r="D17" s="93" t="s">
        <v>45</v>
      </c>
      <c r="E17" s="93" t="s">
        <v>87</v>
      </c>
      <c r="F17" s="93" t="s">
        <v>55</v>
      </c>
      <c r="H17" s="740" t="s">
        <v>196</v>
      </c>
      <c r="I17" s="741"/>
      <c r="J17" s="741"/>
      <c r="K17" s="741"/>
      <c r="L17" s="741"/>
      <c r="M17" s="741"/>
      <c r="N17" s="741"/>
      <c r="O17" s="741"/>
      <c r="P17" s="741"/>
      <c r="Q17" s="741"/>
      <c r="R17" s="741"/>
      <c r="S17" s="742"/>
      <c r="T17" s="104"/>
      <c r="U17" s="103"/>
    </row>
    <row r="18" spans="2:21" x14ac:dyDescent="0.45">
      <c r="B18" s="96"/>
      <c r="C18" s="48" t="s">
        <v>217</v>
      </c>
      <c r="E18" s="93" t="s">
        <v>221</v>
      </c>
      <c r="T18" s="41"/>
      <c r="U18" s="93"/>
    </row>
    <row r="19" spans="2:21" x14ac:dyDescent="0.45">
      <c r="B19" s="96">
        <f>B17+1</f>
        <v>15</v>
      </c>
      <c r="C19" s="48" t="s">
        <v>224</v>
      </c>
      <c r="D19" s="93" t="s">
        <v>45</v>
      </c>
      <c r="E19" s="93" t="s">
        <v>180</v>
      </c>
      <c r="F19" s="93" t="s">
        <v>1039</v>
      </c>
      <c r="H19" s="740" t="s">
        <v>1041</v>
      </c>
      <c r="I19" s="741"/>
      <c r="J19" s="741"/>
      <c r="K19" s="741"/>
      <c r="L19" s="741"/>
      <c r="M19" s="742"/>
      <c r="N19" s="740" t="s">
        <v>1042</v>
      </c>
      <c r="O19" s="741"/>
      <c r="P19" s="741"/>
      <c r="Q19" s="741"/>
      <c r="R19" s="741"/>
      <c r="S19" s="742"/>
      <c r="T19" s="102" t="s">
        <v>1038</v>
      </c>
      <c r="U19" s="103"/>
    </row>
    <row r="20" spans="2:21" ht="34" x14ac:dyDescent="0.45">
      <c r="B20" s="96">
        <f>B19+1</f>
        <v>16</v>
      </c>
      <c r="C20" s="48" t="s">
        <v>473</v>
      </c>
      <c r="D20" s="93" t="s">
        <v>45</v>
      </c>
      <c r="E20" s="93" t="s">
        <v>477</v>
      </c>
      <c r="F20" s="269" t="s">
        <v>1144</v>
      </c>
      <c r="H20" s="101"/>
      <c r="I20" s="101"/>
      <c r="J20" s="101"/>
      <c r="K20" s="101"/>
      <c r="L20" s="174" t="s">
        <v>1608</v>
      </c>
      <c r="M20" s="740" t="s">
        <v>1153</v>
      </c>
      <c r="N20" s="741"/>
      <c r="O20" s="741"/>
      <c r="P20" s="741"/>
      <c r="Q20" s="741"/>
      <c r="R20" s="741"/>
      <c r="S20" s="742"/>
      <c r="T20" s="115" t="s">
        <v>1046</v>
      </c>
      <c r="U20" s="115"/>
    </row>
    <row r="21" spans="2:21" x14ac:dyDescent="0.45">
      <c r="B21" s="96">
        <f t="shared" ref="B21:B22" si="1">B20+1</f>
        <v>17</v>
      </c>
      <c r="C21" s="48" t="s">
        <v>222</v>
      </c>
      <c r="D21" s="93" t="s">
        <v>45</v>
      </c>
      <c r="E21" s="93" t="s">
        <v>107</v>
      </c>
      <c r="F21" s="269" t="s">
        <v>1032</v>
      </c>
      <c r="H21" s="740" t="s">
        <v>110</v>
      </c>
      <c r="I21" s="741"/>
      <c r="J21" s="741"/>
      <c r="K21" s="741"/>
      <c r="L21" s="741"/>
      <c r="M21" s="741"/>
      <c r="N21" s="741"/>
      <c r="O21" s="741"/>
      <c r="P21" s="741"/>
      <c r="Q21" s="741"/>
      <c r="R21" s="741"/>
      <c r="S21" s="742"/>
      <c r="T21" s="102" t="s">
        <v>1031</v>
      </c>
      <c r="U21" s="102"/>
    </row>
    <row r="22" spans="2:21" ht="34" x14ac:dyDescent="0.45">
      <c r="B22" s="96">
        <f t="shared" si="1"/>
        <v>18</v>
      </c>
      <c r="C22" s="48" t="s">
        <v>223</v>
      </c>
      <c r="D22" s="93" t="s">
        <v>45</v>
      </c>
      <c r="E22" s="93" t="s">
        <v>109</v>
      </c>
      <c r="F22" s="269" t="s">
        <v>1444</v>
      </c>
      <c r="H22" s="100" t="s">
        <v>112</v>
      </c>
      <c r="I22" s="101"/>
      <c r="J22" s="730" t="s">
        <v>1147</v>
      </c>
      <c r="K22" s="732"/>
      <c r="L22" s="740" t="s">
        <v>191</v>
      </c>
      <c r="M22" s="741"/>
      <c r="N22" s="741"/>
      <c r="O22" s="741"/>
      <c r="P22" s="741"/>
      <c r="Q22" s="741"/>
      <c r="R22" s="741"/>
      <c r="S22" s="742"/>
      <c r="T22" s="102" t="s">
        <v>1047</v>
      </c>
      <c r="U22" s="102"/>
    </row>
    <row r="23" spans="2:21" x14ac:dyDescent="0.45">
      <c r="B23" s="96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102"/>
      <c r="U23" s="102"/>
    </row>
    <row r="24" spans="2:21" x14ac:dyDescent="0.45">
      <c r="B24" s="96">
        <f>B22+1</f>
        <v>19</v>
      </c>
      <c r="C24" s="48" t="s">
        <v>476</v>
      </c>
      <c r="D24" s="93" t="s">
        <v>45</v>
      </c>
      <c r="E24" s="93" t="s">
        <v>475</v>
      </c>
      <c r="F24" s="269" t="s">
        <v>1151</v>
      </c>
      <c r="H24" s="740" t="s">
        <v>108</v>
      </c>
      <c r="I24" s="741"/>
      <c r="J24" s="741"/>
      <c r="K24" s="742"/>
      <c r="L24" s="101"/>
      <c r="M24" s="270" t="s">
        <v>1148</v>
      </c>
      <c r="N24" s="730" t="s">
        <v>1149</v>
      </c>
      <c r="O24" s="732"/>
      <c r="P24" s="101"/>
      <c r="Q24" s="101"/>
      <c r="R24" s="740" t="s">
        <v>240</v>
      </c>
      <c r="S24" s="742"/>
      <c r="T24" s="102"/>
      <c r="U24" s="102"/>
    </row>
    <row r="25" spans="2:21" x14ac:dyDescent="0.45">
      <c r="B25" s="96">
        <f t="shared" ref="B25:B28" si="2">B24+1</f>
        <v>20</v>
      </c>
      <c r="C25" s="48" t="s">
        <v>241</v>
      </c>
      <c r="D25" s="93" t="s">
        <v>45</v>
      </c>
      <c r="E25" s="93" t="s">
        <v>111</v>
      </c>
      <c r="F25" s="93" t="s">
        <v>47</v>
      </c>
      <c r="H25" s="740" t="s">
        <v>238</v>
      </c>
      <c r="I25" s="741"/>
      <c r="J25" s="741"/>
      <c r="K25" s="741"/>
      <c r="L25" s="741"/>
      <c r="M25" s="741"/>
      <c r="N25" s="741"/>
      <c r="O25" s="741"/>
      <c r="P25" s="741"/>
      <c r="Q25" s="741"/>
      <c r="R25" s="741"/>
      <c r="S25" s="742"/>
      <c r="T25" s="115"/>
      <c r="U25" s="115"/>
    </row>
    <row r="26" spans="2:21" x14ac:dyDescent="0.45">
      <c r="B26" s="96">
        <f t="shared" si="2"/>
        <v>21</v>
      </c>
      <c r="C26" s="48" t="s">
        <v>242</v>
      </c>
      <c r="D26" s="93" t="s">
        <v>45</v>
      </c>
      <c r="E26" s="93" t="s">
        <v>113</v>
      </c>
      <c r="F26" s="269" t="s">
        <v>1145</v>
      </c>
      <c r="H26" s="100" t="s">
        <v>239</v>
      </c>
      <c r="I26" s="101"/>
      <c r="J26" s="101"/>
      <c r="K26" s="101"/>
      <c r="L26" s="101"/>
      <c r="M26" s="101"/>
      <c r="N26" s="101"/>
      <c r="O26" s="101"/>
      <c r="P26" s="740" t="s">
        <v>1040</v>
      </c>
      <c r="Q26" s="741"/>
      <c r="R26" s="741"/>
      <c r="S26" s="742"/>
      <c r="T26" s="115"/>
      <c r="U26" s="115"/>
    </row>
    <row r="27" spans="2:21" x14ac:dyDescent="0.45">
      <c r="B27" s="96">
        <f t="shared" si="2"/>
        <v>22</v>
      </c>
      <c r="C27" s="48" t="s">
        <v>1154</v>
      </c>
      <c r="D27" s="93" t="s">
        <v>1155</v>
      </c>
      <c r="E27" s="93" t="s">
        <v>1156</v>
      </c>
      <c r="F27" s="93" t="s">
        <v>47</v>
      </c>
      <c r="H27" s="548"/>
      <c r="I27" s="548"/>
      <c r="J27" s="548"/>
      <c r="K27" s="548"/>
      <c r="L27" s="548"/>
      <c r="M27" s="763" t="s">
        <v>1157</v>
      </c>
      <c r="N27" s="763"/>
      <c r="O27" s="763"/>
      <c r="P27" s="763"/>
      <c r="Q27" s="763"/>
      <c r="R27" s="763"/>
      <c r="S27" s="763"/>
      <c r="T27" s="549" t="s">
        <v>1158</v>
      </c>
    </row>
    <row r="28" spans="2:21" s="389" customFormat="1" x14ac:dyDescent="0.45">
      <c r="B28" s="96">
        <f t="shared" si="2"/>
        <v>23</v>
      </c>
      <c r="C28" s="116" t="s">
        <v>1586</v>
      </c>
      <c r="D28" s="269" t="s">
        <v>45</v>
      </c>
      <c r="E28" s="269" t="s">
        <v>1588</v>
      </c>
      <c r="F28" s="269" t="s">
        <v>47</v>
      </c>
      <c r="G28" s="269"/>
      <c r="H28" s="749" t="s">
        <v>1587</v>
      </c>
      <c r="I28" s="750"/>
      <c r="J28" s="750"/>
      <c r="K28" s="750"/>
      <c r="L28" s="750"/>
      <c r="M28" s="750"/>
      <c r="N28" s="750"/>
      <c r="O28" s="750"/>
      <c r="P28" s="750"/>
      <c r="Q28" s="750"/>
      <c r="R28" s="750"/>
      <c r="S28" s="751"/>
      <c r="T28" s="511" t="s">
        <v>1589</v>
      </c>
      <c r="U28" s="511"/>
    </row>
    <row r="29" spans="2:21" s="271" customFormat="1" x14ac:dyDescent="0.45">
      <c r="B29" s="96"/>
      <c r="C29" s="545"/>
      <c r="D29" s="545"/>
      <c r="E29" s="545"/>
      <c r="F29" s="545"/>
      <c r="G29" s="545"/>
      <c r="H29" s="545"/>
      <c r="I29" s="545"/>
      <c r="J29" s="545"/>
      <c r="K29" s="545"/>
      <c r="L29" s="545"/>
      <c r="M29" s="545"/>
      <c r="N29" s="545"/>
      <c r="O29" s="545"/>
      <c r="P29" s="545"/>
      <c r="Q29" s="545"/>
      <c r="R29" s="545"/>
      <c r="S29" s="545"/>
      <c r="T29" s="545"/>
      <c r="U29" s="545"/>
    </row>
    <row r="30" spans="2:21" ht="170" x14ac:dyDescent="0.45">
      <c r="B30" s="96">
        <v>1</v>
      </c>
      <c r="C30" s="48" t="s">
        <v>114</v>
      </c>
      <c r="D30" s="93" t="s">
        <v>45</v>
      </c>
      <c r="E30" s="109" t="s">
        <v>115</v>
      </c>
      <c r="F30" s="93" t="s">
        <v>47</v>
      </c>
      <c r="H30" s="100" t="s">
        <v>116</v>
      </c>
      <c r="I30" s="270" t="s">
        <v>1427</v>
      </c>
      <c r="J30" s="730" t="s">
        <v>1150</v>
      </c>
      <c r="K30" s="732"/>
      <c r="L30" s="101"/>
      <c r="M30" s="100" t="s">
        <v>186</v>
      </c>
      <c r="N30" s="270" t="s">
        <v>1428</v>
      </c>
      <c r="O30" s="100" t="s">
        <v>187</v>
      </c>
      <c r="P30" s="101"/>
      <c r="Q30" s="101"/>
      <c r="R30" s="101"/>
      <c r="S30" s="100" t="s">
        <v>117</v>
      </c>
      <c r="T30" s="102" t="s">
        <v>1429</v>
      </c>
      <c r="U30" s="102"/>
    </row>
    <row r="31" spans="2:21" x14ac:dyDescent="0.45">
      <c r="B31" s="96">
        <f>B30+1</f>
        <v>2</v>
      </c>
      <c r="C31" s="48" t="s">
        <v>118</v>
      </c>
      <c r="D31" s="93" t="s">
        <v>45</v>
      </c>
      <c r="E31" s="109" t="s">
        <v>119</v>
      </c>
      <c r="F31" s="93" t="s">
        <v>47</v>
      </c>
      <c r="H31" s="101"/>
      <c r="I31" s="101"/>
      <c r="J31" s="101"/>
      <c r="K31" s="101"/>
      <c r="L31" s="101"/>
      <c r="M31" s="101"/>
      <c r="N31" s="101"/>
      <c r="O31" s="101"/>
      <c r="P31" s="740" t="s">
        <v>120</v>
      </c>
      <c r="Q31" s="741"/>
      <c r="R31" s="741"/>
      <c r="S31" s="742"/>
      <c r="U31" s="103"/>
    </row>
    <row r="32" spans="2:21" x14ac:dyDescent="0.45">
      <c r="B32" s="96">
        <f t="shared" ref="B32:B35" si="3">B31+1</f>
        <v>3</v>
      </c>
      <c r="C32" s="48" t="s">
        <v>121</v>
      </c>
      <c r="D32" s="93" t="s">
        <v>45</v>
      </c>
      <c r="E32" s="109" t="s">
        <v>122</v>
      </c>
      <c r="F32" s="93" t="s">
        <v>472</v>
      </c>
      <c r="H32" s="740" t="s">
        <v>123</v>
      </c>
      <c r="I32" s="741"/>
      <c r="J32" s="741"/>
      <c r="K32" s="741"/>
      <c r="L32" s="741"/>
      <c r="M32" s="741"/>
      <c r="N32" s="741"/>
      <c r="O32" s="741"/>
      <c r="P32" s="741"/>
      <c r="Q32" s="741"/>
      <c r="R32" s="741"/>
      <c r="S32" s="742"/>
      <c r="T32" s="110"/>
      <c r="U32" s="103"/>
    </row>
    <row r="33" spans="2:21" x14ac:dyDescent="0.45">
      <c r="B33" s="96">
        <f t="shared" si="3"/>
        <v>4</v>
      </c>
      <c r="C33" s="48" t="s">
        <v>124</v>
      </c>
      <c r="D33" s="93" t="s">
        <v>45</v>
      </c>
      <c r="E33" s="109" t="s">
        <v>125</v>
      </c>
      <c r="F33" s="93" t="s">
        <v>126</v>
      </c>
      <c r="H33" s="101"/>
      <c r="I33" s="101"/>
      <c r="J33" s="101"/>
      <c r="K33" s="101"/>
      <c r="L33" s="101"/>
      <c r="M33" s="101"/>
      <c r="N33" s="101"/>
      <c r="O33" s="101"/>
      <c r="P33" s="740" t="s">
        <v>127</v>
      </c>
      <c r="Q33" s="741"/>
      <c r="R33" s="741"/>
      <c r="S33" s="742"/>
      <c r="T33" s="104"/>
      <c r="U33" s="103"/>
    </row>
    <row r="34" spans="2:21" x14ac:dyDescent="0.45">
      <c r="B34" s="96">
        <f t="shared" si="3"/>
        <v>5</v>
      </c>
      <c r="C34" s="48" t="s">
        <v>128</v>
      </c>
      <c r="D34" s="93" t="s">
        <v>45</v>
      </c>
      <c r="E34" s="109" t="s">
        <v>129</v>
      </c>
      <c r="F34" s="93" t="s">
        <v>47</v>
      </c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0" t="s">
        <v>130</v>
      </c>
      <c r="S34" s="100" t="s">
        <v>131</v>
      </c>
      <c r="T34" s="110" t="s">
        <v>1049</v>
      </c>
      <c r="U34" s="103"/>
    </row>
    <row r="35" spans="2:21" x14ac:dyDescent="0.45">
      <c r="B35" s="96">
        <f t="shared" si="3"/>
        <v>6</v>
      </c>
      <c r="C35" s="48" t="s">
        <v>132</v>
      </c>
      <c r="D35" s="93" t="s">
        <v>45</v>
      </c>
      <c r="E35" s="109" t="s">
        <v>133</v>
      </c>
      <c r="F35" s="93" t="s">
        <v>1052</v>
      </c>
      <c r="H35" s="740" t="s">
        <v>134</v>
      </c>
      <c r="I35" s="741"/>
      <c r="J35" s="741"/>
      <c r="K35" s="741"/>
      <c r="L35" s="741"/>
      <c r="M35" s="741"/>
      <c r="N35" s="741"/>
      <c r="O35" s="741"/>
      <c r="P35" s="741"/>
      <c r="Q35" s="741"/>
      <c r="R35" s="741"/>
      <c r="S35" s="742"/>
      <c r="T35" s="110"/>
      <c r="U35" s="103"/>
    </row>
    <row r="36" spans="2:21" x14ac:dyDescent="0.45">
      <c r="B36" s="96"/>
      <c r="C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104"/>
      <c r="U36" s="103"/>
    </row>
    <row r="37" spans="2:21" x14ac:dyDescent="0.45">
      <c r="B37" s="96">
        <v>1</v>
      </c>
      <c r="C37" s="48" t="s">
        <v>135</v>
      </c>
      <c r="D37" s="93" t="s">
        <v>45</v>
      </c>
      <c r="E37" s="93" t="s">
        <v>46</v>
      </c>
      <c r="F37" s="93" t="s">
        <v>47</v>
      </c>
      <c r="H37" s="101"/>
      <c r="I37" s="101"/>
      <c r="J37" s="101"/>
      <c r="K37" s="101"/>
      <c r="L37" s="752" t="s">
        <v>136</v>
      </c>
      <c r="M37" s="753"/>
      <c r="N37" s="753"/>
      <c r="O37" s="753"/>
      <c r="P37" s="753"/>
      <c r="Q37" s="753"/>
      <c r="R37" s="753"/>
      <c r="S37" s="754"/>
      <c r="T37" s="104"/>
      <c r="U37" s="103"/>
    </row>
    <row r="38" spans="2:21" x14ac:dyDescent="0.45">
      <c r="B38" s="96">
        <f>B37+1</f>
        <v>2</v>
      </c>
      <c r="C38" s="48" t="s">
        <v>137</v>
      </c>
      <c r="D38" s="93" t="s">
        <v>45</v>
      </c>
      <c r="E38" s="93" t="s">
        <v>138</v>
      </c>
      <c r="F38" s="93" t="s">
        <v>236</v>
      </c>
      <c r="H38" s="101"/>
      <c r="I38" s="101"/>
      <c r="J38" s="101"/>
      <c r="K38" s="101"/>
      <c r="L38" s="101"/>
      <c r="M38" s="101"/>
      <c r="N38" s="752" t="s">
        <v>253</v>
      </c>
      <c r="O38" s="753"/>
      <c r="P38" s="753"/>
      <c r="Q38" s="753"/>
      <c r="R38" s="753"/>
      <c r="S38" s="754"/>
      <c r="T38" s="104"/>
      <c r="U38" s="103"/>
    </row>
    <row r="39" spans="2:21" x14ac:dyDescent="0.45">
      <c r="B39" s="96">
        <f t="shared" ref="B39:B48" si="4">B38+1</f>
        <v>3</v>
      </c>
      <c r="C39" s="48" t="s">
        <v>140</v>
      </c>
      <c r="D39" s="93" t="s">
        <v>45</v>
      </c>
      <c r="E39" s="93" t="s">
        <v>141</v>
      </c>
      <c r="F39" s="93" t="s">
        <v>236</v>
      </c>
      <c r="H39" s="101"/>
      <c r="I39" s="101"/>
      <c r="J39" s="101"/>
      <c r="K39" s="101"/>
      <c r="L39" s="101"/>
      <c r="M39" s="101"/>
      <c r="N39" s="752" t="s">
        <v>254</v>
      </c>
      <c r="O39" s="753"/>
      <c r="P39" s="753"/>
      <c r="Q39" s="753"/>
      <c r="R39" s="753"/>
      <c r="S39" s="754"/>
      <c r="T39" s="104"/>
      <c r="U39" s="103"/>
    </row>
    <row r="40" spans="2:21" s="41" customFormat="1" x14ac:dyDescent="0.45">
      <c r="B40" s="96">
        <f t="shared" si="4"/>
        <v>4</v>
      </c>
      <c r="C40" s="48" t="s">
        <v>142</v>
      </c>
      <c r="D40" s="93" t="s">
        <v>45</v>
      </c>
      <c r="E40" s="93" t="s">
        <v>51</v>
      </c>
      <c r="F40" s="93" t="s">
        <v>139</v>
      </c>
      <c r="G40" s="93"/>
      <c r="H40" s="101"/>
      <c r="I40" s="101"/>
      <c r="J40" s="101"/>
      <c r="K40" s="101"/>
      <c r="L40" s="101"/>
      <c r="M40" s="752" t="s">
        <v>255</v>
      </c>
      <c r="N40" s="753"/>
      <c r="O40" s="753"/>
      <c r="P40" s="753"/>
      <c r="Q40" s="753"/>
      <c r="R40" s="753"/>
      <c r="S40" s="754"/>
      <c r="T40" s="104"/>
      <c r="U40" s="103"/>
    </row>
    <row r="41" spans="2:21" s="41" customFormat="1" x14ac:dyDescent="0.45">
      <c r="B41" s="96">
        <f t="shared" si="4"/>
        <v>5</v>
      </c>
      <c r="C41" s="48" t="s">
        <v>143</v>
      </c>
      <c r="D41" s="93" t="s">
        <v>45</v>
      </c>
      <c r="E41" s="93" t="s">
        <v>52</v>
      </c>
      <c r="F41" s="93" t="s">
        <v>139</v>
      </c>
      <c r="G41" s="93"/>
      <c r="H41" s="101"/>
      <c r="I41" s="101"/>
      <c r="J41" s="101"/>
      <c r="K41" s="101"/>
      <c r="L41" s="101"/>
      <c r="M41" s="752" t="s">
        <v>256</v>
      </c>
      <c r="N41" s="753"/>
      <c r="O41" s="753"/>
      <c r="P41" s="753"/>
      <c r="Q41" s="753"/>
      <c r="R41" s="753"/>
      <c r="S41" s="754"/>
      <c r="T41" s="104"/>
      <c r="U41" s="103"/>
    </row>
    <row r="42" spans="2:21" s="41" customFormat="1" x14ac:dyDescent="0.45">
      <c r="B42" s="96">
        <f t="shared" si="4"/>
        <v>6</v>
      </c>
      <c r="C42" s="48" t="s">
        <v>144</v>
      </c>
      <c r="D42" s="93" t="s">
        <v>45</v>
      </c>
      <c r="E42" s="93" t="s">
        <v>145</v>
      </c>
      <c r="F42" s="93" t="s">
        <v>139</v>
      </c>
      <c r="G42" s="93"/>
      <c r="H42" s="101"/>
      <c r="I42" s="101"/>
      <c r="J42" s="101"/>
      <c r="K42" s="101"/>
      <c r="L42" s="101"/>
      <c r="M42" s="752" t="s">
        <v>257</v>
      </c>
      <c r="N42" s="753"/>
      <c r="O42" s="753"/>
      <c r="P42" s="753"/>
      <c r="Q42" s="753"/>
      <c r="R42" s="753"/>
      <c r="S42" s="754"/>
      <c r="T42" s="104"/>
      <c r="U42" s="103"/>
    </row>
    <row r="43" spans="2:21" s="41" customFormat="1" x14ac:dyDescent="0.45">
      <c r="B43" s="96">
        <f t="shared" si="4"/>
        <v>7</v>
      </c>
      <c r="C43" s="48" t="s">
        <v>146</v>
      </c>
      <c r="D43" s="93" t="s">
        <v>45</v>
      </c>
      <c r="E43" s="93" t="s">
        <v>54</v>
      </c>
      <c r="F43" s="93" t="s">
        <v>139</v>
      </c>
      <c r="G43" s="93"/>
      <c r="H43" s="101"/>
      <c r="I43" s="101"/>
      <c r="J43" s="101"/>
      <c r="K43" s="101"/>
      <c r="L43" s="101"/>
      <c r="M43" s="752" t="s">
        <v>258</v>
      </c>
      <c r="N43" s="753"/>
      <c r="O43" s="753"/>
      <c r="P43" s="753"/>
      <c r="Q43" s="753"/>
      <c r="R43" s="753"/>
      <c r="S43" s="754"/>
      <c r="T43" s="104"/>
      <c r="U43" s="103"/>
    </row>
    <row r="44" spans="2:21" s="41" customFormat="1" x14ac:dyDescent="0.45">
      <c r="B44" s="96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104"/>
      <c r="U44" s="103"/>
    </row>
    <row r="45" spans="2:21" s="41" customFormat="1" x14ac:dyDescent="0.45">
      <c r="B45" s="96">
        <f>B43+1</f>
        <v>8</v>
      </c>
      <c r="C45" s="48" t="s">
        <v>157</v>
      </c>
      <c r="D45" s="93" t="s">
        <v>45</v>
      </c>
      <c r="E45" s="93" t="s">
        <v>158</v>
      </c>
      <c r="F45" s="93" t="s">
        <v>159</v>
      </c>
      <c r="G45" s="93"/>
      <c r="H45" s="101"/>
      <c r="I45" s="101"/>
      <c r="J45" s="101"/>
      <c r="K45" s="101"/>
      <c r="L45" s="101"/>
      <c r="M45" s="752" t="s">
        <v>267</v>
      </c>
      <c r="N45" s="753"/>
      <c r="O45" s="753"/>
      <c r="P45" s="753"/>
      <c r="Q45" s="753"/>
      <c r="R45" s="753"/>
      <c r="S45" s="754"/>
      <c r="T45" s="104" t="s">
        <v>237</v>
      </c>
      <c r="U45" s="103"/>
    </row>
    <row r="46" spans="2:21" s="41" customFormat="1" x14ac:dyDescent="0.45">
      <c r="B46" s="96">
        <f t="shared" si="4"/>
        <v>9</v>
      </c>
      <c r="C46" s="48" t="s">
        <v>160</v>
      </c>
      <c r="D46" s="93" t="s">
        <v>45</v>
      </c>
      <c r="E46" s="93" t="s">
        <v>161</v>
      </c>
      <c r="F46" s="93" t="s">
        <v>159</v>
      </c>
      <c r="G46" s="93"/>
      <c r="H46" s="101"/>
      <c r="I46" s="101"/>
      <c r="J46" s="101"/>
      <c r="K46" s="101"/>
      <c r="L46" s="101"/>
      <c r="M46" s="752" t="s">
        <v>268</v>
      </c>
      <c r="N46" s="753"/>
      <c r="O46" s="753"/>
      <c r="P46" s="753"/>
      <c r="Q46" s="753"/>
      <c r="R46" s="753"/>
      <c r="S46" s="754"/>
      <c r="T46" s="104"/>
      <c r="U46" s="103"/>
    </row>
    <row r="47" spans="2:21" s="41" customFormat="1" x14ac:dyDescent="0.45">
      <c r="B47" s="96">
        <f t="shared" si="4"/>
        <v>10</v>
      </c>
      <c r="C47" s="48" t="s">
        <v>162</v>
      </c>
      <c r="D47" s="93" t="s">
        <v>45</v>
      </c>
      <c r="E47" s="93" t="s">
        <v>163</v>
      </c>
      <c r="F47" s="93" t="s">
        <v>159</v>
      </c>
      <c r="G47" s="93"/>
      <c r="H47" s="101"/>
      <c r="I47" s="101"/>
      <c r="J47" s="101"/>
      <c r="K47" s="101"/>
      <c r="L47" s="101"/>
      <c r="M47" s="752" t="s">
        <v>269</v>
      </c>
      <c r="N47" s="753"/>
      <c r="O47" s="753"/>
      <c r="P47" s="753"/>
      <c r="Q47" s="753"/>
      <c r="R47" s="753"/>
      <c r="S47" s="754"/>
      <c r="T47" s="104"/>
      <c r="U47" s="103"/>
    </row>
    <row r="48" spans="2:21" s="41" customFormat="1" x14ac:dyDescent="0.45">
      <c r="B48" s="96">
        <f t="shared" si="4"/>
        <v>11</v>
      </c>
      <c r="C48" s="48" t="s">
        <v>164</v>
      </c>
      <c r="D48" s="93" t="s">
        <v>45</v>
      </c>
      <c r="E48" s="93" t="s">
        <v>165</v>
      </c>
      <c r="F48" s="93" t="s">
        <v>159</v>
      </c>
      <c r="G48" s="93"/>
      <c r="H48" s="101"/>
      <c r="I48" s="101"/>
      <c r="J48" s="101"/>
      <c r="K48" s="101"/>
      <c r="L48" s="101"/>
      <c r="M48" s="752" t="s">
        <v>270</v>
      </c>
      <c r="N48" s="753"/>
      <c r="O48" s="753"/>
      <c r="P48" s="753"/>
      <c r="Q48" s="753"/>
      <c r="R48" s="753"/>
      <c r="S48" s="754"/>
      <c r="T48" s="104"/>
      <c r="U48" s="103"/>
    </row>
    <row r="49" spans="1:21" x14ac:dyDescent="0.45">
      <c r="U49" s="103"/>
    </row>
    <row r="57" spans="1:21" s="93" customFormat="1" x14ac:dyDescent="0.45">
      <c r="A57" s="43"/>
      <c r="B57" s="43"/>
      <c r="C57" s="48"/>
      <c r="H57" s="111"/>
      <c r="T57" s="94"/>
      <c r="U57" s="95"/>
    </row>
    <row r="59" spans="1:21" s="93" customFormat="1" x14ac:dyDescent="0.45">
      <c r="A59" s="43"/>
      <c r="B59" s="43"/>
      <c r="H59" s="111"/>
      <c r="T59" s="94"/>
      <c r="U59" s="95"/>
    </row>
    <row r="60" spans="1:21" x14ac:dyDescent="0.45">
      <c r="C60" s="93"/>
    </row>
    <row r="61" spans="1:21" x14ac:dyDescent="0.45">
      <c r="C61" s="93"/>
    </row>
  </sheetData>
  <mergeCells count="54">
    <mergeCell ref="I9:K9"/>
    <mergeCell ref="M9:O9"/>
    <mergeCell ref="Q9:S9"/>
    <mergeCell ref="O3:S3"/>
    <mergeCell ref="H4:K4"/>
    <mergeCell ref="L4:M4"/>
    <mergeCell ref="N4:P4"/>
    <mergeCell ref="M5:S5"/>
    <mergeCell ref="H11:S11"/>
    <mergeCell ref="H12:I12"/>
    <mergeCell ref="J12:K12"/>
    <mergeCell ref="L12:M12"/>
    <mergeCell ref="N12:O12"/>
    <mergeCell ref="P12:Q12"/>
    <mergeCell ref="R12:S12"/>
    <mergeCell ref="H14:S14"/>
    <mergeCell ref="H15:S15"/>
    <mergeCell ref="H16:S16"/>
    <mergeCell ref="H17:S17"/>
    <mergeCell ref="H13:I13"/>
    <mergeCell ref="J13:K13"/>
    <mergeCell ref="L13:M13"/>
    <mergeCell ref="N13:O13"/>
    <mergeCell ref="P13:Q13"/>
    <mergeCell ref="R13:S13"/>
    <mergeCell ref="M42:S42"/>
    <mergeCell ref="M27:S27"/>
    <mergeCell ref="H19:M19"/>
    <mergeCell ref="N19:S19"/>
    <mergeCell ref="M20:S20"/>
    <mergeCell ref="H21:S21"/>
    <mergeCell ref="J22:K22"/>
    <mergeCell ref="L22:S22"/>
    <mergeCell ref="H24:K24"/>
    <mergeCell ref="N24:O24"/>
    <mergeCell ref="R24:S24"/>
    <mergeCell ref="H25:S25"/>
    <mergeCell ref="P26:S26"/>
    <mergeCell ref="H28:S28"/>
    <mergeCell ref="J30:K30"/>
    <mergeCell ref="P31:S31"/>
    <mergeCell ref="M48:S48"/>
    <mergeCell ref="M45:S45"/>
    <mergeCell ref="M46:S46"/>
    <mergeCell ref="M47:S47"/>
    <mergeCell ref="M43:S43"/>
    <mergeCell ref="N39:S39"/>
    <mergeCell ref="M40:S40"/>
    <mergeCell ref="M41:S41"/>
    <mergeCell ref="H32:S32"/>
    <mergeCell ref="P33:S33"/>
    <mergeCell ref="H35:S35"/>
    <mergeCell ref="L37:S37"/>
    <mergeCell ref="N38:S38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36E5-6CF9-434E-99FF-D41357CBD5A7}">
  <sheetPr>
    <tabColor theme="7" tint="0.79998168889431442"/>
  </sheetPr>
  <dimension ref="A1:V86"/>
  <sheetViews>
    <sheetView showGridLines="0" zoomScale="90" zoomScaleNormal="90" workbookViewId="0"/>
  </sheetViews>
  <sheetFormatPr defaultColWidth="8.58203125" defaultRowHeight="17" x14ac:dyDescent="0.45"/>
  <cols>
    <col min="1" max="1" width="8.58203125" style="43"/>
    <col min="2" max="2" width="6.1640625" style="43" bestFit="1" customWidth="1"/>
    <col min="3" max="3" width="19.08203125" style="48" bestFit="1" customWidth="1"/>
    <col min="4" max="4" width="6.6640625" style="93" bestFit="1" customWidth="1"/>
    <col min="5" max="5" width="7.83203125" style="93" bestFit="1" customWidth="1"/>
    <col min="6" max="6" width="7.5" style="93" bestFit="1" customWidth="1"/>
    <col min="7" max="7" width="1.58203125" style="93" customWidth="1"/>
    <col min="8" max="8" width="14.08203125" style="93" bestFit="1" customWidth="1"/>
    <col min="9" max="9" width="11.6640625" style="93" bestFit="1" customWidth="1"/>
    <col min="10" max="10" width="9.1640625" style="93" bestFit="1" customWidth="1"/>
    <col min="11" max="11" width="14.1640625" style="93" bestFit="1" customWidth="1"/>
    <col min="12" max="12" width="14.83203125" style="93" bestFit="1" customWidth="1"/>
    <col min="13" max="13" width="14.6640625" style="93" bestFit="1" customWidth="1"/>
    <col min="14" max="14" width="8.1640625" style="93" bestFit="1" customWidth="1"/>
    <col min="15" max="15" width="7.9140625" style="93" bestFit="1" customWidth="1"/>
    <col min="16" max="16" width="9.83203125" style="93" bestFit="1" customWidth="1"/>
    <col min="17" max="17" width="9.58203125" style="93" bestFit="1" customWidth="1"/>
    <col min="18" max="18" width="12.6640625" style="93" bestFit="1" customWidth="1"/>
    <col min="19" max="19" width="10.08203125" style="93" bestFit="1" customWidth="1"/>
    <col min="20" max="20" width="54.33203125" style="94" bestFit="1" customWidth="1"/>
    <col min="21" max="21" width="55.1640625" style="95" bestFit="1" customWidth="1"/>
    <col min="22" max="16384" width="8.58203125" style="43"/>
  </cols>
  <sheetData>
    <row r="1" spans="2:21" x14ac:dyDescent="0.45">
      <c r="D1" s="48"/>
      <c r="E1" s="48"/>
      <c r="F1" s="48"/>
    </row>
    <row r="2" spans="2:21" x14ac:dyDescent="0.45">
      <c r="B2" s="96"/>
      <c r="C2" s="97" t="s">
        <v>27</v>
      </c>
      <c r="D2" s="98" t="s">
        <v>28</v>
      </c>
      <c r="E2" s="98" t="s">
        <v>29</v>
      </c>
      <c r="F2" s="98" t="s">
        <v>30</v>
      </c>
      <c r="G2" s="98"/>
      <c r="H2" s="98" t="s">
        <v>31</v>
      </c>
      <c r="I2" s="98" t="s">
        <v>32</v>
      </c>
      <c r="J2" s="98" t="s">
        <v>33</v>
      </c>
      <c r="K2" s="98" t="s">
        <v>34</v>
      </c>
      <c r="L2" s="98" t="s">
        <v>35</v>
      </c>
      <c r="M2" s="98" t="s">
        <v>36</v>
      </c>
      <c r="N2" s="98" t="s">
        <v>37</v>
      </c>
      <c r="O2" s="98" t="s">
        <v>38</v>
      </c>
      <c r="P2" s="98" t="s">
        <v>39</v>
      </c>
      <c r="Q2" s="98" t="s">
        <v>40</v>
      </c>
      <c r="R2" s="98" t="s">
        <v>41</v>
      </c>
      <c r="S2" s="98" t="s">
        <v>42</v>
      </c>
      <c r="T2" s="99" t="s">
        <v>43</v>
      </c>
      <c r="U2" s="99" t="s">
        <v>44</v>
      </c>
    </row>
    <row r="3" spans="2:21" ht="34" x14ac:dyDescent="0.45">
      <c r="B3" s="96">
        <v>1</v>
      </c>
      <c r="C3" s="48" t="s">
        <v>1287</v>
      </c>
      <c r="D3" s="93" t="s">
        <v>45</v>
      </c>
      <c r="E3" s="93" t="s">
        <v>46</v>
      </c>
      <c r="F3" s="93" t="s">
        <v>47</v>
      </c>
      <c r="H3" s="100" t="s">
        <v>1286</v>
      </c>
      <c r="I3" s="101"/>
      <c r="J3" s="101"/>
      <c r="K3" s="101"/>
      <c r="L3" s="101"/>
      <c r="M3" s="101"/>
      <c r="N3" s="101"/>
      <c r="O3" s="755" t="s">
        <v>48</v>
      </c>
      <c r="P3" s="756"/>
      <c r="Q3" s="756"/>
      <c r="R3" s="756"/>
      <c r="S3" s="757"/>
      <c r="T3" s="102" t="s">
        <v>1356</v>
      </c>
      <c r="U3" s="103"/>
    </row>
    <row r="4" spans="2:21" ht="85" x14ac:dyDescent="0.45">
      <c r="B4" s="96">
        <f>B3+1</f>
        <v>2</v>
      </c>
      <c r="C4" s="48" t="s">
        <v>1288</v>
      </c>
      <c r="D4" s="93" t="s">
        <v>45</v>
      </c>
      <c r="E4" s="93" t="s">
        <v>49</v>
      </c>
      <c r="F4" s="93" t="s">
        <v>47</v>
      </c>
      <c r="H4" s="101"/>
      <c r="I4" s="101"/>
      <c r="J4" s="101"/>
      <c r="K4" s="101"/>
      <c r="L4" s="730" t="s">
        <v>1159</v>
      </c>
      <c r="M4" s="732"/>
      <c r="N4" s="101"/>
      <c r="O4" s="100" t="s">
        <v>50</v>
      </c>
      <c r="P4" s="101"/>
      <c r="Q4" s="101"/>
      <c r="R4" s="101"/>
      <c r="S4" s="100" t="s">
        <v>1357</v>
      </c>
      <c r="T4" s="102" t="s">
        <v>1441</v>
      </c>
      <c r="U4" s="102" t="s">
        <v>1358</v>
      </c>
    </row>
    <row r="5" spans="2:21" ht="34" x14ac:dyDescent="0.45">
      <c r="B5" s="96">
        <f t="shared" ref="B5:B39" si="0">B4+1</f>
        <v>3</v>
      </c>
      <c r="C5" s="48" t="s">
        <v>1292</v>
      </c>
      <c r="D5" s="93" t="s">
        <v>45</v>
      </c>
      <c r="E5" s="93" t="s">
        <v>1201</v>
      </c>
      <c r="F5" s="93" t="s">
        <v>47</v>
      </c>
      <c r="H5" s="740" t="s">
        <v>1293</v>
      </c>
      <c r="I5" s="741"/>
      <c r="J5" s="741"/>
      <c r="K5" s="741"/>
      <c r="L5" s="741"/>
      <c r="M5" s="741"/>
      <c r="N5" s="741"/>
      <c r="O5" s="741"/>
      <c r="P5" s="741"/>
      <c r="Q5" s="741"/>
      <c r="R5" s="741"/>
      <c r="S5" s="742"/>
      <c r="T5" s="104"/>
      <c r="U5" s="102" t="s">
        <v>1291</v>
      </c>
    </row>
    <row r="6" spans="2:21" x14ac:dyDescent="0.45">
      <c r="B6" s="96">
        <f t="shared" si="0"/>
        <v>4</v>
      </c>
      <c r="C6" s="48" t="s">
        <v>1294</v>
      </c>
      <c r="D6" s="93" t="s">
        <v>45</v>
      </c>
      <c r="E6" s="93" t="s">
        <v>51</v>
      </c>
      <c r="F6" s="93" t="s">
        <v>47</v>
      </c>
      <c r="H6" s="101"/>
      <c r="I6" s="101"/>
      <c r="J6" s="101"/>
      <c r="K6" s="101"/>
      <c r="L6" s="740" t="s">
        <v>1295</v>
      </c>
      <c r="M6" s="741"/>
      <c r="N6" s="741"/>
      <c r="O6" s="741"/>
      <c r="P6" s="741"/>
      <c r="Q6" s="741"/>
      <c r="R6" s="741"/>
      <c r="S6" s="742"/>
      <c r="T6" s="104"/>
      <c r="U6" s="102"/>
    </row>
    <row r="7" spans="2:21" x14ac:dyDescent="0.45">
      <c r="B7" s="96">
        <f t="shared" si="0"/>
        <v>5</v>
      </c>
      <c r="C7" s="48" t="s">
        <v>1359</v>
      </c>
      <c r="D7" s="93" t="s">
        <v>45</v>
      </c>
      <c r="E7" s="93" t="s">
        <v>52</v>
      </c>
      <c r="F7" s="93" t="s">
        <v>47</v>
      </c>
      <c r="H7" s="101"/>
      <c r="I7" s="740" t="s">
        <v>53</v>
      </c>
      <c r="J7" s="741"/>
      <c r="K7" s="741"/>
      <c r="L7" s="742"/>
      <c r="M7" s="101"/>
      <c r="N7" s="101"/>
      <c r="O7" s="740" t="s">
        <v>1360</v>
      </c>
      <c r="P7" s="741"/>
      <c r="Q7" s="741"/>
      <c r="R7" s="741"/>
      <c r="S7" s="742"/>
      <c r="T7" s="102" t="s">
        <v>1361</v>
      </c>
      <c r="U7" s="102"/>
    </row>
    <row r="8" spans="2:21" ht="34" x14ac:dyDescent="0.45">
      <c r="B8" s="96">
        <f t="shared" si="0"/>
        <v>6</v>
      </c>
      <c r="C8" s="48" t="s">
        <v>1296</v>
      </c>
      <c r="D8" s="93" t="s">
        <v>45</v>
      </c>
      <c r="E8" s="93" t="s">
        <v>145</v>
      </c>
      <c r="F8" s="93" t="s">
        <v>47</v>
      </c>
      <c r="H8" s="101"/>
      <c r="I8" s="101"/>
      <c r="J8" s="101"/>
      <c r="K8" s="101"/>
      <c r="L8" s="740" t="s">
        <v>1297</v>
      </c>
      <c r="M8" s="741"/>
      <c r="N8" s="741"/>
      <c r="O8" s="741"/>
      <c r="P8" s="741"/>
      <c r="Q8" s="741"/>
      <c r="R8" s="741"/>
      <c r="S8" s="742"/>
      <c r="T8" s="104"/>
      <c r="U8" s="102" t="s">
        <v>1291</v>
      </c>
    </row>
    <row r="9" spans="2:21" x14ac:dyDescent="0.45">
      <c r="B9" s="96">
        <f t="shared" si="0"/>
        <v>7</v>
      </c>
      <c r="C9" s="48" t="s">
        <v>1298</v>
      </c>
      <c r="D9" s="93" t="s">
        <v>45</v>
      </c>
      <c r="E9" s="93" t="s">
        <v>54</v>
      </c>
      <c r="F9" s="269" t="s">
        <v>1433</v>
      </c>
      <c r="H9" s="740" t="s">
        <v>1299</v>
      </c>
      <c r="I9" s="741"/>
      <c r="J9" s="741"/>
      <c r="K9" s="741"/>
      <c r="L9" s="741"/>
      <c r="M9" s="741"/>
      <c r="N9" s="741"/>
      <c r="O9" s="741"/>
      <c r="P9" s="741"/>
      <c r="Q9" s="741"/>
      <c r="R9" s="741"/>
      <c r="S9" s="742"/>
      <c r="T9" s="513" t="s">
        <v>1435</v>
      </c>
      <c r="U9" s="103"/>
    </row>
    <row r="10" spans="2:21" x14ac:dyDescent="0.45">
      <c r="B10" s="96">
        <f t="shared" si="0"/>
        <v>8</v>
      </c>
      <c r="C10" s="48" t="s">
        <v>1300</v>
      </c>
      <c r="D10" s="93" t="s">
        <v>45</v>
      </c>
      <c r="E10" s="93" t="s">
        <v>148</v>
      </c>
      <c r="F10" s="269" t="s">
        <v>1434</v>
      </c>
      <c r="H10" s="101"/>
      <c r="I10" s="101"/>
      <c r="J10" s="101"/>
      <c r="K10" s="101"/>
      <c r="L10" s="101"/>
      <c r="M10" s="101"/>
      <c r="N10" s="101"/>
      <c r="O10" s="101"/>
      <c r="P10" s="740" t="s">
        <v>1301</v>
      </c>
      <c r="Q10" s="741"/>
      <c r="R10" s="741"/>
      <c r="S10" s="742"/>
      <c r="T10" s="512" t="s">
        <v>1436</v>
      </c>
      <c r="U10" s="398"/>
    </row>
    <row r="11" spans="2:21" ht="34" x14ac:dyDescent="0.45">
      <c r="B11" s="96">
        <f t="shared" si="0"/>
        <v>9</v>
      </c>
      <c r="C11" s="48" t="s">
        <v>56</v>
      </c>
      <c r="D11" s="93" t="s">
        <v>45</v>
      </c>
      <c r="E11" s="93" t="s">
        <v>57</v>
      </c>
      <c r="F11" s="93" t="s">
        <v>55</v>
      </c>
      <c r="H11" s="755" t="s">
        <v>58</v>
      </c>
      <c r="I11" s="756"/>
      <c r="J11" s="756"/>
      <c r="K11" s="756"/>
      <c r="L11" s="756"/>
      <c r="M11" s="756"/>
      <c r="N11" s="756"/>
      <c r="O11" s="756"/>
      <c r="P11" s="756"/>
      <c r="Q11" s="756"/>
      <c r="R11" s="756"/>
      <c r="S11" s="757"/>
      <c r="T11" s="102" t="s">
        <v>1302</v>
      </c>
      <c r="U11" s="102" t="s">
        <v>1303</v>
      </c>
    </row>
    <row r="12" spans="2:21" x14ac:dyDescent="0.45">
      <c r="B12" s="96">
        <f t="shared" si="0"/>
        <v>10</v>
      </c>
      <c r="C12" s="48" t="s">
        <v>59</v>
      </c>
      <c r="D12" s="93" t="s">
        <v>45</v>
      </c>
      <c r="E12" s="93" t="s">
        <v>60</v>
      </c>
      <c r="F12" s="93" t="s">
        <v>55</v>
      </c>
      <c r="H12" s="105" t="s">
        <v>61</v>
      </c>
      <c r="I12" s="105" t="s">
        <v>62</v>
      </c>
      <c r="J12" s="105" t="s">
        <v>63</v>
      </c>
      <c r="K12" s="105" t="s">
        <v>64</v>
      </c>
      <c r="L12" s="105" t="s">
        <v>65</v>
      </c>
      <c r="M12" s="105" t="s">
        <v>66</v>
      </c>
      <c r="N12" s="105" t="s">
        <v>67</v>
      </c>
      <c r="O12" s="105" t="s">
        <v>68</v>
      </c>
      <c r="P12" s="105" t="s">
        <v>69</v>
      </c>
      <c r="Q12" s="105" t="s">
        <v>70</v>
      </c>
      <c r="R12" s="105" t="s">
        <v>71</v>
      </c>
      <c r="S12" s="105" t="s">
        <v>72</v>
      </c>
      <c r="T12" s="106"/>
      <c r="U12" s="103"/>
    </row>
    <row r="13" spans="2:21" x14ac:dyDescent="0.45">
      <c r="B13" s="96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</row>
    <row r="14" spans="2:21" ht="119" x14ac:dyDescent="0.45">
      <c r="B14" s="96">
        <f>B12+1</f>
        <v>11</v>
      </c>
      <c r="C14" s="48" t="s">
        <v>73</v>
      </c>
      <c r="D14" s="93" t="s">
        <v>74</v>
      </c>
      <c r="E14" s="93" t="s">
        <v>75</v>
      </c>
      <c r="F14" s="93" t="s">
        <v>55</v>
      </c>
      <c r="H14" s="270" t="s">
        <v>226</v>
      </c>
      <c r="I14" s="387"/>
      <c r="J14" s="270" t="s">
        <v>1583</v>
      </c>
      <c r="K14" s="270" t="s">
        <v>1584</v>
      </c>
      <c r="L14" s="101"/>
      <c r="M14" s="101"/>
      <c r="N14" s="101"/>
      <c r="O14" s="101"/>
      <c r="P14" s="105" t="s">
        <v>76</v>
      </c>
      <c r="Q14" s="100" t="s">
        <v>77</v>
      </c>
      <c r="R14" s="100" t="s">
        <v>78</v>
      </c>
      <c r="S14" s="105" t="s">
        <v>19</v>
      </c>
      <c r="T14" s="106" t="s">
        <v>1362</v>
      </c>
      <c r="U14" s="107" t="s">
        <v>1363</v>
      </c>
    </row>
    <row r="15" spans="2:21" ht="17.149999999999999" customHeight="1" x14ac:dyDescent="0.45">
      <c r="B15" s="96">
        <f t="shared" si="0"/>
        <v>12</v>
      </c>
      <c r="C15" s="48" t="s">
        <v>79</v>
      </c>
      <c r="D15" s="93" t="s">
        <v>45</v>
      </c>
      <c r="E15" s="93" t="s">
        <v>80</v>
      </c>
      <c r="F15" s="93" t="s">
        <v>55</v>
      </c>
      <c r="H15" s="101"/>
      <c r="I15" s="758" t="s">
        <v>81</v>
      </c>
      <c r="J15" s="759"/>
      <c r="K15" s="760"/>
      <c r="L15" s="101"/>
      <c r="M15" s="758" t="s">
        <v>82</v>
      </c>
      <c r="N15" s="761"/>
      <c r="O15" s="762"/>
      <c r="P15" s="108"/>
      <c r="Q15" s="769" t="s">
        <v>83</v>
      </c>
      <c r="R15" s="770"/>
      <c r="S15" s="771"/>
      <c r="T15" s="102"/>
      <c r="U15" s="103"/>
    </row>
    <row r="16" spans="2:21" x14ac:dyDescent="0.45">
      <c r="B16" s="96">
        <f t="shared" si="0"/>
        <v>13</v>
      </c>
      <c r="C16" s="48" t="s">
        <v>1304</v>
      </c>
      <c r="D16" s="93" t="s">
        <v>45</v>
      </c>
      <c r="E16" s="93" t="s">
        <v>84</v>
      </c>
      <c r="F16" s="93" t="s">
        <v>85</v>
      </c>
      <c r="H16" s="270" t="s">
        <v>1305</v>
      </c>
      <c r="I16" s="270" t="s">
        <v>1585</v>
      </c>
      <c r="J16" s="101"/>
      <c r="K16" s="101"/>
      <c r="L16" s="270" t="s">
        <v>227</v>
      </c>
      <c r="M16" s="270" t="s">
        <v>230</v>
      </c>
      <c r="N16" s="100" t="s">
        <v>1364</v>
      </c>
      <c r="O16" s="105" t="s">
        <v>1306</v>
      </c>
      <c r="P16" s="105" t="s">
        <v>1307</v>
      </c>
      <c r="Q16" s="105" t="s">
        <v>1308</v>
      </c>
      <c r="R16" s="105" t="s">
        <v>1309</v>
      </c>
      <c r="S16" s="105" t="s">
        <v>1310</v>
      </c>
      <c r="T16" s="511" t="s">
        <v>1432</v>
      </c>
      <c r="U16" s="103" t="s">
        <v>1365</v>
      </c>
    </row>
    <row r="17" spans="2:21" x14ac:dyDescent="0.45">
      <c r="B17" s="96">
        <f t="shared" si="0"/>
        <v>14</v>
      </c>
      <c r="C17" s="48" t="s">
        <v>86</v>
      </c>
      <c r="D17" s="93" t="s">
        <v>45</v>
      </c>
      <c r="E17" s="93" t="s">
        <v>87</v>
      </c>
      <c r="F17" s="93" t="s">
        <v>55</v>
      </c>
      <c r="H17" s="101"/>
      <c r="I17" s="101"/>
      <c r="J17" s="101"/>
      <c r="K17" s="101"/>
      <c r="L17" s="755" t="s">
        <v>1311</v>
      </c>
      <c r="M17" s="756"/>
      <c r="N17" s="756"/>
      <c r="O17" s="756"/>
      <c r="P17" s="756"/>
      <c r="Q17" s="756"/>
      <c r="R17" s="756"/>
      <c r="S17" s="757"/>
      <c r="T17" s="104"/>
      <c r="U17" s="103"/>
    </row>
    <row r="18" spans="2:21" x14ac:dyDescent="0.45">
      <c r="B18" s="96">
        <f t="shared" si="0"/>
        <v>15</v>
      </c>
      <c r="C18" s="48" t="s">
        <v>88</v>
      </c>
      <c r="D18" s="93" t="s">
        <v>45</v>
      </c>
      <c r="E18" s="93" t="s">
        <v>89</v>
      </c>
      <c r="F18" s="93" t="s">
        <v>55</v>
      </c>
      <c r="H18" s="101"/>
      <c r="I18" s="101"/>
      <c r="J18" s="101"/>
      <c r="K18" s="101"/>
      <c r="L18" s="755" t="s">
        <v>1312</v>
      </c>
      <c r="M18" s="756"/>
      <c r="N18" s="756"/>
      <c r="O18" s="756"/>
      <c r="P18" s="756"/>
      <c r="Q18" s="756"/>
      <c r="R18" s="756"/>
      <c r="S18" s="757"/>
      <c r="T18" s="104"/>
      <c r="U18" s="103"/>
    </row>
    <row r="19" spans="2:21" x14ac:dyDescent="0.45">
      <c r="B19" s="96">
        <f t="shared" si="0"/>
        <v>16</v>
      </c>
      <c r="C19" s="48" t="s">
        <v>90</v>
      </c>
      <c r="D19" s="93" t="s">
        <v>45</v>
      </c>
      <c r="E19" s="93" t="s">
        <v>91</v>
      </c>
      <c r="F19" s="93" t="s">
        <v>55</v>
      </c>
      <c r="H19" s="101"/>
      <c r="I19" s="101"/>
      <c r="J19" s="101"/>
      <c r="K19" s="101"/>
      <c r="L19" s="755" t="s">
        <v>1313</v>
      </c>
      <c r="M19" s="756"/>
      <c r="N19" s="756"/>
      <c r="O19" s="756"/>
      <c r="P19" s="756"/>
      <c r="Q19" s="756"/>
      <c r="R19" s="756"/>
      <c r="S19" s="757"/>
      <c r="T19" s="104"/>
      <c r="U19"/>
    </row>
    <row r="20" spans="2:21" x14ac:dyDescent="0.45">
      <c r="B20" s="96">
        <f t="shared" si="0"/>
        <v>17</v>
      </c>
      <c r="C20" s="48" t="s">
        <v>92</v>
      </c>
      <c r="D20" s="93" t="s">
        <v>45</v>
      </c>
      <c r="E20" s="93" t="s">
        <v>523</v>
      </c>
      <c r="F20" s="93" t="s">
        <v>55</v>
      </c>
      <c r="H20" s="101"/>
      <c r="I20" s="101"/>
      <c r="J20" s="101"/>
      <c r="K20" s="101"/>
      <c r="L20" s="755" t="s">
        <v>1314</v>
      </c>
      <c r="M20" s="756"/>
      <c r="N20" s="756"/>
      <c r="O20" s="756"/>
      <c r="P20" s="756"/>
      <c r="Q20" s="756"/>
      <c r="R20" s="756"/>
      <c r="S20" s="757"/>
      <c r="T20" s="104"/>
      <c r="U20" s="103"/>
    </row>
    <row r="21" spans="2:21" x14ac:dyDescent="0.45">
      <c r="B21" s="96">
        <f t="shared" si="0"/>
        <v>18</v>
      </c>
      <c r="C21" s="48" t="s">
        <v>93</v>
      </c>
      <c r="D21" s="93" t="s">
        <v>45</v>
      </c>
      <c r="E21" s="93" t="s">
        <v>94</v>
      </c>
      <c r="F21" s="93" t="s">
        <v>55</v>
      </c>
      <c r="H21" s="101"/>
      <c r="I21" s="101"/>
      <c r="J21" s="101"/>
      <c r="K21" s="101"/>
      <c r="L21" s="755" t="s">
        <v>1315</v>
      </c>
      <c r="M21" s="756"/>
      <c r="N21" s="756"/>
      <c r="O21" s="756"/>
      <c r="P21" s="756"/>
      <c r="Q21" s="756"/>
      <c r="R21" s="756"/>
      <c r="S21" s="757"/>
      <c r="T21" s="104"/>
      <c r="U21" s="103"/>
    </row>
    <row r="22" spans="2:21" x14ac:dyDescent="0.45">
      <c r="B22" s="96">
        <f t="shared" si="0"/>
        <v>19</v>
      </c>
      <c r="C22" s="48" t="s">
        <v>95</v>
      </c>
      <c r="D22" s="93" t="s">
        <v>45</v>
      </c>
      <c r="E22" s="93" t="s">
        <v>96</v>
      </c>
      <c r="F22" s="93" t="s">
        <v>55</v>
      </c>
      <c r="H22" s="101"/>
      <c r="I22" s="101"/>
      <c r="J22" s="101"/>
      <c r="K22" s="101"/>
      <c r="L22" s="755" t="s">
        <v>1316</v>
      </c>
      <c r="M22" s="756"/>
      <c r="N22" s="756"/>
      <c r="O22" s="756"/>
      <c r="P22" s="756"/>
      <c r="Q22" s="756"/>
      <c r="R22" s="756"/>
      <c r="S22" s="757"/>
      <c r="T22" s="104"/>
      <c r="U22" s="103"/>
    </row>
    <row r="23" spans="2:21" x14ac:dyDescent="0.45">
      <c r="B23" s="96">
        <f t="shared" si="0"/>
        <v>20</v>
      </c>
      <c r="C23" s="48" t="s">
        <v>97</v>
      </c>
      <c r="D23" s="93" t="s">
        <v>45</v>
      </c>
      <c r="E23" s="93" t="s">
        <v>98</v>
      </c>
      <c r="F23" s="93" t="s">
        <v>55</v>
      </c>
      <c r="H23" s="101"/>
      <c r="I23" s="101"/>
      <c r="J23" s="101"/>
      <c r="K23" s="101"/>
      <c r="L23" s="755" t="s">
        <v>1317</v>
      </c>
      <c r="M23" s="756"/>
      <c r="N23" s="756"/>
      <c r="O23" s="756"/>
      <c r="P23" s="756"/>
      <c r="Q23" s="756"/>
      <c r="R23" s="756"/>
      <c r="S23" s="757"/>
      <c r="T23" s="104"/>
      <c r="U23" s="103"/>
    </row>
    <row r="24" spans="2:21" x14ac:dyDescent="0.45">
      <c r="B24" s="96">
        <f t="shared" si="0"/>
        <v>21</v>
      </c>
      <c r="C24" s="48" t="s">
        <v>99</v>
      </c>
      <c r="D24" s="93" t="s">
        <v>45</v>
      </c>
      <c r="E24" s="93" t="s">
        <v>100</v>
      </c>
      <c r="F24" s="93" t="s">
        <v>55</v>
      </c>
      <c r="H24" s="101"/>
      <c r="I24" s="101"/>
      <c r="J24" s="101"/>
      <c r="K24" s="101"/>
      <c r="L24" s="755" t="s">
        <v>1318</v>
      </c>
      <c r="M24" s="756"/>
      <c r="N24" s="756"/>
      <c r="O24" s="756"/>
      <c r="P24" s="756"/>
      <c r="Q24" s="756"/>
      <c r="R24" s="756"/>
      <c r="S24" s="757"/>
      <c r="T24" s="104"/>
      <c r="U24" s="103"/>
    </row>
    <row r="25" spans="2:21" x14ac:dyDescent="0.45">
      <c r="B25" s="96">
        <f t="shared" si="0"/>
        <v>22</v>
      </c>
      <c r="C25" s="48" t="s">
        <v>101</v>
      </c>
      <c r="D25" s="93" t="s">
        <v>45</v>
      </c>
      <c r="E25" s="93" t="s">
        <v>102</v>
      </c>
      <c r="F25" s="93" t="s">
        <v>55</v>
      </c>
      <c r="H25" s="101"/>
      <c r="I25" s="101"/>
      <c r="J25" s="101"/>
      <c r="K25" s="101"/>
      <c r="L25" s="755" t="s">
        <v>1319</v>
      </c>
      <c r="M25" s="756"/>
      <c r="N25" s="756"/>
      <c r="O25" s="756"/>
      <c r="P25" s="756"/>
      <c r="Q25" s="756"/>
      <c r="R25" s="756"/>
      <c r="S25" s="757"/>
      <c r="T25" s="104"/>
      <c r="U25" s="103"/>
    </row>
    <row r="26" spans="2:21" x14ac:dyDescent="0.45">
      <c r="B26" s="96">
        <f t="shared" si="0"/>
        <v>23</v>
      </c>
      <c r="C26" s="48" t="s">
        <v>103</v>
      </c>
      <c r="D26" s="93" t="s">
        <v>45</v>
      </c>
      <c r="E26" s="93" t="s">
        <v>560</v>
      </c>
      <c r="F26" s="93" t="s">
        <v>55</v>
      </c>
      <c r="H26" s="101"/>
      <c r="I26" s="101"/>
      <c r="J26" s="101"/>
      <c r="K26" s="101"/>
      <c r="L26" s="755" t="s">
        <v>1320</v>
      </c>
      <c r="M26" s="756"/>
      <c r="N26" s="756"/>
      <c r="O26" s="756"/>
      <c r="P26" s="756"/>
      <c r="Q26" s="756"/>
      <c r="R26" s="756"/>
      <c r="S26" s="757"/>
      <c r="T26" s="104"/>
      <c r="U26" s="103"/>
    </row>
    <row r="27" spans="2:21" x14ac:dyDescent="0.45">
      <c r="B27" s="96">
        <f t="shared" si="0"/>
        <v>24</v>
      </c>
      <c r="C27" s="48" t="s">
        <v>104</v>
      </c>
      <c r="D27" s="93" t="s">
        <v>45</v>
      </c>
      <c r="E27" s="93" t="s">
        <v>564</v>
      </c>
      <c r="F27" s="93" t="s">
        <v>55</v>
      </c>
      <c r="H27" s="101"/>
      <c r="I27" s="101"/>
      <c r="J27" s="101"/>
      <c r="K27" s="101"/>
      <c r="L27" s="755" t="s">
        <v>1321</v>
      </c>
      <c r="M27" s="756"/>
      <c r="N27" s="756"/>
      <c r="O27" s="756"/>
      <c r="P27" s="756"/>
      <c r="Q27" s="756"/>
      <c r="R27" s="756"/>
      <c r="S27" s="757"/>
      <c r="T27" s="104"/>
      <c r="U27" s="103"/>
    </row>
    <row r="28" spans="2:21" x14ac:dyDescent="0.45">
      <c r="B28" s="96">
        <f t="shared" si="0"/>
        <v>25</v>
      </c>
      <c r="C28" s="48" t="s">
        <v>105</v>
      </c>
      <c r="D28" s="93" t="s">
        <v>45</v>
      </c>
      <c r="E28" s="93" t="s">
        <v>576</v>
      </c>
      <c r="F28" s="93" t="s">
        <v>55</v>
      </c>
      <c r="H28" s="101"/>
      <c r="I28" s="101"/>
      <c r="J28" s="101"/>
      <c r="K28" s="101"/>
      <c r="L28" s="755" t="s">
        <v>1322</v>
      </c>
      <c r="M28" s="756"/>
      <c r="N28" s="756"/>
      <c r="O28" s="756"/>
      <c r="P28" s="756"/>
      <c r="Q28" s="756"/>
      <c r="R28" s="756"/>
      <c r="S28" s="757"/>
      <c r="T28" s="104"/>
      <c r="U28" s="103"/>
    </row>
    <row r="29" spans="2:21" x14ac:dyDescent="0.45">
      <c r="B29" s="96"/>
      <c r="T29" s="104"/>
      <c r="U29" s="103"/>
    </row>
    <row r="30" spans="2:21" x14ac:dyDescent="0.45">
      <c r="B30" s="96">
        <f>B28+1</f>
        <v>26</v>
      </c>
      <c r="C30" s="48" t="s">
        <v>1323</v>
      </c>
      <c r="D30" s="93" t="s">
        <v>45</v>
      </c>
      <c r="E30" s="93" t="s">
        <v>106</v>
      </c>
      <c r="F30" s="269" t="s">
        <v>1533</v>
      </c>
      <c r="H30" s="730" t="s">
        <v>1438</v>
      </c>
      <c r="I30" s="731"/>
      <c r="J30" s="731"/>
      <c r="K30" s="731"/>
      <c r="L30" s="731"/>
      <c r="M30" s="732"/>
      <c r="N30" s="730" t="s">
        <v>1439</v>
      </c>
      <c r="O30" s="731"/>
      <c r="P30" s="731"/>
      <c r="Q30" s="731"/>
      <c r="R30" s="731"/>
      <c r="S30" s="732"/>
      <c r="T30" s="511" t="s">
        <v>1431</v>
      </c>
      <c r="U30" s="102"/>
    </row>
    <row r="31" spans="2:21" ht="51" x14ac:dyDescent="0.45">
      <c r="B31" s="96">
        <f>B30+1</f>
        <v>27</v>
      </c>
      <c r="C31" s="116" t="s">
        <v>473</v>
      </c>
      <c r="D31" s="269" t="s">
        <v>45</v>
      </c>
      <c r="E31" s="269" t="s">
        <v>107</v>
      </c>
      <c r="F31" s="269" t="s">
        <v>1440</v>
      </c>
      <c r="H31" s="101"/>
      <c r="I31" s="101"/>
      <c r="J31" s="101"/>
      <c r="K31" s="101"/>
      <c r="L31" s="101"/>
      <c r="M31" s="730" t="s">
        <v>1534</v>
      </c>
      <c r="N31" s="731"/>
      <c r="O31" s="731"/>
      <c r="P31" s="731"/>
      <c r="Q31" s="731"/>
      <c r="R31" s="731"/>
      <c r="S31" s="732"/>
      <c r="T31" s="115" t="s">
        <v>1046</v>
      </c>
      <c r="U31" s="115"/>
    </row>
    <row r="32" spans="2:21" x14ac:dyDescent="0.45">
      <c r="B32" s="96">
        <f t="shared" ref="B32:B34" si="1">B31+1</f>
        <v>28</v>
      </c>
      <c r="C32" s="48" t="s">
        <v>1326</v>
      </c>
      <c r="D32" s="93" t="s">
        <v>45</v>
      </c>
      <c r="E32" s="93" t="s">
        <v>109</v>
      </c>
      <c r="F32" s="93" t="s">
        <v>47</v>
      </c>
      <c r="H32" s="100" t="s">
        <v>1366</v>
      </c>
      <c r="I32" s="101"/>
      <c r="J32" s="740" t="s">
        <v>1327</v>
      </c>
      <c r="K32" s="741"/>
      <c r="L32" s="741"/>
      <c r="M32" s="741"/>
      <c r="N32" s="741"/>
      <c r="O32" s="741"/>
      <c r="P32" s="741"/>
      <c r="Q32" s="741"/>
      <c r="R32" s="741"/>
      <c r="S32" s="742"/>
      <c r="T32" s="102"/>
      <c r="U32" s="102"/>
    </row>
    <row r="33" spans="2:22" s="543" customFormat="1" x14ac:dyDescent="0.45">
      <c r="B33" s="541">
        <f t="shared" si="1"/>
        <v>29</v>
      </c>
      <c r="C33" s="538" t="s">
        <v>1367</v>
      </c>
      <c r="D33" s="539" t="s">
        <v>45</v>
      </c>
      <c r="E33" s="539" t="s">
        <v>1368</v>
      </c>
      <c r="F33" s="539" t="s">
        <v>55</v>
      </c>
      <c r="G33" s="539"/>
      <c r="H33" s="747" t="s">
        <v>110</v>
      </c>
      <c r="I33" s="777"/>
      <c r="J33" s="777"/>
      <c r="K33" s="777"/>
      <c r="L33" s="777"/>
      <c r="M33" s="777"/>
      <c r="N33" s="777"/>
      <c r="O33" s="777"/>
      <c r="P33" s="777"/>
      <c r="Q33" s="777"/>
      <c r="R33" s="777"/>
      <c r="S33" s="748"/>
      <c r="T33" s="542"/>
      <c r="U33" s="542"/>
    </row>
    <row r="34" spans="2:22" s="543" customFormat="1" x14ac:dyDescent="0.45">
      <c r="B34" s="541">
        <f t="shared" si="1"/>
        <v>30</v>
      </c>
      <c r="C34" s="538" t="s">
        <v>1367</v>
      </c>
      <c r="D34" s="539" t="s">
        <v>45</v>
      </c>
      <c r="E34" s="539" t="s">
        <v>111</v>
      </c>
      <c r="F34" s="539" t="s">
        <v>1369</v>
      </c>
      <c r="G34" s="539"/>
      <c r="H34" s="537" t="s">
        <v>112</v>
      </c>
      <c r="I34" s="537"/>
      <c r="J34" s="537"/>
      <c r="K34" s="537"/>
      <c r="L34" s="537"/>
      <c r="M34" s="539"/>
      <c r="N34" s="747" t="s">
        <v>1370</v>
      </c>
      <c r="O34" s="777"/>
      <c r="P34" s="777"/>
      <c r="Q34" s="777"/>
      <c r="R34" s="777"/>
      <c r="S34" s="748"/>
      <c r="T34" s="542" t="s">
        <v>1371</v>
      </c>
      <c r="U34" s="542"/>
    </row>
    <row r="35" spans="2:22" s="543" customFormat="1" ht="51" x14ac:dyDescent="0.45">
      <c r="B35" s="541">
        <f t="shared" si="0"/>
        <v>31</v>
      </c>
      <c r="C35" s="538" t="s">
        <v>1372</v>
      </c>
      <c r="D35" s="539" t="s">
        <v>45</v>
      </c>
      <c r="E35" s="539" t="s">
        <v>113</v>
      </c>
      <c r="F35" s="539" t="s">
        <v>1373</v>
      </c>
      <c r="G35" s="540"/>
      <c r="H35" s="537" t="s">
        <v>1374</v>
      </c>
      <c r="I35" s="537"/>
      <c r="J35" s="537"/>
      <c r="K35" s="537"/>
      <c r="L35" s="537"/>
      <c r="M35" s="537"/>
      <c r="N35" s="537"/>
      <c r="O35" s="747" t="s">
        <v>1375</v>
      </c>
      <c r="P35" s="777"/>
      <c r="Q35" s="777"/>
      <c r="R35" s="777"/>
      <c r="S35" s="748"/>
      <c r="T35" s="544" t="s">
        <v>1376</v>
      </c>
      <c r="U35" s="542" t="s">
        <v>1377</v>
      </c>
    </row>
    <row r="36" spans="2:22" s="543" customFormat="1" x14ac:dyDescent="0.45">
      <c r="B36" s="541">
        <f t="shared" si="0"/>
        <v>32</v>
      </c>
      <c r="C36" s="538" t="s">
        <v>1378</v>
      </c>
      <c r="D36" s="539" t="s">
        <v>45</v>
      </c>
      <c r="E36" s="539" t="s">
        <v>1156</v>
      </c>
      <c r="F36" s="539" t="s">
        <v>1379</v>
      </c>
      <c r="G36" s="540"/>
      <c r="H36" s="537"/>
      <c r="I36" s="747" t="s">
        <v>1380</v>
      </c>
      <c r="J36" s="777"/>
      <c r="K36" s="777"/>
      <c r="L36" s="777"/>
      <c r="M36" s="777"/>
      <c r="N36" s="777"/>
      <c r="O36" s="777"/>
      <c r="P36" s="777"/>
      <c r="Q36" s="777"/>
      <c r="R36" s="777"/>
      <c r="S36" s="748"/>
      <c r="T36" s="544"/>
      <c r="U36" s="542"/>
    </row>
    <row r="37" spans="2:22" s="543" customFormat="1" x14ac:dyDescent="0.45">
      <c r="B37" s="541">
        <f t="shared" si="0"/>
        <v>33</v>
      </c>
      <c r="C37" s="538" t="s">
        <v>1381</v>
      </c>
      <c r="D37" s="539" t="s">
        <v>45</v>
      </c>
      <c r="E37" s="539" t="s">
        <v>1382</v>
      </c>
      <c r="F37" s="539" t="s">
        <v>1383</v>
      </c>
      <c r="G37" s="540"/>
      <c r="H37" s="537"/>
      <c r="I37" s="747" t="s">
        <v>1384</v>
      </c>
      <c r="J37" s="777"/>
      <c r="K37" s="777"/>
      <c r="L37" s="777"/>
      <c r="M37" s="777"/>
      <c r="N37" s="777"/>
      <c r="O37" s="777"/>
      <c r="P37" s="777"/>
      <c r="Q37" s="777"/>
      <c r="R37" s="777"/>
      <c r="S37" s="748"/>
      <c r="T37" s="544"/>
      <c r="U37" s="542"/>
    </row>
    <row r="38" spans="2:22" x14ac:dyDescent="0.45">
      <c r="B38" s="96">
        <f t="shared" si="0"/>
        <v>34</v>
      </c>
      <c r="C38" s="116" t="s">
        <v>1050</v>
      </c>
      <c r="D38" s="269" t="s">
        <v>45</v>
      </c>
      <c r="E38" s="269" t="s">
        <v>1437</v>
      </c>
      <c r="F38" s="269" t="s">
        <v>1535</v>
      </c>
      <c r="H38" s="740" t="s">
        <v>108</v>
      </c>
      <c r="I38" s="741"/>
      <c r="J38" s="741"/>
      <c r="K38" s="742"/>
      <c r="L38" s="101"/>
      <c r="M38" s="740" t="s">
        <v>1324</v>
      </c>
      <c r="N38" s="741"/>
      <c r="O38" s="742"/>
      <c r="P38" s="774" t="s">
        <v>1325</v>
      </c>
      <c r="Q38" s="775"/>
      <c r="R38" s="775"/>
      <c r="S38" s="776"/>
      <c r="T38" s="102"/>
      <c r="U38" s="102"/>
    </row>
    <row r="39" spans="2:22" s="389" customFormat="1" x14ac:dyDescent="0.45">
      <c r="B39" s="96">
        <f t="shared" si="0"/>
        <v>35</v>
      </c>
      <c r="C39" s="116" t="s">
        <v>1586</v>
      </c>
      <c r="D39" s="269" t="s">
        <v>45</v>
      </c>
      <c r="E39" s="269" t="s">
        <v>1588</v>
      </c>
      <c r="F39" s="269" t="s">
        <v>47</v>
      </c>
      <c r="G39" s="269"/>
      <c r="H39" s="749" t="s">
        <v>1587</v>
      </c>
      <c r="I39" s="750"/>
      <c r="J39" s="750"/>
      <c r="K39" s="750"/>
      <c r="L39" s="750"/>
      <c r="M39" s="750"/>
      <c r="N39" s="750"/>
      <c r="O39" s="750"/>
      <c r="P39" s="750"/>
      <c r="Q39" s="750"/>
      <c r="R39" s="750"/>
      <c r="S39" s="751"/>
      <c r="T39" s="511" t="s">
        <v>1589</v>
      </c>
      <c r="U39" s="511"/>
    </row>
    <row r="40" spans="2:22" x14ac:dyDescent="0.45">
      <c r="B40" s="96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</row>
    <row r="41" spans="2:22" ht="153" x14ac:dyDescent="0.45">
      <c r="B41" s="96">
        <f>1</f>
        <v>1</v>
      </c>
      <c r="C41" s="48" t="s">
        <v>114</v>
      </c>
      <c r="D41" s="93" t="s">
        <v>45</v>
      </c>
      <c r="E41" s="109" t="s">
        <v>115</v>
      </c>
      <c r="F41" s="93" t="s">
        <v>47</v>
      </c>
      <c r="H41" s="100" t="s">
        <v>116</v>
      </c>
      <c r="I41" s="270" t="s">
        <v>1427</v>
      </c>
      <c r="J41" s="730" t="s">
        <v>1150</v>
      </c>
      <c r="K41" s="732"/>
      <c r="L41" s="270" t="s">
        <v>1328</v>
      </c>
      <c r="M41" s="101"/>
      <c r="N41" s="270" t="s">
        <v>1426</v>
      </c>
      <c r="O41" s="101"/>
      <c r="P41" s="101"/>
      <c r="Q41" s="101"/>
      <c r="R41" s="101"/>
      <c r="S41" s="100" t="s">
        <v>117</v>
      </c>
      <c r="T41" s="102" t="s">
        <v>1430</v>
      </c>
      <c r="U41" s="102"/>
    </row>
    <row r="42" spans="2:22" x14ac:dyDescent="0.45">
      <c r="B42" s="96">
        <f>B41+1</f>
        <v>2</v>
      </c>
      <c r="C42" s="48" t="s">
        <v>118</v>
      </c>
      <c r="D42" s="93" t="s">
        <v>45</v>
      </c>
      <c r="E42" s="109" t="s">
        <v>119</v>
      </c>
      <c r="F42" s="93" t="s">
        <v>47</v>
      </c>
      <c r="H42" s="101"/>
      <c r="I42" s="101"/>
      <c r="J42" s="101"/>
      <c r="K42" s="101"/>
      <c r="L42" s="101"/>
      <c r="M42" s="101"/>
      <c r="N42" s="101"/>
      <c r="O42" s="101"/>
      <c r="P42" s="740" t="s">
        <v>120</v>
      </c>
      <c r="Q42" s="741"/>
      <c r="R42" s="741"/>
      <c r="S42" s="742"/>
      <c r="U42" s="103"/>
    </row>
    <row r="43" spans="2:22" x14ac:dyDescent="0.45">
      <c r="B43" s="96">
        <f t="shared" ref="B43:B46" si="2">B42+1</f>
        <v>3</v>
      </c>
      <c r="C43" s="48" t="s">
        <v>121</v>
      </c>
      <c r="D43" s="93" t="s">
        <v>45</v>
      </c>
      <c r="E43" s="109" t="s">
        <v>122</v>
      </c>
      <c r="F43" s="93" t="s">
        <v>1329</v>
      </c>
      <c r="H43" s="740" t="s">
        <v>123</v>
      </c>
      <c r="I43" s="741"/>
      <c r="J43" s="741"/>
      <c r="K43" s="741"/>
      <c r="L43" s="741"/>
      <c r="M43" s="741"/>
      <c r="N43" s="741"/>
      <c r="O43" s="741"/>
      <c r="P43" s="741"/>
      <c r="Q43" s="741"/>
      <c r="R43" s="741"/>
      <c r="S43" s="742"/>
      <c r="T43" s="110"/>
      <c r="U43" s="103"/>
    </row>
    <row r="44" spans="2:22" x14ac:dyDescent="0.45">
      <c r="B44" s="96">
        <f t="shared" si="2"/>
        <v>4</v>
      </c>
      <c r="C44" s="48" t="s">
        <v>124</v>
      </c>
      <c r="D44" s="93" t="s">
        <v>45</v>
      </c>
      <c r="E44" s="109" t="s">
        <v>125</v>
      </c>
      <c r="F44" s="93" t="s">
        <v>126</v>
      </c>
      <c r="H44" s="101"/>
      <c r="I44" s="101"/>
      <c r="J44" s="101"/>
      <c r="K44" s="101"/>
      <c r="L44" s="101"/>
      <c r="M44" s="101"/>
      <c r="N44" s="101"/>
      <c r="O44" s="101"/>
      <c r="P44" s="740" t="s">
        <v>127</v>
      </c>
      <c r="Q44" s="741"/>
      <c r="R44" s="741"/>
      <c r="S44" s="742"/>
      <c r="T44" s="104"/>
      <c r="U44" s="103"/>
    </row>
    <row r="45" spans="2:22" x14ac:dyDescent="0.45">
      <c r="B45" s="96">
        <f t="shared" si="2"/>
        <v>5</v>
      </c>
      <c r="C45" s="48" t="s">
        <v>128</v>
      </c>
      <c r="D45" s="93" t="s">
        <v>45</v>
      </c>
      <c r="E45" s="109" t="s">
        <v>129</v>
      </c>
      <c r="F45" s="93" t="s">
        <v>47</v>
      </c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0" t="s">
        <v>130</v>
      </c>
      <c r="S45" s="100" t="s">
        <v>131</v>
      </c>
      <c r="T45" s="110"/>
      <c r="U45" s="103"/>
    </row>
    <row r="46" spans="2:22" x14ac:dyDescent="0.45">
      <c r="B46" s="96">
        <f t="shared" si="2"/>
        <v>6</v>
      </c>
      <c r="C46" s="48" t="s">
        <v>132</v>
      </c>
      <c r="D46" s="93" t="s">
        <v>45</v>
      </c>
      <c r="E46" s="109" t="s">
        <v>133</v>
      </c>
      <c r="F46" s="269" t="s">
        <v>1052</v>
      </c>
      <c r="H46" s="740" t="s">
        <v>134</v>
      </c>
      <c r="I46" s="741"/>
      <c r="J46" s="741"/>
      <c r="K46" s="741"/>
      <c r="L46" s="741"/>
      <c r="M46" s="741"/>
      <c r="N46" s="741"/>
      <c r="O46" s="741"/>
      <c r="P46" s="741"/>
      <c r="Q46" s="741"/>
      <c r="R46" s="741"/>
      <c r="S46" s="742"/>
      <c r="T46" s="110"/>
      <c r="U46" s="103"/>
    </row>
    <row r="47" spans="2:22" x14ac:dyDescent="0.45">
      <c r="B47" s="96"/>
      <c r="C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104"/>
      <c r="U47" s="103"/>
    </row>
    <row r="48" spans="2:22" x14ac:dyDescent="0.45">
      <c r="B48" s="96">
        <v>1</v>
      </c>
      <c r="C48" s="48" t="s">
        <v>135</v>
      </c>
      <c r="D48" s="93" t="s">
        <v>45</v>
      </c>
      <c r="E48" s="93" t="s">
        <v>46</v>
      </c>
      <c r="F48" s="93" t="s">
        <v>47</v>
      </c>
      <c r="H48" s="101"/>
      <c r="I48" s="101"/>
      <c r="J48" s="101"/>
      <c r="K48" s="101"/>
      <c r="L48" s="752" t="s">
        <v>136</v>
      </c>
      <c r="M48" s="753"/>
      <c r="N48" s="753"/>
      <c r="O48" s="753"/>
      <c r="P48" s="753"/>
      <c r="Q48" s="753"/>
      <c r="R48" s="753"/>
      <c r="S48" s="754"/>
      <c r="T48" s="104"/>
      <c r="U48" s="103"/>
      <c r="V48" s="43">
        <v>8</v>
      </c>
    </row>
    <row r="49" spans="2:22" x14ac:dyDescent="0.45">
      <c r="B49" s="96">
        <f>B48+1</f>
        <v>2</v>
      </c>
      <c r="C49" s="48" t="s">
        <v>137</v>
      </c>
      <c r="D49" s="93" t="s">
        <v>45</v>
      </c>
      <c r="E49" s="93" t="s">
        <v>138</v>
      </c>
      <c r="F49" s="269" t="s">
        <v>139</v>
      </c>
      <c r="H49" s="101"/>
      <c r="I49" s="101"/>
      <c r="J49" s="101"/>
      <c r="K49" s="101"/>
      <c r="L49" s="101"/>
      <c r="M49" s="752" t="s">
        <v>1330</v>
      </c>
      <c r="N49" s="753"/>
      <c r="O49" s="753"/>
      <c r="P49" s="753"/>
      <c r="Q49" s="753"/>
      <c r="R49" s="753"/>
      <c r="S49" s="754"/>
      <c r="T49" s="104" t="s">
        <v>1331</v>
      </c>
      <c r="U49" s="103"/>
      <c r="V49" s="43">
        <v>7</v>
      </c>
    </row>
    <row r="50" spans="2:22" x14ac:dyDescent="0.45">
      <c r="B50" s="96">
        <f t="shared" ref="B50:B75" si="3">B49+1</f>
        <v>3</v>
      </c>
      <c r="C50" s="48" t="s">
        <v>140</v>
      </c>
      <c r="D50" s="93" t="s">
        <v>45</v>
      </c>
      <c r="E50" s="93" t="s">
        <v>141</v>
      </c>
      <c r="F50" s="269" t="s">
        <v>236</v>
      </c>
      <c r="H50" s="101"/>
      <c r="I50" s="101"/>
      <c r="J50" s="101"/>
      <c r="K50" s="101"/>
      <c r="L50" s="101"/>
      <c r="M50" s="101"/>
      <c r="N50" s="752" t="s">
        <v>254</v>
      </c>
      <c r="O50" s="753"/>
      <c r="P50" s="753"/>
      <c r="Q50" s="753"/>
      <c r="R50" s="753"/>
      <c r="S50" s="754"/>
      <c r="T50" s="104"/>
      <c r="U50" s="103"/>
      <c r="V50" s="43">
        <v>5</v>
      </c>
    </row>
    <row r="51" spans="2:22" s="41" customFormat="1" x14ac:dyDescent="0.45">
      <c r="B51" s="96">
        <f t="shared" si="3"/>
        <v>4</v>
      </c>
      <c r="C51" s="48" t="s">
        <v>142</v>
      </c>
      <c r="D51" s="93" t="s">
        <v>45</v>
      </c>
      <c r="E51" s="93" t="s">
        <v>51</v>
      </c>
      <c r="F51" s="93" t="s">
        <v>139</v>
      </c>
      <c r="G51" s="93"/>
      <c r="H51" s="101"/>
      <c r="I51" s="101"/>
      <c r="J51" s="101"/>
      <c r="K51" s="101"/>
      <c r="L51" s="101"/>
      <c r="M51" s="752" t="s">
        <v>1332</v>
      </c>
      <c r="N51" s="753"/>
      <c r="O51" s="753"/>
      <c r="P51" s="753"/>
      <c r="Q51" s="753"/>
      <c r="R51" s="753"/>
      <c r="S51" s="754"/>
      <c r="T51" s="104"/>
      <c r="U51" s="103"/>
      <c r="V51" s="48">
        <v>7</v>
      </c>
    </row>
    <row r="52" spans="2:22" s="41" customFormat="1" x14ac:dyDescent="0.45">
      <c r="B52" s="96">
        <f t="shared" si="3"/>
        <v>5</v>
      </c>
      <c r="C52" s="48" t="s">
        <v>143</v>
      </c>
      <c r="D52" s="93" t="s">
        <v>45</v>
      </c>
      <c r="E52" s="93" t="s">
        <v>52</v>
      </c>
      <c r="F52" s="93" t="s">
        <v>139</v>
      </c>
      <c r="G52" s="93"/>
      <c r="H52" s="101"/>
      <c r="I52" s="101"/>
      <c r="J52" s="101"/>
      <c r="K52" s="101"/>
      <c r="L52" s="101"/>
      <c r="M52" s="752" t="s">
        <v>1333</v>
      </c>
      <c r="N52" s="753"/>
      <c r="O52" s="753"/>
      <c r="P52" s="753"/>
      <c r="Q52" s="753"/>
      <c r="R52" s="753"/>
      <c r="S52" s="754"/>
      <c r="T52" s="104"/>
      <c r="U52" s="103"/>
      <c r="V52" s="48">
        <v>7</v>
      </c>
    </row>
    <row r="53" spans="2:22" s="41" customFormat="1" x14ac:dyDescent="0.45">
      <c r="B53" s="96">
        <f t="shared" si="3"/>
        <v>6</v>
      </c>
      <c r="C53" s="48" t="s">
        <v>144</v>
      </c>
      <c r="D53" s="93" t="s">
        <v>45</v>
      </c>
      <c r="E53" s="93" t="s">
        <v>145</v>
      </c>
      <c r="F53" s="93" t="s">
        <v>139</v>
      </c>
      <c r="G53" s="93"/>
      <c r="H53" s="101"/>
      <c r="I53" s="101"/>
      <c r="J53" s="101"/>
      <c r="K53" s="101"/>
      <c r="L53" s="101"/>
      <c r="M53" s="752" t="s">
        <v>1334</v>
      </c>
      <c r="N53" s="753"/>
      <c r="O53" s="753"/>
      <c r="P53" s="753"/>
      <c r="Q53" s="753"/>
      <c r="R53" s="753"/>
      <c r="S53" s="754"/>
      <c r="T53" s="104"/>
      <c r="U53" s="103"/>
      <c r="V53" s="48">
        <v>7</v>
      </c>
    </row>
    <row r="54" spans="2:22" s="41" customFormat="1" x14ac:dyDescent="0.45">
      <c r="B54" s="96">
        <f t="shared" si="3"/>
        <v>7</v>
      </c>
      <c r="C54" s="48" t="s">
        <v>146</v>
      </c>
      <c r="D54" s="93" t="s">
        <v>45</v>
      </c>
      <c r="E54" s="93" t="s">
        <v>54</v>
      </c>
      <c r="F54" s="93" t="s">
        <v>139</v>
      </c>
      <c r="G54" s="93"/>
      <c r="H54" s="101"/>
      <c r="I54" s="101"/>
      <c r="J54" s="101"/>
      <c r="K54" s="101"/>
      <c r="L54" s="101"/>
      <c r="M54" s="752" t="s">
        <v>1335</v>
      </c>
      <c r="N54" s="753"/>
      <c r="O54" s="753"/>
      <c r="P54" s="753"/>
      <c r="Q54" s="753"/>
      <c r="R54" s="753"/>
      <c r="S54" s="754"/>
      <c r="T54" s="104"/>
      <c r="U54" s="103"/>
      <c r="V54" s="48">
        <v>7</v>
      </c>
    </row>
    <row r="55" spans="2:22" s="41" customFormat="1" x14ac:dyDescent="0.45">
      <c r="B55" s="96">
        <f t="shared" si="3"/>
        <v>8</v>
      </c>
      <c r="C55" s="48" t="s">
        <v>147</v>
      </c>
      <c r="D55" s="93" t="s">
        <v>45</v>
      </c>
      <c r="E55" s="93" t="s">
        <v>148</v>
      </c>
      <c r="F55" s="93" t="s">
        <v>139</v>
      </c>
      <c r="G55" s="93"/>
      <c r="H55" s="101"/>
      <c r="I55" s="101"/>
      <c r="J55" s="101"/>
      <c r="K55" s="101"/>
      <c r="L55" s="101"/>
      <c r="M55" s="752" t="s">
        <v>1336</v>
      </c>
      <c r="N55" s="753"/>
      <c r="O55" s="753"/>
      <c r="P55" s="753"/>
      <c r="Q55" s="753"/>
      <c r="R55" s="753"/>
      <c r="S55" s="754"/>
      <c r="T55" s="104"/>
      <c r="U55" s="103"/>
      <c r="V55" s="48">
        <v>7</v>
      </c>
    </row>
    <row r="56" spans="2:22" s="41" customFormat="1" x14ac:dyDescent="0.45">
      <c r="B56" s="96">
        <f t="shared" si="3"/>
        <v>9</v>
      </c>
      <c r="C56" s="48" t="s">
        <v>149</v>
      </c>
      <c r="D56" s="93" t="s">
        <v>45</v>
      </c>
      <c r="E56" s="93" t="s">
        <v>57</v>
      </c>
      <c r="F56" s="93" t="s">
        <v>139</v>
      </c>
      <c r="G56" s="93"/>
      <c r="H56" s="101"/>
      <c r="I56" s="101"/>
      <c r="J56" s="101"/>
      <c r="K56" s="101"/>
      <c r="L56" s="101"/>
      <c r="M56" s="752" t="s">
        <v>1337</v>
      </c>
      <c r="N56" s="753"/>
      <c r="O56" s="753"/>
      <c r="P56" s="753"/>
      <c r="Q56" s="753"/>
      <c r="R56" s="753"/>
      <c r="S56" s="754"/>
      <c r="T56" s="104"/>
      <c r="U56" s="103"/>
      <c r="V56" s="48">
        <v>7</v>
      </c>
    </row>
    <row r="57" spans="2:22" s="41" customFormat="1" x14ac:dyDescent="0.45">
      <c r="B57" s="96">
        <f t="shared" si="3"/>
        <v>10</v>
      </c>
      <c r="C57" s="48" t="s">
        <v>150</v>
      </c>
      <c r="D57" s="93" t="s">
        <v>45</v>
      </c>
      <c r="E57" s="93" t="s">
        <v>60</v>
      </c>
      <c r="F57" s="93" t="s">
        <v>139</v>
      </c>
      <c r="G57" s="93"/>
      <c r="H57" s="101"/>
      <c r="I57" s="101"/>
      <c r="J57" s="101"/>
      <c r="K57" s="101"/>
      <c r="L57" s="101"/>
      <c r="M57" s="752" t="s">
        <v>1338</v>
      </c>
      <c r="N57" s="753"/>
      <c r="O57" s="753"/>
      <c r="P57" s="753"/>
      <c r="Q57" s="753"/>
      <c r="R57" s="753"/>
      <c r="S57" s="754"/>
      <c r="T57" s="104"/>
      <c r="U57" s="103"/>
      <c r="V57" s="48">
        <v>7</v>
      </c>
    </row>
    <row r="58" spans="2:22" s="41" customFormat="1" x14ac:dyDescent="0.45">
      <c r="B58" s="96">
        <f t="shared" si="3"/>
        <v>11</v>
      </c>
      <c r="C58" s="48" t="s">
        <v>151</v>
      </c>
      <c r="D58" s="93" t="s">
        <v>45</v>
      </c>
      <c r="E58" s="93" t="s">
        <v>152</v>
      </c>
      <c r="F58" s="93" t="s">
        <v>139</v>
      </c>
      <c r="G58" s="93"/>
      <c r="H58" s="101"/>
      <c r="I58" s="101"/>
      <c r="J58" s="101"/>
      <c r="K58" s="101"/>
      <c r="L58" s="101"/>
      <c r="M58" s="752" t="s">
        <v>1339</v>
      </c>
      <c r="N58" s="753"/>
      <c r="O58" s="753"/>
      <c r="P58" s="753"/>
      <c r="Q58" s="753"/>
      <c r="R58" s="753"/>
      <c r="S58" s="754"/>
      <c r="T58" s="104"/>
      <c r="U58" s="103"/>
      <c r="V58" s="48">
        <v>7</v>
      </c>
    </row>
    <row r="59" spans="2:22" s="41" customFormat="1" x14ac:dyDescent="0.45">
      <c r="B59" s="96">
        <f t="shared" si="3"/>
        <v>12</v>
      </c>
      <c r="C59" s="48" t="s">
        <v>153</v>
      </c>
      <c r="D59" s="93" t="s">
        <v>45</v>
      </c>
      <c r="E59" s="93" t="s">
        <v>75</v>
      </c>
      <c r="F59" s="93" t="s">
        <v>139</v>
      </c>
      <c r="G59" s="93"/>
      <c r="H59" s="101"/>
      <c r="I59" s="101"/>
      <c r="J59" s="101"/>
      <c r="K59" s="101"/>
      <c r="L59" s="101"/>
      <c r="M59" s="752" t="s">
        <v>1340</v>
      </c>
      <c r="N59" s="753"/>
      <c r="O59" s="753"/>
      <c r="P59" s="753"/>
      <c r="Q59" s="753"/>
      <c r="R59" s="753"/>
      <c r="S59" s="754"/>
      <c r="T59" s="104"/>
      <c r="U59" s="103"/>
      <c r="V59" s="48">
        <v>7</v>
      </c>
    </row>
    <row r="60" spans="2:22" s="41" customFormat="1" x14ac:dyDescent="0.45">
      <c r="B60" s="96">
        <f t="shared" si="3"/>
        <v>13</v>
      </c>
      <c r="C60" s="48" t="s">
        <v>154</v>
      </c>
      <c r="D60" s="93" t="s">
        <v>45</v>
      </c>
      <c r="E60" s="93" t="s">
        <v>80</v>
      </c>
      <c r="F60" s="93" t="s">
        <v>139</v>
      </c>
      <c r="G60" s="93"/>
      <c r="H60" s="101"/>
      <c r="I60" s="101"/>
      <c r="J60" s="101"/>
      <c r="K60" s="101"/>
      <c r="L60" s="101"/>
      <c r="M60" s="752" t="s">
        <v>1341</v>
      </c>
      <c r="N60" s="753"/>
      <c r="O60" s="753"/>
      <c r="P60" s="753"/>
      <c r="Q60" s="753"/>
      <c r="R60" s="753"/>
      <c r="S60" s="754"/>
      <c r="T60" s="104"/>
      <c r="U60" s="103"/>
      <c r="V60" s="48">
        <v>7</v>
      </c>
    </row>
    <row r="61" spans="2:22" s="41" customFormat="1" x14ac:dyDescent="0.45">
      <c r="B61" s="96">
        <f t="shared" si="3"/>
        <v>14</v>
      </c>
      <c r="C61" s="48" t="s">
        <v>155</v>
      </c>
      <c r="D61" s="93" t="s">
        <v>45</v>
      </c>
      <c r="E61" s="93" t="s">
        <v>84</v>
      </c>
      <c r="F61" s="93" t="s">
        <v>139</v>
      </c>
      <c r="G61" s="93"/>
      <c r="H61" s="101"/>
      <c r="I61" s="101"/>
      <c r="J61" s="101"/>
      <c r="K61" s="101"/>
      <c r="L61" s="101"/>
      <c r="M61" s="752" t="s">
        <v>1342</v>
      </c>
      <c r="N61" s="753"/>
      <c r="O61" s="753"/>
      <c r="P61" s="753"/>
      <c r="Q61" s="753"/>
      <c r="R61" s="753"/>
      <c r="S61" s="754"/>
      <c r="T61" s="104"/>
      <c r="U61" s="103"/>
      <c r="V61" s="48">
        <v>7</v>
      </c>
    </row>
    <row r="62" spans="2:22" s="41" customFormat="1" x14ac:dyDescent="0.45">
      <c r="B62" s="96">
        <f t="shared" si="3"/>
        <v>15</v>
      </c>
      <c r="C62" s="48" t="s">
        <v>156</v>
      </c>
      <c r="D62" s="93" t="s">
        <v>45</v>
      </c>
      <c r="E62" s="93" t="s">
        <v>87</v>
      </c>
      <c r="F62" s="93" t="s">
        <v>139</v>
      </c>
      <c r="G62" s="93"/>
      <c r="H62" s="101"/>
      <c r="I62" s="101"/>
      <c r="J62" s="101"/>
      <c r="K62" s="101"/>
      <c r="L62" s="101"/>
      <c r="M62" s="752" t="s">
        <v>1343</v>
      </c>
      <c r="N62" s="753"/>
      <c r="O62" s="753"/>
      <c r="P62" s="753"/>
      <c r="Q62" s="753"/>
      <c r="R62" s="753"/>
      <c r="S62" s="754"/>
      <c r="T62" s="104"/>
      <c r="U62" s="103"/>
      <c r="V62" s="48">
        <v>7</v>
      </c>
    </row>
    <row r="63" spans="2:22" s="41" customFormat="1" x14ac:dyDescent="0.45">
      <c r="B63" s="96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104"/>
      <c r="U63" s="103"/>
      <c r="V63" s="48"/>
    </row>
    <row r="64" spans="2:22" s="41" customFormat="1" x14ac:dyDescent="0.45">
      <c r="B64" s="96">
        <f>B62+1</f>
        <v>16</v>
      </c>
      <c r="C64" s="48" t="s">
        <v>157</v>
      </c>
      <c r="D64" s="93" t="s">
        <v>45</v>
      </c>
      <c r="E64" s="93" t="s">
        <v>158</v>
      </c>
      <c r="F64" s="93" t="s">
        <v>159</v>
      </c>
      <c r="G64" s="93"/>
      <c r="H64" s="101"/>
      <c r="I64" s="101"/>
      <c r="J64" s="101"/>
      <c r="K64" s="101"/>
      <c r="L64" s="101"/>
      <c r="M64" s="752" t="s">
        <v>1344</v>
      </c>
      <c r="N64" s="753"/>
      <c r="O64" s="753"/>
      <c r="P64" s="753"/>
      <c r="Q64" s="753"/>
      <c r="R64" s="753"/>
      <c r="S64" s="754"/>
      <c r="T64" s="104"/>
      <c r="U64" s="103"/>
      <c r="V64" s="48">
        <v>7</v>
      </c>
    </row>
    <row r="65" spans="1:22" s="41" customFormat="1" x14ac:dyDescent="0.45">
      <c r="B65" s="96">
        <f t="shared" si="3"/>
        <v>17</v>
      </c>
      <c r="C65" s="48" t="s">
        <v>160</v>
      </c>
      <c r="D65" s="93" t="s">
        <v>45</v>
      </c>
      <c r="E65" s="93" t="s">
        <v>161</v>
      </c>
      <c r="F65" s="93" t="s">
        <v>159</v>
      </c>
      <c r="G65" s="93"/>
      <c r="H65" s="101"/>
      <c r="I65" s="101"/>
      <c r="J65" s="101"/>
      <c r="K65" s="101"/>
      <c r="L65" s="101"/>
      <c r="M65" s="752" t="s">
        <v>1345</v>
      </c>
      <c r="N65" s="753"/>
      <c r="O65" s="753"/>
      <c r="P65" s="753"/>
      <c r="Q65" s="753"/>
      <c r="R65" s="753"/>
      <c r="S65" s="754"/>
      <c r="T65" s="104"/>
      <c r="U65" s="103"/>
      <c r="V65" s="48">
        <v>7</v>
      </c>
    </row>
    <row r="66" spans="1:22" s="41" customFormat="1" x14ac:dyDescent="0.45">
      <c r="B66" s="96">
        <f t="shared" si="3"/>
        <v>18</v>
      </c>
      <c r="C66" s="48" t="s">
        <v>162</v>
      </c>
      <c r="D66" s="93" t="s">
        <v>45</v>
      </c>
      <c r="E66" s="93" t="s">
        <v>163</v>
      </c>
      <c r="F66" s="93" t="s">
        <v>159</v>
      </c>
      <c r="G66" s="93"/>
      <c r="H66" s="101"/>
      <c r="I66" s="101"/>
      <c r="J66" s="101"/>
      <c r="K66" s="101"/>
      <c r="L66" s="101"/>
      <c r="M66" s="752" t="s">
        <v>1346</v>
      </c>
      <c r="N66" s="753"/>
      <c r="O66" s="753"/>
      <c r="P66" s="753"/>
      <c r="Q66" s="753"/>
      <c r="R66" s="753"/>
      <c r="S66" s="754"/>
      <c r="T66" s="104"/>
      <c r="U66" s="103"/>
      <c r="V66" s="48">
        <v>7</v>
      </c>
    </row>
    <row r="67" spans="1:22" s="41" customFormat="1" x14ac:dyDescent="0.45">
      <c r="B67" s="96">
        <f t="shared" si="3"/>
        <v>19</v>
      </c>
      <c r="C67" s="48" t="s">
        <v>164</v>
      </c>
      <c r="D67" s="93" t="s">
        <v>45</v>
      </c>
      <c r="E67" s="93" t="s">
        <v>165</v>
      </c>
      <c r="F67" s="93" t="s">
        <v>159</v>
      </c>
      <c r="G67" s="93"/>
      <c r="H67" s="101"/>
      <c r="I67" s="101"/>
      <c r="J67" s="101"/>
      <c r="K67" s="101"/>
      <c r="L67" s="101"/>
      <c r="M67" s="752" t="s">
        <v>1347</v>
      </c>
      <c r="N67" s="753"/>
      <c r="O67" s="753"/>
      <c r="P67" s="753"/>
      <c r="Q67" s="753"/>
      <c r="R67" s="753"/>
      <c r="S67" s="754"/>
      <c r="T67" s="104"/>
      <c r="U67" s="103"/>
      <c r="V67" s="48">
        <v>7</v>
      </c>
    </row>
    <row r="68" spans="1:22" s="41" customFormat="1" x14ac:dyDescent="0.45">
      <c r="B68" s="96">
        <f t="shared" si="3"/>
        <v>20</v>
      </c>
      <c r="C68" s="48" t="s">
        <v>166</v>
      </c>
      <c r="D68" s="93" t="s">
        <v>45</v>
      </c>
      <c r="E68" s="93" t="s">
        <v>167</v>
      </c>
      <c r="F68" s="93" t="s">
        <v>159</v>
      </c>
      <c r="G68" s="93"/>
      <c r="H68" s="101"/>
      <c r="I68" s="101"/>
      <c r="J68" s="101"/>
      <c r="K68" s="101"/>
      <c r="L68" s="101"/>
      <c r="M68" s="752" t="s">
        <v>1348</v>
      </c>
      <c r="N68" s="753"/>
      <c r="O68" s="753"/>
      <c r="P68" s="753"/>
      <c r="Q68" s="753"/>
      <c r="R68" s="753"/>
      <c r="S68" s="754"/>
      <c r="T68" s="104"/>
      <c r="U68" s="103"/>
      <c r="V68" s="48">
        <v>7</v>
      </c>
    </row>
    <row r="69" spans="1:22" s="41" customFormat="1" x14ac:dyDescent="0.45">
      <c r="B69" s="96">
        <f t="shared" si="3"/>
        <v>21</v>
      </c>
      <c r="C69" s="48" t="s">
        <v>168</v>
      </c>
      <c r="D69" s="93" t="s">
        <v>45</v>
      </c>
      <c r="E69" s="93" t="s">
        <v>169</v>
      </c>
      <c r="F69" s="93" t="s">
        <v>159</v>
      </c>
      <c r="G69" s="93"/>
      <c r="H69" s="101"/>
      <c r="I69" s="101"/>
      <c r="J69" s="101"/>
      <c r="K69" s="101"/>
      <c r="L69" s="101"/>
      <c r="M69" s="752" t="s">
        <v>1349</v>
      </c>
      <c r="N69" s="753"/>
      <c r="O69" s="753"/>
      <c r="P69" s="753"/>
      <c r="Q69" s="753"/>
      <c r="R69" s="753"/>
      <c r="S69" s="754"/>
      <c r="T69" s="104"/>
      <c r="U69" s="103"/>
      <c r="V69" s="48">
        <v>7</v>
      </c>
    </row>
    <row r="70" spans="1:22" s="41" customFormat="1" x14ac:dyDescent="0.45">
      <c r="A70" s="41" t="s">
        <v>170</v>
      </c>
      <c r="B70" s="96">
        <f t="shared" si="3"/>
        <v>22</v>
      </c>
      <c r="C70" s="48" t="s">
        <v>171</v>
      </c>
      <c r="D70" s="93" t="s">
        <v>45</v>
      </c>
      <c r="E70" s="93" t="s">
        <v>172</v>
      </c>
      <c r="F70" s="93" t="s">
        <v>159</v>
      </c>
      <c r="G70" s="93"/>
      <c r="H70" s="101"/>
      <c r="I70" s="101"/>
      <c r="J70" s="101"/>
      <c r="K70" s="101"/>
      <c r="L70" s="101"/>
      <c r="M70" s="752" t="s">
        <v>1350</v>
      </c>
      <c r="N70" s="753"/>
      <c r="O70" s="753"/>
      <c r="P70" s="753"/>
      <c r="Q70" s="753"/>
      <c r="R70" s="753"/>
      <c r="S70" s="754"/>
      <c r="T70" s="104"/>
      <c r="U70" s="103"/>
      <c r="V70" s="48">
        <v>7</v>
      </c>
    </row>
    <row r="71" spans="1:22" s="41" customFormat="1" x14ac:dyDescent="0.45">
      <c r="B71" s="96">
        <f t="shared" si="3"/>
        <v>23</v>
      </c>
      <c r="C71" s="48" t="s">
        <v>173</v>
      </c>
      <c r="D71" s="93" t="s">
        <v>45</v>
      </c>
      <c r="E71" s="93" t="s">
        <v>174</v>
      </c>
      <c r="F71" s="93" t="s">
        <v>159</v>
      </c>
      <c r="G71" s="93"/>
      <c r="H71" s="101"/>
      <c r="I71" s="101"/>
      <c r="J71" s="101"/>
      <c r="K71" s="101"/>
      <c r="L71" s="101"/>
      <c r="M71" s="752" t="s">
        <v>1351</v>
      </c>
      <c r="N71" s="753"/>
      <c r="O71" s="753"/>
      <c r="P71" s="753"/>
      <c r="Q71" s="753"/>
      <c r="R71" s="753"/>
      <c r="S71" s="754"/>
      <c r="T71" s="104"/>
      <c r="U71" s="103"/>
      <c r="V71" s="48">
        <v>7</v>
      </c>
    </row>
    <row r="72" spans="1:22" s="41" customFormat="1" x14ac:dyDescent="0.45">
      <c r="B72" s="96">
        <f t="shared" si="3"/>
        <v>24</v>
      </c>
      <c r="C72" s="48" t="s">
        <v>175</v>
      </c>
      <c r="D72" s="93" t="s">
        <v>45</v>
      </c>
      <c r="E72" s="93" t="s">
        <v>176</v>
      </c>
      <c r="F72" s="93" t="s">
        <v>159</v>
      </c>
      <c r="G72" s="93"/>
      <c r="H72" s="101"/>
      <c r="I72" s="101"/>
      <c r="J72" s="101"/>
      <c r="K72" s="101"/>
      <c r="L72" s="101"/>
      <c r="M72" s="752" t="s">
        <v>1352</v>
      </c>
      <c r="N72" s="753"/>
      <c r="O72" s="753"/>
      <c r="P72" s="753"/>
      <c r="Q72" s="753"/>
      <c r="R72" s="753"/>
      <c r="S72" s="754"/>
      <c r="T72" s="104"/>
      <c r="U72" s="103"/>
      <c r="V72" s="48">
        <v>7</v>
      </c>
    </row>
    <row r="73" spans="1:22" s="41" customFormat="1" x14ac:dyDescent="0.45">
      <c r="B73" s="96">
        <f t="shared" si="3"/>
        <v>25</v>
      </c>
      <c r="C73" s="48" t="s">
        <v>177</v>
      </c>
      <c r="D73" s="93" t="s">
        <v>45</v>
      </c>
      <c r="E73" s="93" t="s">
        <v>178</v>
      </c>
      <c r="F73" s="93" t="s">
        <v>159</v>
      </c>
      <c r="G73" s="93"/>
      <c r="H73" s="101"/>
      <c r="I73" s="101"/>
      <c r="J73" s="101"/>
      <c r="K73" s="101"/>
      <c r="L73" s="101"/>
      <c r="M73" s="752" t="s">
        <v>1353</v>
      </c>
      <c r="N73" s="753"/>
      <c r="O73" s="753"/>
      <c r="P73" s="753"/>
      <c r="Q73" s="753"/>
      <c r="R73" s="753"/>
      <c r="S73" s="754"/>
      <c r="T73" s="104"/>
      <c r="U73" s="103"/>
      <c r="V73" s="48">
        <v>7</v>
      </c>
    </row>
    <row r="74" spans="1:22" x14ac:dyDescent="0.45">
      <c r="B74" s="96">
        <f t="shared" si="3"/>
        <v>26</v>
      </c>
      <c r="C74" s="48" t="s">
        <v>179</v>
      </c>
      <c r="D74" s="93" t="s">
        <v>45</v>
      </c>
      <c r="E74" s="93" t="s">
        <v>180</v>
      </c>
      <c r="F74" s="93" t="s">
        <v>139</v>
      </c>
      <c r="H74" s="101"/>
      <c r="I74" s="101"/>
      <c r="J74" s="101"/>
      <c r="K74" s="101"/>
      <c r="L74" s="101"/>
      <c r="M74" s="752" t="s">
        <v>1354</v>
      </c>
      <c r="N74" s="753"/>
      <c r="O74" s="753"/>
      <c r="P74" s="753"/>
      <c r="Q74" s="753"/>
      <c r="R74" s="753"/>
      <c r="S74" s="754"/>
      <c r="T74" s="104"/>
      <c r="U74" s="103"/>
      <c r="V74" s="48">
        <v>7</v>
      </c>
    </row>
    <row r="75" spans="1:22" x14ac:dyDescent="0.45">
      <c r="B75" s="96">
        <f t="shared" si="3"/>
        <v>27</v>
      </c>
      <c r="C75" s="48" t="s">
        <v>181</v>
      </c>
      <c r="D75" s="93" t="s">
        <v>45</v>
      </c>
      <c r="E75" s="93" t="s">
        <v>106</v>
      </c>
      <c r="F75" s="93" t="s">
        <v>139</v>
      </c>
      <c r="H75" s="101"/>
      <c r="I75" s="101"/>
      <c r="J75" s="101"/>
      <c r="K75" s="101"/>
      <c r="L75" s="101"/>
      <c r="M75" s="752" t="s">
        <v>1355</v>
      </c>
      <c r="N75" s="753"/>
      <c r="O75" s="753"/>
      <c r="P75" s="753"/>
      <c r="Q75" s="753"/>
      <c r="R75" s="753"/>
      <c r="S75" s="754"/>
      <c r="T75" s="104"/>
      <c r="U75" s="103"/>
      <c r="V75" s="48">
        <v>7</v>
      </c>
    </row>
    <row r="76" spans="1:22" x14ac:dyDescent="0.45">
      <c r="V76" s="43">
        <v>188</v>
      </c>
    </row>
    <row r="84" spans="1:22" s="93" customFormat="1" x14ac:dyDescent="0.45">
      <c r="A84" s="43"/>
      <c r="B84" s="43"/>
      <c r="C84" s="48"/>
      <c r="H84" s="111"/>
      <c r="T84" s="94"/>
      <c r="U84" s="95"/>
      <c r="V84" s="43"/>
    </row>
    <row r="86" spans="1:22" s="93" customFormat="1" x14ac:dyDescent="0.45">
      <c r="A86" s="43"/>
      <c r="B86" s="43"/>
      <c r="C86" s="48"/>
      <c r="H86" s="111"/>
      <c r="T86" s="94"/>
      <c r="U86" s="95"/>
      <c r="V86" s="43"/>
    </row>
  </sheetData>
  <mergeCells count="70">
    <mergeCell ref="L8:S8"/>
    <mergeCell ref="L4:M4"/>
    <mergeCell ref="O3:S3"/>
    <mergeCell ref="H5:S5"/>
    <mergeCell ref="L6:S6"/>
    <mergeCell ref="I7:L7"/>
    <mergeCell ref="O7:S7"/>
    <mergeCell ref="H9:S9"/>
    <mergeCell ref="P10:S10"/>
    <mergeCell ref="H11:S11"/>
    <mergeCell ref="I15:K15"/>
    <mergeCell ref="M15:O15"/>
    <mergeCell ref="Q15:S15"/>
    <mergeCell ref="L28:S28"/>
    <mergeCell ref="L17:S17"/>
    <mergeCell ref="L18:S18"/>
    <mergeCell ref="L19:S19"/>
    <mergeCell ref="L20:S20"/>
    <mergeCell ref="L21:S21"/>
    <mergeCell ref="L22:S22"/>
    <mergeCell ref="L23:S23"/>
    <mergeCell ref="L24:S24"/>
    <mergeCell ref="L25:S25"/>
    <mergeCell ref="L26:S26"/>
    <mergeCell ref="L27:S27"/>
    <mergeCell ref="N30:S30"/>
    <mergeCell ref="H38:K38"/>
    <mergeCell ref="M38:O38"/>
    <mergeCell ref="P38:S38"/>
    <mergeCell ref="J32:S32"/>
    <mergeCell ref="H30:M30"/>
    <mergeCell ref="M31:S31"/>
    <mergeCell ref="H33:S33"/>
    <mergeCell ref="O35:S35"/>
    <mergeCell ref="I36:S36"/>
    <mergeCell ref="I37:S37"/>
    <mergeCell ref="N34:S34"/>
    <mergeCell ref="P42:S42"/>
    <mergeCell ref="J41:K41"/>
    <mergeCell ref="H43:S43"/>
    <mergeCell ref="P44:S44"/>
    <mergeCell ref="H46:S46"/>
    <mergeCell ref="M62:S62"/>
    <mergeCell ref="M51:S51"/>
    <mergeCell ref="M52:S52"/>
    <mergeCell ref="M53:S53"/>
    <mergeCell ref="M54:S54"/>
    <mergeCell ref="M55:S55"/>
    <mergeCell ref="M56:S56"/>
    <mergeCell ref="M57:S57"/>
    <mergeCell ref="M58:S58"/>
    <mergeCell ref="M59:S59"/>
    <mergeCell ref="M60:S60"/>
    <mergeCell ref="M61:S61"/>
    <mergeCell ref="H39:S39"/>
    <mergeCell ref="M75:S75"/>
    <mergeCell ref="M64:S64"/>
    <mergeCell ref="M65:S65"/>
    <mergeCell ref="M66:S66"/>
    <mergeCell ref="M67:S67"/>
    <mergeCell ref="M68:S68"/>
    <mergeCell ref="M69:S69"/>
    <mergeCell ref="M70:S70"/>
    <mergeCell ref="M71:S71"/>
    <mergeCell ref="M72:S72"/>
    <mergeCell ref="M73:S73"/>
    <mergeCell ref="M74:S74"/>
    <mergeCell ref="L48:S48"/>
    <mergeCell ref="M49:S49"/>
    <mergeCell ref="N50:S50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0012-B849-4B67-9701-5D0CA1B80C9E}">
  <sheetPr>
    <tabColor theme="0" tint="-0.249977111117893"/>
  </sheetPr>
  <dimension ref="B2:FQ69"/>
  <sheetViews>
    <sheetView showGridLines="0" zoomScaleNormal="100" workbookViewId="0"/>
  </sheetViews>
  <sheetFormatPr defaultRowHeight="15" customHeight="1" x14ac:dyDescent="0.45"/>
  <cols>
    <col min="2" max="2" width="15.33203125" style="358" bestFit="1" customWidth="1"/>
    <col min="3" max="3" width="1.08203125" style="1" customWidth="1"/>
    <col min="4" max="73" width="1" style="1" customWidth="1"/>
    <col min="74" max="173" width="1" customWidth="1"/>
  </cols>
  <sheetData>
    <row r="2" spans="2:173" ht="15" customHeight="1" x14ac:dyDescent="0.45">
      <c r="B2" s="399" t="s">
        <v>1289</v>
      </c>
      <c r="D2" s="400" t="s">
        <v>1385</v>
      </c>
    </row>
    <row r="3" spans="2:173" ht="15" customHeight="1" x14ac:dyDescent="0.45">
      <c r="L3" s="401"/>
      <c r="M3" s="401" t="s">
        <v>1386</v>
      </c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1"/>
      <c r="AP3" s="401"/>
      <c r="AQ3" s="401"/>
      <c r="AR3" s="401"/>
      <c r="AS3" s="401"/>
      <c r="AT3" s="401"/>
      <c r="AU3" s="401"/>
      <c r="AV3" s="401"/>
      <c r="AW3" s="401"/>
      <c r="AX3" s="401"/>
      <c r="AY3" s="401"/>
      <c r="AZ3" s="401"/>
      <c r="BA3" s="401"/>
      <c r="BB3" s="401"/>
      <c r="BC3" s="401"/>
      <c r="BD3" s="401"/>
      <c r="BE3" s="401"/>
      <c r="BF3" s="401"/>
      <c r="BG3" s="401"/>
      <c r="BH3" s="401"/>
      <c r="BI3" s="401"/>
      <c r="BJ3" s="401"/>
      <c r="BK3" s="401"/>
      <c r="BL3" s="401"/>
      <c r="BM3" s="401" t="s">
        <v>1387</v>
      </c>
      <c r="BN3" s="401"/>
      <c r="BO3" s="401"/>
      <c r="BP3" s="401"/>
      <c r="BQ3" s="401"/>
      <c r="BR3" s="401"/>
      <c r="BS3" s="401"/>
      <c r="BT3" s="401"/>
      <c r="BU3" s="401"/>
      <c r="BV3" s="401"/>
      <c r="BW3" s="401"/>
      <c r="BX3" s="401"/>
      <c r="BY3" s="401"/>
      <c r="BZ3" s="401"/>
      <c r="CA3" s="401"/>
      <c r="CB3" s="401"/>
      <c r="CC3" s="401"/>
      <c r="CD3" s="401"/>
      <c r="CE3" s="401"/>
      <c r="CF3" s="401"/>
      <c r="CG3" s="401"/>
      <c r="CH3" s="401"/>
      <c r="CI3" s="401"/>
      <c r="CJ3" s="401"/>
      <c r="CK3" s="401"/>
      <c r="CL3" s="401"/>
      <c r="CM3" s="401"/>
      <c r="CN3" s="401"/>
      <c r="CO3" s="401"/>
      <c r="CP3" s="401"/>
      <c r="CQ3" s="401"/>
      <c r="CR3" s="401"/>
      <c r="CS3" s="401"/>
      <c r="CT3" s="401"/>
      <c r="CU3" s="401"/>
      <c r="CV3" s="401"/>
      <c r="CW3" s="401"/>
      <c r="CX3" s="401"/>
      <c r="CY3" s="401"/>
      <c r="CZ3" s="401"/>
      <c r="DA3" s="401"/>
      <c r="DB3" s="401"/>
      <c r="DC3" s="401"/>
      <c r="DD3" s="401"/>
      <c r="DE3" s="401"/>
      <c r="DF3" s="401"/>
      <c r="DG3" s="401"/>
      <c r="DH3" s="401"/>
      <c r="DI3" s="401"/>
      <c r="DJ3" s="401"/>
      <c r="DK3" s="401"/>
      <c r="DL3" s="401"/>
      <c r="DM3" s="401" t="s">
        <v>1388</v>
      </c>
      <c r="DN3" s="401"/>
      <c r="DO3" s="401"/>
      <c r="DP3" s="401"/>
      <c r="DQ3" s="401"/>
      <c r="DR3" s="401"/>
      <c r="DS3" s="401"/>
      <c r="DT3" s="401"/>
      <c r="DU3" s="401"/>
      <c r="DV3" s="401"/>
      <c r="DW3" s="401"/>
      <c r="DX3" s="401"/>
      <c r="DY3" s="401"/>
      <c r="DZ3" s="401"/>
      <c r="EA3" s="401"/>
      <c r="EB3" s="401"/>
      <c r="EC3" s="401"/>
      <c r="ED3" s="401"/>
      <c r="EE3" s="401"/>
      <c r="EF3" s="401"/>
      <c r="EG3" s="401"/>
      <c r="EH3" s="402"/>
      <c r="EI3" s="402"/>
      <c r="EJ3" s="402"/>
      <c r="EK3" s="402"/>
      <c r="EL3" s="402"/>
      <c r="EM3" s="402"/>
      <c r="EN3" s="402"/>
      <c r="EO3" s="402"/>
      <c r="EP3" s="402"/>
      <c r="EQ3" s="402"/>
      <c r="ER3" s="402"/>
      <c r="ES3" s="402"/>
      <c r="ET3" s="402"/>
      <c r="EU3" s="402"/>
      <c r="EV3" s="402"/>
    </row>
    <row r="4" spans="2:173" ht="15" customHeight="1" x14ac:dyDescent="0.45">
      <c r="B4" s="358" t="s">
        <v>1389</v>
      </c>
      <c r="D4" s="403"/>
      <c r="E4" s="403"/>
      <c r="F4" s="403"/>
      <c r="G4" s="403"/>
      <c r="H4" s="403"/>
      <c r="I4" s="403"/>
      <c r="J4" s="403"/>
      <c r="K4" s="403"/>
      <c r="L4" s="403"/>
      <c r="M4" s="404"/>
      <c r="N4" s="405"/>
      <c r="O4" s="165"/>
      <c r="P4" s="165"/>
      <c r="Q4" s="165"/>
      <c r="R4" s="165"/>
      <c r="S4" s="165"/>
      <c r="T4" s="165"/>
      <c r="U4" s="165"/>
      <c r="V4" s="165"/>
      <c r="W4" s="406"/>
      <c r="X4" s="406"/>
      <c r="Y4" s="406"/>
      <c r="Z4" s="406"/>
      <c r="AA4" s="406"/>
      <c r="AB4" s="406"/>
      <c r="AC4" s="406"/>
      <c r="AD4" s="406"/>
      <c r="AE4" s="406"/>
      <c r="AF4" s="406"/>
      <c r="AG4" s="406"/>
      <c r="AH4" s="406"/>
      <c r="AI4" s="406"/>
      <c r="AJ4" s="406"/>
      <c r="AK4" s="406"/>
      <c r="AL4" s="406"/>
      <c r="AM4" s="406"/>
      <c r="AN4" s="406"/>
      <c r="AO4" s="406"/>
      <c r="AP4" s="406"/>
      <c r="AQ4" s="406"/>
      <c r="AR4" s="406"/>
      <c r="AS4" s="406"/>
      <c r="AT4" s="406"/>
      <c r="AU4" s="406"/>
      <c r="AV4" s="406"/>
      <c r="AW4" s="406"/>
      <c r="AX4" s="406"/>
      <c r="AY4" s="406"/>
      <c r="AZ4" s="406"/>
      <c r="BA4" s="406"/>
      <c r="BB4" s="406"/>
      <c r="BC4" s="406"/>
      <c r="BD4" s="406"/>
      <c r="BE4" s="406"/>
      <c r="BF4" s="406"/>
      <c r="BG4" s="406"/>
      <c r="BH4" s="406"/>
      <c r="BI4" s="406"/>
      <c r="BJ4" s="406"/>
      <c r="BK4" s="406"/>
      <c r="BL4" s="406"/>
      <c r="BM4" s="407"/>
      <c r="BN4" s="408"/>
      <c r="BO4" s="156"/>
      <c r="BP4" s="156"/>
      <c r="BQ4" s="156"/>
      <c r="BR4" s="156"/>
      <c r="BS4" s="156"/>
      <c r="BT4" s="156"/>
      <c r="BU4" s="156"/>
      <c r="BV4" s="156"/>
      <c r="BW4" s="409"/>
      <c r="BX4" s="409"/>
      <c r="BY4" s="409"/>
      <c r="BZ4" s="409"/>
      <c r="CA4" s="409"/>
      <c r="CB4" s="409"/>
      <c r="CC4" s="409"/>
      <c r="CD4" s="409"/>
      <c r="CE4" s="409"/>
      <c r="CF4" s="409"/>
      <c r="CG4" s="409"/>
      <c r="CH4" s="409"/>
      <c r="CI4" s="409"/>
      <c r="CJ4" s="409"/>
      <c r="CK4" s="409"/>
      <c r="CL4" s="409"/>
      <c r="CM4" s="409"/>
      <c r="CN4" s="409"/>
      <c r="CO4" s="409"/>
      <c r="CP4" s="409"/>
      <c r="CQ4" s="409"/>
      <c r="CR4" s="409"/>
      <c r="CS4" s="409"/>
      <c r="CT4" s="409"/>
      <c r="CU4" s="409"/>
      <c r="CV4" s="409"/>
      <c r="CW4" s="409"/>
      <c r="CX4" s="409"/>
      <c r="CY4" s="409"/>
      <c r="CZ4" s="409"/>
      <c r="DA4" s="409"/>
      <c r="DB4" s="409"/>
      <c r="DC4" s="409"/>
      <c r="DD4" s="409"/>
      <c r="DE4" s="409"/>
      <c r="DF4" s="409"/>
      <c r="DG4" s="409"/>
      <c r="DH4" s="409"/>
      <c r="DI4" s="409"/>
      <c r="DJ4" s="409"/>
      <c r="DK4" s="409"/>
      <c r="DL4" s="409"/>
      <c r="DM4" s="407"/>
      <c r="DN4" s="408"/>
      <c r="DO4" s="156"/>
      <c r="DP4" s="156"/>
      <c r="DQ4" s="156"/>
      <c r="DR4" s="156"/>
      <c r="DS4" s="156"/>
      <c r="DT4" s="156"/>
      <c r="DU4" s="156"/>
      <c r="DV4" s="156"/>
      <c r="DW4" s="409"/>
      <c r="DX4" s="409"/>
      <c r="DY4" s="409"/>
      <c r="DZ4" s="409"/>
      <c r="EA4" s="409"/>
      <c r="EB4" s="409"/>
      <c r="EC4" s="409"/>
      <c r="ED4" s="409"/>
      <c r="EE4" s="409"/>
      <c r="EF4" s="409"/>
      <c r="EG4" s="409"/>
      <c r="EH4" s="409"/>
      <c r="EI4" s="409"/>
      <c r="EJ4" s="409"/>
      <c r="EK4" s="409"/>
      <c r="EL4" s="409"/>
      <c r="EM4" s="409"/>
      <c r="EN4" s="409"/>
      <c r="EO4" s="409"/>
      <c r="EP4" s="409"/>
      <c r="EQ4" s="409"/>
      <c r="ER4" s="409"/>
      <c r="ES4" s="409"/>
      <c r="ET4" s="409"/>
      <c r="EU4" s="409"/>
      <c r="EV4" s="409"/>
      <c r="EW4" s="409"/>
      <c r="EX4" s="409"/>
      <c r="EY4" s="409"/>
      <c r="EZ4" s="409"/>
      <c r="FA4" s="409"/>
      <c r="FB4" s="409"/>
      <c r="FC4" s="409"/>
      <c r="FD4" s="409"/>
      <c r="FE4" s="409"/>
      <c r="FF4" s="409"/>
      <c r="FG4" s="409"/>
      <c r="FH4" s="409"/>
      <c r="FI4" s="409"/>
      <c r="FJ4" s="409"/>
      <c r="FK4" s="409"/>
      <c r="FL4" s="409"/>
      <c r="FM4" s="407"/>
      <c r="FN4" s="408"/>
      <c r="FO4" s="156"/>
      <c r="FP4" s="156"/>
      <c r="FQ4" s="156"/>
    </row>
    <row r="5" spans="2:173" ht="15" customHeight="1" x14ac:dyDescent="0.45">
      <c r="M5" s="410"/>
      <c r="BL5" s="411"/>
      <c r="BM5" s="410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411"/>
      <c r="DM5" s="410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R5" s="1"/>
      <c r="ES5" s="1"/>
      <c r="ET5" s="1"/>
      <c r="EU5" s="1"/>
      <c r="EV5" s="1"/>
    </row>
    <row r="7" spans="2:173" ht="15" customHeight="1" x14ac:dyDescent="0.45">
      <c r="B7" s="358" t="s">
        <v>1390</v>
      </c>
      <c r="D7" s="164"/>
      <c r="E7" s="164"/>
      <c r="F7" s="164"/>
      <c r="G7" s="164"/>
      <c r="H7" s="164"/>
      <c r="I7" s="164"/>
      <c r="J7" s="164"/>
      <c r="K7" s="164"/>
      <c r="L7" s="164"/>
      <c r="M7" s="412">
        <v>1</v>
      </c>
      <c r="N7" s="413"/>
      <c r="O7" s="403"/>
      <c r="P7" s="414"/>
      <c r="Q7" s="412">
        <v>2</v>
      </c>
      <c r="R7" s="413"/>
      <c r="S7" s="403"/>
      <c r="T7" s="414"/>
      <c r="U7" s="412">
        <v>3</v>
      </c>
      <c r="V7" s="413"/>
      <c r="W7" s="403"/>
      <c r="X7" s="414"/>
      <c r="Y7" s="412">
        <v>4</v>
      </c>
      <c r="Z7" s="413"/>
      <c r="AA7" s="403"/>
      <c r="AB7" s="414"/>
      <c r="AC7" s="412">
        <v>5</v>
      </c>
      <c r="AD7" s="413"/>
      <c r="AE7" s="403"/>
      <c r="AF7" s="414"/>
      <c r="AG7" s="412">
        <v>6</v>
      </c>
      <c r="AH7" s="413"/>
      <c r="AI7" s="403"/>
      <c r="AJ7" s="414"/>
      <c r="AK7" s="412">
        <v>7</v>
      </c>
      <c r="AL7" s="413"/>
      <c r="AM7" s="403"/>
      <c r="AN7" s="414"/>
      <c r="AO7" s="412">
        <v>8</v>
      </c>
      <c r="AP7" s="413"/>
      <c r="AQ7" s="403"/>
      <c r="AR7" s="414"/>
      <c r="AS7" s="412">
        <v>9</v>
      </c>
      <c r="AT7" s="413"/>
      <c r="AU7" s="403"/>
      <c r="AV7" s="414"/>
      <c r="AW7" s="412"/>
      <c r="AX7" s="413"/>
      <c r="AY7" s="403"/>
      <c r="AZ7" s="414"/>
      <c r="BA7" s="412"/>
      <c r="BB7" s="413"/>
      <c r="BC7" s="403"/>
      <c r="BD7" s="403"/>
      <c r="BG7" s="403"/>
      <c r="BH7" s="414"/>
      <c r="BI7" s="412"/>
      <c r="BJ7" s="413"/>
      <c r="BK7" s="403"/>
      <c r="BL7" s="414"/>
      <c r="BM7" s="412">
        <v>1</v>
      </c>
      <c r="BN7" s="413"/>
      <c r="BO7" s="403"/>
      <c r="BP7" s="414"/>
      <c r="BQ7" s="412">
        <v>2</v>
      </c>
      <c r="BR7" s="413"/>
      <c r="BS7" s="403"/>
      <c r="BT7" s="414"/>
      <c r="BU7" s="412">
        <v>3</v>
      </c>
      <c r="BV7" s="413"/>
      <c r="BW7" s="403"/>
      <c r="BX7" s="414"/>
      <c r="BY7" s="412">
        <v>4</v>
      </c>
      <c r="BZ7" s="413"/>
      <c r="CA7" s="403"/>
      <c r="CB7" s="414"/>
      <c r="CC7" s="412">
        <v>5</v>
      </c>
      <c r="CD7" s="413"/>
      <c r="CE7" s="403"/>
      <c r="CF7" s="414"/>
      <c r="CG7" s="412">
        <v>6</v>
      </c>
      <c r="CH7" s="413"/>
      <c r="CI7" s="403"/>
      <c r="CJ7" s="414"/>
      <c r="CK7" s="412">
        <v>7</v>
      </c>
      <c r="CL7" s="413"/>
      <c r="CM7" s="403"/>
      <c r="CN7" s="414"/>
      <c r="CO7" s="412">
        <v>8</v>
      </c>
      <c r="CP7" s="413"/>
      <c r="CQ7" s="403"/>
      <c r="CR7" s="414"/>
      <c r="CS7" s="412">
        <v>9</v>
      </c>
      <c r="CT7" s="413"/>
      <c r="CU7" s="403"/>
      <c r="CV7" s="414"/>
      <c r="CW7" s="412"/>
      <c r="CX7" s="413"/>
      <c r="CY7" s="403"/>
      <c r="CZ7" s="414"/>
      <c r="DA7" s="412"/>
      <c r="DB7" s="413"/>
      <c r="DC7" s="403"/>
      <c r="DD7" s="414"/>
      <c r="DG7" s="403"/>
      <c r="DH7" s="414"/>
      <c r="DI7" s="412"/>
      <c r="DJ7" s="413"/>
      <c r="DK7" s="403"/>
      <c r="DL7" s="414"/>
      <c r="DM7" s="412">
        <v>1</v>
      </c>
      <c r="DN7" s="413"/>
      <c r="DO7" s="403"/>
      <c r="DP7" s="414"/>
      <c r="DQ7" s="412">
        <v>2</v>
      </c>
      <c r="DR7" s="413"/>
      <c r="DS7" s="403"/>
      <c r="DT7" s="414"/>
      <c r="DU7" s="412">
        <v>3</v>
      </c>
      <c r="DV7" s="413"/>
      <c r="DW7" s="403"/>
      <c r="DX7" s="414"/>
      <c r="DY7" s="412">
        <v>4</v>
      </c>
      <c r="DZ7" s="413"/>
      <c r="EA7" s="403"/>
      <c r="EB7" s="414"/>
      <c r="EC7" s="412">
        <v>5</v>
      </c>
      <c r="ED7" s="413"/>
      <c r="EE7" s="403"/>
      <c r="EF7" s="414"/>
      <c r="EG7" s="412">
        <v>6</v>
      </c>
      <c r="EH7" s="413"/>
      <c r="EI7" s="403"/>
      <c r="EJ7" s="414"/>
      <c r="EK7" s="412">
        <v>7</v>
      </c>
      <c r="EL7" s="413"/>
      <c r="EM7" s="403"/>
      <c r="EN7" s="414"/>
      <c r="EO7" s="412">
        <v>8</v>
      </c>
      <c r="EP7" s="413"/>
      <c r="EQ7" s="403"/>
      <c r="ER7" s="414"/>
      <c r="ES7" s="412">
        <v>9</v>
      </c>
      <c r="ET7" s="413"/>
      <c r="EU7" s="403"/>
      <c r="EV7" s="414"/>
      <c r="EW7" s="412"/>
      <c r="EX7" s="413"/>
      <c r="EY7" s="403"/>
      <c r="EZ7" s="414"/>
      <c r="FA7" s="412"/>
      <c r="FB7" s="413"/>
      <c r="FC7" s="403"/>
      <c r="FD7" s="403"/>
      <c r="FE7" s="1"/>
      <c r="FF7" s="1"/>
      <c r="FG7" s="403"/>
      <c r="FH7" s="414"/>
      <c r="FI7" s="412"/>
      <c r="FJ7" s="413"/>
      <c r="FK7" s="403"/>
      <c r="FL7" s="414"/>
      <c r="FM7" s="412"/>
      <c r="FN7" s="413"/>
      <c r="FO7" s="403"/>
      <c r="FP7" s="414"/>
      <c r="FQ7" s="415"/>
    </row>
    <row r="8" spans="2:173" ht="15" customHeight="1" x14ac:dyDescent="0.45">
      <c r="M8" s="410"/>
      <c r="BM8" s="410"/>
      <c r="DM8" s="416"/>
    </row>
    <row r="9" spans="2:173" ht="15" customHeight="1" x14ac:dyDescent="0.45">
      <c r="B9" s="358" t="s">
        <v>56</v>
      </c>
      <c r="D9" s="164"/>
      <c r="E9" s="164"/>
      <c r="F9" s="164"/>
      <c r="G9" s="164"/>
      <c r="H9" s="164"/>
      <c r="I9" s="164"/>
      <c r="J9" s="164"/>
      <c r="K9" s="164"/>
      <c r="L9" s="164"/>
      <c r="M9" s="417"/>
      <c r="N9" s="418"/>
      <c r="O9" s="418"/>
      <c r="P9" s="418"/>
      <c r="Q9" s="418"/>
      <c r="R9" s="418"/>
      <c r="S9" s="418"/>
      <c r="T9" s="418"/>
      <c r="U9" s="418"/>
      <c r="V9" s="418"/>
      <c r="W9" s="418"/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  <c r="AK9" s="418"/>
      <c r="AL9" s="418"/>
      <c r="AM9" s="418"/>
      <c r="AN9" s="418"/>
      <c r="AO9" s="418"/>
      <c r="AP9" s="418"/>
      <c r="AQ9" s="418"/>
      <c r="AR9" s="418"/>
      <c r="AS9" s="418"/>
      <c r="AT9" s="418"/>
      <c r="AU9" s="418"/>
      <c r="AV9" s="418"/>
      <c r="AW9" s="418"/>
      <c r="AX9" s="418"/>
      <c r="AY9" s="418"/>
      <c r="AZ9" s="418"/>
      <c r="BA9" s="418"/>
      <c r="BB9" s="418"/>
      <c r="BC9" s="418"/>
      <c r="BD9" s="418"/>
      <c r="BE9" s="418"/>
      <c r="BF9" s="418"/>
      <c r="BG9" s="418"/>
      <c r="BH9" s="418"/>
      <c r="BI9" s="418"/>
      <c r="BJ9" s="418"/>
      <c r="BK9" s="418"/>
      <c r="BL9" s="418"/>
      <c r="BM9" s="139"/>
      <c r="BN9" s="419"/>
      <c r="BO9" s="419"/>
      <c r="BP9" s="419"/>
      <c r="BQ9" s="419"/>
      <c r="BR9" s="419"/>
      <c r="BS9" s="419"/>
      <c r="BT9" s="419"/>
      <c r="BU9" s="419"/>
      <c r="BV9" s="419"/>
      <c r="BW9" s="419"/>
      <c r="BX9" s="419"/>
      <c r="BY9" s="419"/>
      <c r="BZ9" s="419"/>
      <c r="CA9" s="419"/>
      <c r="CB9" s="419"/>
      <c r="CC9" s="419"/>
      <c r="CD9" s="419"/>
      <c r="CE9" s="419"/>
      <c r="CF9" s="419"/>
      <c r="CG9" s="419"/>
      <c r="CH9" s="419"/>
      <c r="CI9" s="419"/>
      <c r="CJ9" s="419"/>
      <c r="CK9" s="419"/>
      <c r="CL9" s="419"/>
      <c r="CM9" s="419"/>
      <c r="CN9" s="419"/>
      <c r="CO9" s="419"/>
      <c r="CP9" s="419"/>
      <c r="CQ9" s="419"/>
      <c r="CR9" s="419"/>
      <c r="CS9" s="419"/>
      <c r="CT9" s="419"/>
      <c r="CU9" s="419"/>
      <c r="CV9" s="419"/>
      <c r="CW9" s="419"/>
      <c r="CX9" s="419"/>
      <c r="CY9" s="419"/>
      <c r="CZ9" s="419"/>
      <c r="DA9" s="419"/>
      <c r="DB9" s="419"/>
      <c r="DC9" s="419"/>
      <c r="DD9" s="419"/>
      <c r="DE9" s="419"/>
      <c r="DF9" s="419"/>
      <c r="DG9" s="419"/>
      <c r="DH9" s="419"/>
      <c r="DI9" s="419"/>
      <c r="DJ9" s="419"/>
      <c r="DK9" s="419"/>
      <c r="DL9" s="419"/>
      <c r="DM9" s="420"/>
      <c r="DN9" s="421"/>
      <c r="DO9" s="421"/>
      <c r="DP9" s="421"/>
      <c r="DQ9" s="421"/>
      <c r="DR9" s="421"/>
      <c r="DS9" s="421"/>
      <c r="DT9" s="421"/>
      <c r="DU9" s="421"/>
      <c r="DV9" s="421"/>
      <c r="DW9" s="421"/>
      <c r="DX9" s="421"/>
      <c r="DY9" s="421"/>
      <c r="DZ9" s="421"/>
      <c r="EA9" s="421"/>
      <c r="EB9" s="421"/>
      <c r="EC9" s="421"/>
      <c r="ED9" s="421"/>
      <c r="EE9" s="421"/>
      <c r="EF9" s="421"/>
      <c r="EG9" s="421"/>
      <c r="EH9" s="421"/>
      <c r="EI9" s="421"/>
      <c r="EJ9" s="421"/>
      <c r="EK9" s="421"/>
      <c r="EL9" s="421"/>
      <c r="EM9" s="421"/>
      <c r="EN9" s="421"/>
      <c r="EO9" s="421"/>
      <c r="EP9" s="421"/>
      <c r="EQ9" s="421"/>
      <c r="ER9" s="421"/>
      <c r="ES9" s="421"/>
      <c r="ET9" s="421"/>
      <c r="EU9" s="421"/>
      <c r="EV9" s="421"/>
      <c r="EW9" s="421"/>
      <c r="EX9" s="421"/>
      <c r="EY9" s="421"/>
      <c r="EZ9" s="421"/>
      <c r="FA9" s="421"/>
      <c r="FB9" s="421"/>
      <c r="FC9" s="421"/>
      <c r="FD9" s="421"/>
      <c r="FE9" s="421"/>
      <c r="FF9" s="421"/>
      <c r="FG9" s="421"/>
      <c r="FH9" s="421"/>
      <c r="FI9" s="421"/>
      <c r="FJ9" s="421"/>
      <c r="FK9" s="421"/>
      <c r="FL9" s="422"/>
      <c r="FM9" s="15"/>
      <c r="FN9" s="14"/>
      <c r="FO9" s="14"/>
      <c r="FP9" s="14"/>
      <c r="FQ9" s="14"/>
    </row>
    <row r="10" spans="2:173" ht="15" customHeight="1" x14ac:dyDescent="0.45">
      <c r="M10" s="423"/>
      <c r="BM10" s="423"/>
      <c r="DM10" s="416"/>
    </row>
    <row r="11" spans="2:173" ht="15" customHeight="1" x14ac:dyDescent="0.45">
      <c r="M11" s="424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G11"/>
      <c r="BH11"/>
      <c r="BI11"/>
      <c r="BJ11"/>
      <c r="BK11"/>
      <c r="BL11"/>
      <c r="BM11" s="425"/>
      <c r="BN11"/>
      <c r="BO11"/>
      <c r="BP11"/>
      <c r="BQ11"/>
      <c r="BR11"/>
      <c r="BS11"/>
      <c r="BT11"/>
      <c r="BU11"/>
      <c r="DM11" s="416"/>
    </row>
    <row r="12" spans="2:173" ht="15" customHeight="1" x14ac:dyDescent="0.45">
      <c r="B12" s="358" t="s">
        <v>1391</v>
      </c>
      <c r="D12" s="164"/>
      <c r="E12" s="164"/>
      <c r="F12" s="164"/>
      <c r="G12" s="164"/>
      <c r="H12" s="164"/>
      <c r="I12" s="164"/>
      <c r="J12" s="164"/>
      <c r="K12" s="164"/>
      <c r="L12" s="164"/>
      <c r="M12" s="417"/>
      <c r="N12" s="418"/>
      <c r="O12" s="418"/>
      <c r="P12" s="418"/>
      <c r="Q12" s="418"/>
      <c r="R12" s="418"/>
      <c r="S12" s="418"/>
      <c r="T12" s="418"/>
      <c r="U12" s="418"/>
      <c r="V12" s="418"/>
      <c r="W12" s="418"/>
      <c r="X12" s="418"/>
      <c r="Y12" s="418"/>
      <c r="Z12" s="418"/>
      <c r="AA12" s="418"/>
      <c r="AB12" s="418"/>
      <c r="AC12" s="418"/>
      <c r="AD12" s="418"/>
      <c r="AE12" s="418"/>
      <c r="AF12" s="418"/>
      <c r="AG12" s="418"/>
      <c r="AH12" s="418"/>
      <c r="AI12" s="418"/>
      <c r="AJ12" s="418"/>
      <c r="AK12" s="418"/>
      <c r="AL12" s="418"/>
      <c r="AM12" s="418"/>
      <c r="AN12" s="418"/>
      <c r="AO12" s="113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  <c r="BF12" s="164"/>
      <c r="BG12" s="164"/>
      <c r="BH12" s="164"/>
      <c r="BI12" s="164"/>
      <c r="BJ12" s="164"/>
      <c r="BK12" s="164"/>
      <c r="BL12" s="164"/>
      <c r="BM12" s="139"/>
      <c r="BN12" s="419"/>
      <c r="BO12" s="419"/>
      <c r="BP12" s="419"/>
      <c r="BQ12" s="419"/>
      <c r="BR12" s="419"/>
      <c r="BS12" s="419"/>
      <c r="BT12" s="419"/>
      <c r="BU12" s="419"/>
      <c r="BV12" s="419"/>
      <c r="BW12" s="419"/>
      <c r="BX12" s="419"/>
      <c r="BY12" s="419"/>
      <c r="BZ12" s="419"/>
      <c r="CA12" s="419"/>
      <c r="CB12" s="419"/>
      <c r="CC12" s="419"/>
      <c r="CD12" s="419"/>
      <c r="CE12" s="419"/>
      <c r="CF12" s="419"/>
      <c r="CG12" s="419"/>
      <c r="CH12" s="419"/>
      <c r="CI12" s="419"/>
      <c r="CJ12" s="140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420"/>
      <c r="DN12" s="421"/>
      <c r="DO12" s="426"/>
      <c r="DP12" s="426"/>
      <c r="DQ12" s="426"/>
      <c r="DR12" s="426"/>
      <c r="DS12" s="426"/>
      <c r="DT12" s="426"/>
      <c r="DU12" s="426"/>
      <c r="DV12" s="426"/>
      <c r="DW12" s="426"/>
      <c r="DX12" s="426"/>
      <c r="DY12" s="426"/>
      <c r="DZ12" s="426"/>
      <c r="EA12" s="426"/>
      <c r="EB12" s="426"/>
      <c r="EC12" s="426"/>
      <c r="ED12" s="426"/>
      <c r="EE12" s="426"/>
      <c r="EF12" s="426"/>
      <c r="EG12" s="426"/>
      <c r="EH12" s="426"/>
      <c r="EI12" s="426"/>
      <c r="EJ12" s="426"/>
      <c r="EK12" s="426"/>
      <c r="EL12" s="426"/>
      <c r="EM12" s="426"/>
      <c r="EN12" s="426"/>
      <c r="EO12" s="421"/>
      <c r="EP12" s="421"/>
      <c r="EQ12" s="421"/>
      <c r="ER12" s="422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</row>
    <row r="13" spans="2:173" ht="15" customHeight="1" x14ac:dyDescent="0.45">
      <c r="M13" s="423"/>
      <c r="N13" s="427"/>
      <c r="O13" s="427"/>
      <c r="P13" s="427"/>
      <c r="Q13" s="427"/>
      <c r="R13" s="427"/>
      <c r="S13" s="427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G13"/>
      <c r="BH13"/>
      <c r="BI13"/>
      <c r="BJ13"/>
      <c r="BK13"/>
      <c r="BL13"/>
      <c r="BM13" s="416"/>
      <c r="BN13"/>
      <c r="BO13"/>
      <c r="BP13"/>
      <c r="BQ13"/>
      <c r="BR13"/>
      <c r="BS13"/>
      <c r="BT13"/>
      <c r="BU13"/>
      <c r="DM13" s="416"/>
    </row>
    <row r="14" spans="2:173" ht="15" customHeight="1" x14ac:dyDescent="0.45">
      <c r="M14" s="410"/>
      <c r="U14" s="42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G14"/>
      <c r="BH14"/>
      <c r="BI14"/>
      <c r="BJ14"/>
      <c r="BK14"/>
      <c r="BL14"/>
      <c r="BM14" s="416"/>
      <c r="BN14"/>
      <c r="BO14"/>
      <c r="BP14"/>
      <c r="BQ14"/>
      <c r="BR14"/>
      <c r="BS14"/>
      <c r="BT14" s="428"/>
      <c r="BU14"/>
      <c r="DM14" s="416"/>
    </row>
    <row r="15" spans="2:173" ht="15" customHeight="1" x14ac:dyDescent="0.45">
      <c r="B15" s="358" t="s">
        <v>1392</v>
      </c>
      <c r="D15" s="164"/>
      <c r="E15" s="164"/>
      <c r="F15" s="164"/>
      <c r="G15" s="164"/>
      <c r="H15" s="164"/>
      <c r="I15" s="164"/>
      <c r="J15" s="164"/>
      <c r="K15" s="164"/>
      <c r="L15" s="164"/>
      <c r="M15" s="424"/>
      <c r="N15" s="164"/>
      <c r="O15" s="164"/>
      <c r="P15" s="164"/>
      <c r="Q15" s="164"/>
      <c r="R15" s="164"/>
      <c r="S15" s="164"/>
      <c r="T15" s="164"/>
      <c r="U15" s="417"/>
      <c r="V15" s="418"/>
      <c r="W15" s="418"/>
      <c r="X15" s="418"/>
      <c r="Y15" s="418"/>
      <c r="Z15" s="418"/>
      <c r="AA15" s="418"/>
      <c r="AB15" s="418"/>
      <c r="AC15" s="418"/>
      <c r="AD15" s="418"/>
      <c r="AE15" s="418"/>
      <c r="AF15" s="418"/>
      <c r="AG15" s="418"/>
      <c r="AH15" s="418"/>
      <c r="AI15" s="418"/>
      <c r="AJ15" s="418"/>
      <c r="AK15" s="418"/>
      <c r="AL15" s="418"/>
      <c r="AM15" s="418"/>
      <c r="AN15" s="418"/>
      <c r="AO15" s="418"/>
      <c r="AP15" s="418"/>
      <c r="AQ15" s="418"/>
      <c r="AR15" s="418"/>
      <c r="AS15" s="418"/>
      <c r="AT15" s="418"/>
      <c r="AU15" s="418"/>
      <c r="AV15" s="418"/>
      <c r="AW15" s="113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424"/>
      <c r="BN15" s="164"/>
      <c r="BO15" s="164"/>
      <c r="BP15" s="164"/>
      <c r="BQ15" s="164"/>
      <c r="BR15" s="164"/>
      <c r="BS15" s="164"/>
      <c r="BT15" s="211"/>
      <c r="BU15" s="139"/>
      <c r="BV15" s="419"/>
      <c r="BW15" s="419"/>
      <c r="BX15" s="419"/>
      <c r="BY15" s="419"/>
      <c r="BZ15" s="419"/>
      <c r="CA15" s="419"/>
      <c r="CB15" s="419"/>
      <c r="CC15" s="419"/>
      <c r="CD15" s="419"/>
      <c r="CE15" s="419"/>
      <c r="CF15" s="419"/>
      <c r="CG15" s="419"/>
      <c r="CH15" s="419"/>
      <c r="CI15" s="419"/>
      <c r="CJ15" s="419"/>
      <c r="CK15" s="419"/>
      <c r="CL15" s="419"/>
      <c r="CM15" s="419"/>
      <c r="CN15" s="419"/>
      <c r="CO15" s="419"/>
      <c r="CP15" s="419"/>
      <c r="CQ15" s="419"/>
      <c r="CR15" s="140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425"/>
      <c r="DN15" s="14"/>
      <c r="DO15" s="14"/>
      <c r="DP15" s="14"/>
      <c r="DQ15" s="14"/>
      <c r="DR15" s="14"/>
      <c r="DS15" s="14"/>
      <c r="DT15" s="12"/>
      <c r="DU15" s="420"/>
      <c r="DV15" s="421"/>
      <c r="DW15" s="426"/>
      <c r="DX15" s="426"/>
      <c r="DY15" s="426"/>
      <c r="DZ15" s="426"/>
      <c r="EA15" s="426"/>
      <c r="EB15" s="426"/>
      <c r="EC15" s="426"/>
      <c r="ED15" s="426"/>
      <c r="EE15" s="426"/>
      <c r="EF15" s="426"/>
      <c r="EG15" s="426"/>
      <c r="EH15" s="426"/>
      <c r="EI15" s="426"/>
      <c r="EJ15" s="426"/>
      <c r="EK15" s="426"/>
      <c r="EL15" s="426"/>
      <c r="EM15" s="426"/>
      <c r="EN15" s="426"/>
      <c r="EO15" s="426"/>
      <c r="EP15" s="426"/>
      <c r="EQ15" s="426"/>
      <c r="ER15" s="426"/>
      <c r="ES15" s="426"/>
      <c r="ET15" s="426"/>
      <c r="EU15" s="426"/>
      <c r="EV15" s="426"/>
      <c r="EW15" s="421"/>
      <c r="EX15" s="421"/>
      <c r="EY15" s="421"/>
      <c r="EZ15" s="422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</row>
    <row r="16" spans="2:173" ht="15" customHeight="1" x14ac:dyDescent="0.45"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</row>
    <row r="18" spans="2:173" ht="15" customHeight="1" x14ac:dyDescent="0.45">
      <c r="B18" s="399" t="s">
        <v>1289</v>
      </c>
      <c r="D18" s="400" t="s">
        <v>1393</v>
      </c>
    </row>
    <row r="19" spans="2:173" ht="15" customHeight="1" x14ac:dyDescent="0.45">
      <c r="L19" s="401"/>
      <c r="M19" s="401" t="s">
        <v>1386</v>
      </c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  <c r="AA19" s="401"/>
      <c r="AB19" s="401"/>
      <c r="AC19" s="401"/>
      <c r="AD19" s="401"/>
      <c r="AE19" s="401"/>
      <c r="AF19" s="401"/>
      <c r="AG19" s="401"/>
      <c r="AH19" s="401"/>
      <c r="AI19" s="401"/>
      <c r="AJ19" s="401"/>
      <c r="AK19" s="401"/>
      <c r="AL19" s="401"/>
      <c r="AM19" s="401"/>
      <c r="AN19" s="401"/>
      <c r="AO19" s="401"/>
      <c r="AP19" s="401"/>
      <c r="AQ19" s="401"/>
      <c r="AR19" s="401"/>
      <c r="AS19" s="401"/>
      <c r="AT19" s="401"/>
      <c r="AU19" s="401"/>
      <c r="AV19" s="401"/>
      <c r="AW19" s="401"/>
      <c r="AX19" s="401"/>
      <c r="AY19" s="401"/>
      <c r="AZ19" s="401"/>
      <c r="BA19" s="401"/>
      <c r="BB19" s="401"/>
      <c r="BC19" s="401"/>
      <c r="BD19" s="401"/>
      <c r="BE19" s="401"/>
      <c r="BF19" s="401"/>
      <c r="BG19" s="401"/>
      <c r="BH19" s="401"/>
      <c r="BI19" s="401"/>
      <c r="BJ19" s="401"/>
      <c r="BK19" s="401"/>
      <c r="BL19" s="401"/>
      <c r="BM19" s="401" t="s">
        <v>1387</v>
      </c>
      <c r="BN19" s="401"/>
      <c r="BO19" s="401"/>
      <c r="BP19" s="401"/>
      <c r="BQ19" s="401"/>
      <c r="BR19" s="401"/>
      <c r="BS19" s="401"/>
      <c r="BT19" s="401"/>
      <c r="BU19" s="401"/>
      <c r="BV19" s="401"/>
      <c r="BW19" s="401"/>
      <c r="BX19" s="401"/>
      <c r="BY19" s="401"/>
      <c r="BZ19" s="401"/>
      <c r="CA19" s="401"/>
      <c r="CB19" s="401"/>
      <c r="CC19" s="401"/>
      <c r="CD19" s="401"/>
      <c r="CE19" s="401"/>
      <c r="CF19" s="401"/>
      <c r="CG19" s="401"/>
      <c r="CH19" s="401"/>
      <c r="CI19" s="401"/>
      <c r="CJ19" s="401"/>
      <c r="CK19" s="401"/>
      <c r="CL19" s="401"/>
      <c r="CM19" s="401"/>
      <c r="CN19" s="401"/>
      <c r="CO19" s="401"/>
      <c r="CP19" s="401"/>
      <c r="CQ19" s="401"/>
      <c r="CR19" s="401"/>
      <c r="CS19" s="401"/>
      <c r="CT19" s="401"/>
      <c r="CU19" s="401"/>
      <c r="CV19" s="401"/>
      <c r="CW19" s="401"/>
      <c r="CX19" s="401"/>
      <c r="CY19" s="401"/>
      <c r="CZ19" s="401"/>
      <c r="DA19" s="401"/>
      <c r="DB19" s="401"/>
      <c r="DC19" s="401"/>
      <c r="DD19" s="401"/>
      <c r="DE19" s="401"/>
      <c r="DF19" s="401"/>
      <c r="DG19" s="401"/>
      <c r="DH19" s="401"/>
      <c r="DI19" s="401"/>
      <c r="DJ19" s="401"/>
      <c r="DK19" s="401"/>
      <c r="DL19" s="401"/>
      <c r="DM19" s="401" t="s">
        <v>1388</v>
      </c>
      <c r="DN19" s="401"/>
      <c r="DO19" s="401"/>
      <c r="DP19" s="401"/>
      <c r="DQ19" s="401"/>
      <c r="DR19" s="401"/>
      <c r="DS19" s="401"/>
      <c r="DT19" s="401"/>
      <c r="DU19" s="401"/>
      <c r="DV19" s="401"/>
      <c r="DW19" s="401"/>
      <c r="DX19" s="401"/>
      <c r="DY19" s="401"/>
      <c r="DZ19" s="401"/>
      <c r="EA19" s="401"/>
      <c r="EB19" s="401"/>
      <c r="EC19" s="401"/>
      <c r="ED19" s="401"/>
      <c r="EE19" s="401"/>
      <c r="EF19" s="401"/>
      <c r="EG19" s="401"/>
      <c r="EH19" s="402"/>
      <c r="EI19" s="402"/>
      <c r="EJ19" s="402"/>
      <c r="EK19" s="402"/>
      <c r="EL19" s="402"/>
      <c r="EM19" s="402"/>
      <c r="EN19" s="402"/>
      <c r="EO19" s="402"/>
      <c r="EP19" s="402"/>
      <c r="EQ19" s="402"/>
      <c r="ER19" s="402"/>
      <c r="ES19" s="402"/>
      <c r="ET19" s="402"/>
      <c r="EU19" s="402"/>
      <c r="EV19" s="402"/>
    </row>
    <row r="20" spans="2:173" ht="15" customHeight="1" x14ac:dyDescent="0.45">
      <c r="B20" s="358" t="s">
        <v>1389</v>
      </c>
      <c r="D20" s="403"/>
      <c r="E20" s="403"/>
      <c r="F20" s="403"/>
      <c r="G20" s="403"/>
      <c r="H20" s="403"/>
      <c r="I20" s="403"/>
      <c r="J20" s="403"/>
      <c r="K20" s="403"/>
      <c r="L20" s="403"/>
      <c r="M20" s="404"/>
      <c r="N20" s="405"/>
      <c r="O20" s="165"/>
      <c r="P20" s="165"/>
      <c r="Q20" s="165"/>
      <c r="R20" s="165"/>
      <c r="S20" s="165"/>
      <c r="T20" s="165"/>
      <c r="U20" s="165"/>
      <c r="V20" s="165"/>
      <c r="W20" s="406"/>
      <c r="X20" s="406"/>
      <c r="Y20" s="406"/>
      <c r="Z20" s="406"/>
      <c r="AA20" s="406"/>
      <c r="AB20" s="406"/>
      <c r="AC20" s="406"/>
      <c r="AD20" s="406"/>
      <c r="AE20" s="406"/>
      <c r="AF20" s="406"/>
      <c r="AG20" s="406"/>
      <c r="AH20" s="406"/>
      <c r="AI20" s="406"/>
      <c r="AJ20" s="406"/>
      <c r="AK20" s="406"/>
      <c r="AL20" s="406"/>
      <c r="AM20" s="406"/>
      <c r="AN20" s="406"/>
      <c r="AO20" s="406"/>
      <c r="AP20" s="406"/>
      <c r="AQ20" s="406"/>
      <c r="AR20" s="406"/>
      <c r="AS20" s="406"/>
      <c r="AT20" s="406"/>
      <c r="AU20" s="406"/>
      <c r="AV20" s="406"/>
      <c r="AW20" s="406"/>
      <c r="AX20" s="406"/>
      <c r="AY20" s="406"/>
      <c r="AZ20" s="406"/>
      <c r="BA20" s="406"/>
      <c r="BB20" s="406"/>
      <c r="BC20" s="406"/>
      <c r="BD20" s="406"/>
      <c r="BE20" s="406"/>
      <c r="BF20" s="406"/>
      <c r="BG20" s="406"/>
      <c r="BH20" s="406"/>
      <c r="BI20" s="406"/>
      <c r="BJ20" s="406"/>
      <c r="BK20" s="406"/>
      <c r="BL20" s="406"/>
      <c r="BM20" s="407"/>
      <c r="BN20" s="408"/>
      <c r="BO20" s="156"/>
      <c r="BP20" s="156"/>
      <c r="BQ20" s="156"/>
      <c r="BR20" s="156"/>
      <c r="BS20" s="156"/>
      <c r="BT20" s="156"/>
      <c r="BU20" s="156"/>
      <c r="BV20" s="156"/>
      <c r="BW20" s="409"/>
      <c r="BX20" s="409"/>
      <c r="BY20" s="409"/>
      <c r="BZ20" s="409"/>
      <c r="CA20" s="409"/>
      <c r="CB20" s="409"/>
      <c r="CC20" s="409"/>
      <c r="CD20" s="409"/>
      <c r="CE20" s="409"/>
      <c r="CF20" s="409"/>
      <c r="CG20" s="409"/>
      <c r="CH20" s="409"/>
      <c r="CI20" s="409"/>
      <c r="CJ20" s="409"/>
      <c r="CK20" s="409"/>
      <c r="CL20" s="409"/>
      <c r="CM20" s="409"/>
      <c r="CN20" s="409"/>
      <c r="CO20" s="409"/>
      <c r="CP20" s="409"/>
      <c r="CQ20" s="409"/>
      <c r="CR20" s="409"/>
      <c r="CS20" s="409"/>
      <c r="CT20" s="409"/>
      <c r="CU20" s="409"/>
      <c r="CV20" s="409"/>
      <c r="CW20" s="409"/>
      <c r="CX20" s="409"/>
      <c r="CY20" s="409"/>
      <c r="CZ20" s="409"/>
      <c r="DA20" s="409"/>
      <c r="DB20" s="409"/>
      <c r="DC20" s="409"/>
      <c r="DD20" s="409"/>
      <c r="DE20" s="409"/>
      <c r="DF20" s="409"/>
      <c r="DG20" s="409"/>
      <c r="DH20" s="409"/>
      <c r="DI20" s="409"/>
      <c r="DJ20" s="409"/>
      <c r="DK20" s="409"/>
      <c r="DL20" s="409"/>
      <c r="DM20" s="407"/>
      <c r="DN20" s="408"/>
      <c r="DO20" s="156"/>
      <c r="DP20" s="156"/>
      <c r="DQ20" s="156"/>
      <c r="DR20" s="156"/>
      <c r="DS20" s="156"/>
      <c r="DT20" s="156"/>
      <c r="DU20" s="156"/>
      <c r="DV20" s="156"/>
      <c r="DW20" s="409"/>
      <c r="DX20" s="409"/>
      <c r="DY20" s="409"/>
      <c r="DZ20" s="409"/>
      <c r="EA20" s="409"/>
      <c r="EB20" s="409"/>
      <c r="EC20" s="409"/>
      <c r="ED20" s="409"/>
      <c r="EE20" s="409"/>
      <c r="EF20" s="409"/>
      <c r="EG20" s="409"/>
      <c r="EH20" s="409"/>
      <c r="EI20" s="409"/>
      <c r="EJ20" s="409"/>
      <c r="EK20" s="409"/>
      <c r="EL20" s="409"/>
      <c r="EM20" s="409"/>
      <c r="EN20" s="409"/>
      <c r="EO20" s="409"/>
      <c r="EP20" s="409"/>
      <c r="EQ20" s="409"/>
      <c r="ER20" s="409"/>
      <c r="ES20" s="409"/>
      <c r="ET20" s="409"/>
      <c r="EU20" s="409"/>
      <c r="EV20" s="409"/>
      <c r="EW20" s="409"/>
      <c r="EX20" s="409"/>
      <c r="EY20" s="409"/>
      <c r="EZ20" s="409"/>
      <c r="FA20" s="409"/>
      <c r="FB20" s="409"/>
      <c r="FC20" s="409"/>
      <c r="FD20" s="409"/>
      <c r="FE20" s="409"/>
      <c r="FF20" s="409"/>
      <c r="FG20" s="409"/>
      <c r="FH20" s="409"/>
      <c r="FI20" s="409"/>
      <c r="FJ20" s="409"/>
      <c r="FK20" s="409"/>
      <c r="FL20" s="409"/>
      <c r="FM20" s="407"/>
      <c r="FN20" s="408"/>
      <c r="FO20" s="156"/>
      <c r="FP20" s="156"/>
      <c r="FQ20" s="156"/>
    </row>
    <row r="21" spans="2:173" ht="15" customHeight="1" x14ac:dyDescent="0.45">
      <c r="M21" s="410"/>
      <c r="BL21" s="411"/>
      <c r="BM21" s="410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411"/>
      <c r="DM21" s="410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R21" s="1"/>
      <c r="ES21" s="1"/>
      <c r="ET21" s="1"/>
      <c r="EU21" s="1"/>
      <c r="EV21" s="1"/>
    </row>
    <row r="23" spans="2:173" ht="15" customHeight="1" x14ac:dyDescent="0.45">
      <c r="B23" s="358" t="s">
        <v>1390</v>
      </c>
      <c r="D23" s="164"/>
      <c r="E23" s="164"/>
      <c r="F23" s="164"/>
      <c r="G23" s="164"/>
      <c r="H23" s="164"/>
      <c r="I23" s="164"/>
      <c r="J23" s="164"/>
      <c r="K23" s="164"/>
      <c r="L23" s="164"/>
      <c r="M23" s="412">
        <v>1</v>
      </c>
      <c r="N23" s="413"/>
      <c r="O23" s="403"/>
      <c r="P23" s="414"/>
      <c r="Q23" s="412">
        <v>2</v>
      </c>
      <c r="R23" s="413"/>
      <c r="S23" s="403"/>
      <c r="T23" s="414"/>
      <c r="U23" s="412">
        <v>3</v>
      </c>
      <c r="V23" s="413"/>
      <c r="W23" s="403"/>
      <c r="X23" s="414"/>
      <c r="Y23" s="412">
        <v>4</v>
      </c>
      <c r="Z23" s="413"/>
      <c r="AA23" s="403"/>
      <c r="AB23" s="414"/>
      <c r="AC23" s="412">
        <v>5</v>
      </c>
      <c r="AD23" s="413"/>
      <c r="AE23" s="403"/>
      <c r="AF23" s="414"/>
      <c r="AG23" s="412">
        <v>6</v>
      </c>
      <c r="AH23" s="413"/>
      <c r="AI23" s="403"/>
      <c r="AJ23" s="414"/>
      <c r="AK23" s="412">
        <v>7</v>
      </c>
      <c r="AL23" s="413"/>
      <c r="AM23" s="403"/>
      <c r="AN23" s="414"/>
      <c r="AO23" s="412">
        <v>8</v>
      </c>
      <c r="AP23" s="413"/>
      <c r="AQ23" s="403"/>
      <c r="AR23" s="414"/>
      <c r="AS23" s="412">
        <v>9</v>
      </c>
      <c r="AT23" s="413"/>
      <c r="AU23" s="403"/>
      <c r="AV23" s="414"/>
      <c r="AW23" s="412"/>
      <c r="AX23" s="413"/>
      <c r="AY23" s="403"/>
      <c r="AZ23" s="414"/>
      <c r="BA23" s="412"/>
      <c r="BB23" s="413"/>
      <c r="BC23" s="403"/>
      <c r="BD23" s="403"/>
      <c r="BG23" s="403"/>
      <c r="BH23" s="414"/>
      <c r="BI23" s="412"/>
      <c r="BJ23" s="413"/>
      <c r="BK23" s="403"/>
      <c r="BL23" s="414"/>
      <c r="BM23" s="412">
        <v>1</v>
      </c>
      <c r="BN23" s="413"/>
      <c r="BO23" s="403"/>
      <c r="BP23" s="414"/>
      <c r="BQ23" s="412">
        <v>2</v>
      </c>
      <c r="BR23" s="413"/>
      <c r="BS23" s="403"/>
      <c r="BT23" s="414"/>
      <c r="BU23" s="412">
        <v>3</v>
      </c>
      <c r="BV23" s="413"/>
      <c r="BW23" s="403"/>
      <c r="BX23" s="414"/>
      <c r="BY23" s="412">
        <v>4</v>
      </c>
      <c r="BZ23" s="413"/>
      <c r="CA23" s="403"/>
      <c r="CB23" s="414"/>
      <c r="CC23" s="412">
        <v>5</v>
      </c>
      <c r="CD23" s="413"/>
      <c r="CE23" s="403"/>
      <c r="CF23" s="414"/>
      <c r="CG23" s="412">
        <v>6</v>
      </c>
      <c r="CH23" s="413"/>
      <c r="CI23" s="403"/>
      <c r="CJ23" s="414"/>
      <c r="CK23" s="412">
        <v>7</v>
      </c>
      <c r="CL23" s="413"/>
      <c r="CM23" s="403"/>
      <c r="CN23" s="414"/>
      <c r="CO23" s="412">
        <v>8</v>
      </c>
      <c r="CP23" s="413"/>
      <c r="CQ23" s="403"/>
      <c r="CR23" s="414"/>
      <c r="CS23" s="412">
        <v>9</v>
      </c>
      <c r="CT23" s="413"/>
      <c r="CU23" s="403"/>
      <c r="CV23" s="414"/>
      <c r="CW23" s="412"/>
      <c r="CX23" s="413"/>
      <c r="CY23" s="403"/>
      <c r="CZ23" s="414"/>
      <c r="DA23" s="412"/>
      <c r="DB23" s="413"/>
      <c r="DC23" s="403"/>
      <c r="DD23" s="414"/>
      <c r="DG23" s="403"/>
      <c r="DH23" s="414"/>
      <c r="DI23" s="412"/>
      <c r="DJ23" s="413"/>
      <c r="DK23" s="403"/>
      <c r="DL23" s="414"/>
      <c r="DM23" s="412">
        <v>1</v>
      </c>
      <c r="DN23" s="413"/>
      <c r="DO23" s="403"/>
      <c r="DP23" s="414"/>
      <c r="DQ23" s="412">
        <v>2</v>
      </c>
      <c r="DR23" s="413"/>
      <c r="DS23" s="403"/>
      <c r="DT23" s="414"/>
      <c r="DU23" s="412">
        <v>3</v>
      </c>
      <c r="DV23" s="413"/>
      <c r="DW23" s="403"/>
      <c r="DX23" s="414"/>
      <c r="DY23" s="412">
        <v>4</v>
      </c>
      <c r="DZ23" s="413"/>
      <c r="EA23" s="403"/>
      <c r="EB23" s="414"/>
      <c r="EC23" s="412">
        <v>5</v>
      </c>
      <c r="ED23" s="413"/>
      <c r="EE23" s="403"/>
      <c r="EF23" s="414"/>
      <c r="EG23" s="412">
        <v>6</v>
      </c>
      <c r="EH23" s="413"/>
      <c r="EI23" s="403"/>
      <c r="EJ23" s="414"/>
      <c r="EK23" s="412">
        <v>7</v>
      </c>
      <c r="EL23" s="413"/>
      <c r="EM23" s="403"/>
      <c r="EN23" s="414"/>
      <c r="EO23" s="412">
        <v>8</v>
      </c>
      <c r="EP23" s="413"/>
      <c r="EQ23" s="403"/>
      <c r="ER23" s="414"/>
      <c r="ES23" s="412">
        <v>9</v>
      </c>
      <c r="ET23" s="413"/>
      <c r="EU23" s="403"/>
      <c r="EV23" s="414"/>
      <c r="EW23" s="412"/>
      <c r="EX23" s="413"/>
      <c r="EY23" s="403"/>
      <c r="EZ23" s="414"/>
      <c r="FA23" s="412"/>
      <c r="FB23" s="413"/>
      <c r="FC23" s="403"/>
      <c r="FD23" s="403"/>
      <c r="FE23" s="1"/>
      <c r="FF23" s="1"/>
      <c r="FG23" s="403"/>
      <c r="FH23" s="414"/>
      <c r="FI23" s="412"/>
      <c r="FJ23" s="413"/>
      <c r="FK23" s="403"/>
      <c r="FL23" s="414"/>
      <c r="FM23" s="412"/>
      <c r="FN23" s="413"/>
      <c r="FO23" s="403"/>
      <c r="FP23" s="414"/>
      <c r="FQ23" s="415"/>
    </row>
    <row r="24" spans="2:173" ht="15" customHeight="1" x14ac:dyDescent="0.45">
      <c r="M24" s="410"/>
      <c r="BM24" s="410"/>
      <c r="DM24" s="416"/>
    </row>
    <row r="25" spans="2:173" ht="15" customHeight="1" x14ac:dyDescent="0.45">
      <c r="B25" s="358" t="s">
        <v>56</v>
      </c>
      <c r="D25" s="164"/>
      <c r="E25" s="429"/>
      <c r="F25" s="429"/>
      <c r="G25" s="429"/>
      <c r="H25" s="429"/>
      <c r="I25" s="429"/>
      <c r="J25" s="429"/>
      <c r="K25" s="429"/>
      <c r="L25" s="429"/>
      <c r="M25" s="430"/>
      <c r="N25" s="431"/>
      <c r="O25" s="431"/>
      <c r="P25" s="431"/>
      <c r="Q25" s="431"/>
      <c r="R25" s="431"/>
      <c r="S25" s="431"/>
      <c r="T25" s="431"/>
      <c r="U25" s="431"/>
      <c r="V25" s="431"/>
      <c r="W25" s="431"/>
      <c r="X25" s="431"/>
      <c r="Y25" s="431"/>
      <c r="Z25" s="431"/>
      <c r="AA25" s="431"/>
      <c r="AB25" s="431"/>
      <c r="AC25" s="431"/>
      <c r="AD25" s="431"/>
      <c r="AE25" s="431"/>
      <c r="AF25" s="431"/>
      <c r="AG25" s="431"/>
      <c r="AH25" s="431"/>
      <c r="AI25" s="431"/>
      <c r="AJ25" s="431"/>
      <c r="AK25" s="431"/>
      <c r="AL25" s="431"/>
      <c r="AM25" s="431"/>
      <c r="AN25" s="431"/>
      <c r="AO25" s="431"/>
      <c r="AP25" s="431"/>
      <c r="AQ25" s="431"/>
      <c r="AR25" s="431"/>
      <c r="AS25" s="431"/>
      <c r="AT25" s="431"/>
      <c r="AU25" s="431"/>
      <c r="AV25" s="431"/>
      <c r="AW25" s="431"/>
      <c r="AX25" s="431"/>
      <c r="AY25" s="431"/>
      <c r="AZ25" s="431"/>
      <c r="BA25" s="431"/>
      <c r="BB25" s="431"/>
      <c r="BC25" s="431"/>
      <c r="BD25" s="431"/>
      <c r="BE25" s="431"/>
      <c r="BF25" s="431"/>
      <c r="BG25" s="431"/>
      <c r="BH25" s="431"/>
      <c r="BI25" s="431"/>
      <c r="BJ25" s="431"/>
      <c r="BK25" s="431"/>
      <c r="BL25" s="432"/>
      <c r="BM25" s="433"/>
      <c r="BN25" s="434"/>
      <c r="BO25" s="434"/>
      <c r="BP25" s="434"/>
      <c r="BQ25" s="434"/>
      <c r="BR25" s="434"/>
      <c r="BS25" s="434"/>
      <c r="BT25" s="434"/>
      <c r="BU25" s="434"/>
      <c r="BV25" s="434"/>
      <c r="BW25" s="434"/>
      <c r="BX25" s="434"/>
      <c r="BY25" s="434"/>
      <c r="BZ25" s="434"/>
      <c r="CA25" s="434"/>
      <c r="CB25" s="434"/>
      <c r="CC25" s="434"/>
      <c r="CD25" s="434"/>
      <c r="CE25" s="434"/>
      <c r="CF25" s="434"/>
      <c r="CG25" s="434"/>
      <c r="CH25" s="434"/>
      <c r="CI25" s="434"/>
      <c r="CJ25" s="434"/>
      <c r="CK25" s="434"/>
      <c r="CL25" s="434"/>
      <c r="CM25" s="434"/>
      <c r="CN25" s="434"/>
      <c r="CO25" s="434"/>
      <c r="CP25" s="434"/>
      <c r="CQ25" s="434"/>
      <c r="CR25" s="434"/>
      <c r="CS25" s="434"/>
      <c r="CT25" s="434"/>
      <c r="CU25" s="434"/>
      <c r="CV25" s="434"/>
      <c r="CW25" s="434"/>
      <c r="CX25" s="434"/>
      <c r="CY25" s="434"/>
      <c r="CZ25" s="434"/>
      <c r="DA25" s="434"/>
      <c r="DB25" s="434"/>
      <c r="DC25" s="434"/>
      <c r="DD25" s="434"/>
      <c r="DE25" s="434"/>
      <c r="DF25" s="434"/>
      <c r="DG25" s="434"/>
      <c r="DH25" s="434"/>
      <c r="DI25" s="434"/>
      <c r="DJ25" s="434"/>
      <c r="DK25" s="434"/>
      <c r="DL25" s="435"/>
      <c r="DM25" s="436"/>
      <c r="DN25" s="437"/>
      <c r="DO25" s="437"/>
      <c r="DP25" s="437"/>
      <c r="DQ25" s="437"/>
      <c r="DR25" s="437"/>
      <c r="DS25" s="437"/>
      <c r="DT25" s="437"/>
      <c r="DU25" s="437"/>
      <c r="DV25" s="437"/>
      <c r="DW25" s="437"/>
      <c r="DX25" s="437"/>
      <c r="DY25" s="437"/>
      <c r="DZ25" s="437"/>
      <c r="EA25" s="437"/>
      <c r="EB25" s="437"/>
      <c r="EC25" s="437"/>
      <c r="ED25" s="437"/>
      <c r="EE25" s="437"/>
      <c r="EF25" s="437"/>
      <c r="EG25" s="437"/>
      <c r="EH25" s="437"/>
      <c r="EI25" s="437"/>
      <c r="EJ25" s="437"/>
      <c r="EK25" s="437"/>
      <c r="EL25" s="437"/>
      <c r="EM25" s="437"/>
      <c r="EN25" s="437"/>
      <c r="EO25" s="437"/>
      <c r="EP25" s="437"/>
      <c r="EQ25" s="437"/>
      <c r="ER25" s="437"/>
      <c r="ES25" s="437"/>
      <c r="ET25" s="437"/>
      <c r="EU25" s="437"/>
      <c r="EV25" s="437"/>
      <c r="EW25" s="437"/>
      <c r="EX25" s="437"/>
      <c r="EY25" s="437"/>
      <c r="EZ25" s="437"/>
      <c r="FA25" s="437"/>
      <c r="FB25" s="437"/>
      <c r="FC25" s="437"/>
      <c r="FD25" s="437"/>
      <c r="FE25" s="437"/>
      <c r="FF25" s="437"/>
      <c r="FG25" s="437"/>
      <c r="FH25" s="437"/>
      <c r="FI25" s="437"/>
      <c r="FJ25" s="437"/>
      <c r="FK25" s="437"/>
      <c r="FL25" s="438"/>
      <c r="FM25" s="439"/>
      <c r="FN25" s="440"/>
      <c r="FO25" s="440"/>
      <c r="FP25" s="440"/>
      <c r="FQ25" s="440"/>
    </row>
    <row r="26" spans="2:173" ht="15" customHeight="1" x14ac:dyDescent="0.45">
      <c r="M26" s="410"/>
      <c r="BM26" s="410"/>
      <c r="DM26" s="416"/>
    </row>
    <row r="27" spans="2:173" ht="15" customHeight="1" x14ac:dyDescent="0.45">
      <c r="M27" s="410"/>
      <c r="BM27" s="410"/>
      <c r="BS27"/>
      <c r="BT27"/>
      <c r="BU27"/>
      <c r="DM27" s="416"/>
    </row>
    <row r="28" spans="2:173" ht="15" customHeight="1" x14ac:dyDescent="0.45">
      <c r="B28" s="358" t="s">
        <v>1391</v>
      </c>
      <c r="D28" s="164"/>
      <c r="E28" s="164"/>
      <c r="F28" s="164"/>
      <c r="G28" s="164"/>
      <c r="H28" s="164"/>
      <c r="I28" s="164"/>
      <c r="J28" s="164"/>
      <c r="K28" s="164"/>
      <c r="L28" s="164"/>
      <c r="M28" s="441"/>
      <c r="N28" s="442"/>
      <c r="O28" s="442"/>
      <c r="P28" s="442"/>
      <c r="Q28" s="442"/>
      <c r="R28" s="442"/>
      <c r="S28" s="442"/>
      <c r="T28" s="442"/>
      <c r="U28" s="442"/>
      <c r="V28" s="442"/>
      <c r="W28" s="442"/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3"/>
      <c r="AK28" s="417"/>
      <c r="AL28" s="418"/>
      <c r="AM28" s="418"/>
      <c r="AN28" s="418"/>
      <c r="AO28" s="418"/>
      <c r="AP28" s="418"/>
      <c r="AQ28" s="418"/>
      <c r="AR28" s="418"/>
      <c r="AS28" s="418"/>
      <c r="AT28" s="418"/>
      <c r="AU28" s="418"/>
      <c r="AV28" s="418"/>
      <c r="AW28" s="418"/>
      <c r="AX28" s="418"/>
      <c r="AY28" s="418"/>
      <c r="AZ28" s="418"/>
      <c r="BA28" s="418"/>
      <c r="BB28" s="418"/>
      <c r="BC28" s="418"/>
      <c r="BD28" s="418"/>
      <c r="BE28" s="418"/>
      <c r="BF28" s="418"/>
      <c r="BG28" s="418"/>
      <c r="BH28" s="418"/>
      <c r="BI28" s="418"/>
      <c r="BJ28" s="418"/>
      <c r="BK28" s="418"/>
      <c r="BL28" s="444"/>
      <c r="BM28" s="445"/>
      <c r="BN28" s="442"/>
      <c r="BO28" s="442"/>
      <c r="BP28" s="442"/>
      <c r="BQ28" s="442"/>
      <c r="BR28" s="442"/>
      <c r="BS28" s="442"/>
      <c r="BT28" s="442"/>
      <c r="BU28" s="442"/>
      <c r="BV28" s="442"/>
      <c r="BW28" s="442"/>
      <c r="BX28" s="442"/>
      <c r="BY28" s="442"/>
      <c r="BZ28" s="442"/>
      <c r="CA28" s="442"/>
      <c r="CB28" s="442"/>
      <c r="CC28" s="442"/>
      <c r="CD28" s="442"/>
      <c r="CE28" s="442"/>
      <c r="CF28" s="442"/>
      <c r="CG28" s="442"/>
      <c r="CH28" s="442"/>
      <c r="CI28" s="442"/>
      <c r="CJ28" s="442"/>
      <c r="CK28" s="446"/>
      <c r="CL28" s="446"/>
      <c r="CM28" s="446"/>
      <c r="CN28" s="447"/>
      <c r="CO28" s="419"/>
      <c r="CP28" s="419"/>
      <c r="CQ28" s="419"/>
      <c r="CR28" s="419"/>
      <c r="CS28" s="419"/>
      <c r="CT28" s="419"/>
      <c r="CU28" s="419"/>
      <c r="CV28" s="419"/>
      <c r="CW28" s="419"/>
      <c r="CX28" s="419"/>
      <c r="CY28" s="419"/>
      <c r="CZ28" s="419"/>
      <c r="DA28" s="419"/>
      <c r="DB28" s="419"/>
      <c r="DC28" s="419"/>
      <c r="DD28" s="419"/>
      <c r="DE28" s="419"/>
      <c r="DF28" s="419"/>
      <c r="DG28" s="419"/>
      <c r="DH28" s="419"/>
      <c r="DI28" s="419"/>
      <c r="DJ28" s="419"/>
      <c r="DK28" s="419"/>
      <c r="DL28" s="140"/>
      <c r="DM28" s="445"/>
      <c r="DN28" s="442"/>
      <c r="DO28" s="442"/>
      <c r="DP28" s="442"/>
      <c r="DQ28" s="442"/>
      <c r="DR28" s="442"/>
      <c r="DS28" s="442"/>
      <c r="DT28" s="442"/>
      <c r="DU28" s="442"/>
      <c r="DV28" s="442"/>
      <c r="DW28" s="442"/>
      <c r="DX28" s="442"/>
      <c r="DY28" s="442"/>
      <c r="DZ28" s="442"/>
      <c r="EA28" s="442"/>
      <c r="EB28" s="442"/>
      <c r="EC28" s="436"/>
      <c r="ED28" s="437"/>
      <c r="EE28" s="448"/>
      <c r="EF28" s="448"/>
      <c r="EG28" s="448"/>
      <c r="EH28" s="448"/>
      <c r="EI28" s="448"/>
      <c r="EJ28" s="448"/>
      <c r="EK28" s="448"/>
      <c r="EL28" s="448"/>
      <c r="EM28" s="448"/>
      <c r="EN28" s="448"/>
      <c r="EO28" s="448"/>
      <c r="EP28" s="448"/>
      <c r="EQ28" s="448"/>
      <c r="ER28" s="448"/>
      <c r="ES28" s="448"/>
      <c r="ET28" s="448"/>
      <c r="EU28" s="448"/>
      <c r="EV28" s="448"/>
      <c r="EW28" s="448"/>
      <c r="EX28" s="448"/>
      <c r="EY28" s="448"/>
      <c r="EZ28" s="448"/>
      <c r="FA28" s="448"/>
      <c r="FB28" s="448"/>
      <c r="FC28" s="448"/>
      <c r="FD28" s="448"/>
      <c r="FE28" s="448"/>
      <c r="FF28" s="448"/>
      <c r="FG28" s="448"/>
      <c r="FH28" s="448"/>
      <c r="FI28" s="448"/>
      <c r="FJ28" s="448"/>
      <c r="FK28" s="448"/>
      <c r="FL28" s="449"/>
      <c r="FM28" s="14"/>
      <c r="FN28" s="14"/>
      <c r="FO28" s="14"/>
      <c r="FP28" s="14"/>
      <c r="FQ28" s="14"/>
    </row>
    <row r="29" spans="2:173" ht="15" customHeight="1" x14ac:dyDescent="0.45">
      <c r="M29" s="410"/>
      <c r="T29" s="5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G29"/>
      <c r="BH29"/>
      <c r="BI29"/>
      <c r="BJ29"/>
      <c r="BK29"/>
      <c r="BL29"/>
      <c r="BM29" s="416"/>
      <c r="BN29"/>
      <c r="BO29"/>
      <c r="BP29"/>
      <c r="BQ29"/>
      <c r="BR29"/>
      <c r="BS29"/>
      <c r="BT29"/>
      <c r="BU29"/>
      <c r="DM29" s="416"/>
    </row>
    <row r="30" spans="2:173" ht="15" customHeight="1" x14ac:dyDescent="0.45">
      <c r="M30" s="410"/>
      <c r="U30" s="450"/>
      <c r="BM30" s="410"/>
      <c r="BU30" s="410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410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</row>
    <row r="31" spans="2:173" ht="15" customHeight="1" x14ac:dyDescent="0.45">
      <c r="B31" s="358" t="s">
        <v>1392</v>
      </c>
      <c r="D31" s="429"/>
      <c r="E31" s="429"/>
      <c r="F31" s="429"/>
      <c r="G31" s="429"/>
      <c r="H31" s="429"/>
      <c r="I31" s="429"/>
      <c r="J31" s="429"/>
      <c r="K31" s="429"/>
      <c r="L31" s="429"/>
      <c r="M31" s="451"/>
      <c r="N31" s="429"/>
      <c r="O31" s="429"/>
      <c r="P31" s="429"/>
      <c r="Q31" s="429"/>
      <c r="R31" s="429"/>
      <c r="S31" s="429"/>
      <c r="T31" s="429"/>
      <c r="U31" s="452"/>
      <c r="V31" s="453"/>
      <c r="W31" s="453"/>
      <c r="X31" s="453"/>
      <c r="Y31" s="453"/>
      <c r="Z31" s="453"/>
      <c r="AA31" s="453"/>
      <c r="AB31" s="453"/>
      <c r="AC31" s="453"/>
      <c r="AD31" s="453"/>
      <c r="AE31" s="453"/>
      <c r="AF31" s="453"/>
      <c r="AG31" s="453"/>
      <c r="AH31" s="453"/>
      <c r="AI31" s="453"/>
      <c r="AJ31" s="453"/>
      <c r="AK31" s="453"/>
      <c r="AL31" s="453"/>
      <c r="AM31" s="453"/>
      <c r="AN31" s="453"/>
      <c r="AO31" s="453"/>
      <c r="AP31" s="453"/>
      <c r="AQ31" s="453"/>
      <c r="AR31" s="454"/>
      <c r="AS31" s="417"/>
      <c r="AT31" s="418"/>
      <c r="AU31" s="418"/>
      <c r="AV31" s="418"/>
      <c r="AW31" s="418"/>
      <c r="AX31" s="418"/>
      <c r="AY31" s="418"/>
      <c r="AZ31" s="418"/>
      <c r="BA31" s="418"/>
      <c r="BB31" s="418"/>
      <c r="BC31" s="418"/>
      <c r="BD31" s="418"/>
      <c r="BE31" s="418"/>
      <c r="BF31" s="418"/>
      <c r="BG31" s="418"/>
      <c r="BH31" s="418"/>
      <c r="BI31" s="418"/>
      <c r="BJ31" s="418"/>
      <c r="BK31" s="418"/>
      <c r="BL31" s="418"/>
      <c r="BM31" s="418"/>
      <c r="BN31" s="418"/>
      <c r="BO31" s="418"/>
      <c r="BP31" s="418"/>
      <c r="BQ31" s="418"/>
      <c r="BR31" s="418"/>
      <c r="BS31" s="418"/>
      <c r="BT31" s="444"/>
      <c r="BU31" s="445"/>
      <c r="BV31" s="442"/>
      <c r="BW31" s="442"/>
      <c r="BX31" s="442"/>
      <c r="BY31" s="442"/>
      <c r="BZ31" s="442"/>
      <c r="CA31" s="442"/>
      <c r="CB31" s="442"/>
      <c r="CC31" s="442"/>
      <c r="CD31" s="442"/>
      <c r="CE31" s="442"/>
      <c r="CF31" s="442"/>
      <c r="CG31" s="442"/>
      <c r="CH31" s="442"/>
      <c r="CI31" s="442"/>
      <c r="CJ31" s="442"/>
      <c r="CK31" s="442"/>
      <c r="CL31" s="442"/>
      <c r="CM31" s="442"/>
      <c r="CN31" s="442"/>
      <c r="CO31" s="442"/>
      <c r="CP31" s="442"/>
      <c r="CQ31" s="442"/>
      <c r="CR31" s="442"/>
      <c r="CS31" s="446"/>
      <c r="CT31" s="446"/>
      <c r="CU31" s="446"/>
      <c r="CV31" s="447"/>
      <c r="CW31" s="419"/>
      <c r="CX31" s="419"/>
      <c r="CY31" s="419"/>
      <c r="CZ31" s="419"/>
      <c r="DA31" s="419"/>
      <c r="DB31" s="419"/>
      <c r="DC31" s="419"/>
      <c r="DD31" s="419"/>
      <c r="DE31" s="419"/>
      <c r="DF31" s="419"/>
      <c r="DG31" s="419"/>
      <c r="DH31" s="419"/>
      <c r="DI31" s="419"/>
      <c r="DJ31" s="419"/>
      <c r="DK31" s="419"/>
      <c r="DL31" s="419"/>
      <c r="DM31" s="419"/>
      <c r="DN31" s="419"/>
      <c r="DO31" s="419"/>
      <c r="DP31" s="419"/>
      <c r="DQ31" s="419"/>
      <c r="DR31" s="419"/>
      <c r="DS31" s="419"/>
      <c r="DT31" s="140"/>
      <c r="DU31" s="445"/>
      <c r="DV31" s="442"/>
      <c r="DW31" s="442"/>
      <c r="DX31" s="442"/>
      <c r="DY31" s="442"/>
      <c r="DZ31" s="442"/>
      <c r="EA31" s="442"/>
      <c r="EB31" s="442"/>
      <c r="EC31" s="442"/>
      <c r="ED31" s="442"/>
      <c r="EE31" s="442"/>
      <c r="EF31" s="442"/>
      <c r="EG31" s="436"/>
      <c r="EH31" s="437"/>
      <c r="EI31" s="448"/>
      <c r="EJ31" s="448"/>
      <c r="EK31" s="448"/>
      <c r="EL31" s="448"/>
      <c r="EM31" s="448"/>
      <c r="EN31" s="448"/>
      <c r="EO31" s="448"/>
      <c r="EP31" s="448"/>
      <c r="EQ31" s="448"/>
      <c r="ER31" s="448"/>
      <c r="ES31" s="448"/>
      <c r="ET31" s="448"/>
      <c r="EU31" s="448"/>
      <c r="EV31" s="448"/>
      <c r="EW31" s="448"/>
      <c r="EX31" s="448"/>
      <c r="EY31" s="448"/>
      <c r="EZ31" s="448"/>
      <c r="FA31" s="448"/>
      <c r="FB31" s="448"/>
      <c r="FC31" s="448"/>
      <c r="FD31" s="448"/>
      <c r="FE31" s="448"/>
      <c r="FF31" s="448"/>
      <c r="FG31" s="448"/>
      <c r="FH31" s="448"/>
      <c r="FI31" s="448"/>
      <c r="FJ31" s="448"/>
      <c r="FK31" s="448"/>
      <c r="FL31" s="448"/>
      <c r="FM31" s="448"/>
      <c r="FN31" s="448"/>
      <c r="FO31" s="448"/>
      <c r="FP31" s="448"/>
      <c r="FQ31" s="448"/>
    </row>
    <row r="32" spans="2:173" ht="15" customHeight="1" x14ac:dyDescent="0.45"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</row>
    <row r="35" spans="2:173" ht="15" customHeight="1" x14ac:dyDescent="0.45">
      <c r="B35" s="399" t="s">
        <v>1290</v>
      </c>
      <c r="D35" s="400" t="s">
        <v>1385</v>
      </c>
    </row>
    <row r="36" spans="2:173" ht="15" customHeight="1" x14ac:dyDescent="0.45">
      <c r="K36" s="455"/>
      <c r="L36" s="455"/>
      <c r="M36" s="455" t="s">
        <v>1386</v>
      </c>
      <c r="N36" s="455"/>
      <c r="O36" s="455"/>
      <c r="P36" s="455"/>
      <c r="Q36" s="455"/>
      <c r="R36" s="455"/>
      <c r="S36" s="455"/>
      <c r="T36" s="455"/>
      <c r="U36" s="455"/>
      <c r="V36" s="455"/>
      <c r="W36" s="455"/>
      <c r="X36" s="455"/>
      <c r="Y36" s="455"/>
      <c r="Z36" s="455"/>
      <c r="AA36" s="455"/>
      <c r="AB36" s="455"/>
      <c r="AC36" s="455"/>
      <c r="AD36" s="455"/>
      <c r="AE36" s="455"/>
      <c r="AF36" s="455"/>
      <c r="AG36" s="455"/>
      <c r="AH36" s="455"/>
      <c r="AI36" s="455"/>
      <c r="AJ36" s="455"/>
      <c r="AK36" s="455"/>
      <c r="AL36" s="455"/>
      <c r="AM36" s="455"/>
      <c r="AN36" s="455"/>
      <c r="AO36" s="455"/>
      <c r="AP36" s="455"/>
      <c r="AQ36" s="455"/>
      <c r="AR36" s="455"/>
      <c r="AS36" s="455"/>
      <c r="AT36" s="455"/>
      <c r="AU36" s="455"/>
      <c r="AV36" s="455"/>
      <c r="AW36" s="455"/>
      <c r="AX36" s="455"/>
      <c r="AY36" s="455"/>
      <c r="AZ36" s="455"/>
      <c r="BA36" s="455"/>
      <c r="BB36" s="455"/>
      <c r="BC36" s="455"/>
      <c r="BD36" s="455"/>
      <c r="BE36" s="455"/>
      <c r="BF36" s="455"/>
      <c r="BG36" s="455"/>
      <c r="BH36" s="455"/>
      <c r="BI36" s="455"/>
      <c r="BJ36" s="455"/>
      <c r="BK36" s="455"/>
      <c r="BL36" s="455"/>
      <c r="BM36" s="455"/>
      <c r="BN36" s="455"/>
      <c r="BO36" s="455"/>
      <c r="BP36" s="455"/>
      <c r="BQ36" s="455"/>
      <c r="BR36" s="455"/>
      <c r="BS36" s="455"/>
      <c r="BT36" s="455"/>
      <c r="BU36" s="455"/>
      <c r="BV36" s="455"/>
      <c r="BW36" s="455"/>
      <c r="BX36" s="455"/>
      <c r="BY36" s="455"/>
      <c r="BZ36" s="455"/>
      <c r="CA36" s="455"/>
      <c r="CB36" s="455"/>
      <c r="CC36" s="455"/>
      <c r="CD36" s="455"/>
      <c r="CE36" s="455"/>
      <c r="CF36" s="455"/>
      <c r="CG36" s="455"/>
      <c r="CH36" s="455"/>
      <c r="CI36" s="455"/>
      <c r="CJ36" s="455"/>
      <c r="CK36" s="455"/>
      <c r="CL36" s="455"/>
      <c r="CM36" s="455"/>
      <c r="CN36" s="455"/>
      <c r="CO36" s="455"/>
      <c r="CP36" s="455"/>
      <c r="CQ36" s="455"/>
      <c r="CR36" s="455"/>
      <c r="CS36" s="455"/>
      <c r="CT36" s="455"/>
      <c r="CU36" s="455"/>
      <c r="CV36" s="455"/>
      <c r="CW36" s="455"/>
      <c r="CX36" s="455"/>
      <c r="CY36" s="455"/>
      <c r="CZ36" s="455"/>
      <c r="DA36" s="455"/>
      <c r="DB36" s="455"/>
      <c r="DC36" s="455"/>
      <c r="DD36" s="455"/>
      <c r="DE36" s="455"/>
      <c r="DF36" s="455"/>
      <c r="DG36" s="455"/>
      <c r="DH36" s="455"/>
      <c r="DI36" s="455"/>
      <c r="DJ36" s="455"/>
      <c r="DK36" s="455"/>
      <c r="DL36" s="455"/>
      <c r="DM36" s="455"/>
      <c r="DN36" s="455" t="s">
        <v>1387</v>
      </c>
      <c r="DO36" s="455"/>
      <c r="DP36" s="455"/>
      <c r="DQ36" s="455"/>
      <c r="DR36" s="455"/>
      <c r="DS36" s="455"/>
      <c r="DT36" s="455"/>
      <c r="DU36" s="455"/>
      <c r="DV36" s="455"/>
      <c r="DW36" s="455"/>
      <c r="DX36" s="455"/>
      <c r="DY36" s="455"/>
      <c r="DZ36" s="455"/>
      <c r="EA36" s="455"/>
      <c r="EB36" s="455"/>
      <c r="EC36" s="455"/>
      <c r="ED36" s="455"/>
      <c r="EE36" s="455"/>
      <c r="EF36" s="455"/>
      <c r="EG36" s="455"/>
      <c r="EH36" s="455"/>
      <c r="EI36" s="455"/>
      <c r="EJ36" s="455"/>
      <c r="EK36" s="455"/>
      <c r="EL36" s="455"/>
      <c r="EM36" s="455"/>
      <c r="EN36" s="455"/>
      <c r="EO36" s="455"/>
      <c r="EP36" s="455"/>
      <c r="EQ36" s="455"/>
      <c r="ER36" s="455"/>
      <c r="ES36" s="455"/>
      <c r="ET36" s="455"/>
      <c r="EU36" s="455"/>
      <c r="EV36" s="455"/>
    </row>
    <row r="37" spans="2:173" ht="15" customHeight="1" x14ac:dyDescent="0.45">
      <c r="B37" s="358" t="s">
        <v>1389</v>
      </c>
      <c r="D37" s="403"/>
      <c r="E37" s="403"/>
      <c r="F37" s="403"/>
      <c r="G37" s="403"/>
      <c r="H37" s="403"/>
      <c r="I37" s="403"/>
      <c r="J37" s="403"/>
      <c r="K37" s="403"/>
      <c r="L37" s="403"/>
      <c r="M37" s="456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5"/>
      <c r="CF37" s="165"/>
      <c r="CG37" s="165"/>
      <c r="CH37" s="165"/>
      <c r="CI37" s="165"/>
      <c r="CJ37" s="165"/>
      <c r="CK37" s="165"/>
      <c r="CL37" s="165"/>
      <c r="CM37" s="165"/>
      <c r="CN37" s="165"/>
      <c r="CO37" s="165"/>
      <c r="CP37" s="165"/>
      <c r="CQ37" s="165"/>
      <c r="CR37" s="165"/>
      <c r="CS37" s="165"/>
      <c r="CT37" s="165"/>
      <c r="CU37" s="165"/>
      <c r="CV37" s="165"/>
      <c r="CW37" s="165"/>
      <c r="CX37" s="165"/>
      <c r="CY37" s="165"/>
      <c r="CZ37" s="165"/>
      <c r="DA37" s="165"/>
      <c r="DB37" s="156"/>
      <c r="DC37" s="156"/>
      <c r="DD37" s="156"/>
      <c r="DE37" s="156"/>
      <c r="DF37" s="156"/>
      <c r="DG37" s="156"/>
      <c r="DH37" s="156"/>
      <c r="DI37" s="156"/>
      <c r="DJ37" s="156"/>
      <c r="DK37" s="156"/>
      <c r="DL37" s="156"/>
      <c r="DM37" s="156"/>
      <c r="DN37" s="407"/>
      <c r="DO37" s="408"/>
      <c r="DP37" s="156"/>
      <c r="DQ37" s="156"/>
      <c r="DR37" s="156"/>
      <c r="DS37" s="156"/>
      <c r="DT37" s="156"/>
      <c r="DU37" s="156"/>
      <c r="DV37" s="156"/>
      <c r="DW37" s="156"/>
      <c r="DX37" s="409"/>
      <c r="DY37" s="409"/>
      <c r="DZ37" s="409"/>
      <c r="EA37" s="409"/>
      <c r="EB37" s="409"/>
      <c r="EC37" s="409"/>
      <c r="ED37" s="409"/>
      <c r="EE37" s="409"/>
      <c r="EF37" s="409"/>
      <c r="EG37" s="409"/>
      <c r="EH37" s="409"/>
      <c r="EI37" s="409"/>
      <c r="EJ37" s="409"/>
      <c r="EK37" s="409"/>
      <c r="EL37" s="409"/>
      <c r="EM37" s="409"/>
      <c r="EN37" s="409"/>
      <c r="EO37" s="409"/>
      <c r="EP37" s="409"/>
      <c r="EQ37" s="409"/>
      <c r="ER37" s="409"/>
      <c r="ES37" s="409"/>
      <c r="ET37" s="409"/>
      <c r="EU37" s="409"/>
      <c r="EV37" s="409"/>
      <c r="EW37" s="409"/>
      <c r="EX37" s="409"/>
      <c r="EY37" s="409"/>
      <c r="EZ37" s="409"/>
      <c r="FA37" s="409"/>
      <c r="FB37" s="409"/>
      <c r="FC37" s="409"/>
      <c r="FD37" s="409"/>
      <c r="FE37" s="409"/>
      <c r="FF37" s="409"/>
      <c r="FG37" s="409"/>
      <c r="FH37" s="409"/>
      <c r="FI37" s="409"/>
      <c r="FJ37" s="409"/>
      <c r="FK37" s="409"/>
      <c r="FL37" s="409"/>
      <c r="FM37" s="409"/>
      <c r="FN37" s="409"/>
      <c r="FO37" s="409"/>
      <c r="FP37" s="409"/>
      <c r="FQ37" s="409"/>
    </row>
    <row r="38" spans="2:173" ht="15" customHeight="1" x14ac:dyDescent="0.45">
      <c r="P38" s="457"/>
      <c r="Q38" s="457"/>
      <c r="R38" s="457"/>
      <c r="S38" s="457"/>
      <c r="T38" s="457"/>
      <c r="U38" s="457"/>
      <c r="V38" s="457"/>
      <c r="W38" s="457"/>
      <c r="X38" s="457"/>
      <c r="Y38" s="457"/>
      <c r="Z38" s="457"/>
      <c r="AA38" s="457"/>
      <c r="AB38" s="457"/>
      <c r="AC38" s="457"/>
      <c r="AD38" s="457"/>
      <c r="AE38" s="457"/>
      <c r="AF38" s="457"/>
      <c r="AG38" s="457"/>
      <c r="AH38" s="457"/>
      <c r="AI38" s="457"/>
      <c r="AJ38" s="457"/>
      <c r="AK38" s="457"/>
      <c r="AL38" s="457"/>
      <c r="AM38" s="457"/>
      <c r="AN38" s="457"/>
      <c r="AO38" s="457"/>
      <c r="AP38" s="457"/>
      <c r="AQ38" s="457"/>
      <c r="AR38" s="457"/>
      <c r="AS38" s="457"/>
      <c r="AT38" s="457"/>
      <c r="AU38" s="457"/>
      <c r="AV38" s="457"/>
      <c r="AW38" s="457"/>
      <c r="AX38" s="457"/>
      <c r="AY38" s="457"/>
      <c r="AZ38" s="457"/>
      <c r="BA38" s="457"/>
      <c r="BB38" s="457"/>
      <c r="BC38" s="457"/>
      <c r="BD38" s="457"/>
      <c r="BE38" s="457"/>
      <c r="BF38" s="457"/>
      <c r="BG38" s="457"/>
      <c r="BH38" s="457"/>
      <c r="BI38" s="457"/>
      <c r="BJ38" s="457"/>
      <c r="BK38" s="457"/>
      <c r="BL38" s="457"/>
      <c r="BM38" s="457"/>
      <c r="BN38" s="457"/>
      <c r="BO38" s="457"/>
      <c r="BP38" s="457"/>
      <c r="BQ38" s="457"/>
      <c r="BR38" s="457"/>
      <c r="BS38" s="457"/>
      <c r="BT38" s="457"/>
      <c r="BU38" s="457"/>
      <c r="BV38" s="457"/>
      <c r="BW38" s="457"/>
      <c r="BX38" s="457"/>
      <c r="BY38" s="457"/>
      <c r="BZ38" s="457"/>
      <c r="CA38" s="457"/>
      <c r="CB38" s="457"/>
      <c r="CC38" s="457"/>
      <c r="CD38" s="457"/>
      <c r="CE38" s="457"/>
      <c r="CF38" s="457"/>
      <c r="CG38" s="457"/>
      <c r="CH38" s="457"/>
      <c r="CI38" s="457"/>
      <c r="CJ38" s="457"/>
      <c r="CK38" s="1"/>
      <c r="CL38" s="457"/>
      <c r="CM38" s="457"/>
      <c r="CN38" s="457"/>
      <c r="CO38" s="457"/>
      <c r="CP38" s="457"/>
      <c r="CQ38" s="457"/>
      <c r="CR38" s="457"/>
      <c r="CS38" s="457"/>
      <c r="CT38" s="458"/>
      <c r="CU38" s="458"/>
      <c r="CV38" s="458"/>
      <c r="CW38" s="458"/>
      <c r="CX38" s="458"/>
      <c r="CY38" s="458"/>
      <c r="CZ38" s="458"/>
      <c r="DA38" s="458"/>
      <c r="DB38" s="458"/>
      <c r="DC38" s="458"/>
      <c r="DD38" s="458"/>
      <c r="DE38" s="458"/>
      <c r="DF38" s="458"/>
      <c r="DG38" s="458"/>
      <c r="DH38" s="458"/>
      <c r="DI38" s="458"/>
      <c r="DJ38" s="458"/>
      <c r="DK38" s="458"/>
      <c r="DL38" s="458"/>
      <c r="DN38" s="458"/>
      <c r="DO38" s="458"/>
      <c r="DP38" s="458"/>
      <c r="DQ38" s="458"/>
      <c r="DR38" s="458"/>
      <c r="DS38" s="458"/>
      <c r="DT38" s="458"/>
      <c r="DU38" s="458"/>
      <c r="DV38" s="458"/>
      <c r="DW38" s="458"/>
      <c r="DX38" s="458"/>
      <c r="DY38" s="458"/>
      <c r="DZ38" s="458"/>
      <c r="EA38" s="458"/>
      <c r="EB38" s="458"/>
      <c r="EC38" s="458"/>
      <c r="ED38" s="458"/>
      <c r="EE38" s="458"/>
      <c r="EF38" s="458"/>
      <c r="EG38" s="458"/>
      <c r="EH38" s="458"/>
      <c r="EI38" s="458"/>
      <c r="EJ38" s="458"/>
      <c r="EK38" s="458"/>
      <c r="EL38" s="458"/>
      <c r="EM38" s="458"/>
      <c r="EN38" s="458"/>
      <c r="EO38" s="458"/>
      <c r="EP38" s="458"/>
      <c r="EQ38" s="458"/>
      <c r="ER38" s="458"/>
      <c r="ES38" s="458"/>
      <c r="ET38" s="458"/>
      <c r="EU38" s="458"/>
      <c r="EV38" s="458"/>
    </row>
    <row r="39" spans="2:173" ht="15" customHeight="1" x14ac:dyDescent="0.45">
      <c r="M39" s="410"/>
      <c r="P39" s="457"/>
      <c r="Q39" s="457"/>
      <c r="AK39" s="410"/>
      <c r="BH39" s="411"/>
      <c r="CG39" s="410"/>
      <c r="CH39" s="1"/>
      <c r="CI39" s="1"/>
      <c r="CJ39" s="1"/>
      <c r="CK39" s="1"/>
      <c r="CL39" s="1"/>
      <c r="CM39" s="1"/>
      <c r="CN39" s="1"/>
      <c r="CO39" s="1"/>
      <c r="CP39" s="410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411"/>
      <c r="DP39" s="457"/>
      <c r="DQ39" s="457"/>
      <c r="DR39" s="457"/>
      <c r="DS39" s="457"/>
      <c r="DT39" s="457"/>
      <c r="DU39" s="457"/>
      <c r="DV39" s="457"/>
      <c r="DW39" s="457"/>
      <c r="DX39" s="457"/>
      <c r="DY39" s="457"/>
      <c r="DZ39" s="457"/>
      <c r="EA39" s="457"/>
      <c r="EB39" s="457"/>
      <c r="EC39" s="457"/>
      <c r="ED39" s="457"/>
      <c r="EE39" s="457"/>
      <c r="EF39" s="457"/>
      <c r="EG39" s="457"/>
      <c r="EH39" s="457"/>
      <c r="EI39" s="457"/>
      <c r="EJ39" s="457"/>
      <c r="EK39" s="457"/>
      <c r="EL39" s="457"/>
      <c r="EM39" s="457"/>
      <c r="EN39" s="457"/>
      <c r="EO39" s="457"/>
      <c r="EP39" s="457"/>
      <c r="EQ39" s="457"/>
      <c r="ER39" s="457"/>
      <c r="ES39" s="457"/>
      <c r="ET39" s="457"/>
      <c r="EU39" s="457"/>
      <c r="EV39" s="457"/>
      <c r="EW39" s="457"/>
      <c r="EX39" s="457"/>
      <c r="EY39" s="457"/>
      <c r="EZ39" s="457"/>
      <c r="FA39" s="457"/>
      <c r="FB39" s="457"/>
    </row>
    <row r="40" spans="2:173" ht="15" customHeight="1" x14ac:dyDescent="0.45">
      <c r="M40" s="410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457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M40" s="411"/>
      <c r="DN40" s="410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</row>
    <row r="41" spans="2:173" ht="15" customHeight="1" x14ac:dyDescent="0.45">
      <c r="CK41" s="1"/>
      <c r="CL41" s="457"/>
    </row>
    <row r="42" spans="2:173" ht="15" customHeight="1" x14ac:dyDescent="0.45">
      <c r="B42" s="358" t="s">
        <v>1390</v>
      </c>
      <c r="D42" s="164"/>
      <c r="E42" s="164"/>
      <c r="F42" s="164"/>
      <c r="G42" s="164"/>
      <c r="H42" s="164"/>
      <c r="I42" s="164"/>
      <c r="J42" s="164"/>
      <c r="K42" s="164"/>
      <c r="L42" s="164"/>
      <c r="M42" s="459"/>
      <c r="N42" s="164"/>
      <c r="O42" s="164"/>
      <c r="P42" s="459"/>
      <c r="Q42" s="164"/>
      <c r="R42" s="164"/>
      <c r="S42" s="459"/>
      <c r="T42" s="164"/>
      <c r="U42" s="164"/>
      <c r="V42" s="459"/>
      <c r="W42" s="164"/>
      <c r="X42" s="164"/>
      <c r="Y42" s="459"/>
      <c r="Z42" s="164"/>
      <c r="AA42" s="164"/>
      <c r="AB42" s="459"/>
      <c r="AC42" s="164"/>
      <c r="AD42" s="164"/>
      <c r="AE42" s="459"/>
      <c r="AF42" s="164"/>
      <c r="AG42" s="164"/>
      <c r="AH42" s="459"/>
      <c r="AI42" s="164"/>
      <c r="AJ42" s="164"/>
      <c r="AK42" s="459"/>
      <c r="AL42" s="164"/>
      <c r="AM42" s="164"/>
      <c r="AN42" s="459"/>
      <c r="AO42" s="164"/>
      <c r="AP42" s="164"/>
      <c r="AQ42" s="459"/>
      <c r="AR42" s="164"/>
      <c r="AS42" s="164"/>
      <c r="AT42" s="459"/>
      <c r="AU42" s="164"/>
      <c r="AV42" s="164"/>
      <c r="AW42" s="459"/>
      <c r="AX42" s="164"/>
      <c r="AY42" s="164"/>
      <c r="AZ42" s="459"/>
      <c r="BA42" s="164"/>
      <c r="BB42" s="164"/>
      <c r="BC42" s="459"/>
      <c r="BD42" s="164"/>
      <c r="BE42" s="164"/>
      <c r="BF42" s="459"/>
      <c r="BG42" s="164"/>
      <c r="BH42" s="164"/>
      <c r="BI42" s="459"/>
      <c r="BJ42" s="164"/>
      <c r="BK42" s="164"/>
      <c r="BL42" s="459"/>
      <c r="BM42" s="164"/>
      <c r="BN42" s="164"/>
      <c r="BO42" s="459"/>
      <c r="BP42" s="164"/>
      <c r="BQ42" s="164"/>
      <c r="BR42" s="459"/>
      <c r="BS42" s="164"/>
      <c r="BT42" s="164"/>
      <c r="BU42" s="459"/>
      <c r="BV42" s="164"/>
      <c r="BW42" s="164"/>
      <c r="BX42" s="459"/>
      <c r="BY42" s="164"/>
      <c r="BZ42" s="164"/>
      <c r="CA42" s="459"/>
      <c r="CB42" s="164"/>
      <c r="CC42" s="164"/>
      <c r="CD42" s="459"/>
      <c r="CE42" s="164"/>
      <c r="CF42" s="164"/>
      <c r="CG42" s="459"/>
      <c r="CH42" s="164"/>
      <c r="CI42" s="164"/>
      <c r="CJ42" s="459"/>
      <c r="CK42" s="113"/>
      <c r="CL42" s="457"/>
      <c r="CM42" s="1"/>
      <c r="CN42" s="164"/>
      <c r="CO42" s="164"/>
      <c r="CP42" s="459"/>
      <c r="CQ42" s="164"/>
      <c r="CR42" s="164"/>
      <c r="CS42" s="459"/>
      <c r="CT42" s="164"/>
      <c r="CU42" s="164"/>
      <c r="CV42" s="459"/>
      <c r="CW42" s="164"/>
      <c r="CX42" s="164"/>
      <c r="CY42" s="459"/>
      <c r="CZ42" s="164"/>
      <c r="DA42" s="164"/>
      <c r="DB42" s="459"/>
      <c r="DC42" s="164"/>
      <c r="DD42" s="164"/>
      <c r="DE42" s="459"/>
      <c r="DF42" s="164"/>
      <c r="DG42" s="164"/>
      <c r="DH42" s="459"/>
      <c r="DI42" s="164"/>
      <c r="DJ42" s="164"/>
      <c r="DK42" s="459"/>
      <c r="DL42" s="164"/>
      <c r="DM42" s="164"/>
      <c r="DN42" s="459"/>
      <c r="DO42" s="164"/>
      <c r="DP42" s="164"/>
      <c r="DQ42" s="459"/>
      <c r="DR42" s="164"/>
      <c r="DS42" s="164"/>
      <c r="DT42" s="459"/>
      <c r="DU42" s="164"/>
      <c r="DV42" s="164"/>
      <c r="DW42" s="459"/>
      <c r="DX42" s="164"/>
      <c r="DY42" s="164"/>
      <c r="DZ42" s="459"/>
      <c r="EA42" s="164"/>
      <c r="EB42" s="164"/>
      <c r="EC42" s="459"/>
      <c r="ED42" s="164"/>
      <c r="EE42" s="164"/>
      <c r="EF42" s="459"/>
      <c r="EG42" s="164"/>
      <c r="EH42" s="164"/>
      <c r="EI42" s="459"/>
      <c r="EJ42" s="164"/>
      <c r="EK42" s="164"/>
      <c r="EL42" s="459"/>
      <c r="EM42" s="164"/>
      <c r="EN42" s="164"/>
      <c r="EO42" s="459"/>
      <c r="EP42" s="164"/>
      <c r="EQ42" s="164"/>
      <c r="ER42" s="459"/>
      <c r="ES42" s="164"/>
      <c r="ET42" s="164"/>
      <c r="EU42" s="459"/>
      <c r="EV42" s="164"/>
      <c r="EW42" s="164"/>
      <c r="EX42" s="459"/>
      <c r="EY42" s="164"/>
      <c r="EZ42" s="164"/>
      <c r="FA42" s="459"/>
      <c r="FB42" s="164"/>
      <c r="FC42" s="164"/>
      <c r="FD42" s="459"/>
      <c r="FE42" s="164"/>
      <c r="FF42" s="164"/>
      <c r="FG42" s="459"/>
      <c r="FH42" s="164"/>
      <c r="FI42" s="164"/>
      <c r="FJ42" s="459"/>
      <c r="FK42" s="164"/>
      <c r="FL42" s="164"/>
      <c r="FM42" s="459"/>
      <c r="FN42" s="164"/>
      <c r="FO42" s="164"/>
      <c r="FP42" s="459"/>
      <c r="FQ42" s="164"/>
    </row>
    <row r="43" spans="2:173" ht="15" customHeight="1" x14ac:dyDescent="0.45">
      <c r="M43" s="410"/>
      <c r="BM43" s="410"/>
      <c r="DN43" s="416"/>
    </row>
    <row r="44" spans="2:173" ht="15" customHeight="1" x14ac:dyDescent="0.45">
      <c r="B44" s="358" t="s">
        <v>56</v>
      </c>
      <c r="D44" s="164"/>
      <c r="E44" s="164"/>
      <c r="F44" s="164"/>
      <c r="G44" s="164"/>
      <c r="H44" s="164"/>
      <c r="I44" s="164"/>
      <c r="J44" s="164"/>
      <c r="K44" s="164"/>
      <c r="L44" s="164"/>
      <c r="M44" s="417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Y44" s="418"/>
      <c r="Z44" s="418"/>
      <c r="AA44" s="418"/>
      <c r="AB44" s="418"/>
      <c r="AC44" s="418"/>
      <c r="AD44" s="418"/>
      <c r="AE44" s="418"/>
      <c r="AF44" s="418"/>
      <c r="AG44" s="418"/>
      <c r="AH44" s="418"/>
      <c r="AI44" s="418"/>
      <c r="AJ44" s="418"/>
      <c r="AK44" s="418"/>
      <c r="AL44" s="418"/>
      <c r="AM44" s="418"/>
      <c r="AN44" s="418"/>
      <c r="AO44" s="418"/>
      <c r="AP44" s="418"/>
      <c r="AQ44" s="418"/>
      <c r="AR44" s="418"/>
      <c r="AS44" s="418"/>
      <c r="AT44" s="418"/>
      <c r="AU44" s="418"/>
      <c r="AV44" s="418"/>
      <c r="AW44" s="418"/>
      <c r="AX44" s="418"/>
      <c r="AY44" s="418"/>
      <c r="AZ44" s="418"/>
      <c r="BA44" s="418"/>
      <c r="BB44" s="418"/>
      <c r="BC44" s="418"/>
      <c r="BD44" s="418"/>
      <c r="BE44" s="418"/>
      <c r="BF44" s="418"/>
      <c r="BG44" s="418"/>
      <c r="BH44" s="418"/>
      <c r="BI44" s="418"/>
      <c r="BJ44" s="418"/>
      <c r="BK44" s="418"/>
      <c r="BL44" s="418"/>
      <c r="BM44" s="418"/>
      <c r="BN44" s="418"/>
      <c r="BO44" s="418"/>
      <c r="BP44" s="418"/>
      <c r="BQ44" s="418"/>
      <c r="BR44" s="418"/>
      <c r="BS44" s="418"/>
      <c r="BT44" s="418"/>
      <c r="BU44" s="418"/>
      <c r="BV44" s="418"/>
      <c r="BW44" s="418"/>
      <c r="BX44" s="418"/>
      <c r="BY44" s="418"/>
      <c r="BZ44" s="418"/>
      <c r="CA44" s="418"/>
      <c r="CB44" s="418"/>
      <c r="CC44" s="418"/>
      <c r="CD44" s="418"/>
      <c r="CE44" s="418"/>
      <c r="CF44" s="418"/>
      <c r="CG44" s="418"/>
      <c r="CH44" s="418"/>
      <c r="CI44" s="418"/>
      <c r="CJ44" s="418"/>
      <c r="CK44" s="418"/>
      <c r="CL44" s="457"/>
      <c r="CN44" s="418"/>
      <c r="CO44" s="418"/>
      <c r="CP44" s="418"/>
      <c r="CQ44" s="418"/>
      <c r="CR44" s="418"/>
      <c r="CS44" s="418"/>
      <c r="CT44" s="418"/>
      <c r="CU44" s="418"/>
      <c r="CV44" s="418"/>
      <c r="CW44" s="418"/>
      <c r="CX44" s="418"/>
      <c r="CY44" s="418"/>
      <c r="CZ44" s="418"/>
      <c r="DA44" s="418"/>
      <c r="DB44" s="418"/>
      <c r="DC44" s="418"/>
      <c r="DD44" s="418"/>
      <c r="DE44" s="418"/>
      <c r="DF44" s="418"/>
      <c r="DG44" s="418"/>
      <c r="DH44" s="418"/>
      <c r="DI44" s="418"/>
      <c r="DJ44" s="418"/>
      <c r="DK44" s="418"/>
      <c r="DL44" s="418"/>
      <c r="DM44" s="418"/>
      <c r="DN44" s="139"/>
      <c r="DO44" s="419"/>
      <c r="DP44" s="419"/>
      <c r="DQ44" s="419"/>
      <c r="DR44" s="419"/>
      <c r="DS44" s="419"/>
      <c r="DT44" s="419"/>
      <c r="DU44" s="419"/>
      <c r="DV44" s="419"/>
      <c r="DW44" s="419"/>
      <c r="DX44" s="419"/>
      <c r="DY44" s="419"/>
      <c r="DZ44" s="419"/>
      <c r="EA44" s="419"/>
      <c r="EB44" s="419"/>
      <c r="EC44" s="419"/>
      <c r="ED44" s="419"/>
      <c r="EE44" s="419"/>
      <c r="EF44" s="419"/>
      <c r="EG44" s="419"/>
      <c r="EH44" s="419"/>
      <c r="EI44" s="419"/>
      <c r="EJ44" s="419"/>
      <c r="EK44" s="419"/>
      <c r="EL44" s="419"/>
      <c r="EM44" s="419"/>
      <c r="EN44" s="419"/>
      <c r="EO44" s="419"/>
      <c r="EP44" s="419"/>
      <c r="EQ44" s="419"/>
      <c r="ER44" s="419"/>
      <c r="ES44" s="419"/>
      <c r="ET44" s="419"/>
      <c r="EU44" s="419"/>
      <c r="EV44" s="419"/>
      <c r="EW44" s="419"/>
      <c r="EX44" s="419"/>
      <c r="EY44" s="419"/>
      <c r="EZ44" s="419"/>
      <c r="FA44" s="419"/>
      <c r="FB44" s="419"/>
      <c r="FC44" s="419"/>
      <c r="FD44" s="419"/>
      <c r="FE44" s="419"/>
      <c r="FF44" s="419"/>
      <c r="FG44" s="419"/>
      <c r="FH44" s="419"/>
      <c r="FI44" s="419"/>
      <c r="FJ44" s="419"/>
      <c r="FK44" s="419"/>
      <c r="FL44" s="419"/>
      <c r="FM44" s="419"/>
      <c r="FN44" s="419"/>
      <c r="FO44" s="419"/>
      <c r="FP44" s="419"/>
      <c r="FQ44" s="419"/>
    </row>
    <row r="45" spans="2:173" ht="15" customHeight="1" x14ac:dyDescent="0.45">
      <c r="M45" s="410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457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410"/>
      <c r="DO45" s="1"/>
      <c r="DP45" s="1"/>
      <c r="DQ45" s="1"/>
      <c r="DR45" s="1"/>
      <c r="DS45" s="1"/>
      <c r="DT45" s="1"/>
      <c r="DU45" s="1"/>
      <c r="DV45" s="1"/>
    </row>
    <row r="46" spans="2:173" ht="15" customHeight="1" x14ac:dyDescent="0.45">
      <c r="M46" s="410"/>
      <c r="AK46" s="425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G46"/>
      <c r="BH46"/>
      <c r="BI46" s="425"/>
      <c r="BJ46"/>
      <c r="BK46"/>
      <c r="BL46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457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416"/>
      <c r="EL46" s="425"/>
    </row>
    <row r="47" spans="2:173" ht="15" customHeight="1" x14ac:dyDescent="0.45">
      <c r="B47" s="358" t="s">
        <v>1391</v>
      </c>
      <c r="D47" s="164"/>
      <c r="E47" s="164"/>
      <c r="F47" s="164"/>
      <c r="G47" s="164"/>
      <c r="H47" s="164"/>
      <c r="I47" s="164"/>
      <c r="J47" s="164"/>
      <c r="K47" s="164"/>
      <c r="L47" s="164"/>
      <c r="M47" s="417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Y47" s="418"/>
      <c r="Z47" s="418"/>
      <c r="AA47" s="418"/>
      <c r="AB47" s="418"/>
      <c r="AC47" s="418"/>
      <c r="AD47" s="418"/>
      <c r="AE47" s="418"/>
      <c r="AF47" s="418"/>
      <c r="AG47" s="444"/>
      <c r="AH47" s="164"/>
      <c r="AI47" s="164"/>
      <c r="AJ47" s="164"/>
      <c r="AK47" s="417"/>
      <c r="AL47" s="418"/>
      <c r="AM47" s="418"/>
      <c r="AN47" s="418"/>
      <c r="AO47" s="418"/>
      <c r="AP47" s="418"/>
      <c r="AQ47" s="418"/>
      <c r="AR47" s="418"/>
      <c r="AS47" s="418"/>
      <c r="AT47" s="418"/>
      <c r="AU47" s="418"/>
      <c r="AV47" s="418"/>
      <c r="AW47" s="418"/>
      <c r="AX47" s="418"/>
      <c r="AY47" s="418"/>
      <c r="AZ47" s="418"/>
      <c r="BA47" s="418"/>
      <c r="BB47" s="418"/>
      <c r="BC47" s="418"/>
      <c r="BD47" s="418"/>
      <c r="BE47" s="444"/>
      <c r="BF47" s="164"/>
      <c r="BG47" s="164"/>
      <c r="BH47" s="164"/>
      <c r="BI47" s="417"/>
      <c r="BJ47" s="418"/>
      <c r="BK47" s="418"/>
      <c r="BL47" s="418"/>
      <c r="BM47" s="418"/>
      <c r="BN47" s="418"/>
      <c r="BO47" s="418"/>
      <c r="BP47" s="418"/>
      <c r="BQ47" s="418"/>
      <c r="BR47" s="418"/>
      <c r="BS47" s="418"/>
      <c r="BT47" s="418"/>
      <c r="BU47" s="418"/>
      <c r="BV47" s="418"/>
      <c r="BW47" s="418"/>
      <c r="BX47" s="418"/>
      <c r="BY47" s="418"/>
      <c r="BZ47" s="418"/>
      <c r="CA47" s="418"/>
      <c r="CB47" s="418"/>
      <c r="CC47" s="444"/>
      <c r="CD47" s="164"/>
      <c r="CE47" s="164"/>
      <c r="CF47" s="164"/>
      <c r="CG47" s="417"/>
      <c r="CH47" s="418"/>
      <c r="CI47" s="418"/>
      <c r="CJ47" s="418"/>
      <c r="CK47" s="418"/>
      <c r="CL47" s="457"/>
      <c r="CN47" s="164"/>
      <c r="CO47" s="164"/>
      <c r="CP47" s="417"/>
      <c r="CQ47" s="418"/>
      <c r="CR47" s="418"/>
      <c r="CS47" s="418"/>
      <c r="CT47" s="418"/>
      <c r="CU47" s="418"/>
      <c r="CV47" s="418"/>
      <c r="CW47" s="418"/>
      <c r="CX47" s="418"/>
      <c r="CY47" s="418"/>
      <c r="CZ47" s="418"/>
      <c r="DA47" s="418"/>
      <c r="DB47" s="418"/>
      <c r="DC47" s="418"/>
      <c r="DD47" s="418"/>
      <c r="DE47" s="418"/>
      <c r="DF47" s="418"/>
      <c r="DG47" s="418"/>
      <c r="DH47" s="418"/>
      <c r="DI47" s="418"/>
      <c r="DJ47" s="444"/>
      <c r="DK47" s="14"/>
      <c r="DL47" s="14"/>
      <c r="DM47" s="14"/>
      <c r="DN47" s="460"/>
      <c r="DO47" s="461"/>
      <c r="DP47" s="461"/>
      <c r="DQ47" s="461"/>
      <c r="DR47" s="461"/>
      <c r="DS47" s="461"/>
      <c r="DT47" s="461"/>
      <c r="DU47" s="461"/>
      <c r="DV47" s="461"/>
      <c r="DW47" s="461"/>
      <c r="DX47" s="461"/>
      <c r="DY47" s="461"/>
      <c r="DZ47" s="461"/>
      <c r="EA47" s="461"/>
      <c r="EB47" s="461"/>
      <c r="EC47" s="461"/>
      <c r="ED47" s="461"/>
      <c r="EE47" s="461"/>
      <c r="EF47" s="113"/>
      <c r="EG47" s="164"/>
      <c r="EH47" s="164"/>
      <c r="EI47" s="164"/>
      <c r="EJ47" s="164"/>
      <c r="EK47" s="164"/>
      <c r="EL47" s="460"/>
      <c r="EM47" s="461"/>
      <c r="EN47" s="461"/>
      <c r="EO47" s="461"/>
      <c r="EP47" s="461"/>
      <c r="EQ47" s="461"/>
      <c r="ER47" s="461"/>
      <c r="ES47" s="461"/>
      <c r="ET47" s="461"/>
      <c r="EU47" s="461"/>
      <c r="EV47" s="461"/>
      <c r="EW47" s="461"/>
      <c r="EX47" s="461"/>
      <c r="EY47" s="461"/>
      <c r="EZ47" s="461"/>
      <c r="FA47" s="461"/>
      <c r="FB47" s="461"/>
      <c r="FC47" s="461"/>
      <c r="FD47" s="113"/>
      <c r="FE47" s="164"/>
      <c r="FF47" s="164"/>
      <c r="FG47" s="164"/>
      <c r="FH47" s="164"/>
      <c r="FI47" s="164"/>
      <c r="FJ47" s="460"/>
      <c r="FK47" s="461"/>
      <c r="FL47" s="461"/>
      <c r="FM47" s="461"/>
      <c r="FN47" s="461"/>
      <c r="FO47" s="461"/>
      <c r="FP47" s="461"/>
      <c r="FQ47" s="461"/>
    </row>
    <row r="48" spans="2:173" ht="15" customHeight="1" x14ac:dyDescent="0.45">
      <c r="M48" s="410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G48"/>
      <c r="BH48"/>
      <c r="BI48"/>
      <c r="BJ48"/>
      <c r="BK48"/>
      <c r="BL48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457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416"/>
    </row>
    <row r="49" spans="2:173" ht="15" customHeight="1" x14ac:dyDescent="0.45">
      <c r="M49" s="416"/>
      <c r="V49" s="424"/>
      <c r="AK49"/>
      <c r="AL49"/>
      <c r="AM49"/>
      <c r="AN49"/>
      <c r="AO49"/>
      <c r="AP49"/>
      <c r="AQ49"/>
      <c r="AR49"/>
      <c r="AS49"/>
      <c r="AT49" s="425"/>
      <c r="AU49"/>
      <c r="AV49"/>
      <c r="AW49"/>
      <c r="AX49"/>
      <c r="AY49"/>
      <c r="AZ49"/>
      <c r="BA49"/>
      <c r="BB49"/>
      <c r="BC49"/>
      <c r="BG49"/>
      <c r="BH49"/>
      <c r="BI49"/>
      <c r="BJ49"/>
      <c r="BK49"/>
      <c r="BL49"/>
      <c r="BQ49" s="41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457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416"/>
      <c r="DO49" s="14"/>
      <c r="DP49" s="14"/>
      <c r="DQ49" s="14"/>
      <c r="DR49" s="14"/>
      <c r="DS49" s="14"/>
      <c r="DW49" s="425"/>
      <c r="EU49" s="425"/>
    </row>
    <row r="50" spans="2:173" ht="15" customHeight="1" x14ac:dyDescent="0.45">
      <c r="B50" s="358" t="s">
        <v>1392</v>
      </c>
      <c r="D50" s="164"/>
      <c r="E50" s="164"/>
      <c r="F50" s="164"/>
      <c r="G50" s="164"/>
      <c r="H50" s="164"/>
      <c r="I50" s="164"/>
      <c r="J50" s="164"/>
      <c r="K50" s="164"/>
      <c r="L50" s="164"/>
      <c r="M50" s="424"/>
      <c r="N50" s="164"/>
      <c r="O50" s="164"/>
      <c r="P50" s="164"/>
      <c r="Q50" s="164"/>
      <c r="R50" s="164"/>
      <c r="S50" s="164"/>
      <c r="T50" s="164"/>
      <c r="U50" s="211"/>
      <c r="V50" s="417"/>
      <c r="W50" s="418"/>
      <c r="X50" s="418"/>
      <c r="Y50" s="418"/>
      <c r="Z50" s="418"/>
      <c r="AA50" s="418"/>
      <c r="AB50" s="418"/>
      <c r="AC50" s="418"/>
      <c r="AD50" s="418"/>
      <c r="AE50" s="418"/>
      <c r="AF50" s="418"/>
      <c r="AG50" s="418"/>
      <c r="AH50" s="418"/>
      <c r="AI50" s="418"/>
      <c r="AJ50" s="418"/>
      <c r="AK50" s="418"/>
      <c r="AL50" s="418"/>
      <c r="AM50" s="418"/>
      <c r="AN50" s="418"/>
      <c r="AO50" s="418"/>
      <c r="AP50" s="444"/>
      <c r="AQ50" s="164"/>
      <c r="AR50" s="164"/>
      <c r="AS50" s="164"/>
      <c r="AT50" s="417"/>
      <c r="AU50" s="418"/>
      <c r="AV50" s="418"/>
      <c r="AW50" s="418"/>
      <c r="AX50" s="418"/>
      <c r="AY50" s="418"/>
      <c r="AZ50" s="418"/>
      <c r="BA50" s="418"/>
      <c r="BB50" s="418"/>
      <c r="BC50" s="418"/>
      <c r="BD50" s="418"/>
      <c r="BE50" s="418"/>
      <c r="BF50" s="418"/>
      <c r="BG50" s="418"/>
      <c r="BH50" s="418"/>
      <c r="BI50" s="418"/>
      <c r="BJ50" s="418"/>
      <c r="BK50" s="418"/>
      <c r="BL50" s="418"/>
      <c r="BM50" s="418"/>
      <c r="BN50" s="444"/>
      <c r="BO50" s="164"/>
      <c r="BP50" s="164"/>
      <c r="BQ50" s="164"/>
      <c r="BR50" s="417"/>
      <c r="BS50" s="418"/>
      <c r="BT50" s="418"/>
      <c r="BU50" s="418"/>
      <c r="BV50" s="418"/>
      <c r="BW50" s="418"/>
      <c r="BX50" s="418"/>
      <c r="BY50" s="418"/>
      <c r="BZ50" s="418"/>
      <c r="CA50" s="418"/>
      <c r="CB50" s="418"/>
      <c r="CC50" s="418"/>
      <c r="CD50" s="418"/>
      <c r="CE50" s="418"/>
      <c r="CF50" s="418"/>
      <c r="CG50" s="418"/>
      <c r="CH50" s="418"/>
      <c r="CI50" s="418"/>
      <c r="CJ50" s="418"/>
      <c r="CK50" s="418"/>
      <c r="CL50" s="1"/>
      <c r="CN50" s="418"/>
      <c r="CO50" s="418"/>
      <c r="CP50" s="418"/>
      <c r="CQ50" s="418"/>
      <c r="CR50" s="418"/>
      <c r="CS50" s="418"/>
      <c r="CT50" s="418"/>
      <c r="CU50" s="462"/>
      <c r="CV50" s="164"/>
      <c r="CW50" s="164"/>
      <c r="CX50" s="164"/>
      <c r="CY50" s="417"/>
      <c r="CZ50" s="418"/>
      <c r="DA50" s="418"/>
      <c r="DB50" s="418"/>
      <c r="DC50" s="418"/>
      <c r="DD50" s="418"/>
      <c r="DE50" s="418"/>
      <c r="DF50" s="418"/>
      <c r="DG50" s="418"/>
      <c r="DH50" s="418"/>
      <c r="DI50" s="418"/>
      <c r="DJ50" s="418"/>
      <c r="DK50" s="418"/>
      <c r="DL50" s="418"/>
      <c r="DM50" s="418"/>
      <c r="DN50" s="418"/>
      <c r="DO50" s="418"/>
      <c r="DP50" s="418"/>
      <c r="DQ50" s="418"/>
      <c r="DR50" s="418"/>
      <c r="DS50" s="444"/>
      <c r="DT50" s="15"/>
      <c r="DU50" s="14"/>
      <c r="DV50" s="12"/>
      <c r="DW50" s="460"/>
      <c r="DX50" s="461"/>
      <c r="DY50" s="461"/>
      <c r="DZ50" s="461"/>
      <c r="EA50" s="461"/>
      <c r="EB50" s="461"/>
      <c r="EC50" s="461"/>
      <c r="ED50" s="461"/>
      <c r="EE50" s="461"/>
      <c r="EF50" s="461"/>
      <c r="EG50" s="461"/>
      <c r="EH50" s="461"/>
      <c r="EI50" s="461"/>
      <c r="EJ50" s="461"/>
      <c r="EK50" s="461"/>
      <c r="EL50" s="461"/>
      <c r="EM50" s="461"/>
      <c r="EN50" s="461"/>
      <c r="EO50" s="113"/>
      <c r="EP50" s="164"/>
      <c r="EQ50" s="164"/>
      <c r="ER50" s="164"/>
      <c r="ES50" s="164"/>
      <c r="ET50" s="164"/>
      <c r="EU50" s="460"/>
      <c r="EV50" s="461"/>
      <c r="EW50" s="461"/>
      <c r="EX50" s="461"/>
      <c r="EY50" s="461"/>
      <c r="EZ50" s="461"/>
      <c r="FA50" s="461"/>
      <c r="FB50" s="461"/>
      <c r="FC50" s="461"/>
      <c r="FD50" s="461"/>
      <c r="FE50" s="461"/>
      <c r="FF50" s="461"/>
      <c r="FG50" s="461"/>
      <c r="FH50" s="461"/>
      <c r="FI50" s="461"/>
      <c r="FJ50" s="461"/>
      <c r="FK50" s="461"/>
      <c r="FL50" s="461"/>
      <c r="FM50" s="113"/>
      <c r="FN50" s="164"/>
      <c r="FO50" s="164"/>
      <c r="FP50" s="164"/>
      <c r="FQ50" s="164"/>
    </row>
    <row r="51" spans="2:173" ht="15" customHeight="1" x14ac:dyDescent="0.45"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CK51" s="1"/>
      <c r="CL51" s="457"/>
    </row>
    <row r="53" spans="2:173" ht="15" customHeight="1" x14ac:dyDescent="0.45">
      <c r="B53" s="399" t="s">
        <v>1290</v>
      </c>
      <c r="D53" s="400" t="s">
        <v>1393</v>
      </c>
    </row>
    <row r="54" spans="2:173" ht="15" customHeight="1" x14ac:dyDescent="0.45">
      <c r="K54" s="455"/>
      <c r="L54" s="455"/>
      <c r="M54" s="455" t="s">
        <v>1386</v>
      </c>
      <c r="N54" s="455"/>
      <c r="O54" s="455"/>
      <c r="P54" s="455"/>
      <c r="Q54" s="455"/>
      <c r="R54" s="455"/>
      <c r="S54" s="455"/>
      <c r="T54" s="455"/>
      <c r="U54" s="455"/>
      <c r="V54" s="455"/>
      <c r="W54" s="455"/>
      <c r="X54" s="455"/>
      <c r="Y54" s="455"/>
      <c r="Z54" s="455"/>
      <c r="AA54" s="455"/>
      <c r="AB54" s="455"/>
      <c r="AC54" s="455"/>
      <c r="AD54" s="455"/>
      <c r="AE54" s="455"/>
      <c r="AF54" s="455"/>
      <c r="AG54" s="455"/>
      <c r="AH54" s="455"/>
      <c r="AI54" s="455"/>
      <c r="AJ54" s="455"/>
      <c r="AK54" s="455"/>
      <c r="AL54" s="455"/>
      <c r="AM54" s="455"/>
      <c r="AN54" s="455"/>
      <c r="AO54" s="455"/>
      <c r="AP54" s="455"/>
      <c r="AQ54" s="455"/>
      <c r="AR54" s="455"/>
      <c r="AS54" s="455"/>
      <c r="AT54" s="455"/>
      <c r="AU54" s="455"/>
      <c r="AV54" s="455"/>
      <c r="AW54" s="455"/>
      <c r="AX54" s="455"/>
      <c r="AY54" s="455"/>
      <c r="AZ54" s="455"/>
      <c r="BA54" s="455"/>
      <c r="BB54" s="455"/>
      <c r="BC54" s="455"/>
      <c r="BD54" s="455"/>
      <c r="BE54" s="455"/>
      <c r="BF54" s="455"/>
      <c r="BG54" s="455"/>
      <c r="BH54" s="455"/>
      <c r="BI54" s="455"/>
      <c r="BJ54" s="455"/>
      <c r="BK54" s="455"/>
      <c r="BL54" s="455"/>
      <c r="BM54" s="455"/>
      <c r="BN54" s="455"/>
      <c r="BO54" s="455"/>
      <c r="BP54" s="455"/>
      <c r="BQ54" s="455"/>
      <c r="BR54" s="455"/>
      <c r="BS54" s="455"/>
      <c r="BT54" s="455"/>
      <c r="BU54" s="455"/>
      <c r="BV54" s="455"/>
      <c r="BW54" s="455"/>
      <c r="BX54" s="455"/>
      <c r="BY54" s="455"/>
      <c r="BZ54" s="455"/>
      <c r="CA54" s="455"/>
      <c r="CB54" s="455"/>
      <c r="CC54" s="455"/>
      <c r="CD54" s="455"/>
      <c r="CE54" s="455"/>
      <c r="CF54" s="455"/>
      <c r="CG54" s="455"/>
      <c r="CH54" s="455"/>
      <c r="CI54" s="455"/>
      <c r="CJ54" s="455"/>
      <c r="CK54" s="455"/>
      <c r="CL54" s="455"/>
      <c r="CM54" s="455"/>
      <c r="CN54" s="455"/>
      <c r="CO54" s="455"/>
      <c r="CP54" s="455"/>
      <c r="CQ54" s="455"/>
      <c r="CR54" s="455"/>
      <c r="CS54" s="455"/>
      <c r="CT54" s="455"/>
      <c r="CU54" s="455"/>
      <c r="CV54" s="455"/>
      <c r="CW54" s="455"/>
      <c r="CX54" s="455"/>
      <c r="CY54" s="455"/>
      <c r="CZ54" s="455"/>
      <c r="DA54" s="455"/>
      <c r="DB54" s="455"/>
      <c r="DC54" s="455"/>
      <c r="DD54" s="455"/>
      <c r="DE54" s="455"/>
      <c r="DF54" s="455"/>
      <c r="DG54" s="455"/>
      <c r="DH54" s="455"/>
      <c r="DI54" s="455"/>
      <c r="DJ54" s="455"/>
      <c r="DK54" s="455"/>
      <c r="DL54" s="455"/>
      <c r="DM54" s="455"/>
      <c r="DN54" s="455" t="s">
        <v>1387</v>
      </c>
      <c r="DO54" s="455"/>
      <c r="DP54" s="455"/>
      <c r="DQ54" s="455"/>
      <c r="DR54" s="455"/>
      <c r="DS54" s="455"/>
      <c r="DT54" s="455"/>
      <c r="DU54" s="455"/>
      <c r="DV54" s="455"/>
      <c r="DW54" s="455"/>
      <c r="DX54" s="455"/>
      <c r="DY54" s="455"/>
      <c r="DZ54" s="455"/>
      <c r="EA54" s="455"/>
      <c r="EB54" s="455"/>
      <c r="EC54" s="455"/>
      <c r="ED54" s="455"/>
      <c r="EE54" s="455"/>
      <c r="EF54" s="455"/>
      <c r="EG54" s="455"/>
      <c r="EH54" s="455"/>
      <c r="EI54" s="455"/>
      <c r="EJ54" s="455"/>
      <c r="EK54" s="455"/>
      <c r="EL54" s="455"/>
      <c r="EM54" s="455"/>
      <c r="EN54" s="455"/>
      <c r="EO54" s="455"/>
      <c r="EP54" s="455"/>
      <c r="EQ54" s="455"/>
      <c r="ER54" s="455"/>
      <c r="ES54" s="455"/>
      <c r="ET54" s="455"/>
      <c r="EU54" s="455"/>
      <c r="EV54" s="455"/>
    </row>
    <row r="55" spans="2:173" ht="15" customHeight="1" x14ac:dyDescent="0.45">
      <c r="B55" s="358" t="s">
        <v>1389</v>
      </c>
      <c r="D55" s="403"/>
      <c r="E55" s="403"/>
      <c r="F55" s="403"/>
      <c r="G55" s="403"/>
      <c r="H55" s="403"/>
      <c r="I55" s="403"/>
      <c r="J55" s="403"/>
      <c r="K55" s="403"/>
      <c r="L55" s="403"/>
      <c r="M55" s="456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65"/>
      <c r="BC55" s="165"/>
      <c r="BD55" s="165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165"/>
      <c r="BV55" s="165"/>
      <c r="BW55" s="165"/>
      <c r="BX55" s="165"/>
      <c r="BY55" s="165"/>
      <c r="BZ55" s="165"/>
      <c r="CA55" s="165"/>
      <c r="CB55" s="165"/>
      <c r="CC55" s="165"/>
      <c r="CD55" s="165"/>
      <c r="CE55" s="165"/>
      <c r="CF55" s="165"/>
      <c r="CG55" s="165"/>
      <c r="CH55" s="165"/>
      <c r="CI55" s="165"/>
      <c r="CJ55" s="165"/>
      <c r="CK55" s="165"/>
      <c r="CL55" s="165"/>
      <c r="CM55" s="165"/>
      <c r="CN55" s="165"/>
      <c r="CO55" s="165"/>
      <c r="CP55" s="165"/>
      <c r="CQ55" s="165"/>
      <c r="CR55" s="165"/>
      <c r="CS55" s="165"/>
      <c r="CT55" s="165"/>
      <c r="CU55" s="165"/>
      <c r="CV55" s="165"/>
      <c r="CW55" s="165"/>
      <c r="CX55" s="165"/>
      <c r="CY55" s="165"/>
      <c r="CZ55" s="165"/>
      <c r="DA55" s="165"/>
      <c r="DB55" s="156"/>
      <c r="DC55" s="156"/>
      <c r="DD55" s="156"/>
      <c r="DE55" s="156"/>
      <c r="DF55" s="156"/>
      <c r="DG55" s="156"/>
      <c r="DH55" s="156"/>
      <c r="DI55" s="156"/>
      <c r="DJ55" s="156"/>
      <c r="DK55" s="156"/>
      <c r="DL55" s="156"/>
      <c r="DM55" s="156"/>
      <c r="DN55" s="407"/>
      <c r="DO55" s="408"/>
      <c r="DP55" s="156"/>
      <c r="DQ55" s="156"/>
      <c r="DR55" s="156"/>
      <c r="DS55" s="156"/>
      <c r="DT55" s="156"/>
      <c r="DU55" s="156"/>
      <c r="DV55" s="156"/>
      <c r="DW55" s="156"/>
      <c r="DX55" s="409"/>
      <c r="DY55" s="409"/>
      <c r="DZ55" s="409"/>
      <c r="EA55" s="409"/>
      <c r="EB55" s="409"/>
      <c r="EC55" s="409"/>
      <c r="ED55" s="409"/>
      <c r="EE55" s="409"/>
      <c r="EF55" s="409"/>
      <c r="EG55" s="409"/>
      <c r="EH55" s="409"/>
      <c r="EI55" s="409"/>
      <c r="EJ55" s="409"/>
      <c r="EK55" s="409"/>
      <c r="EL55" s="409"/>
      <c r="EM55" s="409"/>
      <c r="EN55" s="409"/>
      <c r="EO55" s="409"/>
      <c r="EP55" s="409"/>
      <c r="EQ55" s="409"/>
      <c r="ER55" s="409"/>
      <c r="ES55" s="409"/>
      <c r="ET55" s="409"/>
      <c r="EU55" s="409"/>
      <c r="EV55" s="409"/>
      <c r="EW55" s="409"/>
      <c r="EX55" s="409"/>
      <c r="EY55" s="409"/>
      <c r="EZ55" s="409"/>
      <c r="FA55" s="409"/>
      <c r="FB55" s="409"/>
      <c r="FC55" s="409"/>
      <c r="FD55" s="409"/>
      <c r="FE55" s="409"/>
      <c r="FF55" s="409"/>
      <c r="FG55" s="409"/>
      <c r="FH55" s="409"/>
      <c r="FI55" s="409"/>
      <c r="FJ55" s="409"/>
      <c r="FK55" s="409"/>
      <c r="FL55" s="409"/>
      <c r="FM55" s="409"/>
      <c r="FN55" s="409"/>
      <c r="FO55" s="409"/>
      <c r="FP55" s="409"/>
      <c r="FQ55" s="409"/>
    </row>
    <row r="56" spans="2:173" ht="15" customHeight="1" x14ac:dyDescent="0.45">
      <c r="P56" s="457"/>
      <c r="Q56" s="457"/>
      <c r="R56" s="457"/>
      <c r="S56" s="457"/>
      <c r="T56" s="457"/>
      <c r="U56" s="457"/>
      <c r="V56" s="457"/>
      <c r="W56" s="457"/>
      <c r="X56" s="457"/>
      <c r="Y56" s="457"/>
      <c r="Z56" s="457"/>
      <c r="AA56" s="457"/>
      <c r="AB56" s="457"/>
      <c r="AC56" s="457"/>
      <c r="AD56" s="457"/>
      <c r="AE56" s="457"/>
      <c r="AF56" s="457"/>
      <c r="AG56" s="457"/>
      <c r="AH56" s="457"/>
      <c r="AI56" s="457"/>
      <c r="AJ56" s="457"/>
      <c r="AK56" s="457"/>
      <c r="AL56" s="457"/>
      <c r="AM56" s="457"/>
      <c r="AN56" s="457"/>
      <c r="AO56" s="457"/>
      <c r="AP56" s="457"/>
      <c r="AQ56" s="457"/>
      <c r="AR56" s="457"/>
      <c r="AS56" s="457"/>
      <c r="AT56" s="457"/>
      <c r="AU56" s="457"/>
      <c r="AV56" s="457"/>
      <c r="AW56" s="457"/>
      <c r="AX56" s="457"/>
      <c r="AY56" s="457"/>
      <c r="AZ56" s="457"/>
      <c r="BA56" s="457"/>
      <c r="BB56" s="457"/>
      <c r="BC56" s="457"/>
      <c r="BD56" s="457"/>
      <c r="BE56" s="457"/>
      <c r="BF56" s="457"/>
      <c r="BG56" s="457"/>
      <c r="BH56" s="457"/>
      <c r="BI56" s="457"/>
      <c r="BJ56" s="457"/>
      <c r="BK56" s="457"/>
      <c r="BL56" s="457"/>
      <c r="BM56" s="457"/>
      <c r="BN56" s="457"/>
      <c r="BO56" s="457"/>
      <c r="BP56" s="457"/>
      <c r="BQ56" s="457"/>
      <c r="BR56" s="457"/>
      <c r="BS56" s="457"/>
      <c r="BT56" s="457"/>
      <c r="BU56" s="457"/>
      <c r="BV56" s="457"/>
      <c r="BW56" s="457"/>
      <c r="BX56" s="457"/>
      <c r="BY56" s="457"/>
      <c r="BZ56" s="457"/>
      <c r="CA56" s="457"/>
      <c r="CB56" s="457"/>
      <c r="CC56" s="457"/>
      <c r="CD56" s="457"/>
      <c r="CE56" s="457"/>
      <c r="CF56" s="457"/>
      <c r="CG56" s="457"/>
      <c r="CH56" s="457"/>
      <c r="CI56" s="457"/>
      <c r="CJ56" s="457"/>
      <c r="CK56" s="1"/>
      <c r="CL56" s="457"/>
      <c r="CM56" s="457"/>
      <c r="CN56" s="457"/>
      <c r="CO56" s="457"/>
      <c r="CP56" s="457"/>
      <c r="CQ56" s="457"/>
      <c r="CR56" s="457"/>
      <c r="CS56" s="457"/>
      <c r="CT56" s="458"/>
      <c r="CU56" s="458"/>
      <c r="CV56" s="458"/>
      <c r="CW56" s="458"/>
      <c r="CX56" s="458"/>
      <c r="CY56" s="458"/>
      <c r="CZ56" s="458"/>
      <c r="DA56" s="458"/>
      <c r="DB56" s="458"/>
      <c r="DC56" s="458"/>
      <c r="DD56" s="458"/>
      <c r="DE56" s="458"/>
      <c r="DF56" s="458"/>
      <c r="DG56" s="458"/>
      <c r="DH56" s="458"/>
      <c r="DI56" s="458"/>
      <c r="DJ56" s="458"/>
      <c r="DK56" s="458"/>
      <c r="DL56" s="458"/>
      <c r="DN56" s="458"/>
      <c r="DO56" s="458"/>
      <c r="DP56" s="458"/>
      <c r="DQ56" s="458"/>
      <c r="DR56" s="458"/>
      <c r="DS56" s="458"/>
      <c r="DT56" s="458"/>
      <c r="DU56" s="458"/>
      <c r="DV56" s="458"/>
      <c r="DW56" s="458"/>
      <c r="DX56" s="458"/>
      <c r="DY56" s="458"/>
      <c r="DZ56" s="458"/>
      <c r="EA56" s="458"/>
      <c r="EB56" s="458"/>
      <c r="EC56" s="458"/>
      <c r="ED56" s="458"/>
      <c r="EE56" s="458"/>
      <c r="EF56" s="458"/>
      <c r="EG56" s="458"/>
      <c r="EH56" s="458"/>
      <c r="EI56" s="458"/>
      <c r="EJ56" s="458"/>
      <c r="EK56" s="458"/>
      <c r="EL56" s="458"/>
      <c r="EM56" s="458"/>
      <c r="EN56" s="458"/>
      <c r="EO56" s="458"/>
      <c r="EP56" s="458"/>
      <c r="EQ56" s="458"/>
      <c r="ER56" s="458"/>
      <c r="ES56" s="458"/>
      <c r="ET56" s="458"/>
      <c r="EU56" s="458"/>
      <c r="EV56" s="458"/>
    </row>
    <row r="57" spans="2:173" ht="15" customHeight="1" x14ac:dyDescent="0.45">
      <c r="M57" s="410"/>
      <c r="P57" s="457"/>
      <c r="Q57" s="457"/>
      <c r="AK57" s="410"/>
      <c r="BH57" s="411"/>
      <c r="CG57" s="410"/>
      <c r="CH57" s="1"/>
      <c r="CI57" s="1"/>
      <c r="CJ57" s="1"/>
      <c r="CK57" s="1"/>
      <c r="CL57" s="1"/>
      <c r="CM57" s="1"/>
      <c r="CN57" s="1"/>
      <c r="CO57" s="1"/>
      <c r="CP57" s="410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411"/>
      <c r="DP57" s="457"/>
      <c r="DQ57" s="457"/>
      <c r="DR57" s="457"/>
      <c r="DS57" s="457"/>
      <c r="DT57" s="457"/>
      <c r="DU57" s="457"/>
      <c r="DV57" s="457"/>
      <c r="DW57" s="457"/>
      <c r="DX57" s="457"/>
      <c r="DY57" s="457"/>
      <c r="DZ57" s="457"/>
      <c r="EA57" s="457"/>
      <c r="EB57" s="457"/>
      <c r="EC57" s="457"/>
      <c r="ED57" s="457"/>
      <c r="EE57" s="457"/>
      <c r="EF57" s="457"/>
      <c r="EG57" s="457"/>
      <c r="EH57" s="457"/>
      <c r="EI57" s="457"/>
      <c r="EJ57" s="457"/>
      <c r="EK57" s="457"/>
      <c r="EL57" s="457"/>
      <c r="EM57" s="457"/>
      <c r="EN57" s="457"/>
      <c r="EO57" s="457"/>
      <c r="EP57" s="457"/>
      <c r="EQ57" s="457"/>
      <c r="ER57" s="457"/>
      <c r="ES57" s="457"/>
      <c r="ET57" s="457"/>
      <c r="EU57" s="457"/>
      <c r="EV57" s="457"/>
    </row>
    <row r="58" spans="2:173" ht="15" customHeight="1" x14ac:dyDescent="0.45">
      <c r="M58" s="410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457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M58" s="411"/>
      <c r="DN58" s="410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</row>
    <row r="59" spans="2:173" ht="15" customHeight="1" x14ac:dyDescent="0.45">
      <c r="CK59" s="1"/>
      <c r="CL59" s="457"/>
    </row>
    <row r="60" spans="2:173" ht="15" customHeight="1" x14ac:dyDescent="0.45">
      <c r="B60" s="358" t="s">
        <v>1390</v>
      </c>
      <c r="D60" s="164"/>
      <c r="E60" s="164"/>
      <c r="F60" s="164"/>
      <c r="G60" s="164"/>
      <c r="H60" s="164"/>
      <c r="I60" s="164"/>
      <c r="J60" s="164"/>
      <c r="K60" s="164"/>
      <c r="L60" s="164"/>
      <c r="M60" s="459"/>
      <c r="N60" s="164"/>
      <c r="O60" s="164"/>
      <c r="P60" s="459"/>
      <c r="Q60" s="164"/>
      <c r="R60" s="164"/>
      <c r="S60" s="459"/>
      <c r="T60" s="164"/>
      <c r="U60" s="164"/>
      <c r="V60" s="459"/>
      <c r="W60" s="164"/>
      <c r="X60" s="164"/>
      <c r="Y60" s="459"/>
      <c r="Z60" s="164"/>
      <c r="AA60" s="164"/>
      <c r="AB60" s="459"/>
      <c r="AC60" s="164"/>
      <c r="AD60" s="164"/>
      <c r="AE60" s="459"/>
      <c r="AF60" s="164"/>
      <c r="AG60" s="164"/>
      <c r="AH60" s="459"/>
      <c r="AI60" s="164"/>
      <c r="AJ60" s="164"/>
      <c r="AK60" s="459"/>
      <c r="AL60" s="164"/>
      <c r="AM60" s="164"/>
      <c r="AN60" s="459"/>
      <c r="AO60" s="164"/>
      <c r="AP60" s="164"/>
      <c r="AQ60" s="459"/>
      <c r="AR60" s="164"/>
      <c r="AS60" s="164"/>
      <c r="AT60" s="459"/>
      <c r="AU60" s="164"/>
      <c r="AV60" s="164"/>
      <c r="AW60" s="459"/>
      <c r="AX60" s="164"/>
      <c r="AY60" s="164"/>
      <c r="AZ60" s="459"/>
      <c r="BA60" s="164"/>
      <c r="BB60" s="164"/>
      <c r="BC60" s="459"/>
      <c r="BD60" s="164"/>
      <c r="BE60" s="164"/>
      <c r="BF60" s="459"/>
      <c r="BG60" s="164"/>
      <c r="BH60" s="164"/>
      <c r="BI60" s="459"/>
      <c r="BJ60" s="164"/>
      <c r="BK60" s="164"/>
      <c r="BL60" s="459"/>
      <c r="BM60" s="164"/>
      <c r="BN60" s="164"/>
      <c r="BO60" s="459"/>
      <c r="BP60" s="164"/>
      <c r="BQ60" s="164"/>
      <c r="BR60" s="459"/>
      <c r="BS60" s="164"/>
      <c r="BT60" s="164"/>
      <c r="BU60" s="459"/>
      <c r="BV60" s="164"/>
      <c r="BW60" s="164"/>
      <c r="BX60" s="459"/>
      <c r="BY60" s="164"/>
      <c r="BZ60" s="164"/>
      <c r="CA60" s="459"/>
      <c r="CB60" s="164"/>
      <c r="CC60" s="164"/>
      <c r="CD60" s="459"/>
      <c r="CE60" s="164"/>
      <c r="CF60" s="164"/>
      <c r="CG60" s="459"/>
      <c r="CH60" s="164"/>
      <c r="CI60" s="164"/>
      <c r="CJ60" s="459"/>
      <c r="CK60" s="113"/>
      <c r="CL60" s="457"/>
      <c r="CM60" s="1"/>
      <c r="CN60" s="164"/>
      <c r="CO60" s="164"/>
      <c r="CP60" s="459"/>
      <c r="CQ60" s="164"/>
      <c r="CR60" s="164"/>
      <c r="CS60" s="459"/>
      <c r="CT60" s="164"/>
      <c r="CU60" s="164"/>
      <c r="CV60" s="459"/>
      <c r="CW60" s="164"/>
      <c r="CX60" s="164"/>
      <c r="CY60" s="459"/>
      <c r="CZ60" s="164"/>
      <c r="DA60" s="164"/>
      <c r="DB60" s="459"/>
      <c r="DC60" s="164"/>
      <c r="DD60" s="164"/>
      <c r="DE60" s="459"/>
      <c r="DF60" s="164"/>
      <c r="DG60" s="164"/>
      <c r="DH60" s="459"/>
      <c r="DI60" s="164"/>
      <c r="DJ60" s="164"/>
      <c r="DK60" s="459"/>
      <c r="DL60" s="164"/>
      <c r="DM60" s="164"/>
      <c r="DN60" s="459"/>
      <c r="DO60" s="164"/>
      <c r="DP60" s="164"/>
      <c r="DQ60" s="459"/>
      <c r="DR60" s="164"/>
      <c r="DS60" s="164"/>
      <c r="DT60" s="459"/>
      <c r="DU60" s="164"/>
      <c r="DV60" s="164"/>
      <c r="DW60" s="459"/>
      <c r="DX60" s="164"/>
      <c r="DY60" s="164"/>
      <c r="DZ60" s="459"/>
      <c r="EA60" s="164"/>
      <c r="EB60" s="164"/>
      <c r="EC60" s="459"/>
      <c r="ED60" s="164"/>
      <c r="EE60" s="164"/>
      <c r="EF60" s="459"/>
      <c r="EG60" s="164"/>
      <c r="EH60" s="164"/>
      <c r="EI60" s="459"/>
      <c r="EJ60" s="164"/>
      <c r="EK60" s="164"/>
      <c r="EL60" s="459"/>
      <c r="EM60" s="164"/>
      <c r="EN60" s="164"/>
      <c r="EO60" s="459"/>
      <c r="EP60" s="164"/>
      <c r="EQ60" s="164"/>
      <c r="ER60" s="459"/>
      <c r="ES60" s="164"/>
      <c r="ET60" s="164"/>
      <c r="EU60" s="459"/>
      <c r="EV60" s="164"/>
      <c r="EW60" s="164"/>
      <c r="EX60" s="459"/>
      <c r="EY60" s="164"/>
      <c r="EZ60" s="164"/>
      <c r="FA60" s="459"/>
      <c r="FB60" s="164"/>
      <c r="FC60" s="164"/>
      <c r="FD60" s="459"/>
      <c r="FE60" s="164"/>
      <c r="FF60" s="164"/>
      <c r="FG60" s="459"/>
      <c r="FH60" s="164"/>
      <c r="FI60" s="164"/>
      <c r="FJ60" s="459"/>
      <c r="FK60" s="164"/>
      <c r="FL60" s="164"/>
      <c r="FM60" s="459"/>
      <c r="FN60" s="164"/>
      <c r="FO60" s="164"/>
      <c r="FP60" s="459"/>
      <c r="FQ60" s="164"/>
    </row>
    <row r="61" spans="2:173" ht="15" customHeight="1" x14ac:dyDescent="0.45">
      <c r="M61" s="410"/>
      <c r="BM61" s="410"/>
      <c r="DN61" s="416"/>
    </row>
    <row r="62" spans="2:173" ht="15" customHeight="1" x14ac:dyDescent="0.45">
      <c r="B62" s="358" t="s">
        <v>56</v>
      </c>
      <c r="D62" s="164"/>
      <c r="E62" s="164"/>
      <c r="F62" s="164"/>
      <c r="G62" s="164"/>
      <c r="H62" s="164"/>
      <c r="I62" s="164"/>
      <c r="J62" s="164"/>
      <c r="K62" s="164"/>
      <c r="L62" s="164"/>
      <c r="M62" s="417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Y62" s="418"/>
      <c r="Z62" s="418"/>
      <c r="AA62" s="418"/>
      <c r="AB62" s="418"/>
      <c r="AC62" s="418"/>
      <c r="AD62" s="418"/>
      <c r="AE62" s="418"/>
      <c r="AF62" s="418"/>
      <c r="AG62" s="418"/>
      <c r="AH62" s="418"/>
      <c r="AI62" s="418"/>
      <c r="AJ62" s="418"/>
      <c r="AK62" s="418"/>
      <c r="AL62" s="418"/>
      <c r="AM62" s="418"/>
      <c r="AN62" s="418"/>
      <c r="AO62" s="418"/>
      <c r="AP62" s="418"/>
      <c r="AQ62" s="418"/>
      <c r="AR62" s="418"/>
      <c r="AS62" s="418"/>
      <c r="AT62" s="418"/>
      <c r="AU62" s="418"/>
      <c r="AV62" s="418"/>
      <c r="AW62" s="418"/>
      <c r="AX62" s="418"/>
      <c r="AY62" s="418"/>
      <c r="AZ62" s="418"/>
      <c r="BA62" s="418"/>
      <c r="BB62" s="418"/>
      <c r="BC62" s="418"/>
      <c r="BD62" s="418"/>
      <c r="BE62" s="418"/>
      <c r="BF62" s="418"/>
      <c r="BG62" s="418"/>
      <c r="BH62" s="418"/>
      <c r="BI62" s="418"/>
      <c r="BJ62" s="418"/>
      <c r="BK62" s="418"/>
      <c r="BL62" s="418"/>
      <c r="BM62" s="418"/>
      <c r="BN62" s="418"/>
      <c r="BO62" s="418"/>
      <c r="BP62" s="418"/>
      <c r="BQ62" s="418"/>
      <c r="BR62" s="418"/>
      <c r="BS62" s="418"/>
      <c r="BT62" s="418"/>
      <c r="BU62" s="418"/>
      <c r="BV62" s="418"/>
      <c r="BW62" s="418"/>
      <c r="BX62" s="418"/>
      <c r="BY62" s="418"/>
      <c r="BZ62" s="418"/>
      <c r="CA62" s="418"/>
      <c r="CB62" s="418"/>
      <c r="CC62" s="418"/>
      <c r="CD62" s="418"/>
      <c r="CE62" s="418"/>
      <c r="CF62" s="418"/>
      <c r="CG62" s="418"/>
      <c r="CH62" s="418"/>
      <c r="CI62" s="418"/>
      <c r="CJ62" s="418"/>
      <c r="CK62" s="418"/>
      <c r="CL62" s="457"/>
      <c r="CN62" s="418"/>
      <c r="CO62" s="418"/>
      <c r="CP62" s="418"/>
      <c r="CQ62" s="418"/>
      <c r="CR62" s="418"/>
      <c r="CS62" s="418"/>
      <c r="CT62" s="418"/>
      <c r="CU62" s="418"/>
      <c r="CV62" s="418"/>
      <c r="CW62" s="418"/>
      <c r="CX62" s="418"/>
      <c r="CY62" s="418"/>
      <c r="CZ62" s="418"/>
      <c r="DA62" s="418"/>
      <c r="DB62" s="418"/>
      <c r="DC62" s="418"/>
      <c r="DD62" s="418"/>
      <c r="DE62" s="418"/>
      <c r="DF62" s="418"/>
      <c r="DG62" s="418"/>
      <c r="DH62" s="418"/>
      <c r="DI62" s="418"/>
      <c r="DJ62" s="418"/>
      <c r="DK62" s="418"/>
      <c r="DL62" s="418"/>
      <c r="DM62" s="418"/>
      <c r="DN62" s="139"/>
      <c r="DO62" s="419"/>
      <c r="DP62" s="419"/>
      <c r="DQ62" s="419"/>
      <c r="DR62" s="419"/>
      <c r="DS62" s="419"/>
      <c r="DT62" s="419"/>
      <c r="DU62" s="419"/>
      <c r="DV62" s="419"/>
      <c r="DW62" s="419"/>
      <c r="DX62" s="419"/>
      <c r="DY62" s="419"/>
      <c r="DZ62" s="419"/>
      <c r="EA62" s="419"/>
      <c r="EB62" s="419"/>
      <c r="EC62" s="419"/>
      <c r="ED62" s="419"/>
      <c r="EE62" s="419"/>
      <c r="EF62" s="419"/>
      <c r="EG62" s="419"/>
      <c r="EH62" s="419"/>
      <c r="EI62" s="419"/>
      <c r="EJ62" s="419"/>
      <c r="EK62" s="419"/>
      <c r="EL62" s="419"/>
      <c r="EM62" s="419"/>
      <c r="EN62" s="419"/>
      <c r="EO62" s="419"/>
      <c r="EP62" s="419"/>
      <c r="EQ62" s="419"/>
      <c r="ER62" s="419"/>
      <c r="ES62" s="419"/>
      <c r="ET62" s="419"/>
      <c r="EU62" s="419"/>
      <c r="EV62" s="419"/>
      <c r="EW62" s="419"/>
      <c r="EX62" s="419"/>
      <c r="EY62" s="419"/>
      <c r="EZ62" s="419"/>
      <c r="FA62" s="419"/>
      <c r="FB62" s="419"/>
      <c r="FC62" s="419"/>
      <c r="FD62" s="419"/>
      <c r="FE62" s="419"/>
      <c r="FF62" s="419"/>
      <c r="FG62" s="419"/>
      <c r="FH62" s="419"/>
      <c r="FI62" s="419"/>
      <c r="FJ62" s="419"/>
      <c r="FK62" s="419"/>
      <c r="FL62" s="419"/>
      <c r="FM62" s="419"/>
      <c r="FN62" s="419"/>
      <c r="FO62" s="419"/>
      <c r="FP62" s="419"/>
      <c r="FQ62" s="419"/>
    </row>
    <row r="63" spans="2:173" ht="15" customHeight="1" x14ac:dyDescent="0.45">
      <c r="M63" s="423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457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410"/>
      <c r="DO63" s="1"/>
      <c r="DP63" s="1"/>
      <c r="DQ63" s="1"/>
      <c r="DR63" s="1"/>
      <c r="DS63" s="1"/>
      <c r="DT63" s="1"/>
      <c r="DU63" s="1"/>
      <c r="DV63" s="1"/>
    </row>
    <row r="64" spans="2:173" ht="15" customHeight="1" x14ac:dyDescent="0.45">
      <c r="M64" s="410"/>
      <c r="AK64" s="463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G64"/>
      <c r="BH64"/>
      <c r="BI64"/>
      <c r="BJ64"/>
      <c r="BK64"/>
      <c r="BL64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457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416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L64" s="416"/>
      <c r="FI64" s="428"/>
    </row>
    <row r="65" spans="2:173" ht="15" customHeight="1" x14ac:dyDescent="0.45">
      <c r="B65" s="358" t="s">
        <v>1391</v>
      </c>
      <c r="D65" s="164"/>
      <c r="E65" s="164"/>
      <c r="F65" s="164"/>
      <c r="G65" s="164"/>
      <c r="H65" s="164"/>
      <c r="I65" s="164"/>
      <c r="J65" s="164"/>
      <c r="K65" s="164"/>
      <c r="L65" s="164"/>
      <c r="M65" s="441"/>
      <c r="N65" s="442"/>
      <c r="O65" s="443"/>
      <c r="P65" s="417"/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44"/>
      <c r="AK65" s="445"/>
      <c r="AL65" s="442"/>
      <c r="AM65" s="443"/>
      <c r="AN65" s="417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8"/>
      <c r="BC65" s="418"/>
      <c r="BD65" s="418"/>
      <c r="BE65" s="418"/>
      <c r="BF65" s="418"/>
      <c r="BG65" s="418"/>
      <c r="BH65" s="444"/>
      <c r="BI65" s="445"/>
      <c r="BJ65" s="442"/>
      <c r="BK65" s="443"/>
      <c r="BL65" s="417"/>
      <c r="BM65" s="418"/>
      <c r="BN65" s="418"/>
      <c r="BO65" s="418"/>
      <c r="BP65" s="418"/>
      <c r="BQ65" s="418"/>
      <c r="BR65" s="418"/>
      <c r="BS65" s="418"/>
      <c r="BT65" s="418"/>
      <c r="BU65" s="418"/>
      <c r="BV65" s="418"/>
      <c r="BW65" s="418"/>
      <c r="BX65" s="418"/>
      <c r="BY65" s="418"/>
      <c r="BZ65" s="418"/>
      <c r="CA65" s="418"/>
      <c r="CB65" s="418"/>
      <c r="CC65" s="418"/>
      <c r="CD65" s="418"/>
      <c r="CE65" s="418"/>
      <c r="CF65" s="444"/>
      <c r="CG65" s="445"/>
      <c r="CH65" s="442"/>
      <c r="CI65" s="443"/>
      <c r="CJ65" s="417"/>
      <c r="CK65" s="418"/>
      <c r="CL65" s="418"/>
      <c r="CM65" s="418"/>
      <c r="CN65" s="418"/>
      <c r="CO65" s="457"/>
      <c r="CQ65" s="164"/>
      <c r="CR65" s="164"/>
      <c r="CS65" s="417"/>
      <c r="CT65" s="418"/>
      <c r="CU65" s="418"/>
      <c r="CV65" s="418"/>
      <c r="CW65" s="418"/>
      <c r="CX65" s="418"/>
      <c r="CY65" s="418"/>
      <c r="CZ65" s="418"/>
      <c r="DA65" s="418"/>
      <c r="DB65" s="418"/>
      <c r="DC65" s="418"/>
      <c r="DD65" s="418"/>
      <c r="DE65" s="418"/>
      <c r="DF65" s="418"/>
      <c r="DG65" s="418"/>
      <c r="DH65" s="418"/>
      <c r="DI65" s="418"/>
      <c r="DJ65" s="418"/>
      <c r="DK65" s="418"/>
      <c r="DL65" s="418"/>
      <c r="DM65" s="444"/>
      <c r="DN65" s="446"/>
      <c r="DO65" s="446"/>
      <c r="DP65" s="446"/>
      <c r="DQ65" s="446"/>
      <c r="DR65" s="446"/>
      <c r="DS65" s="446"/>
      <c r="DT65" s="460"/>
      <c r="DU65" s="461"/>
      <c r="DV65" s="461"/>
      <c r="DW65" s="461"/>
      <c r="DX65" s="461"/>
      <c r="DY65" s="461"/>
      <c r="DZ65" s="461"/>
      <c r="EA65" s="461"/>
      <c r="EB65" s="461"/>
      <c r="EC65" s="461"/>
      <c r="ED65" s="461"/>
      <c r="EE65" s="461"/>
      <c r="EF65" s="461"/>
      <c r="EG65" s="461"/>
      <c r="EH65" s="461"/>
      <c r="EI65" s="461"/>
      <c r="EJ65" s="461"/>
      <c r="EK65" s="464"/>
      <c r="EL65" s="446"/>
      <c r="EM65" s="446"/>
      <c r="EN65" s="446"/>
      <c r="EO65" s="446"/>
      <c r="EP65" s="446"/>
      <c r="EQ65" s="446"/>
      <c r="ER65" s="460"/>
      <c r="ES65" s="461"/>
      <c r="ET65" s="461"/>
      <c r="EU65" s="461"/>
      <c r="EV65" s="461"/>
      <c r="EW65" s="461"/>
      <c r="EX65" s="461"/>
      <c r="EY65" s="461"/>
      <c r="EZ65" s="461"/>
      <c r="FA65" s="461"/>
      <c r="FB65" s="461"/>
      <c r="FC65" s="461"/>
      <c r="FD65" s="461"/>
      <c r="FE65" s="461"/>
      <c r="FF65" s="461"/>
      <c r="FG65" s="461"/>
      <c r="FH65" s="461"/>
      <c r="FI65" s="464"/>
      <c r="FJ65" s="445"/>
      <c r="FK65" s="442"/>
      <c r="FL65" s="442"/>
      <c r="FM65" s="442"/>
      <c r="FN65" s="442"/>
      <c r="FO65" s="442"/>
      <c r="FP65" s="460"/>
      <c r="FQ65" s="461"/>
    </row>
    <row r="66" spans="2:173" ht="15" customHeight="1" x14ac:dyDescent="0.45">
      <c r="M66" s="410"/>
      <c r="W66" s="5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J66"/>
      <c r="BK66"/>
      <c r="BL66"/>
      <c r="BM66"/>
      <c r="BN66"/>
      <c r="BO66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457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N66" s="416"/>
    </row>
    <row r="67" spans="2:173" ht="15" customHeight="1" x14ac:dyDescent="0.45">
      <c r="M67" s="410"/>
      <c r="V67" s="465"/>
      <c r="AN67"/>
      <c r="AO67"/>
      <c r="AP67"/>
      <c r="AQ67"/>
      <c r="AR67"/>
      <c r="AS67"/>
      <c r="AT67" s="463"/>
      <c r="AU67"/>
      <c r="AV67"/>
      <c r="AW67"/>
      <c r="AX67"/>
      <c r="AY67"/>
      <c r="AZ67"/>
      <c r="BA67"/>
      <c r="BB67"/>
      <c r="BC67"/>
      <c r="BD67"/>
      <c r="BE67"/>
      <c r="BF67"/>
      <c r="BJ67"/>
      <c r="BK67"/>
      <c r="BL67"/>
      <c r="BM67"/>
      <c r="BN67"/>
      <c r="BO67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457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4"/>
      <c r="DK67" s="14"/>
      <c r="DL67" s="14"/>
      <c r="DM67" s="14"/>
      <c r="DN67" s="425"/>
      <c r="DO67" s="14"/>
      <c r="DP67" s="14"/>
      <c r="DQ67" s="14"/>
      <c r="DR67" s="14"/>
      <c r="DS67" s="14"/>
      <c r="DT67" s="14"/>
      <c r="DU67" s="14"/>
      <c r="DV67" s="466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466"/>
      <c r="EU67" s="416"/>
    </row>
    <row r="68" spans="2:173" ht="15" customHeight="1" x14ac:dyDescent="0.45">
      <c r="B68" s="358" t="s">
        <v>1392</v>
      </c>
      <c r="D68" s="164"/>
      <c r="E68" s="164"/>
      <c r="F68" s="164"/>
      <c r="G68" s="164"/>
      <c r="H68" s="164"/>
      <c r="I68" s="164"/>
      <c r="J68" s="164"/>
      <c r="K68" s="164"/>
      <c r="L68" s="164"/>
      <c r="M68" s="424"/>
      <c r="N68" s="164"/>
      <c r="O68" s="164"/>
      <c r="P68" s="164"/>
      <c r="Q68" s="164"/>
      <c r="R68" s="164"/>
      <c r="S68" s="164"/>
      <c r="T68" s="164"/>
      <c r="U68" s="164"/>
      <c r="V68" s="441"/>
      <c r="W68" s="442"/>
      <c r="X68" s="443"/>
      <c r="Y68" s="417"/>
      <c r="Z68" s="418"/>
      <c r="AA68" s="418"/>
      <c r="AB68" s="418"/>
      <c r="AC68" s="418"/>
      <c r="AD68" s="418"/>
      <c r="AE68" s="418"/>
      <c r="AF68" s="418"/>
      <c r="AG68" s="418"/>
      <c r="AH68" s="418"/>
      <c r="AI68" s="418"/>
      <c r="AJ68" s="418"/>
      <c r="AK68" s="418"/>
      <c r="AL68" s="418"/>
      <c r="AM68" s="418"/>
      <c r="AN68" s="418"/>
      <c r="AO68" s="418"/>
      <c r="AP68" s="418"/>
      <c r="AQ68" s="418"/>
      <c r="AR68" s="418"/>
      <c r="AS68" s="444"/>
      <c r="AT68" s="445"/>
      <c r="AU68" s="442"/>
      <c r="AV68" s="443"/>
      <c r="AW68" s="417"/>
      <c r="AX68" s="418"/>
      <c r="AY68" s="418"/>
      <c r="AZ68" s="418"/>
      <c r="BA68" s="418"/>
      <c r="BB68" s="418"/>
      <c r="BC68" s="418"/>
      <c r="BD68" s="418"/>
      <c r="BE68" s="418"/>
      <c r="BF68" s="418"/>
      <c r="BG68" s="418"/>
      <c r="BH68" s="418"/>
      <c r="BI68" s="418"/>
      <c r="BJ68" s="418"/>
      <c r="BK68" s="418"/>
      <c r="BL68" s="418"/>
      <c r="BM68" s="418"/>
      <c r="BN68" s="418"/>
      <c r="BO68" s="418"/>
      <c r="BP68" s="418"/>
      <c r="BQ68" s="444"/>
      <c r="BR68" s="445"/>
      <c r="BS68" s="442"/>
      <c r="BT68" s="443"/>
      <c r="BU68" s="417"/>
      <c r="BV68" s="418"/>
      <c r="BW68" s="418"/>
      <c r="BX68" s="418"/>
      <c r="BY68" s="418"/>
      <c r="BZ68" s="418"/>
      <c r="CA68" s="418"/>
      <c r="CB68" s="418"/>
      <c r="CC68" s="418"/>
      <c r="CD68" s="418"/>
      <c r="CE68" s="418"/>
      <c r="CF68" s="418"/>
      <c r="CG68" s="418"/>
      <c r="CH68" s="418"/>
      <c r="CI68" s="418"/>
      <c r="CJ68" s="418"/>
      <c r="CK68" s="418"/>
      <c r="CL68" s="418"/>
      <c r="CM68" s="418"/>
      <c r="CN68" s="418"/>
      <c r="CO68" s="1"/>
      <c r="CQ68" s="418"/>
      <c r="CR68" s="418"/>
      <c r="CS68" s="418"/>
      <c r="CT68" s="418"/>
      <c r="CU68" s="418"/>
      <c r="CV68" s="418"/>
      <c r="CW68" s="418"/>
      <c r="CX68" s="462"/>
      <c r="CY68" s="445"/>
      <c r="CZ68" s="442"/>
      <c r="DA68" s="443"/>
      <c r="DB68" s="417"/>
      <c r="DC68" s="418"/>
      <c r="DD68" s="418"/>
      <c r="DE68" s="418"/>
      <c r="DF68" s="418"/>
      <c r="DG68" s="418"/>
      <c r="DH68" s="418"/>
      <c r="DI68" s="418"/>
      <c r="DJ68" s="418"/>
      <c r="DK68" s="418"/>
      <c r="DL68" s="418"/>
      <c r="DM68" s="418"/>
      <c r="DN68" s="418"/>
      <c r="DO68" s="418"/>
      <c r="DP68" s="418"/>
      <c r="DQ68" s="418"/>
      <c r="DR68" s="418"/>
      <c r="DS68" s="418"/>
      <c r="DT68" s="418"/>
      <c r="DU68" s="418"/>
      <c r="DV68" s="444"/>
      <c r="DW68" s="446"/>
      <c r="DX68" s="446"/>
      <c r="DY68" s="446"/>
      <c r="DZ68" s="446"/>
      <c r="EA68" s="446"/>
      <c r="EB68" s="447"/>
      <c r="EC68" s="460"/>
      <c r="ED68" s="461"/>
      <c r="EE68" s="461"/>
      <c r="EF68" s="461"/>
      <c r="EG68" s="461"/>
      <c r="EH68" s="461"/>
      <c r="EI68" s="461"/>
      <c r="EJ68" s="461"/>
      <c r="EK68" s="461"/>
      <c r="EL68" s="461"/>
      <c r="EM68" s="461"/>
      <c r="EN68" s="461"/>
      <c r="EO68" s="461"/>
      <c r="EP68" s="461"/>
      <c r="EQ68" s="461"/>
      <c r="ER68" s="461"/>
      <c r="ES68" s="461"/>
      <c r="ET68" s="464"/>
      <c r="EU68" s="446"/>
      <c r="EV68" s="446"/>
      <c r="EW68" s="446"/>
      <c r="EX68" s="446"/>
      <c r="EY68" s="446"/>
      <c r="EZ68" s="446"/>
      <c r="FA68" s="460"/>
      <c r="FB68" s="461"/>
      <c r="FC68" s="461"/>
      <c r="FD68" s="461"/>
      <c r="FE68" s="461"/>
      <c r="FF68" s="461"/>
      <c r="FG68" s="461"/>
      <c r="FH68" s="461"/>
      <c r="FI68" s="461"/>
      <c r="FJ68" s="461"/>
      <c r="FK68" s="461"/>
      <c r="FL68" s="461"/>
      <c r="FM68" s="461"/>
      <c r="FN68" s="461"/>
      <c r="FO68" s="461"/>
      <c r="FP68" s="461"/>
      <c r="FQ68" s="461"/>
    </row>
    <row r="69" spans="2:173" ht="15" customHeight="1" x14ac:dyDescent="0.45"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CK69" s="1"/>
      <c r="CL69" s="457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119B-9936-424C-9413-32DDA1764F4C}">
  <sheetPr>
    <tabColor theme="0" tint="-0.249977111117893"/>
  </sheetPr>
  <dimension ref="A1:Y38"/>
  <sheetViews>
    <sheetView showGridLines="0" zoomScale="110" zoomScaleNormal="110" workbookViewId="0"/>
  </sheetViews>
  <sheetFormatPr defaultRowHeight="17" x14ac:dyDescent="0.45"/>
  <cols>
    <col min="2" max="2" width="14.4140625" bestFit="1" customWidth="1"/>
    <col min="3" max="3" width="9" bestFit="1" customWidth="1"/>
    <col min="4" max="4" width="9" style="1" bestFit="1" customWidth="1"/>
    <col min="5" max="5" width="7.4140625" style="1" bestFit="1" customWidth="1"/>
    <col min="6" max="6" width="8.1640625" style="1" bestFit="1" customWidth="1"/>
    <col min="7" max="7" width="6.83203125" style="1" bestFit="1" customWidth="1"/>
    <col min="8" max="8" width="8.1640625" bestFit="1" customWidth="1"/>
    <col min="9" max="9" width="10.1640625" bestFit="1" customWidth="1"/>
    <col min="10" max="10" width="9.1640625" bestFit="1" customWidth="1"/>
    <col min="11" max="11" width="8.1640625" bestFit="1" customWidth="1"/>
    <col min="12" max="12" width="7.5" bestFit="1" customWidth="1"/>
    <col min="13" max="13" width="10.5" bestFit="1" customWidth="1"/>
    <col min="14" max="14" width="8" bestFit="1" customWidth="1"/>
    <col min="15" max="15" width="7.5" bestFit="1" customWidth="1"/>
    <col min="16" max="16" width="8" bestFit="1" customWidth="1"/>
    <col min="17" max="17" width="8.1640625" bestFit="1" customWidth="1"/>
    <col min="18" max="18" width="9.1640625" bestFit="1" customWidth="1"/>
    <col min="19" max="19" width="6.08203125" bestFit="1" customWidth="1"/>
    <col min="20" max="20" width="13" style="1" bestFit="1" customWidth="1"/>
    <col min="22" max="22" width="16.9140625" bestFit="1" customWidth="1"/>
    <col min="23" max="23" width="4.6640625" bestFit="1" customWidth="1"/>
    <col min="24" max="24" width="10.6640625" bestFit="1" customWidth="1"/>
    <col min="25" max="25" width="9.6640625" bestFit="1" customWidth="1"/>
  </cols>
  <sheetData>
    <row r="1" spans="1:25" ht="17.5" thickBot="1" x14ac:dyDescent="0.5"/>
    <row r="2" spans="1:25" x14ac:dyDescent="0.45">
      <c r="B2" s="778" t="s">
        <v>1394</v>
      </c>
      <c r="C2" s="779"/>
      <c r="D2" s="779"/>
      <c r="E2" s="780"/>
      <c r="F2" s="781" t="s">
        <v>2</v>
      </c>
      <c r="G2" s="782"/>
      <c r="H2" s="783"/>
      <c r="I2" s="333" t="s">
        <v>1395</v>
      </c>
      <c r="J2" s="467" t="s">
        <v>1396</v>
      </c>
      <c r="K2" s="467" t="s">
        <v>1397</v>
      </c>
      <c r="L2" s="468" t="s">
        <v>1398</v>
      </c>
      <c r="M2" s="781" t="s">
        <v>1399</v>
      </c>
      <c r="N2" s="783"/>
      <c r="O2" s="333"/>
      <c r="P2" s="468"/>
      <c r="Q2" s="781" t="s">
        <v>1400</v>
      </c>
      <c r="R2" s="782"/>
      <c r="S2" s="782"/>
      <c r="T2" s="468" t="s">
        <v>1401</v>
      </c>
      <c r="V2" s="2" t="s">
        <v>3</v>
      </c>
      <c r="W2" s="1" t="s">
        <v>4</v>
      </c>
      <c r="X2" s="261">
        <v>100</v>
      </c>
      <c r="Y2" s="261">
        <v>120</v>
      </c>
    </row>
    <row r="3" spans="1:25" ht="17.5" thickBot="1" x14ac:dyDescent="0.5">
      <c r="B3" s="339" t="s">
        <v>1402</v>
      </c>
      <c r="C3" s="469" t="s">
        <v>1403</v>
      </c>
      <c r="D3" s="469" t="s">
        <v>0</v>
      </c>
      <c r="E3" s="470" t="s">
        <v>1404</v>
      </c>
      <c r="F3" s="339" t="s">
        <v>0</v>
      </c>
      <c r="G3" s="469" t="s">
        <v>1091</v>
      </c>
      <c r="H3" s="470" t="s">
        <v>1</v>
      </c>
      <c r="I3" s="471">
        <v>100</v>
      </c>
      <c r="J3" s="472">
        <v>128</v>
      </c>
      <c r="K3" s="469" t="s">
        <v>5</v>
      </c>
      <c r="L3" s="470" t="s">
        <v>5</v>
      </c>
      <c r="M3" s="339" t="s">
        <v>1405</v>
      </c>
      <c r="N3" s="470" t="s">
        <v>1404</v>
      </c>
      <c r="O3" s="339" t="s">
        <v>1406</v>
      </c>
      <c r="P3" s="470" t="s">
        <v>1</v>
      </c>
      <c r="Q3" s="339" t="s">
        <v>1</v>
      </c>
      <c r="R3" s="469" t="s">
        <v>0</v>
      </c>
      <c r="S3" s="469" t="s">
        <v>1142</v>
      </c>
      <c r="T3" s="470" t="s">
        <v>1407</v>
      </c>
      <c r="V3" s="2"/>
      <c r="W3" s="1" t="s">
        <v>1</v>
      </c>
      <c r="X3" s="230">
        <f>1/X2*1000000</f>
        <v>10000</v>
      </c>
      <c r="Y3" s="230">
        <f>1/Y2*1000000</f>
        <v>8333.3333333333339</v>
      </c>
    </row>
    <row r="4" spans="1:25" x14ac:dyDescent="0.45">
      <c r="B4" s="355">
        <v>15</v>
      </c>
      <c r="C4" s="473">
        <v>0.08</v>
      </c>
      <c r="D4" s="473">
        <f>B4*C4</f>
        <v>1.2</v>
      </c>
      <c r="E4" s="473">
        <f>(1/$C$4)/Q4</f>
        <v>184.91374270183212</v>
      </c>
      <c r="F4" s="474">
        <f>F5+D4</f>
        <v>15.945599999999999</v>
      </c>
      <c r="G4" s="475">
        <f>(F4-F5)/F5</f>
        <v>8.1380208333333287E-2</v>
      </c>
      <c r="H4" s="476">
        <f>1/F4</f>
        <v>6.2713224964880604E-2</v>
      </c>
      <c r="I4" s="477">
        <f>1/$I$3*1000000</f>
        <v>10000</v>
      </c>
      <c r="J4" s="478">
        <f>I4/$J$3</f>
        <v>78.125</v>
      </c>
      <c r="K4" s="479">
        <f>J4/H4</f>
        <v>1245.7499999999998</v>
      </c>
      <c r="L4">
        <f>I4/H4</f>
        <v>159455.99999999997</v>
      </c>
      <c r="M4" s="474">
        <f>L4-L5</f>
        <v>11999.999999999971</v>
      </c>
      <c r="N4" s="474">
        <f>M4/B4</f>
        <v>799.99999999999807</v>
      </c>
      <c r="O4" s="480">
        <v>512</v>
      </c>
      <c r="P4" s="6">
        <f>H4*O4</f>
        <v>32.109171182018869</v>
      </c>
      <c r="Q4" s="476">
        <f>(I4-P4)/$L$5</f>
        <v>6.759908602442749E-2</v>
      </c>
      <c r="R4" s="481">
        <f>1/Q4</f>
        <v>14.793099416146569</v>
      </c>
      <c r="S4" s="482">
        <f>(R4-R5)/R5</f>
        <v>3.2212603180996249E-3</v>
      </c>
      <c r="T4" s="483">
        <f>$I$5-$K$5*Q4*$J$3</f>
        <v>32.109171182019054</v>
      </c>
      <c r="V4" s="2" t="s">
        <v>1408</v>
      </c>
      <c r="W4" s="1" t="s">
        <v>0</v>
      </c>
      <c r="X4" s="1">
        <v>14.7456</v>
      </c>
      <c r="Y4" s="1">
        <f>X4</f>
        <v>14.7456</v>
      </c>
    </row>
    <row r="5" spans="1:25" x14ac:dyDescent="0.45">
      <c r="B5" s="484">
        <v>0</v>
      </c>
      <c r="C5" s="473">
        <v>8.0000000000000004E-4</v>
      </c>
      <c r="D5" s="473">
        <f>B5*C5</f>
        <v>0</v>
      </c>
      <c r="E5" s="473">
        <f>(1/$C$4)/Q5</f>
        <v>184.32</v>
      </c>
      <c r="F5">
        <v>14.7456</v>
      </c>
      <c r="G5" s="475">
        <f>(F5-F5)/F5</f>
        <v>0</v>
      </c>
      <c r="H5" s="476">
        <f>1/F5</f>
        <v>6.7816840277777776E-2</v>
      </c>
      <c r="I5" s="477">
        <f>1/$I$3*1000000</f>
        <v>10000</v>
      </c>
      <c r="J5" s="478">
        <f>I5/$J$3</f>
        <v>78.125</v>
      </c>
      <c r="K5" s="479">
        <f t="shared" ref="K5:K6" si="0">J5/H5</f>
        <v>1152</v>
      </c>
      <c r="L5">
        <f>I5/H5</f>
        <v>147456</v>
      </c>
      <c r="M5" s="474">
        <f>L5-L5</f>
        <v>0</v>
      </c>
      <c r="N5" s="474">
        <v>0</v>
      </c>
      <c r="O5" s="480">
        <v>0</v>
      </c>
      <c r="P5" s="6">
        <f>H5*O5</f>
        <v>0</v>
      </c>
      <c r="Q5" s="476">
        <f>(I5-P5)/$L$5</f>
        <v>6.7816840277777776E-2</v>
      </c>
      <c r="R5" s="481">
        <f t="shared" ref="R5" si="1">1/Q5</f>
        <v>14.7456</v>
      </c>
      <c r="S5" s="482">
        <f>(R5-R5)/R5</f>
        <v>0</v>
      </c>
      <c r="T5" s="483">
        <f t="shared" ref="T5:T6" si="2">$I$5-$K$5*Q5*$J$3</f>
        <v>0</v>
      </c>
      <c r="V5" s="2"/>
      <c r="W5" s="1" t="s">
        <v>1</v>
      </c>
      <c r="X5" s="268">
        <f>1/X4</f>
        <v>6.7816840277777776E-2</v>
      </c>
      <c r="Y5" s="268">
        <f>1/Y4</f>
        <v>6.7816840277777776E-2</v>
      </c>
    </row>
    <row r="6" spans="1:25" x14ac:dyDescent="0.45">
      <c r="B6" s="484">
        <v>15</v>
      </c>
      <c r="C6" s="473">
        <f>-C4</f>
        <v>-0.08</v>
      </c>
      <c r="D6" s="473">
        <f>B6*C6</f>
        <v>-1.2</v>
      </c>
      <c r="E6" s="473">
        <f>(1/$C$4)/Q6</f>
        <v>184.14599008732591</v>
      </c>
      <c r="F6" s="474">
        <f>F5+D6</f>
        <v>13.5456</v>
      </c>
      <c r="G6" s="475">
        <f>(F6-F5)/F5</f>
        <v>-8.1380208333333287E-2</v>
      </c>
      <c r="H6" s="476">
        <f>1/F6</f>
        <v>7.3824710607134414E-2</v>
      </c>
      <c r="I6" s="477">
        <f>1/$I$3*1000000</f>
        <v>10000</v>
      </c>
      <c r="J6" s="478">
        <f>I6/$J$3</f>
        <v>78.125</v>
      </c>
      <c r="K6" s="479">
        <f t="shared" si="0"/>
        <v>1058.25</v>
      </c>
      <c r="L6">
        <f t="shared" ref="L6" si="3">I6/H6</f>
        <v>135456</v>
      </c>
      <c r="M6" s="474">
        <f>L6-L5</f>
        <v>-12000</v>
      </c>
      <c r="N6" s="474">
        <f t="shared" ref="N6" si="4">M6/B6</f>
        <v>-800</v>
      </c>
      <c r="O6" s="480">
        <v>-128</v>
      </c>
      <c r="P6" s="6">
        <f>H6*O6</f>
        <v>-9.449562957713205</v>
      </c>
      <c r="Q6" s="476">
        <f>(I6-P6)/$L$5</f>
        <v>6.7880924227957593E-2</v>
      </c>
      <c r="R6" s="481">
        <f>1/Q6</f>
        <v>14.731679206986072</v>
      </c>
      <c r="S6" s="482">
        <f>(R5-R6)/R5</f>
        <v>9.4406419636550057E-4</v>
      </c>
      <c r="T6" s="483">
        <f t="shared" si="2"/>
        <v>-9.4495629577140789</v>
      </c>
      <c r="V6" s="2" t="s">
        <v>1294</v>
      </c>
      <c r="W6" s="1" t="s">
        <v>5</v>
      </c>
      <c r="X6" s="261">
        <v>128</v>
      </c>
      <c r="Y6" s="261">
        <v>128</v>
      </c>
    </row>
    <row r="7" spans="1:25" x14ac:dyDescent="0.45">
      <c r="O7" s="480">
        <f>O4-O6</f>
        <v>640</v>
      </c>
      <c r="P7" s="485">
        <f>O7/E5</f>
        <v>3.4722222222222223</v>
      </c>
      <c r="V7" s="2" t="s">
        <v>1292</v>
      </c>
      <c r="W7" s="1" t="s">
        <v>1</v>
      </c>
      <c r="X7" s="230">
        <f>X3/X6</f>
        <v>78.125</v>
      </c>
      <c r="Y7" s="230">
        <f>Y3/Y6</f>
        <v>65.104166666666671</v>
      </c>
    </row>
    <row r="8" spans="1:25" ht="17.5" thickBot="1" x14ac:dyDescent="0.5">
      <c r="V8" s="2"/>
      <c r="W8" s="1"/>
      <c r="X8" s="1"/>
      <c r="Y8" s="1"/>
    </row>
    <row r="9" spans="1:25" x14ac:dyDescent="0.45">
      <c r="B9" s="778" t="s">
        <v>1394</v>
      </c>
      <c r="C9" s="779"/>
      <c r="D9" s="779"/>
      <c r="E9" s="780"/>
      <c r="F9" s="781" t="s">
        <v>2</v>
      </c>
      <c r="G9" s="782"/>
      <c r="H9" s="783"/>
      <c r="I9" s="333" t="s">
        <v>1395</v>
      </c>
      <c r="J9" s="467" t="s">
        <v>1396</v>
      </c>
      <c r="K9" s="467" t="s">
        <v>1397</v>
      </c>
      <c r="L9" s="468" t="s">
        <v>1398</v>
      </c>
      <c r="M9" s="781" t="s">
        <v>1399</v>
      </c>
      <c r="N9" s="783"/>
      <c r="O9" s="333"/>
      <c r="P9" s="468"/>
      <c r="Q9" s="781" t="s">
        <v>1400</v>
      </c>
      <c r="R9" s="782"/>
      <c r="S9" s="782"/>
      <c r="T9" s="468" t="s">
        <v>1401</v>
      </c>
      <c r="V9" s="2" t="s">
        <v>1397</v>
      </c>
      <c r="W9" s="1" t="s">
        <v>5</v>
      </c>
      <c r="X9" s="486">
        <f>X7/X5</f>
        <v>1152</v>
      </c>
      <c r="Y9" s="486">
        <f>Y7/Y5</f>
        <v>960.00000000000011</v>
      </c>
    </row>
    <row r="10" spans="1:25" ht="17.5" thickBot="1" x14ac:dyDescent="0.5">
      <c r="B10" s="339" t="s">
        <v>1402</v>
      </c>
      <c r="C10" s="469" t="s">
        <v>1403</v>
      </c>
      <c r="D10" s="469" t="s">
        <v>0</v>
      </c>
      <c r="E10" s="470" t="s">
        <v>1404</v>
      </c>
      <c r="F10" s="339" t="s">
        <v>0</v>
      </c>
      <c r="G10" s="469" t="s">
        <v>1091</v>
      </c>
      <c r="H10" s="470" t="s">
        <v>1</v>
      </c>
      <c r="I10" s="471">
        <v>120</v>
      </c>
      <c r="J10" s="472">
        <v>128</v>
      </c>
      <c r="K10" s="469" t="s">
        <v>5</v>
      </c>
      <c r="L10" s="470" t="s">
        <v>5</v>
      </c>
      <c r="M10" s="339" t="s">
        <v>1405</v>
      </c>
      <c r="N10" s="470" t="s">
        <v>1404</v>
      </c>
      <c r="O10" s="339" t="s">
        <v>1406</v>
      </c>
      <c r="P10" s="470" t="s">
        <v>1</v>
      </c>
      <c r="Q10" s="339" t="s">
        <v>1</v>
      </c>
      <c r="R10" s="469" t="s">
        <v>0</v>
      </c>
      <c r="S10" s="469" t="s">
        <v>1142</v>
      </c>
      <c r="T10" s="470" t="s">
        <v>1407</v>
      </c>
      <c r="V10" s="2"/>
      <c r="W10" s="1"/>
      <c r="X10" s="1"/>
      <c r="Y10" s="1"/>
    </row>
    <row r="11" spans="1:25" x14ac:dyDescent="0.45">
      <c r="B11" s="355">
        <v>15</v>
      </c>
      <c r="C11" s="473">
        <v>0.08</v>
      </c>
      <c r="D11" s="473">
        <f>B11*C11</f>
        <v>1.2</v>
      </c>
      <c r="E11" s="473">
        <f>(1/$C$11)/Q11</f>
        <v>185.0329505620694</v>
      </c>
      <c r="F11" s="474">
        <f>F12+D11</f>
        <v>15.945599999999999</v>
      </c>
      <c r="G11" s="475">
        <f>(F11-F12)/F12</f>
        <v>8.1380208333333287E-2</v>
      </c>
      <c r="H11" s="476">
        <f>1/F11</f>
        <v>6.2713224964880604E-2</v>
      </c>
      <c r="I11" s="477">
        <f>1/$I$10*1000000</f>
        <v>8333.3333333333339</v>
      </c>
      <c r="J11" s="478">
        <f>I11/$J$10</f>
        <v>65.104166666666671</v>
      </c>
      <c r="K11" s="479">
        <f>J11/H11</f>
        <v>1038.125</v>
      </c>
      <c r="L11">
        <f>I11/H11</f>
        <v>132880</v>
      </c>
      <c r="M11" s="474">
        <f>L11-L12</f>
        <v>9999.9999999999854</v>
      </c>
      <c r="N11" s="474">
        <f>M11/B11</f>
        <v>666.66666666666572</v>
      </c>
      <c r="O11" s="480">
        <f>O4</f>
        <v>512</v>
      </c>
      <c r="P11" s="6">
        <f>H11*O11</f>
        <v>32.109171182018869</v>
      </c>
      <c r="Q11" s="476">
        <f>(I11-P11)/$L$12</f>
        <v>6.7555535173757439E-2</v>
      </c>
      <c r="R11" s="481">
        <f>1/Q11</f>
        <v>14.802636044965551</v>
      </c>
      <c r="S11" s="482">
        <f>(R11-R12)/R12</f>
        <v>3.8680043515049488E-3</v>
      </c>
      <c r="T11" s="483">
        <f>$I$12-$K$12*Q11*$J$10</f>
        <v>32.109171182019054</v>
      </c>
      <c r="V11" s="487" t="s">
        <v>1409</v>
      </c>
      <c r="W11" s="488" t="s">
        <v>1142</v>
      </c>
      <c r="X11" s="489">
        <f>M28</f>
        <v>-2.164754368078381E-2</v>
      </c>
      <c r="Y11" s="489">
        <f>M28</f>
        <v>-2.164754368078381E-2</v>
      </c>
    </row>
    <row r="12" spans="1:25" x14ac:dyDescent="0.45">
      <c r="B12" s="484">
        <v>0</v>
      </c>
      <c r="C12" s="473">
        <v>8.0000000000000004E-4</v>
      </c>
      <c r="D12" s="473">
        <f>B12*C12</f>
        <v>0</v>
      </c>
      <c r="E12" s="473">
        <f>(1/$C$11)/Q12</f>
        <v>184.32</v>
      </c>
      <c r="F12">
        <v>14.7456</v>
      </c>
      <c r="G12" s="475">
        <f>(F12-F12)/F12</f>
        <v>0</v>
      </c>
      <c r="H12" s="476">
        <f>1/F12</f>
        <v>6.7816840277777776E-2</v>
      </c>
      <c r="I12" s="477">
        <f t="shared" ref="I12:I13" si="5">1/$I$10*1000000</f>
        <v>8333.3333333333339</v>
      </c>
      <c r="J12" s="478">
        <f t="shared" ref="J12:J13" si="6">I12/$J$10</f>
        <v>65.104166666666671</v>
      </c>
      <c r="K12" s="479">
        <f>J12/H12</f>
        <v>960.00000000000011</v>
      </c>
      <c r="L12">
        <f>I12/H12</f>
        <v>122880.00000000001</v>
      </c>
      <c r="M12" s="474">
        <f>L12-L12</f>
        <v>0</v>
      </c>
      <c r="N12" s="474">
        <v>0</v>
      </c>
      <c r="O12" s="480">
        <v>0</v>
      </c>
      <c r="P12" s="6">
        <f>H12*O12</f>
        <v>0</v>
      </c>
      <c r="Q12" s="476">
        <f t="shared" ref="Q12:Q13" si="7">(I12-P12)/$L$12</f>
        <v>6.7816840277777776E-2</v>
      </c>
      <c r="R12" s="481">
        <f t="shared" ref="R12" si="8">1/Q12</f>
        <v>14.7456</v>
      </c>
      <c r="S12" s="482">
        <f>(R12-R12)/R12</f>
        <v>0</v>
      </c>
      <c r="T12" s="483">
        <f>$I$12-$K$12*Q12*$J$10</f>
        <v>0</v>
      </c>
      <c r="V12" s="488" t="s">
        <v>1410</v>
      </c>
      <c r="W12" s="488" t="s">
        <v>0</v>
      </c>
      <c r="X12" s="490">
        <f>X4+X4*X11</f>
        <v>14.426393979900634</v>
      </c>
      <c r="Y12" s="490">
        <f>X12</f>
        <v>14.426393979900634</v>
      </c>
    </row>
    <row r="13" spans="1:25" x14ac:dyDescent="0.45">
      <c r="B13" s="484">
        <v>15</v>
      </c>
      <c r="C13" s="473">
        <f>-C11</f>
        <v>-0.08</v>
      </c>
      <c r="D13" s="473">
        <f>B13*C13</f>
        <v>-1.2</v>
      </c>
      <c r="E13" s="473">
        <f t="shared" ref="E13" si="9">(1/$C$11)/Q13</f>
        <v>184.11122752371514</v>
      </c>
      <c r="F13" s="474">
        <f>F12+D13</f>
        <v>13.5456</v>
      </c>
      <c r="G13" s="475">
        <f>(F13-F12)/F12</f>
        <v>-8.1380208333333287E-2</v>
      </c>
      <c r="H13" s="476">
        <f>1/F13</f>
        <v>7.3824710607134414E-2</v>
      </c>
      <c r="I13" s="477">
        <f t="shared" si="5"/>
        <v>8333.3333333333339</v>
      </c>
      <c r="J13" s="478">
        <f t="shared" si="6"/>
        <v>65.104166666666671</v>
      </c>
      <c r="K13" s="479">
        <f t="shared" ref="K13" si="10">J13/H13</f>
        <v>881.87500000000011</v>
      </c>
      <c r="L13">
        <f t="shared" ref="L13" si="11">I13/H13</f>
        <v>112880.00000000001</v>
      </c>
      <c r="M13" s="474">
        <f>L13-L12</f>
        <v>-10000</v>
      </c>
      <c r="N13" s="474">
        <f t="shared" ref="N13" si="12">M13/B13</f>
        <v>-666.66666666666663</v>
      </c>
      <c r="O13" s="480">
        <f>O6</f>
        <v>-128</v>
      </c>
      <c r="P13" s="6">
        <f>H13*O13</f>
        <v>-9.449562957713205</v>
      </c>
      <c r="Q13" s="476">
        <f t="shared" si="7"/>
        <v>6.7893741017993545E-2</v>
      </c>
      <c r="R13" s="481">
        <f>1/Q13</f>
        <v>14.728898201897211</v>
      </c>
      <c r="S13" s="482">
        <f>(R12-R13)/R12</f>
        <v>1.1326631742885065E-3</v>
      </c>
      <c r="T13" s="483">
        <f>$I$12-$K$12*Q13*$J$10</f>
        <v>-9.4495629577140789</v>
      </c>
      <c r="V13" s="488"/>
      <c r="W13" s="488" t="s">
        <v>1</v>
      </c>
      <c r="X13" s="491">
        <f>1/X12</f>
        <v>6.9317391538955303E-2</v>
      </c>
      <c r="Y13" s="490">
        <f>X13</f>
        <v>6.9317391538955303E-2</v>
      </c>
    </row>
    <row r="14" spans="1:25" x14ac:dyDescent="0.45">
      <c r="A14" s="6"/>
      <c r="O14" s="480">
        <f>O11-O13</f>
        <v>640</v>
      </c>
      <c r="P14" s="485">
        <f>O14/E12</f>
        <v>3.4722222222222223</v>
      </c>
      <c r="V14" s="488"/>
      <c r="W14" s="488"/>
      <c r="X14" s="488"/>
      <c r="Y14" s="488"/>
    </row>
    <row r="15" spans="1:25" x14ac:dyDescent="0.45">
      <c r="A15" s="6"/>
      <c r="V15" s="488" t="s">
        <v>1091</v>
      </c>
      <c r="W15" s="488" t="s">
        <v>0</v>
      </c>
      <c r="X15" s="490">
        <f>X4-X12</f>
        <v>0.31920602009936516</v>
      </c>
      <c r="Y15" s="490">
        <f>X15</f>
        <v>0.31920602009936516</v>
      </c>
    </row>
    <row r="16" spans="1:25" x14ac:dyDescent="0.45">
      <c r="A16" s="6"/>
      <c r="V16" s="488" t="s">
        <v>1411</v>
      </c>
      <c r="W16" s="488" t="s">
        <v>5</v>
      </c>
      <c r="X16" s="490">
        <f>X15/0.08</f>
        <v>3.9900752512420645</v>
      </c>
      <c r="Y16" s="490">
        <f>X16</f>
        <v>3.9900752512420645</v>
      </c>
    </row>
    <row r="17" spans="1:25" x14ac:dyDescent="0.45">
      <c r="A17" s="6"/>
      <c r="V17" s="2"/>
      <c r="W17" s="1"/>
      <c r="X17" s="1"/>
      <c r="Y17" s="1"/>
    </row>
    <row r="18" spans="1:25" x14ac:dyDescent="0.45">
      <c r="A18" s="6"/>
      <c r="V18" s="2"/>
      <c r="W18" s="1"/>
      <c r="X18" s="1"/>
      <c r="Y18" s="1"/>
    </row>
    <row r="19" spans="1:25" x14ac:dyDescent="0.45">
      <c r="A19" s="6"/>
      <c r="V19" s="492" t="s">
        <v>1232</v>
      </c>
      <c r="W19" s="492"/>
      <c r="X19" s="492"/>
      <c r="Y19" s="492"/>
    </row>
    <row r="20" spans="1:25" x14ac:dyDescent="0.45">
      <c r="A20" s="6"/>
      <c r="B20" s="493" t="s">
        <v>1412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"/>
      <c r="O20" s="2"/>
      <c r="V20" s="492" t="s">
        <v>1413</v>
      </c>
      <c r="W20" s="492" t="s">
        <v>1142</v>
      </c>
      <c r="X20" s="494">
        <v>1.7000000000000001E-2</v>
      </c>
      <c r="Y20" s="494">
        <v>1.7000000000000001E-2</v>
      </c>
    </row>
    <row r="21" spans="1:25" x14ac:dyDescent="0.45">
      <c r="A21" s="6"/>
      <c r="B21" s="495" t="s">
        <v>1414</v>
      </c>
      <c r="C21" s="2" t="s">
        <v>1415</v>
      </c>
      <c r="D21" s="2" t="s">
        <v>1416</v>
      </c>
      <c r="E21" s="2" t="s">
        <v>1065</v>
      </c>
      <c r="F21" s="2"/>
      <c r="G21" s="496" t="s">
        <v>1417</v>
      </c>
      <c r="H21" s="2" t="s">
        <v>1415</v>
      </c>
      <c r="I21" s="2" t="s">
        <v>1416</v>
      </c>
      <c r="J21" s="2" t="s">
        <v>1065</v>
      </c>
      <c r="K21" s="2"/>
      <c r="L21" s="497" t="s">
        <v>1418</v>
      </c>
      <c r="M21" s="2" t="s">
        <v>1415</v>
      </c>
      <c r="N21" s="2" t="s">
        <v>1416</v>
      </c>
      <c r="O21" s="2" t="s">
        <v>1065</v>
      </c>
      <c r="V21" s="492"/>
      <c r="W21" s="492" t="s">
        <v>0</v>
      </c>
      <c r="X21" s="498">
        <f>X4+X4*X20</f>
        <v>14.996275199999999</v>
      </c>
      <c r="Y21" s="498">
        <f>Y4+Y4*Y20</f>
        <v>14.996275199999999</v>
      </c>
    </row>
    <row r="22" spans="1:25" x14ac:dyDescent="0.45">
      <c r="A22" s="6"/>
      <c r="B22" s="2" t="s">
        <v>0</v>
      </c>
      <c r="C22" s="230">
        <v>1.87382</v>
      </c>
      <c r="D22" s="230">
        <v>1.88801</v>
      </c>
      <c r="E22" s="230">
        <v>1.9064300000000001</v>
      </c>
      <c r="G22" s="2" t="s">
        <v>0</v>
      </c>
      <c r="H22" s="230">
        <v>1.84788</v>
      </c>
      <c r="I22" s="230">
        <v>1.85379</v>
      </c>
      <c r="J22" s="230">
        <v>1.8657600000000001</v>
      </c>
      <c r="K22" s="1"/>
      <c r="L22" s="2" t="s">
        <v>0</v>
      </c>
      <c r="M22" s="230">
        <v>1.81366</v>
      </c>
      <c r="N22" s="230">
        <v>1.81762</v>
      </c>
      <c r="O22" s="230">
        <v>1.8223199999999999</v>
      </c>
      <c r="V22" s="499"/>
      <c r="W22" s="488"/>
      <c r="X22" s="488"/>
      <c r="Y22" s="488"/>
    </row>
    <row r="23" spans="1:25" x14ac:dyDescent="0.45">
      <c r="A23" s="6"/>
      <c r="B23" s="2" t="s">
        <v>1</v>
      </c>
      <c r="C23" s="230">
        <f>1/C22</f>
        <v>0.53366918914303396</v>
      </c>
      <c r="D23" s="230">
        <f t="shared" ref="D23:E23" si="13">1/D22</f>
        <v>0.52965821155608284</v>
      </c>
      <c r="E23" s="230">
        <f t="shared" si="13"/>
        <v>0.52454063354017721</v>
      </c>
      <c r="G23" s="2" t="s">
        <v>1</v>
      </c>
      <c r="H23" s="230">
        <f>1/H22</f>
        <v>0.54116068142953011</v>
      </c>
      <c r="I23" s="230">
        <f t="shared" ref="I23:J23" si="14">1/I22</f>
        <v>0.53943542688222501</v>
      </c>
      <c r="J23" s="230">
        <f t="shared" si="14"/>
        <v>0.5359746162421748</v>
      </c>
      <c r="K23" s="1"/>
      <c r="L23" s="2" t="s">
        <v>1</v>
      </c>
      <c r="M23" s="230">
        <f>1/M22</f>
        <v>0.55137126032442685</v>
      </c>
      <c r="N23" s="230">
        <f t="shared" ref="N23:O23" si="15">1/N22</f>
        <v>0.55017000253078197</v>
      </c>
      <c r="O23" s="230">
        <f t="shared" si="15"/>
        <v>0.54875104262698104</v>
      </c>
      <c r="V23" s="487" t="s">
        <v>1419</v>
      </c>
      <c r="W23" s="488" t="s">
        <v>1142</v>
      </c>
      <c r="X23" s="500">
        <f>X11+X11*0.1</f>
        <v>-2.3812298048862191E-2</v>
      </c>
      <c r="Y23" s="500">
        <f>Y11+Y11*0.1</f>
        <v>-2.3812298048862191E-2</v>
      </c>
    </row>
    <row r="24" spans="1:25" x14ac:dyDescent="0.45">
      <c r="A24" s="6"/>
      <c r="B24" s="501">
        <v>8</v>
      </c>
      <c r="C24" s="230">
        <f>C23/$B$24</f>
        <v>6.6708648642879245E-2</v>
      </c>
      <c r="D24" s="230">
        <f>D23/$B$24</f>
        <v>6.6207276444510355E-2</v>
      </c>
      <c r="E24" s="230">
        <f>E23/$B$24</f>
        <v>6.5567579192522152E-2</v>
      </c>
      <c r="G24" s="501">
        <v>8</v>
      </c>
      <c r="H24" s="230">
        <f>H23/$G$24</f>
        <v>6.7645085178691264E-2</v>
      </c>
      <c r="I24" s="230">
        <f>I23/$G$24</f>
        <v>6.7429428360278126E-2</v>
      </c>
      <c r="J24" s="230">
        <f>J23/$G$24</f>
        <v>6.6996827030271849E-2</v>
      </c>
      <c r="K24" s="1"/>
      <c r="L24" s="501">
        <v>8</v>
      </c>
      <c r="M24" s="230">
        <f>M23/$L$24</f>
        <v>6.8921407540553356E-2</v>
      </c>
      <c r="N24" s="230">
        <f>N23/$L$24</f>
        <v>6.8771250316347746E-2</v>
      </c>
      <c r="O24" s="230">
        <f>O23/$L$24</f>
        <v>6.8593880328372631E-2</v>
      </c>
      <c r="V24" s="488"/>
      <c r="W24" s="488" t="s">
        <v>0</v>
      </c>
      <c r="X24" s="490">
        <f>X21+X21*X23</f>
        <v>14.63917942531484</v>
      </c>
      <c r="Y24" s="490">
        <f>Y21+Y21*Y23</f>
        <v>14.63917942531484</v>
      </c>
    </row>
    <row r="25" spans="1:25" x14ac:dyDescent="0.45">
      <c r="A25" s="6"/>
      <c r="B25" s="2" t="s">
        <v>0</v>
      </c>
      <c r="C25" s="283">
        <f>1/C24</f>
        <v>14.990560000000002</v>
      </c>
      <c r="D25" s="283">
        <f t="shared" ref="D25:E25" si="16">1/D24</f>
        <v>15.104080000000002</v>
      </c>
      <c r="E25" s="283">
        <f t="shared" si="16"/>
        <v>15.251439999999999</v>
      </c>
      <c r="G25" s="2" t="s">
        <v>0</v>
      </c>
      <c r="H25" s="283">
        <f>1/H24</f>
        <v>14.783039999999998</v>
      </c>
      <c r="I25" s="283">
        <f t="shared" ref="I25" si="17">1/I24</f>
        <v>14.830320000000002</v>
      </c>
      <c r="J25" s="283">
        <f>1/J24</f>
        <v>14.926079999999999</v>
      </c>
      <c r="K25" s="1"/>
      <c r="L25" s="2" t="s">
        <v>0</v>
      </c>
      <c r="M25" s="283">
        <f>1/M24</f>
        <v>14.50928</v>
      </c>
      <c r="N25" s="283">
        <f t="shared" ref="N25:O25" si="18">1/N24</f>
        <v>14.540960000000002</v>
      </c>
      <c r="O25" s="283">
        <f t="shared" si="18"/>
        <v>14.578559999999998</v>
      </c>
      <c r="V25" s="488"/>
      <c r="W25" s="488" t="s">
        <v>1</v>
      </c>
      <c r="X25" s="491">
        <f>1/X24</f>
        <v>6.8309839708006262E-2</v>
      </c>
      <c r="Y25" s="491">
        <f>1/Y24</f>
        <v>6.8309839708006262E-2</v>
      </c>
    </row>
    <row r="26" spans="1:25" x14ac:dyDescent="0.45">
      <c r="A26" s="6"/>
      <c r="B26" s="2" t="s">
        <v>1142</v>
      </c>
      <c r="C26" s="475">
        <f>(C25-I25)/I25</f>
        <v>1.0804891600450962E-2</v>
      </c>
      <c r="D26" s="475">
        <f>(D25-D25)/D25</f>
        <v>0</v>
      </c>
      <c r="E26" s="475">
        <f>(E25-I25)/I25</f>
        <v>2.8395880871080095E-2</v>
      </c>
      <c r="G26" s="2" t="s">
        <v>1142</v>
      </c>
      <c r="H26" s="475">
        <f>(H25-I25)/I25</f>
        <v>-3.1880633728742333E-3</v>
      </c>
      <c r="I26" s="475">
        <f>(I25-I25)/I25</f>
        <v>0</v>
      </c>
      <c r="J26" s="475">
        <f>(J25-I25)/I25</f>
        <v>6.457042059780013E-3</v>
      </c>
      <c r="K26" s="1"/>
      <c r="L26" s="2" t="s">
        <v>1142</v>
      </c>
      <c r="M26" s="475">
        <f>(M25-I25)/I25</f>
        <v>-2.164754368078381E-2</v>
      </c>
      <c r="N26" s="475">
        <f>(N25-N25)/N25</f>
        <v>0</v>
      </c>
      <c r="O26" s="475">
        <f>(O25-D25)/D25</f>
        <v>-3.4793247917119331E-2</v>
      </c>
      <c r="V26" s="502" t="s">
        <v>1420</v>
      </c>
      <c r="W26" s="502" t="s">
        <v>1</v>
      </c>
      <c r="X26" s="503">
        <f>X6*X9*X25-X3</f>
        <v>72.695723983772041</v>
      </c>
      <c r="Y26" s="503">
        <f>Y6*Y9*Y25-Y3</f>
        <v>60.579769986476094</v>
      </c>
    </row>
    <row r="27" spans="1:25" x14ac:dyDescent="0.45">
      <c r="A27" s="6"/>
      <c r="B27" s="2"/>
      <c r="C27" s="475"/>
      <c r="D27" s="475"/>
      <c r="E27" s="475"/>
      <c r="G27" s="2"/>
      <c r="H27" s="475"/>
      <c r="I27" s="475"/>
      <c r="J27" s="475"/>
      <c r="K27" s="1"/>
      <c r="L27" s="2"/>
      <c r="M27" s="475"/>
      <c r="N27" s="475"/>
      <c r="O27" s="475"/>
      <c r="V27" s="504"/>
      <c r="W27" s="504"/>
      <c r="X27" s="498"/>
      <c r="Y27" s="498"/>
    </row>
    <row r="28" spans="1:25" x14ac:dyDescent="0.45">
      <c r="A28" s="6"/>
      <c r="B28" s="226" t="s">
        <v>1421</v>
      </c>
      <c r="C28" s="505">
        <f>(C25-$I$25)/$I$25</f>
        <v>1.0804891600450962E-2</v>
      </c>
      <c r="D28" s="505">
        <f>(D25-$I$25)/$I$25</f>
        <v>1.8459480307909695E-2</v>
      </c>
      <c r="E28" s="506">
        <f>(E25-$I$25)/$I$25</f>
        <v>2.8395880871080095E-2</v>
      </c>
      <c r="F28" s="505"/>
      <c r="G28" s="226" t="s">
        <v>1142</v>
      </c>
      <c r="H28" s="505">
        <f>(H25-$I$25)/$I$25</f>
        <v>-3.1880633728742333E-3</v>
      </c>
      <c r="I28" s="506">
        <f>(I25-$I$25)/$I$25</f>
        <v>0</v>
      </c>
      <c r="J28" s="505">
        <f>(J25-$I$25)/$I$25</f>
        <v>6.457042059780013E-3</v>
      </c>
      <c r="K28" s="505"/>
      <c r="L28" s="226" t="s">
        <v>1142</v>
      </c>
      <c r="M28" s="506">
        <f>(M25-$I$25)/$I$25</f>
        <v>-2.164754368078381E-2</v>
      </c>
      <c r="N28" s="505">
        <f>(N25-$I$25)/$I$25</f>
        <v>-1.9511379390330097E-2</v>
      </c>
      <c r="O28" s="505">
        <f>(O25-$I$25)/$I$25</f>
        <v>-1.6976032883983919E-2</v>
      </c>
      <c r="V28" s="487" t="s">
        <v>1422</v>
      </c>
      <c r="W28" s="488" t="s">
        <v>1142</v>
      </c>
      <c r="X28" s="500">
        <f>E28+E28*0.1</f>
        <v>3.1235468958188104E-2</v>
      </c>
      <c r="Y28" s="500">
        <f>E28+E28*0.1</f>
        <v>3.1235468958188104E-2</v>
      </c>
    </row>
    <row r="29" spans="1:25" x14ac:dyDescent="0.45">
      <c r="A29" s="6"/>
      <c r="B29" s="226" t="s">
        <v>1423</v>
      </c>
      <c r="C29" s="2"/>
      <c r="D29" s="2"/>
      <c r="E29" s="283">
        <f>E25-H25</f>
        <v>0.46840000000000082</v>
      </c>
      <c r="F29" s="3"/>
      <c r="G29" s="3"/>
      <c r="H29" s="3"/>
      <c r="I29" s="3"/>
      <c r="J29" s="3"/>
      <c r="K29" s="3"/>
      <c r="L29" s="3"/>
      <c r="M29" s="234">
        <f>M25-J25</f>
        <v>-0.41679999999999851</v>
      </c>
      <c r="N29" s="3"/>
      <c r="O29" s="234"/>
      <c r="V29" s="488"/>
      <c r="W29" s="488" t="s">
        <v>0</v>
      </c>
      <c r="X29" s="490">
        <f>X21+X21*X28</f>
        <v>15.464690888498046</v>
      </c>
      <c r="Y29" s="490">
        <f>Y21+Y21*Y28</f>
        <v>15.464690888498046</v>
      </c>
    </row>
    <row r="30" spans="1:25" x14ac:dyDescent="0.45">
      <c r="A30" s="6"/>
      <c r="D30"/>
      <c r="E30"/>
      <c r="F30"/>
      <c r="G30"/>
      <c r="V30" s="488"/>
      <c r="W30" s="488" t="s">
        <v>1</v>
      </c>
      <c r="X30" s="491">
        <f>1/X29</f>
        <v>6.4663432797338091E-2</v>
      </c>
      <c r="Y30" s="491">
        <f>1/Y29</f>
        <v>6.4663432797338091E-2</v>
      </c>
    </row>
    <row r="31" spans="1:25" ht="17.5" thickBot="1" x14ac:dyDescent="0.5">
      <c r="A31" s="6"/>
      <c r="D31"/>
      <c r="E31"/>
      <c r="F31"/>
      <c r="G31"/>
      <c r="V31" s="488"/>
      <c r="W31" s="488"/>
      <c r="X31" s="488"/>
      <c r="Y31" s="488"/>
    </row>
    <row r="32" spans="1:25" ht="18" thickTop="1" thickBot="1" x14ac:dyDescent="0.5">
      <c r="A32" s="6"/>
      <c r="D32"/>
      <c r="E32"/>
      <c r="F32"/>
      <c r="G32"/>
      <c r="V32" s="507" t="s">
        <v>1424</v>
      </c>
      <c r="W32" s="508" t="s">
        <v>1425</v>
      </c>
      <c r="X32" s="509"/>
      <c r="Y32" s="510"/>
    </row>
    <row r="33" spans="1:25" ht="17.5" thickTop="1" x14ac:dyDescent="0.45">
      <c r="A33" s="6"/>
      <c r="D33"/>
      <c r="E33"/>
      <c r="F33"/>
      <c r="G33"/>
      <c r="V33" s="226" t="s">
        <v>1415</v>
      </c>
      <c r="W33" s="2" t="s">
        <v>0</v>
      </c>
      <c r="X33" s="283">
        <f>X24</f>
        <v>14.63917942531484</v>
      </c>
      <c r="Y33" s="283">
        <f>Y24</f>
        <v>14.63917942531484</v>
      </c>
    </row>
    <row r="34" spans="1:25" x14ac:dyDescent="0.45">
      <c r="A34" s="6"/>
      <c r="V34" s="226" t="s">
        <v>1112</v>
      </c>
      <c r="W34" s="2" t="s">
        <v>0</v>
      </c>
      <c r="X34" s="283">
        <f>X21</f>
        <v>14.996275199999999</v>
      </c>
      <c r="Y34" s="283">
        <f>Y21</f>
        <v>14.996275199999999</v>
      </c>
    </row>
    <row r="35" spans="1:25" x14ac:dyDescent="0.45">
      <c r="A35" s="6"/>
      <c r="V35" s="226" t="s">
        <v>1065</v>
      </c>
      <c r="W35" s="2" t="s">
        <v>0</v>
      </c>
      <c r="X35" s="283">
        <f>X29</f>
        <v>15.464690888498046</v>
      </c>
      <c r="Y35" s="283">
        <f>Y29</f>
        <v>15.464690888498046</v>
      </c>
    </row>
    <row r="36" spans="1:25" x14ac:dyDescent="0.45">
      <c r="A36" s="6"/>
    </row>
    <row r="37" spans="1:25" x14ac:dyDescent="0.45">
      <c r="A37" s="6"/>
    </row>
    <row r="38" spans="1:25" x14ac:dyDescent="0.45">
      <c r="A38" s="6"/>
    </row>
  </sheetData>
  <mergeCells count="8">
    <mergeCell ref="B2:E2"/>
    <mergeCell ref="F2:H2"/>
    <mergeCell ref="M2:N2"/>
    <mergeCell ref="Q2:S2"/>
    <mergeCell ref="B9:E9"/>
    <mergeCell ref="F9:H9"/>
    <mergeCell ref="M9:N9"/>
    <mergeCell ref="Q9:S9"/>
  </mergeCells>
  <phoneticPr fontId="2" type="noConversion"/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AB21-EA91-4164-9B9A-0ABDAD9957B9}">
  <dimension ref="B2:N75"/>
  <sheetViews>
    <sheetView showGridLines="0" zoomScaleNormal="100" workbookViewId="0">
      <selection activeCell="T71" sqref="T71"/>
    </sheetView>
  </sheetViews>
  <sheetFormatPr defaultRowHeight="17" x14ac:dyDescent="0.45"/>
  <cols>
    <col min="4" max="4" width="8.6640625" customWidth="1"/>
    <col min="23" max="23" width="3.1640625" bestFit="1" customWidth="1"/>
    <col min="24" max="27" width="5.1640625" bestFit="1" customWidth="1"/>
    <col min="28" max="28" width="15.1640625" bestFit="1" customWidth="1"/>
  </cols>
  <sheetData>
    <row r="2" spans="2:2" x14ac:dyDescent="0.45">
      <c r="B2" s="274" t="s">
        <v>1170</v>
      </c>
    </row>
    <row r="24" spans="4:5" x14ac:dyDescent="0.45">
      <c r="D24" t="s">
        <v>246</v>
      </c>
    </row>
    <row r="25" spans="4:5" x14ac:dyDescent="0.45">
      <c r="D25">
        <v>1</v>
      </c>
      <c r="E25" s="43" t="s">
        <v>1034</v>
      </c>
    </row>
    <row r="26" spans="4:5" x14ac:dyDescent="0.45">
      <c r="D26">
        <v>2</v>
      </c>
      <c r="E26" t="s">
        <v>249</v>
      </c>
    </row>
    <row r="27" spans="4:5" x14ac:dyDescent="0.45">
      <c r="D27">
        <v>3</v>
      </c>
      <c r="E27" t="s">
        <v>250</v>
      </c>
    </row>
    <row r="28" spans="4:5" x14ac:dyDescent="0.45">
      <c r="E28" t="s">
        <v>251</v>
      </c>
    </row>
    <row r="30" spans="4:5" x14ac:dyDescent="0.45">
      <c r="D30" t="s">
        <v>243</v>
      </c>
    </row>
    <row r="31" spans="4:5" x14ac:dyDescent="0.45">
      <c r="D31">
        <v>1</v>
      </c>
      <c r="E31" t="s">
        <v>247</v>
      </c>
    </row>
    <row r="32" spans="4:5" x14ac:dyDescent="0.45">
      <c r="E32" s="118" t="s">
        <v>1152</v>
      </c>
    </row>
    <row r="33" spans="2:14" x14ac:dyDescent="0.45">
      <c r="D33" s="1"/>
      <c r="E33" s="221" t="s">
        <v>1035</v>
      </c>
      <c r="F33" s="32"/>
      <c r="G33" s="32"/>
      <c r="H33" s="32"/>
      <c r="I33" s="32"/>
      <c r="J33" s="32"/>
      <c r="K33" s="32"/>
      <c r="L33" s="32"/>
      <c r="M33" s="32"/>
      <c r="N33" s="32"/>
    </row>
    <row r="34" spans="2:14" x14ac:dyDescent="0.45">
      <c r="D34">
        <v>2</v>
      </c>
      <c r="E34" t="s">
        <v>471</v>
      </c>
    </row>
    <row r="35" spans="2:14" x14ac:dyDescent="0.45">
      <c r="D35">
        <v>3</v>
      </c>
      <c r="E35" t="s">
        <v>248</v>
      </c>
    </row>
    <row r="37" spans="2:14" x14ac:dyDescent="0.45">
      <c r="B37" s="274" t="s">
        <v>1221</v>
      </c>
    </row>
    <row r="60" spans="3:11" ht="26" x14ac:dyDescent="0.45">
      <c r="C60" s="32" t="s">
        <v>1169</v>
      </c>
      <c r="D60" s="32"/>
      <c r="E60" s="273" t="s">
        <v>1174</v>
      </c>
    </row>
    <row r="61" spans="3:11" ht="26" x14ac:dyDescent="0.45">
      <c r="C61" s="32" t="s">
        <v>1171</v>
      </c>
      <c r="D61" s="32"/>
      <c r="E61" s="275" t="s">
        <v>1173</v>
      </c>
    </row>
    <row r="62" spans="3:11" x14ac:dyDescent="0.45">
      <c r="C62" s="32" t="s">
        <v>1160</v>
      </c>
      <c r="D62" s="32"/>
      <c r="E62" s="275" t="s">
        <v>1172</v>
      </c>
    </row>
    <row r="64" spans="3:11" x14ac:dyDescent="0.45">
      <c r="F64" s="284" t="s">
        <v>1159</v>
      </c>
      <c r="G64" s="284" t="s">
        <v>245</v>
      </c>
      <c r="H64" s="284" t="s">
        <v>244</v>
      </c>
      <c r="I64" s="284" t="s">
        <v>1161</v>
      </c>
      <c r="J64" s="284" t="s">
        <v>1160</v>
      </c>
      <c r="K64" s="284" t="s">
        <v>1167</v>
      </c>
    </row>
    <row r="65" spans="3:11" x14ac:dyDescent="0.45">
      <c r="F65" s="285" t="s">
        <v>1162</v>
      </c>
      <c r="G65" s="1" t="s">
        <v>1166</v>
      </c>
      <c r="H65" s="1" t="s">
        <v>1166</v>
      </c>
      <c r="I65" s="1" t="s">
        <v>1166</v>
      </c>
      <c r="J65" s="1" t="s">
        <v>1166</v>
      </c>
      <c r="K65" s="287" t="s">
        <v>1186</v>
      </c>
    </row>
    <row r="66" spans="3:11" x14ac:dyDescent="0.45">
      <c r="F66" s="285" t="s">
        <v>1163</v>
      </c>
      <c r="G66" s="1" t="s">
        <v>1166</v>
      </c>
      <c r="H66" s="1" t="s">
        <v>1166</v>
      </c>
      <c r="I66" s="286" t="s">
        <v>1168</v>
      </c>
      <c r="J66" s="286" t="s">
        <v>1168</v>
      </c>
      <c r="K66" s="1"/>
    </row>
    <row r="67" spans="3:11" x14ac:dyDescent="0.45">
      <c r="F67" s="285" t="s">
        <v>1164</v>
      </c>
      <c r="G67" s="286" t="s">
        <v>1168</v>
      </c>
      <c r="H67" s="286" t="s">
        <v>1168</v>
      </c>
      <c r="I67" s="1" t="s">
        <v>1166</v>
      </c>
      <c r="J67" s="1" t="s">
        <v>1166</v>
      </c>
      <c r="K67" s="1"/>
    </row>
    <row r="68" spans="3:11" x14ac:dyDescent="0.45">
      <c r="F68" s="285" t="s">
        <v>1165</v>
      </c>
      <c r="G68" s="1" t="s">
        <v>1166</v>
      </c>
      <c r="H68" s="286" t="s">
        <v>1168</v>
      </c>
      <c r="I68" s="286" t="s">
        <v>1168</v>
      </c>
      <c r="J68" s="1" t="s">
        <v>1166</v>
      </c>
      <c r="K68" s="1"/>
    </row>
    <row r="71" spans="3:11" x14ac:dyDescent="0.45">
      <c r="C71">
        <v>120</v>
      </c>
    </row>
    <row r="72" spans="3:11" x14ac:dyDescent="0.45">
      <c r="C72">
        <f>1/14.75</f>
        <v>6.7796610169491525E-2</v>
      </c>
    </row>
    <row r="73" spans="3:11" x14ac:dyDescent="0.45">
      <c r="C73">
        <f>C71*C72</f>
        <v>8.1355932203389827</v>
      </c>
    </row>
    <row r="74" spans="3:11" x14ac:dyDescent="0.45">
      <c r="C74">
        <v>0.04</v>
      </c>
    </row>
    <row r="75" spans="3:11" x14ac:dyDescent="0.45">
      <c r="C75">
        <f>C73/C74</f>
        <v>203.38983050847457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F65:F68" numberStoredAsText="1"/>
  </ignoredError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AAB8-26ED-43BC-B111-F2154D366221}">
  <sheetPr>
    <tabColor theme="1"/>
  </sheetPr>
  <dimension ref="A1:AL35"/>
  <sheetViews>
    <sheetView showGridLines="0" zoomScale="130" zoomScaleNormal="130" workbookViewId="0"/>
  </sheetViews>
  <sheetFormatPr defaultRowHeight="16.25" customHeight="1" x14ac:dyDescent="0.45"/>
  <cols>
    <col min="1" max="1" width="8.6640625" style="13"/>
    <col min="2" max="16" width="4.33203125" style="13" customWidth="1"/>
    <col min="17" max="20" width="8.58203125" customWidth="1"/>
    <col min="21" max="21" width="5.6640625" bestFit="1" customWidth="1"/>
    <col min="22" max="25" width="4.33203125" customWidth="1"/>
    <col min="26" max="26" width="4.33203125" style="1" customWidth="1"/>
    <col min="27" max="34" width="4.33203125" customWidth="1"/>
    <col min="35" max="35" width="5" bestFit="1" customWidth="1"/>
    <col min="36" max="37" width="4.33203125" customWidth="1"/>
  </cols>
  <sheetData>
    <row r="1" spans="1:38" ht="16.25" customHeight="1" x14ac:dyDescent="0.45"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38" ht="14.75" customHeight="1" x14ac:dyDescent="0.45"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8" ht="14.75" customHeight="1" thickBot="1" x14ac:dyDescent="0.5"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spans="1:38" ht="14.75" customHeight="1" x14ac:dyDescent="0.45">
      <c r="B4" s="20"/>
      <c r="C4" s="21"/>
      <c r="D4" s="27" t="s">
        <v>14</v>
      </c>
      <c r="E4" s="21"/>
      <c r="F4" s="27" t="s">
        <v>14</v>
      </c>
      <c r="G4" s="21"/>
      <c r="H4" s="27" t="s">
        <v>14</v>
      </c>
      <c r="I4" s="21"/>
      <c r="J4" s="27" t="s">
        <v>14</v>
      </c>
      <c r="K4" s="21"/>
      <c r="L4" s="27" t="s">
        <v>14</v>
      </c>
      <c r="M4" s="21"/>
      <c r="N4" s="27" t="s">
        <v>14</v>
      </c>
      <c r="O4" s="21"/>
      <c r="P4" s="23"/>
      <c r="U4" s="20"/>
      <c r="V4" s="21"/>
      <c r="W4" s="27" t="s">
        <v>14</v>
      </c>
      <c r="X4" s="21"/>
      <c r="Y4" s="27" t="s">
        <v>14</v>
      </c>
      <c r="Z4" s="21"/>
      <c r="AA4" s="22" t="s">
        <v>18</v>
      </c>
      <c r="AB4" s="21"/>
      <c r="AC4" s="22" t="s">
        <v>18</v>
      </c>
      <c r="AD4" s="21"/>
      <c r="AE4" s="27" t="s">
        <v>14</v>
      </c>
      <c r="AF4" s="21"/>
      <c r="AG4" s="27" t="s">
        <v>14</v>
      </c>
      <c r="AH4" s="21"/>
      <c r="AI4" s="23"/>
    </row>
    <row r="5" spans="1:38" ht="14.75" customHeight="1" thickBot="1" x14ac:dyDescent="0.5">
      <c r="B5" s="24"/>
      <c r="D5" s="25">
        <v>1</v>
      </c>
      <c r="F5" s="25">
        <v>3</v>
      </c>
      <c r="H5" s="25">
        <v>5</v>
      </c>
      <c r="J5" s="25">
        <v>7</v>
      </c>
      <c r="L5" s="25">
        <v>9</v>
      </c>
      <c r="N5" s="25">
        <v>11</v>
      </c>
      <c r="P5" s="26"/>
      <c r="U5" s="24"/>
      <c r="V5" s="13"/>
      <c r="W5" s="25">
        <v>1</v>
      </c>
      <c r="X5" s="13"/>
      <c r="Y5" s="25">
        <v>1</v>
      </c>
      <c r="Z5" s="13"/>
      <c r="AA5" s="25"/>
      <c r="AB5" s="13"/>
      <c r="AC5" s="25"/>
      <c r="AD5" s="13"/>
      <c r="AE5" s="25">
        <v>3</v>
      </c>
      <c r="AF5" s="13"/>
      <c r="AG5" s="25">
        <v>3</v>
      </c>
      <c r="AH5" s="13"/>
      <c r="AI5" s="26"/>
    </row>
    <row r="6" spans="1:38" ht="14.75" customHeight="1" x14ac:dyDescent="0.45">
      <c r="B6" s="24"/>
      <c r="D6" s="13">
        <v>24</v>
      </c>
      <c r="F6" s="13">
        <v>23</v>
      </c>
      <c r="H6" s="13">
        <v>22</v>
      </c>
      <c r="J6" s="13">
        <v>21</v>
      </c>
      <c r="L6" s="13">
        <v>20</v>
      </c>
      <c r="N6" s="13">
        <v>19</v>
      </c>
      <c r="P6" s="26"/>
      <c r="U6" s="24"/>
      <c r="V6" s="13"/>
      <c r="W6" s="13">
        <v>24</v>
      </c>
      <c r="X6" s="13"/>
      <c r="Y6" s="13">
        <v>23</v>
      </c>
      <c r="Z6" s="13"/>
      <c r="AA6" s="13">
        <v>22</v>
      </c>
      <c r="AB6" s="13"/>
      <c r="AC6" s="13">
        <v>21</v>
      </c>
      <c r="AD6" s="13"/>
      <c r="AE6" s="13">
        <v>20</v>
      </c>
      <c r="AF6" s="13"/>
      <c r="AG6" s="13">
        <v>19</v>
      </c>
      <c r="AH6" s="13"/>
      <c r="AI6" s="26"/>
      <c r="AL6" s="19"/>
    </row>
    <row r="7" spans="1:38" ht="14.75" customHeight="1" thickBot="1" x14ac:dyDescent="0.5">
      <c r="B7" s="24"/>
      <c r="P7" s="26"/>
      <c r="U7" s="24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26"/>
      <c r="AL7" s="19"/>
    </row>
    <row r="8" spans="1:38" s="1" customFormat="1" ht="14.75" customHeight="1" x14ac:dyDescent="0.45">
      <c r="A8" s="13"/>
      <c r="B8" s="27" t="s">
        <v>15</v>
      </c>
      <c r="C8" s="13">
        <v>1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>
        <v>18</v>
      </c>
      <c r="P8" s="27" t="s">
        <v>15</v>
      </c>
      <c r="Q8"/>
      <c r="R8"/>
      <c r="S8"/>
      <c r="T8"/>
      <c r="U8" s="27" t="s">
        <v>15</v>
      </c>
      <c r="V8" s="13">
        <v>1</v>
      </c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>
        <v>18</v>
      </c>
      <c r="AI8" s="27" t="s">
        <v>15</v>
      </c>
      <c r="AJ8"/>
      <c r="AK8"/>
      <c r="AL8" s="19"/>
    </row>
    <row r="9" spans="1:38" s="1" customFormat="1" ht="14.75" customHeight="1" thickBot="1" x14ac:dyDescent="0.5">
      <c r="A9" s="13"/>
      <c r="B9" s="25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25"/>
      <c r="Q9"/>
      <c r="R9"/>
      <c r="S9"/>
      <c r="T9"/>
      <c r="U9" s="25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5"/>
      <c r="AJ9"/>
      <c r="AK9"/>
      <c r="AL9" s="19"/>
    </row>
    <row r="10" spans="1:38" s="1" customFormat="1" ht="14.75" customHeight="1" x14ac:dyDescent="0.45">
      <c r="A10" s="13"/>
      <c r="B10" s="2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26"/>
      <c r="Q10"/>
      <c r="R10"/>
      <c r="S10"/>
      <c r="T10"/>
      <c r="U10" s="24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6"/>
      <c r="AJ10"/>
      <c r="AK10"/>
      <c r="AL10" s="19"/>
    </row>
    <row r="11" spans="1:38" s="1" customFormat="1" ht="14.75" customHeight="1" thickBot="1" x14ac:dyDescent="0.5">
      <c r="A11" s="13"/>
      <c r="B11" s="2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26"/>
      <c r="Q11"/>
      <c r="R11"/>
      <c r="S11"/>
      <c r="T11"/>
      <c r="U11" s="24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26"/>
      <c r="AJ11"/>
      <c r="AK11"/>
      <c r="AL11" s="19"/>
    </row>
    <row r="12" spans="1:38" s="1" customFormat="1" ht="14.75" customHeight="1" x14ac:dyDescent="0.45">
      <c r="A12" s="13"/>
      <c r="B12" s="27" t="s">
        <v>18</v>
      </c>
      <c r="C12" s="13">
        <v>2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>
        <v>17</v>
      </c>
      <c r="P12" s="27" t="s">
        <v>15</v>
      </c>
      <c r="Q12"/>
      <c r="R12"/>
      <c r="S12"/>
      <c r="T12"/>
      <c r="U12" s="27" t="s">
        <v>18</v>
      </c>
      <c r="V12" s="13">
        <v>2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>
        <v>17</v>
      </c>
      <c r="AI12" s="27" t="s">
        <v>15</v>
      </c>
      <c r="AJ12"/>
      <c r="AK12"/>
      <c r="AL12" s="19"/>
    </row>
    <row r="13" spans="1:38" s="1" customFormat="1" ht="14.75" customHeight="1" thickBot="1" x14ac:dyDescent="0.5">
      <c r="A13" s="13"/>
      <c r="B13" s="2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25"/>
      <c r="Q13"/>
      <c r="R13"/>
      <c r="S13"/>
      <c r="T13"/>
      <c r="U13" s="25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25"/>
      <c r="AJ13"/>
      <c r="AK13"/>
      <c r="AL13" s="19"/>
    </row>
    <row r="14" spans="1:38" s="1" customFormat="1" ht="14.75" customHeight="1" x14ac:dyDescent="0.45">
      <c r="A14" s="13"/>
      <c r="B14" s="2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26"/>
      <c r="Q14"/>
      <c r="R14"/>
      <c r="S14"/>
      <c r="T14"/>
      <c r="U14" s="24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6"/>
      <c r="AJ14"/>
      <c r="AK14"/>
      <c r="AL14" s="19"/>
    </row>
    <row r="15" spans="1:38" s="1" customFormat="1" ht="14.75" customHeight="1" thickBot="1" x14ac:dyDescent="0.5">
      <c r="A15" s="13"/>
      <c r="B15" s="2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26"/>
      <c r="Q15"/>
      <c r="R15"/>
      <c r="S15"/>
      <c r="T15"/>
      <c r="U15" s="24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26"/>
      <c r="AJ15"/>
      <c r="AK15"/>
      <c r="AL15" s="19"/>
    </row>
    <row r="16" spans="1:38" s="1" customFormat="1" ht="14.75" customHeight="1" x14ac:dyDescent="0.45">
      <c r="A16" s="13"/>
      <c r="B16" s="27" t="s">
        <v>18</v>
      </c>
      <c r="C16" s="13">
        <v>3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>
        <v>16</v>
      </c>
      <c r="P16" s="27" t="s">
        <v>18</v>
      </c>
      <c r="Q16"/>
      <c r="R16"/>
      <c r="S16"/>
      <c r="T16"/>
      <c r="U16" s="27" t="s">
        <v>18</v>
      </c>
      <c r="V16" s="13">
        <v>3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>
        <v>16</v>
      </c>
      <c r="AI16" s="27" t="s">
        <v>18</v>
      </c>
      <c r="AJ16"/>
      <c r="AK16"/>
      <c r="AL16" s="19"/>
    </row>
    <row r="17" spans="1:38" s="1" customFormat="1" ht="14.75" customHeight="1" thickBot="1" x14ac:dyDescent="0.5">
      <c r="A17" s="13"/>
      <c r="B17" s="25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25"/>
      <c r="Q17"/>
      <c r="R17"/>
      <c r="S17"/>
      <c r="T17"/>
      <c r="U17" s="25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25"/>
      <c r="AJ17"/>
      <c r="AK17"/>
      <c r="AL17" s="19"/>
    </row>
    <row r="18" spans="1:38" s="1" customFormat="1" ht="14.75" customHeight="1" x14ac:dyDescent="0.45">
      <c r="A18" s="13"/>
      <c r="B18" s="2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26"/>
      <c r="Q18"/>
      <c r="R18"/>
      <c r="S18"/>
      <c r="T18"/>
      <c r="U18" s="24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6"/>
      <c r="AJ18"/>
      <c r="AK18"/>
      <c r="AL18" s="19"/>
    </row>
    <row r="19" spans="1:38" s="1" customFormat="1" ht="14.75" customHeight="1" thickBot="1" x14ac:dyDescent="0.5">
      <c r="A19" s="13"/>
      <c r="B19" s="2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26"/>
      <c r="Q19"/>
      <c r="R19"/>
      <c r="S19"/>
      <c r="T19"/>
      <c r="U19" s="24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26"/>
      <c r="AJ19"/>
      <c r="AK19"/>
      <c r="AL19"/>
    </row>
    <row r="20" spans="1:38" s="1" customFormat="1" ht="14.75" customHeight="1" x14ac:dyDescent="0.45">
      <c r="A20" s="13"/>
      <c r="B20" s="27" t="s">
        <v>18</v>
      </c>
      <c r="C20" s="13">
        <v>4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>
        <v>15</v>
      </c>
      <c r="P20" s="27" t="s">
        <v>18</v>
      </c>
      <c r="Q20"/>
      <c r="R20"/>
      <c r="S20"/>
      <c r="T20"/>
      <c r="U20" s="27" t="s">
        <v>18</v>
      </c>
      <c r="V20" s="13">
        <v>4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>
        <v>15</v>
      </c>
      <c r="AI20" s="27" t="s">
        <v>18</v>
      </c>
      <c r="AJ20"/>
      <c r="AK20"/>
      <c r="AL20"/>
    </row>
    <row r="21" spans="1:38" s="1" customFormat="1" ht="14.75" customHeight="1" thickBot="1" x14ac:dyDescent="0.5">
      <c r="A21" s="13"/>
      <c r="B21" s="31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31"/>
      <c r="Q21"/>
      <c r="R21"/>
      <c r="S21"/>
      <c r="T21"/>
      <c r="U21" s="31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31"/>
      <c r="AJ21"/>
      <c r="AK21"/>
      <c r="AL21"/>
    </row>
    <row r="22" spans="1:38" s="1" customFormat="1" ht="14.75" customHeight="1" x14ac:dyDescent="0.45">
      <c r="A22" s="13"/>
      <c r="B22" s="2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26"/>
      <c r="Q22"/>
      <c r="R22"/>
      <c r="S22"/>
      <c r="T22"/>
      <c r="U22" s="24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6"/>
      <c r="AJ22"/>
      <c r="AK22"/>
      <c r="AL22"/>
    </row>
    <row r="23" spans="1:38" s="1" customFormat="1" ht="14.75" customHeight="1" thickBot="1" x14ac:dyDescent="0.5">
      <c r="A23" s="13"/>
      <c r="B23" s="2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26"/>
      <c r="Q23"/>
      <c r="R23"/>
      <c r="S23"/>
      <c r="T23"/>
      <c r="U23" s="24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26"/>
      <c r="AJ23"/>
      <c r="AK23"/>
      <c r="AL23"/>
    </row>
    <row r="24" spans="1:38" ht="14.75" customHeight="1" x14ac:dyDescent="0.45">
      <c r="B24" s="282" t="s">
        <v>244</v>
      </c>
      <c r="C24" s="13">
        <v>5</v>
      </c>
      <c r="O24" s="13">
        <v>14</v>
      </c>
      <c r="P24" s="281" t="s">
        <v>245</v>
      </c>
      <c r="U24" s="282" t="s">
        <v>244</v>
      </c>
      <c r="V24" s="13">
        <v>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>
        <v>14</v>
      </c>
      <c r="AI24" s="282" t="s">
        <v>1161</v>
      </c>
    </row>
    <row r="25" spans="1:38" ht="14.75" customHeight="1" x14ac:dyDescent="0.45">
      <c r="B25" s="280" t="s">
        <v>1161</v>
      </c>
      <c r="P25" s="279" t="s">
        <v>1160</v>
      </c>
      <c r="U25" s="276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277"/>
    </row>
    <row r="26" spans="1:38" ht="14.75" customHeight="1" thickBot="1" x14ac:dyDescent="0.5">
      <c r="B26" s="278" t="s">
        <v>244</v>
      </c>
      <c r="P26" s="278" t="s">
        <v>1161</v>
      </c>
      <c r="U26" s="31" t="s">
        <v>18</v>
      </c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31" t="s">
        <v>18</v>
      </c>
    </row>
    <row r="27" spans="1:38" ht="14.75" customHeight="1" x14ac:dyDescent="0.45">
      <c r="B27" s="24"/>
      <c r="P27" s="26"/>
      <c r="U27" s="24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26"/>
    </row>
    <row r="28" spans="1:38" ht="14.75" customHeight="1" thickBot="1" x14ac:dyDescent="0.5">
      <c r="B28" s="24"/>
      <c r="P28" s="26"/>
      <c r="U28" s="24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6"/>
    </row>
    <row r="29" spans="1:38" ht="14.75" customHeight="1" x14ac:dyDescent="0.45">
      <c r="B29" s="27" t="s">
        <v>16</v>
      </c>
      <c r="C29" s="13">
        <v>6</v>
      </c>
      <c r="O29" s="13">
        <v>13</v>
      </c>
      <c r="P29" s="27" t="s">
        <v>17</v>
      </c>
      <c r="U29" s="27" t="s">
        <v>16</v>
      </c>
      <c r="V29" s="13">
        <v>6</v>
      </c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>
        <v>13</v>
      </c>
      <c r="AI29" s="27" t="s">
        <v>17</v>
      </c>
    </row>
    <row r="30" spans="1:38" ht="14.75" customHeight="1" thickBot="1" x14ac:dyDescent="0.5">
      <c r="B30" s="25"/>
      <c r="P30" s="25"/>
      <c r="U30" s="25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5"/>
    </row>
    <row r="31" spans="1:38" ht="14.75" customHeight="1" x14ac:dyDescent="0.45">
      <c r="B31" s="24"/>
      <c r="P31" s="26"/>
      <c r="U31" s="24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26"/>
    </row>
    <row r="32" spans="1:38" ht="14.75" customHeight="1" thickBot="1" x14ac:dyDescent="0.5">
      <c r="B32" s="24"/>
      <c r="D32" s="13">
        <v>7</v>
      </c>
      <c r="F32" s="13">
        <v>8</v>
      </c>
      <c r="H32" s="13">
        <v>9</v>
      </c>
      <c r="J32" s="13">
        <v>10</v>
      </c>
      <c r="L32" s="13">
        <v>11</v>
      </c>
      <c r="N32" s="13">
        <v>12</v>
      </c>
      <c r="P32" s="26"/>
      <c r="U32" s="24"/>
      <c r="V32" s="13"/>
      <c r="W32" s="13">
        <v>7</v>
      </c>
      <c r="X32" s="13"/>
      <c r="Y32" s="13">
        <v>8</v>
      </c>
      <c r="Z32" s="13"/>
      <c r="AA32" s="13">
        <v>9</v>
      </c>
      <c r="AB32" s="13"/>
      <c r="AC32" s="13">
        <v>10</v>
      </c>
      <c r="AD32" s="13"/>
      <c r="AE32" s="13">
        <v>11</v>
      </c>
      <c r="AF32" s="13"/>
      <c r="AG32" s="13">
        <v>12</v>
      </c>
      <c r="AH32" s="13"/>
      <c r="AI32" s="26"/>
    </row>
    <row r="33" spans="2:35" ht="14.75" customHeight="1" x14ac:dyDescent="0.45">
      <c r="B33" s="24"/>
      <c r="D33" s="27" t="s">
        <v>14</v>
      </c>
      <c r="F33" s="27" t="s">
        <v>14</v>
      </c>
      <c r="H33" s="27" t="s">
        <v>14</v>
      </c>
      <c r="J33" s="27" t="s">
        <v>14</v>
      </c>
      <c r="L33" s="27" t="s">
        <v>14</v>
      </c>
      <c r="N33" s="27" t="s">
        <v>14</v>
      </c>
      <c r="P33" s="26"/>
      <c r="U33" s="24"/>
      <c r="V33" s="13"/>
      <c r="W33" s="27" t="s">
        <v>14</v>
      </c>
      <c r="X33" s="13"/>
      <c r="Y33" s="27" t="s">
        <v>14</v>
      </c>
      <c r="Z33" s="13"/>
      <c r="AA33" s="27"/>
      <c r="AB33" s="13"/>
      <c r="AC33" s="27"/>
      <c r="AD33" s="13"/>
      <c r="AE33" s="27" t="s">
        <v>14</v>
      </c>
      <c r="AF33" s="13"/>
      <c r="AG33" s="27" t="s">
        <v>14</v>
      </c>
      <c r="AH33" s="13"/>
      <c r="AI33" s="26"/>
    </row>
    <row r="34" spans="2:35" ht="14.75" customHeight="1" thickBot="1" x14ac:dyDescent="0.5">
      <c r="B34" s="28"/>
      <c r="C34" s="29"/>
      <c r="D34" s="25">
        <v>2</v>
      </c>
      <c r="E34" s="29"/>
      <c r="F34" s="25">
        <v>4</v>
      </c>
      <c r="G34" s="29"/>
      <c r="H34" s="25">
        <v>6</v>
      </c>
      <c r="I34" s="29"/>
      <c r="J34" s="25">
        <v>8</v>
      </c>
      <c r="K34" s="29"/>
      <c r="L34" s="25">
        <v>10</v>
      </c>
      <c r="M34" s="29"/>
      <c r="N34" s="25">
        <v>12</v>
      </c>
      <c r="O34" s="29"/>
      <c r="P34" s="30"/>
      <c r="U34" s="28"/>
      <c r="V34" s="29"/>
      <c r="W34" s="25">
        <v>2</v>
      </c>
      <c r="X34" s="29"/>
      <c r="Y34" s="25">
        <v>2</v>
      </c>
      <c r="Z34" s="29"/>
      <c r="AA34" s="25" t="s">
        <v>18</v>
      </c>
      <c r="AB34" s="29"/>
      <c r="AC34" s="25" t="s">
        <v>18</v>
      </c>
      <c r="AD34" s="29"/>
      <c r="AE34" s="25">
        <v>4</v>
      </c>
      <c r="AF34" s="29"/>
      <c r="AG34" s="25">
        <v>4</v>
      </c>
      <c r="AH34" s="29"/>
      <c r="AI34" s="30"/>
    </row>
    <row r="35" spans="2:35" ht="14.75" customHeight="1" x14ac:dyDescent="0.45"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spi_protocol</vt:lpstr>
      <vt:lpstr>serial_protocol</vt:lpstr>
      <vt:lpstr>ld_transfer_thruput</vt:lpstr>
      <vt:lpstr>ld_transfer_thruput (2)</vt:lpstr>
      <vt:lpstr>qn90f_spec_summary (2)</vt:lpstr>
      <vt:lpstr>mclk_variable</vt:lpstr>
      <vt:lpstr>mclk_pwm</vt:lpstr>
      <vt:lpstr>mclk_transition1</vt:lpstr>
      <vt:lpstr>mclk_transition2</vt:lpstr>
      <vt:lpstr>mclk_transition3</vt:lpstr>
      <vt:lpstr>dac_vled_mapping</vt:lpstr>
      <vt:lpstr>dac_fomula</vt:lpstr>
      <vt:lpstr>fb_control SW@hw</vt:lpstr>
      <vt:lpstr>fb_control HW</vt:lpstr>
      <vt:lpstr>fbi_fbo</vt:lpstr>
      <vt:lpstr>fb_control HW_final</vt:lpstr>
      <vt:lpstr>fb_control HW_final (2)</vt:lpstr>
      <vt:lpstr>xc(mp)_reg</vt:lpstr>
      <vt:lpstr>xd12_pwm(mp)_reg</vt:lpstr>
      <vt:lpstr>Sheet1</vt:lpstr>
      <vt:lpstr>xd04_pwm(mp)_reg</vt:lpstr>
      <vt:lpstr>xd_bfi(es2)_reg</vt:lpstr>
      <vt:lpstr>xd_bfi(es2)_ld</vt:lpstr>
      <vt:lpstr>xd_bfi(es2)_mclk</vt:lpstr>
      <vt:lpstr>ext_vs&amp;fb</vt:lpstr>
      <vt:lpstr>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진수</dc:creator>
  <cp:lastModifiedBy>이 준영</cp:lastModifiedBy>
  <cp:lastPrinted>2025-02-19T04:50:07Z</cp:lastPrinted>
  <dcterms:created xsi:type="dcterms:W3CDTF">2024-08-08T02:03:23Z</dcterms:created>
  <dcterms:modified xsi:type="dcterms:W3CDTF">2025-04-24T01:44:33Z</dcterms:modified>
</cp:coreProperties>
</file>