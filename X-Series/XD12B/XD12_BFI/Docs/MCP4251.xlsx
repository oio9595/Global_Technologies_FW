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XD12_JIG\XD12_JIG_ES1\Docs\"/>
    </mc:Choice>
  </mc:AlternateContent>
  <xr:revisionPtr revIDLastSave="0" documentId="13_ncr:1_{666BEEC1-703C-4ABF-829D-4B03B6DD7EF2}" xr6:coauthVersionLast="47" xr6:coauthVersionMax="47" xr10:uidLastSave="{00000000-0000-0000-0000-000000000000}"/>
  <bookViews>
    <workbookView xWindow="28680" yWindow="-120" windowWidth="29040" windowHeight="15720" xr2:uid="{11FFDA7F-9C68-49B0-9D76-D5DA7C94FBB9}"/>
  </bookViews>
  <sheets>
    <sheet name="New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N27" i="2" l="1"/>
  <c r="O27" i="2" s="1"/>
  <c r="P27" i="2" s="1"/>
  <c r="N26" i="2"/>
  <c r="O26" i="2" s="1"/>
  <c r="P26" i="2" s="1"/>
  <c r="N25" i="2"/>
  <c r="O25" i="2" s="1"/>
  <c r="P25" i="2" s="1"/>
  <c r="N24" i="2"/>
  <c r="O24" i="2" s="1"/>
  <c r="P24" i="2" s="1"/>
  <c r="N23" i="2"/>
  <c r="O23" i="2" s="1"/>
  <c r="P23" i="2" s="1"/>
  <c r="N22" i="2"/>
  <c r="O22" i="2" s="1"/>
  <c r="P22" i="2" s="1"/>
  <c r="N21" i="2"/>
  <c r="O21" i="2" s="1"/>
  <c r="P21" i="2" s="1"/>
  <c r="N20" i="2"/>
  <c r="O20" i="2" s="1"/>
  <c r="P20" i="2" s="1"/>
  <c r="N19" i="2"/>
  <c r="O19" i="2" s="1"/>
  <c r="P19" i="2" s="1"/>
  <c r="N18" i="2"/>
  <c r="O18" i="2" s="1"/>
  <c r="P18" i="2" s="1"/>
  <c r="N17" i="2"/>
  <c r="O17" i="2" s="1"/>
  <c r="P17" i="2" s="1"/>
  <c r="N16" i="2"/>
  <c r="O16" i="2" s="1"/>
  <c r="P16" i="2" s="1"/>
  <c r="N15" i="2"/>
  <c r="O15" i="2" s="1"/>
  <c r="P15" i="2" s="1"/>
  <c r="N14" i="2"/>
  <c r="O14" i="2" s="1"/>
  <c r="P14" i="2" s="1"/>
  <c r="N13" i="2"/>
  <c r="O13" i="2" s="1"/>
  <c r="P13" i="2" s="1"/>
  <c r="N12" i="2"/>
  <c r="O12" i="2" s="1"/>
  <c r="P12" i="2" s="1"/>
  <c r="N11" i="2"/>
  <c r="O11" i="2" s="1"/>
  <c r="P11" i="2" s="1"/>
  <c r="N10" i="2"/>
  <c r="O10" i="2" s="1"/>
  <c r="P10" i="2" s="1"/>
  <c r="N9" i="2"/>
  <c r="O9" i="2" s="1"/>
  <c r="P9" i="2" s="1"/>
  <c r="N8" i="2"/>
  <c r="O8" i="2" s="1"/>
  <c r="P8" i="2" s="1"/>
  <c r="O7" i="2"/>
  <c r="P7" i="2" s="1"/>
  <c r="N7" i="2"/>
  <c r="N6" i="2"/>
  <c r="O6" i="2" s="1"/>
  <c r="P6" i="2" s="1"/>
  <c r="N5" i="2"/>
  <c r="O5" i="2" s="1"/>
  <c r="P5" i="2" s="1"/>
  <c r="N4" i="2"/>
  <c r="O4" i="2" s="1"/>
  <c r="P4" i="2" s="1"/>
  <c r="I5" i="2"/>
  <c r="J5" i="2" s="1"/>
  <c r="K5" i="2" s="1"/>
  <c r="I6" i="2"/>
  <c r="J6" i="2" s="1"/>
  <c r="K6" i="2" s="1"/>
  <c r="I7" i="2"/>
  <c r="J7" i="2"/>
  <c r="K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/>
  <c r="K12" i="2" s="1"/>
  <c r="I13" i="2"/>
  <c r="J13" i="2" s="1"/>
  <c r="K13" i="2" s="1"/>
  <c r="I14" i="2"/>
  <c r="J14" i="2" s="1"/>
  <c r="K14" i="2" s="1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J23" i="2" s="1"/>
  <c r="K23" i="2" s="1"/>
  <c r="I24" i="2"/>
  <c r="J24" i="2" s="1"/>
  <c r="K24" i="2" s="1"/>
  <c r="I25" i="2"/>
  <c r="J25" i="2" s="1"/>
  <c r="K25" i="2" s="1"/>
  <c r="I26" i="2"/>
  <c r="J26" i="2" s="1"/>
  <c r="K26" i="2" s="1"/>
  <c r="I27" i="2"/>
  <c r="J27" i="2" s="1"/>
  <c r="K27" i="2" s="1"/>
  <c r="J4" i="2"/>
  <c r="K4" i="2" s="1"/>
  <c r="I4" i="2"/>
  <c r="D8" i="2" l="1"/>
  <c r="E8" i="2" s="1"/>
  <c r="F8" i="2" s="1"/>
  <c r="F7" i="2" l="1"/>
</calcChain>
</file>

<file path=xl/sharedStrings.xml><?xml version="1.0" encoding="utf-8"?>
<sst xmlns="http://schemas.openxmlformats.org/spreadsheetml/2006/main" count="23" uniqueCount="15">
  <si>
    <t>resolution</t>
    <phoneticPr fontId="1" type="noConversion"/>
  </si>
  <si>
    <t>MCP4251</t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</si>
  <si>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AB</t>
    </r>
    <phoneticPr fontId="1" type="noConversion"/>
  </si>
  <si>
    <t>Data</t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</si>
  <si>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W</t>
    </r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</si>
  <si>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WB</t>
    </r>
    <phoneticPr fontId="1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</si>
  <si>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WB</t>
    </r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</si>
  <si>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ref</t>
    </r>
    <phoneticPr fontId="1" type="noConversion"/>
  </si>
  <si>
    <t>Item</t>
    <phoneticPr fontId="1" type="noConversion"/>
  </si>
  <si>
    <t>FB</t>
    <phoneticPr fontId="1" type="noConversion"/>
  </si>
  <si>
    <t>Short</t>
    <phoneticPr fontId="1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</si>
  <si>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ref</t>
    </r>
    <phoneticPr fontId="1" type="noConversion"/>
  </si>
  <si>
    <t>VLED</t>
    <phoneticPr fontId="1" type="noConversion"/>
  </si>
  <si>
    <t>VLED_FB</t>
    <phoneticPr fontId="1" type="noConversion"/>
  </si>
  <si>
    <t>VLED_Short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</si>
</sst>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7" formatCode="0.000&quot;V&quot;"/>
    <numFmt numFmtId="181" formatCode="0.000&quot;uA&quot;"/>
    <numFmt numFmtId="186" formatCode="0.00&quot;mV&quot;"/>
    <numFmt numFmtId="189" formatCode="0.000&quot;uV&quot;"/>
    <numFmt numFmtId="194" formatCode="0&quot;kΩ&quot;"/>
    <numFmt numFmtId="197" formatCode="0.000&quot;kΩ&quot;"/>
    <numFmt numFmtId="198" formatCode="0.00&quot;V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94" fontId="0" fillId="0" borderId="0" xfId="0" applyNumberFormat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198" fontId="0" fillId="0" borderId="0" xfId="0" applyNumberFormat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B2:P73"/>
  <sheetViews>
    <sheetView tabSelected="1" zoomScale="85" zoomScaleNormal="85" workbookViewId="0"/>
  </sheetViews>
  <sheetFormatPr defaultRowHeight="16.5" x14ac:dyDescent="0.3"/>
  <cols>
    <col min="1" max="1" width="2.625" style="1" customWidth="1"/>
    <col min="2" max="6" width="9.625" style="1" customWidth="1"/>
    <col min="7" max="7" width="2.625" style="1" customWidth="1"/>
    <col min="8" max="8" width="6.125" style="1" bestFit="1" customWidth="1"/>
    <col min="9" max="9" width="9.5" style="1" bestFit="1" customWidth="1"/>
    <col min="10" max="10" width="6.5" style="1" bestFit="1" customWidth="1"/>
    <col min="11" max="11" width="7.5" style="1" bestFit="1" customWidth="1"/>
    <col min="12" max="12" width="2.625" style="1" customWidth="1"/>
    <col min="13" max="13" width="6.125" style="1" bestFit="1" customWidth="1"/>
    <col min="14" max="14" width="9.5" style="1" bestFit="1" customWidth="1"/>
    <col min="15" max="15" width="6.5" style="1" bestFit="1" customWidth="1"/>
    <col min="16" max="16" width="8.5" style="1" bestFit="1" customWidth="1"/>
    <col min="17" max="17" width="6.875" style="1" customWidth="1"/>
    <col min="18" max="18" width="2.625" style="1" customWidth="1"/>
    <col min="19" max="19" width="6.125" style="1" bestFit="1" customWidth="1"/>
    <col min="20" max="20" width="10.625" style="1" bestFit="1" customWidth="1"/>
    <col min="21" max="21" width="12.875" style="1" bestFit="1" customWidth="1"/>
    <col min="22" max="22" width="11.25" style="1" bestFit="1" customWidth="1"/>
    <col min="23" max="23" width="6.875" style="1" bestFit="1" customWidth="1"/>
    <col min="24" max="16384" width="9" style="1"/>
  </cols>
  <sheetData>
    <row r="2" spans="2:16" x14ac:dyDescent="0.3">
      <c r="B2" s="8" t="s">
        <v>1</v>
      </c>
      <c r="C2" s="8"/>
      <c r="D2" s="8"/>
      <c r="E2" s="8"/>
      <c r="F2" s="8"/>
      <c r="H2" s="8" t="s">
        <v>13</v>
      </c>
      <c r="I2" s="8"/>
      <c r="J2" s="8"/>
      <c r="K2" s="8"/>
      <c r="M2" s="8" t="s">
        <v>14</v>
      </c>
      <c r="N2" s="8"/>
      <c r="O2" s="8"/>
      <c r="P2" s="8"/>
    </row>
    <row r="3" spans="2:16" ht="18" x14ac:dyDescent="0.3">
      <c r="B3" s="3" t="s">
        <v>11</v>
      </c>
      <c r="C3" s="3" t="s">
        <v>7</v>
      </c>
      <c r="D3" s="3" t="s">
        <v>2</v>
      </c>
      <c r="E3" s="3" t="s">
        <v>4</v>
      </c>
      <c r="F3" s="3" t="s">
        <v>0</v>
      </c>
      <c r="H3" s="3" t="s">
        <v>3</v>
      </c>
      <c r="I3" s="3" t="s">
        <v>5</v>
      </c>
      <c r="J3" s="3" t="s">
        <v>6</v>
      </c>
      <c r="K3" s="3" t="s">
        <v>12</v>
      </c>
      <c r="M3" s="3" t="s">
        <v>3</v>
      </c>
      <c r="N3" s="3" t="s">
        <v>5</v>
      </c>
      <c r="O3" s="3" t="s">
        <v>6</v>
      </c>
      <c r="P3" s="3" t="s">
        <v>12</v>
      </c>
    </row>
    <row r="4" spans="2:16" x14ac:dyDescent="0.3">
      <c r="B4" s="11">
        <v>5</v>
      </c>
      <c r="C4" s="9">
        <v>10</v>
      </c>
      <c r="D4" s="9">
        <v>10</v>
      </c>
      <c r="E4" s="1">
        <v>75</v>
      </c>
      <c r="F4" s="1">
        <v>256</v>
      </c>
      <c r="H4" s="3">
        <v>0</v>
      </c>
      <c r="I4" s="10">
        <f>($D$4*1000/$F$4*H4+$E$4)/1000</f>
        <v>7.4999999999999997E-2</v>
      </c>
      <c r="J4" s="11">
        <f>I4/($C$4+$D$4)*5</f>
        <v>1.8749999999999999E-2</v>
      </c>
      <c r="K4" s="2">
        <f>J4</f>
        <v>1.8749999999999999E-2</v>
      </c>
      <c r="M4" s="3">
        <v>0</v>
      </c>
      <c r="N4" s="10">
        <f>($D$4*1000/$F$4*M4+$E$4)/1000</f>
        <v>7.4999999999999997E-2</v>
      </c>
      <c r="O4" s="11">
        <f>N4/($C$4+$D$4)*5</f>
        <v>1.8749999999999999E-2</v>
      </c>
      <c r="P4" s="2">
        <f>O4*16</f>
        <v>0.3</v>
      </c>
    </row>
    <row r="5" spans="2:16" x14ac:dyDescent="0.3">
      <c r="H5" s="3">
        <v>1</v>
      </c>
      <c r="I5" s="10">
        <f>($D$4*1000/$F$4*H5+$E$4)/1000</f>
        <v>0.1140625</v>
      </c>
      <c r="J5" s="11">
        <f>I5/($C$4+$D$4)*5</f>
        <v>2.8515624999999999E-2</v>
      </c>
      <c r="K5" s="2">
        <f t="shared" ref="K5:K27" si="0">J5</f>
        <v>2.8515624999999999E-2</v>
      </c>
      <c r="M5" s="3">
        <v>1</v>
      </c>
      <c r="N5" s="10">
        <f>($D$4*1000/$F$4*M5+$E$4)/1000</f>
        <v>0.1140625</v>
      </c>
      <c r="O5" s="11">
        <f>N5/($C$4+$D$4)*5</f>
        <v>2.8515624999999999E-2</v>
      </c>
      <c r="P5" s="2">
        <f t="shared" ref="P5:P27" si="1">O5*16</f>
        <v>0.45624999999999999</v>
      </c>
    </row>
    <row r="6" spans="2:16" ht="18" x14ac:dyDescent="0.3">
      <c r="B6" s="3" t="s">
        <v>8</v>
      </c>
      <c r="C6" s="3" t="s">
        <v>3</v>
      </c>
      <c r="D6" s="3" t="s">
        <v>5</v>
      </c>
      <c r="E6" s="3" t="s">
        <v>6</v>
      </c>
      <c r="F6" s="3" t="s">
        <v>12</v>
      </c>
      <c r="H6" s="3">
        <v>2</v>
      </c>
      <c r="I6" s="10">
        <f>($D$4*1000/$F$4*H6+$E$4)/1000</f>
        <v>0.15312500000000001</v>
      </c>
      <c r="J6" s="11">
        <f>I6/($C$4+$D$4)*5</f>
        <v>3.8281250000000003E-2</v>
      </c>
      <c r="K6" s="2">
        <f t="shared" si="0"/>
        <v>3.8281250000000003E-2</v>
      </c>
      <c r="M6" s="3">
        <v>2</v>
      </c>
      <c r="N6" s="10">
        <f>($D$4*1000/$F$4*M6+$E$4)/1000</f>
        <v>0.15312500000000001</v>
      </c>
      <c r="O6" s="11">
        <f>N6/($C$4+$D$4)*5</f>
        <v>3.8281250000000003E-2</v>
      </c>
      <c r="P6" s="2">
        <f t="shared" si="1"/>
        <v>0.61250000000000004</v>
      </c>
    </row>
    <row r="7" spans="2:16" x14ac:dyDescent="0.3">
      <c r="B7" s="3" t="s">
        <v>9</v>
      </c>
      <c r="C7" s="1">
        <v>256</v>
      </c>
      <c r="D7" s="10">
        <f>($D$4*1000/$F$4*C7+$E$4)/1000</f>
        <v>10.074999999999999</v>
      </c>
      <c r="E7" s="11">
        <f>D7/($C$4+$D$4)*5</f>
        <v>2.5187499999999998</v>
      </c>
      <c r="F7" s="11">
        <f>E7</f>
        <v>2.5187499999999998</v>
      </c>
      <c r="H7" s="3">
        <v>3</v>
      </c>
      <c r="I7" s="10">
        <f>($D$4*1000/$F$4*H7+$E$4)/1000</f>
        <v>0.19218750000000001</v>
      </c>
      <c r="J7" s="11">
        <f>I7/($C$4+$D$4)*5</f>
        <v>4.8046875000000003E-2</v>
      </c>
      <c r="K7" s="2">
        <f t="shared" si="0"/>
        <v>4.8046875000000003E-2</v>
      </c>
      <c r="M7" s="3">
        <v>3</v>
      </c>
      <c r="N7" s="10">
        <f>($D$4*1000/$F$4*M7+$E$4)/1000</f>
        <v>0.19218750000000001</v>
      </c>
      <c r="O7" s="11">
        <f>N7/($C$4+$D$4)*5</f>
        <v>4.8046875000000003E-2</v>
      </c>
      <c r="P7" s="2">
        <f t="shared" si="1"/>
        <v>0.76875000000000004</v>
      </c>
    </row>
    <row r="8" spans="2:16" x14ac:dyDescent="0.3">
      <c r="B8" s="3" t="s">
        <v>10</v>
      </c>
      <c r="C8" s="1">
        <v>256</v>
      </c>
      <c r="D8" s="10">
        <f>($D$4*1000/$F$4*C8+$E$4)/1000</f>
        <v>10.074999999999999</v>
      </c>
      <c r="E8" s="11">
        <f>D8/($C$4+$D$4)*5</f>
        <v>2.5187499999999998</v>
      </c>
      <c r="F8" s="11">
        <f>E8*16</f>
        <v>40.299999999999997</v>
      </c>
      <c r="H8" s="3">
        <v>4</v>
      </c>
      <c r="I8" s="10">
        <f>($D$4*1000/$F$4*H8+$E$4)/1000</f>
        <v>0.23125000000000001</v>
      </c>
      <c r="J8" s="11">
        <f>I8/($C$4+$D$4)*5</f>
        <v>5.7812500000000003E-2</v>
      </c>
      <c r="K8" s="2">
        <f t="shared" si="0"/>
        <v>5.7812500000000003E-2</v>
      </c>
      <c r="M8" s="3">
        <v>4</v>
      </c>
      <c r="N8" s="10">
        <f>($D$4*1000/$F$4*M8+$E$4)/1000</f>
        <v>0.23125000000000001</v>
      </c>
      <c r="O8" s="11">
        <f>N8/($C$4+$D$4)*5</f>
        <v>5.7812500000000003E-2</v>
      </c>
      <c r="P8" s="2">
        <f t="shared" si="1"/>
        <v>0.92500000000000004</v>
      </c>
    </row>
    <row r="9" spans="2:16" x14ac:dyDescent="0.3">
      <c r="H9" s="3">
        <v>5</v>
      </c>
      <c r="I9" s="10">
        <f>($D$4*1000/$F$4*H9+$E$4)/1000</f>
        <v>0.27031250000000001</v>
      </c>
      <c r="J9" s="11">
        <f>I9/($C$4+$D$4)*5</f>
        <v>6.7578125000000003E-2</v>
      </c>
      <c r="K9" s="2">
        <f t="shared" si="0"/>
        <v>6.7578125000000003E-2</v>
      </c>
      <c r="M9" s="3">
        <v>5</v>
      </c>
      <c r="N9" s="10">
        <f>($D$4*1000/$F$4*M9+$E$4)/1000</f>
        <v>0.27031250000000001</v>
      </c>
      <c r="O9" s="11">
        <f>N9/($C$4+$D$4)*5</f>
        <v>6.7578125000000003E-2</v>
      </c>
      <c r="P9" s="2">
        <f t="shared" si="1"/>
        <v>1.08125</v>
      </c>
    </row>
    <row r="10" spans="2:16" x14ac:dyDescent="0.3">
      <c r="H10" s="3">
        <v>6</v>
      </c>
      <c r="I10" s="10">
        <f>($D$4*1000/$F$4*H10+$E$4)/1000</f>
        <v>0.30937500000000001</v>
      </c>
      <c r="J10" s="11">
        <f>I10/($C$4+$D$4)*5</f>
        <v>7.7343750000000003E-2</v>
      </c>
      <c r="K10" s="2">
        <f t="shared" si="0"/>
        <v>7.7343750000000003E-2</v>
      </c>
      <c r="M10" s="3">
        <v>6</v>
      </c>
      <c r="N10" s="10">
        <f>($D$4*1000/$F$4*M10+$E$4)/1000</f>
        <v>0.30937500000000001</v>
      </c>
      <c r="O10" s="11">
        <f>N10/($C$4+$D$4)*5</f>
        <v>7.7343750000000003E-2</v>
      </c>
      <c r="P10" s="2">
        <f t="shared" si="1"/>
        <v>1.2375</v>
      </c>
    </row>
    <row r="11" spans="2:16" x14ac:dyDescent="0.3">
      <c r="H11" s="3">
        <v>7</v>
      </c>
      <c r="I11" s="10">
        <f>($D$4*1000/$F$4*H11+$E$4)/1000</f>
        <v>0.34843750000000001</v>
      </c>
      <c r="J11" s="11">
        <f>I11/($C$4+$D$4)*5</f>
        <v>8.7109375000000003E-2</v>
      </c>
      <c r="K11" s="2">
        <f t="shared" si="0"/>
        <v>8.7109375000000003E-2</v>
      </c>
      <c r="M11" s="3">
        <v>7</v>
      </c>
      <c r="N11" s="10">
        <f>($D$4*1000/$F$4*M11+$E$4)/1000</f>
        <v>0.34843750000000001</v>
      </c>
      <c r="O11" s="11">
        <f>N11/($C$4+$D$4)*5</f>
        <v>8.7109375000000003E-2</v>
      </c>
      <c r="P11" s="2">
        <f t="shared" si="1"/>
        <v>1.39375</v>
      </c>
    </row>
    <row r="12" spans="2:16" x14ac:dyDescent="0.3">
      <c r="H12" s="3">
        <v>8</v>
      </c>
      <c r="I12" s="10">
        <f>($D$4*1000/$F$4*H12+$E$4)/1000</f>
        <v>0.38750000000000001</v>
      </c>
      <c r="J12" s="11">
        <f>I12/($C$4+$D$4)*5</f>
        <v>9.6875000000000003E-2</v>
      </c>
      <c r="K12" s="2">
        <f t="shared" si="0"/>
        <v>9.6875000000000003E-2</v>
      </c>
      <c r="M12" s="3">
        <v>8</v>
      </c>
      <c r="N12" s="10">
        <f>($D$4*1000/$F$4*M12+$E$4)/1000</f>
        <v>0.38750000000000001</v>
      </c>
      <c r="O12" s="11">
        <f>N12/($C$4+$D$4)*5</f>
        <v>9.6875000000000003E-2</v>
      </c>
      <c r="P12" s="2">
        <f t="shared" si="1"/>
        <v>1.55</v>
      </c>
    </row>
    <row r="13" spans="2:16" x14ac:dyDescent="0.3">
      <c r="H13" s="3">
        <v>9</v>
      </c>
      <c r="I13" s="10">
        <f>($D$4*1000/$F$4*H13+$E$4)/1000</f>
        <v>0.42656250000000001</v>
      </c>
      <c r="J13" s="11">
        <f>I13/($C$4+$D$4)*5</f>
        <v>0.106640625</v>
      </c>
      <c r="K13" s="2">
        <f t="shared" si="0"/>
        <v>0.106640625</v>
      </c>
      <c r="M13" s="3">
        <v>9</v>
      </c>
      <c r="N13" s="10">
        <f>($D$4*1000/$F$4*M13+$E$4)/1000</f>
        <v>0.42656250000000001</v>
      </c>
      <c r="O13" s="11">
        <f>N13/($C$4+$D$4)*5</f>
        <v>0.106640625</v>
      </c>
      <c r="P13" s="2">
        <f t="shared" si="1"/>
        <v>1.70625</v>
      </c>
    </row>
    <row r="14" spans="2:16" x14ac:dyDescent="0.3">
      <c r="H14" s="3">
        <v>10</v>
      </c>
      <c r="I14" s="10">
        <f>($D$4*1000/$F$4*H14+$E$4)/1000</f>
        <v>0.46562500000000001</v>
      </c>
      <c r="J14" s="11">
        <f>I14/($C$4+$D$4)*5</f>
        <v>0.11640625</v>
      </c>
      <c r="K14" s="2">
        <f t="shared" si="0"/>
        <v>0.11640625</v>
      </c>
      <c r="M14" s="3">
        <v>10</v>
      </c>
      <c r="N14" s="10">
        <f>($D$4*1000/$F$4*M14+$E$4)/1000</f>
        <v>0.46562500000000001</v>
      </c>
      <c r="O14" s="11">
        <f>N14/($C$4+$D$4)*5</f>
        <v>0.11640625</v>
      </c>
      <c r="P14" s="2">
        <f t="shared" si="1"/>
        <v>1.8625</v>
      </c>
    </row>
    <row r="15" spans="2:16" x14ac:dyDescent="0.3">
      <c r="H15" s="3">
        <v>20</v>
      </c>
      <c r="I15" s="10">
        <f>($D$4*1000/$F$4*H15+$E$4)/1000</f>
        <v>0.85624999999999996</v>
      </c>
      <c r="J15" s="11">
        <f>I15/($C$4+$D$4)*5</f>
        <v>0.21406249999999999</v>
      </c>
      <c r="K15" s="2">
        <f t="shared" si="0"/>
        <v>0.21406249999999999</v>
      </c>
      <c r="M15" s="3">
        <v>20</v>
      </c>
      <c r="N15" s="10">
        <f>($D$4*1000/$F$4*M15+$E$4)/1000</f>
        <v>0.85624999999999996</v>
      </c>
      <c r="O15" s="11">
        <f>N15/($C$4+$D$4)*5</f>
        <v>0.21406249999999999</v>
      </c>
      <c r="P15" s="2">
        <f t="shared" si="1"/>
        <v>3.4249999999999998</v>
      </c>
    </row>
    <row r="16" spans="2:16" x14ac:dyDescent="0.3">
      <c r="H16" s="3">
        <v>30</v>
      </c>
      <c r="I16" s="10">
        <f>($D$4*1000/$F$4*H16+$E$4)/1000</f>
        <v>1.246875</v>
      </c>
      <c r="J16" s="11">
        <f>I16/($C$4+$D$4)*5</f>
        <v>0.31171874999999999</v>
      </c>
      <c r="K16" s="2">
        <f t="shared" si="0"/>
        <v>0.31171874999999999</v>
      </c>
      <c r="M16" s="3">
        <v>30</v>
      </c>
      <c r="N16" s="10">
        <f>($D$4*1000/$F$4*M16+$E$4)/1000</f>
        <v>1.246875</v>
      </c>
      <c r="O16" s="11">
        <f>N16/($C$4+$D$4)*5</f>
        <v>0.31171874999999999</v>
      </c>
      <c r="P16" s="2">
        <f t="shared" si="1"/>
        <v>4.9874999999999998</v>
      </c>
    </row>
    <row r="17" spans="8:16" x14ac:dyDescent="0.3">
      <c r="H17" s="3">
        <v>40</v>
      </c>
      <c r="I17" s="10">
        <f>($D$4*1000/$F$4*H17+$E$4)/1000</f>
        <v>1.6375</v>
      </c>
      <c r="J17" s="11">
        <f>I17/($C$4+$D$4)*5</f>
        <v>0.40937500000000004</v>
      </c>
      <c r="K17" s="2">
        <f t="shared" si="0"/>
        <v>0.40937500000000004</v>
      </c>
      <c r="M17" s="3">
        <v>40</v>
      </c>
      <c r="N17" s="10">
        <f>($D$4*1000/$F$4*M17+$E$4)/1000</f>
        <v>1.6375</v>
      </c>
      <c r="O17" s="11">
        <f>N17/($C$4+$D$4)*5</f>
        <v>0.40937500000000004</v>
      </c>
      <c r="P17" s="2">
        <f t="shared" si="1"/>
        <v>6.5500000000000007</v>
      </c>
    </row>
    <row r="18" spans="8:16" x14ac:dyDescent="0.3">
      <c r="H18" s="3">
        <v>50</v>
      </c>
      <c r="I18" s="10">
        <f>($D$4*1000/$F$4*H18+$E$4)/1000</f>
        <v>2.0281250000000002</v>
      </c>
      <c r="J18" s="11">
        <f>I18/($C$4+$D$4)*5</f>
        <v>0.50703125000000004</v>
      </c>
      <c r="K18" s="2">
        <f t="shared" si="0"/>
        <v>0.50703125000000004</v>
      </c>
      <c r="M18" s="3">
        <v>50</v>
      </c>
      <c r="N18" s="10">
        <f>($D$4*1000/$F$4*M18+$E$4)/1000</f>
        <v>2.0281250000000002</v>
      </c>
      <c r="O18" s="11">
        <f>N18/($C$4+$D$4)*5</f>
        <v>0.50703125000000004</v>
      </c>
      <c r="P18" s="2">
        <f t="shared" si="1"/>
        <v>8.1125000000000007</v>
      </c>
    </row>
    <row r="19" spans="8:16" x14ac:dyDescent="0.3">
      <c r="H19" s="3">
        <v>60</v>
      </c>
      <c r="I19" s="10">
        <f>($D$4*1000/$F$4*H19+$E$4)/1000</f>
        <v>2.4187500000000002</v>
      </c>
      <c r="J19" s="11">
        <f>I19/($C$4+$D$4)*5</f>
        <v>0.60468750000000004</v>
      </c>
      <c r="K19" s="2">
        <f t="shared" si="0"/>
        <v>0.60468750000000004</v>
      </c>
      <c r="M19" s="3">
        <v>60</v>
      </c>
      <c r="N19" s="10">
        <f>($D$4*1000/$F$4*M19+$E$4)/1000</f>
        <v>2.4187500000000002</v>
      </c>
      <c r="O19" s="11">
        <f>N19/($C$4+$D$4)*5</f>
        <v>0.60468750000000004</v>
      </c>
      <c r="P19" s="2">
        <f t="shared" si="1"/>
        <v>9.6750000000000007</v>
      </c>
    </row>
    <row r="20" spans="8:16" x14ac:dyDescent="0.3">
      <c r="H20" s="3">
        <v>70</v>
      </c>
      <c r="I20" s="10">
        <f>($D$4*1000/$F$4*H20+$E$4)/1000</f>
        <v>2.8093750000000002</v>
      </c>
      <c r="J20" s="11">
        <f>I20/($C$4+$D$4)*5</f>
        <v>0.70234375000000004</v>
      </c>
      <c r="K20" s="2">
        <f t="shared" si="0"/>
        <v>0.70234375000000004</v>
      </c>
      <c r="M20" s="3">
        <v>70</v>
      </c>
      <c r="N20" s="10">
        <f>($D$4*1000/$F$4*M20+$E$4)/1000</f>
        <v>2.8093750000000002</v>
      </c>
      <c r="O20" s="11">
        <f>N20/($C$4+$D$4)*5</f>
        <v>0.70234375000000004</v>
      </c>
      <c r="P20" s="2">
        <f t="shared" si="1"/>
        <v>11.237500000000001</v>
      </c>
    </row>
    <row r="21" spans="8:16" x14ac:dyDescent="0.3">
      <c r="H21" s="3">
        <v>80</v>
      </c>
      <c r="I21" s="10">
        <f>($D$4*1000/$F$4*H21+$E$4)/1000</f>
        <v>3.2</v>
      </c>
      <c r="J21" s="11">
        <f>I21/($C$4+$D$4)*5</f>
        <v>0.8</v>
      </c>
      <c r="K21" s="2">
        <f t="shared" si="0"/>
        <v>0.8</v>
      </c>
      <c r="M21" s="3">
        <v>80</v>
      </c>
      <c r="N21" s="10">
        <f>($D$4*1000/$F$4*M21+$E$4)/1000</f>
        <v>3.2</v>
      </c>
      <c r="O21" s="11">
        <f>N21/($C$4+$D$4)*5</f>
        <v>0.8</v>
      </c>
      <c r="P21" s="2">
        <f t="shared" si="1"/>
        <v>12.8</v>
      </c>
    </row>
    <row r="22" spans="8:16" x14ac:dyDescent="0.3">
      <c r="H22" s="3">
        <v>100</v>
      </c>
      <c r="I22" s="10">
        <f>($D$4*1000/$F$4*H22+$E$4)/1000</f>
        <v>3.9812500000000002</v>
      </c>
      <c r="J22" s="11">
        <f>I22/($C$4+$D$4)*5</f>
        <v>0.99531250000000004</v>
      </c>
      <c r="K22" s="2">
        <f t="shared" si="0"/>
        <v>0.99531250000000004</v>
      </c>
      <c r="M22" s="3">
        <v>100</v>
      </c>
      <c r="N22" s="10">
        <f>($D$4*1000/$F$4*M22+$E$4)/1000</f>
        <v>3.9812500000000002</v>
      </c>
      <c r="O22" s="11">
        <f>N22/($C$4+$D$4)*5</f>
        <v>0.99531250000000004</v>
      </c>
      <c r="P22" s="2">
        <f t="shared" si="1"/>
        <v>15.925000000000001</v>
      </c>
    </row>
    <row r="23" spans="8:16" x14ac:dyDescent="0.3">
      <c r="H23" s="3">
        <v>120</v>
      </c>
      <c r="I23" s="10">
        <f>($D$4*1000/$F$4*H23+$E$4)/1000</f>
        <v>4.7625000000000002</v>
      </c>
      <c r="J23" s="11">
        <f>I23/($C$4+$D$4)*5</f>
        <v>1.190625</v>
      </c>
      <c r="K23" s="2">
        <f t="shared" si="0"/>
        <v>1.190625</v>
      </c>
      <c r="M23" s="3">
        <v>120</v>
      </c>
      <c r="N23" s="10">
        <f>($D$4*1000/$F$4*M23+$E$4)/1000</f>
        <v>4.7625000000000002</v>
      </c>
      <c r="O23" s="11">
        <f>N23/($C$4+$D$4)*5</f>
        <v>1.190625</v>
      </c>
      <c r="P23" s="2">
        <f t="shared" si="1"/>
        <v>19.05</v>
      </c>
    </row>
    <row r="24" spans="8:16" x14ac:dyDescent="0.3">
      <c r="H24" s="3">
        <v>140</v>
      </c>
      <c r="I24" s="10">
        <f>($D$4*1000/$F$4*H24+$E$4)/1000</f>
        <v>5.5437500000000002</v>
      </c>
      <c r="J24" s="11">
        <f>I24/($C$4+$D$4)*5</f>
        <v>1.3859375000000003</v>
      </c>
      <c r="K24" s="2">
        <f t="shared" si="0"/>
        <v>1.3859375000000003</v>
      </c>
      <c r="M24" s="3">
        <v>140</v>
      </c>
      <c r="N24" s="10">
        <f>($D$4*1000/$F$4*M24+$E$4)/1000</f>
        <v>5.5437500000000002</v>
      </c>
      <c r="O24" s="11">
        <f>N24/($C$4+$D$4)*5</f>
        <v>1.3859375000000003</v>
      </c>
      <c r="P24" s="2">
        <f t="shared" si="1"/>
        <v>22.175000000000004</v>
      </c>
    </row>
    <row r="25" spans="8:16" x14ac:dyDescent="0.3">
      <c r="H25" s="3">
        <v>180</v>
      </c>
      <c r="I25" s="10">
        <f>($D$4*1000/$F$4*H25+$E$4)/1000</f>
        <v>7.1062500000000002</v>
      </c>
      <c r="J25" s="11">
        <f>I25/($C$4+$D$4)*5</f>
        <v>1.7765625000000003</v>
      </c>
      <c r="K25" s="2">
        <f t="shared" si="0"/>
        <v>1.7765625000000003</v>
      </c>
      <c r="M25" s="3">
        <v>180</v>
      </c>
      <c r="N25" s="10">
        <f>($D$4*1000/$F$4*M25+$E$4)/1000</f>
        <v>7.1062500000000002</v>
      </c>
      <c r="O25" s="11">
        <f>N25/($C$4+$D$4)*5</f>
        <v>1.7765625000000003</v>
      </c>
      <c r="P25" s="2">
        <f t="shared" si="1"/>
        <v>28.425000000000004</v>
      </c>
    </row>
    <row r="26" spans="8:16" x14ac:dyDescent="0.3">
      <c r="H26" s="3">
        <v>200</v>
      </c>
      <c r="I26" s="10">
        <f>($D$4*1000/$F$4*H26+$E$4)/1000</f>
        <v>7.8875000000000002</v>
      </c>
      <c r="J26" s="11">
        <f>I26/($C$4+$D$4)*5</f>
        <v>1.9718750000000003</v>
      </c>
      <c r="K26" s="2">
        <f t="shared" si="0"/>
        <v>1.9718750000000003</v>
      </c>
      <c r="M26" s="3">
        <v>200</v>
      </c>
      <c r="N26" s="10">
        <f>($D$4*1000/$F$4*M26+$E$4)/1000</f>
        <v>7.8875000000000002</v>
      </c>
      <c r="O26" s="11">
        <f>N26/($C$4+$D$4)*5</f>
        <v>1.9718750000000003</v>
      </c>
      <c r="P26" s="2">
        <f t="shared" si="1"/>
        <v>31.550000000000004</v>
      </c>
    </row>
    <row r="27" spans="8:16" x14ac:dyDescent="0.3">
      <c r="H27" s="3">
        <v>256</v>
      </c>
      <c r="I27" s="10">
        <f>($D$4*1000/$F$4*H27+$E$4)/1000</f>
        <v>10.074999999999999</v>
      </c>
      <c r="J27" s="11">
        <f>I27/($C$4+$D$4)*5</f>
        <v>2.5187499999999998</v>
      </c>
      <c r="K27" s="2">
        <f t="shared" si="0"/>
        <v>2.5187499999999998</v>
      </c>
      <c r="M27" s="3">
        <v>256</v>
      </c>
      <c r="N27" s="10">
        <f>($D$4*1000/$F$4*M27+$E$4)/1000</f>
        <v>10.074999999999999</v>
      </c>
      <c r="O27" s="11">
        <f>N27/($C$4+$D$4)*5</f>
        <v>2.5187499999999998</v>
      </c>
      <c r="P27" s="2">
        <f t="shared" si="1"/>
        <v>40.299999999999997</v>
      </c>
    </row>
    <row r="30" spans="8:16" x14ac:dyDescent="0.3">
      <c r="N30" s="4"/>
      <c r="O30" s="7"/>
      <c r="P30" s="5"/>
    </row>
    <row r="31" spans="8:16" x14ac:dyDescent="0.3">
      <c r="N31" s="4"/>
      <c r="O31" s="6"/>
      <c r="P31" s="5"/>
    </row>
    <row r="32" spans="8:16" x14ac:dyDescent="0.3">
      <c r="N32" s="4"/>
      <c r="O32" s="6"/>
      <c r="P32" s="5"/>
    </row>
    <row r="33" spans="12:16" x14ac:dyDescent="0.3">
      <c r="N33" s="4"/>
      <c r="O33" s="6"/>
      <c r="P33" s="5"/>
    </row>
    <row r="34" spans="12:16" x14ac:dyDescent="0.3">
      <c r="N34" s="4"/>
      <c r="O34" s="6"/>
      <c r="P34" s="5"/>
    </row>
    <row r="35" spans="12:16" x14ac:dyDescent="0.3">
      <c r="L35" s="6"/>
      <c r="M35" s="6"/>
      <c r="N35" s="6"/>
    </row>
    <row r="36" spans="12:16" x14ac:dyDescent="0.3">
      <c r="L36" s="6"/>
      <c r="M36" s="6"/>
      <c r="N36" s="6"/>
    </row>
    <row r="37" spans="12:16" x14ac:dyDescent="0.3">
      <c r="L37" s="6"/>
      <c r="M37" s="6"/>
      <c r="N37" s="6"/>
    </row>
    <row r="38" spans="12:16" x14ac:dyDescent="0.3">
      <c r="L38" s="6"/>
      <c r="M38" s="6"/>
      <c r="N38" s="6"/>
      <c r="O38" s="6"/>
      <c r="P38" s="5"/>
    </row>
    <row r="39" spans="12:16" x14ac:dyDescent="0.3">
      <c r="L39" s="6"/>
      <c r="M39" s="6"/>
      <c r="N39" s="6"/>
    </row>
    <row r="40" spans="12:16" x14ac:dyDescent="0.3">
      <c r="L40" s="6"/>
      <c r="M40" s="6"/>
      <c r="N40" s="6"/>
    </row>
    <row r="41" spans="12:16" x14ac:dyDescent="0.3">
      <c r="L41" s="6"/>
      <c r="M41" s="6"/>
      <c r="N41" s="6"/>
    </row>
    <row r="42" spans="12:16" x14ac:dyDescent="0.3">
      <c r="L42" s="6"/>
      <c r="M42" s="6"/>
      <c r="N42" s="6"/>
    </row>
    <row r="43" spans="12:16" x14ac:dyDescent="0.3">
      <c r="L43" s="6"/>
      <c r="M43" s="6"/>
      <c r="N43" s="6"/>
    </row>
    <row r="44" spans="12:16" x14ac:dyDescent="0.3">
      <c r="L44" s="6"/>
      <c r="M44" s="6"/>
      <c r="N44" s="6"/>
    </row>
    <row r="45" spans="12:16" x14ac:dyDescent="0.3">
      <c r="L45" s="6"/>
      <c r="M45" s="6"/>
      <c r="N45" s="6"/>
    </row>
    <row r="46" spans="12:16" x14ac:dyDescent="0.3">
      <c r="L46" s="6"/>
      <c r="M46" s="6"/>
      <c r="N46" s="6"/>
    </row>
    <row r="47" spans="12:16" x14ac:dyDescent="0.3">
      <c r="L47" s="6"/>
      <c r="M47" s="6"/>
      <c r="N47" s="6"/>
    </row>
    <row r="48" spans="12:16" x14ac:dyDescent="0.3">
      <c r="L48" s="6"/>
      <c r="M48" s="6"/>
      <c r="N48" s="6"/>
    </row>
    <row r="49" spans="12:16" x14ac:dyDescent="0.3">
      <c r="L49" s="6"/>
      <c r="M49" s="6"/>
      <c r="N49" s="6"/>
    </row>
    <row r="50" spans="12:16" x14ac:dyDescent="0.3">
      <c r="L50" s="6"/>
      <c r="M50" s="6"/>
      <c r="N50" s="6"/>
    </row>
    <row r="51" spans="12:16" x14ac:dyDescent="0.3">
      <c r="L51" s="6"/>
      <c r="M51" s="6"/>
      <c r="N51" s="6"/>
      <c r="O51" s="6"/>
      <c r="P51" s="5"/>
    </row>
    <row r="52" spans="12:16" x14ac:dyDescent="0.3">
      <c r="L52" s="6"/>
      <c r="M52" s="6"/>
      <c r="N52" s="6"/>
      <c r="O52" s="6"/>
      <c r="P52" s="5"/>
    </row>
    <row r="53" spans="12:16" x14ac:dyDescent="0.3">
      <c r="L53" s="6"/>
      <c r="M53" s="6"/>
      <c r="N53" s="6"/>
      <c r="O53" s="6"/>
      <c r="P53" s="5"/>
    </row>
    <row r="54" spans="12:16" x14ac:dyDescent="0.3">
      <c r="L54" s="6"/>
      <c r="M54" s="6"/>
      <c r="N54" s="6"/>
      <c r="O54" s="6"/>
      <c r="P54" s="5"/>
    </row>
    <row r="55" spans="12:16" x14ac:dyDescent="0.3">
      <c r="L55" s="6"/>
      <c r="M55" s="6"/>
      <c r="N55" s="6"/>
      <c r="O55" s="6"/>
      <c r="P55" s="5"/>
    </row>
    <row r="56" spans="12:16" x14ac:dyDescent="0.3">
      <c r="L56" s="6"/>
      <c r="M56" s="6"/>
      <c r="N56" s="6"/>
      <c r="O56" s="6"/>
      <c r="P56" s="5"/>
    </row>
    <row r="57" spans="12:16" x14ac:dyDescent="0.3">
      <c r="L57" s="6"/>
      <c r="M57" s="6"/>
      <c r="N57" s="6"/>
      <c r="O57" s="6"/>
      <c r="P57" s="5"/>
    </row>
    <row r="58" spans="12:16" x14ac:dyDescent="0.3">
      <c r="L58" s="6"/>
      <c r="M58" s="6"/>
      <c r="N58" s="6"/>
      <c r="O58" s="6"/>
      <c r="P58" s="5"/>
    </row>
    <row r="59" spans="12:16" x14ac:dyDescent="0.3">
      <c r="L59" s="6"/>
      <c r="M59" s="6"/>
      <c r="N59" s="6"/>
      <c r="O59" s="6"/>
      <c r="P59" s="5"/>
    </row>
    <row r="60" spans="12:16" x14ac:dyDescent="0.3">
      <c r="L60" s="6"/>
      <c r="M60" s="6"/>
      <c r="N60" s="6"/>
      <c r="O60" s="6"/>
      <c r="P60" s="5"/>
    </row>
    <row r="61" spans="12:16" x14ac:dyDescent="0.3">
      <c r="L61" s="6"/>
      <c r="M61" s="6"/>
      <c r="N61" s="6"/>
      <c r="O61" s="6"/>
      <c r="P61" s="5"/>
    </row>
    <row r="62" spans="12:16" x14ac:dyDescent="0.3">
      <c r="L62" s="6"/>
      <c r="M62" s="6"/>
      <c r="N62" s="6"/>
      <c r="O62" s="6"/>
      <c r="P62" s="5"/>
    </row>
    <row r="63" spans="12:16" x14ac:dyDescent="0.3">
      <c r="L63" s="6"/>
      <c r="M63" s="6"/>
      <c r="N63" s="6"/>
      <c r="O63" s="6"/>
      <c r="P63" s="5"/>
    </row>
    <row r="64" spans="12:16" x14ac:dyDescent="0.3">
      <c r="L64" s="6"/>
      <c r="M64" s="6"/>
      <c r="N64" s="6"/>
      <c r="O64" s="6"/>
      <c r="P64" s="5"/>
    </row>
    <row r="65" spans="12:16" x14ac:dyDescent="0.3">
      <c r="L65" s="6"/>
      <c r="M65" s="6"/>
      <c r="N65" s="6"/>
      <c r="O65" s="6"/>
      <c r="P65" s="5"/>
    </row>
    <row r="66" spans="12:16" x14ac:dyDescent="0.3">
      <c r="L66" s="6"/>
      <c r="M66" s="6"/>
      <c r="N66" s="6"/>
      <c r="O66" s="6"/>
      <c r="P66" s="5"/>
    </row>
    <row r="67" spans="12:16" x14ac:dyDescent="0.3">
      <c r="L67" s="6"/>
      <c r="M67" s="6"/>
      <c r="N67" s="6"/>
      <c r="O67" s="6"/>
      <c r="P67" s="5"/>
    </row>
    <row r="68" spans="12:16" x14ac:dyDescent="0.3">
      <c r="L68" s="6"/>
      <c r="M68" s="6"/>
      <c r="N68" s="6"/>
      <c r="O68" s="6"/>
      <c r="P68" s="5"/>
    </row>
    <row r="69" spans="12:16" x14ac:dyDescent="0.3">
      <c r="L69" s="6"/>
      <c r="M69" s="6"/>
      <c r="N69" s="6"/>
    </row>
    <row r="70" spans="12:16" x14ac:dyDescent="0.3">
      <c r="L70" s="6"/>
      <c r="M70" s="6"/>
      <c r="N70" s="6"/>
    </row>
    <row r="71" spans="12:16" x14ac:dyDescent="0.3">
      <c r="L71" s="6"/>
      <c r="M71" s="6"/>
      <c r="N71" s="6"/>
    </row>
    <row r="72" spans="12:16" x14ac:dyDescent="0.3">
      <c r="L72" s="6"/>
      <c r="M72" s="6"/>
      <c r="N72" s="6"/>
    </row>
    <row r="73" spans="12:16" x14ac:dyDescent="0.3">
      <c r="L73" s="6"/>
      <c r="M73" s="6"/>
      <c r="N7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4CD8-433C-4AC5-AE1F-E3C85949B95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2024-03-20T09:01:00Z</dcterms:modified>
</cp:coreProperties>
</file>