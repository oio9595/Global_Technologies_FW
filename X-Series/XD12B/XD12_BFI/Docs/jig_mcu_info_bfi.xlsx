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Docs\"/>
    </mc:Choice>
  </mc:AlternateContent>
  <xr:revisionPtr revIDLastSave="0" documentId="13_ncr:1_{B0F146D0-F58A-42D2-A47C-73EC7A91D5E4}" xr6:coauthVersionLast="47" xr6:coauthVersionMax="47" xr10:uidLastSave="{00000000-0000-0000-0000-000000000000}"/>
  <bookViews>
    <workbookView xWindow="43080" yWindow="4095" windowWidth="29040" windowHeight="15720" firstSheet="1" activeTab="1" xr2:uid="{00000000-000D-0000-FFFF-FFFF00000000}"/>
  </bookViews>
  <sheets>
    <sheet name="XD_ES1_MCU_PIN" sheetId="1" r:id="rId1"/>
    <sheet name="mcu setting" sheetId="2" r:id="rId2"/>
    <sheet name="Sheet1" sheetId="5" r:id="rId3"/>
    <sheet name="trim parameter" sheetId="3" r:id="rId4"/>
    <sheet name="xd_reg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R13" i="3"/>
  <c r="R14" i="3"/>
  <c r="R15" i="3"/>
  <c r="R16" i="3"/>
  <c r="R17" i="3"/>
  <c r="R18" i="3"/>
  <c r="R19" i="3"/>
  <c r="R20" i="3"/>
  <c r="R21" i="3"/>
  <c r="R22" i="3"/>
  <c r="R12" i="3"/>
  <c r="I17" i="3"/>
  <c r="I15" i="3"/>
  <c r="I13" i="3"/>
  <c r="F17" i="3"/>
  <c r="F15" i="3"/>
  <c r="F13" i="3"/>
  <c r="C17" i="3"/>
  <c r="C15" i="3"/>
  <c r="C13" i="3"/>
  <c r="J6" i="3" l="1"/>
  <c r="J5" i="3"/>
  <c r="B4" i="5"/>
  <c r="B5" i="5" s="1"/>
  <c r="B3" i="5"/>
  <c r="L23" i="2" l="1"/>
  <c r="L22" i="2"/>
  <c r="L21" i="2"/>
  <c r="G4" i="3"/>
  <c r="F4" i="3"/>
  <c r="E7" i="4" l="1"/>
  <c r="E6" i="4"/>
  <c r="E3" i="4"/>
  <c r="C7" i="4" s="1"/>
  <c r="E2" i="4"/>
  <c r="J4" i="3"/>
  <c r="L6" i="3"/>
  <c r="K6" i="3"/>
  <c r="L5" i="3" l="1"/>
  <c r="K5" i="3"/>
  <c r="L4" i="3" l="1"/>
  <c r="K4" i="3"/>
  <c r="G6" i="3"/>
  <c r="F6" i="3"/>
  <c r="G5" i="3"/>
  <c r="F5" i="3"/>
  <c r="L3" i="3"/>
  <c r="J3" i="3"/>
  <c r="K3" i="3"/>
  <c r="G3" i="3"/>
  <c r="F3" i="3"/>
  <c r="I24" i="2"/>
  <c r="H24" i="2"/>
  <c r="I23" i="2"/>
  <c r="I22" i="2"/>
  <c r="H23" i="2"/>
  <c r="H22" i="2"/>
  <c r="D22" i="2"/>
  <c r="D24" i="2" s="1"/>
  <c r="E22" i="2"/>
  <c r="E24" i="2" s="1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<sst xmlns="http://schemas.openxmlformats.org/spreadsheetml/2006/main" count="361" uniqueCount="231">
  <si>
    <t>Position</t>
  </si>
  <si>
    <t>Name</t>
  </si>
  <si>
    <t>Type</t>
  </si>
  <si>
    <t>Signal</t>
  </si>
  <si>
    <t>Label</t>
  </si>
  <si>
    <t>VBAT</t>
  </si>
  <si>
    <t>Power</t>
  </si>
  <si>
    <t>PC13</t>
  </si>
  <si>
    <t>Input</t>
  </si>
  <si>
    <t>GPIO_Input</t>
  </si>
  <si>
    <t>B1</t>
  </si>
  <si>
    <t>PC14-OSC32_IN</t>
  </si>
  <si>
    <t>I/O</t>
  </si>
  <si>
    <t>RCC_OSC32_IN</t>
  </si>
  <si>
    <t>PC15-OSC32_OUT</t>
  </si>
  <si>
    <t>RCC_OSC32_OUT</t>
  </si>
  <si>
    <t>PH0-OSC_IN</t>
  </si>
  <si>
    <t>RCC_OSC_IN</t>
  </si>
  <si>
    <t>PH1-OSC_OUT</t>
  </si>
  <si>
    <t>RCC_OSC_OUT</t>
  </si>
  <si>
    <t>NRST</t>
  </si>
  <si>
    <t>Reset</t>
  </si>
  <si>
    <t>PC0</t>
  </si>
  <si>
    <t>Output</t>
  </si>
  <si>
    <t>GPIO_Output</t>
  </si>
  <si>
    <t>LTC_HIGH_CURRENT</t>
  </si>
  <si>
    <t>PC1</t>
  </si>
  <si>
    <t>SPI2_MOSI</t>
  </si>
  <si>
    <t>ADC_SPI_MOSI</t>
  </si>
  <si>
    <t>PC2</t>
  </si>
  <si>
    <t>SPI2_MISO</t>
  </si>
  <si>
    <t>ADC_SPI_MISO</t>
  </si>
  <si>
    <t>PC3</t>
  </si>
  <si>
    <t>VSSA</t>
  </si>
  <si>
    <t>VDDA</t>
  </si>
  <si>
    <t>PA0-WKUP</t>
  </si>
  <si>
    <t>TIM5_CH1</t>
  </si>
  <si>
    <t>DOUT_Q4</t>
  </si>
  <si>
    <t>PA1</t>
  </si>
  <si>
    <t>LTC_LOW_CURRENT</t>
  </si>
  <si>
    <t>PA2</t>
  </si>
  <si>
    <t>USART2_TX</t>
  </si>
  <si>
    <t>USART_TX</t>
  </si>
  <si>
    <t>PA3</t>
  </si>
  <si>
    <t>USART2_RX</t>
  </si>
  <si>
    <t>USART_RX</t>
  </si>
  <si>
    <t>VSS</t>
  </si>
  <si>
    <t>VDD</t>
  </si>
  <si>
    <t>PA4</t>
  </si>
  <si>
    <t>LTC_MID_CURRENT</t>
  </si>
  <si>
    <t>PA5</t>
  </si>
  <si>
    <t>SPI1_SCK</t>
  </si>
  <si>
    <t>PA6</t>
  </si>
  <si>
    <t>SPI1_MISO</t>
  </si>
  <si>
    <t>PA7</t>
  </si>
  <si>
    <t>SPI1_MOSI</t>
  </si>
  <si>
    <t>PC4</t>
  </si>
  <si>
    <t>GPIO_EXTI4</t>
  </si>
  <si>
    <t>ADC_DRDY</t>
  </si>
  <si>
    <t>PC5</t>
  </si>
  <si>
    <t>PB0</t>
  </si>
  <si>
    <t>ADC1_IN8</t>
  </si>
  <si>
    <t>XD12_ADO</t>
  </si>
  <si>
    <t>PB1</t>
  </si>
  <si>
    <t>ENABLE_SELECT4</t>
  </si>
  <si>
    <t>PB2</t>
  </si>
  <si>
    <t>SPI3_MOSI</t>
  </si>
  <si>
    <t>PB10</t>
  </si>
  <si>
    <t>SPI2_SCK</t>
  </si>
  <si>
    <t>ADC_SPI_CLK</t>
  </si>
  <si>
    <t>VCAP_1</t>
  </si>
  <si>
    <t>PB12</t>
  </si>
  <si>
    <t>ENABLE_SELECT3</t>
  </si>
  <si>
    <t>PB13</t>
  </si>
  <si>
    <t>PB14</t>
  </si>
  <si>
    <t>XD12_5_7V</t>
  </si>
  <si>
    <t>PB15</t>
  </si>
  <si>
    <t>CNT_MR</t>
  </si>
  <si>
    <t>PC6</t>
  </si>
  <si>
    <t>PC7</t>
  </si>
  <si>
    <t>TIM8_CH2</t>
  </si>
  <si>
    <t>PC8</t>
  </si>
  <si>
    <t>ENABLE_SELECT1</t>
  </si>
  <si>
    <t>PC9</t>
  </si>
  <si>
    <t>RCC_MCO_2</t>
  </si>
  <si>
    <t>MCLK</t>
  </si>
  <si>
    <t>PA8</t>
  </si>
  <si>
    <t>TIM1_CH1</t>
  </si>
  <si>
    <t>PWM_OUT</t>
  </si>
  <si>
    <t>PA9</t>
  </si>
  <si>
    <t>ADC_CS</t>
  </si>
  <si>
    <t>PA10</t>
  </si>
  <si>
    <t>ADC_START</t>
  </si>
  <si>
    <t>PA11</t>
  </si>
  <si>
    <t>PA12</t>
  </si>
  <si>
    <t>ENABLE_SELECT2</t>
  </si>
  <si>
    <t>PA13</t>
  </si>
  <si>
    <t>SYS_JTMS-SWDIO</t>
  </si>
  <si>
    <t>TMS</t>
  </si>
  <si>
    <t>PA14</t>
  </si>
  <si>
    <t>SYS_JTCK-SWCLK</t>
  </si>
  <si>
    <t>TCK</t>
  </si>
  <si>
    <t>PA15</t>
  </si>
  <si>
    <t>PC10</t>
  </si>
  <si>
    <t>SPI3_SCK</t>
  </si>
  <si>
    <t>PC11</t>
  </si>
  <si>
    <t>SPI3_MISO</t>
  </si>
  <si>
    <t>PC12</t>
  </si>
  <si>
    <t>LTC_DISCHARGE</t>
  </si>
  <si>
    <t>PD2</t>
  </si>
  <si>
    <t>PB3</t>
  </si>
  <si>
    <t>PB4</t>
  </si>
  <si>
    <t>VLED_CTR_9V</t>
  </si>
  <si>
    <t>PB5</t>
  </si>
  <si>
    <t>XD12_VCC_EN</t>
  </si>
  <si>
    <t>PB6</t>
  </si>
  <si>
    <t>PB7</t>
  </si>
  <si>
    <t>BOOT0</t>
  </si>
  <si>
    <t>Boot</t>
  </si>
  <si>
    <t>PB8</t>
  </si>
  <si>
    <t>ADC_RESET</t>
  </si>
  <si>
    <t>PB9</t>
  </si>
  <si>
    <t>XC24_VCC_EN</t>
  </si>
  <si>
    <t>PWM_SWITCH</t>
  </si>
  <si>
    <t>XC_SPI_CLK</t>
  </si>
  <si>
    <t>XC_SPI_MISO</t>
  </si>
  <si>
    <t>XC_SPI_MOSI</t>
  </si>
  <si>
    <t>XD_FB_IN</t>
  </si>
  <si>
    <t>MCP_SPI_MOSI</t>
  </si>
  <si>
    <t>XD_FB_OUT</t>
  </si>
  <si>
    <t>MCP_SPI_CS</t>
  </si>
  <si>
    <t>XC_NSCS</t>
  </si>
  <si>
    <t>XD_TYPE_SELECT</t>
  </si>
  <si>
    <t>MCP_SPI_CLK</t>
  </si>
  <si>
    <t>MCP_SPI_MISO</t>
  </si>
  <si>
    <t>TIM2_CH2</t>
  </si>
  <si>
    <t>PWM_IN</t>
  </si>
  <si>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</si>
  <si>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</si>
  <si>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</si>
  <si>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</si>
  <si>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</si>
  <si>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</si>
  <si>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</si>
  <si>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</si>
  <si>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</si>
  <si>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</si>
  <si>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</si>
  <si>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</si>
  <si>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</si>
  <si>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</si>
  <si>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</si>
  <si>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</si>
  <si>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</si>
  <si>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</si>
  <si>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</si>
  <si>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</si>
  <si>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</si>
  <si>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</si>
  <si>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</si>
  <si>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</si>
  <si>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xd data out</t>
    <phoneticPr fontId="18" type="noConversion"/>
  </si>
  <si>
    <t>xd data in</t>
    <phoneticPr fontId="18" type="noConversion"/>
  </si>
  <si>
    <t>osc trim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</si>
  <si>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</si>
  <si>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</si>
  <si>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</si>
  <si>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</si>
  <si>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</si>
  <si>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xc spi</t>
    <phoneticPr fontId="18" type="noConversion"/>
  </si>
  <si>
    <t>adc spi</t>
    <phoneticPr fontId="18" type="noConversion"/>
  </si>
  <si>
    <t>mcp spi</t>
    <phoneticPr fontId="18" type="noConversion"/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</si>
  <si>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</si>
  <si>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</si>
  <si>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</si>
  <si>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</si>
  <si>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</si>
  <si>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</si>
  <si>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1 edge</t>
    <phoneticPr fontId="18" type="noConversion"/>
  </si>
  <si>
    <t>xc</t>
    <phoneticPr fontId="18" type="noConversion"/>
  </si>
  <si>
    <t>xd</t>
    <phoneticPr fontId="18" type="noConversion"/>
  </si>
  <si>
    <t>MCLK</t>
    <phoneticPr fontId="18" type="noConversion"/>
  </si>
  <si>
    <t>serial high</t>
    <phoneticPr fontId="18" type="noConversion"/>
  </si>
  <si>
    <t>serial low</t>
    <phoneticPr fontId="18" type="noConversion"/>
  </si>
  <si>
    <t>duty high</t>
    <phoneticPr fontId="18" type="noConversion"/>
  </si>
  <si>
    <t>duty low</t>
    <phoneticPr fontId="18" type="noConversion"/>
  </si>
  <si>
    <t>serial freq</t>
    <phoneticPr fontId="18" type="noConversion"/>
  </si>
  <si>
    <t>vsync</t>
    <phoneticPr fontId="18" type="noConversion"/>
  </si>
  <si>
    <t>VSYNC</t>
  </si>
  <si>
    <t>V</t>
    <phoneticPr fontId="18" type="noConversion"/>
  </si>
  <si>
    <t>adc min</t>
    <phoneticPr fontId="18" type="noConversion"/>
  </si>
  <si>
    <t>adc target</t>
    <phoneticPr fontId="18" type="noConversion"/>
  </si>
  <si>
    <t>adc max</t>
    <phoneticPr fontId="18" type="noConversion"/>
  </si>
  <si>
    <t>-</t>
    <phoneticPr fontId="18" type="noConversion"/>
  </si>
  <si>
    <t>mA</t>
    <phoneticPr fontId="18" type="noConversion"/>
  </si>
  <si>
    <t>offset</t>
    <phoneticPr fontId="18" type="noConversion"/>
  </si>
  <si>
    <t>vref</t>
    <phoneticPr fontId="18" type="noConversion"/>
  </si>
  <si>
    <t>osc</t>
    <phoneticPr fontId="18" type="noConversion"/>
  </si>
  <si>
    <t>gain</t>
    <phoneticPr fontId="18" type="noConversion"/>
  </si>
  <si>
    <t>no</t>
    <phoneticPr fontId="18" type="noConversion"/>
  </si>
  <si>
    <t>item</t>
    <phoneticPr fontId="18" type="noConversion"/>
  </si>
  <si>
    <t>target</t>
    <phoneticPr fontId="18" type="noConversion"/>
  </si>
  <si>
    <t>dev</t>
    <phoneticPr fontId="18" type="noConversion"/>
  </si>
  <si>
    <t>min</t>
    <phoneticPr fontId="18" type="noConversion"/>
  </si>
  <si>
    <t>max</t>
    <phoneticPr fontId="18" type="noConversion"/>
  </si>
  <si>
    <t>unit</t>
    <phoneticPr fontId="18" type="noConversion"/>
  </si>
  <si>
    <t>Rs</t>
    <phoneticPr fontId="18" type="noConversion"/>
  </si>
  <si>
    <t>Ri</t>
    <phoneticPr fontId="18" type="noConversion"/>
  </si>
  <si>
    <t>Ro</t>
    <phoneticPr fontId="18" type="noConversion"/>
  </si>
  <si>
    <t>mclk</t>
    <phoneticPr fontId="18" type="noConversion"/>
  </si>
  <si>
    <t>sf_size</t>
    <phoneticPr fontId="18" type="noConversion"/>
  </si>
  <si>
    <t>sf_period</t>
    <phoneticPr fontId="18" type="noConversion"/>
  </si>
  <si>
    <t>us</t>
    <phoneticPr fontId="18" type="noConversion"/>
  </si>
  <si>
    <t>계산치</t>
    <phoneticPr fontId="18" type="noConversion"/>
  </si>
  <si>
    <t>설정값 [dec]</t>
    <phoneticPr fontId="18" type="noConversion"/>
  </si>
  <si>
    <t>설정값 [hex]</t>
    <phoneticPr fontId="18" type="noConversion"/>
  </si>
  <si>
    <t>주소 [hex]</t>
    <phoneticPr fontId="18" type="noConversion"/>
  </si>
  <si>
    <t>0x03</t>
    <phoneticPr fontId="18" type="noConversion"/>
  </si>
  <si>
    <t>0x02</t>
    <phoneticPr fontId="18" type="noConversion"/>
  </si>
  <si>
    <t>logic 0 duty min</t>
    <phoneticPr fontId="18" type="noConversion"/>
  </si>
  <si>
    <t>logic 0 duty max</t>
    <phoneticPr fontId="18" type="noConversion"/>
  </si>
  <si>
    <t>logic 1 duty min</t>
    <phoneticPr fontId="18" type="noConversion"/>
  </si>
  <si>
    <t>logic 1 duty max</t>
    <phoneticPr fontId="18" type="noConversion"/>
  </si>
  <si>
    <t>error rate</t>
    <phoneticPr fontId="18" type="noConversion"/>
  </si>
  <si>
    <t>ms</t>
    <phoneticPr fontId="18" type="noConversion"/>
  </si>
  <si>
    <t>mV</t>
    <phoneticPr fontId="18" type="noConversion"/>
  </si>
  <si>
    <t>P1</t>
    <phoneticPr fontId="18" type="noConversion"/>
  </si>
  <si>
    <t>P2</t>
    <phoneticPr fontId="18" type="noConversion"/>
  </si>
  <si>
    <t>default</t>
    <phoneticPr fontId="18" type="noConversion"/>
  </si>
  <si>
    <t>ofs max</t>
    <phoneticPr fontId="18" type="noConversion"/>
  </si>
  <si>
    <t>gain max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</si>
</sst>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&quot;MHz&quot;"/>
    <numFmt numFmtId="177" formatCode="0.00&quot;MHz&quot;"/>
    <numFmt numFmtId="178" formatCode="0.000&quot;MHz&quot;"/>
    <numFmt numFmtId="179" formatCode="0.0%"/>
    <numFmt numFmtId="188" formatCode="0.00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9" fontId="0" fillId="0" borderId="0" xfId="42" applyNumberFormat="1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88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521637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6"/>
  <sheetViews>
    <sheetView workbookViewId="0"/>
  </sheetViews>
  <sheetFormatPr defaultRowHeight="16.899999999999999" x14ac:dyDescent="0.6"/>
  <cols>
    <col min="1" max="1" width="2.5625" customWidth="1"/>
    <col min="2" max="2" width="7.5625" bestFit="1" customWidth="1"/>
    <col min="3" max="3" width="16.0625" bestFit="1" customWidth="1"/>
    <col min="4" max="4" width="6.8125" bestFit="1" customWidth="1"/>
    <col min="5" max="5" width="16" bestFit="1" customWidth="1"/>
    <col min="6" max="6" width="18.0625" bestFit="1" customWidth="1"/>
  </cols>
  <sheetData>
    <row r="2" spans="2:6" x14ac:dyDescent="0.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6">
      <c r="B3">
        <v>1</v>
      </c>
      <c r="C3" t="s">
        <v>5</v>
      </c>
      <c r="D3" t="s">
        <v>6</v>
      </c>
    </row>
    <row r="4" spans="2:6" x14ac:dyDescent="0.6">
      <c r="B4">
        <v>2</v>
      </c>
      <c r="C4" t="s">
        <v>7</v>
      </c>
      <c r="D4" t="s">
        <v>8</v>
      </c>
      <c r="E4" t="s">
        <v>9</v>
      </c>
      <c r="F4" t="s">
        <v>10</v>
      </c>
    </row>
    <row r="5" spans="2:6" x14ac:dyDescent="0.6">
      <c r="B5">
        <v>3</v>
      </c>
      <c r="C5" t="s">
        <v>11</v>
      </c>
      <c r="D5" t="s">
        <v>12</v>
      </c>
      <c r="E5" t="s">
        <v>13</v>
      </c>
    </row>
    <row r="6" spans="2:6" x14ac:dyDescent="0.6">
      <c r="B6">
        <v>4</v>
      </c>
      <c r="C6" t="s">
        <v>14</v>
      </c>
      <c r="D6" t="s">
        <v>12</v>
      </c>
      <c r="E6" t="s">
        <v>15</v>
      </c>
    </row>
    <row r="7" spans="2:6" x14ac:dyDescent="0.6">
      <c r="B7">
        <v>5</v>
      </c>
      <c r="C7" t="s">
        <v>16</v>
      </c>
      <c r="D7" t="s">
        <v>12</v>
      </c>
      <c r="E7" t="s">
        <v>17</v>
      </c>
    </row>
    <row r="8" spans="2:6" x14ac:dyDescent="0.6">
      <c r="B8">
        <v>6</v>
      </c>
      <c r="C8" t="s">
        <v>18</v>
      </c>
      <c r="D8" t="s">
        <v>12</v>
      </c>
      <c r="E8" t="s">
        <v>19</v>
      </c>
    </row>
    <row r="9" spans="2:6" x14ac:dyDescent="0.6">
      <c r="B9">
        <v>7</v>
      </c>
      <c r="C9" t="s">
        <v>20</v>
      </c>
      <c r="D9" t="s">
        <v>21</v>
      </c>
    </row>
    <row r="10" spans="2:6" x14ac:dyDescent="0.6">
      <c r="B10">
        <v>8</v>
      </c>
      <c r="C10" t="s">
        <v>22</v>
      </c>
      <c r="D10" t="s">
        <v>23</v>
      </c>
      <c r="E10" t="s">
        <v>24</v>
      </c>
      <c r="F10" t="s">
        <v>25</v>
      </c>
    </row>
    <row r="11" spans="2:6" x14ac:dyDescent="0.6">
      <c r="B11">
        <v>9</v>
      </c>
      <c r="C11" t="s">
        <v>26</v>
      </c>
      <c r="D11" t="s">
        <v>12</v>
      </c>
      <c r="E11" t="s">
        <v>27</v>
      </c>
      <c r="F11" t="s">
        <v>28</v>
      </c>
    </row>
    <row r="12" spans="2:6" x14ac:dyDescent="0.6">
      <c r="B12">
        <v>10</v>
      </c>
      <c r="C12" t="s">
        <v>29</v>
      </c>
      <c r="D12" t="s">
        <v>12</v>
      </c>
      <c r="E12" t="s">
        <v>30</v>
      </c>
      <c r="F12" t="s">
        <v>31</v>
      </c>
    </row>
    <row r="13" spans="2:6" x14ac:dyDescent="0.6">
      <c r="B13">
        <v>11</v>
      </c>
      <c r="C13" t="s">
        <v>32</v>
      </c>
      <c r="D13" t="s">
        <v>23</v>
      </c>
      <c r="E13" t="s">
        <v>24</v>
      </c>
      <c r="F13" t="s">
        <v>123</v>
      </c>
    </row>
    <row r="14" spans="2:6" x14ac:dyDescent="0.6">
      <c r="B14">
        <v>12</v>
      </c>
      <c r="C14" t="s">
        <v>33</v>
      </c>
      <c r="D14" t="s">
        <v>6</v>
      </c>
    </row>
    <row r="15" spans="2:6" x14ac:dyDescent="0.6">
      <c r="B15">
        <v>13</v>
      </c>
      <c r="C15" t="s">
        <v>34</v>
      </c>
      <c r="D15" t="s">
        <v>6</v>
      </c>
    </row>
    <row r="16" spans="2:6" x14ac:dyDescent="0.6">
      <c r="B16">
        <v>14</v>
      </c>
      <c r="C16" t="s">
        <v>35</v>
      </c>
      <c r="D16" t="s">
        <v>12</v>
      </c>
      <c r="E16" t="s">
        <v>36</v>
      </c>
      <c r="F16" t="s">
        <v>37</v>
      </c>
    </row>
    <row r="17" spans="2:6" x14ac:dyDescent="0.6">
      <c r="B17">
        <v>15</v>
      </c>
      <c r="C17" t="s">
        <v>38</v>
      </c>
      <c r="D17" t="s">
        <v>23</v>
      </c>
      <c r="E17" t="s">
        <v>24</v>
      </c>
      <c r="F17" t="s">
        <v>39</v>
      </c>
    </row>
    <row r="18" spans="2:6" x14ac:dyDescent="0.6">
      <c r="B18">
        <v>16</v>
      </c>
      <c r="C18" t="s">
        <v>40</v>
      </c>
      <c r="D18" t="s">
        <v>12</v>
      </c>
      <c r="E18" t="s">
        <v>41</v>
      </c>
      <c r="F18" t="s">
        <v>42</v>
      </c>
    </row>
    <row r="19" spans="2:6" x14ac:dyDescent="0.6">
      <c r="B19">
        <v>17</v>
      </c>
      <c r="C19" t="s">
        <v>43</v>
      </c>
      <c r="D19" t="s">
        <v>12</v>
      </c>
      <c r="E19" t="s">
        <v>44</v>
      </c>
      <c r="F19" t="s">
        <v>45</v>
      </c>
    </row>
    <row r="20" spans="2:6" x14ac:dyDescent="0.6">
      <c r="B20">
        <v>18</v>
      </c>
      <c r="C20" t="s">
        <v>46</v>
      </c>
      <c r="D20" t="s">
        <v>6</v>
      </c>
    </row>
    <row r="21" spans="2:6" x14ac:dyDescent="0.6">
      <c r="B21">
        <v>19</v>
      </c>
      <c r="C21" t="s">
        <v>47</v>
      </c>
      <c r="D21" t="s">
        <v>6</v>
      </c>
    </row>
    <row r="22" spans="2:6" x14ac:dyDescent="0.6">
      <c r="B22">
        <v>20</v>
      </c>
      <c r="C22" t="s">
        <v>48</v>
      </c>
      <c r="D22" t="s">
        <v>23</v>
      </c>
      <c r="E22" t="s">
        <v>24</v>
      </c>
      <c r="F22" t="s">
        <v>49</v>
      </c>
    </row>
    <row r="23" spans="2:6" x14ac:dyDescent="0.6">
      <c r="B23">
        <v>21</v>
      </c>
      <c r="C23" t="s">
        <v>50</v>
      </c>
      <c r="D23" t="s">
        <v>12</v>
      </c>
      <c r="E23" t="s">
        <v>51</v>
      </c>
      <c r="F23" t="s">
        <v>124</v>
      </c>
    </row>
    <row r="24" spans="2:6" x14ac:dyDescent="0.6">
      <c r="B24">
        <v>22</v>
      </c>
      <c r="C24" t="s">
        <v>52</v>
      </c>
      <c r="D24" t="s">
        <v>12</v>
      </c>
      <c r="E24" t="s">
        <v>53</v>
      </c>
      <c r="F24" t="s">
        <v>125</v>
      </c>
    </row>
    <row r="25" spans="2:6" x14ac:dyDescent="0.6">
      <c r="B25">
        <v>23</v>
      </c>
      <c r="C25" t="s">
        <v>54</v>
      </c>
      <c r="D25" t="s">
        <v>12</v>
      </c>
      <c r="E25" t="s">
        <v>55</v>
      </c>
      <c r="F25" t="s">
        <v>126</v>
      </c>
    </row>
    <row r="26" spans="2:6" x14ac:dyDescent="0.6">
      <c r="B26">
        <v>24</v>
      </c>
      <c r="C26" t="s">
        <v>56</v>
      </c>
      <c r="D26" t="s">
        <v>12</v>
      </c>
      <c r="E26" t="s">
        <v>57</v>
      </c>
      <c r="F26" t="s">
        <v>58</v>
      </c>
    </row>
    <row r="27" spans="2:6" x14ac:dyDescent="0.6">
      <c r="B27">
        <v>25</v>
      </c>
      <c r="C27" t="s">
        <v>59</v>
      </c>
      <c r="D27" t="s">
        <v>23</v>
      </c>
      <c r="E27" t="s">
        <v>24</v>
      </c>
      <c r="F27" t="s">
        <v>127</v>
      </c>
    </row>
    <row r="28" spans="2:6" x14ac:dyDescent="0.6">
      <c r="B28">
        <v>26</v>
      </c>
      <c r="C28" t="s">
        <v>60</v>
      </c>
      <c r="D28" t="s">
        <v>12</v>
      </c>
      <c r="E28" t="s">
        <v>61</v>
      </c>
      <c r="F28" t="s">
        <v>62</v>
      </c>
    </row>
    <row r="29" spans="2:6" x14ac:dyDescent="0.6">
      <c r="B29">
        <v>27</v>
      </c>
      <c r="C29" t="s">
        <v>63</v>
      </c>
      <c r="D29" t="s">
        <v>23</v>
      </c>
      <c r="E29" t="s">
        <v>24</v>
      </c>
      <c r="F29" t="s">
        <v>64</v>
      </c>
    </row>
    <row r="30" spans="2:6" x14ac:dyDescent="0.6">
      <c r="B30">
        <v>28</v>
      </c>
      <c r="C30" t="s">
        <v>65</v>
      </c>
      <c r="D30" t="s">
        <v>12</v>
      </c>
      <c r="E30" t="s">
        <v>66</v>
      </c>
      <c r="F30" t="s">
        <v>128</v>
      </c>
    </row>
    <row r="31" spans="2:6" x14ac:dyDescent="0.6">
      <c r="B31">
        <v>29</v>
      </c>
      <c r="C31" t="s">
        <v>67</v>
      </c>
      <c r="D31" t="s">
        <v>12</v>
      </c>
      <c r="E31" t="s">
        <v>68</v>
      </c>
      <c r="F31" t="s">
        <v>69</v>
      </c>
    </row>
    <row r="32" spans="2:6" x14ac:dyDescent="0.6">
      <c r="B32">
        <v>30</v>
      </c>
      <c r="C32" t="s">
        <v>70</v>
      </c>
      <c r="D32" t="s">
        <v>6</v>
      </c>
    </row>
    <row r="33" spans="2:6" x14ac:dyDescent="0.6">
      <c r="B33">
        <v>31</v>
      </c>
      <c r="C33" t="s">
        <v>46</v>
      </c>
      <c r="D33" t="s">
        <v>6</v>
      </c>
    </row>
    <row r="34" spans="2:6" x14ac:dyDescent="0.6">
      <c r="B34">
        <v>32</v>
      </c>
      <c r="C34" t="s">
        <v>47</v>
      </c>
      <c r="D34" t="s">
        <v>6</v>
      </c>
    </row>
    <row r="35" spans="2:6" x14ac:dyDescent="0.6">
      <c r="B35">
        <v>33</v>
      </c>
      <c r="C35" t="s">
        <v>71</v>
      </c>
      <c r="D35" t="s">
        <v>23</v>
      </c>
      <c r="E35" t="s">
        <v>24</v>
      </c>
      <c r="F35" t="s">
        <v>72</v>
      </c>
    </row>
    <row r="36" spans="2:6" x14ac:dyDescent="0.6">
      <c r="B36">
        <v>34</v>
      </c>
      <c r="C36" t="s">
        <v>73</v>
      </c>
      <c r="D36" t="s">
        <v>8</v>
      </c>
      <c r="E36" t="s">
        <v>9</v>
      </c>
      <c r="F36" t="s">
        <v>129</v>
      </c>
    </row>
    <row r="37" spans="2:6" x14ac:dyDescent="0.6">
      <c r="B37">
        <v>35</v>
      </c>
      <c r="C37" t="s">
        <v>74</v>
      </c>
      <c r="D37" t="s">
        <v>23</v>
      </c>
      <c r="E37" t="s">
        <v>24</v>
      </c>
      <c r="F37" t="s">
        <v>75</v>
      </c>
    </row>
    <row r="38" spans="2:6" x14ac:dyDescent="0.6">
      <c r="B38">
        <v>36</v>
      </c>
      <c r="C38" t="s">
        <v>76</v>
      </c>
      <c r="D38" t="s">
        <v>23</v>
      </c>
      <c r="E38" t="s">
        <v>24</v>
      </c>
      <c r="F38" t="s">
        <v>77</v>
      </c>
    </row>
    <row r="39" spans="2:6" x14ac:dyDescent="0.6">
      <c r="B39">
        <v>37</v>
      </c>
      <c r="C39" t="s">
        <v>78</v>
      </c>
      <c r="D39" t="s">
        <v>23</v>
      </c>
      <c r="E39" t="s">
        <v>24</v>
      </c>
      <c r="F39" t="s">
        <v>130</v>
      </c>
    </row>
    <row r="40" spans="2:6" x14ac:dyDescent="0.6">
      <c r="B40">
        <v>38</v>
      </c>
      <c r="C40" t="s">
        <v>79</v>
      </c>
      <c r="D40" t="s">
        <v>12</v>
      </c>
      <c r="E40" t="s">
        <v>80</v>
      </c>
      <c r="F40" t="s">
        <v>188</v>
      </c>
    </row>
    <row r="41" spans="2:6" x14ac:dyDescent="0.6">
      <c r="B41">
        <v>39</v>
      </c>
      <c r="C41" t="s">
        <v>81</v>
      </c>
      <c r="D41" t="s">
        <v>23</v>
      </c>
      <c r="E41" t="s">
        <v>24</v>
      </c>
      <c r="F41" t="s">
        <v>82</v>
      </c>
    </row>
    <row r="42" spans="2:6" x14ac:dyDescent="0.6">
      <c r="B42">
        <v>40</v>
      </c>
      <c r="C42" t="s">
        <v>83</v>
      </c>
      <c r="D42" t="s">
        <v>12</v>
      </c>
      <c r="E42" t="s">
        <v>84</v>
      </c>
      <c r="F42" t="s">
        <v>85</v>
      </c>
    </row>
    <row r="43" spans="2:6" x14ac:dyDescent="0.6">
      <c r="B43">
        <v>41</v>
      </c>
      <c r="C43" t="s">
        <v>86</v>
      </c>
      <c r="D43" t="s">
        <v>12</v>
      </c>
      <c r="E43" t="s">
        <v>87</v>
      </c>
      <c r="F43" t="s">
        <v>88</v>
      </c>
    </row>
    <row r="44" spans="2:6" x14ac:dyDescent="0.6">
      <c r="B44">
        <v>42</v>
      </c>
      <c r="C44" t="s">
        <v>89</v>
      </c>
      <c r="D44" t="s">
        <v>23</v>
      </c>
      <c r="E44" t="s">
        <v>24</v>
      </c>
      <c r="F44" t="s">
        <v>90</v>
      </c>
    </row>
    <row r="45" spans="2:6" x14ac:dyDescent="0.6">
      <c r="B45">
        <v>43</v>
      </c>
      <c r="C45" t="s">
        <v>91</v>
      </c>
      <c r="D45" t="s">
        <v>23</v>
      </c>
      <c r="E45" t="s">
        <v>24</v>
      </c>
      <c r="F45" t="s">
        <v>92</v>
      </c>
    </row>
    <row r="46" spans="2:6" x14ac:dyDescent="0.6">
      <c r="B46">
        <v>44</v>
      </c>
      <c r="C46" t="s">
        <v>93</v>
      </c>
      <c r="D46" t="s">
        <v>23</v>
      </c>
      <c r="E46" t="s">
        <v>24</v>
      </c>
      <c r="F46" t="s">
        <v>131</v>
      </c>
    </row>
    <row r="47" spans="2:6" x14ac:dyDescent="0.6">
      <c r="B47">
        <v>45</v>
      </c>
      <c r="C47" t="s">
        <v>94</v>
      </c>
      <c r="D47" t="s">
        <v>23</v>
      </c>
      <c r="E47" t="s">
        <v>24</v>
      </c>
      <c r="F47" t="s">
        <v>95</v>
      </c>
    </row>
    <row r="48" spans="2:6" x14ac:dyDescent="0.6">
      <c r="B48">
        <v>46</v>
      </c>
      <c r="C48" t="s">
        <v>96</v>
      </c>
      <c r="D48" t="s">
        <v>12</v>
      </c>
      <c r="E48" t="s">
        <v>97</v>
      </c>
      <c r="F48" t="s">
        <v>98</v>
      </c>
    </row>
    <row r="49" spans="2:6" x14ac:dyDescent="0.6">
      <c r="B49">
        <v>47</v>
      </c>
      <c r="C49" t="s">
        <v>46</v>
      </c>
      <c r="D49" t="s">
        <v>6</v>
      </c>
    </row>
    <row r="50" spans="2:6" x14ac:dyDescent="0.6">
      <c r="B50">
        <v>48</v>
      </c>
      <c r="C50" t="s">
        <v>47</v>
      </c>
      <c r="D50" t="s">
        <v>6</v>
      </c>
    </row>
    <row r="51" spans="2:6" x14ac:dyDescent="0.6">
      <c r="B51">
        <v>49</v>
      </c>
      <c r="C51" t="s">
        <v>99</v>
      </c>
      <c r="D51" t="s">
        <v>12</v>
      </c>
      <c r="E51" t="s">
        <v>100</v>
      </c>
      <c r="F51" t="s">
        <v>101</v>
      </c>
    </row>
    <row r="52" spans="2:6" x14ac:dyDescent="0.6">
      <c r="B52">
        <v>50</v>
      </c>
      <c r="C52" t="s">
        <v>102</v>
      </c>
      <c r="D52" t="s">
        <v>8</v>
      </c>
      <c r="E52" t="s">
        <v>9</v>
      </c>
      <c r="F52" t="s">
        <v>132</v>
      </c>
    </row>
    <row r="53" spans="2:6" x14ac:dyDescent="0.6">
      <c r="B53">
        <v>51</v>
      </c>
      <c r="C53" t="s">
        <v>103</v>
      </c>
      <c r="D53" t="s">
        <v>12</v>
      </c>
      <c r="E53" t="s">
        <v>104</v>
      </c>
      <c r="F53" t="s">
        <v>133</v>
      </c>
    </row>
    <row r="54" spans="2:6" x14ac:dyDescent="0.6">
      <c r="B54">
        <v>52</v>
      </c>
      <c r="C54" t="s">
        <v>105</v>
      </c>
      <c r="D54" t="s">
        <v>12</v>
      </c>
      <c r="E54" t="s">
        <v>106</v>
      </c>
      <c r="F54" t="s">
        <v>134</v>
      </c>
    </row>
    <row r="55" spans="2:6" x14ac:dyDescent="0.6">
      <c r="B55">
        <v>53</v>
      </c>
      <c r="C55" t="s">
        <v>107</v>
      </c>
      <c r="D55" t="s">
        <v>23</v>
      </c>
      <c r="E55" t="s">
        <v>24</v>
      </c>
      <c r="F55" t="s">
        <v>108</v>
      </c>
    </row>
    <row r="56" spans="2:6" x14ac:dyDescent="0.6">
      <c r="B56">
        <v>54</v>
      </c>
      <c r="C56" t="s">
        <v>109</v>
      </c>
      <c r="D56" t="s">
        <v>12</v>
      </c>
    </row>
    <row r="57" spans="2:6" x14ac:dyDescent="0.6">
      <c r="B57">
        <v>55</v>
      </c>
      <c r="C57" t="s">
        <v>110</v>
      </c>
      <c r="D57" t="s">
        <v>12</v>
      </c>
      <c r="E57" t="s">
        <v>135</v>
      </c>
      <c r="F57" t="s">
        <v>136</v>
      </c>
    </row>
    <row r="58" spans="2:6" x14ac:dyDescent="0.6">
      <c r="B58">
        <v>56</v>
      </c>
      <c r="C58" t="s">
        <v>111</v>
      </c>
      <c r="D58" t="s">
        <v>23</v>
      </c>
      <c r="E58" t="s">
        <v>24</v>
      </c>
      <c r="F58" t="s">
        <v>112</v>
      </c>
    </row>
    <row r="59" spans="2:6" x14ac:dyDescent="0.6">
      <c r="B59">
        <v>57</v>
      </c>
      <c r="C59" t="s">
        <v>113</v>
      </c>
      <c r="D59" t="s">
        <v>23</v>
      </c>
      <c r="E59" t="s">
        <v>24</v>
      </c>
      <c r="F59" t="s">
        <v>114</v>
      </c>
    </row>
    <row r="60" spans="2:6" x14ac:dyDescent="0.6">
      <c r="B60">
        <v>58</v>
      </c>
      <c r="C60" t="s">
        <v>115</v>
      </c>
      <c r="D60" t="s">
        <v>23</v>
      </c>
      <c r="E60" t="s">
        <v>24</v>
      </c>
      <c r="F60" t="s">
        <v>122</v>
      </c>
    </row>
    <row r="61" spans="2:6" x14ac:dyDescent="0.6">
      <c r="B61">
        <v>59</v>
      </c>
      <c r="C61" t="s">
        <v>116</v>
      </c>
      <c r="D61" t="s">
        <v>12</v>
      </c>
    </row>
    <row r="62" spans="2:6" x14ac:dyDescent="0.6">
      <c r="B62">
        <v>60</v>
      </c>
      <c r="C62" t="s">
        <v>117</v>
      </c>
      <c r="D62" t="s">
        <v>118</v>
      </c>
    </row>
    <row r="63" spans="2:6" x14ac:dyDescent="0.6">
      <c r="B63">
        <v>61</v>
      </c>
      <c r="C63" t="s">
        <v>119</v>
      </c>
      <c r="D63" t="s">
        <v>23</v>
      </c>
      <c r="E63" t="s">
        <v>24</v>
      </c>
      <c r="F63" t="s">
        <v>120</v>
      </c>
    </row>
    <row r="64" spans="2:6" x14ac:dyDescent="0.6">
      <c r="B64">
        <v>62</v>
      </c>
      <c r="C64" t="s">
        <v>121</v>
      </c>
      <c r="D64" t="s">
        <v>12</v>
      </c>
    </row>
    <row r="65" spans="2:4" x14ac:dyDescent="0.6">
      <c r="B65">
        <v>63</v>
      </c>
      <c r="C65" t="s">
        <v>46</v>
      </c>
      <c r="D65" t="s">
        <v>6</v>
      </c>
    </row>
    <row r="66" spans="2:4" x14ac:dyDescent="0.6">
      <c r="B66">
        <v>64</v>
      </c>
      <c r="C66" t="s">
        <v>47</v>
      </c>
      <c r="D66" t="s">
        <v>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tabSelected="1" zoomScale="85" zoomScaleNormal="85" workbookViewId="0"/>
  </sheetViews>
  <sheetFormatPr defaultRowHeight="16.899999999999999" x14ac:dyDescent="0.6"/>
  <cols>
    <col min="1" max="1" width="2.5625" customWidth="1"/>
    <col min="2" max="2" width="9.1875" bestFit="1" customWidth="1"/>
    <col min="3" max="3" width="11.1875" bestFit="1" customWidth="1"/>
    <col min="4" max="8" width="10.0625" bestFit="1" customWidth="1"/>
    <col min="9" max="9" width="13.3125" bestFit="1" customWidth="1"/>
    <col min="10" max="10" width="11.1875" bestFit="1" customWidth="1"/>
    <col min="11" max="11" width="15.8125" bestFit="1" customWidth="1"/>
    <col min="12" max="12" width="13.3125" bestFit="1" customWidth="1"/>
    <col min="13" max="13" width="11.1875" bestFit="1" customWidth="1"/>
    <col min="14" max="14" width="10.0625" bestFit="1" customWidth="1"/>
    <col min="15" max="16" width="9.9375" bestFit="1" customWidth="1"/>
  </cols>
  <sheetData>
    <row r="2" spans="2:16" x14ac:dyDescent="0.6">
      <c r="C2" t="s">
        <v>172</v>
      </c>
      <c r="D2" t="s">
        <v>173</v>
      </c>
    </row>
    <row r="3" spans="2:16" x14ac:dyDescent="0.6">
      <c r="B3" s="1" t="s">
        <v>153</v>
      </c>
      <c r="C3" s="2">
        <v>36</v>
      </c>
      <c r="D3" s="2">
        <f>C3*2</f>
        <v>72</v>
      </c>
    </row>
    <row r="4" spans="2:16" x14ac:dyDescent="0.6">
      <c r="B4" s="1" t="s">
        <v>152</v>
      </c>
      <c r="C4" s="2">
        <v>72</v>
      </c>
      <c r="D4" s="2">
        <f>C4*2</f>
        <v>144</v>
      </c>
    </row>
    <row r="6" spans="2:16" x14ac:dyDescent="0.6">
      <c r="B6" s="1"/>
      <c r="C6" s="1" t="s">
        <v>137</v>
      </c>
      <c r="D6" s="1" t="s">
        <v>138</v>
      </c>
      <c r="E6" s="1" t="s">
        <v>139</v>
      </c>
      <c r="F6" s="1" t="s">
        <v>140</v>
      </c>
      <c r="G6" s="1" t="s">
        <v>141</v>
      </c>
      <c r="H6" s="1" t="s">
        <v>142</v>
      </c>
      <c r="I6" s="1" t="s">
        <v>143</v>
      </c>
      <c r="J6" s="1" t="s">
        <v>144</v>
      </c>
      <c r="K6" s="1" t="s">
        <v>145</v>
      </c>
      <c r="L6" s="1" t="s">
        <v>146</v>
      </c>
      <c r="M6" s="1" t="s">
        <v>147</v>
      </c>
      <c r="N6" s="1" t="s">
        <v>148</v>
      </c>
      <c r="O6" s="1" t="s">
        <v>149</v>
      </c>
      <c r="P6" s="1" t="s">
        <v>150</v>
      </c>
    </row>
    <row r="7" spans="2:16" x14ac:dyDescent="0.6">
      <c r="B7" s="1" t="s">
        <v>151</v>
      </c>
      <c r="C7" s="1" t="s">
        <v>152</v>
      </c>
      <c r="D7" s="1" t="s">
        <v>153</v>
      </c>
      <c r="E7" s="1" t="s">
        <v>153</v>
      </c>
      <c r="F7" s="1" t="s">
        <v>153</v>
      </c>
      <c r="G7" s="1" t="s">
        <v>153</v>
      </c>
      <c r="H7" s="1" t="s">
        <v>153</v>
      </c>
      <c r="I7" s="1" t="s">
        <v>153</v>
      </c>
      <c r="J7" s="1" t="s">
        <v>152</v>
      </c>
      <c r="K7" s="1" t="s">
        <v>152</v>
      </c>
      <c r="L7" s="1" t="s">
        <v>152</v>
      </c>
      <c r="M7" s="1" t="s">
        <v>152</v>
      </c>
      <c r="N7" s="1" t="s">
        <v>153</v>
      </c>
      <c r="O7" s="1" t="s">
        <v>153</v>
      </c>
      <c r="P7" s="1" t="s">
        <v>153</v>
      </c>
    </row>
    <row r="8" spans="2:16" x14ac:dyDescent="0.6">
      <c r="B8" s="1" t="s">
        <v>160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6">
      <c r="B9" s="1" t="s">
        <v>165</v>
      </c>
      <c r="C9" t="s">
        <v>161</v>
      </c>
      <c r="D9" t="s">
        <v>162</v>
      </c>
      <c r="G9" t="s">
        <v>163</v>
      </c>
      <c r="J9" t="s">
        <v>187</v>
      </c>
      <c r="N9" t="s">
        <v>164</v>
      </c>
    </row>
    <row r="10" spans="2:16" x14ac:dyDescent="0.6">
      <c r="B10" s="1" t="s">
        <v>154</v>
      </c>
      <c r="C10" s="3">
        <f t="shared" ref="C10:P10" si="0">IF(C7="APB2",$D$4, $D$3)</f>
        <v>144</v>
      </c>
      <c r="D10" s="3">
        <f t="shared" si="0"/>
        <v>72</v>
      </c>
      <c r="E10" s="3">
        <f t="shared" si="0"/>
        <v>72</v>
      </c>
      <c r="F10" s="3">
        <f t="shared" si="0"/>
        <v>72</v>
      </c>
      <c r="G10" s="3">
        <f t="shared" si="0"/>
        <v>72</v>
      </c>
      <c r="H10" s="3">
        <f t="shared" si="0"/>
        <v>72</v>
      </c>
      <c r="I10" s="3">
        <f t="shared" si="0"/>
        <v>72</v>
      </c>
      <c r="J10" s="3">
        <f t="shared" si="0"/>
        <v>144</v>
      </c>
      <c r="K10" s="3">
        <f t="shared" si="0"/>
        <v>144</v>
      </c>
      <c r="L10" s="3">
        <f t="shared" si="0"/>
        <v>144</v>
      </c>
      <c r="M10" s="3">
        <f t="shared" si="0"/>
        <v>144</v>
      </c>
      <c r="N10" s="3">
        <f t="shared" si="0"/>
        <v>72</v>
      </c>
      <c r="O10" s="2">
        <f t="shared" si="0"/>
        <v>72</v>
      </c>
      <c r="P10" s="2">
        <f t="shared" si="0"/>
        <v>72</v>
      </c>
    </row>
    <row r="11" spans="2:16" x14ac:dyDescent="0.6">
      <c r="B11" s="1" t="s">
        <v>155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179</v>
      </c>
      <c r="L11">
        <v>179</v>
      </c>
      <c r="M11">
        <v>0</v>
      </c>
      <c r="N11">
        <v>71</v>
      </c>
      <c r="O11">
        <v>0</v>
      </c>
      <c r="P11">
        <v>0</v>
      </c>
    </row>
    <row r="12" spans="2:16" x14ac:dyDescent="0.6">
      <c r="B12" s="1" t="s">
        <v>156</v>
      </c>
      <c r="C12">
        <v>143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39999</v>
      </c>
      <c r="K12">
        <v>6867</v>
      </c>
      <c r="L12">
        <v>6867</v>
      </c>
      <c r="M12">
        <v>0</v>
      </c>
      <c r="N12">
        <v>0</v>
      </c>
      <c r="O12">
        <v>0</v>
      </c>
      <c r="P12">
        <v>0</v>
      </c>
    </row>
    <row r="13" spans="2:16" x14ac:dyDescent="0.6">
      <c r="B13" s="1" t="s">
        <v>157</v>
      </c>
      <c r="C13">
        <f>C10/((C11+1)*(C12+1))</f>
        <v>1</v>
      </c>
      <c r="D13">
        <f t="shared" ref="D13:P13" si="1">D10/((D11+1)*(D12+1))</f>
        <v>72</v>
      </c>
      <c r="E13">
        <f t="shared" si="1"/>
        <v>72</v>
      </c>
      <c r="F13">
        <f t="shared" si="1"/>
        <v>72</v>
      </c>
      <c r="G13">
        <f t="shared" si="1"/>
        <v>72</v>
      </c>
      <c r="H13">
        <f t="shared" si="1"/>
        <v>72</v>
      </c>
      <c r="I13">
        <f t="shared" si="1"/>
        <v>72</v>
      </c>
      <c r="J13">
        <f t="shared" si="1"/>
        <v>1.2E-4</v>
      </c>
      <c r="K13">
        <f t="shared" si="1"/>
        <v>1.1648223645894001E-4</v>
      </c>
      <c r="L13">
        <f t="shared" si="1"/>
        <v>1.1648223645894001E-4</v>
      </c>
      <c r="M13">
        <f t="shared" si="1"/>
        <v>144</v>
      </c>
      <c r="N13">
        <f t="shared" si="1"/>
        <v>1</v>
      </c>
      <c r="O13">
        <f t="shared" si="1"/>
        <v>72</v>
      </c>
      <c r="P13">
        <f t="shared" si="1"/>
        <v>72</v>
      </c>
    </row>
    <row r="14" spans="2:16" x14ac:dyDescent="0.6">
      <c r="B14" s="1" t="s">
        <v>158</v>
      </c>
      <c r="C14">
        <f>C13*1000</f>
        <v>1000</v>
      </c>
      <c r="D14">
        <f t="shared" ref="D14:P15" si="2">D13*1000</f>
        <v>72000</v>
      </c>
      <c r="E14">
        <f t="shared" si="2"/>
        <v>72000</v>
      </c>
      <c r="F14">
        <f t="shared" si="2"/>
        <v>72000</v>
      </c>
      <c r="G14">
        <f t="shared" si="2"/>
        <v>72000</v>
      </c>
      <c r="H14">
        <f t="shared" si="2"/>
        <v>72000</v>
      </c>
      <c r="I14">
        <f t="shared" si="2"/>
        <v>72000</v>
      </c>
      <c r="J14">
        <f t="shared" si="2"/>
        <v>0.12000000000000001</v>
      </c>
      <c r="K14">
        <f t="shared" si="2"/>
        <v>0.11648223645894001</v>
      </c>
      <c r="L14">
        <f t="shared" si="2"/>
        <v>0.11648223645894001</v>
      </c>
      <c r="M14">
        <f t="shared" si="2"/>
        <v>144000</v>
      </c>
      <c r="N14">
        <f t="shared" si="2"/>
        <v>1000</v>
      </c>
      <c r="O14">
        <f t="shared" si="2"/>
        <v>72000</v>
      </c>
      <c r="P14">
        <f t="shared" si="2"/>
        <v>72000</v>
      </c>
    </row>
    <row r="15" spans="2:16" x14ac:dyDescent="0.6">
      <c r="B15" s="1" t="s">
        <v>159</v>
      </c>
      <c r="C15">
        <f>C14*1000</f>
        <v>1000000</v>
      </c>
      <c r="D15">
        <f t="shared" si="2"/>
        <v>72000000</v>
      </c>
      <c r="E15">
        <f t="shared" si="2"/>
        <v>72000000</v>
      </c>
      <c r="F15">
        <f t="shared" si="2"/>
        <v>72000000</v>
      </c>
      <c r="G15">
        <f t="shared" si="2"/>
        <v>72000000</v>
      </c>
      <c r="H15">
        <f t="shared" si="2"/>
        <v>72000000</v>
      </c>
      <c r="I15">
        <f t="shared" si="2"/>
        <v>72000000</v>
      </c>
      <c r="J15">
        <f t="shared" si="2"/>
        <v>120.00000000000001</v>
      </c>
      <c r="K15">
        <f t="shared" si="2"/>
        <v>116.48223645894001</v>
      </c>
      <c r="L15">
        <f t="shared" si="2"/>
        <v>116.48223645894001</v>
      </c>
      <c r="M15">
        <f t="shared" si="2"/>
        <v>144000000</v>
      </c>
      <c r="N15">
        <f t="shared" si="2"/>
        <v>1000000</v>
      </c>
      <c r="O15">
        <f t="shared" si="2"/>
        <v>72000000</v>
      </c>
      <c r="P15">
        <f t="shared" si="2"/>
        <v>72000000</v>
      </c>
    </row>
    <row r="18" spans="2:12" x14ac:dyDescent="0.6">
      <c r="B18" s="1"/>
      <c r="C18" s="1" t="s">
        <v>166</v>
      </c>
      <c r="D18" s="1" t="s">
        <v>167</v>
      </c>
      <c r="E18" s="1" t="s">
        <v>168</v>
      </c>
      <c r="G18" s="1"/>
      <c r="H18" s="1" t="s">
        <v>179</v>
      </c>
      <c r="I18" s="1" t="s">
        <v>180</v>
      </c>
    </row>
    <row r="19" spans="2:12" x14ac:dyDescent="0.6">
      <c r="B19" s="1" t="s">
        <v>151</v>
      </c>
      <c r="C19" s="1" t="s">
        <v>152</v>
      </c>
      <c r="D19" s="1" t="s">
        <v>153</v>
      </c>
      <c r="E19" s="1" t="s">
        <v>153</v>
      </c>
      <c r="G19" s="1" t="s">
        <v>181</v>
      </c>
      <c r="H19" s="3">
        <v>16</v>
      </c>
      <c r="I19" s="4">
        <v>14.75</v>
      </c>
      <c r="K19" s="1" t="s">
        <v>223</v>
      </c>
      <c r="L19" s="1">
        <v>0.2</v>
      </c>
    </row>
    <row r="20" spans="2:12" x14ac:dyDescent="0.6">
      <c r="B20" s="1" t="s">
        <v>160</v>
      </c>
      <c r="C20" s="1">
        <v>16</v>
      </c>
      <c r="D20" s="1">
        <v>32</v>
      </c>
      <c r="E20" s="1">
        <v>16</v>
      </c>
      <c r="G20" s="1" t="s">
        <v>183</v>
      </c>
      <c r="H20">
        <v>6</v>
      </c>
      <c r="I20">
        <v>5</v>
      </c>
      <c r="K20" s="1" t="s">
        <v>219</v>
      </c>
      <c r="L20" s="9">
        <f>I22*(1-$L$19)</f>
        <v>0.28571428571428575</v>
      </c>
    </row>
    <row r="21" spans="2:12" x14ac:dyDescent="0.6">
      <c r="B21" s="1" t="s">
        <v>165</v>
      </c>
      <c r="C21" t="s">
        <v>169</v>
      </c>
      <c r="D21" t="s">
        <v>170</v>
      </c>
      <c r="E21" t="s">
        <v>171</v>
      </c>
      <c r="G21" s="1" t="s">
        <v>182</v>
      </c>
      <c r="H21">
        <v>10</v>
      </c>
      <c r="I21">
        <v>9</v>
      </c>
      <c r="K21" s="1" t="s">
        <v>220</v>
      </c>
      <c r="L21" s="9">
        <f>I22*(1+L19)</f>
        <v>0.42857142857142855</v>
      </c>
    </row>
    <row r="22" spans="2:12" x14ac:dyDescent="0.6">
      <c r="B22" s="1" t="s">
        <v>154</v>
      </c>
      <c r="C22" s="3">
        <f>IF(C19="APB2",$C$4, $C$3)</f>
        <v>72</v>
      </c>
      <c r="D22" s="3">
        <f t="shared" ref="D22:E22" si="3">IF(D19="APB2",$C$4, $C$3)</f>
        <v>36</v>
      </c>
      <c r="E22" s="3">
        <f t="shared" si="3"/>
        <v>36</v>
      </c>
      <c r="G22" s="1" t="s">
        <v>185</v>
      </c>
      <c r="H22">
        <f>H20/(H20+H21)</f>
        <v>0.375</v>
      </c>
      <c r="I22">
        <f>I20/(I20+I21)</f>
        <v>0.35714285714285715</v>
      </c>
      <c r="K22" s="1" t="s">
        <v>221</v>
      </c>
      <c r="L22" s="9">
        <f>I23*(1-L19)</f>
        <v>0.51428571428571435</v>
      </c>
    </row>
    <row r="23" spans="2:12" x14ac:dyDescent="0.6">
      <c r="B23" s="1" t="s">
        <v>155</v>
      </c>
      <c r="C23">
        <v>4</v>
      </c>
      <c r="D23">
        <v>2</v>
      </c>
      <c r="E23">
        <v>4</v>
      </c>
      <c r="G23" s="1" t="s">
        <v>184</v>
      </c>
      <c r="H23">
        <f>H21/(H20+H21)</f>
        <v>0.625</v>
      </c>
      <c r="I23">
        <f>I21/(I20+I21)</f>
        <v>0.6428571428571429</v>
      </c>
      <c r="K23" s="1" t="s">
        <v>222</v>
      </c>
      <c r="L23" s="9">
        <f>I23*(1+L19)</f>
        <v>0.77142857142857146</v>
      </c>
    </row>
    <row r="24" spans="2:12" x14ac:dyDescent="0.6">
      <c r="B24" s="1" t="s">
        <v>157</v>
      </c>
      <c r="C24">
        <f>C22/(C23)</f>
        <v>18</v>
      </c>
      <c r="D24">
        <f t="shared" ref="D24:E24" si="4">D22/(D23)</f>
        <v>18</v>
      </c>
      <c r="E24">
        <f t="shared" si="4"/>
        <v>9</v>
      </c>
      <c r="G24" s="1" t="s">
        <v>186</v>
      </c>
      <c r="H24">
        <f>H19/(H20+H21)</f>
        <v>1</v>
      </c>
      <c r="I24">
        <f>I19/(I20+I21)</f>
        <v>1.0535714285714286</v>
      </c>
    </row>
    <row r="25" spans="2:12" x14ac:dyDescent="0.6">
      <c r="B25" s="1" t="s">
        <v>174</v>
      </c>
      <c r="C25" t="s">
        <v>176</v>
      </c>
      <c r="D25" t="s">
        <v>176</v>
      </c>
      <c r="E25" t="s">
        <v>176</v>
      </c>
    </row>
    <row r="26" spans="2:12" x14ac:dyDescent="0.6">
      <c r="B26" s="1" t="s">
        <v>175</v>
      </c>
      <c r="C26" t="s">
        <v>177</v>
      </c>
      <c r="D26" t="s">
        <v>177</v>
      </c>
      <c r="E26" t="s">
        <v>178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591C-C1BF-4994-BC74-FCC76486AC40}">
  <dimension ref="B2:C5"/>
  <sheetViews>
    <sheetView workbookViewId="0">
      <selection activeCell="B5" sqref="B5"/>
    </sheetView>
  </sheetViews>
  <sheetFormatPr defaultRowHeight="16.899999999999999" x14ac:dyDescent="0.6"/>
  <sheetData>
    <row r="2" spans="2:3" x14ac:dyDescent="0.6">
      <c r="B2">
        <v>860</v>
      </c>
      <c r="C2" t="s">
        <v>158</v>
      </c>
    </row>
    <row r="3" spans="2:3" x14ac:dyDescent="0.6">
      <c r="B3">
        <f>B2/128</f>
        <v>6.71875</v>
      </c>
    </row>
    <row r="4" spans="2:3" x14ac:dyDescent="0.6">
      <c r="B4">
        <f>1/B3</f>
        <v>0.14883720930232558</v>
      </c>
      <c r="C4" t="s">
        <v>224</v>
      </c>
    </row>
    <row r="5" spans="2:3" x14ac:dyDescent="0.6">
      <c r="B5">
        <f>B4*512</f>
        <v>76.204651162790697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C45D-E08B-4611-915C-65EE25651A09}">
  <dimension ref="B2:R22"/>
  <sheetViews>
    <sheetView zoomScaleNormal="100" workbookViewId="0"/>
  </sheetViews>
  <sheetFormatPr defaultColWidth="9" defaultRowHeight="16.899999999999999" x14ac:dyDescent="0.6"/>
  <cols>
    <col min="1" max="1" width="2.5625" style="5" customWidth="1"/>
    <col min="2" max="2" width="6.4375" style="5" bestFit="1" customWidth="1"/>
    <col min="3" max="4" width="7.4375" style="5" bestFit="1" customWidth="1"/>
    <col min="5" max="5" width="5.4375" style="5" bestFit="1" customWidth="1"/>
    <col min="6" max="7" width="9.4375" style="5" bestFit="1" customWidth="1"/>
    <col min="8" max="8" width="5.4375" style="5" bestFit="1" customWidth="1"/>
    <col min="9" max="9" width="9.3125" style="5" bestFit="1" customWidth="1"/>
    <col min="10" max="10" width="10.0625" style="5" bestFit="1" customWidth="1"/>
    <col min="11" max="11" width="8.3125" style="5" bestFit="1" customWidth="1"/>
    <col min="12" max="12" width="8.5625" style="5" bestFit="1" customWidth="1"/>
    <col min="13" max="13" width="3.3125" style="5" customWidth="1"/>
    <col min="14" max="14" width="5.4375" style="5" customWidth="1"/>
    <col min="15" max="15" width="3.6875" style="5" customWidth="1"/>
    <col min="16" max="16" width="9" style="5" customWidth="1"/>
    <col min="17" max="16384" width="9" style="5"/>
  </cols>
  <sheetData>
    <row r="2" spans="2:18" x14ac:dyDescent="0.6">
      <c r="B2" s="7" t="s">
        <v>199</v>
      </c>
      <c r="C2" s="7" t="s">
        <v>200</v>
      </c>
      <c r="D2" s="7" t="s">
        <v>201</v>
      </c>
      <c r="E2" s="7" t="s">
        <v>202</v>
      </c>
      <c r="F2" s="7" t="s">
        <v>203</v>
      </c>
      <c r="G2" s="7" t="s">
        <v>204</v>
      </c>
      <c r="H2" s="7" t="s">
        <v>205</v>
      </c>
      <c r="I2" s="7" t="s">
        <v>198</v>
      </c>
      <c r="J2" s="7" t="s">
        <v>191</v>
      </c>
      <c r="K2" s="7" t="s">
        <v>190</v>
      </c>
      <c r="L2" s="7" t="s">
        <v>192</v>
      </c>
      <c r="M2" s="7"/>
      <c r="N2" s="7" t="s">
        <v>206</v>
      </c>
      <c r="O2" s="7" t="s">
        <v>207</v>
      </c>
      <c r="P2" s="7" t="s">
        <v>208</v>
      </c>
    </row>
    <row r="3" spans="2:18" x14ac:dyDescent="0.6">
      <c r="B3" s="7">
        <v>1</v>
      </c>
      <c r="C3" s="5" t="s">
        <v>196</v>
      </c>
      <c r="D3" s="5">
        <v>2.2000000000000002</v>
      </c>
      <c r="E3" s="6">
        <v>0.01</v>
      </c>
      <c r="F3" s="5">
        <f>D3*(1-E3)</f>
        <v>2.1779999999999999</v>
      </c>
      <c r="G3" s="5">
        <f>D3*(1+E3)</f>
        <v>2.2220000000000004</v>
      </c>
      <c r="H3" s="5" t="s">
        <v>189</v>
      </c>
      <c r="I3" s="5" t="s">
        <v>193</v>
      </c>
      <c r="J3" s="5">
        <f>ROUND(4095*D3/3.3, 0)</f>
        <v>2730</v>
      </c>
      <c r="K3" s="5">
        <f>ROUND(4095*F3/3.3, 0)</f>
        <v>2703</v>
      </c>
      <c r="L3" s="5">
        <f>ROUND(4095*G3/3.3, 0)</f>
        <v>2757</v>
      </c>
      <c r="N3" s="5">
        <v>28</v>
      </c>
      <c r="O3" s="5">
        <v>2.2000000000000002</v>
      </c>
      <c r="P3" s="5">
        <v>3.3</v>
      </c>
    </row>
    <row r="4" spans="2:18" x14ac:dyDescent="0.6">
      <c r="B4" s="7">
        <v>2</v>
      </c>
      <c r="C4" s="5" t="s">
        <v>197</v>
      </c>
      <c r="D4" s="5">
        <v>14.75</v>
      </c>
      <c r="E4" s="5" t="s">
        <v>193</v>
      </c>
      <c r="F4" s="5">
        <f>D4</f>
        <v>14.75</v>
      </c>
      <c r="G4" s="5">
        <f>D4+0.1</f>
        <v>14.85</v>
      </c>
      <c r="H4" s="5" t="s">
        <v>157</v>
      </c>
      <c r="I4" s="5" t="s">
        <v>193</v>
      </c>
      <c r="J4" s="5">
        <f>ROUND(D4*1000000/(8*128), 0)</f>
        <v>14404</v>
      </c>
      <c r="K4" s="5">
        <f>ROUND(F4*1000000/(8*128), 0)</f>
        <v>14404</v>
      </c>
      <c r="L4" s="5">
        <f>ROUND(G4*1000000/(8*128), 0)</f>
        <v>14502</v>
      </c>
      <c r="N4" s="5">
        <v>200</v>
      </c>
      <c r="Q4" s="5" t="s">
        <v>226</v>
      </c>
      <c r="R4" s="5" t="s">
        <v>227</v>
      </c>
    </row>
    <row r="5" spans="2:18" x14ac:dyDescent="0.6">
      <c r="B5" s="7">
        <v>3</v>
      </c>
      <c r="C5" s="5" t="s">
        <v>195</v>
      </c>
      <c r="D5" s="5">
        <v>0.6452</v>
      </c>
      <c r="E5" s="6">
        <v>5.0000000000000001E-3</v>
      </c>
      <c r="F5" s="5">
        <f>D5*(1-E5)</f>
        <v>0.64197400000000004</v>
      </c>
      <c r="G5" s="5">
        <f>D5*(1+E5)</f>
        <v>0.64842599999999995</v>
      </c>
      <c r="H5" s="5" t="s">
        <v>194</v>
      </c>
      <c r="J5" s="5">
        <f>ROUND(D5*N4/1000*P3/O3/5*(2^15-1), 0)</f>
        <v>1268</v>
      </c>
      <c r="K5" s="5">
        <f>ROUND(F5*N4/1000*P3/O3/5*(2^15-1), 0)</f>
        <v>1262</v>
      </c>
      <c r="L5" s="5">
        <f>ROUND(G5*N4/1000*P3/O3/5*(2^15-1), 0)</f>
        <v>1275</v>
      </c>
      <c r="N5" s="5">
        <v>3900</v>
      </c>
      <c r="Q5" s="5">
        <v>2048</v>
      </c>
      <c r="R5" s="5">
        <v>8192</v>
      </c>
    </row>
    <row r="6" spans="2:18" x14ac:dyDescent="0.6">
      <c r="B6" s="7">
        <v>4</v>
      </c>
      <c r="C6" s="5" t="s">
        <v>198</v>
      </c>
      <c r="D6" s="5">
        <v>1.5484</v>
      </c>
      <c r="E6" s="6">
        <v>5.0000000000000001E-3</v>
      </c>
      <c r="F6" s="5">
        <f>D6*(1-E6)</f>
        <v>1.5406580000000001</v>
      </c>
      <c r="G6" s="5">
        <f>D6*(1+E6)</f>
        <v>1.5561419999999999</v>
      </c>
      <c r="H6" s="5" t="s">
        <v>194</v>
      </c>
      <c r="J6" s="5">
        <f>ROUND(D6*N4/1000*P3/O3/5*(2^15-1), 0)</f>
        <v>3044</v>
      </c>
      <c r="K6" s="5">
        <f>ROUND(F6*N4/1000*P3/O3/5*(2^15-1), 0)</f>
        <v>3029</v>
      </c>
      <c r="L6" s="5">
        <f>ROUND(G6*N4/1000*P3/O3/5*(2^15-1), 0)</f>
        <v>3059</v>
      </c>
      <c r="Q6" s="5">
        <v>12288</v>
      </c>
    </row>
    <row r="11" spans="2:18" x14ac:dyDescent="0.6">
      <c r="C11" s="5" t="s">
        <v>228</v>
      </c>
      <c r="F11" s="5" t="s">
        <v>229</v>
      </c>
      <c r="I11" s="5" t="s">
        <v>230</v>
      </c>
      <c r="R11" s="5" t="s">
        <v>194</v>
      </c>
    </row>
    <row r="12" spans="2:18" x14ac:dyDescent="0.6">
      <c r="B12" s="5">
        <v>2048</v>
      </c>
      <c r="C12" s="5">
        <v>41.6</v>
      </c>
      <c r="D12" s="5" t="s">
        <v>225</v>
      </c>
      <c r="F12" s="5">
        <v>61.2</v>
      </c>
      <c r="G12" s="5" t="s">
        <v>225</v>
      </c>
      <c r="I12" s="5">
        <v>61.2</v>
      </c>
      <c r="J12" s="5" t="s">
        <v>225</v>
      </c>
      <c r="P12" s="5">
        <v>1</v>
      </c>
      <c r="Q12" s="5">
        <v>41.2</v>
      </c>
      <c r="R12" s="5">
        <f>Q12/200</f>
        <v>0.20600000000000002</v>
      </c>
    </row>
    <row r="13" spans="2:18" x14ac:dyDescent="0.6">
      <c r="C13" s="5">
        <f>C12/200</f>
        <v>0.20800000000000002</v>
      </c>
      <c r="F13" s="5">
        <f>F12/200</f>
        <v>0.30599999999999999</v>
      </c>
      <c r="I13" s="5">
        <f>I12/200</f>
        <v>0.30599999999999999</v>
      </c>
      <c r="P13" s="5">
        <v>2</v>
      </c>
      <c r="Q13" s="5">
        <v>86.1</v>
      </c>
      <c r="R13" s="5">
        <f t="shared" ref="R13:R22" si="0">Q13/200</f>
        <v>0.43049999999999999</v>
      </c>
    </row>
    <row r="14" spans="2:18" x14ac:dyDescent="0.6">
      <c r="B14" s="5">
        <v>8192</v>
      </c>
      <c r="C14" s="5">
        <v>173.3</v>
      </c>
      <c r="D14" s="5" t="s">
        <v>225</v>
      </c>
      <c r="F14" s="5">
        <v>173.3</v>
      </c>
      <c r="G14" s="5" t="s">
        <v>225</v>
      </c>
      <c r="I14" s="5">
        <v>253</v>
      </c>
      <c r="J14" s="5" t="s">
        <v>225</v>
      </c>
      <c r="P14" s="5">
        <v>3</v>
      </c>
      <c r="Q14" s="5">
        <v>131</v>
      </c>
      <c r="R14" s="5">
        <f t="shared" si="0"/>
        <v>0.65500000000000003</v>
      </c>
    </row>
    <row r="15" spans="2:18" x14ac:dyDescent="0.6">
      <c r="C15" s="5">
        <f>C14/200</f>
        <v>0.86650000000000005</v>
      </c>
      <c r="F15" s="5">
        <f>F14/200</f>
        <v>0.86650000000000005</v>
      </c>
      <c r="I15" s="5">
        <f>I14/200</f>
        <v>1.2649999999999999</v>
      </c>
      <c r="P15" s="5">
        <v>4</v>
      </c>
      <c r="Q15" s="5">
        <v>175.5</v>
      </c>
      <c r="R15" s="5">
        <f t="shared" si="0"/>
        <v>0.87749999999999995</v>
      </c>
    </row>
    <row r="16" spans="2:18" x14ac:dyDescent="0.6">
      <c r="B16" s="5">
        <v>12288</v>
      </c>
      <c r="C16" s="5">
        <v>258</v>
      </c>
      <c r="D16" s="5" t="s">
        <v>225</v>
      </c>
      <c r="F16" s="5">
        <v>258</v>
      </c>
      <c r="G16" s="5" t="s">
        <v>225</v>
      </c>
      <c r="I16" s="5">
        <v>377</v>
      </c>
      <c r="J16" s="5" t="s">
        <v>225</v>
      </c>
      <c r="P16" s="5">
        <v>5</v>
      </c>
      <c r="Q16" s="5">
        <v>216.8</v>
      </c>
      <c r="R16" s="5">
        <f t="shared" si="0"/>
        <v>1.0840000000000001</v>
      </c>
    </row>
    <row r="17" spans="3:18" x14ac:dyDescent="0.6">
      <c r="C17" s="5">
        <f>C16/200</f>
        <v>1.29</v>
      </c>
      <c r="F17" s="5">
        <f>F16/200</f>
        <v>1.29</v>
      </c>
      <c r="I17" s="5">
        <f>I16/200</f>
        <v>1.885</v>
      </c>
      <c r="P17" s="5">
        <v>10</v>
      </c>
      <c r="Q17" s="5">
        <v>438.7</v>
      </c>
      <c r="R17" s="5">
        <f t="shared" si="0"/>
        <v>2.1934999999999998</v>
      </c>
    </row>
    <row r="18" spans="3:18" x14ac:dyDescent="0.6">
      <c r="P18" s="5">
        <v>15</v>
      </c>
      <c r="Q18" s="5">
        <v>663</v>
      </c>
      <c r="R18" s="5">
        <f t="shared" si="0"/>
        <v>3.3149999999999999</v>
      </c>
    </row>
    <row r="19" spans="3:18" x14ac:dyDescent="0.6">
      <c r="P19" s="5">
        <v>20</v>
      </c>
      <c r="Q19" s="5">
        <v>888</v>
      </c>
      <c r="R19" s="5">
        <f t="shared" si="0"/>
        <v>4.4400000000000004</v>
      </c>
    </row>
    <row r="20" spans="3:18" x14ac:dyDescent="0.6">
      <c r="P20" s="5">
        <v>25</v>
      </c>
      <c r="Q20" s="5">
        <v>1104</v>
      </c>
      <c r="R20" s="5">
        <f t="shared" si="0"/>
        <v>5.52</v>
      </c>
    </row>
    <row r="21" spans="3:18" x14ac:dyDescent="0.6">
      <c r="P21" s="5">
        <v>30</v>
      </c>
      <c r="Q21" s="5">
        <v>1325</v>
      </c>
      <c r="R21" s="5">
        <f t="shared" si="0"/>
        <v>6.625</v>
      </c>
    </row>
    <row r="22" spans="3:18" x14ac:dyDescent="0.6">
      <c r="P22" s="5">
        <v>31</v>
      </c>
      <c r="Q22" s="5">
        <v>1370</v>
      </c>
      <c r="R22" s="5">
        <f t="shared" si="0"/>
        <v>6.85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203A-D362-478B-9B08-846C67C479A1}">
  <dimension ref="B2:F8"/>
  <sheetViews>
    <sheetView workbookViewId="0">
      <selection activeCell="J18" sqref="J18"/>
    </sheetView>
  </sheetViews>
  <sheetFormatPr defaultRowHeight="16.899999999999999" x14ac:dyDescent="0.6"/>
  <cols>
    <col min="1" max="1" width="2.5625" customWidth="1"/>
    <col min="2" max="2" width="9.0625" bestFit="1" customWidth="1"/>
    <col min="3" max="3" width="12.6875" bestFit="1" customWidth="1"/>
    <col min="4" max="4" width="12.1875" bestFit="1" customWidth="1"/>
    <col min="5" max="5" width="12.6875" bestFit="1" customWidth="1"/>
    <col min="6" max="6" width="10.0625" bestFit="1" customWidth="1"/>
  </cols>
  <sheetData>
    <row r="2" spans="2:6" x14ac:dyDescent="0.6">
      <c r="B2" t="s">
        <v>187</v>
      </c>
      <c r="C2">
        <v>120</v>
      </c>
      <c r="D2" t="s">
        <v>159</v>
      </c>
      <c r="E2">
        <f>1000000/C2</f>
        <v>8333.3333333333339</v>
      </c>
      <c r="F2" t="s">
        <v>212</v>
      </c>
    </row>
    <row r="3" spans="2:6" x14ac:dyDescent="0.6">
      <c r="B3" t="s">
        <v>209</v>
      </c>
      <c r="C3">
        <v>14.75</v>
      </c>
      <c r="D3" t="s">
        <v>157</v>
      </c>
      <c r="E3">
        <f>1/C3</f>
        <v>6.7796610169491525E-2</v>
      </c>
      <c r="F3" t="s">
        <v>212</v>
      </c>
    </row>
    <row r="5" spans="2:6" x14ac:dyDescent="0.6">
      <c r="C5" t="s">
        <v>213</v>
      </c>
      <c r="D5" t="s">
        <v>214</v>
      </c>
      <c r="E5" t="s">
        <v>215</v>
      </c>
      <c r="F5" t="s">
        <v>216</v>
      </c>
    </row>
    <row r="6" spans="2:6" x14ac:dyDescent="0.6">
      <c r="B6" t="s">
        <v>210</v>
      </c>
      <c r="C6" s="8"/>
      <c r="D6" s="8">
        <v>64</v>
      </c>
      <c r="E6" s="8" t="str">
        <f>_xlfn.CONCAT("0x", DEC2HEX(D6))</f>
        <v>0x40</v>
      </c>
      <c r="F6" s="8" t="s">
        <v>217</v>
      </c>
    </row>
    <row r="7" spans="2:6" x14ac:dyDescent="0.6">
      <c r="B7" t="s">
        <v>211</v>
      </c>
      <c r="C7" s="8">
        <f>1000000/C2/D6/E3</f>
        <v>1920.5729166666667</v>
      </c>
      <c r="D7" s="8">
        <v>1920</v>
      </c>
      <c r="E7" s="8" t="str">
        <f>_xlfn.CONCAT("0x", DEC2HEX(D7))</f>
        <v>0x780</v>
      </c>
      <c r="F7" s="8" t="s">
        <v>218</v>
      </c>
    </row>
    <row r="8" spans="2:6" x14ac:dyDescent="0.6">
      <c r="C8" s="8"/>
      <c r="D8" s="8"/>
      <c r="E8" s="8"/>
      <c r="F8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XD_ES1_MCU_PIN</vt:lpstr>
      <vt:lpstr>mcu setting</vt:lpstr>
      <vt:lpstr>Sheet1</vt:lpstr>
      <vt:lpstr>trim parameter</vt:lpstr>
      <vt:lpstr>xd_regs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2025-03-06T08:01:52Z</dcterms:modified>
</cp:coreProperties>
</file>