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31ED3F5F-2368-4870-A2C8-57C3C41DCB58}" xr6:coauthVersionLast="47" xr6:coauthVersionMax="47" xr10:uidLastSave="{00000000-0000-0000-0000-000000000000}"/>
  <bookViews>
    <workbookView xWindow="71880" yWindow="2160" windowWidth="29040" windowHeight="15720" tabRatio="812" xr2:uid="{6E253F25-89D9-4CFB-91D3-179DBBF2E33D}"/>
  </bookViews>
  <sheets>
    <sheet name="xd12r_reg_mp1" sheetId="170" r:id="rId1"/>
  </sheets>
  <definedNames>
    <definedName name="__DemandLoad">TRUE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1" i="170" l="1"/>
  <c r="W92" i="170" s="1"/>
  <c r="B62" i="170"/>
  <c r="B63" i="170" s="1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8" i="170" s="1"/>
  <c r="B89" i="170" s="1"/>
  <c r="B90" i="170" s="1"/>
  <c r="B52" i="170"/>
  <c r="B53" i="170" s="1"/>
  <c r="B54" i="170" s="1"/>
  <c r="B55" i="170" s="1"/>
  <c r="B56" i="170" s="1"/>
  <c r="B39" i="170"/>
  <c r="B40" i="170" s="1"/>
  <c r="B41" i="170" s="1"/>
  <c r="B42" i="170" s="1"/>
  <c r="B43" i="170" s="1"/>
  <c r="B44" i="170" s="1"/>
  <c r="B45" i="170" s="1"/>
  <c r="B46" i="170" s="1"/>
  <c r="B47" i="170" s="1"/>
  <c r="B4" i="170"/>
  <c r="B5" i="170" s="1"/>
  <c r="B6" i="170" s="1"/>
  <c r="B7" i="170" s="1"/>
  <c r="B8" i="170" s="1"/>
  <c r="B9" i="170" s="1"/>
  <c r="B10" i="170" s="1"/>
  <c r="B11" i="170" s="1"/>
  <c r="B12" i="170" s="1"/>
  <c r="B13" i="170" s="1"/>
  <c r="B14" i="170" s="1"/>
  <c r="B15" i="170" s="1"/>
  <c r="B16" i="170" s="1"/>
  <c r="B17" i="170" s="1"/>
  <c r="B19" i="170" s="1"/>
  <c r="B20" i="170" s="1"/>
  <c r="B21" i="170" s="1"/>
  <c r="B22" i="170" s="1"/>
  <c r="B23" i="170" s="1"/>
  <c r="B24" i="170" s="1"/>
  <c r="B25" i="170" s="1"/>
  <c r="B26" i="170" s="1"/>
  <c r="B27" i="170" s="1"/>
  <c r="B28" i="170" s="1"/>
  <c r="B29" i="170" s="1"/>
  <c r="B31" i="170" s="1"/>
  <c r="B32" i="170" s="1"/>
  <c r="B33" i="170" s="1"/>
  <c r="B34" i="170" s="1"/>
  <c r="B35" i="170" s="1"/>
  <c r="B36" i="170" s="1"/>
  <c r="B37" i="170" s="1"/>
  <c r="B38" i="17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30" authorId="0" shapeId="0" xr:uid="{88A3D78B-57C9-44DB-9B9F-03DCEECCB2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I36" authorId="0" shapeId="0" xr:uid="{6318E406-1FC4-4DCC-A1FC-188CF6CA69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P43" authorId="0" shapeId="0" xr:uid="{C83D767A-72A0-488E-BF70-A4D0FFA29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  default
'10' MEDIUM
'11' FAST</t>
        </r>
      </text>
    </comment>
    <comment ref="M46" authorId="0" shapeId="0" xr:uid="{8B4604F4-8B37-4B70-98E7-62ED3BDC9A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6" authorId="0" shapeId="0" xr:uid="{C0213CB5-9F17-459B-AB02-63CA490CA0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1" authorId="0" shapeId="0" xr:uid="{2067A2B5-9ABC-416B-AAC8-E767ABDAF6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1" authorId="0" shapeId="0" xr:uid="{191ADD3B-9FA4-4B8A-B96F-9CC05B95BA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sharedStrings.xml><?xml version="1.0" encoding="utf-8"?>
<sst xmlns="http://schemas.openxmlformats.org/spreadsheetml/2006/main" count="583" uniqueCount="382">
  <si>
    <t>register</t>
    <phoneticPr fontId="1" type="noConversion"/>
  </si>
  <si>
    <t>access</t>
    <phoneticPr fontId="1" type="noConversion"/>
  </si>
  <si>
    <t>address</t>
    <phoneticPr fontId="1" type="noConversion"/>
  </si>
  <si>
    <t>default</t>
    <phoneticPr fontId="1" type="noConversion"/>
  </si>
  <si>
    <t>bit11</t>
    <phoneticPr fontId="1" type="noConversion"/>
  </si>
  <si>
    <t>bit10</t>
    <phoneticPr fontId="1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</si>
  <si>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</si>
  <si>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</si>
  <si>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</si>
  <si>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</si>
  <si>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</si>
  <si>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</si>
  <si>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</si>
  <si>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</si>
  <si>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</si>
  <si>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</si>
  <si>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1" type="noConversion"/>
  </si>
  <si>
    <t>r/w</t>
    <phoneticPr fontId="1" type="noConversion"/>
  </si>
  <si>
    <t>0x00</t>
    <phoneticPr fontId="1" type="noConversion"/>
  </si>
  <si>
    <t>0x000</t>
    <phoneticPr fontId="1" type="noConversion"/>
  </si>
  <si>
    <t>ID [4:0]</t>
    <phoneticPr fontId="1" type="noConversion"/>
  </si>
  <si>
    <t>LD_DIR</t>
    <phoneticPr fontId="1" type="noConversion"/>
  </si>
  <si>
    <t>0x03</t>
  </si>
  <si>
    <t>0x04</t>
  </si>
  <si>
    <t>0x06</t>
  </si>
  <si>
    <t>0x000</t>
  </si>
  <si>
    <t>0x08</t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</si>
  <si>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</si>
  <si>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</si>
  <si>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</si>
  <si>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</si>
  <si>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</si>
  <si>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</si>
  <si>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</si>
  <si>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</si>
  <si>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</si>
  <si>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</si>
  <si>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</si>
  <si>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</si>
  <si>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</si>
  <si>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ro</t>
    <phoneticPr fontId="1" type="noConversion"/>
  </si>
  <si>
    <t>0x0B</t>
    <phoneticPr fontId="1" type="noConversion"/>
  </si>
  <si>
    <t>THERMAL</t>
    <phoneticPr fontId="1" type="noConversion"/>
  </si>
  <si>
    <t>SHORT</t>
    <phoneticPr fontId="1" type="noConversion"/>
  </si>
  <si>
    <t>OPEN</t>
    <phoneticPr fontId="1" type="noConversion"/>
  </si>
  <si>
    <t>0x0C</t>
    <phoneticPr fontId="1" type="noConversion"/>
  </si>
  <si>
    <t>0x0D</t>
    <phoneticPr fontId="1" type="noConversion"/>
  </si>
  <si>
    <t>0x800</t>
    <phoneticPr fontId="1" type="noConversion"/>
  </si>
  <si>
    <t>0x0E</t>
    <phoneticPr fontId="1" type="noConversion"/>
  </si>
  <si>
    <t>0x0F</t>
    <phoneticPr fontId="1" type="noConversion"/>
  </si>
  <si>
    <t>0x10</t>
    <phoneticPr fontId="1" type="noConversion"/>
  </si>
  <si>
    <t>0x12</t>
  </si>
  <si>
    <t>0x13</t>
  </si>
  <si>
    <t>0x14</t>
  </si>
  <si>
    <t>0x15</t>
  </si>
  <si>
    <t>0x16</t>
  </si>
  <si>
    <t>OFS_TEMP [3:0]</t>
    <phoneticPr fontId="1" type="noConversion"/>
  </si>
  <si>
    <t>0x2A</t>
    <phoneticPr fontId="1" type="noConversion"/>
  </si>
  <si>
    <t>0x2B</t>
    <phoneticPr fontId="1" type="noConversion"/>
  </si>
  <si>
    <t>OP MODE</t>
    <phoneticPr fontId="1" type="noConversion"/>
  </si>
  <si>
    <t>0x3F</t>
    <phoneticPr fontId="1" type="noConversion"/>
  </si>
  <si>
    <t>TEST_EN</t>
    <phoneticPr fontId="1" type="noConversion"/>
  </si>
  <si>
    <t>ADDR_EXT</t>
    <phoneticPr fontId="1" type="noConversion"/>
  </si>
  <si>
    <t>OTP ACCESS1</t>
  </si>
  <si>
    <t>0x3A</t>
    <phoneticPr fontId="1" type="noConversion"/>
  </si>
  <si>
    <t>OTP_PG_ACC_CYCLE [15:12]</t>
    <phoneticPr fontId="1" type="noConversion"/>
  </si>
  <si>
    <t>OTP ACCESS2</t>
    <phoneticPr fontId="1" type="noConversion"/>
  </si>
  <si>
    <t>0x3B</t>
    <phoneticPr fontId="1" type="noConversion"/>
  </si>
  <si>
    <t>OTP_PG_ACC_CYCLE [11:0] (default : decimal 320)</t>
    <phoneticPr fontId="1" type="noConversion"/>
  </si>
  <si>
    <t>OTP WRITE</t>
    <phoneticPr fontId="1" type="noConversion"/>
  </si>
  <si>
    <t>0x3C</t>
    <phoneticPr fontId="1" type="noConversion"/>
  </si>
  <si>
    <t>0x004</t>
    <phoneticPr fontId="1" type="noConversion"/>
  </si>
  <si>
    <t>OTP_WSEL [3:0]</t>
    <phoneticPr fontId="1" type="noConversion"/>
  </si>
  <si>
    <t>OTP RD/PROG</t>
    <phoneticPr fontId="1" type="noConversion"/>
  </si>
  <si>
    <t>0x3D</t>
    <phoneticPr fontId="1" type="noConversion"/>
  </si>
  <si>
    <t>OTP_RD_S</t>
    <phoneticPr fontId="1" type="noConversion"/>
  </si>
  <si>
    <t>OTP_PG_S</t>
    <phoneticPr fontId="1" type="noConversion"/>
  </si>
  <si>
    <t>OTP PROTECT</t>
    <phoneticPr fontId="1" type="noConversion"/>
  </si>
  <si>
    <t>0x3E</t>
    <phoneticPr fontId="1" type="noConversion"/>
  </si>
  <si>
    <t>OTP_CRC_CHECKSUM [7:0]</t>
    <phoneticPr fontId="1" type="noConversion"/>
  </si>
  <si>
    <t>0x01</t>
  </si>
  <si>
    <t>0x040</t>
    <phoneticPr fontId="1" type="noConversion"/>
  </si>
  <si>
    <t>0x02</t>
  </si>
  <si>
    <t>0x05</t>
  </si>
  <si>
    <t>0x07</t>
  </si>
  <si>
    <t>0x0A</t>
    <phoneticPr fontId="1" type="noConversion"/>
  </si>
  <si>
    <t>0x1B</t>
    <phoneticPr fontId="1" type="noConversion"/>
  </si>
  <si>
    <t>0x040</t>
  </si>
  <si>
    <t>0x1C</t>
    <phoneticPr fontId="1" type="noConversion"/>
  </si>
  <si>
    <t>0x1D</t>
    <phoneticPr fontId="1" type="noConversion"/>
  </si>
  <si>
    <t>0x1E</t>
    <phoneticPr fontId="1" type="noConversion"/>
  </si>
  <si>
    <t>0x1F</t>
    <phoneticPr fontId="1" type="noConversion"/>
  </si>
  <si>
    <t>`</t>
    <phoneticPr fontId="1" type="noConversion"/>
  </si>
  <si>
    <t>0x21</t>
  </si>
  <si>
    <t>0x22</t>
  </si>
  <si>
    <t>0x23</t>
  </si>
  <si>
    <t>RST</t>
    <phoneticPr fontId="1" type="noConversion"/>
  </si>
  <si>
    <t>reserved</t>
    <phoneticPr fontId="1" type="noConversion"/>
  </si>
  <si>
    <t>SERIAL CLK GEN</t>
    <phoneticPr fontId="1" type="noConversion"/>
  </si>
  <si>
    <t>FAULT CONTROL</t>
    <phoneticPr fontId="1" type="noConversion"/>
  </si>
  <si>
    <t>O_OFF_E</t>
    <phoneticPr fontId="1" type="noConversion"/>
  </si>
  <si>
    <t>S_OFF_E</t>
    <phoneticPr fontId="1" type="noConversion"/>
  </si>
  <si>
    <t>T_OFF_E</t>
    <phoneticPr fontId="1" type="noConversion"/>
  </si>
  <si>
    <t>OSC_FLL_MAN [11:0]</t>
    <phoneticPr fontId="1" type="noConversion"/>
  </si>
  <si>
    <t>FLT_GAIN [1:0]</t>
    <phoneticPr fontId="1" type="noConversion"/>
  </si>
  <si>
    <t>OSC_FLL_MAN1</t>
    <phoneticPr fontId="1" type="noConversion"/>
  </si>
  <si>
    <t>OSC_FLL_MAN2</t>
  </si>
  <si>
    <t>0x3FF</t>
    <phoneticPr fontId="1" type="noConversion"/>
  </si>
  <si>
    <t>SERIAL_LATENCY</t>
    <phoneticPr fontId="1" type="noConversion"/>
  </si>
  <si>
    <t>S_DET_E</t>
    <phoneticPr fontId="1" type="noConversion"/>
  </si>
  <si>
    <t>0x29</t>
    <phoneticPr fontId="1" type="noConversion"/>
  </si>
  <si>
    <t>TEMP</t>
    <phoneticPr fontId="1" type="noConversion"/>
  </si>
  <si>
    <t>0x26</t>
    <phoneticPr fontId="1" type="noConversion"/>
  </si>
  <si>
    <t>0x11</t>
  </si>
  <si>
    <t>0x17</t>
  </si>
  <si>
    <t>0x18</t>
  </si>
  <si>
    <t>0x19</t>
  </si>
  <si>
    <t>0x1A</t>
    <phoneticPr fontId="1" type="noConversion"/>
  </si>
  <si>
    <t>0x20</t>
    <phoneticPr fontId="1" type="noConversion"/>
  </si>
  <si>
    <t>0x318</t>
    <phoneticPr fontId="1" type="noConversion"/>
  </si>
  <si>
    <t>OSC_FLL_MAN [15:12]</t>
    <phoneticPr fontId="1" type="noConversion"/>
  </si>
  <si>
    <t>SCLK_LOW [5:0] default 12ea</t>
    <phoneticPr fontId="1" type="noConversion"/>
  </si>
  <si>
    <t>SCLK_HIGH [5:0] default 24ea</t>
    <phoneticPr fontId="1" type="noConversion"/>
  </si>
  <si>
    <t>LD CONTROL</t>
    <phoneticPr fontId="1" type="noConversion"/>
  </si>
  <si>
    <t>0x5A5</t>
    <phoneticPr fontId="1" type="noConversion"/>
  </si>
  <si>
    <t>0x808</t>
    <phoneticPr fontId="1" type="noConversion"/>
  </si>
  <si>
    <t>FLL_RANGE [1:0]</t>
    <phoneticPr fontId="1" type="noConversion"/>
  </si>
  <si>
    <t>DAC_RNG</t>
    <phoneticPr fontId="1" type="noConversion"/>
  </si>
  <si>
    <t>FLT_CTL [1:0]</t>
    <phoneticPr fontId="1" type="noConversion"/>
  </si>
  <si>
    <t>E_RST</t>
    <phoneticPr fontId="1" type="noConversion"/>
  </si>
  <si>
    <t>VS_RST</t>
    <phoneticPr fontId="1" type="noConversion"/>
  </si>
  <si>
    <t>WR_PROTECT</t>
    <phoneticPr fontId="1" type="noConversion"/>
  </si>
  <si>
    <t>OTP_PG_DONE</t>
    <phoneticPr fontId="1" type="noConversion"/>
  </si>
  <si>
    <t>MCLK64_O</t>
    <phoneticPr fontId="1" type="noConversion"/>
  </si>
  <si>
    <t>FLLCNT1</t>
    <phoneticPr fontId="1" type="noConversion"/>
  </si>
  <si>
    <t>MAX_CURR_VREF1</t>
    <phoneticPr fontId="1" type="noConversion"/>
  </si>
  <si>
    <t>MAX_CURR_VREF2</t>
  </si>
  <si>
    <t>MAX_CURR_VREF3</t>
  </si>
  <si>
    <t>FLLCNT2</t>
    <phoneticPr fontId="1" type="noConversion"/>
  </si>
  <si>
    <t>PWMCLK_DIV1 [7:0]</t>
    <phoneticPr fontId="1" type="noConversion"/>
  </si>
  <si>
    <t>PWMCLK_DIV2 [3:0]</t>
    <phoneticPr fontId="1" type="noConversion"/>
  </si>
  <si>
    <t>PWMCLK_DIV2 [7:4]</t>
    <phoneticPr fontId="1" type="noConversion"/>
  </si>
  <si>
    <t>PWMCLK_DIV3 [7:0]</t>
    <phoneticPr fontId="1" type="noConversion"/>
  </si>
  <si>
    <t>PWMCLK_DIV2/3</t>
    <phoneticPr fontId="1" type="noConversion"/>
  </si>
  <si>
    <t>PWMCLK_DIV1/2</t>
    <phoneticPr fontId="1" type="noConversion"/>
  </si>
  <si>
    <t>DELAY_CH1 [4:0]</t>
    <phoneticPr fontId="1" type="noConversion"/>
  </si>
  <si>
    <t>DELAY_CH2 [4:0]</t>
    <phoneticPr fontId="1" type="noConversion"/>
  </si>
  <si>
    <t>DELAY_CH3 [4:0]</t>
    <phoneticPr fontId="1" type="noConversion"/>
  </si>
  <si>
    <t>DELAY_CH4 [4:0]</t>
    <phoneticPr fontId="1" type="noConversion"/>
  </si>
  <si>
    <t>DELAY_CH5 [4:0]</t>
    <phoneticPr fontId="1" type="noConversion"/>
  </si>
  <si>
    <t>DELAY_CH6 [4:0]</t>
    <phoneticPr fontId="1" type="noConversion"/>
  </si>
  <si>
    <t>DELAY_CH7 [4:0]</t>
    <phoneticPr fontId="1" type="noConversion"/>
  </si>
  <si>
    <t>DELAY_CH8 [4:0]</t>
    <phoneticPr fontId="1" type="noConversion"/>
  </si>
  <si>
    <t>DELAY_CH9 [4:0]</t>
    <phoneticPr fontId="1" type="noConversion"/>
  </si>
  <si>
    <t>DELAY_CH10 [4:0]</t>
    <phoneticPr fontId="1" type="noConversion"/>
  </si>
  <si>
    <t>DELAY_CH11 [4:0]</t>
    <phoneticPr fontId="1" type="noConversion"/>
  </si>
  <si>
    <t>DELAY_CH12 [4:0]</t>
    <phoneticPr fontId="1" type="noConversion"/>
  </si>
  <si>
    <t>DELAY_CH1/2</t>
    <phoneticPr fontId="1" type="noConversion"/>
  </si>
  <si>
    <t>DELAY_CH3/4</t>
    <phoneticPr fontId="1" type="noConversion"/>
  </si>
  <si>
    <t>DELAY_CH5/6</t>
    <phoneticPr fontId="1" type="noConversion"/>
  </si>
  <si>
    <t>DELAY_CH7/8</t>
    <phoneticPr fontId="1" type="noConversion"/>
  </si>
  <si>
    <t>DELAY_CH9/10</t>
    <phoneticPr fontId="1" type="noConversion"/>
  </si>
  <si>
    <t>DELAY_CH11/12</t>
    <phoneticPr fontId="1" type="noConversion"/>
  </si>
  <si>
    <t>RST &amp; ID</t>
    <phoneticPr fontId="1" type="noConversion"/>
  </si>
  <si>
    <t>FB1</t>
    <phoneticPr fontId="1" type="noConversion"/>
  </si>
  <si>
    <t>FB2</t>
    <phoneticPr fontId="1" type="noConversion"/>
  </si>
  <si>
    <t>FB3</t>
    <phoneticPr fontId="1" type="noConversion"/>
  </si>
  <si>
    <t>FB1_LEVEL [2:0]</t>
    <phoneticPr fontId="1" type="noConversion"/>
  </si>
  <si>
    <t>FB2_LEVEL [2:0]</t>
    <phoneticPr fontId="1" type="noConversion"/>
  </si>
  <si>
    <t>FB3_LEVEL [2:0]</t>
    <phoneticPr fontId="1" type="noConversion"/>
  </si>
  <si>
    <t>CHANNEL ENABLE</t>
    <phoneticPr fontId="1" type="noConversion"/>
  </si>
  <si>
    <t>OTP MIRROR</t>
    <phoneticPr fontId="1" type="noConversion"/>
  </si>
  <si>
    <t>OTP CONTROL</t>
    <phoneticPr fontId="1" type="noConversion"/>
  </si>
  <si>
    <t>PWMOUT_FULL</t>
    <phoneticPr fontId="1" type="noConversion"/>
  </si>
  <si>
    <t>TIMEOUT</t>
    <phoneticPr fontId="1" type="noConversion"/>
  </si>
  <si>
    <t>PROTECT_EN (0x5A5=not accessible), PROTECT_DIS (0xA5A=accessible)</t>
    <phoneticPr fontId="1" type="noConversion"/>
  </si>
  <si>
    <t>FLL_EN</t>
    <phoneticPr fontId="1" type="noConversion"/>
  </si>
  <si>
    <t>LD_MODE</t>
    <phoneticPr fontId="1" type="noConversion"/>
  </si>
  <si>
    <t>SYNCMODE</t>
    <phoneticPr fontId="1" type="noConversion"/>
  </si>
  <si>
    <t>O_SLEW [1:0]</t>
    <phoneticPr fontId="1" type="noConversion"/>
  </si>
  <si>
    <t>auto-cleared just after a readout</t>
    <phoneticPr fontId="1" type="noConversion"/>
  </si>
  <si>
    <t>SERIAL_LATENCY [8:0] default 128ea</t>
    <phoneticPr fontId="1" type="noConversion"/>
  </si>
  <si>
    <t>0x080</t>
    <phoneticPr fontId="1" type="noConversion"/>
  </si>
  <si>
    <t>RSTCNT</t>
    <phoneticPr fontId="1" type="noConversion"/>
  </si>
  <si>
    <t>RSTCNT [9:0]</t>
    <phoneticPr fontId="1" type="noConversion"/>
  </si>
  <si>
    <t>BBKN_EN</t>
    <phoneticPr fontId="1" type="noConversion"/>
  </si>
  <si>
    <t>NF CONTROL</t>
    <phoneticPr fontId="1" type="noConversion"/>
  </si>
  <si>
    <t>BBKN_TH [5:0]</t>
    <phoneticPr fontId="1" type="noConversion"/>
  </si>
  <si>
    <t>70mhz counting, check the counter &amp; reg size</t>
    <phoneticPr fontId="1" type="noConversion"/>
  </si>
  <si>
    <t>V_MASK</t>
    <phoneticPr fontId="1" type="noConversion"/>
  </si>
  <si>
    <t>SV_MASK</t>
    <phoneticPr fontId="1" type="noConversion"/>
  </si>
  <si>
    <t>SGRJT_EN1</t>
    <phoneticPr fontId="1" type="noConversion"/>
  </si>
  <si>
    <t>DGRJT_EN2</t>
    <phoneticPr fontId="1" type="noConversion"/>
  </si>
  <si>
    <t>DGRJT_EN1</t>
    <phoneticPr fontId="1" type="noConversion"/>
  </si>
  <si>
    <t>TIMEOUT_ERR</t>
    <phoneticPr fontId="1" type="noConversion"/>
  </si>
  <si>
    <t>SV_MASK_EN</t>
    <phoneticPr fontId="1" type="noConversion"/>
  </si>
  <si>
    <t>SV_MASK [9:0]</t>
    <phoneticPr fontId="1" type="noConversion"/>
  </si>
  <si>
    <t>V_MASK [9:0]</t>
    <phoneticPr fontId="1" type="noConversion"/>
  </si>
  <si>
    <t>CHOP_EN</t>
    <phoneticPr fontId="1" type="noConversion"/>
  </si>
  <si>
    <t>CHOP_DRV_EN</t>
    <phoneticPr fontId="1" type="noConversion"/>
  </si>
  <si>
    <t>CHOP_OSCLDO_EN</t>
    <phoneticPr fontId="1" type="noConversion"/>
  </si>
  <si>
    <t>CHOP_OSC_EN</t>
    <phoneticPr fontId="1" type="noConversion"/>
  </si>
  <si>
    <t>CHOP_DAC_EN</t>
    <phoneticPr fontId="1" type="noConversion"/>
  </si>
  <si>
    <t>CHOP_BGR_EN</t>
    <phoneticPr fontId="1" type="noConversion"/>
  </si>
  <si>
    <t>OSC_MAN_EN</t>
    <phoneticPr fontId="1" type="noConversion"/>
  </si>
  <si>
    <t>TEST_ANA_EN [2:0]</t>
    <phoneticPr fontId="1" type="noConversion"/>
  </si>
  <si>
    <t>EXT_CLKIN</t>
    <phoneticPr fontId="1" type="noConversion"/>
  </si>
  <si>
    <t>OTP_RD [1:0]</t>
    <phoneticPr fontId="1" type="noConversion"/>
  </si>
  <si>
    <t>IREF_CTL [4:0]</t>
    <phoneticPr fontId="1" type="noConversion"/>
  </si>
  <si>
    <t>BGR_TC [4:0]</t>
    <phoneticPr fontId="1" type="noConversion"/>
  </si>
  <si>
    <t>LDO_OSC_CTL [3:0]</t>
    <phoneticPr fontId="1" type="noConversion"/>
  </si>
  <si>
    <t>LDO_CTL [3:0]</t>
    <phoneticPr fontId="1" type="noConversion"/>
  </si>
  <si>
    <t>SHORT1_LEVEL [2:0]</t>
    <phoneticPr fontId="1" type="noConversion"/>
  </si>
  <si>
    <t>SHORT2_LEVEL [2:0]</t>
    <phoneticPr fontId="1" type="noConversion"/>
  </si>
  <si>
    <t>SHORT3_LEVEL [2:0]</t>
    <phoneticPr fontId="1" type="noConversion"/>
  </si>
  <si>
    <t>SGRJT_EN2</t>
    <phoneticPr fontId="1" type="noConversion"/>
  </si>
  <si>
    <t>FB LEVEL</t>
    <phoneticPr fontId="1" type="noConversion"/>
  </si>
  <si>
    <t>SHORT LEVEL</t>
    <phoneticPr fontId="1" type="noConversion"/>
  </si>
  <si>
    <t>WR_PROTECT [9:0]</t>
    <phoneticPr fontId="1" type="noConversion"/>
  </si>
  <si>
    <t>0x555</t>
    <phoneticPr fontId="1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</si>
  <si>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1" type="noConversion"/>
  </si>
  <si>
    <t>LD_RES</t>
    <phoneticPr fontId="1" type="noConversion"/>
  </si>
  <si>
    <t>O_FB_E</t>
    <phoneticPr fontId="1" type="noConversion"/>
  </si>
  <si>
    <t>the value updated at every vsync</t>
    <phoneticPr fontId="1" type="noConversion"/>
  </si>
  <si>
    <t>LKG_E</t>
    <phoneticPr fontId="1" type="noConversion"/>
  </si>
  <si>
    <t>0x100</t>
    <phoneticPr fontId="1" type="noConversion"/>
  </si>
  <si>
    <t>LD_SIZE [4:0]</t>
    <phoneticPr fontId="1" type="noConversion"/>
  </si>
  <si>
    <t>LD_SIZE : the number of LD data to be transmitted</t>
    <phoneticPr fontId="1" type="noConversion"/>
  </si>
  <si>
    <t>LD_SIZE</t>
    <phoneticPr fontId="1" type="noConversion"/>
  </si>
  <si>
    <t>FLLCNT [11:0]</t>
    <phoneticPr fontId="1" type="noConversion"/>
  </si>
  <si>
    <t>FLLCNT [19:12]</t>
    <phoneticPr fontId="1" type="noConversion"/>
  </si>
  <si>
    <t>1. 0xAAA : MAX_CURR_VREF1/2/3 만 writable
2. 0xCCC : LD_CONTROL, FLLCNT1/2, PWMCLK_DIV1/2/3, MAX_CURR_VREF1/2/3 만 writable
3. 0x555 : all reg writable
4. others : un-writable
5. WR_PROTECT reg always writable</t>
    <phoneticPr fontId="1" type="noConversion"/>
  </si>
  <si>
    <t>PARITY_E</t>
    <phoneticPr fontId="1" type="noConversion"/>
  </si>
  <si>
    <t>PARITY_ERR</t>
    <phoneticPr fontId="1" type="noConversion"/>
  </si>
  <si>
    <t>4/8/12/16/20/24/28/32/36/40/44/48/52/56/60/64/ max 80</t>
    <phoneticPr fontId="1" type="noConversion"/>
  </si>
  <si>
    <t>VDD_OV</t>
    <phoneticPr fontId="1" type="noConversion"/>
  </si>
  <si>
    <t>VDD_UV</t>
    <phoneticPr fontId="1" type="noConversion"/>
  </si>
  <si>
    <t>LDO_OV</t>
    <phoneticPr fontId="1" type="noConversion"/>
  </si>
  <si>
    <t>LDO_UV</t>
    <phoneticPr fontId="1" type="noConversion"/>
  </si>
  <si>
    <t>OSC_FLL_ERR_RANGE [1:0]</t>
    <phoneticPr fontId="1" type="noConversion"/>
  </si>
  <si>
    <t>OSC SPREAD</t>
    <phoneticPr fontId="1" type="noConversion"/>
  </si>
  <si>
    <t>SPRD_EN</t>
    <phoneticPr fontId="1" type="noConversion"/>
  </si>
  <si>
    <t>SPRD_SPD[2:0]</t>
    <phoneticPr fontId="1" type="noConversion"/>
  </si>
  <si>
    <t>SPRD_GAIN[2:0]</t>
    <phoneticPr fontId="1" type="noConversion"/>
  </si>
  <si>
    <t>DC_MCLK_EN</t>
    <phoneticPr fontId="1" type="noConversion"/>
  </si>
  <si>
    <t>FR1_MCLK_EN</t>
    <phoneticPr fontId="1" type="noConversion"/>
  </si>
  <si>
    <t>FR2_MCLK_EN</t>
    <phoneticPr fontId="1" type="noConversion"/>
  </si>
  <si>
    <t>OTP_MCLK_EN</t>
    <phoneticPr fontId="1" type="noConversion"/>
  </si>
  <si>
    <t>CLOCK GATE EN</t>
    <phoneticPr fontId="1" type="noConversion"/>
  </si>
  <si>
    <t>for test only</t>
    <phoneticPr fontId="1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</si>
  <si>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1" type="noConversion"/>
  </si>
  <si>
    <t>counted by a mclk/2 @ serializer ; deserializer operated at a mclk/1</t>
    <phoneticPr fontId="1" type="noConversion"/>
  </si>
  <si>
    <t>TIMEOUT [10:0]</t>
    <phoneticPr fontId="1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</si>
  <si>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1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</si>
  <si>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</si>
  <si>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1" type="noConversion"/>
  </si>
  <si>
    <t>counted by the sv (0 is countable)</t>
    <phoneticPr fontId="1" type="noConversion"/>
  </si>
  <si>
    <t>counted by a mclk/2
setting value must consider a frame frequency transition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</si>
  <si>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1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</si>
  <si>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1" type="noConversion"/>
  </si>
  <si>
    <t>MAX_CURR3_LEVEL [3:0]</t>
    <phoneticPr fontId="1" type="noConversion"/>
  </si>
  <si>
    <t>MAX_CURR2_LEVEL [3:0]</t>
    <phoneticPr fontId="1" type="noConversion"/>
  </si>
  <si>
    <t>MAX_CURR1_LEVEL [3:0]</t>
    <phoneticPr fontId="1" type="noConversion"/>
  </si>
  <si>
    <t>MAX_CURR1_VREF [11:0]</t>
    <phoneticPr fontId="1" type="noConversion"/>
  </si>
  <si>
    <t>MAX_CURR2_VREF [11:0]</t>
    <phoneticPr fontId="1" type="noConversion"/>
  </si>
  <si>
    <t>MAX_CURR3_VREF [11:0]</t>
    <phoneticPr fontId="1" type="noConversion"/>
  </si>
  <si>
    <t>OFS_CH1 [8:0]</t>
    <phoneticPr fontId="1" type="noConversion"/>
  </si>
  <si>
    <t>OFS_CH2 [8:0]</t>
    <phoneticPr fontId="1" type="noConversion"/>
  </si>
  <si>
    <t>OFS_CH3 [8:0]</t>
    <phoneticPr fontId="1" type="noConversion"/>
  </si>
  <si>
    <t>OFS_CH4 [8:0]</t>
    <phoneticPr fontId="1" type="noConversion"/>
  </si>
  <si>
    <t>OFS_CH5 [8:0]</t>
    <phoneticPr fontId="1" type="noConversion"/>
  </si>
  <si>
    <t>OFS_CH6 [8:0]</t>
    <phoneticPr fontId="1" type="noConversion"/>
  </si>
  <si>
    <t>OFS_CH7 [8:0]</t>
    <phoneticPr fontId="1" type="noConversion"/>
  </si>
  <si>
    <t>OFS_CH8 [8:0]</t>
    <phoneticPr fontId="1" type="noConversion"/>
  </si>
  <si>
    <t>OFS_CH9 [8:0]</t>
    <phoneticPr fontId="1" type="noConversion"/>
  </si>
  <si>
    <t>OFS_CH10 [8:0]</t>
    <phoneticPr fontId="1" type="noConversion"/>
  </si>
  <si>
    <t>OFS_CH11 [8:0]</t>
    <phoneticPr fontId="1" type="noConversion"/>
  </si>
  <si>
    <t>OFS_CH12 [8:0]</t>
    <phoneticPr fontId="1" type="noConversion"/>
  </si>
  <si>
    <t>GAIN_CH1 [6:0]</t>
    <phoneticPr fontId="1" type="noConversion"/>
  </si>
  <si>
    <t>GAIN_CH2 [6:0]</t>
    <phoneticPr fontId="1" type="noConversion"/>
  </si>
  <si>
    <t>GAIN_CH3 [6:0]</t>
    <phoneticPr fontId="1" type="noConversion"/>
  </si>
  <si>
    <t>GAIN_CH4 [6:0]</t>
    <phoneticPr fontId="1" type="noConversion"/>
  </si>
  <si>
    <t>GAIN_CH5 [6:0]</t>
    <phoneticPr fontId="1" type="noConversion"/>
  </si>
  <si>
    <t>GAIN_CH6 [6:0]</t>
    <phoneticPr fontId="1" type="noConversion"/>
  </si>
  <si>
    <t>GAIN_CH7 [6:0]</t>
    <phoneticPr fontId="1" type="noConversion"/>
  </si>
  <si>
    <t>GAIN_CH8 [6:0]</t>
    <phoneticPr fontId="1" type="noConversion"/>
  </si>
  <si>
    <t>GAIN_CH9 [6:0]</t>
    <phoneticPr fontId="1" type="noConversion"/>
  </si>
  <si>
    <t>GAIN_CH10 [6:0]</t>
    <phoneticPr fontId="1" type="noConversion"/>
  </si>
  <si>
    <t>GAIN_CH11 [6:0]</t>
    <phoneticPr fontId="1" type="noConversion"/>
  </si>
  <si>
    <t>GAIN_CH12 [6:0]</t>
    <phoneticPr fontId="1" type="noConversion"/>
  </si>
  <si>
    <t>OSC_RCTL [4:0]</t>
    <phoneticPr fontId="1" type="noConversion"/>
  </si>
  <si>
    <t>LDO_DAC_CTL [4:0]</t>
    <phoneticPr fontId="1" type="noConversion"/>
  </si>
  <si>
    <t>0x210</t>
    <phoneticPr fontId="1" type="noConversion"/>
  </si>
  <si>
    <t>0x810</t>
    <phoneticPr fontId="1" type="noConversion"/>
  </si>
  <si>
    <t>CHx_LD_TYPE1</t>
    <phoneticPr fontId="1" type="noConversion"/>
  </si>
  <si>
    <t>CH12_LD_TYPE[1:0]</t>
    <phoneticPr fontId="1" type="noConversion"/>
  </si>
  <si>
    <t>CH11_LD_TYPE[1:0]</t>
    <phoneticPr fontId="1" type="noConversion"/>
  </si>
  <si>
    <t>CH10_LD_TYPE[1:0]</t>
    <phoneticPr fontId="1" type="noConversion"/>
  </si>
  <si>
    <t>CH9_LD_TYPE[1:0]</t>
    <phoneticPr fontId="1" type="noConversion"/>
  </si>
  <si>
    <t>CH8_LD_TYPE[1:0]</t>
    <phoneticPr fontId="1" type="noConversion"/>
  </si>
  <si>
    <t>CH6_LD_TYPE[1:0]</t>
    <phoneticPr fontId="1" type="noConversion"/>
  </si>
  <si>
    <t>CH5_LD_TYPE[1:0]</t>
    <phoneticPr fontId="1" type="noConversion"/>
  </si>
  <si>
    <t>CH4_LD_TYPE[1:0]</t>
    <phoneticPr fontId="1" type="noConversion"/>
  </si>
  <si>
    <t>CH3_LD_TYPE[1:0]</t>
    <phoneticPr fontId="1" type="noConversion"/>
  </si>
  <si>
    <t>CH2_LD_TYPE[1:0]</t>
    <phoneticPr fontId="1" type="noConversion"/>
  </si>
  <si>
    <t>CH1_LD_TYPE[1:0]</t>
    <phoneticPr fontId="1" type="noConversion"/>
  </si>
  <si>
    <t>O_EMI_REJ_EN</t>
  </si>
  <si>
    <t>VERSION0 [11:0]</t>
    <phoneticPr fontId="1" type="noConversion"/>
  </si>
  <si>
    <t>VERSION1 [11:0]</t>
    <phoneticPr fontId="1" type="noConversion"/>
  </si>
  <si>
    <t>SV_NO [5:0]</t>
    <phoneticPr fontId="1" type="noConversion"/>
  </si>
  <si>
    <t>DELAY_CH_EN</t>
    <phoneticPr fontId="1" type="noConversion"/>
  </si>
  <si>
    <t>counted by a mclk/64</t>
    <phoneticPr fontId="1" type="noConversion"/>
  </si>
  <si>
    <t>DGRJT_EN1 : '1' 1 mclk data glitch rejection enable
DGRJT_EN2 : '1' 2 mclk data glitch rejection enable
BBKN_EN : '1' bit broken detection enable --&gt; DIO/ DDIO 신호 모두 적용
SGRJT_EN1 : '1' 3 mclk svi glitch rejection enable
SGRJT_EN2 : '1' 4 mclk svi glitch rejection enable</t>
    <phoneticPr fontId="1" type="noConversion"/>
  </si>
  <si>
    <t>AUTO_FAULT_FB_NO[1:0]</t>
    <phoneticPr fontId="1" type="noConversion"/>
  </si>
  <si>
    <t>FB_MODE[3:0]</t>
    <phoneticPr fontId="1" type="noConversion"/>
  </si>
  <si>
    <t>O_DET_E
rising edge</t>
    <phoneticPr fontId="1" type="noConversion"/>
  </si>
  <si>
    <t>CHx_LD_TYPE0</t>
    <phoneticPr fontId="1" type="noConversion"/>
  </si>
  <si>
    <t>0x07</t>
    <phoneticPr fontId="1" type="noConversion"/>
  </si>
  <si>
    <t>CH7_LD_TYPE[11:0]</t>
    <phoneticPr fontId="1" type="noConversion"/>
  </si>
  <si>
    <t>0x08</t>
    <phoneticPr fontId="1" type="noConversion"/>
  </si>
  <si>
    <t>FAULT STATUS0</t>
    <phoneticPr fontId="1" type="noConversion"/>
  </si>
  <si>
    <t>MAX_CURR_VREF4</t>
    <phoneticPr fontId="1" type="noConversion"/>
  </si>
  <si>
    <t>MAX_CURR4_VREF [11:0]</t>
    <phoneticPr fontId="1" type="noConversion"/>
  </si>
  <si>
    <t>MAX_CURR_VREF5</t>
    <phoneticPr fontId="1" type="noConversion"/>
  </si>
  <si>
    <t>MAX_CURR5_VREF [11:0]</t>
    <phoneticPr fontId="1" type="noConversion"/>
  </si>
  <si>
    <t>0x16</t>
    <phoneticPr fontId="1" type="noConversion"/>
  </si>
  <si>
    <t>FB4_LEVEL [2:0]</t>
    <phoneticPr fontId="1" type="noConversion"/>
  </si>
  <si>
    <t>FB/SHORT LEVEL</t>
    <phoneticPr fontId="1" type="noConversion"/>
  </si>
  <si>
    <t>0x17</t>
    <phoneticPr fontId="1" type="noConversion"/>
  </si>
  <si>
    <t>FB5_LEVEL [2:0]</t>
    <phoneticPr fontId="1" type="noConversion"/>
  </si>
  <si>
    <t>0x18</t>
    <phoneticPr fontId="1" type="noConversion"/>
  </si>
  <si>
    <t>SHORT5_LEVEL [2:0]</t>
    <phoneticPr fontId="1" type="noConversion"/>
  </si>
  <si>
    <t>SHORT4_LEVEL [2:0]</t>
    <phoneticPr fontId="1" type="noConversion"/>
  </si>
  <si>
    <t>MAX CURRENT LEVEL0</t>
    <phoneticPr fontId="1" type="noConversion"/>
  </si>
  <si>
    <t>0x19</t>
    <phoneticPr fontId="1" type="noConversion"/>
  </si>
  <si>
    <t>MAX CURRENT LEVEL1</t>
    <phoneticPr fontId="1" type="noConversion"/>
  </si>
  <si>
    <t>MAX_CURR5_LEVEL [3:0]</t>
    <phoneticPr fontId="1" type="noConversion"/>
  </si>
  <si>
    <t>MAX_CURR4_LEVEL [3:0]</t>
    <phoneticPr fontId="1" type="noConversion"/>
  </si>
  <si>
    <t>PARITY &amp; RD_EN</t>
    <phoneticPr fontId="1" type="noConversion"/>
  </si>
  <si>
    <t>REG_RD_EN</t>
  </si>
  <si>
    <t>0xC32</t>
    <phoneticPr fontId="1" type="noConversion"/>
  </si>
  <si>
    <t>0x24</t>
    <phoneticPr fontId="1" type="noConversion"/>
  </si>
  <si>
    <t>0x25</t>
    <phoneticPr fontId="1" type="noConversion"/>
  </si>
  <si>
    <t>0x27</t>
    <phoneticPr fontId="1" type="noConversion"/>
  </si>
  <si>
    <t>0x829</t>
    <phoneticPr fontId="1" type="noConversion"/>
  </si>
  <si>
    <t>OV_SWAP_EN</t>
    <phoneticPr fontId="1" type="noConversion"/>
  </si>
  <si>
    <t>0x28</t>
    <phoneticPr fontId="1" type="noConversion"/>
  </si>
  <si>
    <t>0x017</t>
    <phoneticPr fontId="1" type="noConversion"/>
  </si>
  <si>
    <t>SW_SEL [2:0]</t>
    <phoneticPr fontId="1" type="noConversion"/>
  </si>
  <si>
    <t>DTEST_MUX_EN</t>
    <phoneticPr fontId="1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</si>
  <si>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
AUTO_FAULT_FB_NO : #FB for AUTO_FAULT_READ ( '0' : #1, '1' : #2, '2' : 3# )</t>
    <phoneticPr fontId="1" type="noConversion"/>
  </si>
  <si>
    <t>LD_MODE : '0' normal,  '1' x8 (repeat 8 times the same dimming pattern, SV_NO=8)
LD_DIR : '0' Head Lighting, '1' Tail Lighting
LD_RES : '0' 12-bit LD, '1' 14-bit LD
SYNCMODE : '0' cmd+svi,  '1' vo+svi
SV_NO : '8' means total 16 times, (g=8, b=8)
DELAY_CH_EN : '0' LD_MODE 시, DELAY CH# 변경값 유지
                    '1' LD_MODE 시, DELAY CH# 변경</t>
    <phoneticPr fontId="1" type="noConversion"/>
  </si>
  <si>
    <t>00' single data, '01' : single data
'10' 시분할 data, '11' : 시 분할 data</t>
    <phoneticPr fontId="1" type="noConversion"/>
  </si>
  <si>
    <t>REG_RD_EN : '1' 설정시, REGISTER READ enable</t>
    <phoneticPr fontId="1" type="noConversion"/>
  </si>
  <si>
    <t>0x001</t>
    <phoneticPr fontId="1" type="noConversion"/>
  </si>
  <si>
    <t>0x012</t>
    <phoneticPr fontId="1" type="noConversion"/>
  </si>
  <si>
    <t>0xE1A</t>
    <phoneticPr fontId="1" type="noConversion"/>
  </si>
  <si>
    <t>0x090</t>
    <phoneticPr fontId="1" type="noConversion"/>
  </si>
  <si>
    <t>0xFFF</t>
    <phoneticPr fontId="1" type="noConversion"/>
  </si>
  <si>
    <t>0x888</t>
    <phoneticPr fontId="1" type="noConversion"/>
  </si>
  <si>
    <t>0x7FF</t>
    <phoneticPr fontId="1" type="noConversion"/>
  </si>
  <si>
    <t>0xE34</t>
    <phoneticPr fontId="1" type="noConversion"/>
  </si>
  <si>
    <t>0x13F</t>
    <phoneticPr fontId="1" type="noConversion"/>
  </si>
  <si>
    <t>0x03F</t>
    <phoneticPr fontId="1" type="noConversion"/>
  </si>
  <si>
    <t>12'hA00</t>
    <phoneticPr fontId="1" type="noConversion"/>
  </si>
  <si>
    <t>12'h032</t>
    <phoneticPr fontId="1" type="noConversion"/>
  </si>
  <si>
    <t>0x99D</t>
    <phoneticPr fontId="1" type="noConversion"/>
  </si>
  <si>
    <t>-</t>
    <phoneticPr fontId="1" type="noConversion"/>
  </si>
  <si>
    <t xml:space="preserve"> 구동 setting</t>
    <phoneticPr fontId="1" type="noConversion"/>
  </si>
  <si>
    <t>jylee</t>
    <phoneticPr fontId="1" type="noConversion"/>
  </si>
  <si>
    <t>SYNCMODE : 0
--&gt; XCR이 문제가 있어서 vo+svi로 해야하는거 아닌지요?</t>
    <phoneticPr fontId="1" type="noConversion"/>
  </si>
  <si>
    <t>low 12개
High 24개 설정 시
0x318인데, 확인 요청</t>
    <phoneticPr fontId="1" type="noConversion"/>
  </si>
  <si>
    <t>OSC_MAN_EN = 0으로 설정해야
FLL 동작하는것 아닌가요?</t>
    <phoneticPr fontId="1" type="noConversion"/>
  </si>
  <si>
    <t>mkcho</t>
    <phoneticPr fontId="1" type="noConversion"/>
  </si>
  <si>
    <t>SYNC_MODE : 1로 진행합니다.</t>
    <phoneticPr fontId="1" type="noConversion"/>
  </si>
  <si>
    <t>1/2 분주 clock 이 사용 됨으로,
기존 대비 1/2 수준으로 수정</t>
    <phoneticPr fontId="1" type="noConversion"/>
  </si>
  <si>
    <t>0x18C</t>
    <phoneticPr fontId="1" type="noConversion"/>
  </si>
  <si>
    <t>초기 OSC 는 MAN setting 으로 동작됨.
VSYNC 입력 전에 OSC_MAN_EN = 0 으로 바꿔주시면 됩니다.</t>
    <phoneticPr fontId="1" type="noConversion"/>
  </si>
  <si>
    <t>0x072</t>
    <phoneticPr fontId="1" type="noConversion"/>
  </si>
  <si>
    <t>0x889</t>
    <phoneticPr fontId="1" type="noConversion"/>
  </si>
  <si>
    <t>SYNC_MODE =1 에 따른 register 변경</t>
    <phoneticPr fontId="1" type="noConversion"/>
  </si>
  <si>
    <t>0x41E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</si>
</sst>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&quot;12'h&quot;000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Malgun Gothic Semilight"/>
      <family val="3"/>
      <charset val="129"/>
    </font>
    <font>
      <sz val="12.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0" fontId="15" fillId="0" borderId="0"/>
    <xf numFmtId="0" fontId="10" fillId="0" borderId="0">
      <alignment vertical="center"/>
    </xf>
  </cellStyleXfs>
  <cellXfs count="10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6" borderId="0" xfId="0" applyFont="1" applyFill="1">
      <alignment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top"/>
    </xf>
    <xf numFmtId="0" fontId="8" fillId="0" borderId="5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/>
    </xf>
    <xf numFmtId="0" fontId="8" fillId="7" borderId="2" xfId="0" applyFont="1" applyFill="1" applyBorder="1" applyAlignment="1">
      <alignment horizontal="center" vertical="center"/>
    </xf>
    <xf numFmtId="0" fontId="8" fillId="0" borderId="5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center" shrinkToFit="1"/>
    </xf>
    <xf numFmtId="176" fontId="8" fillId="0" borderId="5" xfId="0" applyNumberFormat="1" applyFont="1" applyBorder="1" applyAlignment="1">
      <alignment horizontal="left" vertical="top"/>
    </xf>
    <xf numFmtId="0" fontId="8" fillId="5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shrinkToFit="1"/>
    </xf>
    <xf numFmtId="0" fontId="6" fillId="6" borderId="0" xfId="0" applyFont="1" applyFill="1">
      <alignment vertical="center"/>
    </xf>
    <xf numFmtId="0" fontId="2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2" fillId="0" borderId="5" xfId="0" quotePrefix="1" applyFont="1" applyBorder="1" applyAlignment="1">
      <alignment horizontal="left" vertical="top" wrapText="1"/>
    </xf>
    <xf numFmtId="0" fontId="8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vertical="center" shrinkToFit="1"/>
    </xf>
    <xf numFmtId="0" fontId="5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shrinkToFit="1"/>
    </xf>
    <xf numFmtId="177" fontId="0" fillId="0" borderId="6" xfId="0" applyNumberForma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6" xfId="0" applyFont="1" applyBorder="1">
      <alignment vertical="center"/>
    </xf>
    <xf numFmtId="0" fontId="8" fillId="0" borderId="6" xfId="0" applyFont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right" vertical="center"/>
    </xf>
    <xf numFmtId="0" fontId="7" fillId="6" borderId="0" xfId="0" applyFont="1" applyFill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shrinkToFit="1"/>
    </xf>
    <xf numFmtId="0" fontId="0" fillId="4" borderId="3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5" borderId="4" xfId="0" applyFont="1" applyFill="1" applyBorder="1" applyAlignment="1">
      <alignment horizontal="center" vertical="center" shrinkToFit="1"/>
    </xf>
    <xf numFmtId="0" fontId="8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shrinkToFit="1"/>
    </xf>
    <xf numFmtId="0" fontId="2" fillId="5" borderId="3" xfId="0" applyFont="1" applyFill="1" applyBorder="1" applyAlignment="1">
      <alignment horizontal="center" vertical="center" shrinkToFit="1"/>
    </xf>
  </cellXfs>
  <cellStyles count="3">
    <cellStyle name="표준" xfId="0" builtinId="0"/>
    <cellStyle name="표준 2" xfId="1" xr:uid="{57E538EB-A35B-464C-826E-73B26D6182DB}"/>
    <cellStyle name="표준 2 2" xfId="2" xr:uid="{F9434F0B-863D-47CA-A493-7A8B29FC3520}"/>
  </cellStyles>
  <dxfs count="0"/>
  <tableStyles count="0" defaultTableStyle="TableStyleMedium2" defaultPivotStyle="PivotStyleLight16"/>
  <colors>
    <mruColors>
      <color rgb="FF0000FF"/>
      <color rgb="FFFF00FF"/>
      <color rgb="FFECF9E7"/>
      <color rgb="FF3333FF"/>
      <color rgb="FF0066FF"/>
      <color rgb="FFECFAEE"/>
      <color rgb="FFF3FBEF"/>
      <color rgb="FFEDF9E7"/>
      <color rgb="FFEAF8E4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425450</xdr:colOff>
      <xdr:row>6</xdr:row>
      <xdr:rowOff>114300</xdr:rowOff>
    </xdr:from>
    <xdr:to>
      <xdr:col>37</xdr:col>
      <xdr:colOff>126999</xdr:colOff>
      <xdr:row>18</xdr:row>
      <xdr:rowOff>87992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66A741-CA62-BB47-DBE2-508D9B0B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76050" y="3346450"/>
          <a:ext cx="8858250" cy="378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X92"/>
  <sheetViews>
    <sheetView showGridLines="0" tabSelected="1" zoomScale="70" zoomScaleNormal="70" workbookViewId="0"/>
  </sheetViews>
  <sheetFormatPr defaultColWidth="8.58203125" defaultRowHeight="17"/>
  <cols>
    <col min="1" max="1" width="8.58203125" style="2" customWidth="1"/>
    <col min="2" max="2" width="3.1640625" style="2" bestFit="1" customWidth="1"/>
    <col min="3" max="3" width="24.75" style="3" customWidth="1"/>
    <col min="4" max="4" width="6.4140625" style="10" bestFit="1" customWidth="1"/>
    <col min="5" max="5" width="10.1640625" style="10" bestFit="1" customWidth="1"/>
    <col min="6" max="6" width="6.9140625" style="10" bestFit="1" customWidth="1"/>
    <col min="7" max="7" width="1.58203125" style="10" customWidth="1"/>
    <col min="8" max="8" width="16.33203125" style="10" bestFit="1" customWidth="1"/>
    <col min="9" max="10" width="13.6640625" style="10" bestFit="1" customWidth="1"/>
    <col min="11" max="13" width="12.58203125" style="10" bestFit="1" customWidth="1"/>
    <col min="14" max="14" width="14.4140625" style="10" bestFit="1" customWidth="1"/>
    <col min="15" max="15" width="17.83203125" style="10" bestFit="1" customWidth="1"/>
    <col min="16" max="16" width="13.83203125" style="10" bestFit="1" customWidth="1"/>
    <col min="17" max="17" width="13.08203125" style="10" bestFit="1" customWidth="1"/>
    <col min="18" max="18" width="13.9140625" style="10" bestFit="1" customWidth="1"/>
    <col min="19" max="19" width="13.6640625" style="10" bestFit="1" customWidth="1"/>
    <col min="20" max="20" width="13.6640625" style="10" customWidth="1"/>
    <col min="21" max="21" width="31.83203125" style="10" customWidth="1"/>
    <col min="22" max="22" width="33.75" style="10" customWidth="1"/>
    <col min="23" max="23" width="83.25" style="16" bestFit="1" customWidth="1"/>
    <col min="24" max="24" width="8.58203125" style="2" customWidth="1"/>
    <col min="25" max="16384" width="8.58203125" style="2"/>
  </cols>
  <sheetData>
    <row r="1" spans="2:23" ht="17.5" thickBot="1">
      <c r="D1" s="3"/>
      <c r="E1" s="3"/>
      <c r="F1" s="3"/>
    </row>
    <row r="2" spans="2:23" ht="18" thickTop="1" thickBot="1">
      <c r="B2" s="8"/>
      <c r="C2" s="9" t="s">
        <v>0</v>
      </c>
      <c r="D2" s="17" t="s">
        <v>1</v>
      </c>
      <c r="E2" s="17" t="s">
        <v>2</v>
      </c>
      <c r="F2" s="17" t="s">
        <v>3</v>
      </c>
      <c r="G2" s="17"/>
      <c r="H2" s="17" t="s">
        <v>4</v>
      </c>
      <c r="I2" s="17" t="s">
        <v>5</v>
      </c>
      <c r="J2" s="17" t="s">
        <v>6</v>
      </c>
      <c r="K2" s="17" t="s">
        <v>7</v>
      </c>
      <c r="L2" s="17" t="s">
        <v>8</v>
      </c>
      <c r="M2" s="17" t="s">
        <v>9</v>
      </c>
      <c r="N2" s="17" t="s">
        <v>10</v>
      </c>
      <c r="O2" s="17" t="s">
        <v>11</v>
      </c>
      <c r="P2" s="17" t="s">
        <v>12</v>
      </c>
      <c r="Q2" s="17" t="s">
        <v>13</v>
      </c>
      <c r="R2" s="17" t="s">
        <v>14</v>
      </c>
      <c r="S2" s="17" t="s">
        <v>15</v>
      </c>
      <c r="T2" s="49" t="s">
        <v>368</v>
      </c>
      <c r="U2" s="57" t="s">
        <v>369</v>
      </c>
      <c r="V2" s="63" t="s">
        <v>373</v>
      </c>
      <c r="W2" s="18" t="s">
        <v>16</v>
      </c>
    </row>
    <row r="3" spans="2:23" ht="86" thickTop="1" thickBot="1">
      <c r="B3" s="8">
        <v>1</v>
      </c>
      <c r="C3" s="3" t="s">
        <v>163</v>
      </c>
      <c r="D3" s="10" t="s">
        <v>17</v>
      </c>
      <c r="E3" s="10" t="s">
        <v>18</v>
      </c>
      <c r="F3" s="39" t="s">
        <v>225</v>
      </c>
      <c r="H3" s="14" t="s">
        <v>96</v>
      </c>
      <c r="I3" s="14" t="s">
        <v>130</v>
      </c>
      <c r="J3" s="14" t="s">
        <v>129</v>
      </c>
      <c r="K3" s="14" t="s">
        <v>224</v>
      </c>
      <c r="L3" s="11"/>
      <c r="M3" s="6"/>
      <c r="N3" s="6"/>
      <c r="O3" s="66" t="s">
        <v>20</v>
      </c>
      <c r="P3" s="66"/>
      <c r="Q3" s="66"/>
      <c r="R3" s="66"/>
      <c r="S3" s="67"/>
      <c r="T3" s="50" t="s">
        <v>225</v>
      </c>
      <c r="U3" s="11"/>
      <c r="V3" s="11"/>
      <c r="W3" s="19" t="s">
        <v>254</v>
      </c>
    </row>
    <row r="4" spans="2:23" ht="128" customHeight="1" thickTop="1" thickBot="1">
      <c r="B4" s="8">
        <f>B3+1</f>
        <v>2</v>
      </c>
      <c r="C4" s="3" t="s">
        <v>123</v>
      </c>
      <c r="D4" s="10" t="s">
        <v>17</v>
      </c>
      <c r="E4" s="10" t="s">
        <v>80</v>
      </c>
      <c r="F4" s="10" t="s">
        <v>19</v>
      </c>
      <c r="H4" s="11"/>
      <c r="I4" s="71" t="s">
        <v>309</v>
      </c>
      <c r="J4" s="72"/>
      <c r="K4" s="72"/>
      <c r="L4" s="72"/>
      <c r="M4" s="72"/>
      <c r="N4" s="73"/>
      <c r="O4" s="14" t="s">
        <v>310</v>
      </c>
      <c r="P4" s="15" t="s">
        <v>178</v>
      </c>
      <c r="Q4" s="28" t="s">
        <v>221</v>
      </c>
      <c r="R4" s="28" t="s">
        <v>21</v>
      </c>
      <c r="S4" s="47" t="s">
        <v>177</v>
      </c>
      <c r="T4" s="64" t="s">
        <v>381</v>
      </c>
      <c r="U4" s="58" t="s">
        <v>370</v>
      </c>
      <c r="V4" s="58" t="s">
        <v>374</v>
      </c>
      <c r="W4" s="19" t="s">
        <v>351</v>
      </c>
    </row>
    <row r="5" spans="2:23" ht="18" thickTop="1" thickBot="1">
      <c r="B5" s="8">
        <f t="shared" ref="B5:B47" si="0">B4+1</f>
        <v>3</v>
      </c>
      <c r="C5" s="3" t="s">
        <v>228</v>
      </c>
      <c r="D5" s="10" t="s">
        <v>17</v>
      </c>
      <c r="E5" s="10" t="s">
        <v>82</v>
      </c>
      <c r="F5" s="10" t="s">
        <v>19</v>
      </c>
      <c r="H5" s="25"/>
      <c r="I5" s="25"/>
      <c r="J5" s="25"/>
      <c r="K5" s="25"/>
      <c r="L5" s="25"/>
      <c r="M5" s="25"/>
      <c r="N5" s="25"/>
      <c r="O5" s="68" t="s">
        <v>226</v>
      </c>
      <c r="P5" s="68"/>
      <c r="Q5" s="68"/>
      <c r="R5" s="68"/>
      <c r="S5" s="69"/>
      <c r="T5" s="51" t="s">
        <v>355</v>
      </c>
      <c r="U5" s="25"/>
      <c r="V5" s="25"/>
      <c r="W5" s="2" t="s">
        <v>227</v>
      </c>
    </row>
    <row r="6" spans="2:23" ht="18" thickTop="1" thickBot="1">
      <c r="B6" s="8">
        <f t="shared" si="0"/>
        <v>4</v>
      </c>
      <c r="C6" s="3" t="s">
        <v>144</v>
      </c>
      <c r="D6" s="10" t="s">
        <v>17</v>
      </c>
      <c r="E6" s="10" t="s">
        <v>22</v>
      </c>
      <c r="F6" s="10" t="s">
        <v>19</v>
      </c>
      <c r="H6" s="70" t="s">
        <v>140</v>
      </c>
      <c r="I6" s="70"/>
      <c r="J6" s="70"/>
      <c r="K6" s="70"/>
      <c r="L6" s="70" t="s">
        <v>139</v>
      </c>
      <c r="M6" s="70"/>
      <c r="N6" s="70"/>
      <c r="O6" s="70"/>
      <c r="P6" s="70"/>
      <c r="Q6" s="70"/>
      <c r="R6" s="70"/>
      <c r="S6" s="71"/>
      <c r="T6" s="50" t="s">
        <v>356</v>
      </c>
      <c r="U6" s="11"/>
      <c r="V6" s="11"/>
      <c r="W6" s="30" t="s">
        <v>255</v>
      </c>
    </row>
    <row r="7" spans="2:23" ht="18" thickTop="1" thickBot="1">
      <c r="B7" s="8">
        <f t="shared" si="0"/>
        <v>5</v>
      </c>
      <c r="C7" s="3" t="s">
        <v>143</v>
      </c>
      <c r="D7" s="10" t="s">
        <v>17</v>
      </c>
      <c r="E7" s="10" t="s">
        <v>23</v>
      </c>
      <c r="F7" s="10" t="s">
        <v>19</v>
      </c>
      <c r="H7" s="70" t="s">
        <v>142</v>
      </c>
      <c r="I7" s="70"/>
      <c r="J7" s="70"/>
      <c r="K7" s="70"/>
      <c r="L7" s="70"/>
      <c r="M7" s="70"/>
      <c r="N7" s="70"/>
      <c r="O7" s="70"/>
      <c r="P7" s="70" t="s">
        <v>141</v>
      </c>
      <c r="Q7" s="70"/>
      <c r="R7" s="70"/>
      <c r="S7" s="71"/>
      <c r="T7" s="50" t="s">
        <v>357</v>
      </c>
      <c r="U7" s="11"/>
      <c r="V7" s="11"/>
      <c r="W7" s="31" t="s">
        <v>258</v>
      </c>
    </row>
    <row r="8" spans="2:23" ht="18" thickTop="1" thickBot="1">
      <c r="B8" s="8">
        <f t="shared" si="0"/>
        <v>6</v>
      </c>
      <c r="C8" s="3" t="s">
        <v>170</v>
      </c>
      <c r="D8" s="10" t="s">
        <v>17</v>
      </c>
      <c r="E8" s="10" t="s">
        <v>83</v>
      </c>
      <c r="F8" s="10" t="s">
        <v>19</v>
      </c>
      <c r="H8" s="21" t="s">
        <v>28</v>
      </c>
      <c r="I8" s="21" t="s">
        <v>29</v>
      </c>
      <c r="J8" s="21" t="s">
        <v>30</v>
      </c>
      <c r="K8" s="21" t="s">
        <v>31</v>
      </c>
      <c r="L8" s="21" t="s">
        <v>32</v>
      </c>
      <c r="M8" s="21" t="s">
        <v>33</v>
      </c>
      <c r="N8" s="21" t="s">
        <v>34</v>
      </c>
      <c r="O8" s="21" t="s">
        <v>35</v>
      </c>
      <c r="P8" s="21" t="s">
        <v>36</v>
      </c>
      <c r="Q8" s="21" t="s">
        <v>37</v>
      </c>
      <c r="R8" s="21" t="s">
        <v>38</v>
      </c>
      <c r="S8" s="45" t="s">
        <v>39</v>
      </c>
      <c r="T8" s="50" t="s">
        <v>358</v>
      </c>
      <c r="U8" s="11"/>
      <c r="V8" s="11"/>
      <c r="W8" s="22"/>
    </row>
    <row r="9" spans="2:23" ht="86" thickTop="1" thickBot="1">
      <c r="B9" s="8">
        <f t="shared" si="0"/>
        <v>7</v>
      </c>
      <c r="C9" s="3" t="s">
        <v>99</v>
      </c>
      <c r="D9" s="10" t="s">
        <v>17</v>
      </c>
      <c r="E9" s="10" t="s">
        <v>24</v>
      </c>
      <c r="F9" s="40" t="s">
        <v>19</v>
      </c>
      <c r="H9" s="76" t="s">
        <v>313</v>
      </c>
      <c r="I9" s="73"/>
      <c r="J9" s="77" t="s">
        <v>314</v>
      </c>
      <c r="K9" s="78"/>
      <c r="L9" s="78"/>
      <c r="M9" s="79"/>
      <c r="N9" s="11" t="s">
        <v>222</v>
      </c>
      <c r="O9" s="14" t="s">
        <v>109</v>
      </c>
      <c r="P9" s="41" t="s">
        <v>315</v>
      </c>
      <c r="Q9" s="21" t="s">
        <v>102</v>
      </c>
      <c r="R9" s="21" t="s">
        <v>101</v>
      </c>
      <c r="S9" s="44" t="s">
        <v>100</v>
      </c>
      <c r="T9" s="50" t="s">
        <v>47</v>
      </c>
      <c r="U9" s="11"/>
      <c r="V9" s="11"/>
      <c r="W9" s="22" t="s">
        <v>350</v>
      </c>
    </row>
    <row r="10" spans="2:23" ht="35" thickTop="1" thickBot="1">
      <c r="B10" s="8">
        <f t="shared" si="0"/>
        <v>8</v>
      </c>
      <c r="C10" s="3" t="s">
        <v>316</v>
      </c>
      <c r="D10" s="10" t="s">
        <v>17</v>
      </c>
      <c r="E10" s="10" t="s">
        <v>317</v>
      </c>
      <c r="F10" s="10" t="s">
        <v>25</v>
      </c>
      <c r="H10" s="80" t="s">
        <v>295</v>
      </c>
      <c r="I10" s="81"/>
      <c r="J10" s="80" t="s">
        <v>296</v>
      </c>
      <c r="K10" s="81"/>
      <c r="L10" s="80" t="s">
        <v>297</v>
      </c>
      <c r="M10" s="81"/>
      <c r="N10" s="80" t="s">
        <v>298</v>
      </c>
      <c r="O10" s="81"/>
      <c r="P10" s="80" t="s">
        <v>299</v>
      </c>
      <c r="Q10" s="81"/>
      <c r="R10" s="80" t="s">
        <v>318</v>
      </c>
      <c r="S10" s="82"/>
      <c r="T10" s="50" t="s">
        <v>359</v>
      </c>
      <c r="U10" s="11"/>
      <c r="V10" s="11"/>
      <c r="W10" s="32" t="s">
        <v>352</v>
      </c>
    </row>
    <row r="11" spans="2:23" ht="17.149999999999999" customHeight="1" thickTop="1" thickBot="1">
      <c r="B11" s="8">
        <f>B10+1</f>
        <v>9</v>
      </c>
      <c r="C11" s="3" t="s">
        <v>294</v>
      </c>
      <c r="D11" s="10" t="s">
        <v>17</v>
      </c>
      <c r="E11" s="10" t="s">
        <v>319</v>
      </c>
      <c r="F11" s="10" t="s">
        <v>25</v>
      </c>
      <c r="H11" s="80" t="s">
        <v>300</v>
      </c>
      <c r="I11" s="81"/>
      <c r="J11" s="80" t="s">
        <v>301</v>
      </c>
      <c r="K11" s="81"/>
      <c r="L11" s="80" t="s">
        <v>302</v>
      </c>
      <c r="M11" s="81"/>
      <c r="N11" s="80" t="s">
        <v>303</v>
      </c>
      <c r="O11" s="81"/>
      <c r="P11" s="80" t="s">
        <v>304</v>
      </c>
      <c r="Q11" s="81"/>
      <c r="R11" s="80" t="s">
        <v>305</v>
      </c>
      <c r="S11" s="82"/>
      <c r="T11" s="50" t="s">
        <v>359</v>
      </c>
      <c r="U11" s="11"/>
      <c r="V11" s="11"/>
      <c r="W11" s="32"/>
    </row>
    <row r="12" spans="2:23" ht="18" thickTop="1" thickBot="1">
      <c r="B12" s="8">
        <f>B11+1</f>
        <v>10</v>
      </c>
      <c r="C12" s="3" t="s">
        <v>320</v>
      </c>
      <c r="D12" s="10" t="s">
        <v>40</v>
      </c>
      <c r="E12" s="10" t="s">
        <v>27</v>
      </c>
      <c r="F12" s="10" t="s">
        <v>25</v>
      </c>
      <c r="H12" s="5" t="s">
        <v>194</v>
      </c>
      <c r="I12" s="5" t="s">
        <v>233</v>
      </c>
      <c r="J12" s="14" t="s">
        <v>235</v>
      </c>
      <c r="K12" s="14" t="s">
        <v>236</v>
      </c>
      <c r="L12" s="14" t="s">
        <v>237</v>
      </c>
      <c r="M12" s="14" t="s">
        <v>238</v>
      </c>
      <c r="N12" s="21" t="s">
        <v>42</v>
      </c>
      <c r="O12" s="14" t="s">
        <v>43</v>
      </c>
      <c r="P12" s="14" t="s">
        <v>44</v>
      </c>
      <c r="Q12" s="21" t="s">
        <v>166</v>
      </c>
      <c r="R12" s="21" t="s">
        <v>165</v>
      </c>
      <c r="S12" s="45" t="s">
        <v>164</v>
      </c>
      <c r="T12" s="50"/>
      <c r="U12" s="11"/>
      <c r="V12" s="11"/>
      <c r="W12" s="22" t="s">
        <v>180</v>
      </c>
    </row>
    <row r="13" spans="2:23" ht="17.149999999999999" customHeight="1" thickTop="1" thickBot="1">
      <c r="B13" s="8">
        <f>B12+1</f>
        <v>11</v>
      </c>
      <c r="C13" s="3" t="s">
        <v>135</v>
      </c>
      <c r="D13" s="10" t="s">
        <v>17</v>
      </c>
      <c r="E13" s="10" t="s">
        <v>85</v>
      </c>
      <c r="F13" s="10" t="s">
        <v>25</v>
      </c>
      <c r="H13" s="67" t="s">
        <v>263</v>
      </c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52" t="s">
        <v>364</v>
      </c>
      <c r="U13" s="59"/>
      <c r="V13" s="59"/>
      <c r="W13" s="31" t="s">
        <v>223</v>
      </c>
    </row>
    <row r="14" spans="2:23" ht="18" thickTop="1" thickBot="1">
      <c r="B14" s="8">
        <f t="shared" si="0"/>
        <v>12</v>
      </c>
      <c r="C14" s="3" t="s">
        <v>136</v>
      </c>
      <c r="D14" s="10" t="s">
        <v>17</v>
      </c>
      <c r="E14" s="10" t="s">
        <v>41</v>
      </c>
      <c r="F14" s="10" t="s">
        <v>25</v>
      </c>
      <c r="H14" s="67" t="s">
        <v>264</v>
      </c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52" t="s">
        <v>365</v>
      </c>
      <c r="U14" s="59"/>
      <c r="V14" s="59"/>
      <c r="W14" s="31" t="s">
        <v>223</v>
      </c>
    </row>
    <row r="15" spans="2:23" ht="18" thickTop="1" thickBot="1">
      <c r="B15" s="8">
        <f t="shared" si="0"/>
        <v>13</v>
      </c>
      <c r="C15" s="3" t="s">
        <v>137</v>
      </c>
      <c r="D15" s="10" t="s">
        <v>17</v>
      </c>
      <c r="E15" s="10" t="s">
        <v>45</v>
      </c>
      <c r="F15" s="10" t="s">
        <v>25</v>
      </c>
      <c r="H15" s="66" t="s">
        <v>265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7"/>
      <c r="T15" s="52" t="s">
        <v>365</v>
      </c>
      <c r="U15" s="59"/>
      <c r="V15" s="59"/>
      <c r="W15" s="31" t="s">
        <v>223</v>
      </c>
    </row>
    <row r="16" spans="2:23" ht="18" thickTop="1" thickBot="1">
      <c r="B16" s="8">
        <f t="shared" si="0"/>
        <v>14</v>
      </c>
      <c r="C16" s="3" t="s">
        <v>321</v>
      </c>
      <c r="D16" s="10" t="s">
        <v>17</v>
      </c>
      <c r="E16" s="10" t="s">
        <v>46</v>
      </c>
      <c r="F16" s="10" t="s">
        <v>25</v>
      </c>
      <c r="H16" s="83" t="s">
        <v>322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0"/>
      <c r="T16" s="50" t="s">
        <v>19</v>
      </c>
      <c r="U16" s="11"/>
      <c r="V16" s="11"/>
      <c r="W16" s="31" t="s">
        <v>223</v>
      </c>
    </row>
    <row r="17" spans="2:23" ht="18" thickTop="1" thickBot="1">
      <c r="B17" s="8">
        <f t="shared" si="0"/>
        <v>15</v>
      </c>
      <c r="C17" s="3" t="s">
        <v>323</v>
      </c>
      <c r="D17" s="10" t="s">
        <v>17</v>
      </c>
      <c r="E17" s="10" t="s">
        <v>48</v>
      </c>
      <c r="F17" s="10" t="s">
        <v>25</v>
      </c>
      <c r="H17" s="83" t="s">
        <v>324</v>
      </c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0"/>
      <c r="T17" s="50" t="s">
        <v>19</v>
      </c>
      <c r="U17" s="11"/>
      <c r="V17" s="11"/>
      <c r="W17" s="31" t="s">
        <v>223</v>
      </c>
    </row>
    <row r="18" spans="2:23" ht="18" thickTop="1" thickBot="1">
      <c r="B18" s="8"/>
      <c r="C18" s="3" t="s">
        <v>97</v>
      </c>
      <c r="E18" s="10" t="s">
        <v>49</v>
      </c>
      <c r="H18" s="84"/>
      <c r="I18" s="72"/>
      <c r="J18" s="73"/>
      <c r="K18" s="84"/>
      <c r="L18" s="72"/>
      <c r="M18" s="73"/>
      <c r="N18" s="84"/>
      <c r="O18" s="72"/>
      <c r="P18" s="73"/>
      <c r="Q18" s="84"/>
      <c r="R18" s="72"/>
      <c r="S18" s="72"/>
      <c r="T18" s="50"/>
      <c r="U18" s="11"/>
      <c r="V18" s="11"/>
      <c r="W18" s="31"/>
    </row>
    <row r="19" spans="2:23" ht="18" thickTop="1" thickBot="1">
      <c r="B19" s="8">
        <f>B17+1</f>
        <v>16</v>
      </c>
      <c r="C19" s="3" t="s">
        <v>157</v>
      </c>
      <c r="D19" s="10" t="s">
        <v>17</v>
      </c>
      <c r="E19" s="10" t="s">
        <v>50</v>
      </c>
      <c r="F19" s="10" t="s">
        <v>25</v>
      </c>
      <c r="H19" s="12"/>
      <c r="I19" s="12"/>
      <c r="J19" s="70" t="s">
        <v>146</v>
      </c>
      <c r="K19" s="70"/>
      <c r="L19" s="70"/>
      <c r="M19" s="70"/>
      <c r="N19" s="70"/>
      <c r="O19" s="70" t="s">
        <v>145</v>
      </c>
      <c r="P19" s="70"/>
      <c r="Q19" s="70"/>
      <c r="R19" s="70"/>
      <c r="S19" s="71"/>
      <c r="T19" s="50" t="s">
        <v>19</v>
      </c>
      <c r="U19" s="11"/>
      <c r="V19" s="11"/>
      <c r="W19" s="24" t="s">
        <v>256</v>
      </c>
    </row>
    <row r="20" spans="2:23" ht="18" thickTop="1" thickBot="1">
      <c r="B20" s="8">
        <f t="shared" si="0"/>
        <v>17</v>
      </c>
      <c r="C20" s="3" t="s">
        <v>158</v>
      </c>
      <c r="D20" s="10" t="s">
        <v>17</v>
      </c>
      <c r="E20" s="10" t="s">
        <v>113</v>
      </c>
      <c r="F20" s="10" t="s">
        <v>25</v>
      </c>
      <c r="H20" s="12"/>
      <c r="I20" s="12"/>
      <c r="J20" s="70" t="s">
        <v>148</v>
      </c>
      <c r="K20" s="70"/>
      <c r="L20" s="70"/>
      <c r="M20" s="70"/>
      <c r="N20" s="70"/>
      <c r="O20" s="70" t="s">
        <v>147</v>
      </c>
      <c r="P20" s="70"/>
      <c r="Q20" s="70"/>
      <c r="R20" s="70"/>
      <c r="S20" s="71"/>
      <c r="T20" s="50" t="s">
        <v>19</v>
      </c>
      <c r="U20" s="11"/>
      <c r="V20" s="11"/>
      <c r="W20" s="20"/>
    </row>
    <row r="21" spans="2:23" ht="18" thickTop="1" thickBot="1">
      <c r="B21" s="8">
        <f t="shared" si="0"/>
        <v>18</v>
      </c>
      <c r="C21" s="3" t="s">
        <v>159</v>
      </c>
      <c r="D21" s="10" t="s">
        <v>17</v>
      </c>
      <c r="E21" s="10" t="s">
        <v>51</v>
      </c>
      <c r="F21" s="10" t="s">
        <v>25</v>
      </c>
      <c r="H21" s="12"/>
      <c r="I21" s="12"/>
      <c r="J21" s="70" t="s">
        <v>150</v>
      </c>
      <c r="K21" s="70"/>
      <c r="L21" s="70"/>
      <c r="M21" s="70"/>
      <c r="N21" s="70"/>
      <c r="O21" s="70" t="s">
        <v>149</v>
      </c>
      <c r="P21" s="70"/>
      <c r="Q21" s="70"/>
      <c r="R21" s="70"/>
      <c r="S21" s="71"/>
      <c r="T21" s="50" t="s">
        <v>19</v>
      </c>
      <c r="U21" s="11"/>
      <c r="V21" s="11"/>
      <c r="W21" s="20"/>
    </row>
    <row r="22" spans="2:23" ht="18" thickTop="1" thickBot="1">
      <c r="B22" s="8">
        <f t="shared" si="0"/>
        <v>19</v>
      </c>
      <c r="C22" s="3" t="s">
        <v>160</v>
      </c>
      <c r="D22" s="10" t="s">
        <v>17</v>
      </c>
      <c r="E22" s="10" t="s">
        <v>52</v>
      </c>
      <c r="F22" s="10" t="s">
        <v>25</v>
      </c>
      <c r="H22" s="12"/>
      <c r="I22" s="12"/>
      <c r="J22" s="70" t="s">
        <v>152</v>
      </c>
      <c r="K22" s="70"/>
      <c r="L22" s="70"/>
      <c r="M22" s="70"/>
      <c r="N22" s="70"/>
      <c r="O22" s="70" t="s">
        <v>151</v>
      </c>
      <c r="P22" s="70"/>
      <c r="Q22" s="70"/>
      <c r="R22" s="70"/>
      <c r="S22" s="71"/>
      <c r="T22" s="50" t="s">
        <v>19</v>
      </c>
      <c r="U22" s="11"/>
      <c r="V22" s="11"/>
      <c r="W22" s="19"/>
    </row>
    <row r="23" spans="2:23" ht="18" thickTop="1" thickBot="1">
      <c r="B23" s="8">
        <f t="shared" si="0"/>
        <v>20</v>
      </c>
      <c r="C23" s="3" t="s">
        <v>161</v>
      </c>
      <c r="D23" s="10" t="s">
        <v>17</v>
      </c>
      <c r="E23" s="10" t="s">
        <v>53</v>
      </c>
      <c r="F23" s="10" t="s">
        <v>25</v>
      </c>
      <c r="H23" s="12"/>
      <c r="I23" s="12"/>
      <c r="J23" s="70" t="s">
        <v>154</v>
      </c>
      <c r="K23" s="70"/>
      <c r="L23" s="70"/>
      <c r="M23" s="70"/>
      <c r="N23" s="70"/>
      <c r="O23" s="70" t="s">
        <v>153</v>
      </c>
      <c r="P23" s="70"/>
      <c r="Q23" s="70"/>
      <c r="R23" s="70"/>
      <c r="S23" s="71"/>
      <c r="T23" s="50" t="s">
        <v>19</v>
      </c>
      <c r="U23" s="11"/>
      <c r="V23" s="11"/>
      <c r="W23" s="19"/>
    </row>
    <row r="24" spans="2:23" ht="18" thickTop="1" thickBot="1">
      <c r="B24" s="8">
        <f t="shared" si="0"/>
        <v>21</v>
      </c>
      <c r="C24" s="3" t="s">
        <v>162</v>
      </c>
      <c r="D24" s="10" t="s">
        <v>17</v>
      </c>
      <c r="E24" s="10" t="s">
        <v>54</v>
      </c>
      <c r="F24" s="10" t="s">
        <v>25</v>
      </c>
      <c r="H24" s="12"/>
      <c r="I24" s="12"/>
      <c r="J24" s="70" t="s">
        <v>156</v>
      </c>
      <c r="K24" s="70"/>
      <c r="L24" s="70"/>
      <c r="M24" s="70"/>
      <c r="N24" s="70"/>
      <c r="O24" s="70" t="s">
        <v>155</v>
      </c>
      <c r="P24" s="70"/>
      <c r="Q24" s="70"/>
      <c r="R24" s="70"/>
      <c r="S24" s="71"/>
      <c r="T24" s="50" t="s">
        <v>19</v>
      </c>
      <c r="U24" s="11"/>
      <c r="V24" s="11"/>
      <c r="W24" s="19"/>
    </row>
    <row r="25" spans="2:23" ht="18" thickTop="1" thickBot="1">
      <c r="B25" s="8">
        <f t="shared" si="0"/>
        <v>22</v>
      </c>
      <c r="C25" s="3" t="s">
        <v>216</v>
      </c>
      <c r="D25" s="10" t="s">
        <v>17</v>
      </c>
      <c r="E25" s="10" t="s">
        <v>325</v>
      </c>
      <c r="F25" s="10" t="s">
        <v>19</v>
      </c>
      <c r="H25" s="85" t="s">
        <v>326</v>
      </c>
      <c r="I25" s="85"/>
      <c r="J25" s="85"/>
      <c r="K25" s="86" t="s">
        <v>169</v>
      </c>
      <c r="L25" s="86"/>
      <c r="M25" s="86"/>
      <c r="N25" s="86" t="s">
        <v>168</v>
      </c>
      <c r="O25" s="86"/>
      <c r="P25" s="86"/>
      <c r="Q25" s="86" t="s">
        <v>167</v>
      </c>
      <c r="R25" s="86"/>
      <c r="S25" s="87"/>
      <c r="T25" s="53" t="s">
        <v>367</v>
      </c>
      <c r="U25" s="60"/>
      <c r="V25" s="60"/>
      <c r="W25" s="19"/>
    </row>
    <row r="26" spans="2:23" ht="17" customHeight="1" thickTop="1" thickBot="1">
      <c r="B26" s="8">
        <f>B25+1</f>
        <v>23</v>
      </c>
      <c r="C26" s="3" t="s">
        <v>327</v>
      </c>
      <c r="D26" s="10" t="s">
        <v>17</v>
      </c>
      <c r="E26" s="10" t="s">
        <v>328</v>
      </c>
      <c r="F26" s="10" t="s">
        <v>19</v>
      </c>
      <c r="H26" s="86" t="s">
        <v>214</v>
      </c>
      <c r="I26" s="86"/>
      <c r="J26" s="86"/>
      <c r="K26" s="87" t="s">
        <v>213</v>
      </c>
      <c r="L26" s="93"/>
      <c r="M26" s="94"/>
      <c r="N26" s="86" t="s">
        <v>212</v>
      </c>
      <c r="O26" s="86"/>
      <c r="P26" s="86"/>
      <c r="Q26" s="85" t="s">
        <v>329</v>
      </c>
      <c r="R26" s="85"/>
      <c r="S26" s="95"/>
      <c r="T26" s="53" t="s">
        <v>367</v>
      </c>
      <c r="U26" s="60"/>
      <c r="V26" s="60"/>
      <c r="W26" s="19"/>
    </row>
    <row r="27" spans="2:23" ht="18" thickTop="1" thickBot="1">
      <c r="B27" s="8">
        <f t="shared" si="0"/>
        <v>24</v>
      </c>
      <c r="C27" s="3" t="s">
        <v>217</v>
      </c>
      <c r="D27" s="10" t="s">
        <v>17</v>
      </c>
      <c r="E27" s="10" t="s">
        <v>330</v>
      </c>
      <c r="F27" s="10" t="s">
        <v>19</v>
      </c>
      <c r="H27" s="6"/>
      <c r="I27" s="6"/>
      <c r="J27" s="6"/>
      <c r="K27" s="6"/>
      <c r="L27" s="6"/>
      <c r="M27" s="6"/>
      <c r="N27" s="85" t="s">
        <v>331</v>
      </c>
      <c r="O27" s="85"/>
      <c r="P27" s="85"/>
      <c r="Q27" s="85" t="s">
        <v>332</v>
      </c>
      <c r="R27" s="85"/>
      <c r="S27" s="95"/>
      <c r="T27" s="54"/>
      <c r="U27" s="61"/>
      <c r="V27" s="61"/>
      <c r="W27" s="19"/>
    </row>
    <row r="28" spans="2:23" ht="17" customHeight="1" thickTop="1" thickBot="1">
      <c r="B28" s="8">
        <f t="shared" si="0"/>
        <v>25</v>
      </c>
      <c r="C28" s="3" t="s">
        <v>333</v>
      </c>
      <c r="D28" s="10" t="s">
        <v>17</v>
      </c>
      <c r="E28" s="10" t="s">
        <v>334</v>
      </c>
      <c r="F28" s="10" t="s">
        <v>25</v>
      </c>
      <c r="H28" s="89" t="s">
        <v>260</v>
      </c>
      <c r="I28" s="89"/>
      <c r="J28" s="89"/>
      <c r="K28" s="89"/>
      <c r="L28" s="89" t="s">
        <v>261</v>
      </c>
      <c r="M28" s="89"/>
      <c r="N28" s="89"/>
      <c r="O28" s="89"/>
      <c r="P28" s="89" t="s">
        <v>262</v>
      </c>
      <c r="Q28" s="89"/>
      <c r="R28" s="89"/>
      <c r="S28" s="90"/>
      <c r="T28" s="54" t="s">
        <v>366</v>
      </c>
      <c r="U28" s="61"/>
      <c r="V28" s="61"/>
      <c r="W28" s="19" t="s">
        <v>234</v>
      </c>
    </row>
    <row r="29" spans="2:23" ht="18" thickTop="1" thickBot="1">
      <c r="B29" s="8">
        <f t="shared" si="0"/>
        <v>26</v>
      </c>
      <c r="C29" s="3" t="s">
        <v>335</v>
      </c>
      <c r="D29" s="10" t="s">
        <v>17</v>
      </c>
      <c r="E29" s="10" t="s">
        <v>117</v>
      </c>
      <c r="F29" s="10" t="s">
        <v>25</v>
      </c>
      <c r="H29" s="6"/>
      <c r="I29" s="6"/>
      <c r="J29" s="6"/>
      <c r="K29" s="6"/>
      <c r="L29" s="91" t="s">
        <v>336</v>
      </c>
      <c r="M29" s="91"/>
      <c r="N29" s="91"/>
      <c r="O29" s="91"/>
      <c r="P29" s="91" t="s">
        <v>337</v>
      </c>
      <c r="Q29" s="91"/>
      <c r="R29" s="91"/>
      <c r="S29" s="92"/>
      <c r="T29" s="54" t="s">
        <v>19</v>
      </c>
      <c r="U29" s="61"/>
      <c r="V29" s="61"/>
      <c r="W29" s="19"/>
    </row>
    <row r="30" spans="2:23" ht="18" thickTop="1" thickBot="1">
      <c r="B30" s="8"/>
      <c r="C30" s="3" t="s">
        <v>338</v>
      </c>
      <c r="D30" s="10" t="s">
        <v>17</v>
      </c>
      <c r="E30" s="10" t="s">
        <v>86</v>
      </c>
      <c r="F30" s="40" t="s">
        <v>354</v>
      </c>
      <c r="H30" s="43" t="s">
        <v>232</v>
      </c>
      <c r="I30" s="34"/>
      <c r="J30" s="38"/>
      <c r="K30" s="42"/>
      <c r="L30" s="34"/>
      <c r="M30" s="38"/>
      <c r="N30" s="84"/>
      <c r="O30" s="72"/>
      <c r="P30" s="73"/>
      <c r="Q30" s="42"/>
      <c r="R30" s="34"/>
      <c r="S30" s="48" t="s">
        <v>339</v>
      </c>
      <c r="T30" s="50" t="s">
        <v>354</v>
      </c>
      <c r="U30" s="11"/>
      <c r="V30" s="11"/>
      <c r="W30" s="19" t="s">
        <v>353</v>
      </c>
    </row>
    <row r="31" spans="2:23" ht="52" thickTop="1" thickBot="1">
      <c r="B31" s="8">
        <f>B29+1</f>
        <v>27</v>
      </c>
      <c r="C31" s="3" t="s">
        <v>98</v>
      </c>
      <c r="D31" s="10" t="s">
        <v>17</v>
      </c>
      <c r="E31" s="10" t="s">
        <v>88</v>
      </c>
      <c r="F31" s="10" t="s">
        <v>119</v>
      </c>
      <c r="H31" s="70" t="s">
        <v>121</v>
      </c>
      <c r="I31" s="70"/>
      <c r="J31" s="70"/>
      <c r="K31" s="70"/>
      <c r="L31" s="70"/>
      <c r="M31" s="70"/>
      <c r="N31" s="70" t="s">
        <v>122</v>
      </c>
      <c r="O31" s="70"/>
      <c r="P31" s="70"/>
      <c r="Q31" s="70"/>
      <c r="R31" s="70"/>
      <c r="S31" s="71"/>
      <c r="T31" s="65" t="s">
        <v>376</v>
      </c>
      <c r="U31" s="58" t="s">
        <v>371</v>
      </c>
      <c r="V31" s="58" t="s">
        <v>375</v>
      </c>
      <c r="W31" s="19" t="s">
        <v>251</v>
      </c>
    </row>
    <row r="32" spans="2:23" ht="18" thickTop="1" thickBot="1">
      <c r="B32" s="8">
        <f t="shared" si="0"/>
        <v>28</v>
      </c>
      <c r="C32" s="3" t="s">
        <v>108</v>
      </c>
      <c r="D32" s="10" t="s">
        <v>17</v>
      </c>
      <c r="E32" s="10" t="s">
        <v>89</v>
      </c>
      <c r="F32" s="10" t="s">
        <v>182</v>
      </c>
      <c r="H32" s="11"/>
      <c r="I32" s="11"/>
      <c r="J32" s="11"/>
      <c r="K32" s="70" t="s">
        <v>181</v>
      </c>
      <c r="L32" s="70"/>
      <c r="M32" s="70"/>
      <c r="N32" s="70"/>
      <c r="O32" s="70"/>
      <c r="P32" s="70"/>
      <c r="Q32" s="70"/>
      <c r="R32" s="70"/>
      <c r="S32" s="71"/>
      <c r="T32" s="50" t="s">
        <v>182</v>
      </c>
      <c r="U32" s="11"/>
      <c r="V32" s="11"/>
      <c r="W32" s="19" t="s">
        <v>253</v>
      </c>
    </row>
    <row r="33" spans="2:23" ht="35" thickTop="1" thickBot="1">
      <c r="B33" s="8">
        <f t="shared" si="0"/>
        <v>29</v>
      </c>
      <c r="C33" s="3" t="s">
        <v>189</v>
      </c>
      <c r="D33" s="10" t="s">
        <v>17</v>
      </c>
      <c r="E33" s="10" t="s">
        <v>90</v>
      </c>
      <c r="F33" s="10" t="s">
        <v>19</v>
      </c>
      <c r="H33" s="11"/>
      <c r="I33" s="11"/>
      <c r="J33" s="70" t="s">
        <v>197</v>
      </c>
      <c r="K33" s="70"/>
      <c r="L33" s="70"/>
      <c r="M33" s="70"/>
      <c r="N33" s="70"/>
      <c r="O33" s="70"/>
      <c r="P33" s="70"/>
      <c r="Q33" s="70"/>
      <c r="R33" s="70"/>
      <c r="S33" s="71"/>
      <c r="T33" s="65" t="s">
        <v>378</v>
      </c>
      <c r="U33" s="11"/>
      <c r="V33" s="11" t="s">
        <v>380</v>
      </c>
      <c r="W33" s="19" t="s">
        <v>257</v>
      </c>
    </row>
    <row r="34" spans="2:23" ht="35" thickTop="1" thickBot="1">
      <c r="B34" s="8">
        <f t="shared" si="0"/>
        <v>30</v>
      </c>
      <c r="C34" s="3" t="s">
        <v>190</v>
      </c>
      <c r="D34" s="10" t="s">
        <v>17</v>
      </c>
      <c r="E34" s="10" t="s">
        <v>91</v>
      </c>
      <c r="F34" s="10" t="s">
        <v>19</v>
      </c>
      <c r="H34" s="14" t="s">
        <v>195</v>
      </c>
      <c r="I34" s="11"/>
      <c r="J34" s="70" t="s">
        <v>196</v>
      </c>
      <c r="K34" s="70"/>
      <c r="L34" s="70"/>
      <c r="M34" s="70"/>
      <c r="N34" s="70"/>
      <c r="O34" s="70"/>
      <c r="P34" s="70"/>
      <c r="Q34" s="70"/>
      <c r="R34" s="70"/>
      <c r="S34" s="71"/>
      <c r="T34" s="65" t="s">
        <v>379</v>
      </c>
      <c r="U34" s="11"/>
      <c r="V34" s="11" t="s">
        <v>380</v>
      </c>
      <c r="W34" s="19" t="s">
        <v>257</v>
      </c>
    </row>
    <row r="35" spans="2:23" ht="18" thickTop="1" thickBot="1">
      <c r="B35" s="8">
        <f t="shared" si="0"/>
        <v>31</v>
      </c>
      <c r="C35" s="3" t="s">
        <v>183</v>
      </c>
      <c r="D35" s="10" t="s">
        <v>17</v>
      </c>
      <c r="E35" s="10" t="s">
        <v>118</v>
      </c>
      <c r="F35" s="10" t="s">
        <v>19</v>
      </c>
      <c r="H35" s="12"/>
      <c r="I35" s="12"/>
      <c r="J35" s="70" t="s">
        <v>184</v>
      </c>
      <c r="K35" s="70"/>
      <c r="L35" s="70"/>
      <c r="M35" s="70"/>
      <c r="N35" s="70"/>
      <c r="O35" s="70"/>
      <c r="P35" s="70"/>
      <c r="Q35" s="70"/>
      <c r="R35" s="70"/>
      <c r="S35" s="71"/>
      <c r="T35" s="50" t="s">
        <v>19</v>
      </c>
      <c r="U35" s="11"/>
      <c r="V35" s="11"/>
      <c r="W35" s="19" t="s">
        <v>259</v>
      </c>
    </row>
    <row r="36" spans="2:23" ht="18" thickTop="1" thickBot="1">
      <c r="B36" s="8">
        <f t="shared" si="0"/>
        <v>32</v>
      </c>
      <c r="C36" s="3" t="s">
        <v>174</v>
      </c>
      <c r="D36" s="10" t="s">
        <v>17</v>
      </c>
      <c r="E36" s="10" t="s">
        <v>93</v>
      </c>
      <c r="F36" s="10" t="s">
        <v>360</v>
      </c>
      <c r="H36" s="12"/>
      <c r="I36" s="70" t="s">
        <v>252</v>
      </c>
      <c r="J36" s="70"/>
      <c r="K36" s="70"/>
      <c r="L36" s="70"/>
      <c r="M36" s="70"/>
      <c r="N36" s="70"/>
      <c r="O36" s="70"/>
      <c r="P36" s="70"/>
      <c r="Q36" s="70"/>
      <c r="R36" s="70"/>
      <c r="S36" s="71"/>
      <c r="T36" s="50" t="s">
        <v>107</v>
      </c>
      <c r="U36" s="11"/>
      <c r="V36" s="11"/>
      <c r="W36" s="19" t="s">
        <v>311</v>
      </c>
    </row>
    <row r="37" spans="2:23" ht="18" thickTop="1" thickBot="1">
      <c r="B37" s="8">
        <f t="shared" si="0"/>
        <v>33</v>
      </c>
      <c r="C37" s="3" t="s">
        <v>134</v>
      </c>
      <c r="D37" s="10" t="s">
        <v>17</v>
      </c>
      <c r="E37" s="10" t="s">
        <v>94</v>
      </c>
      <c r="F37" s="10" t="s">
        <v>19</v>
      </c>
      <c r="H37" s="70" t="s">
        <v>229</v>
      </c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1"/>
      <c r="T37" s="50" t="s">
        <v>362</v>
      </c>
      <c r="U37" s="11"/>
      <c r="V37" s="11"/>
      <c r="W37" s="19" t="s">
        <v>253</v>
      </c>
    </row>
    <row r="38" spans="2:23" ht="35" thickTop="1" thickBot="1">
      <c r="B38" s="8">
        <f t="shared" si="0"/>
        <v>34</v>
      </c>
      <c r="C38" s="3" t="s">
        <v>138</v>
      </c>
      <c r="D38" s="10" t="s">
        <v>17</v>
      </c>
      <c r="E38" s="10" t="s">
        <v>95</v>
      </c>
      <c r="F38" s="40" t="s">
        <v>340</v>
      </c>
      <c r="H38" s="14" t="s">
        <v>176</v>
      </c>
      <c r="I38" s="70" t="s">
        <v>126</v>
      </c>
      <c r="J38" s="70"/>
      <c r="K38" s="11"/>
      <c r="L38" s="70" t="s">
        <v>230</v>
      </c>
      <c r="M38" s="70"/>
      <c r="N38" s="70"/>
      <c r="O38" s="70"/>
      <c r="P38" s="70"/>
      <c r="Q38" s="70"/>
      <c r="R38" s="70"/>
      <c r="S38" s="71"/>
      <c r="T38" s="50" t="s">
        <v>361</v>
      </c>
      <c r="U38" s="11"/>
      <c r="V38" s="11"/>
      <c r="W38" s="19" t="s">
        <v>250</v>
      </c>
    </row>
    <row r="39" spans="2:23" ht="18" thickTop="1" thickBot="1">
      <c r="B39" s="8" t="e">
        <f>#REF!+1</f>
        <v>#REF!</v>
      </c>
      <c r="H39" s="7"/>
      <c r="T39" s="50"/>
      <c r="U39" s="11"/>
      <c r="V39" s="11"/>
      <c r="W39" s="19"/>
    </row>
    <row r="40" spans="2:23" ht="86" thickTop="1" thickBot="1">
      <c r="B40" s="8" t="e">
        <f t="shared" si="0"/>
        <v>#REF!</v>
      </c>
      <c r="C40" s="3" t="s">
        <v>131</v>
      </c>
      <c r="D40" s="10" t="s">
        <v>17</v>
      </c>
      <c r="E40" s="10" t="s">
        <v>341</v>
      </c>
      <c r="F40" s="10" t="s">
        <v>219</v>
      </c>
      <c r="H40" s="88" t="s">
        <v>218</v>
      </c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1"/>
      <c r="T40" s="50" t="s">
        <v>219</v>
      </c>
      <c r="U40" s="11"/>
      <c r="V40" s="11"/>
      <c r="W40" s="19" t="s">
        <v>231</v>
      </c>
    </row>
    <row r="41" spans="2:23" ht="86" thickTop="1" thickBot="1">
      <c r="B41" s="8" t="e">
        <f t="shared" si="0"/>
        <v>#REF!</v>
      </c>
      <c r="C41" s="3" t="s">
        <v>186</v>
      </c>
      <c r="D41" s="10" t="s">
        <v>17</v>
      </c>
      <c r="E41" s="10" t="s">
        <v>342</v>
      </c>
      <c r="F41" s="10" t="s">
        <v>19</v>
      </c>
      <c r="H41" s="70" t="s">
        <v>187</v>
      </c>
      <c r="I41" s="70"/>
      <c r="J41" s="70"/>
      <c r="K41" s="70"/>
      <c r="L41" s="70"/>
      <c r="M41" s="70"/>
      <c r="N41" s="14" t="s">
        <v>306</v>
      </c>
      <c r="O41" s="21" t="s">
        <v>215</v>
      </c>
      <c r="P41" s="21" t="s">
        <v>191</v>
      </c>
      <c r="Q41" s="14" t="s">
        <v>185</v>
      </c>
      <c r="R41" s="14" t="s">
        <v>192</v>
      </c>
      <c r="S41" s="44" t="s">
        <v>193</v>
      </c>
      <c r="T41" s="50" t="s">
        <v>19</v>
      </c>
      <c r="U41" s="11"/>
      <c r="V41" s="11"/>
      <c r="W41" s="19" t="s">
        <v>312</v>
      </c>
    </row>
    <row r="42" spans="2:23" ht="18" thickTop="1" thickBot="1">
      <c r="B42" s="8" t="e">
        <f t="shared" si="0"/>
        <v>#REF!</v>
      </c>
      <c r="C42" s="3" t="s">
        <v>198</v>
      </c>
      <c r="D42" s="10" t="s">
        <v>17</v>
      </c>
      <c r="E42" s="10" t="s">
        <v>112</v>
      </c>
      <c r="F42" s="10" t="s">
        <v>19</v>
      </c>
      <c r="H42" s="11"/>
      <c r="I42" s="11"/>
      <c r="J42" s="11"/>
      <c r="K42" s="11"/>
      <c r="L42" s="11"/>
      <c r="M42" s="11"/>
      <c r="N42" s="14" t="s">
        <v>198</v>
      </c>
      <c r="O42" s="14" t="s">
        <v>199</v>
      </c>
      <c r="P42" s="14" t="s">
        <v>200</v>
      </c>
      <c r="Q42" s="14" t="s">
        <v>201</v>
      </c>
      <c r="R42" s="14" t="s">
        <v>202</v>
      </c>
      <c r="S42" s="44" t="s">
        <v>203</v>
      </c>
      <c r="T42" s="50" t="s">
        <v>363</v>
      </c>
      <c r="U42" s="11"/>
      <c r="V42" s="11"/>
      <c r="W42" s="19"/>
    </row>
    <row r="43" spans="2:23" ht="18" thickTop="1" thickBot="1">
      <c r="B43" s="8" t="e">
        <f t="shared" si="0"/>
        <v>#REF!</v>
      </c>
      <c r="C43" s="3" t="s">
        <v>111</v>
      </c>
      <c r="D43" s="10" t="s">
        <v>17</v>
      </c>
      <c r="E43" s="10" t="s">
        <v>343</v>
      </c>
      <c r="F43" s="10" t="s">
        <v>344</v>
      </c>
      <c r="H43" s="70" t="s">
        <v>56</v>
      </c>
      <c r="I43" s="70"/>
      <c r="J43" s="70"/>
      <c r="K43" s="70"/>
      <c r="L43" s="14" t="s">
        <v>345</v>
      </c>
      <c r="M43" s="14" t="s">
        <v>127</v>
      </c>
      <c r="N43" s="70" t="s">
        <v>128</v>
      </c>
      <c r="O43" s="70"/>
      <c r="P43" s="96" t="s">
        <v>179</v>
      </c>
      <c r="Q43" s="96"/>
      <c r="R43" s="70" t="s">
        <v>104</v>
      </c>
      <c r="S43" s="71"/>
      <c r="T43" s="50" t="s">
        <v>344</v>
      </c>
      <c r="U43" s="11"/>
      <c r="V43" s="11"/>
      <c r="W43" s="19"/>
    </row>
    <row r="44" spans="2:23" ht="18" thickTop="1" thickBot="1">
      <c r="B44" s="8" t="e">
        <f t="shared" si="0"/>
        <v>#REF!</v>
      </c>
      <c r="C44" s="3" t="s">
        <v>105</v>
      </c>
      <c r="D44" s="10" t="s">
        <v>17</v>
      </c>
      <c r="E44" s="10" t="s">
        <v>346</v>
      </c>
      <c r="F44" s="10" t="s">
        <v>19</v>
      </c>
      <c r="H44" s="70" t="s">
        <v>103</v>
      </c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1"/>
      <c r="T44" s="50" t="s">
        <v>19</v>
      </c>
      <c r="U44" s="11"/>
      <c r="V44" s="11"/>
      <c r="W44" s="19"/>
    </row>
    <row r="45" spans="2:23" ht="52" thickTop="1" thickBot="1">
      <c r="B45" s="8" t="e">
        <f t="shared" si="0"/>
        <v>#REF!</v>
      </c>
      <c r="C45" s="3" t="s">
        <v>106</v>
      </c>
      <c r="D45" s="10" t="s">
        <v>17</v>
      </c>
      <c r="E45" s="10" t="s">
        <v>110</v>
      </c>
      <c r="F45" s="10" t="s">
        <v>125</v>
      </c>
      <c r="H45" s="14" t="s">
        <v>204</v>
      </c>
      <c r="I45" s="11"/>
      <c r="J45" s="11"/>
      <c r="K45" s="11"/>
      <c r="L45" s="11"/>
      <c r="M45" s="11"/>
      <c r="N45" s="68" t="s">
        <v>239</v>
      </c>
      <c r="O45" s="68"/>
      <c r="P45" s="70" t="s">
        <v>120</v>
      </c>
      <c r="Q45" s="70"/>
      <c r="R45" s="70"/>
      <c r="S45" s="71"/>
      <c r="T45" s="50" t="s">
        <v>125</v>
      </c>
      <c r="U45" s="58" t="s">
        <v>372</v>
      </c>
      <c r="V45" s="58" t="s">
        <v>377</v>
      </c>
      <c r="W45" s="19"/>
    </row>
    <row r="46" spans="2:23" ht="18" thickTop="1" thickBot="1">
      <c r="B46" s="8" t="e">
        <f t="shared" si="0"/>
        <v>#REF!</v>
      </c>
      <c r="C46" s="3" t="s">
        <v>240</v>
      </c>
      <c r="D46" s="10" t="s">
        <v>17</v>
      </c>
      <c r="E46" s="10" t="s">
        <v>57</v>
      </c>
      <c r="F46" s="10" t="s">
        <v>19</v>
      </c>
      <c r="G46" s="4"/>
      <c r="H46" s="28" t="s">
        <v>241</v>
      </c>
      <c r="I46" s="25"/>
      <c r="J46" s="25"/>
      <c r="K46" s="25"/>
      <c r="L46" s="25"/>
      <c r="M46" s="68" t="s">
        <v>242</v>
      </c>
      <c r="N46" s="68"/>
      <c r="O46" s="68"/>
      <c r="P46" s="25"/>
      <c r="Q46" s="68" t="s">
        <v>243</v>
      </c>
      <c r="R46" s="68"/>
      <c r="S46" s="69"/>
      <c r="T46" s="51" t="s">
        <v>19</v>
      </c>
      <c r="U46" s="25"/>
      <c r="V46" s="25"/>
      <c r="W46" s="30"/>
    </row>
    <row r="47" spans="2:23" ht="18" thickTop="1" thickBot="1">
      <c r="B47" s="8" t="e">
        <f t="shared" si="0"/>
        <v>#REF!</v>
      </c>
      <c r="C47" s="3" t="s">
        <v>248</v>
      </c>
      <c r="D47" s="10" t="s">
        <v>17</v>
      </c>
      <c r="E47" s="10" t="s">
        <v>58</v>
      </c>
      <c r="F47" s="40" t="s">
        <v>347</v>
      </c>
      <c r="G47" s="1"/>
      <c r="H47" s="36"/>
      <c r="I47" s="36"/>
      <c r="J47" s="36"/>
      <c r="K47" s="36"/>
      <c r="L47" s="37"/>
      <c r="M47" s="36"/>
      <c r="N47" s="37"/>
      <c r="O47" s="28" t="s">
        <v>247</v>
      </c>
      <c r="P47" s="25"/>
      <c r="Q47" s="28" t="s">
        <v>246</v>
      </c>
      <c r="R47" s="28" t="s">
        <v>245</v>
      </c>
      <c r="S47" s="46" t="s">
        <v>244</v>
      </c>
      <c r="T47" s="51" t="s">
        <v>347</v>
      </c>
      <c r="U47" s="25"/>
      <c r="V47" s="25"/>
      <c r="W47" s="19" t="s">
        <v>249</v>
      </c>
    </row>
    <row r="48" spans="2:23" ht="18" thickTop="1" thickBot="1">
      <c r="B48" s="8"/>
      <c r="T48" s="50"/>
      <c r="U48" s="11"/>
      <c r="V48" s="11"/>
      <c r="W48" s="23"/>
    </row>
    <row r="49" spans="2:23" ht="18" thickTop="1" thickBot="1">
      <c r="B49" s="8"/>
      <c r="C49" s="29" t="s">
        <v>172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55"/>
      <c r="U49" s="12"/>
      <c r="V49" s="12"/>
      <c r="W49" s="23"/>
    </row>
    <row r="50" spans="2:23" ht="18" thickTop="1" thickBot="1">
      <c r="B50" s="8"/>
      <c r="T50" s="50"/>
      <c r="U50" s="11"/>
      <c r="V50" s="11"/>
    </row>
    <row r="51" spans="2:23" ht="154.5" thickTop="1" thickBot="1">
      <c r="B51" s="8">
        <v>1</v>
      </c>
      <c r="C51" s="3" t="s">
        <v>59</v>
      </c>
      <c r="D51" s="10" t="s">
        <v>17</v>
      </c>
      <c r="E51" s="33" t="s">
        <v>60</v>
      </c>
      <c r="F51" s="10" t="s">
        <v>19</v>
      </c>
      <c r="H51" s="14" t="s">
        <v>61</v>
      </c>
      <c r="I51" s="68" t="s">
        <v>205</v>
      </c>
      <c r="J51" s="68"/>
      <c r="K51" s="68"/>
      <c r="L51" s="101" t="s">
        <v>348</v>
      </c>
      <c r="M51" s="77"/>
      <c r="N51" s="79"/>
      <c r="O51" s="14" t="s">
        <v>173</v>
      </c>
      <c r="P51" s="14" t="s">
        <v>133</v>
      </c>
      <c r="Q51" s="14" t="s">
        <v>349</v>
      </c>
      <c r="R51" s="14" t="s">
        <v>206</v>
      </c>
      <c r="S51" s="44" t="s">
        <v>62</v>
      </c>
      <c r="T51" s="50" t="s">
        <v>19</v>
      </c>
      <c r="U51" s="11"/>
      <c r="V51" s="11"/>
      <c r="W51" s="19" t="s">
        <v>220</v>
      </c>
    </row>
    <row r="52" spans="2:23" ht="18" thickTop="1" thickBot="1">
      <c r="B52" s="8">
        <f>B51+1</f>
        <v>2</v>
      </c>
      <c r="C52" s="3" t="s">
        <v>63</v>
      </c>
      <c r="D52" s="10" t="s">
        <v>17</v>
      </c>
      <c r="E52" s="33" t="s">
        <v>64</v>
      </c>
      <c r="F52" s="10" t="s">
        <v>19</v>
      </c>
      <c r="I52" s="11"/>
      <c r="J52" s="11"/>
      <c r="K52" s="11"/>
      <c r="L52" s="11"/>
      <c r="M52" s="11"/>
      <c r="N52" s="11"/>
      <c r="O52" s="11"/>
      <c r="P52" s="70" t="s">
        <v>65</v>
      </c>
      <c r="Q52" s="70"/>
      <c r="R52" s="70"/>
      <c r="S52" s="71"/>
      <c r="T52" s="50" t="s">
        <v>19</v>
      </c>
      <c r="U52" s="11"/>
      <c r="V52" s="11"/>
      <c r="W52" s="24" t="s">
        <v>188</v>
      </c>
    </row>
    <row r="53" spans="2:23" ht="18" thickTop="1" thickBot="1">
      <c r="B53" s="8">
        <f t="shared" ref="B53:B56" si="1">B52+1</f>
        <v>3</v>
      </c>
      <c r="C53" s="3" t="s">
        <v>66</v>
      </c>
      <c r="D53" s="10" t="s">
        <v>17</v>
      </c>
      <c r="E53" s="33" t="s">
        <v>67</v>
      </c>
      <c r="F53" s="10" t="s">
        <v>107</v>
      </c>
      <c r="H53" s="70" t="s">
        <v>68</v>
      </c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1"/>
      <c r="T53" s="50" t="s">
        <v>107</v>
      </c>
      <c r="U53" s="11"/>
      <c r="V53" s="11"/>
      <c r="W53" s="24" t="s">
        <v>188</v>
      </c>
    </row>
    <row r="54" spans="2:23" ht="18" thickTop="1" thickBot="1">
      <c r="B54" s="8">
        <f t="shared" si="1"/>
        <v>4</v>
      </c>
      <c r="C54" s="3" t="s">
        <v>69</v>
      </c>
      <c r="D54" s="10" t="s">
        <v>17</v>
      </c>
      <c r="E54" s="33" t="s">
        <v>70</v>
      </c>
      <c r="F54" s="10" t="s">
        <v>71</v>
      </c>
      <c r="H54" s="11"/>
      <c r="I54" s="11"/>
      <c r="J54" s="11"/>
      <c r="K54" s="11"/>
      <c r="L54" s="11"/>
      <c r="M54" s="11"/>
      <c r="N54" s="70" t="s">
        <v>207</v>
      </c>
      <c r="O54" s="70"/>
      <c r="P54" s="70" t="s">
        <v>72</v>
      </c>
      <c r="Q54" s="70"/>
      <c r="R54" s="70"/>
      <c r="S54" s="71"/>
      <c r="T54" s="50" t="s">
        <v>71</v>
      </c>
      <c r="U54" s="11"/>
      <c r="V54" s="11"/>
      <c r="W54" s="24" t="s">
        <v>188</v>
      </c>
    </row>
    <row r="55" spans="2:23" ht="18" thickTop="1" thickBot="1">
      <c r="B55" s="8">
        <f t="shared" si="1"/>
        <v>5</v>
      </c>
      <c r="C55" s="3" t="s">
        <v>73</v>
      </c>
      <c r="D55" s="10" t="s">
        <v>17</v>
      </c>
      <c r="E55" s="33" t="s">
        <v>74</v>
      </c>
      <c r="F55" s="10" t="s">
        <v>19</v>
      </c>
      <c r="H55" s="27" t="s">
        <v>132</v>
      </c>
      <c r="I55" s="11"/>
      <c r="J55" s="11"/>
      <c r="K55" s="11"/>
      <c r="L55" s="11"/>
      <c r="M55" s="11"/>
      <c r="N55" s="11"/>
      <c r="O55" s="11"/>
      <c r="P55" s="11"/>
      <c r="Q55" s="11"/>
      <c r="R55" s="14" t="s">
        <v>75</v>
      </c>
      <c r="S55" s="44" t="s">
        <v>76</v>
      </c>
      <c r="T55" s="50" t="s">
        <v>19</v>
      </c>
      <c r="U55" s="11"/>
      <c r="V55" s="11"/>
      <c r="W55" s="24">
        <v>1</v>
      </c>
    </row>
    <row r="56" spans="2:23" ht="18" thickTop="1" thickBot="1">
      <c r="B56" s="8">
        <f t="shared" si="1"/>
        <v>6</v>
      </c>
      <c r="C56" s="3" t="s">
        <v>77</v>
      </c>
      <c r="D56" s="10" t="s">
        <v>17</v>
      </c>
      <c r="E56" s="33" t="s">
        <v>78</v>
      </c>
      <c r="F56" s="10" t="s">
        <v>124</v>
      </c>
      <c r="H56" s="70" t="s">
        <v>175</v>
      </c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1"/>
      <c r="T56" s="50" t="s">
        <v>124</v>
      </c>
      <c r="U56" s="11"/>
      <c r="V56" s="11"/>
      <c r="W56" s="26"/>
    </row>
    <row r="57" spans="2:23" ht="18" thickTop="1" thickBot="1">
      <c r="B57" s="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56"/>
      <c r="U57" s="62"/>
      <c r="V57" s="62"/>
      <c r="W57" s="26"/>
    </row>
    <row r="58" spans="2:23" ht="18" thickTop="1" thickBot="1">
      <c r="B58" s="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56"/>
      <c r="U58" s="62"/>
      <c r="V58" s="62"/>
      <c r="W58" s="26"/>
    </row>
    <row r="59" spans="2:23" ht="18" thickTop="1" thickBot="1">
      <c r="B59" s="8"/>
      <c r="C59" s="29" t="s">
        <v>171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55"/>
      <c r="U59" s="12"/>
      <c r="V59" s="12"/>
      <c r="W59" s="24"/>
    </row>
    <row r="60" spans="2:23" ht="18" thickTop="1" thickBot="1"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55"/>
      <c r="U60" s="12"/>
      <c r="V60" s="12"/>
      <c r="W60" s="24"/>
    </row>
    <row r="61" spans="2:23" ht="18" thickTop="1" thickBot="1">
      <c r="B61" s="8">
        <v>1</v>
      </c>
      <c r="D61" s="10" t="s">
        <v>17</v>
      </c>
      <c r="E61" s="10" t="s">
        <v>18</v>
      </c>
      <c r="F61" s="10" t="s">
        <v>19</v>
      </c>
      <c r="H61" s="25"/>
      <c r="I61" s="25"/>
      <c r="J61" s="25"/>
      <c r="K61" s="25"/>
      <c r="L61" s="97" t="s">
        <v>79</v>
      </c>
      <c r="M61" s="97"/>
      <c r="N61" s="97"/>
      <c r="O61" s="97"/>
      <c r="P61" s="97"/>
      <c r="Q61" s="97"/>
      <c r="R61" s="97"/>
      <c r="S61" s="74"/>
      <c r="T61" s="51"/>
      <c r="U61" s="25"/>
      <c r="V61" s="25"/>
      <c r="W61" s="24">
        <v>8</v>
      </c>
    </row>
    <row r="62" spans="2:23" ht="18" thickTop="1" thickBot="1">
      <c r="B62" s="8">
        <f>B61+1</f>
        <v>2</v>
      </c>
      <c r="D62" s="10" t="s">
        <v>17</v>
      </c>
      <c r="E62" s="10" t="s">
        <v>80</v>
      </c>
      <c r="F62" s="10" t="s">
        <v>292</v>
      </c>
      <c r="H62" s="35"/>
      <c r="I62" s="35"/>
      <c r="J62" s="97" t="s">
        <v>208</v>
      </c>
      <c r="K62" s="98"/>
      <c r="L62" s="98"/>
      <c r="M62" s="98"/>
      <c r="N62" s="98"/>
      <c r="O62" s="97" t="s">
        <v>209</v>
      </c>
      <c r="P62" s="98"/>
      <c r="Q62" s="98"/>
      <c r="R62" s="98"/>
      <c r="S62" s="99"/>
      <c r="T62" s="51"/>
      <c r="U62" s="25"/>
      <c r="V62" s="25"/>
      <c r="W62" s="24">
        <v>10</v>
      </c>
    </row>
    <row r="63" spans="2:23" s="13" customFormat="1" ht="18" thickTop="1" thickBot="1">
      <c r="B63" s="8">
        <f t="shared" ref="B63:B90" si="2">B62+1</f>
        <v>3</v>
      </c>
      <c r="C63" s="3"/>
      <c r="D63" s="10" t="s">
        <v>17</v>
      </c>
      <c r="E63" s="10" t="s">
        <v>82</v>
      </c>
      <c r="F63" s="10" t="s">
        <v>293</v>
      </c>
      <c r="G63" s="10"/>
      <c r="H63" s="74" t="s">
        <v>291</v>
      </c>
      <c r="I63" s="75"/>
      <c r="J63" s="75"/>
      <c r="K63" s="75"/>
      <c r="L63" s="100"/>
      <c r="M63" s="25"/>
      <c r="N63" s="25"/>
      <c r="O63" s="74" t="s">
        <v>290</v>
      </c>
      <c r="P63" s="75"/>
      <c r="Q63" s="75"/>
      <c r="R63" s="75"/>
      <c r="S63" s="75"/>
      <c r="T63" s="51"/>
      <c r="U63" s="25"/>
      <c r="V63" s="25"/>
      <c r="W63" s="24">
        <v>10</v>
      </c>
    </row>
    <row r="64" spans="2:23" s="13" customFormat="1" ht="18" thickTop="1" thickBot="1">
      <c r="B64" s="8">
        <f t="shared" si="2"/>
        <v>4</v>
      </c>
      <c r="C64" s="3"/>
      <c r="D64" s="10" t="s">
        <v>17</v>
      </c>
      <c r="E64" s="10" t="s">
        <v>22</v>
      </c>
      <c r="F64" s="40" t="s">
        <v>182</v>
      </c>
      <c r="G64" s="10"/>
      <c r="H64" s="25"/>
      <c r="I64" s="25"/>
      <c r="J64" s="25"/>
      <c r="K64" s="25"/>
      <c r="L64" s="97" t="s">
        <v>210</v>
      </c>
      <c r="M64" s="97"/>
      <c r="N64" s="97"/>
      <c r="O64" s="97"/>
      <c r="P64" s="97" t="s">
        <v>211</v>
      </c>
      <c r="Q64" s="97"/>
      <c r="R64" s="97"/>
      <c r="S64" s="74"/>
      <c r="T64" s="51"/>
      <c r="U64" s="25"/>
      <c r="V64" s="25"/>
      <c r="W64" s="24">
        <v>8</v>
      </c>
    </row>
    <row r="65" spans="2:23" s="13" customFormat="1" ht="18" thickTop="1" thickBot="1">
      <c r="B65" s="8">
        <f t="shared" si="2"/>
        <v>5</v>
      </c>
      <c r="C65" s="3"/>
      <c r="D65" s="10" t="s">
        <v>17</v>
      </c>
      <c r="E65" s="10" t="s">
        <v>23</v>
      </c>
      <c r="F65" s="40" t="s">
        <v>19</v>
      </c>
      <c r="G65" s="10"/>
      <c r="H65" s="25"/>
      <c r="I65" s="25"/>
      <c r="J65" s="25"/>
      <c r="K65" s="74" t="s">
        <v>266</v>
      </c>
      <c r="L65" s="75"/>
      <c r="M65" s="75"/>
      <c r="N65" s="75"/>
      <c r="O65" s="75"/>
      <c r="P65" s="75"/>
      <c r="Q65" s="75"/>
      <c r="R65" s="75"/>
      <c r="S65" s="75"/>
      <c r="T65" s="51"/>
      <c r="U65" s="25"/>
      <c r="V65" s="25"/>
      <c r="W65" s="24">
        <v>9</v>
      </c>
    </row>
    <row r="66" spans="2:23" s="13" customFormat="1" ht="18" thickTop="1" thickBot="1">
      <c r="B66" s="8">
        <f t="shared" si="2"/>
        <v>6</v>
      </c>
      <c r="C66" s="3"/>
      <c r="D66" s="10" t="s">
        <v>17</v>
      </c>
      <c r="E66" s="10" t="s">
        <v>83</v>
      </c>
      <c r="F66" s="40" t="s">
        <v>19</v>
      </c>
      <c r="G66" s="10"/>
      <c r="H66" s="25"/>
      <c r="I66" s="25"/>
      <c r="J66" s="25"/>
      <c r="K66" s="74" t="s">
        <v>267</v>
      </c>
      <c r="L66" s="75"/>
      <c r="M66" s="75"/>
      <c r="N66" s="75"/>
      <c r="O66" s="75"/>
      <c r="P66" s="75"/>
      <c r="Q66" s="75"/>
      <c r="R66" s="75"/>
      <c r="S66" s="75"/>
      <c r="T66" s="51"/>
      <c r="U66" s="25"/>
      <c r="V66" s="25"/>
      <c r="W66" s="24">
        <v>9</v>
      </c>
    </row>
    <row r="67" spans="2:23" s="13" customFormat="1" ht="18" thickTop="1" thickBot="1">
      <c r="B67" s="8">
        <f t="shared" si="2"/>
        <v>7</v>
      </c>
      <c r="C67" s="3"/>
      <c r="D67" s="10" t="s">
        <v>17</v>
      </c>
      <c r="E67" s="10" t="s">
        <v>24</v>
      </c>
      <c r="F67" s="40" t="s">
        <v>19</v>
      </c>
      <c r="G67" s="10"/>
      <c r="H67" s="25"/>
      <c r="I67" s="25"/>
      <c r="J67" s="25"/>
      <c r="K67" s="74" t="s">
        <v>268</v>
      </c>
      <c r="L67" s="75"/>
      <c r="M67" s="75"/>
      <c r="N67" s="75"/>
      <c r="O67" s="75"/>
      <c r="P67" s="75"/>
      <c r="Q67" s="75"/>
      <c r="R67" s="75"/>
      <c r="S67" s="75"/>
      <c r="T67" s="51"/>
      <c r="U67" s="25"/>
      <c r="V67" s="25"/>
      <c r="W67" s="24">
        <v>9</v>
      </c>
    </row>
    <row r="68" spans="2:23" s="13" customFormat="1" ht="18" thickTop="1" thickBot="1">
      <c r="B68" s="8">
        <f t="shared" si="2"/>
        <v>8</v>
      </c>
      <c r="C68" s="3"/>
      <c r="D68" s="10" t="s">
        <v>17</v>
      </c>
      <c r="E68" s="10" t="s">
        <v>84</v>
      </c>
      <c r="F68" s="40" t="s">
        <v>19</v>
      </c>
      <c r="G68" s="10"/>
      <c r="H68" s="25"/>
      <c r="I68" s="25"/>
      <c r="J68" s="25"/>
      <c r="K68" s="74" t="s">
        <v>269</v>
      </c>
      <c r="L68" s="75"/>
      <c r="M68" s="75"/>
      <c r="N68" s="75"/>
      <c r="O68" s="75"/>
      <c r="P68" s="75"/>
      <c r="Q68" s="75"/>
      <c r="R68" s="75"/>
      <c r="S68" s="75"/>
      <c r="T68" s="51"/>
      <c r="U68" s="25"/>
      <c r="V68" s="25"/>
      <c r="W68" s="24">
        <v>9</v>
      </c>
    </row>
    <row r="69" spans="2:23" s="13" customFormat="1" ht="18" thickTop="1" thickBot="1">
      <c r="B69" s="8">
        <f t="shared" si="2"/>
        <v>9</v>
      </c>
      <c r="C69" s="3"/>
      <c r="D69" s="10" t="s">
        <v>17</v>
      </c>
      <c r="E69" s="10" t="s">
        <v>26</v>
      </c>
      <c r="F69" s="40" t="s">
        <v>19</v>
      </c>
      <c r="G69" s="10"/>
      <c r="H69" s="25"/>
      <c r="I69" s="25"/>
      <c r="J69" s="25"/>
      <c r="K69" s="74" t="s">
        <v>270</v>
      </c>
      <c r="L69" s="75"/>
      <c r="M69" s="75"/>
      <c r="N69" s="75"/>
      <c r="O69" s="75"/>
      <c r="P69" s="75"/>
      <c r="Q69" s="75"/>
      <c r="R69" s="75"/>
      <c r="S69" s="75"/>
      <c r="T69" s="51"/>
      <c r="U69" s="25"/>
      <c r="V69" s="25"/>
      <c r="W69" s="24">
        <v>9</v>
      </c>
    </row>
    <row r="70" spans="2:23" s="13" customFormat="1" ht="18" thickTop="1" thickBot="1">
      <c r="B70" s="8">
        <f t="shared" si="2"/>
        <v>10</v>
      </c>
      <c r="C70" s="3"/>
      <c r="D70" s="10" t="s">
        <v>17</v>
      </c>
      <c r="E70" s="10" t="s">
        <v>27</v>
      </c>
      <c r="F70" s="40" t="s">
        <v>19</v>
      </c>
      <c r="G70" s="10"/>
      <c r="H70" s="25"/>
      <c r="I70" s="25"/>
      <c r="J70" s="25"/>
      <c r="K70" s="74" t="s">
        <v>271</v>
      </c>
      <c r="L70" s="75"/>
      <c r="M70" s="75"/>
      <c r="N70" s="75"/>
      <c r="O70" s="75"/>
      <c r="P70" s="75"/>
      <c r="Q70" s="75"/>
      <c r="R70" s="75"/>
      <c r="S70" s="75"/>
      <c r="T70" s="51"/>
      <c r="U70" s="25"/>
      <c r="V70" s="25"/>
      <c r="W70" s="24">
        <v>9</v>
      </c>
    </row>
    <row r="71" spans="2:23" s="13" customFormat="1" ht="18" thickTop="1" thickBot="1">
      <c r="B71" s="8">
        <f t="shared" si="2"/>
        <v>11</v>
      </c>
      <c r="C71" s="3"/>
      <c r="D71" s="10" t="s">
        <v>17</v>
      </c>
      <c r="E71" s="10" t="s">
        <v>85</v>
      </c>
      <c r="F71" s="40" t="s">
        <v>19</v>
      </c>
      <c r="G71" s="10"/>
      <c r="H71" s="25"/>
      <c r="I71" s="25"/>
      <c r="J71" s="25"/>
      <c r="K71" s="74" t="s">
        <v>272</v>
      </c>
      <c r="L71" s="75"/>
      <c r="M71" s="75"/>
      <c r="N71" s="75"/>
      <c r="O71" s="75"/>
      <c r="P71" s="75"/>
      <c r="Q71" s="75"/>
      <c r="R71" s="75"/>
      <c r="S71" s="75"/>
      <c r="T71" s="51"/>
      <c r="U71" s="25"/>
      <c r="V71" s="25"/>
      <c r="W71" s="24">
        <v>9</v>
      </c>
    </row>
    <row r="72" spans="2:23" s="13" customFormat="1" ht="18" thickTop="1" thickBot="1">
      <c r="B72" s="8">
        <f t="shared" si="2"/>
        <v>12</v>
      </c>
      <c r="C72" s="3"/>
      <c r="D72" s="10" t="s">
        <v>17</v>
      </c>
      <c r="E72" s="10" t="s">
        <v>41</v>
      </c>
      <c r="F72" s="40" t="s">
        <v>19</v>
      </c>
      <c r="G72" s="10"/>
      <c r="H72" s="25"/>
      <c r="I72" s="25"/>
      <c r="J72" s="25"/>
      <c r="K72" s="74" t="s">
        <v>273</v>
      </c>
      <c r="L72" s="75"/>
      <c r="M72" s="75"/>
      <c r="N72" s="75"/>
      <c r="O72" s="75"/>
      <c r="P72" s="75"/>
      <c r="Q72" s="75"/>
      <c r="R72" s="75"/>
      <c r="S72" s="75"/>
      <c r="T72" s="51"/>
      <c r="U72" s="25"/>
      <c r="V72" s="25"/>
      <c r="W72" s="24">
        <v>9</v>
      </c>
    </row>
    <row r="73" spans="2:23" s="13" customFormat="1" ht="18" thickTop="1" thickBot="1">
      <c r="B73" s="8">
        <f t="shared" si="2"/>
        <v>13</v>
      </c>
      <c r="C73" s="3"/>
      <c r="D73" s="10" t="s">
        <v>17</v>
      </c>
      <c r="E73" s="10" t="s">
        <v>45</v>
      </c>
      <c r="F73" s="40" t="s">
        <v>19</v>
      </c>
      <c r="G73" s="10"/>
      <c r="H73" s="25"/>
      <c r="I73" s="25"/>
      <c r="J73" s="25"/>
      <c r="K73" s="74" t="s">
        <v>274</v>
      </c>
      <c r="L73" s="75"/>
      <c r="M73" s="75"/>
      <c r="N73" s="75"/>
      <c r="O73" s="75"/>
      <c r="P73" s="75"/>
      <c r="Q73" s="75"/>
      <c r="R73" s="75"/>
      <c r="S73" s="75"/>
      <c r="T73" s="51"/>
      <c r="U73" s="25"/>
      <c r="V73" s="25"/>
      <c r="W73" s="24">
        <v>9</v>
      </c>
    </row>
    <row r="74" spans="2:23" s="13" customFormat="1" ht="18" thickTop="1" thickBot="1">
      <c r="B74" s="8">
        <f t="shared" si="2"/>
        <v>14</v>
      </c>
      <c r="C74" s="3"/>
      <c r="D74" s="10" t="s">
        <v>17</v>
      </c>
      <c r="E74" s="10" t="s">
        <v>46</v>
      </c>
      <c r="F74" s="40" t="s">
        <v>19</v>
      </c>
      <c r="G74" s="10"/>
      <c r="H74" s="25"/>
      <c r="I74" s="25"/>
      <c r="J74" s="25"/>
      <c r="K74" s="74" t="s">
        <v>275</v>
      </c>
      <c r="L74" s="75"/>
      <c r="M74" s="75"/>
      <c r="N74" s="75"/>
      <c r="O74" s="75"/>
      <c r="P74" s="75"/>
      <c r="Q74" s="75"/>
      <c r="R74" s="75"/>
      <c r="S74" s="75"/>
      <c r="T74" s="51"/>
      <c r="U74" s="25"/>
      <c r="V74" s="25"/>
      <c r="W74" s="24">
        <v>9</v>
      </c>
    </row>
    <row r="75" spans="2:23" s="13" customFormat="1" ht="18" thickTop="1" thickBot="1">
      <c r="B75" s="8">
        <f t="shared" si="2"/>
        <v>15</v>
      </c>
      <c r="C75" s="3"/>
      <c r="D75" s="10" t="s">
        <v>17</v>
      </c>
      <c r="E75" s="10" t="s">
        <v>48</v>
      </c>
      <c r="F75" s="40" t="s">
        <v>19</v>
      </c>
      <c r="G75" s="3"/>
      <c r="H75" s="25"/>
      <c r="I75" s="25"/>
      <c r="J75" s="25"/>
      <c r="K75" s="74" t="s">
        <v>276</v>
      </c>
      <c r="L75" s="75"/>
      <c r="M75" s="75"/>
      <c r="N75" s="75"/>
      <c r="O75" s="75"/>
      <c r="P75" s="75"/>
      <c r="Q75" s="75"/>
      <c r="R75" s="75"/>
      <c r="S75" s="75"/>
      <c r="T75" s="51"/>
      <c r="U75" s="25"/>
      <c r="V75" s="25"/>
      <c r="W75" s="24">
        <v>9</v>
      </c>
    </row>
    <row r="76" spans="2:23" s="13" customFormat="1" ht="18" thickTop="1" thickBot="1">
      <c r="B76" s="8">
        <f t="shared" si="2"/>
        <v>16</v>
      </c>
      <c r="C76" s="3"/>
      <c r="D76" s="10" t="s">
        <v>17</v>
      </c>
      <c r="E76" s="10" t="s">
        <v>49</v>
      </c>
      <c r="F76" s="40" t="s">
        <v>19</v>
      </c>
      <c r="G76" s="10"/>
      <c r="H76" s="25"/>
      <c r="I76" s="25"/>
      <c r="J76" s="25"/>
      <c r="K76" s="74" t="s">
        <v>277</v>
      </c>
      <c r="L76" s="75"/>
      <c r="M76" s="75"/>
      <c r="N76" s="75"/>
      <c r="O76" s="75"/>
      <c r="P76" s="75"/>
      <c r="Q76" s="75"/>
      <c r="R76" s="75"/>
      <c r="S76" s="75"/>
      <c r="T76" s="51"/>
      <c r="U76" s="25"/>
      <c r="V76" s="25"/>
      <c r="W76" s="24">
        <v>9</v>
      </c>
    </row>
    <row r="77" spans="2:23" s="13" customFormat="1" ht="18" thickTop="1" thickBot="1">
      <c r="B77" s="8">
        <f t="shared" si="2"/>
        <v>17</v>
      </c>
      <c r="C77" s="3"/>
      <c r="D77" s="10" t="s">
        <v>17</v>
      </c>
      <c r="E77" s="10" t="s">
        <v>50</v>
      </c>
      <c r="F77" s="10" t="s">
        <v>81</v>
      </c>
      <c r="G77" s="10"/>
      <c r="H77" s="25"/>
      <c r="I77" s="25"/>
      <c r="J77" s="25"/>
      <c r="K77" s="25"/>
      <c r="L77" s="25"/>
      <c r="M77" s="74" t="s">
        <v>278</v>
      </c>
      <c r="N77" s="75"/>
      <c r="O77" s="75"/>
      <c r="P77" s="75"/>
      <c r="Q77" s="75"/>
      <c r="R77" s="75"/>
      <c r="S77" s="75"/>
      <c r="T77" s="51"/>
      <c r="U77" s="25"/>
      <c r="V77" s="25"/>
      <c r="W77" s="24">
        <v>7</v>
      </c>
    </row>
    <row r="78" spans="2:23" s="13" customFormat="1" ht="18" thickTop="1" thickBot="1">
      <c r="B78" s="8">
        <f t="shared" si="2"/>
        <v>18</v>
      </c>
      <c r="C78" s="3"/>
      <c r="D78" s="10" t="s">
        <v>17</v>
      </c>
      <c r="E78" s="10" t="s">
        <v>113</v>
      </c>
      <c r="F78" s="10" t="s">
        <v>81</v>
      </c>
      <c r="G78" s="10"/>
      <c r="H78" s="25"/>
      <c r="I78" s="25"/>
      <c r="J78" s="25"/>
      <c r="K78" s="25"/>
      <c r="L78" s="25"/>
      <c r="M78" s="74" t="s">
        <v>279</v>
      </c>
      <c r="N78" s="75"/>
      <c r="O78" s="75"/>
      <c r="P78" s="75"/>
      <c r="Q78" s="75"/>
      <c r="R78" s="75"/>
      <c r="S78" s="75"/>
      <c r="T78" s="51"/>
      <c r="U78" s="25"/>
      <c r="V78" s="25"/>
      <c r="W78" s="24">
        <v>7</v>
      </c>
    </row>
    <row r="79" spans="2:23" s="13" customFormat="1" ht="18" thickTop="1" thickBot="1">
      <c r="B79" s="8">
        <f t="shared" si="2"/>
        <v>19</v>
      </c>
      <c r="C79" s="3"/>
      <c r="D79" s="10" t="s">
        <v>17</v>
      </c>
      <c r="E79" s="10" t="s">
        <v>51</v>
      </c>
      <c r="F79" s="10" t="s">
        <v>87</v>
      </c>
      <c r="G79" s="10"/>
      <c r="H79" s="25"/>
      <c r="I79" s="25"/>
      <c r="J79" s="25"/>
      <c r="K79" s="25"/>
      <c r="L79" s="25"/>
      <c r="M79" s="74" t="s">
        <v>280</v>
      </c>
      <c r="N79" s="75"/>
      <c r="O79" s="75"/>
      <c r="P79" s="75"/>
      <c r="Q79" s="75"/>
      <c r="R79" s="75"/>
      <c r="S79" s="75"/>
      <c r="T79" s="51"/>
      <c r="U79" s="25"/>
      <c r="V79" s="25"/>
      <c r="W79" s="24">
        <v>7</v>
      </c>
    </row>
    <row r="80" spans="2:23" s="13" customFormat="1" ht="18" thickTop="1" thickBot="1">
      <c r="B80" s="8">
        <f t="shared" si="2"/>
        <v>20</v>
      </c>
      <c r="C80" s="3"/>
      <c r="D80" s="10" t="s">
        <v>17</v>
      </c>
      <c r="E80" s="10" t="s">
        <v>52</v>
      </c>
      <c r="F80" s="10" t="s">
        <v>87</v>
      </c>
      <c r="G80" s="10"/>
      <c r="H80" s="25"/>
      <c r="I80" s="25"/>
      <c r="J80" s="25"/>
      <c r="K80" s="25"/>
      <c r="L80" s="25"/>
      <c r="M80" s="74" t="s">
        <v>281</v>
      </c>
      <c r="N80" s="75"/>
      <c r="O80" s="75"/>
      <c r="P80" s="75"/>
      <c r="Q80" s="75"/>
      <c r="R80" s="75"/>
      <c r="S80" s="75"/>
      <c r="T80" s="51"/>
      <c r="U80" s="25"/>
      <c r="V80" s="25"/>
      <c r="W80" s="24">
        <v>7</v>
      </c>
    </row>
    <row r="81" spans="1:24" s="13" customFormat="1" ht="18" thickTop="1" thickBot="1">
      <c r="A81" s="13" t="s">
        <v>92</v>
      </c>
      <c r="B81" s="8">
        <f t="shared" si="2"/>
        <v>21</v>
      </c>
      <c r="C81" s="3"/>
      <c r="D81" s="10" t="s">
        <v>17</v>
      </c>
      <c r="E81" s="10" t="s">
        <v>53</v>
      </c>
      <c r="F81" s="10" t="s">
        <v>87</v>
      </c>
      <c r="G81" s="10"/>
      <c r="H81" s="25"/>
      <c r="I81" s="25"/>
      <c r="J81" s="25"/>
      <c r="K81" s="25"/>
      <c r="L81" s="25"/>
      <c r="M81" s="74" t="s">
        <v>282</v>
      </c>
      <c r="N81" s="75"/>
      <c r="O81" s="75"/>
      <c r="P81" s="75"/>
      <c r="Q81" s="75"/>
      <c r="R81" s="75"/>
      <c r="S81" s="75"/>
      <c r="T81" s="51"/>
      <c r="U81" s="25"/>
      <c r="V81" s="25"/>
      <c r="W81" s="24">
        <v>7</v>
      </c>
    </row>
    <row r="82" spans="1:24" s="13" customFormat="1" ht="18" thickTop="1" thickBot="1">
      <c r="B82" s="8">
        <f t="shared" si="2"/>
        <v>22</v>
      </c>
      <c r="C82" s="3"/>
      <c r="D82" s="10" t="s">
        <v>17</v>
      </c>
      <c r="E82" s="10" t="s">
        <v>54</v>
      </c>
      <c r="F82" s="10" t="s">
        <v>87</v>
      </c>
      <c r="G82" s="10"/>
      <c r="H82" s="25"/>
      <c r="I82" s="25"/>
      <c r="J82" s="25"/>
      <c r="K82" s="25"/>
      <c r="L82" s="25"/>
      <c r="M82" s="74" t="s">
        <v>283</v>
      </c>
      <c r="N82" s="75"/>
      <c r="O82" s="75"/>
      <c r="P82" s="75"/>
      <c r="Q82" s="75"/>
      <c r="R82" s="75"/>
      <c r="S82" s="75"/>
      <c r="T82" s="51"/>
      <c r="U82" s="25"/>
      <c r="V82" s="25"/>
      <c r="W82" s="24">
        <v>7</v>
      </c>
    </row>
    <row r="83" spans="1:24" s="13" customFormat="1" ht="18" thickTop="1" thickBot="1">
      <c r="B83" s="8">
        <f t="shared" si="2"/>
        <v>23</v>
      </c>
      <c r="C83" s="3"/>
      <c r="D83" s="10" t="s">
        <v>17</v>
      </c>
      <c r="E83" s="10" t="s">
        <v>55</v>
      </c>
      <c r="F83" s="10" t="s">
        <v>87</v>
      </c>
      <c r="G83" s="10"/>
      <c r="H83" s="25"/>
      <c r="I83" s="25"/>
      <c r="J83" s="25"/>
      <c r="K83" s="25"/>
      <c r="L83" s="25"/>
      <c r="M83" s="74" t="s">
        <v>284</v>
      </c>
      <c r="N83" s="75"/>
      <c r="O83" s="75"/>
      <c r="P83" s="75"/>
      <c r="Q83" s="75"/>
      <c r="R83" s="75"/>
      <c r="S83" s="75"/>
      <c r="T83" s="51"/>
      <c r="U83" s="25"/>
      <c r="V83" s="25"/>
      <c r="W83" s="24">
        <v>7</v>
      </c>
    </row>
    <row r="84" spans="1:24" s="13" customFormat="1" ht="18" thickTop="1" thickBot="1">
      <c r="B84" s="8">
        <f t="shared" si="2"/>
        <v>24</v>
      </c>
      <c r="C84" s="3"/>
      <c r="D84" s="10" t="s">
        <v>17</v>
      </c>
      <c r="E84" s="10" t="s">
        <v>114</v>
      </c>
      <c r="F84" s="10" t="s">
        <v>87</v>
      </c>
      <c r="G84" s="10"/>
      <c r="H84" s="25"/>
      <c r="I84" s="25"/>
      <c r="J84" s="25"/>
      <c r="K84" s="25"/>
      <c r="L84" s="25"/>
      <c r="M84" s="74" t="s">
        <v>285</v>
      </c>
      <c r="N84" s="75"/>
      <c r="O84" s="75"/>
      <c r="P84" s="75"/>
      <c r="Q84" s="75"/>
      <c r="R84" s="75"/>
      <c r="S84" s="75"/>
      <c r="T84" s="51"/>
      <c r="U84" s="25"/>
      <c r="V84" s="25"/>
      <c r="W84" s="24">
        <v>7</v>
      </c>
    </row>
    <row r="85" spans="1:24" ht="18" thickTop="1" thickBot="1">
      <c r="B85" s="8">
        <f t="shared" si="2"/>
        <v>25</v>
      </c>
      <c r="D85" s="10" t="s">
        <v>17</v>
      </c>
      <c r="E85" s="10" t="s">
        <v>115</v>
      </c>
      <c r="F85" s="10" t="s">
        <v>87</v>
      </c>
      <c r="H85" s="25"/>
      <c r="I85" s="25"/>
      <c r="J85" s="25"/>
      <c r="K85" s="25"/>
      <c r="L85" s="25"/>
      <c r="M85" s="74" t="s">
        <v>286</v>
      </c>
      <c r="N85" s="75"/>
      <c r="O85" s="75"/>
      <c r="P85" s="75"/>
      <c r="Q85" s="75"/>
      <c r="R85" s="75"/>
      <c r="S85" s="75"/>
      <c r="T85" s="51"/>
      <c r="U85" s="25"/>
      <c r="V85" s="25"/>
      <c r="W85" s="24">
        <v>7</v>
      </c>
    </row>
    <row r="86" spans="1:24" ht="18" thickTop="1" thickBot="1">
      <c r="B86" s="8">
        <f t="shared" si="2"/>
        <v>26</v>
      </c>
      <c r="D86" s="10" t="s">
        <v>17</v>
      </c>
      <c r="E86" s="10" t="s">
        <v>116</v>
      </c>
      <c r="F86" s="10" t="s">
        <v>87</v>
      </c>
      <c r="H86" s="25"/>
      <c r="I86" s="25"/>
      <c r="J86" s="25"/>
      <c r="K86" s="25"/>
      <c r="L86" s="25"/>
      <c r="M86" s="74" t="s">
        <v>287</v>
      </c>
      <c r="N86" s="75"/>
      <c r="O86" s="75"/>
      <c r="P86" s="75"/>
      <c r="Q86" s="75"/>
      <c r="R86" s="75"/>
      <c r="S86" s="75"/>
      <c r="T86" s="51"/>
      <c r="U86" s="25"/>
      <c r="V86" s="25"/>
      <c r="W86" s="24">
        <v>7</v>
      </c>
    </row>
    <row r="87" spans="1:24" ht="18" thickTop="1" thickBot="1">
      <c r="B87" s="8">
        <f t="shared" si="2"/>
        <v>27</v>
      </c>
      <c r="D87" s="10" t="s">
        <v>17</v>
      </c>
      <c r="E87" s="10" t="s">
        <v>117</v>
      </c>
      <c r="F87" s="10" t="s">
        <v>87</v>
      </c>
      <c r="H87" s="25"/>
      <c r="I87" s="25"/>
      <c r="J87" s="25"/>
      <c r="K87" s="25"/>
      <c r="L87" s="25"/>
      <c r="M87" s="74" t="s">
        <v>288</v>
      </c>
      <c r="N87" s="75"/>
      <c r="O87" s="75"/>
      <c r="P87" s="75"/>
      <c r="Q87" s="75"/>
      <c r="R87" s="75"/>
      <c r="S87" s="75"/>
      <c r="T87" s="51"/>
      <c r="U87" s="25"/>
      <c r="V87" s="25"/>
      <c r="W87" s="24">
        <v>7</v>
      </c>
      <c r="X87" s="10"/>
    </row>
    <row r="88" spans="1:24" ht="18" thickTop="1" thickBot="1">
      <c r="B88" s="8">
        <f t="shared" si="2"/>
        <v>28</v>
      </c>
      <c r="D88" s="10" t="s">
        <v>17</v>
      </c>
      <c r="E88" s="10" t="s">
        <v>86</v>
      </c>
      <c r="F88" s="10" t="s">
        <v>87</v>
      </c>
      <c r="H88" s="25"/>
      <c r="I88" s="25"/>
      <c r="J88" s="25"/>
      <c r="K88" s="25"/>
      <c r="L88" s="25"/>
      <c r="M88" s="74" t="s">
        <v>289</v>
      </c>
      <c r="N88" s="75"/>
      <c r="O88" s="75"/>
      <c r="P88" s="75"/>
      <c r="Q88" s="75"/>
      <c r="R88" s="75"/>
      <c r="S88" s="75"/>
      <c r="T88" s="51"/>
      <c r="U88" s="25"/>
      <c r="V88" s="25"/>
      <c r="W88" s="24">
        <v>7</v>
      </c>
      <c r="X88" s="10"/>
    </row>
    <row r="89" spans="1:24" ht="18" thickTop="1" thickBot="1">
      <c r="B89" s="8">
        <f t="shared" si="2"/>
        <v>29</v>
      </c>
      <c r="D89" s="10" t="s">
        <v>17</v>
      </c>
      <c r="E89" s="10" t="s">
        <v>88</v>
      </c>
      <c r="F89" s="10" t="s">
        <v>19</v>
      </c>
      <c r="H89" s="97" t="s">
        <v>307</v>
      </c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74"/>
      <c r="T89" s="51"/>
      <c r="U89" s="25"/>
      <c r="V89" s="25"/>
      <c r="W89" s="24">
        <v>12</v>
      </c>
    </row>
    <row r="90" spans="1:24" s="16" customFormat="1" ht="18" thickTop="1" thickBot="1">
      <c r="A90" s="2"/>
      <c r="B90" s="8">
        <f t="shared" si="2"/>
        <v>30</v>
      </c>
      <c r="C90" s="3"/>
      <c r="D90" s="10" t="s">
        <v>17</v>
      </c>
      <c r="E90" s="10" t="s">
        <v>89</v>
      </c>
      <c r="F90" s="10" t="s">
        <v>19</v>
      </c>
      <c r="G90" s="10"/>
      <c r="H90" s="102" t="s">
        <v>308</v>
      </c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3"/>
      <c r="T90" s="51"/>
      <c r="U90" s="25"/>
      <c r="V90" s="25"/>
      <c r="W90" s="24">
        <v>12</v>
      </c>
      <c r="X90" s="2"/>
    </row>
    <row r="91" spans="1:24" ht="17.5" thickTop="1">
      <c r="W91" s="16">
        <f>SUM(W61:W90)</f>
        <v>252</v>
      </c>
    </row>
    <row r="92" spans="1:24">
      <c r="W92" s="13">
        <f>W91+4</f>
        <v>256</v>
      </c>
    </row>
  </sheetData>
  <mergeCells count="119">
    <mergeCell ref="H90:S90"/>
    <mergeCell ref="M85:S85"/>
    <mergeCell ref="M86:S86"/>
    <mergeCell ref="M87:S87"/>
    <mergeCell ref="M88:S88"/>
    <mergeCell ref="H89:S89"/>
    <mergeCell ref="L64:O64"/>
    <mergeCell ref="P64:S64"/>
    <mergeCell ref="K73:S73"/>
    <mergeCell ref="K74:S74"/>
    <mergeCell ref="K75:S75"/>
    <mergeCell ref="K69:S69"/>
    <mergeCell ref="K70:S70"/>
    <mergeCell ref="K71:S71"/>
    <mergeCell ref="K72:S72"/>
    <mergeCell ref="M77:S77"/>
    <mergeCell ref="M78:S78"/>
    <mergeCell ref="M79:S79"/>
    <mergeCell ref="K76:S76"/>
    <mergeCell ref="M80:S80"/>
    <mergeCell ref="M81:S81"/>
    <mergeCell ref="M82:S82"/>
    <mergeCell ref="M83:S83"/>
    <mergeCell ref="M84:S84"/>
    <mergeCell ref="H56:S56"/>
    <mergeCell ref="L61:S61"/>
    <mergeCell ref="J62:N62"/>
    <mergeCell ref="O62:S62"/>
    <mergeCell ref="H63:L63"/>
    <mergeCell ref="O63:S63"/>
    <mergeCell ref="I51:K51"/>
    <mergeCell ref="L51:N51"/>
    <mergeCell ref="P52:S52"/>
    <mergeCell ref="H53:S53"/>
    <mergeCell ref="N54:O54"/>
    <mergeCell ref="P54:S54"/>
    <mergeCell ref="H44:S44"/>
    <mergeCell ref="N45:O45"/>
    <mergeCell ref="P45:S45"/>
    <mergeCell ref="M46:O46"/>
    <mergeCell ref="Q46:S46"/>
    <mergeCell ref="H41:M41"/>
    <mergeCell ref="H43:K43"/>
    <mergeCell ref="N43:O43"/>
    <mergeCell ref="P43:Q43"/>
    <mergeCell ref="R43:S43"/>
    <mergeCell ref="N26:P26"/>
    <mergeCell ref="Q26:S26"/>
    <mergeCell ref="N27:P27"/>
    <mergeCell ref="Q27:S27"/>
    <mergeCell ref="J34:S34"/>
    <mergeCell ref="J35:S35"/>
    <mergeCell ref="I36:S36"/>
    <mergeCell ref="H37:S37"/>
    <mergeCell ref="I38:J38"/>
    <mergeCell ref="L38:S38"/>
    <mergeCell ref="N30:P30"/>
    <mergeCell ref="H31:M31"/>
    <mergeCell ref="N31:S31"/>
    <mergeCell ref="K32:S32"/>
    <mergeCell ref="J33:S33"/>
    <mergeCell ref="H40:S40"/>
    <mergeCell ref="H11:I11"/>
    <mergeCell ref="J11:K11"/>
    <mergeCell ref="L11:M11"/>
    <mergeCell ref="N11:O11"/>
    <mergeCell ref="P11:Q11"/>
    <mergeCell ref="R11:S11"/>
    <mergeCell ref="H13:S13"/>
    <mergeCell ref="J24:N24"/>
    <mergeCell ref="O24:S24"/>
    <mergeCell ref="H26:J26"/>
    <mergeCell ref="J22:N22"/>
    <mergeCell ref="O22:S22"/>
    <mergeCell ref="J23:N23"/>
    <mergeCell ref="O23:S23"/>
    <mergeCell ref="H14:S14"/>
    <mergeCell ref="H15:S15"/>
    <mergeCell ref="H16:S16"/>
    <mergeCell ref="H28:K28"/>
    <mergeCell ref="L28:O28"/>
    <mergeCell ref="P28:S28"/>
    <mergeCell ref="L29:O29"/>
    <mergeCell ref="P29:S29"/>
    <mergeCell ref="K26:M26"/>
    <mergeCell ref="O20:S20"/>
    <mergeCell ref="H17:S17"/>
    <mergeCell ref="H18:J18"/>
    <mergeCell ref="K18:M18"/>
    <mergeCell ref="N18:P18"/>
    <mergeCell ref="Q18:S18"/>
    <mergeCell ref="H25:J25"/>
    <mergeCell ref="K25:M25"/>
    <mergeCell ref="N25:P25"/>
    <mergeCell ref="Q25:S25"/>
    <mergeCell ref="O3:S3"/>
    <mergeCell ref="O5:S5"/>
    <mergeCell ref="H6:K6"/>
    <mergeCell ref="L6:S6"/>
    <mergeCell ref="I4:N4"/>
    <mergeCell ref="K65:S65"/>
    <mergeCell ref="K66:S66"/>
    <mergeCell ref="K67:S67"/>
    <mergeCell ref="K68:S68"/>
    <mergeCell ref="H7:O7"/>
    <mergeCell ref="P7:S7"/>
    <mergeCell ref="H9:I9"/>
    <mergeCell ref="J9:M9"/>
    <mergeCell ref="H10:I10"/>
    <mergeCell ref="J10:K10"/>
    <mergeCell ref="L10:M10"/>
    <mergeCell ref="N10:O10"/>
    <mergeCell ref="P10:Q10"/>
    <mergeCell ref="R10:S10"/>
    <mergeCell ref="J21:N21"/>
    <mergeCell ref="O21:S21"/>
    <mergeCell ref="J19:N19"/>
    <mergeCell ref="O19:S19"/>
    <mergeCell ref="J20:N20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xd12r_reg_mp1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이 준영</cp:lastModifiedBy>
  <cp:lastPrinted>2025-02-19T04:50:07Z</cp:lastPrinted>
  <dcterms:created xsi:type="dcterms:W3CDTF">2024-08-08T02:03:23Z</dcterms:created>
  <dcterms:modified xsi:type="dcterms:W3CDTF">2026-07-14T03:18:10Z</dcterms:modified>
</cp:coreProperties>
</file>